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comments/comment11.xml" ContentType="application/vnd.openxmlformats-officedocument.spreadsheetml.comments+xml"/>
  <Override PartName="/xl/worksheets/sheet15.xml" ContentType="application/vnd.openxmlformats-officedocument.spreadsheetml.worksheet+xml"/>
  <Override PartName="/xl/comments/comment12.xml" ContentType="application/vnd.openxmlformats-officedocument.spreadsheetml.comments+xml"/>
  <Override PartName="/xl/worksheets/sheet16.xml" ContentType="application/vnd.openxmlformats-officedocument.spreadsheetml.worksheet+xml"/>
  <Override PartName="/xl/comments/comment13.xml" ContentType="application/vnd.openxmlformats-officedocument.spreadsheetml.comments+xml"/>
  <Override PartName="/xl/worksheets/sheet17.xml" ContentType="application/vnd.openxmlformats-officedocument.spreadsheetml.worksheet+xml"/>
  <Override PartName="/xl/comments/comment14.xml" ContentType="application/vnd.openxmlformats-officedocument.spreadsheetml.comments+xml"/>
  <Override PartName="/xl/worksheets/sheet18.xml" ContentType="application/vnd.openxmlformats-officedocument.spreadsheetml.worksheet+xml"/>
  <Override PartName="/xl/comments/comment15.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Instructions" sheetId="1" state="visible" r:id="rId1"/>
    <sheet name="Error Summary" sheetId="2" state="visible" r:id="rId2"/>
    <sheet name="WAYFAIR_USE_ONLY" sheetId="3" state="hidden" r:id="rId3"/>
    <sheet name="3 - Carts &amp; Stands" sheetId="4" state="visible" r:id="rId4"/>
    <sheet name="3 - Carts &amp; Stands-WUO_ERR" sheetId="5" state="hidden" r:id="rId5"/>
    <sheet name="3 - Carts &amp; Stands-WUO_TRK" sheetId="6" state="hidden" r:id="rId6"/>
    <sheet name="6 - TV Stands &amp; Enterta" sheetId="7" state="visible" r:id="rId7"/>
    <sheet name="6 - TV Stands &amp; Enterta-WUO_ERR" sheetId="8" state="hidden" r:id="rId8"/>
    <sheet name="6 - TV Stands &amp; Enterta-WUO_TRK" sheetId="9" state="hidden" r:id="rId9"/>
    <sheet name="10 - Office Chairs" sheetId="10" state="visible" r:id="rId10"/>
    <sheet name="10 - Office Chairs-WUO_ERR" sheetId="11" state="hidden" r:id="rId11"/>
    <sheet name="10 - Office Chairs-WUO_TRK" sheetId="12" state="hidden" r:id="rId12"/>
    <sheet name="13 - Dressers &amp; Chests" sheetId="13" state="visible" r:id="rId13"/>
    <sheet name="13 - Dressers &amp; Chests-WUO_ERR" sheetId="14" state="hidden" r:id="rId14"/>
    <sheet name="13 - Dressers &amp; Chests-WUO_TRK" sheetId="15" state="hidden" r:id="rId15"/>
    <sheet name="12 - Beds" sheetId="16" state="visible" r:id="rId16"/>
    <sheet name="12 - Beds-WUO_ERR" sheetId="17" state="hidden" r:id="rId17"/>
    <sheet name="12 - Beds-WUO_TRK" sheetId="18" state="hidden" r:id="rId18"/>
    <sheet name="Additional Cartons" sheetId="19" state="visible" r:id="rId19"/>
    <sheet name="Additional Cartons-WUO_ERR" sheetId="20" state="hidden" r:id="rId20"/>
    <sheet name="Additional Cartons-WUO_TRK" sheetId="21" state="hidden" r:id="rId21"/>
    <sheet name="Additional Chemicals" sheetId="22" state="visible" r:id="rId22"/>
    <sheet name="Additional Chemicals-WUO_ERR" sheetId="23" state="hidden" r:id="rId23"/>
    <sheet name="Additional Chemicals-WUO_TRK" sheetId="24" state="hidden" r:id="rId24"/>
    <sheet name="Additional Images" sheetId="25" state="visible" r:id="rId25"/>
    <sheet name="Additional Images-WUO_ERR" sheetId="26" state="hidden" r:id="rId26"/>
    <sheet name="Additional Images-WUO_TRK" sheetId="27" state="hidden" r:id="rId27"/>
    <sheet name="Additional Videos" sheetId="28" state="visible" r:id="rId28"/>
    <sheet name="Additional Videos-WUO_ERR" sheetId="29" state="hidden" r:id="rId29"/>
    <sheet name="Additional Videos-WUO_TRK" sheetId="30" state="hidden" r:id="rId30"/>
    <sheet name="Additional Documents" sheetId="31" state="visible" r:id="rId31"/>
    <sheet name="Additional Documents-WUO_ERR" sheetId="32" state="hidden" r:id="rId32"/>
    <sheet name="Additional Documents-WUO_TRK" sheetId="33" state="hidden" r:id="rId33"/>
    <sheet name="Valid Values" sheetId="34" state="visible" r:id="rId34"/>
  </sheets>
  <definedNames>
    <definedName name="allowed149726">'Valid Values'!$T$2:$T$221</definedName>
    <definedName name="allowed149756">'Valid Values'!$AQ$2:$AQ$5</definedName>
    <definedName name="allowed149964">'Valid Values'!$AH$2:$AH$9</definedName>
    <definedName name="allowed149965">'Valid Values'!$AF$2:$AF$9</definedName>
    <definedName name="allowed184838">'Valid Values'!$GI$2:$GI$16</definedName>
    <definedName name="allowed185252">'Valid Values'!$U$2:$U$70</definedName>
    <definedName name="allowed185254">'Valid Values'!$BJ$2:$BJ$70</definedName>
    <definedName name="allowed185256">'Valid Values'!$GT$2:$GT$70</definedName>
    <definedName name="allowed185257">'Valid Values'!$FK$2:$FK$71</definedName>
    <definedName name="allowed192864">'Valid Values'!$AJ$2:$AJ$4</definedName>
    <definedName name="allowed192875">'Valid Values'!$AP$2:$AP$5</definedName>
    <definedName name="allowed194726">'Valid Values'!$ED$2:$ED$4</definedName>
    <definedName name="allowed194739">'Valid Values'!$EM$2:$EM$5</definedName>
    <definedName name="allowed19928">'Valid Values'!$CW$2:$CW$9</definedName>
    <definedName name="allowed200855">'Valid Values'!$CY$2:$CY$11</definedName>
    <definedName name="allowed200866">'Valid Values'!$CX$2:$CX$56</definedName>
    <definedName name="allowed200874">'Valid Values'!$DA$2:$DA$43</definedName>
    <definedName name="allowed200875">'Valid Values'!$DV$2:$DV$12</definedName>
    <definedName name="allowed201479">'Valid Values'!$BF$2:$BF$3</definedName>
    <definedName name="allowed202222">'Valid Values'!$DG$2:$DG$9</definedName>
    <definedName name="allowed20251">'Valid Values'!$DH$2:$DH$22</definedName>
    <definedName name="allowed20252">'Valid Values'!$DY$2:$DY$17</definedName>
    <definedName name="allowed20254">'Valid Values'!$DU$2:$DU$21</definedName>
    <definedName name="allowed202653">'Valid Values'!$HO$2:$HO$6</definedName>
    <definedName name="allowed204373">'Valid Values'!$EI$2:$EI$6</definedName>
    <definedName name="allowed214542">'Valid Values'!$FD$2:$FD$3</definedName>
    <definedName name="allowed217965">'Valid Values'!$CQ$2:$CQ$20</definedName>
    <definedName name="allowed220265">'Valid Values'!$BW$2:$BW$16</definedName>
    <definedName name="allowed220267">'Valid Values'!$BV$2:$BV$9</definedName>
    <definedName name="allowed222414">'Valid Values'!$DI$2:$DI$3</definedName>
    <definedName name="allowed222775">'Valid Values'!$CR$2:$CR$5</definedName>
    <definedName name="allowed222778">'Valid Values'!$CS$2:$CS$61</definedName>
    <definedName name="allowed222782">'Valid Values'!$IG$2:$IG$5</definedName>
    <definedName name="allowed222785">'Valid Values'!$IH$2:$IH$61</definedName>
    <definedName name="allowed222789">'Valid Values'!$GC$2:$GC$5</definedName>
    <definedName name="allowed222792">'Valid Values'!$GD$2:$GD$61</definedName>
    <definedName name="allowed222860">'Valid Values'!$BD$2:$BD$12</definedName>
    <definedName name="allowed222861">'Valid Values'!$BE$2:$BE$7</definedName>
    <definedName name="allowed222862">'Valid Values'!$DE$2:$DE$12</definedName>
    <definedName name="allowed222863">'Valid Values'!$DF$2:$DF$7</definedName>
    <definedName name="allowed222864">'Valid Values'!$GO$2:$GO$7</definedName>
    <definedName name="allowed222865">'Valid Values'!$GP$2:$GP$12</definedName>
    <definedName name="allowed222867">'Valid Values'!$FE$2:$FE$12</definedName>
    <definedName name="allowed222868">'Valid Values'!$FF$2:$FF$7</definedName>
    <definedName name="allowed223412">'Valid Values'!$EA$2:$EA$10</definedName>
    <definedName name="allowed223513">'Valid Values'!$GQ$2:$GQ$3</definedName>
    <definedName name="allowed223515">'Valid Values'!$FG$2:$FG$3</definedName>
    <definedName name="allowed224155">'Valid Values'!$HD$2:$HD$13</definedName>
    <definedName name="allowed224158">'Valid Values'!$HE$2:$HE$9</definedName>
    <definedName name="allowed224163">'Valid Values'!$GL$2:$GL$12</definedName>
    <definedName name="allowed224311">'Valid Values'!$HM$2:$HM$5</definedName>
    <definedName name="allowed224759">'Valid Values'!$CB$2:$CB$4</definedName>
    <definedName name="allowed224768">'Valid Values'!$HJ$2:$HJ$5</definedName>
    <definedName name="allowed224770">'Valid Values'!$FT$2:$FT$4</definedName>
    <definedName name="allowed224843">'Valid Values'!$AK$2:$AK$5</definedName>
    <definedName name="allowed224856">'Valid Values'!$EE$2:$EE$5</definedName>
    <definedName name="allowed224980">'Valid Values'!$CC$2:$CC$4</definedName>
    <definedName name="allowed224989">'Valid Values'!$HK$2:$HK$5</definedName>
    <definedName name="allowed224991">'Valid Values'!$FU$2:$FU$4</definedName>
    <definedName name="allowed225064">'Valid Values'!$AL$2:$AL$5</definedName>
    <definedName name="allowed225077">'Valid Values'!$EF$2:$EF$5</definedName>
    <definedName name="allowed225357">'Valid Values'!$EH$2:$EH$6</definedName>
    <definedName name="allowed225358">'Valid Values'!$HN$2:$HN$6</definedName>
    <definedName name="allowed225727">'Valid Values'!$EJ$2:$EJ$5</definedName>
    <definedName name="allowed227966">'Valid Values'!$BG$2:$BG$3</definedName>
    <definedName name="allowed228640">'Valid Values'!$EW$2:$EW$5</definedName>
    <definedName name="allowed229333">'Valid Values'!$V$2:$V$3</definedName>
    <definedName name="allowed231828">'Valid Values'!$FH$2:$FH$26</definedName>
    <definedName name="allowed236080">'Valid Values'!$AN$2:$AN$4</definedName>
    <definedName name="allowed236083">'Valid Values'!$CE$2:$CE$3</definedName>
    <definedName name="allowed236085">'Valid Values'!$EK$2:$EK$4</definedName>
    <definedName name="allowed236086">'Valid Values'!$HP$2:$HP$4</definedName>
    <definedName name="allowed236087">'Valid Values'!$FW$2:$FW$3</definedName>
    <definedName name="allowed242937">'Valid Values'!$GN$2:$GN$9</definedName>
    <definedName name="allowed243578">'Valid Values'!$HT$2:$HT$5</definedName>
    <definedName name="allowed244538">'Valid Values'!$FI$2:$FI$6</definedName>
    <definedName name="allowed244542">'Valid Values'!$GR$2:$GR$6</definedName>
    <definedName name="allowed244566">'Valid Values'!$BH$2:$BH$6</definedName>
    <definedName name="allowed244581">'Valid Values'!$DJ$2:$DJ$6</definedName>
    <definedName name="allowed245268">'Valid Values'!$W$2:$W$6</definedName>
    <definedName name="allowed246161">'Valid Values'!$HR$2:$HR$5</definedName>
    <definedName name="allowed246188">'Valid Values'!$HS$2:$HS$5</definedName>
    <definedName name="allowed250332">'Valid Values'!$GM$2:$GM$10</definedName>
    <definedName name="allowed251018">'Valid Values'!$HQ$2:$HQ$5</definedName>
    <definedName name="allowed251022">'Valid Values'!$FX$2:$FX$5</definedName>
    <definedName name="allowed251061">'Valid Values'!$AO$2:$AO$5</definedName>
    <definedName name="allowed251110">'Valid Values'!$CF$2:$CF$5</definedName>
    <definedName name="allowed251178">'Valid Values'!$EL$2:$EL$5</definedName>
    <definedName name="allowed252472">'Valid Values'!$HF$2:$HF$12</definedName>
    <definedName name="allowed255114">'Valid Values'!$EZ$2:$EZ$4</definedName>
    <definedName name="allowed255296">'Valid Values'!$IJ$2:$IJ$4</definedName>
    <definedName name="allowed255305">'Valid Values'!$CU$2:$CU$4</definedName>
    <definedName name="allowed255311">'Valid Values'!$GF$2:$GF$5</definedName>
    <definedName name="allowed255912">'Valid Values'!$AZ$2:$AZ$22</definedName>
    <definedName name="allowed256090">'Valid Values'!$CV$2:$CV$22</definedName>
    <definedName name="allowed256095">'Valid Values'!$IK$2:$IK$22</definedName>
    <definedName name="allowed257300">'Valid Values'!$CZ$2:$CZ$43</definedName>
    <definedName name="allowed257301">'Valid Values'!$DB$2:$DB$23</definedName>
    <definedName name="allowed257309">'Valid Values'!$DC$2:$DC$21</definedName>
    <definedName name="allowed257315">'Valid Values'!$DD$2:$DD$10</definedName>
    <definedName name="allowed258418">'Valid Values'!$EX$2:$EX$61</definedName>
    <definedName name="allowed258936">'Valid Values'!$FQ$2:$FQ$3</definedName>
    <definedName name="allowed292710">'Valid Values'!$FN$2:$FN$6</definedName>
    <definedName name="allowed292745">'Valid Values'!$HC$2:$HC$6</definedName>
    <definedName name="allowed292794">'Valid Values'!$BU$2:$BU$17</definedName>
    <definedName name="allowed293470">'Valid Values'!$GS$2:$GS$20</definedName>
    <definedName name="allowed293477">'Valid Values'!$FJ$2:$FJ$20</definedName>
    <definedName name="allowed293480">'Valid Values'!$BI$2:$BI$20</definedName>
    <definedName name="allowed293484">'Valid Values'!$DK$2:$DK$20</definedName>
    <definedName name="allowed310560">'Valid Values'!$CG$2:$CG$5</definedName>
    <definedName name="allowed331917">'Valid Values'!$FR$2:$FR$4</definedName>
    <definedName name="allowed332816">'Valid Values'!$FL$2:$FL$100</definedName>
    <definedName name="allowed333812">'Valid Values'!$CT$2:$CT$26</definedName>
    <definedName name="allowed333844">'Valid Values'!$GE$2:$GE$26</definedName>
    <definedName name="allowed333926">'Valid Values'!$EY$2:$EY$26</definedName>
    <definedName name="allowed334025">'Valid Values'!$II$2:$II$26</definedName>
    <definedName name="allowed334763">'Valid Values'!$AY$2:$AY$26</definedName>
    <definedName name="allowed336669">'Valid Values'!$GU$2:$GU$40</definedName>
    <definedName name="allowed340396">'Valid Values'!$DL$2:$DL$11</definedName>
    <definedName name="allowed340616">'Valid Values'!$GV$2:$GV$11</definedName>
    <definedName name="allowed340804">'Valid Values'!$AS$2:$AS$17</definedName>
    <definedName name="allowed340810">'Valid Values'!$CI$2:$CI$17</definedName>
    <definedName name="allowed341056">'Valid Values'!$AT$2:$AT$6</definedName>
    <definedName name="allowed341070">'Valid Values'!$CJ$2:$CJ$6</definedName>
    <definedName name="allowed341383">'Valid Values'!$EO$2:$EO$17</definedName>
    <definedName name="allowed341396">'Valid Values'!$EP$2:$EP$6</definedName>
    <definedName name="allowed341882">'Valid Values'!$HW$2:$HW$17</definedName>
    <definedName name="allowed341883">'Valid Values'!$HX$2:$HX$6</definedName>
    <definedName name="allowed342365">'Valid Values'!$DM$2:$DM$5</definedName>
    <definedName name="allowed342373">'Valid Values'!$DO$2:$DO$5</definedName>
    <definedName name="allowed342726">'Valid Values'!$GW$2:$GW$5</definedName>
    <definedName name="allowed342735">'Valid Values'!$GY$2:$GY$5</definedName>
    <definedName name="allowed342802">'Valid Values'!$DQ$2:$DQ$8</definedName>
    <definedName name="allowed342809">'Valid Values'!$DP$2:$DP$8</definedName>
    <definedName name="allowed343325">'Valid Values'!$HA$2:$HA$8</definedName>
    <definedName name="allowed343332">'Valid Values'!$GZ$2:$GZ$8</definedName>
    <definedName name="allowed346774">'Valid Values'!$Y$2:$Y$11</definedName>
    <definedName name="allowed346869">'Valid Values'!$BK$2:$BK$11</definedName>
    <definedName name="allowed351568">'Valid Values'!$X$2:$X$5</definedName>
    <definedName name="allowed351573">'Valid Values'!$AA$2:$AA$5</definedName>
    <definedName name="allowed351604">'Valid Values'!$AD$2:$AD$6</definedName>
    <definedName name="allowed351619">'Valid Values'!$BL$2:$BL$5</definedName>
    <definedName name="allowed351641">'Valid Values'!$BN$2:$BN$5</definedName>
    <definedName name="allowed351649">'Valid Values'!$BQ$2:$BQ$6</definedName>
    <definedName name="allowed352295">'Valid Values'!$AC$2:$AC$8</definedName>
    <definedName name="allowed352308">'Valid Values'!$AB$2:$AB$8</definedName>
    <definedName name="allowed352342">'Valid Values'!$BP$2:$BP$8</definedName>
    <definedName name="allowed352351">'Valid Values'!$BO$2:$BO$8</definedName>
    <definedName name="allowed352585">'Valid Values'!$DR$2:$DR$6</definedName>
    <definedName name="allowed352587">'Valid Values'!$HB$2:$HB$6</definedName>
    <definedName name="allowed363032">'Valid Values'!$AE$2:$AE$18</definedName>
    <definedName name="allowed364707">'Valid Values'!$HL$2:$HL$5</definedName>
    <definedName name="allowed364708">'Valid Values'!$CD$2:$CD$5</definedName>
    <definedName name="allowed364709">'Valid Values'!$AM$2:$AM$5</definedName>
    <definedName name="allowed364710">'Valid Values'!$EG$2:$EG$5</definedName>
    <definedName name="allowed364712">'Valid Values'!$FV$2:$FV$5</definedName>
    <definedName name="allowed367149">'Valid Values'!$BM$2:$BM$13</definedName>
    <definedName name="allowed367308">'Valid Values'!$Z$2:$Z$13</definedName>
    <definedName name="allowed367366">'Valid Values'!$GX$2:$GX$13</definedName>
    <definedName name="allowed368261">'Valid Values'!$AV$2:$AV$6</definedName>
    <definedName name="allowed368262">'Valid Values'!$CL$2:$CL$6</definedName>
    <definedName name="allowed368267">'Valid Values'!$ER$2:$ER$6</definedName>
    <definedName name="allowed368645">'Valid Values'!$BR$2:$BR$100</definedName>
    <definedName name="allowed368650">'Valid Values'!$DS$2:$DS$100</definedName>
    <definedName name="allowed369614">'Valid Values'!$CK$2:$CK$13</definedName>
    <definedName name="allowed369616">'Valid Values'!$AU$2:$AU$13</definedName>
    <definedName name="allowed369622">'Valid Values'!$HY$2:$HY$13</definedName>
    <definedName name="allowed369623">'Valid Values'!$EQ$2:$EQ$13</definedName>
    <definedName name="allowed371796">'Valid Values'!$FY$2:$FY$4</definedName>
    <definedName name="allowed373554">'Valid Values'!$AR$2:$AR$35</definedName>
    <definedName name="allowed373560">'Valid Values'!$CH$2:$CH$35</definedName>
    <definedName name="allowed373564">'Valid Values'!$EN$2:$EN$35</definedName>
    <definedName name="allowed373566">'Valid Values'!$HV$2:$HV$35</definedName>
    <definedName name="allowed375301">'Valid Values'!$AW$2:$AW$13</definedName>
    <definedName name="allowed375302">'Valid Values'!$CM$2:$CM$13</definedName>
    <definedName name="allowed376182">'Valid Values'!$FC$2:$FC$17</definedName>
    <definedName name="allowed377815">'Valid Values'!$DT$2:$DT$23</definedName>
    <definedName name="allowed378114">'Valid Values'!$GH$2:$GH$21</definedName>
    <definedName name="allowed378139">'Valid Values'!$FM$2:$FM$21</definedName>
    <definedName name="allowed378365">'Valid Values'!$DW$2:$DW$55</definedName>
    <definedName name="allowed378924">'Valid Values'!$HI$2:$HI$14</definedName>
    <definedName name="allowed379875">'Valid Values'!$BT$2:$BT$55</definedName>
    <definedName name="allowed381928">'Valid Values'!$DX$2:$DX$70</definedName>
    <definedName name="allowed382037">'Valid Values'!$HZ$2:$HZ$5</definedName>
    <definedName name="allowed382060">'Valid Values'!$CN$2:$CN$5</definedName>
    <definedName name="allowed382978">'Valid Values'!$DN$2:$DN$13</definedName>
    <definedName name="allowed383797">'Valid Values'!$AG$2:$AG$55</definedName>
    <definedName name="allowed384286">'Valid Values'!$BX$2:$BX$14</definedName>
    <definedName name="allowed384474">'Valid Values'!$HG$2:$HG$11</definedName>
    <definedName name="allowed384748">'Valid Values'!$ES$2:$ES$5</definedName>
    <definedName name="allowed385918">'Valid Values'!$AX$2:$AX$4</definedName>
    <definedName name="allowed385921">'Valid Values'!$CO$2:$CO$4</definedName>
    <definedName name="allowed385923">'Valid Values'!$ET$2:$ET$4</definedName>
    <definedName name="allowed385924">'Valid Values'!$IA$2:$IA$4</definedName>
    <definedName name="allowed385925">'Valid Values'!$FZ$2:$FZ$4</definedName>
    <definedName name="allowed394169">'Valid Values'!$EU$2:$EU$5</definedName>
    <definedName name="allowed394170">'Valid Values'!$IB$2:$IB$5</definedName>
    <definedName name="allowed399936">'Valid Values'!$IC$2:$IC$5</definedName>
    <definedName name="allowed400793">'Valid Values'!$ID$2:$ID$5</definedName>
    <definedName name="allowed400817">'Valid Values'!$DZ$2:$DZ$5</definedName>
    <definedName name="allowed405443">'Valid Values'!$FP$2:$FP$4</definedName>
    <definedName name="allowed4099">'Valid Values'!$FB$2:$FB$23</definedName>
    <definedName name="allowed4100">'Valid Values'!$FA$2:$FA$8</definedName>
    <definedName name="allowed411838">'Valid Values'!$GA$2:$GA$5</definedName>
    <definedName name="allowed412911">'Valid Values'!$IE$2:$IE$4</definedName>
    <definedName name="allowed4142">'Valid Values'!$FS$2:$FS$4</definedName>
    <definedName name="allowed4164">'Valid Values'!$GJ$2:$GJ$15</definedName>
    <definedName name="allowed4170">'Valid Values'!$GG$2:$GG$19</definedName>
    <definedName name="allowed419944">'Valid Values'!$AI$2:$AI$9</definedName>
    <definedName name="allowed420139">'Valid Values'!$BY$2:$BY$18</definedName>
    <definedName name="allowed420140">'Valid Values'!$EB$2:$EB$10</definedName>
    <definedName name="allowed420141">'Valid Values'!$HH$2:$HH$11</definedName>
    <definedName name="allowed420142">'Valid Values'!$FO$2:$FO$10</definedName>
    <definedName name="allowed4213">'Valid Values'!$HU$2:$HU$5</definedName>
    <definedName name="allowed421402">'Valid Values'!$IF$2:$IF$6</definedName>
    <definedName name="allowed421600">'Valid Values'!$GB$2:$GB$6</definedName>
    <definedName name="allowed421601">'Valid Values'!$CP$2:$CP$6</definedName>
    <definedName name="allowed421605">'Valid Values'!$EV$2:$EV$6</definedName>
    <definedName name="allowed421669">'Valid Values'!$EC$2:$EC$10</definedName>
    <definedName name="allowed4446">'Valid Values'!$GK$2:$GK$43</definedName>
    <definedName name="allowed5620">'Valid Values'!$BA$2:$BA$3</definedName>
    <definedName name="allowed5621">'Valid Values'!$BB$2:$BB$26</definedName>
    <definedName name="allowed5625">'Valid Values'!$BC$2:$BC$22</definedName>
    <definedName name="allowed5671">'Valid Values'!$CA$2:$CA$4</definedName>
    <definedName name="allowed5910">'Valid Values'!$BS$2:$BS$31</definedName>
    <definedName name="allowed5938">'Valid Values'!$BZ$2:$BZ$7</definedName>
    <definedName name="allowed70212">'Valid Values'!$S$2:$S$9</definedName>
    <definedName name="allowedcore__manufacturerId">'Valid Values'!$A$2:$A$1</definedName>
    <definedName name="allowedmedia__documentType">'Valid Values'!$O$2:$O$16</definedName>
    <definedName name="allowedmedia__language">'Valid Values'!$R$2:$R$30</definedName>
    <definedName name="allowedmedia__legalDocumentType">'Valid Values'!$P$2:$P$506</definedName>
    <definedName name="allowedmedia__regionType">'Valid Values'!$Q$2:$Q$5</definedName>
    <definedName name="allowedpropSixtyFive__chemicalId">'Valid Values'!$L$2:$L$902</definedName>
    <definedName name="allowedpropSixtyFive__countryOfManufacturer">'Valid Values'!$N$2:$N$248</definedName>
    <definedName name="allowedpropSixtyFive__toxicity">'Valid Values'!$M$2:$M$3</definedName>
    <definedName name="allowedshippingAndFulfillment__freightClass">'Valid Values'!$I$2:$I$19</definedName>
    <definedName name="allowedshippingAndFulfillment__leadTime">'Valid Values'!$J$2:$J$18</definedName>
    <definedName name="allowedshippingAndFulfillment__replacementLeadTime">'Valid Values'!$K$2:$K$7</definedName>
    <definedName name="allowedshippingAndFulfillment__shipType">'Valid Values'!$H$2:$H$3</definedName>
    <definedName name="allowedvariantGrouping__variantGrouping">'Valid Values'!$G$2:$G$2</definedName>
    <definedName name="allowedvariantGrouping__variantType">'Valid Values'!$B$2:$B$4</definedName>
    <definedName name="Class10Answers">'10 - Office Chairs'!$B$8:$FQ$507</definedName>
    <definedName name="Class10Errors">'10 - Office Chairs-WUO_ERR'!$B$8:$FQ$507</definedName>
    <definedName name="Class10Headers">'10 - Office Chairs'!$B$4:$FQ$4</definedName>
    <definedName name="Class10Tracker">'10 - Office Chairs-WUO_TRK'!$B$8:$FQ$507</definedName>
    <definedName name="Class12Answers">'12 - Beds'!$B$8:$FD$507</definedName>
    <definedName name="Class12Errors">'12 - Beds-WUO_ERR'!$B$8:$FD$507</definedName>
    <definedName name="Class12Headers">'12 - Beds'!$B$4:$FD$4</definedName>
    <definedName name="Class12Tracker">'12 - Beds-WUO_TRK'!$B$8:$FD$507</definedName>
    <definedName name="Class13Answers">'13 - Dressers &amp; Chests'!$B$8:$DZ$507</definedName>
    <definedName name="Class13Errors">'13 - Dressers &amp; Chests-WUO_ERR'!$B$8:$DZ$507</definedName>
    <definedName name="Class13Headers">'13 - Dressers &amp; Chests'!$B$4:$DZ$4</definedName>
    <definedName name="Class13Tracker">'13 - Dressers &amp; Chests-WUO_TRK'!$B$8:$DZ$507</definedName>
    <definedName name="Class3Answers">'3 - Carts &amp; Stands'!$B$8:$DY$507</definedName>
    <definedName name="Class3Errors">'3 - Carts &amp; Stands-WUO_ERR'!$B$8:$DY$507</definedName>
    <definedName name="Class3Headers">'3 - Carts &amp; Stands'!$B$4:$DY$4</definedName>
    <definedName name="Class3Tracker">'3 - Carts &amp; Stands-WUO_TRK'!$B$8:$DY$507</definedName>
    <definedName name="Class6Answers">'6 - TV Stands &amp; Enterta'!$B$8:$FC$507</definedName>
    <definedName name="Class6Errors">'6 - TV Stands &amp; Enterta-WUO_ERR'!$B$8:$FC$507</definedName>
    <definedName name="Class6Headers">'6 - TV Stands &amp; Enterta'!$B$4:$FC$4</definedName>
    <definedName name="Class6Tracker">'6 - TV Stands &amp; Enterta-WUO_TRK'!$B$8:$FC$507</definedName>
    <definedName name="GetErrorQuestionDisplayNames">_xlfn.LAMBDA(_xlpm.headers,_xlpm.tracker,_xlpm.errors,   _xlfn.LET(     _xlpm.colSeq, _xlfn.SEQUENCE(1, COLUMNS(_xlpm.tracker)),     _xlpm.colMatrix, _xlfn.MAKEARRAY(ROWS(_xlpm.tracker), COLUMNS(_xlpm.tracker), _xlfn.LAMBDA(_xlpm.r,_xlpm.c, INDEX(_xlpm.colSeq, 1, _xlpm.c))),     _xlpm.filteredCols, _xlfn._xlws.FILTER(       _xlfn.TOCOL(_xlpm.colMatrix),       _xlfn.TOCOL((_xlpm.errors &lt;&gt; "") * (_xlpm.tracker &lt;&gt; "Valid") * (_xlpm.tracker &lt;&gt; "Disabled")),       "QUESTION_PLACEHOLDER"     ),     IF(       AND(ROWS(_xlpm.filteredCols)*COLUMNS(_xlpm.filteredCols)=1, INDEX(_xlpm.filteredCols,1,1)="QUESTION_PLACEHOLDER"),       "",       _xlfn.LET(         _xlpm.cleanColNums, _xlfn.TOCOL(_xlpm.filteredCols, 2),         _xlpm.rawHeaders, INDEX(_xlpm.headers, 1, _xlpm.cleanColNums),         IFERROR(IF(_xlpm.rawHeaders = "", "", _xlpm.rawHeaders), "")       )     )   ) )</definedName>
    <definedName name="GetFilteredProvidedAnswers">_xlfn.LAMBDA(_xlpm.answers,_xlpm.errors,_xlpm.tracker,     _xlfn.LET( _xlpm.filtered, _xlfn._xlws.FILTER(_xlfn.TOCOL(_xlpm.answers), _xlfn.TOCOL((_xlpm.errors &lt;&gt; "") * (_xlpm.tracker &lt;&gt; "Valid") * (_xlpm.tracker &lt;&gt; "Disabled")), "EMPTY_FILTER_PLACEHOLDER"),   _xlpm.final, IF(ROWS(_xlpm.filtered)*COLUMNS(_xlpm.filtered)=1, IF(INDEX(_xlpm.filtered,1,1)="EMPTY_FILTER_PLACEHOLDER", "EMPTY_ERROR", _xlpm.filtered), _xlpm.filtered), _xlpm.result, IF( _xlpm.final="EMPTY_ERROR", "EMPTY_ERROR",  IFERROR(IF(_xlpm.final="", "", _xlpm.final), "EMPTY_ERROR") ),         _xlpm.result     ) )</definedName>
    <definedName name="GetSheetLocationAddresses">_xlfn.LAMBDA(_xlpm.tracker,_xlpm.errors,   _xlfn.LET(     _xlpm.filterCondition, _xlfn.TOCOL((_xlpm.errors &lt;&gt; "") * (_xlpm.tracker &lt;&gt; "Valid") * (_xlpm.tracker &lt;&gt; "Disabled")),     _xlfn._xlws.FILTER(       _xlfn.TOCOL(ADDRESS(_xlfn.SEQUENCE(ROWS(_xlpm.tracker), 1, 8), _xlfn.SEQUENCE(1, COLUMNS(_xlpm.tracker), 2), 4), 2),       _xlpm.filterCondition, ""     )   ) )</definedName>
    <definedName name="GetSheetNameData">_xlfn.LAMBDA(_xlpm.tracker,_xlpm.errors,_xlpm.sheetTitle,   _xlfn.LET(     _xlpm.filterCondition, _xlfn.TOCOL((_xlpm.errors &lt;&gt; "") * (_xlpm.tracker &lt;&gt; "Valid") * (_xlpm.tracker &lt;&gt; "Disabled")),     _xlpm.filteredData, _xlfn._xlws.FILTER(_xlfn.TOCOL(_xlpm.tracker), _xlpm.filterCondition, ""),     IF(_xlpm.filteredData&lt;&gt;"", _xlpm.sheetTitle, "")   ) )</definedName>
    <definedName name="GetSheetProductName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"EMPTY_ERROR",       _xlfn.LET(         _xlpm.rawVals, INDEX(_xlpm.sheetRef, _xlpm.rowNumbers),         IFERROR(IF(_xlpm.rawVals = "", "", _xlpm.rawVals), "EMPTY_ERROR")       )     )   ) )</definedName>
    <definedName name="GetSheetStatusData">_xlfn.LAMBDA(_xlpm.tracker,_xlpm.errors,   _xlfn.LET(     _xlpm.filterCondition, _xlfn.TOCOL((_xlpm.errors &lt;&gt; "") * (_xlpm.tracker &lt;&gt; "Valid") * (_xlpm.tracker &lt;&gt; "Disabled")),     _xlfn._xlws.FILTER(_xlfn.TOCOL(_xlpm.tracker), _xlpm.filterCondition, "")   ) )</definedName>
    <definedName name="GetSheetSupplierPartNumber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       _xlfn.LET(         _xlpm.rawVals, INDEX(_xlpm.sheetRef, _xlpm.rowNumbers),         IFERROR(IF(_xlpm.rawVals = "", "", _xlpm.rawVals), "")       )     )   ) )</definedName>
    <definedName name="media__documentsAnswers">'Additional Documents'!$B$7:$H$507</definedName>
    <definedName name="media__documentsErrors">'Additional Documents-WUO_ERR'!$B$7:$H$507</definedName>
    <definedName name="media__documentsHeaders">'Additional Documents'!$B$4:$H$4</definedName>
    <definedName name="media__documentsTracker">'Additional Documents-WUO_TRK'!$B$7:$H$507</definedName>
    <definedName name="media__imagesAnswers">'Additional Images'!$B$7:$D$507</definedName>
    <definedName name="media__imagesErrors">'Additional Images-WUO_ERR'!$B$7:$D$507</definedName>
    <definedName name="media__imagesHeaders">'Additional Images'!$B$4:$D$4</definedName>
    <definedName name="media__imagesTracker">'Additional Images-WUO_TRK'!$B$7:$D$507</definedName>
    <definedName name="media__videosAnswers">'Additional Videos'!$B$7:$D$507</definedName>
    <definedName name="media__videosErrors">'Additional Videos-WUO_ERR'!$B$7:$D$507</definedName>
    <definedName name="media__videosHeaders">'Additional Videos'!$B$4:$D$4</definedName>
    <definedName name="media__videosTracker">'Additional Videos-WUO_TRK'!$B$7:$D$507</definedName>
    <definedName name="propSixtyFive__chemicalsAnswers">'Additional Chemicals'!$B$7:$E$507</definedName>
    <definedName name="propSixtyFive__chemicalsErrors">'Additional Chemicals-WUO_ERR'!$B$7:$E$507</definedName>
    <definedName name="propSixtyFive__chemicalsHeaders">'Additional Chemicals'!$B$4:$E$4</definedName>
    <definedName name="propSixtyFive__chemicalsTracker">'Additional Chemicals-WUO_TRK'!$B$7:$E$507</definedName>
    <definedName name="shippingAndFulfillment__cartonsAnswers">'Additional Cartons'!$B$7:$G$507</definedName>
    <definedName name="shippingAndFulfillment__cartonsErrors">'Additional Cartons-WUO_ERR'!$B$7:$G$507</definedName>
    <definedName name="shippingAndFulfillment__cartonsHeaders">'Additional Cartons'!$B$4:$G$4</definedName>
    <definedName name="shippingAndFulfillment__cartonsTracker">'Additional Cartons-WUO_TRK'!$B$7:$G$507</definedName>
    <definedName name="_xlnm._FilterDatabase" localSheetId="1" hidden="1">'Error Summary'!$A$2:$H$2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Helvetica"/>
      <family val="2"/>
      <b val="1"/>
      <color theme="1"/>
      <sz val="12"/>
    </font>
    <font>
      <name val="Helvetica"/>
      <family val="2"/>
      <color rgb="FF0000FF"/>
      <sz val="11"/>
    </font>
    <font>
      <name val="Helvetica"/>
      <family val="2"/>
      <b val="1"/>
      <color theme="1"/>
      <sz val="11"/>
    </font>
    <font>
      <name val="Helvetica"/>
      <family val="2"/>
      <color theme="1"/>
      <sz val="11"/>
    </font>
    <font>
      <name val="Helvetica"/>
      <family val="2"/>
      <b val="1"/>
      <i val="1"/>
      <color theme="1"/>
      <sz val="11"/>
    </font>
    <font>
      <name val="Helvetica"/>
      <family val="2"/>
      <b val="1"/>
      <color rgb="FF0000FF"/>
      <sz val="11"/>
      <u val="single"/>
    </font>
    <font>
      <name val="Helvetica"/>
      <family val="2"/>
      <b val="1"/>
      <color rgb="FFFFFFFF"/>
      <sz val="11"/>
    </font>
    <font>
      <name val="Calibri"/>
      <family val="2"/>
      <color rgb="FFFFFFFF"/>
      <sz val="11"/>
      <scheme val="minor"/>
    </font>
    <font>
      <name val="Tahoma"/>
      <family val="2"/>
      <color indexed="81"/>
      <sz val="8"/>
    </font>
  </fonts>
  <fills count="21">
    <fill>
      <patternFill/>
    </fill>
    <fill>
      <patternFill patternType="gray125"/>
    </fill>
    <fill>
      <patternFill patternType="solid">
        <fgColor rgb="FFDAE9D3"/>
        <bgColor indexed="64"/>
      </patternFill>
    </fill>
    <fill>
      <patternFill patternType="solid">
        <fgColor rgb="FFD8D8D8"/>
        <bgColor indexed="64"/>
      </patternFill>
    </fill>
    <fill>
      <patternFill patternType="solid">
        <fgColor rgb="FFFFABA7"/>
        <bgColor indexed="64"/>
      </patternFill>
    </fill>
    <fill>
      <patternFill patternType="solid">
        <fgColor rgb="FFFF8080"/>
        <bgColor indexed="64"/>
      </patternFill>
    </fill>
    <fill>
      <patternFill patternType="solid">
        <fgColor rgb="FFD8E4F9"/>
        <bgColor indexed="64"/>
      </patternFill>
    </fill>
    <fill>
      <patternFill patternType="solid">
        <fgColor rgb="FFFFFFCC"/>
        <bgColor indexed="64"/>
      </patternFill>
    </fill>
    <fill>
      <patternFill patternType="solid">
        <fgColor rgb="FFC4BD97"/>
        <bgColor indexed="64"/>
      </patternFill>
    </fill>
    <fill>
      <patternFill patternType="solid">
        <fgColor rgb="FFF4CEEC"/>
        <bgColor indexed="64"/>
      </patternFill>
    </fill>
    <fill>
      <patternFill patternType="solid">
        <fgColor rgb="FFA3D571"/>
        <bgColor indexed="64"/>
      </patternFill>
    </fill>
    <fill>
      <patternFill patternType="solid">
        <fgColor rgb="FF0EF0AA"/>
        <bgColor indexed="64"/>
      </patternFill>
    </fill>
    <fill>
      <patternFill patternType="solid">
        <fgColor rgb="FFFFCCCC"/>
        <bgColor indexed="64"/>
      </patternFill>
    </fill>
    <fill>
      <patternFill patternType="solid">
        <fgColor rgb="FFFF6699"/>
        <bgColor indexed="64"/>
      </patternFill>
    </fill>
    <fill>
      <patternFill patternType="solid">
        <fgColor rgb="FF9D86FE"/>
        <bgColor indexed="64"/>
      </patternFill>
    </fill>
    <fill>
      <patternFill patternType="solid">
        <fgColor rgb="FFCCFF66"/>
        <bgColor indexed="64"/>
      </patternFill>
    </fill>
    <fill>
      <patternFill patternType="solid">
        <fgColor rgb="FFCC99FF"/>
        <bgColor indexed="64"/>
      </patternFill>
    </fill>
    <fill>
      <patternFill patternType="solid">
        <fgColor rgb="FFEFEFEF"/>
        <bgColor indexed="64"/>
      </patternFill>
    </fill>
    <fill>
      <patternFill patternType="solid">
        <fgColor rgb="FF684C7C"/>
        <bgColor indexed="64"/>
      </patternFill>
    </fill>
    <fill>
      <patternFill patternType="solid">
        <fgColor rgb="FFD0C4DC"/>
        <bgColor indexed="64"/>
      </patternFill>
    </fill>
    <fill>
      <patternFill patternType="solid">
        <fgColor rgb="FF000000"/>
        <bgColor indexed="64"/>
      </patternFill>
    </fill>
  </fills>
  <borders count="15">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medium">
        <color auto="1"/>
      </top>
      <bottom/>
      <diagonal/>
    </border>
    <border>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1">
    <xf numFmtId="0" fontId="0" fillId="0" borderId="0"/>
  </cellStyleXfs>
  <cellXfs count="43">
    <xf numFmtId="0" fontId="0" fillId="0" borderId="0" pivotButton="0" quotePrefix="0" xfId="0"/>
    <xf numFmtId="0" fontId="1" fillId="2"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1" fillId="3" borderId="0" applyAlignment="1" pivotButton="0" quotePrefix="0" xfId="0">
      <alignment wrapText="1"/>
    </xf>
    <xf numFmtId="0" fontId="3" fillId="3" borderId="1" applyAlignment="1" pivotButton="0" quotePrefix="0" xfId="0">
      <alignment wrapText="1"/>
    </xf>
    <xf numFmtId="0" fontId="4" fillId="3" borderId="2" applyAlignment="1" pivotButton="0" quotePrefix="0" xfId="0">
      <alignment wrapText="1"/>
    </xf>
    <xf numFmtId="0" fontId="4" fillId="4" borderId="3" applyAlignment="1" pivotButton="0" quotePrefix="0" xfId="0">
      <alignment wrapText="1"/>
    </xf>
    <xf numFmtId="0" fontId="4" fillId="0" borderId="4" applyAlignment="1" pivotButton="0" quotePrefix="0" xfId="0">
      <alignment wrapText="1"/>
    </xf>
    <xf numFmtId="0" fontId="4" fillId="3" borderId="3" applyAlignment="1" pivotButton="0" quotePrefix="0" xfId="0">
      <alignment wrapText="1"/>
    </xf>
    <xf numFmtId="0" fontId="4" fillId="5" borderId="3" applyAlignment="1" pivotButton="0" quotePrefix="0" xfId="0">
      <alignment wrapText="1"/>
    </xf>
    <xf numFmtId="0" fontId="4" fillId="6" borderId="3" applyAlignment="1" pivotButton="0" quotePrefix="0" xfId="0">
      <alignment wrapText="1"/>
    </xf>
    <xf numFmtId="0" fontId="4" fillId="7" borderId="3" applyAlignment="1" pivotButton="0" quotePrefix="0" xfId="0">
      <alignment wrapText="1"/>
    </xf>
    <xf numFmtId="0" fontId="4" fillId="0" borderId="5" applyAlignment="1" pivotButton="0" quotePrefix="0" xfId="0">
      <alignment wrapText="1"/>
    </xf>
    <xf numFmtId="0" fontId="4" fillId="0" borderId="6" applyAlignment="1" pivotButton="0" quotePrefix="0" xfId="0">
      <alignment wrapText="1"/>
    </xf>
    <xf numFmtId="0" fontId="4" fillId="0" borderId="7" applyAlignment="1" pivotButton="0" quotePrefix="0" xfId="0">
      <alignment wrapText="1"/>
    </xf>
    <xf numFmtId="0" fontId="5" fillId="0" borderId="0" applyAlignment="1" pivotButton="0" quotePrefix="0" xfId="0">
      <alignment wrapText="1"/>
    </xf>
    <xf numFmtId="0" fontId="3" fillId="0" borderId="8" applyAlignment="1" pivotButton="0" quotePrefix="0" xfId="0">
      <alignment horizontal="center" vertical="center" wrapText="1"/>
    </xf>
    <xf numFmtId="0" fontId="3" fillId="0" borderId="8" applyAlignment="1" pivotButton="0" quotePrefix="0" xfId="0">
      <alignment horizontal="center" vertical="center"/>
    </xf>
    <xf numFmtId="0" fontId="0" fillId="0" borderId="0" applyAlignment="1" applyProtection="1" pivotButton="0" quotePrefix="0" xfId="0">
      <alignment vertical="center" wrapText="1"/>
      <protection locked="1" hidden="1"/>
    </xf>
    <xf numFmtId="0" fontId="6" fillId="0" borderId="0" applyAlignment="1" applyProtection="1" pivotButton="0" quotePrefix="0" xfId="0">
      <alignment vertical="center" wrapText="1"/>
      <protection locked="1" hidden="1"/>
    </xf>
    <xf numFmtId="0" fontId="0" fillId="0" borderId="0" applyProtection="1" pivotButton="0" quotePrefix="0" xfId="0">
      <protection locked="0" hidden="0"/>
    </xf>
    <xf numFmtId="0" fontId="3" fillId="8" borderId="8" pivotButton="0" quotePrefix="0" xfId="0"/>
    <xf numFmtId="0" fontId="3" fillId="9" borderId="8" pivotButton="0" quotePrefix="0" xfId="0"/>
    <xf numFmtId="0" fontId="3" fillId="10" borderId="8" pivotButton="0" quotePrefix="0" xfId="0"/>
    <xf numFmtId="0" fontId="3" fillId="11" borderId="8" pivotButton="0" quotePrefix="0" xfId="0"/>
    <xf numFmtId="0" fontId="3" fillId="12" borderId="8" pivotButton="0" quotePrefix="0" xfId="0"/>
    <xf numFmtId="0" fontId="3" fillId="13" borderId="8" pivotButton="0" quotePrefix="0" xfId="0"/>
    <xf numFmtId="0" fontId="3" fillId="14" borderId="8" pivotButton="0" quotePrefix="0" xfId="0"/>
    <xf numFmtId="0" fontId="3" fillId="15" borderId="8" pivotButton="0" quotePrefix="0" xfId="0"/>
    <xf numFmtId="0" fontId="3" fillId="16" borderId="8" pivotButton="0" quotePrefix="0" xfId="0"/>
    <xf numFmtId="0" fontId="0" fillId="17" borderId="9" applyAlignment="1" pivotButton="0" quotePrefix="0" xfId="0">
      <alignment horizontal="center" vertical="top" wrapText="1"/>
    </xf>
    <xf numFmtId="0" fontId="7" fillId="18" borderId="8" applyAlignment="1" pivotButton="0" quotePrefix="0" xfId="0">
      <alignment horizontal="center" vertical="center"/>
    </xf>
    <xf numFmtId="0" fontId="3" fillId="19" borderId="8" applyAlignment="1" pivotButton="0" quotePrefix="0" xfId="0">
      <alignment horizontal="center" vertical="center"/>
    </xf>
    <xf numFmtId="0" fontId="3" fillId="0" borderId="9" applyAlignment="1" pivotButton="0" quotePrefix="0" xfId="0">
      <alignment horizontal="center" vertical="top" wrapText="1"/>
    </xf>
    <xf numFmtId="0" fontId="6" fillId="0" borderId="9" applyAlignment="1" pivotButton="0" quotePrefix="0" xfId="0">
      <alignment horizontal="center" vertical="top" wrapText="1"/>
    </xf>
    <xf numFmtId="0" fontId="8" fillId="20" borderId="9" applyAlignment="1" pivotButton="0" quotePrefix="0" xfId="0">
      <alignment horizontal="center"/>
    </xf>
    <xf numFmtId="0" fontId="0" fillId="3" borderId="10" applyProtection="1" pivotButton="0" quotePrefix="0" xfId="0">
      <protection locked="0" hidden="0"/>
    </xf>
    <xf numFmtId="0" fontId="0" fillId="0" borderId="0" applyProtection="1" pivotButton="0" quotePrefix="0" xfId="0">
      <protection locked="1" hidden="1"/>
    </xf>
    <xf numFmtId="0" fontId="6" fillId="19" borderId="9" applyAlignment="1" pivotButton="0" quotePrefix="0" xfId="0">
      <alignment horizontal="center" vertical="center" wrapText="1"/>
    </xf>
    <xf numFmtId="0" fontId="0" fillId="0" borderId="13" pivotButton="0" quotePrefix="0" xfId="0"/>
    <xf numFmtId="0" fontId="0" fillId="0" borderId="14" pivotButton="0" quotePrefix="0" xfId="0"/>
  </cellXfs>
  <cellStyles count="1">
    <cellStyle name="Normal" xfId="0" builtinId="0"/>
  </cellStyles>
  <dxfs count="12">
    <dxf>
      <fill>
        <patternFill>
          <bgColor rgb="FFFF484F"/>
        </patternFill>
      </fill>
    </dxf>
    <dxf>
      <fill>
        <patternFill>
          <bgColor rgb="FFFFABA7"/>
        </patternFill>
      </fill>
    </dxf>
    <dxf>
      <fill>
        <patternFill>
          <bgColor rgb="FFFFFFCC"/>
        </patternFill>
      </fill>
    </dxf>
    <dxf>
      <fill>
        <patternFill>
          <bgColor rgb="FFD9D9D9"/>
        </patternFill>
      </fill>
    </dxf>
    <dxf>
      <font>
        <color rgb="FF000000"/>
      </font>
      <fill>
        <patternFill>
          <bgColor rgb="FFB7E2CD"/>
        </patternFill>
      </fill>
    </dxf>
    <dxf>
      <font>
        <color rgb="FF0000FF"/>
        <u val="single"/>
      </font>
      <fill>
        <patternFill>
          <bgColor rgb="FFF4C7C3"/>
        </patternFill>
      </fill>
    </dxf>
    <dxf>
      <font>
        <color rgb="FF0000FF"/>
        <u val="single"/>
      </font>
      <fill>
        <patternFill>
          <bgColor rgb="FFFFFFCC"/>
        </patternFill>
      </fill>
    </dxf>
    <dxf>
      <fill>
        <patternFill>
          <bgColor rgb="FFD8D8D8"/>
        </patternFill>
      </fill>
      <border>
        <left style="thin">
          <color rgb="FF000000"/>
        </left>
        <right style="thin">
          <color rgb="FF000000"/>
        </right>
        <top style="thin">
          <color rgb="FF000000"/>
        </top>
        <bottom style="thin">
          <color rgb="FF000000"/>
        </bottom>
        <vertical/>
        <horizontal/>
      </border>
    </dxf>
    <dxf>
      <fill>
        <patternFill>
          <bgColor rgb="FFEEECE1"/>
        </patternFill>
      </fill>
      <border>
        <left style="thin">
          <color rgb="FF000000"/>
        </left>
        <right style="thin">
          <color rgb="FF000000"/>
        </right>
        <top style="thin">
          <color rgb="FF000000"/>
        </top>
        <bottom style="thin">
          <color rgb="FF000000"/>
        </bottom>
        <vertical/>
        <horizontal/>
      </border>
    </dxf>
    <dxf>
      <fill>
        <patternFill>
          <bgColor rgb="FFFF484F"/>
        </patternFill>
      </fill>
      <border>
        <left style="thin">
          <color rgb="FF808080"/>
        </left>
        <right style="thin">
          <color rgb="FF808080"/>
        </right>
        <top style="thin">
          <color rgb="FF808080"/>
        </top>
        <bottom style="thin">
          <color rgb="FF808080"/>
        </bottom>
        <vertical/>
        <horizontal/>
      </border>
    </dxf>
    <dxf>
      <fill>
        <patternFill>
          <bgColor rgb="FFFFFFCC"/>
        </patternFill>
      </fill>
      <border>
        <left style="thin">
          <color rgb="FF808080"/>
        </left>
        <right style="thin">
          <color rgb="FF808080"/>
        </right>
        <top style="thin">
          <color rgb="FF808080"/>
        </top>
        <bottom style="thin">
          <color rgb="FF808080"/>
        </bottom>
        <vertical/>
        <horizontal/>
      </border>
    </dxf>
    <dxf>
      <fill>
        <patternFill>
          <bgColor rgb="FFFFABA7"/>
        </patternFill>
      </fill>
      <border>
        <left style="thin">
          <color rgb="FF808080"/>
        </left>
        <right style="thin">
          <color rgb="FF808080"/>
        </right>
        <top style="thin">
          <color rgb="FF808080"/>
        </top>
        <bottom style="thin">
          <color rgb="FF808080"/>
        </bottom>
        <vertical/>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2.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3.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4.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5.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6.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7.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8.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9.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10.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11.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12.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13.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14.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15.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artners.wayfair.com/help/2/article/3221" TargetMode="External" Id="rId1" /></Relationships>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4.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5.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6.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7.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8.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sheet1.xml><?xml version="1.0" encoding="utf-8"?>
<worksheet xmlns="http://schemas.openxmlformats.org/spreadsheetml/2006/main">
  <sheetPr>
    <outlinePr summaryBelow="1" summaryRight="1"/>
    <pageSetUpPr/>
  </sheetPr>
  <dimension ref="A1:D45"/>
  <sheetViews>
    <sheetView showGridLines="0" tabSelected="1" workbookViewId="0">
      <selection activeCell="A1" sqref="A1"/>
    </sheetView>
  </sheetViews>
  <sheetFormatPr baseColWidth="8" defaultRowHeight="15"/>
  <cols>
    <col width="149.5703125" bestFit="1" customWidth="1" min="1" max="1"/>
    <col width="15.5703125" bestFit="1" customWidth="1" min="3" max="3"/>
    <col width="105" bestFit="1" customWidth="1" min="4" max="4"/>
  </cols>
  <sheetData>
    <row r="1">
      <c r="A1" s="1" t="inlineStr">
        <is>
          <t>New Features</t>
        </is>
      </c>
      <c r="D1" s="2" t="inlineStr">
        <is>
          <t>For Mandarin translations of product questions, please click here. All answer inputs should still be provided in English.
点击此处查看所有产品相关问题的中文翻译。</t>
        </is>
      </c>
    </row>
    <row r="2">
      <c r="A2" s="3" t="inlineStr">
        <is>
          <t>Variant Grouping</t>
        </is>
      </c>
    </row>
    <row r="3">
      <c r="A3" s="4" t="inlineStr">
        <is>
          <t>If you have indicated that you will provide variant grouping data via template settings, additional columns for variant grouping information have been added to the class</t>
        </is>
      </c>
      <c r="C3" s="5" t="inlineStr">
        <is>
          <t>Legends</t>
        </is>
      </c>
      <c r="D3" s="5" t="n"/>
    </row>
    <row r="4">
      <c r="A4" s="4" t="inlineStr">
        <is>
          <t>sheet. Enter a common identifier to indicate which part numbers should be grouped together, select attribute(s) to group variants by (or enter custom category if</t>
        </is>
      </c>
      <c r="C4" s="6" t="inlineStr">
        <is>
          <t>Cell Fill Colors</t>
        </is>
      </c>
      <c r="D4" s="7" t="n"/>
    </row>
    <row r="5">
      <c r="A5" s="4" t="inlineStr">
        <is>
          <t>desired category is not included in the dropdown), and provide corresponding variant attribute. Groupings that violate Wayfair's Do Not Join rules will be excluded.</t>
        </is>
      </c>
      <c r="C5" s="8" t="inlineStr">
        <is>
          <t>Light Red</t>
        </is>
      </c>
      <c r="D5" s="9" t="inlineStr">
        <is>
          <t>Missing required data</t>
        </is>
      </c>
    </row>
    <row r="6">
      <c r="A6" s="4" t="inlineStr">
        <is>
          <t>If Wayfair detects additional variants, products will be grouped further after submission.</t>
        </is>
      </c>
      <c r="C6" s="10" t="inlineStr">
        <is>
          <t>Gray</t>
        </is>
      </c>
      <c r="D6" s="9" t="inlineStr">
        <is>
          <t>Not required/will be autofilled*</t>
        </is>
      </c>
    </row>
    <row r="7">
      <c r="C7" s="11" t="inlineStr">
        <is>
          <t>Red</t>
        </is>
      </c>
      <c r="D7" s="9" t="inlineStr">
        <is>
          <t>Error/incorrect answer</t>
        </is>
      </c>
    </row>
    <row r="8">
      <c r="A8" s="5" t="inlineStr">
        <is>
          <t>Class Sheet Instructions</t>
        </is>
      </c>
      <c r="C8" s="12" t="inlineStr">
        <is>
          <t>Blue</t>
        </is>
      </c>
      <c r="D8" s="9" t="inlineStr">
        <is>
          <t>Autofill suggested by Wayfair (review needed)</t>
        </is>
      </c>
    </row>
    <row r="9">
      <c r="A9" s="3" t="inlineStr">
        <is>
          <t>Conditional Formatting</t>
        </is>
      </c>
      <c r="C9" s="13" t="inlineStr">
        <is>
          <t>Yellow</t>
        </is>
      </c>
      <c r="D9" s="9" t="inlineStr">
        <is>
          <t>Warning</t>
        </is>
      </c>
    </row>
    <row r="10">
      <c r="A10" s="4" t="inlineStr">
        <is>
          <t>Some answers to questions on the spec sheet are dependent on upstream responses, whether they are related to attributes like material type, existence of features</t>
        </is>
      </c>
      <c r="C10" s="14" t="inlineStr">
        <is>
          <t>No fill</t>
        </is>
      </c>
      <c r="D10" s="15" t="inlineStr">
        <is>
          <t>Validated/no action required</t>
        </is>
      </c>
    </row>
    <row r="11">
      <c r="A11" s="4" t="inlineStr">
        <is>
          <t>or compliance. Real-time cell coloring per the legend indicates whether an input is required, has an error or has a conditional rule applied.</t>
        </is>
      </c>
      <c r="D11" s="4" t="inlineStr">
        <is>
          <t>* For products that have already been submitted, the entire row will be filled gray and cannot be edited further</t>
        </is>
      </c>
    </row>
    <row r="12">
      <c r="A12" s="3" t="inlineStr">
        <is>
          <t>Error Guidance</t>
        </is>
      </c>
    </row>
    <row r="13">
      <c r="A13" s="4" t="inlineStr">
        <is>
          <t>Errors are highlighted on the Error Summary Tab which shows a summary of all errors across all sheets with high level details and hyperlinks to the corresponding</t>
        </is>
      </c>
      <c r="C13" s="6" t="inlineStr">
        <is>
          <t>Data Priority</t>
        </is>
      </c>
      <c r="D13" s="7" t="n"/>
    </row>
    <row r="14">
      <c r="A14" s="4" t="inlineStr">
        <is>
          <t>cell where the error occurred. Additionally, a new Error Status Column at the beginning of each class sheet will show the status of each row and will display the first error</t>
        </is>
      </c>
      <c r="C14" s="16" t="inlineStr">
        <is>
          <t>Required</t>
        </is>
      </c>
      <c r="D14" s="9" t="inlineStr">
        <is>
          <t>Data required for product to be live on site</t>
        </is>
      </c>
    </row>
    <row r="15">
      <c r="A15" s="4" t="inlineStr">
        <is>
          <t>error message in that row, and will update as errors are resolved from left to right.</t>
        </is>
      </c>
      <c r="C15" s="16" t="inlineStr">
        <is>
          <t>Recommended</t>
        </is>
      </c>
      <c r="D15" s="9" t="inlineStr">
        <is>
          <t>Not required but recommended to improve search and browse</t>
        </is>
      </c>
    </row>
    <row r="16">
      <c r="C16" s="16" t="inlineStr">
        <is>
          <t>Additional</t>
        </is>
      </c>
      <c r="D16" s="9" t="inlineStr">
        <is>
          <t>Optional but enhances listings for customers</t>
        </is>
      </c>
    </row>
    <row r="17">
      <c r="A17" s="4" t="inlineStr">
        <is>
          <t>All data provided in the class sheet feeds directly to the customer-facing Product Details Page (PDP), optimizes search and enables order fulfillment. Please ensure the</t>
        </is>
      </c>
      <c r="C17" s="14" t="inlineStr">
        <is>
          <t>Conditional</t>
        </is>
      </c>
      <c r="D17" s="15" t="inlineStr">
        <is>
          <t>Data may be required based on prior responses</t>
        </is>
      </c>
    </row>
    <row r="18">
      <c r="A18" s="4" t="inlineStr">
        <is>
          <t>data provided is accurate and as detailed as possible.</t>
        </is>
      </c>
    </row>
    <row r="19">
      <c r="A19" s="17" t="inlineStr">
        <is>
          <t>Notes:</t>
        </is>
      </c>
      <c r="C19" s="6" t="inlineStr">
        <is>
          <t>Data Type</t>
        </is>
      </c>
      <c r="D19" s="7" t="n"/>
    </row>
    <row r="20">
      <c r="A20" s="4" t="inlineStr">
        <is>
          <t xml:space="preserve">  •  Column headers provide additional information on the data required for each column.</t>
        </is>
      </c>
      <c r="C20" s="16" t="inlineStr">
        <is>
          <t>Text</t>
        </is>
      </c>
      <c r="D20" s="9" t="inlineStr">
        <is>
          <t>Enter a text-based response</t>
        </is>
      </c>
    </row>
    <row r="21">
      <c r="A21" s="4" t="inlineStr">
        <is>
          <t xml:space="preserve">  •  Completing Recommended and Additional fields further enhances the customer experience and improves the quality of listings for better product discovery.</t>
        </is>
      </c>
      <c r="C21" s="16" t="inlineStr">
        <is>
          <t>Single-Select</t>
        </is>
      </c>
      <c r="D21" s="9" t="inlineStr">
        <is>
          <t>Select one option from a list of provided options (listed in a dropdown on the cell)</t>
        </is>
      </c>
    </row>
    <row r="22">
      <c r="A22" s="4" t="inlineStr">
        <is>
          <t xml:space="preserve">  •  Marketing Copy should provide a compelling, informative overview of the product, ensuring it effectively highlights key features, benefits, and use cases.</t>
        </is>
      </c>
      <c r="C22" s="16" t="inlineStr">
        <is>
          <t>Multi-Select</t>
        </is>
      </c>
      <c r="D22" s="9" t="inlineStr">
        <is>
          <t>Enter one or more options from a list of provided options, separated using a semi-colon (;)</t>
        </is>
      </c>
    </row>
    <row r="23">
      <c r="A23" s="4" t="inlineStr">
        <is>
          <t xml:space="preserve">       Incorporating comprehensive, descriptive language will enable future enhancements for capturing and improving product tagging.</t>
        </is>
      </c>
      <c r="C23" s="16" t="inlineStr">
        <is>
          <t>Number*</t>
        </is>
      </c>
      <c r="D23" s="9" t="inlineStr">
        <is>
          <t>Enter a decimal numeric response with up to 2 decimal points</t>
        </is>
      </c>
    </row>
    <row r="24">
      <c r="A24" s="4" t="inlineStr">
        <is>
          <t xml:space="preserve">       ◦  Provide key selling point(s)/feature(s) that differentiate your product and inform customers about your product and encourage purchase.</t>
        </is>
      </c>
      <c r="C24" s="16" t="inlineStr">
        <is>
          <t>Whole Number*</t>
        </is>
      </c>
      <c r="D24" s="9" t="inlineStr">
        <is>
          <t>Enter an integer (whole number) numeric response</t>
        </is>
      </c>
    </row>
    <row r="25">
      <c r="A25" s="4" t="inlineStr">
        <is>
          <t xml:space="preserve">       ◦  Either Marketing Copy OR at least 3 Feature Bullets are required. Feature bullets will be displayed on Wayfair PDP in bulleted form.</t>
        </is>
      </c>
      <c r="C25" s="14" t="inlineStr">
        <is>
          <t>Yes or No</t>
        </is>
      </c>
      <c r="D25" s="15" t="inlineStr">
        <is>
          <t>Enter a Yes, No or Does Not Apply response (listed in a dropdown on the cell)</t>
        </is>
      </c>
    </row>
    <row r="26">
      <c r="A26" s="4" t="inlineStr">
        <is>
          <t xml:space="preserve">  •  The order in which media is input may not be reflected in order of imagery on the product page.</t>
        </is>
      </c>
      <c r="D26" s="4" t="inlineStr">
        <is>
          <t>* Does Not Apply is a valid response when applicable</t>
        </is>
      </c>
    </row>
    <row r="27">
      <c r="A27" s="4" t="inlineStr">
        <is>
          <t xml:space="preserve">  •  If all products in a class have the same answer to a question, a default value can be set. An answer entered in the Default Answer row will be applied to all products</t>
        </is>
      </c>
    </row>
    <row r="28">
      <c r="A28" s="4" t="inlineStr">
        <is>
          <t xml:space="preserve">      in that class automatically. Additional products added to this class in the future will have the same default value applied as well. For any products that have a</t>
        </is>
      </c>
    </row>
    <row r="29">
      <c r="A29" s="4" t="inlineStr">
        <is>
          <t xml:space="preserve">      different answer than others in the class, enter the answer manually to the applicable row to bypass the default just for that question and product.</t>
        </is>
      </c>
    </row>
    <row r="31">
      <c r="A31" s="5" t="inlineStr">
        <is>
          <t>Additional Tabs Instructions</t>
        </is>
      </c>
    </row>
    <row r="32">
      <c r="A32" s="3" t="inlineStr">
        <is>
          <t>Additional Cartons</t>
        </is>
      </c>
    </row>
    <row r="33">
      <c r="A33" s="4" t="inlineStr">
        <is>
          <t>If a product ships in more than 5 cartons, use the Additional Cartons tab to submit data for cartons 6 and beyond. To add additional cartons, provide the Supplier Part</t>
        </is>
      </c>
    </row>
    <row r="34">
      <c r="A34" s="4" t="inlineStr">
        <is>
          <t>Number followed by corresponding data for each carton.</t>
        </is>
      </c>
    </row>
    <row r="35">
      <c r="A35" s="3" t="inlineStr">
        <is>
          <t>Additional Chemicals</t>
        </is>
      </c>
    </row>
    <row r="36">
      <c r="A36" s="4" t="inlineStr">
        <is>
          <t>If your product contains more than 5 chemicals that need to be reported for Proposition 65, use the Additional Chemicals tab to add additional data.</t>
        </is>
      </c>
    </row>
    <row r="37">
      <c r="A37" s="3" t="inlineStr">
        <is>
          <t>Additional Media</t>
        </is>
      </c>
    </row>
    <row r="38">
      <c r="A38" s="4" t="inlineStr">
        <is>
          <t>If a product has more media files than there are columns for in the class sheet, use the Additional Images, Videos or Documents tabs to add additional data.</t>
        </is>
      </c>
    </row>
    <row r="39">
      <c r="A39" s="17" t="inlineStr">
        <is>
          <t>Notes:</t>
        </is>
      </c>
    </row>
    <row r="40">
      <c r="A40" s="4" t="inlineStr">
        <is>
          <t xml:space="preserve">  •  A maximum of 3 videos can be shown on a product display page in the media tray. Additional videos can be showcased within Waymore content.</t>
        </is>
      </c>
    </row>
    <row r="41">
      <c r="A41" s="3" t="inlineStr">
        <is>
          <t>Valid Values</t>
        </is>
      </c>
    </row>
    <row r="42">
      <c r="A42" s="4" t="inlineStr">
        <is>
          <t>The Valid Values tab shows all acceptable answers to single- and multi-select questions. Hyperlinks below each column header will bring you to the corresponding</t>
        </is>
      </c>
    </row>
    <row r="43">
      <c r="A43" s="4" t="inlineStr">
        <is>
          <t>values list on this tab.</t>
        </is>
      </c>
    </row>
    <row r="44">
      <c r="A44" s="3" t="inlineStr">
        <is>
          <t>Failed Products</t>
        </is>
      </c>
    </row>
    <row r="45">
      <c r="A45" s="4" t="inlineStr">
        <is>
          <t>The Failed Products tab will only show if products in your template failed to upload. These products will need to be added to a new template and uploaded again.</t>
        </is>
      </c>
    </row>
  </sheetData>
  <sheetProtection selectLockedCells="0" selectUnlockedCells="0" sheet="1" objects="1" insertRows="1" insertHyperlinks="1" autoFilter="1" scenarios="1" formatColumns="1" deleteColumns="1" insertColumns="1" pivotTables="1" deleteRows="1" formatCells="1" formatRows="1" sort="1" password="B33F"/>
  <hyperlinks>
    <hyperlink xmlns:r="http://schemas.openxmlformats.org/officeDocument/2006/relationships" ref="D1"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6002"/>
  <sheetViews>
    <sheetView workbookViewId="0">
      <selection activeCell="A1" sqref="A1"/>
    </sheetView>
  </sheetViews>
  <sheetFormatPr baseColWidth="8" defaultRowHeight="15"/>
  <cols>
    <col width="30.7109375" customWidth="1" min="1" max="2"/>
    <col width="20.7109375" customWidth="1" min="3" max="3"/>
    <col width="30.7109375" customWidth="1" min="4" max="6"/>
    <col width="50.7109375" customWidth="1" min="7" max="8"/>
    <col hidden="1" min="10" max="10"/>
  </cols>
  <sheetData>
    <row r="1" ht="50" customHeight="1">
      <c r="A1" s="18" t="inlineStr">
        <is>
          <t>This Error Summary tab lists all errors and warnings in the spec sheet. Each entry includes a link to the specific cell and detailed information about the issue.</t>
        </is>
      </c>
      <c r="B1" s="41" t="n"/>
      <c r="C1" s="41" t="n"/>
      <c r="D1" s="41" t="n"/>
      <c r="E1" s="41" t="n"/>
      <c r="F1" s="41" t="n"/>
      <c r="G1" s="41" t="n"/>
      <c r="H1" s="42" t="n"/>
    </row>
    <row r="2" ht="50" customHeight="1">
      <c r="A2" s="19" t="inlineStr">
        <is>
          <t>Status</t>
        </is>
      </c>
      <c r="B2" s="19" t="inlineStr">
        <is>
          <t>Location</t>
        </is>
      </c>
      <c r="C2" s="19" t="inlineStr">
        <is>
          <t>Sheet Name</t>
        </is>
      </c>
      <c r="D2" s="19" t="inlineStr">
        <is>
          <t>Supplier Part Number</t>
        </is>
      </c>
      <c r="E2" s="19" t="inlineStr">
        <is>
          <t>Product Name</t>
        </is>
      </c>
      <c r="F2" s="19" t="inlineStr">
        <is>
          <t>Field</t>
        </is>
      </c>
      <c r="G2" s="19" t="inlineStr">
        <is>
          <t>Provided Answer</t>
        </is>
      </c>
      <c r="H2" s="19" t="inlineStr">
        <is>
          <t>Error Message</t>
        </is>
      </c>
    </row>
    <row r="3">
      <c r="A3" s="20">
        <f t="array" ref="A3">_xlfn.LET(_xlpm.class3Data, GetSheetStatusData(Class3Tracker, Class3Errors), _xlpm.class6Data, GetSheetStatusData(Class6Tracker, Class6Errors), _xlpm.class10Data, GetSheetStatusData(Class10Tracker, Class10Errors), _xlpm.class13Data, GetSheetStatusData(Class13Tracker, Class13Errors), _xlpm.class12Data, GetSheetStatusData(Class12Tracker, Class12Errors), _xlpm.shippingAndFulfillment__cartonsData, GetSheetStatusData(shippingAndFulfillment__cartonsTracker, shippingAndFulfillment__cartonsErrors), _xlpm.propSixtyFive__chemicalsData, GetSheetStatusData(propSixtyFive__chemicalsTracker, propSixtyFive__chemicalsErrors), _xlpm.media__imagesData, GetSheetStatusData(media__imagesTracker, media__imagesErrors), _xlpm.media__videosData, GetSheetStatusData(media__videosTracker, media__videosErrors), _xlpm.media__documentsData, GetSheetStatusData(media__documentsTracker, media__documentsErrors), _xlpm.stackedData, _xlfn.VSTACK(_xlpm.class3Data, _xlpm.class6Data, _xlpm.class10Data, _xlpm.class13Data, _xlpm.class12Data, _xlpm.shippingAndFulfillment__cartonsData, _xlpm.propSixtyFive__chemicalsData, _xlpm.media__imagesData, _xlpm.media__videosData, _xlpm.media__documentsData), _xlfn._xlws.FILTER(_xlpm.stackedData, _xlpm.stackedData&lt;&gt;"", ""))</f>
        <v/>
      </c>
      <c r="B3" s="21">
        <f>IF(AND(C3&lt;&gt;"", J3&lt;&gt;""), HYPERLINK("#'" &amp; C3 &amp; "'!" &amp; J3, J3), "")</f>
        <v/>
      </c>
      <c r="C3" s="20">
        <f t="array" ref="C3">_xlfn.LET(_xlpm.class3Data, GetSheetNameData(Class3Tracker, Class3Errors, "3 - Carts &amp; Stands"), _xlpm.class6Data, GetSheetNameData(Class6Tracker, Class6Errors, "6 - TV Stands &amp; Enterta"), _xlpm.class10Data, GetSheetNameData(Class10Tracker, Class10Errors, "10 - Office Chairs"), _xlpm.class13Data, GetSheetNameData(Class13Tracker, Class13Errors, "13 - Dressers &amp; Chests"), _xlpm.class12Data, GetSheetNameData(Class12Tracker, Class12Errors, "12 - Beds"), _xlpm.shippingAndFulfillment__cartonsData, GetSheetNameData(shippingAndFulfillment__cartonsTracker, shippingAndFulfillment__cartonsErrors, "Additional Cartons"), _xlpm.propSixtyFive__chemicalsData, GetSheetNameData(propSixtyFive__chemicalsTracker, propSixtyFive__chemicalsErrors, "Additional Chemicals"), _xlpm.media__imagesData, GetSheetNameData(media__imagesTracker, media__imagesErrors, "Additional Images"), _xlpm.media__videosData, GetSheetNameData(media__videosTracker, media__videosErrors, "Additional Videos"), _xlpm.media__documentsData, GetSheetNameData(media__documentsTracker, media__documentsErrors, "Additional Documents"), _xlpm.stackedData, _xlfn.VSTACK(_xlpm.class3Data, _xlpm.class6Data, _xlpm.class10Data, _xlpm.class13Data, _xlpm.class12Data, _xlpm.shippingAndFulfillment__cartonsData, _xlpm.propSixtyFive__chemicalsData, _xlpm.media__imagesData, _xlpm.media__videosData, _xlpm.media__documentsData), _xlfn._xlws.FILTER(_xlpm.stackedData, _xlpm.stackedData&lt;&gt;"", ""))</f>
        <v/>
      </c>
      <c r="D3" s="20">
        <f t="array" ref="D3">_xlfn.LET(_xlpm.class3PartNumbers, GetSheetSupplierPartNumbers(Class3Tracker, Class3Errors, '3 - Carts &amp; Stands'!B:B), _xlpm.class6PartNumbers, GetSheetSupplierPartNumbers(Class6Tracker, Class6Errors, '6 - TV Stands &amp; Enterta'!B:B), _xlpm.class10PartNumbers, GetSheetSupplierPartNumbers(Class10Tracker, Class10Errors, '10 - Office Chairs'!B:B), _xlpm.class13PartNumbers, GetSheetSupplierPartNumbers(Class13Tracker, Class13Errors, '13 - Dressers &amp; Chests'!B:B), _xlpm.class12PartNumbers, GetSheetSupplierPartNumbers(Class12Tracker, Class12Errors, '12 - Beds'!B:B), _xlpm.shippingAndFulfillment__cartonsPartNumbers, GetSheetSupplierPartNumbers(shippingAndFulfillment__cartonsTracker, shippingAndFulfillment__cartonsErrors, 'Additional Cartons'!B:B), _xlpm.propSixtyFive__chemicalsPartNumbers, GetSheetSupplierPartNumbers(propSixtyFive__chemicalsTracker, propSixtyFive__chemicalsErrors, 'Additional Chemicals'!B:B), _xlpm.media__imagesPartNumbers, GetSheetSupplierPartNumbers(media__imagesTracker, media__imagesErrors, 'Additional Images'!B:B), _xlpm.media__videosPartNumbers, GetSheetSupplierPartNumbers(media__videosTracker, media__videosErrors, 'Additional Videos'!B:B), _xlpm.media__documentsPartNumbers, GetSheetSupplierPartNumbers(media__documentsTracker, media__documentsErrors, 'Additional Documents'!B:B), _xlpm.stackedPartNumbers, _xlfn.VSTACK(_xlpm.class3PartNumbers, _xlpm.class6PartNumbers, _xlpm.class10PartNumbers, _xlpm.class13PartNumbers, _xlpm.class12PartNumbers, _xlpm.shippingAndFulfillment__cartonsPartNumbers, _xlpm.propSixtyFive__chemicalsPartNumbers, _xlpm.media__imagesPartNumbers, _xlpm.media__videosPartNumbers, _xlpm.media__documentsPartNumbers), _xlfn._xlws.FILTER(_xlpm.stackedPartNumbers, _xlpm.stackedPartNumbers&lt;&gt;"", ""))</f>
        <v/>
      </c>
      <c r="E3" s="20">
        <f t="array" ref="E3">_xlfn.LET(_xlpm.class3ProductNames, GetSheetProductNames(Class3Tracker, Class3Errors, '3 - Carts &amp; Stands'!G:G), _xlpm.class6ProductNames, GetSheetProductNames(Class6Tracker, Class6Errors, '6 - TV Stands &amp; Enterta'!G:G), _xlpm.class10ProductNames, GetSheetProductNames(Class10Tracker, Class10Errors, '10 - Office Chairs'!G:G), _xlpm.class13ProductNames, GetSheetProductNames(Class13Tracker, Class13Errors, '13 - Dressers &amp; Chests'!G:G), _xlpm.class12ProductNames, GetSheetProductNames(Class12Tracker, Class12Errors, '12 - Beds'!G:G), _xlpm.shippingAndFulfillment__cartonsProductNames, GetSheetProductNames(shippingAndFulfillment__cartonsTracker, shippingAndFulfillment__cartonsErrors, 'Additional Cartons'!Z:Z), _xlpm.propSixtyFive__chemicalsProductNames, GetSheetProductNames(propSixtyFive__chemicalsTracker, propSixtyFive__chemicalsErrors, 'Additional Chemicals'!Z:Z), _xlpm.media__imagesProductNames, GetSheetProductNames(media__imagesTracker, media__imagesErrors, 'Additional Images'!Z:Z), _xlpm.media__videosProductNames, GetSheetProductNames(media__videosTracker, media__videosErrors, 'Additional Videos'!Z:Z), _xlpm.media__documentsProductNames, GetSheetProductNames(media__documentsTracker, media__documentsErrors, 'Additional Documents'!Z:Z), _xlpm.stackedProductNames, _xlfn.VSTACK(_xlpm.class3ProductNames, _xlpm.class6ProductNames, _xlpm.class10ProductNames, _xlpm.class13ProductNames, _xlpm.class12ProductNames, _xlpm.shippingAndFulfillment__cartonsProductNames, _xlpm.propSixtyFive__chemicalsProductNames, _xlpm.media__imagesProductNames, _xlpm.media__videosProductNames, _xlpm.media__documentsProductNames), _xlfn._xlws.FILTER(_xlpm.stackedProductNames, _xlpm.stackedProductNames&lt;&gt;"EMPTY_ERROR", ""))</f>
        <v/>
      </c>
      <c r="F3" s="20">
        <f t="array" ref="F3">_xlfn.LET(
                                     _xlpm.class3QuestionDisplayNames, GetErrorQuestionDisplayNames(Class3Headers, Class3Tracker, Class3Errors)
                , 
                                     _xlpm.class6QuestionDisplayNames, GetErrorQuestionDisplayNames(Class6Headers, Class6Tracker, Class6Errors)
                , 
                                     _xlpm.class10QuestionDisplayNames, GetErrorQuestionDisplayNames(Class10Headers, Class10Tracker, Class10Errors)
                , 
                                     _xlpm.class13QuestionDisplayNames, GetErrorQuestionDisplayNames(Class13Headers, Class13Tracker, Class13Errors)
                , 
                                     _xlpm.class12QuestionDisplayNames, GetErrorQuestionDisplayNames(Class12Headers, Class12Tracker, Class12Errors)
                , 
                                     _xlpm.shippingAndFulfillment__cartonsQuestionDisplayNames, GetErrorQuestionDisplayNames(shippingAndFulfillment__cartonsHeaders, shippingAndFulfillment__cartonsTracker, shippingAndFulfillment__cartonsErrors)
                , 
                                     _xlpm.propSixtyFive__chemicalsQuestionDisplayNames, GetErrorQuestionDisplayNames(propSixtyFive__chemicalsHeaders, propSixtyFive__chemicalsTracker, propSixtyFive__chemicalsErrors)
                , 
                                     _xlpm.media__imagesQuestionDisplayNames, GetErrorQuestionDisplayNames(media__imagesHeaders, media__imagesTracker, media__imagesErrors)
                , 
                                     _xlpm.media__videosQuestionDisplayNames, GetErrorQuestionDisplayNames(media__videosHeaders, media__videosTracker, media__videosErrors)
                , 
                                     _xlpm.media__documentsQuestionDisplayNames, GetErrorQuestionDisplayNames(media__documentsHeaders, media__documentsTracker, media__documentsErrors)
                , _xlpm.stackedQuestionDisplayNames, _xlfn.VSTACK(_xlpm.class3QuestionDisplayNames, _xlpm.class6QuestionDisplayNames, _xlpm.class10QuestionDisplayNames, _xlpm.class13QuestionDisplayNames, _xlpm.class12QuestionDisplayNames, _xlpm.shippingAndFulfillment__cartonsQuestionDisplayNames, _xlpm.propSixtyFive__chemicalsQuestionDisplayNames, _xlpm.media__imagesQuestionDisplayNames, _xlpm.media__videosQuestionDisplayNames, _xlpm.media__documentsQuestionDisplayNames), _xlfn._xlws.FILTER(_xlpm.stackedQuestionDisplayNames, _xlpm.stackedQuestionDisplayNames&lt;&gt;"", ""))</f>
        <v/>
      </c>
      <c r="G3" s="20">
        <f t="array" ref="G3">_xlfn.LET(
                         _xlpm.class3ProvidedAnswers, GetFilteredProvidedAnswers(Class3Answers, Class3Errors, Class3Tracker)
    , 
                         _xlpm.class6ProvidedAnswers, GetFilteredProvidedAnswers(Class6Answers, Class6Errors, Class6Tracker)
    , 
                         _xlpm.class10ProvidedAnswers, GetFilteredProvidedAnswers(Class10Answers, Class10Errors, Class10Tracker)
    , 
                         _xlpm.class13ProvidedAnswers, GetFilteredProvidedAnswers(Class13Answers, Class13Errors, Class13Tracker)
    , 
                         _xlpm.class12ProvidedAnswers, GetFilteredProvidedAnswers(Class12Answers, Class12Errors, Class12Tracker)
    , 
                         _xlpm.shippingAndFulfillment__cartonsProvidedAnswers, GetFilteredProvidedAnswers(shippingAndFulfillment__cartonsAnswers, shippingAndFulfillment__cartonsErrors, shippingAndFulfillment__cartonsTracker)
    , 
                         _xlpm.propSixtyFive__chemicalsProvidedAnswers, GetFilteredProvidedAnswers(propSixtyFive__chemicalsAnswers, propSixtyFive__chemicalsErrors, propSixtyFive__chemicalsTracker)
    , 
                         _xlpm.media__imagesProvidedAnswers, GetFilteredProvidedAnswers(media__imagesAnswers, media__imagesErrors, media__imagesTracker)
    , 
                         _xlpm.media__videosProvidedAnswers, GetFilteredProvidedAnswers(media__videosAnswers, media__videosErrors, media__videosTracker)
    , 
                         _xlpm.media__documentsProvidedAnswers, GetFilteredProvidedAnswers(media__documentsAnswers, media__documentsErrors, media__documentsTracker)
    , _xlpm.stackedProvidedAnswers, _xlfn.VSTACK(_xlpm.class3ProvidedAnswers, _xlpm.class6ProvidedAnswers, _xlpm.class10ProvidedAnswers, _xlpm.class13ProvidedAnswers, _xlpm.class12ProvidedAnswers, _xlpm.shippingAndFulfillment__cartonsProvidedAnswers, _xlpm.propSixtyFive__chemicalsProvidedAnswers, _xlpm.media__imagesProvidedAnswers, _xlpm.media__videosProvidedAnswers, _xlpm.media__documentsProvidedAnswers), _xlfn._xlws.FILTER(_xlpm.stackedProvidedAnswers, _xlpm.stackedProvidedAnswers&lt;&gt;"EMPTY_ERROR", ""))</f>
        <v/>
      </c>
      <c r="H3" s="20">
        <f t="array" ref="H3">_xlfn.LET(_xlpm.class3ErrorMessages, _xlfn.FILTER(
                    _xlfn.TOCOL(Class3Errors),
                    _xlfn.TOCOL((Class3Errors &lt;&gt; "") * (Class3Tracker &lt;&gt; "Valid") * (Class3Tracker &lt;&gt; "Disabled")), ""
                ), _xlpm.class6ErrorMessages, _xlfn.FILTER(
                    _xlfn.TOCOL(Class6Errors),
                    _xlfn.TOCOL((Class6Errors &lt;&gt; "") * (Class6Tracker &lt;&gt; "Valid") * (Class6Tracker &lt;&gt; "Disabled")), ""
                ), _xlpm.class10ErrorMessages, _xlfn.FILTER(
                    _xlfn.TOCOL(Class10Errors),
                    _xlfn.TOCOL((Class10Errors &lt;&gt; "") * (Class10Tracker &lt;&gt; "Valid") * (Class10Tracker &lt;&gt; "Disabled")), ""
                ), _xlpm.class13ErrorMessages, _xlfn.FILTER(
                    _xlfn.TOCOL(Class13Errors),
                    _xlfn.TOCOL((Class13Errors &lt;&gt; "") * (Class13Tracker &lt;&gt; "Valid") * (Class13Tracker &lt;&gt; "Disabled")), ""
                ), _xlpm.class12ErrorMessages, _xlfn.FILTER(
                    _xlfn.TOCOL(Class12Errors),
                    _xlfn.TOCOL((Class12Errors &lt;&gt; "") * (Class12Tracker &lt;&gt; "Valid") * (Class12Tracker &lt;&gt; "Disabled")), ""
                ), _xlpm.shippingAndFulfillment__cartonsErrorMessages, _xlfn.FILTER(
                    _xlfn.TOCOL(shippingAndFulfillment__cartonsErrors),
                    _xlfn.TOCOL((shippingAndFulfillment__cartonsErrors &lt;&gt; "") * (shippingAndFulfillment__cartonsTracker &lt;&gt; "Valid") * (shippingAndFulfillment__cartonsTracker &lt;&gt; "Disabled")), ""
                ), _xlpm.propSixtyFive__chemicalsErrorMessages, _xlfn.FILTER(
                    _xlfn.TOCOL(propSixtyFive__chemicalsErrors),
                    _xlfn.TOCOL((propSixtyFive__chemicalsErrors &lt;&gt; "") * (propSixtyFive__chemicalsTracker &lt;&gt; "Valid") * (propSixtyFive__chemicalsTracker &lt;&gt; "Disabled")), ""
                ), _xlpm.media__imagesErrorMessages, _xlfn.FILTER(
                    _xlfn.TOCOL(media__imagesErrors),
                    _xlfn.TOCOL((media__imagesErrors &lt;&gt; "") * (media__imagesTracker &lt;&gt; "Valid") * (media__imagesTracker &lt;&gt; "Disabled")), ""
                ), _xlpm.media__videosErrorMessages, _xlfn.FILTER(
                    _xlfn.TOCOL(media__videosErrors),
                    _xlfn.TOCOL((media__videosErrors &lt;&gt; "") * (media__videosTracker &lt;&gt; "Valid") * (media__videosTracker &lt;&gt; "Disabled")), ""
                ), _xlpm.media__documentsErrorMessages, _xlfn.FILTER(
                    _xlfn.TOCOL(media__documentsErrors),
                    _xlfn.TOCOL((media__documentsErrors &lt;&gt; "") * (media__documentsTracker &lt;&gt; "Valid") * (media__documentsTracker &lt;&gt; "Disabled")), ""
                ), _xlpm.stackedErrorMessages, _xlfn.VSTACK(_xlpm.class3ErrorMessages, _xlpm.class6ErrorMessages, _xlpm.class10ErrorMessages, _xlpm.class13ErrorMessages, _xlpm.class12ErrorMessages, _xlpm.shippingAndFulfillment__cartonsErrorMessages, _xlpm.propSixtyFive__chemicalsErrorMessages, _xlpm.media__imagesErrorMessages, _xlpm.media__videosErrorMessages, _xlpm.media__documentsErrorMessages), _xlpm.filteredMessages, _xlfn._xlws.FILTER(_xlpm.stackedErrorMessages, _xlpm.stackedErrorMessages&lt;&gt;"", ""), IFERROR(_xlfn.TEXTAFTER(_xlpm.filteredMessages, ":"), _xlpm.filteredMessages))</f>
        <v/>
      </c>
      <c r="J3">
        <f t="array" ref="J3">_xlfn.LET(_xlpm.class3Addresses, GetSheetLocationAddresses(Class3Tracker, Class3Errors), _xlpm.class6Addresses, GetSheetLocationAddresses(Class6Tracker, Class6Errors), _xlpm.class10Addresses, GetSheetLocationAddresses(Class10Tracker, Class10Errors), _xlpm.class13Addresses, GetSheetLocationAddresses(Class13Tracker, Class13Errors), _xlpm.class12Addresses, GetSheetLocationAddresses(Class12Tracker, Class12Errors), _xlpm.shippingAndFulfillment__cartonsAddresses, GetSheetLocationAddresses(shippingAndFulfillment__cartonsTracker, shippingAndFulfillment__cartonsErrors), _xlpm.propSixtyFive__chemicalsAddresses, GetSheetLocationAddresses(propSixtyFive__chemicalsTracker, propSixtyFive__chemicalsErrors), _xlpm.media__imagesAddresses, GetSheetLocationAddresses(media__imagesTracker, media__imagesErrors), _xlpm.media__videosAddresses, GetSheetLocationAddresses(media__videosTracker, media__videosErrors), _xlpm.media__documentsAddresses, GetSheetLocationAddresses(media__documentsTracker, media__documentsErrors), _xlpm.stackedAddresses, _xlfn.VSTACK(_xlpm.class3Addresses, _xlpm.class6Addresses, _xlpm.class10Addresses, _xlpm.class13Addresses, _xlpm.class12Addresses, _xlpm.shippingAndFulfillment__cartonsAddresses, _xlpm.propSixtyFive__chemicalsAddresses, _xlpm.media__imagesAddresses, _xlpm.media__videosAddresses, _xlpm.media__documentsAddresses), _xlfn._xlws.FILTER(_xlpm.stackedAddresses, _xlpm.stackedAddresses&lt;&gt;"", ""))</f>
        <v/>
      </c>
    </row>
    <row r="4">
      <c r="B4" s="21">
        <f>IF(AND(C4&lt;&gt;"", J4&lt;&gt;""), HYPERLINK("#'" &amp; C4 &amp; "'!" &amp; J4, J4), "")</f>
        <v/>
      </c>
    </row>
    <row r="5">
      <c r="B5" s="21">
        <f>IF(AND(C5&lt;&gt;"", J5&lt;&gt;""), HYPERLINK("#'" &amp; C5 &amp; "'!" &amp; J5, J5), "")</f>
        <v/>
      </c>
    </row>
    <row r="6">
      <c r="B6" s="21">
        <f>IF(AND(C6&lt;&gt;"", J6&lt;&gt;""), HYPERLINK("#'" &amp; C6 &amp; "'!" &amp; J6, J6), "")</f>
        <v/>
      </c>
    </row>
    <row r="7">
      <c r="B7" s="21">
        <f>IF(AND(C7&lt;&gt;"", J7&lt;&gt;""), HYPERLINK("#'" &amp; C7 &amp; "'!" &amp; J7, J7), "")</f>
        <v/>
      </c>
    </row>
    <row r="8">
      <c r="B8" s="21">
        <f>IF(AND(C8&lt;&gt;"", J8&lt;&gt;""), HYPERLINK("#'" &amp; C8 &amp; "'!" &amp; J8, J8), "")</f>
        <v/>
      </c>
    </row>
    <row r="9">
      <c r="B9" s="21">
        <f>IF(AND(C9&lt;&gt;"", J9&lt;&gt;""), HYPERLINK("#'" &amp; C9 &amp; "'!" &amp; J9, J9), "")</f>
        <v/>
      </c>
    </row>
    <row r="10">
      <c r="B10" s="21">
        <f>IF(AND(C10&lt;&gt;"", J10&lt;&gt;""), HYPERLINK("#'" &amp; C10 &amp; "'!" &amp; J10, J10), "")</f>
        <v/>
      </c>
    </row>
    <row r="11">
      <c r="B11" s="21">
        <f>IF(AND(C11&lt;&gt;"", J11&lt;&gt;""), HYPERLINK("#'" &amp; C11 &amp; "'!" &amp; J11, J11), "")</f>
        <v/>
      </c>
    </row>
    <row r="12">
      <c r="B12" s="21">
        <f>IF(AND(C12&lt;&gt;"", J12&lt;&gt;""), HYPERLINK("#'" &amp; C12 &amp; "'!" &amp; J12, J12), "")</f>
        <v/>
      </c>
    </row>
    <row r="13">
      <c r="B13" s="21">
        <f>IF(AND(C13&lt;&gt;"", J13&lt;&gt;""), HYPERLINK("#'" &amp; C13 &amp; "'!" &amp; J13, J13), "")</f>
        <v/>
      </c>
    </row>
    <row r="14">
      <c r="B14" s="21">
        <f>IF(AND(C14&lt;&gt;"", J14&lt;&gt;""), HYPERLINK("#'" &amp; C14 &amp; "'!" &amp; J14, J14), "")</f>
        <v/>
      </c>
    </row>
    <row r="15">
      <c r="B15" s="21">
        <f>IF(AND(C15&lt;&gt;"", J15&lt;&gt;""), HYPERLINK("#'" &amp; C15 &amp; "'!" &amp; J15, J15), "")</f>
        <v/>
      </c>
    </row>
    <row r="16">
      <c r="B16" s="21">
        <f>IF(AND(C16&lt;&gt;"", J16&lt;&gt;""), HYPERLINK("#'" &amp; C16 &amp; "'!" &amp; J16, J16), "")</f>
        <v/>
      </c>
    </row>
    <row r="17">
      <c r="B17" s="21">
        <f>IF(AND(C17&lt;&gt;"", J17&lt;&gt;""), HYPERLINK("#'" &amp; C17 &amp; "'!" &amp; J17, J17), "")</f>
        <v/>
      </c>
    </row>
    <row r="18">
      <c r="B18" s="21">
        <f>IF(AND(C18&lt;&gt;"", J18&lt;&gt;""), HYPERLINK("#'" &amp; C18 &amp; "'!" &amp; J18, J18), "")</f>
        <v/>
      </c>
    </row>
    <row r="19">
      <c r="B19" s="21">
        <f>IF(AND(C19&lt;&gt;"", J19&lt;&gt;""), HYPERLINK("#'" &amp; C19 &amp; "'!" &amp; J19, J19), "")</f>
        <v/>
      </c>
    </row>
    <row r="20">
      <c r="B20" s="21">
        <f>IF(AND(C20&lt;&gt;"", J20&lt;&gt;""), HYPERLINK("#'" &amp; C20 &amp; "'!" &amp; J20, J20), "")</f>
        <v/>
      </c>
    </row>
    <row r="21">
      <c r="B21" s="21">
        <f>IF(AND(C21&lt;&gt;"", J21&lt;&gt;""), HYPERLINK("#'" &amp; C21 &amp; "'!" &amp; J21, J21), "")</f>
        <v/>
      </c>
    </row>
    <row r="22">
      <c r="B22" s="21">
        <f>IF(AND(C22&lt;&gt;"", J22&lt;&gt;""), HYPERLINK("#'" &amp; C22 &amp; "'!" &amp; J22, J22), "")</f>
        <v/>
      </c>
    </row>
    <row r="23">
      <c r="B23" s="21">
        <f>IF(AND(C23&lt;&gt;"", J23&lt;&gt;""), HYPERLINK("#'" &amp; C23 &amp; "'!" &amp; J23, J23), "")</f>
        <v/>
      </c>
    </row>
    <row r="24">
      <c r="B24" s="21">
        <f>IF(AND(C24&lt;&gt;"", J24&lt;&gt;""), HYPERLINK("#'" &amp; C24 &amp; "'!" &amp; J24, J24), "")</f>
        <v/>
      </c>
    </row>
    <row r="25">
      <c r="B25" s="21">
        <f>IF(AND(C25&lt;&gt;"", J25&lt;&gt;""), HYPERLINK("#'" &amp; C25 &amp; "'!" &amp; J25, J25), "")</f>
        <v/>
      </c>
    </row>
    <row r="26">
      <c r="B26" s="21">
        <f>IF(AND(C26&lt;&gt;"", J26&lt;&gt;""), HYPERLINK("#'" &amp; C26 &amp; "'!" &amp; J26, J26), "")</f>
        <v/>
      </c>
    </row>
    <row r="27">
      <c r="B27" s="21">
        <f>IF(AND(C27&lt;&gt;"", J27&lt;&gt;""), HYPERLINK("#'" &amp; C27 &amp; "'!" &amp; J27, J27), "")</f>
        <v/>
      </c>
    </row>
    <row r="28">
      <c r="B28" s="21">
        <f>IF(AND(C28&lt;&gt;"", J28&lt;&gt;""), HYPERLINK("#'" &amp; C28 &amp; "'!" &amp; J28, J28), "")</f>
        <v/>
      </c>
    </row>
    <row r="29">
      <c r="B29" s="21">
        <f>IF(AND(C29&lt;&gt;"", J29&lt;&gt;""), HYPERLINK("#'" &amp; C29 &amp; "'!" &amp; J29, J29), "")</f>
        <v/>
      </c>
    </row>
    <row r="30">
      <c r="B30" s="21">
        <f>IF(AND(C30&lt;&gt;"", J30&lt;&gt;""), HYPERLINK("#'" &amp; C30 &amp; "'!" &amp; J30, J30), "")</f>
        <v/>
      </c>
    </row>
    <row r="31">
      <c r="B31" s="21">
        <f>IF(AND(C31&lt;&gt;"", J31&lt;&gt;""), HYPERLINK("#'" &amp; C31 &amp; "'!" &amp; J31, J31), "")</f>
        <v/>
      </c>
    </row>
    <row r="32">
      <c r="B32" s="21">
        <f>IF(AND(C32&lt;&gt;"", J32&lt;&gt;""), HYPERLINK("#'" &amp; C32 &amp; "'!" &amp; J32, J32), "")</f>
        <v/>
      </c>
    </row>
    <row r="33">
      <c r="B33" s="21">
        <f>IF(AND(C33&lt;&gt;"", J33&lt;&gt;""), HYPERLINK("#'" &amp; C33 &amp; "'!" &amp; J33, J33), "")</f>
        <v/>
      </c>
    </row>
    <row r="34">
      <c r="B34" s="21">
        <f>IF(AND(C34&lt;&gt;"", J34&lt;&gt;""), HYPERLINK("#'" &amp; C34 &amp; "'!" &amp; J34, J34), "")</f>
        <v/>
      </c>
    </row>
    <row r="35">
      <c r="B35" s="21">
        <f>IF(AND(C35&lt;&gt;"", J35&lt;&gt;""), HYPERLINK("#'" &amp; C35 &amp; "'!" &amp; J35, J35), "")</f>
        <v/>
      </c>
    </row>
    <row r="36">
      <c r="B36" s="21">
        <f>IF(AND(C36&lt;&gt;"", J36&lt;&gt;""), HYPERLINK("#'" &amp; C36 &amp; "'!" &amp; J36, J36), "")</f>
        <v/>
      </c>
    </row>
    <row r="37">
      <c r="B37" s="21">
        <f>IF(AND(C37&lt;&gt;"", J37&lt;&gt;""), HYPERLINK("#'" &amp; C37 &amp; "'!" &amp; J37, J37), "")</f>
        <v/>
      </c>
    </row>
    <row r="38">
      <c r="B38" s="21">
        <f>IF(AND(C38&lt;&gt;"", J38&lt;&gt;""), HYPERLINK("#'" &amp; C38 &amp; "'!" &amp; J38, J38), "")</f>
        <v/>
      </c>
    </row>
    <row r="39">
      <c r="B39" s="21">
        <f>IF(AND(C39&lt;&gt;"", J39&lt;&gt;""), HYPERLINK("#'" &amp; C39 &amp; "'!" &amp; J39, J39), "")</f>
        <v/>
      </c>
    </row>
    <row r="40">
      <c r="B40" s="21">
        <f>IF(AND(C40&lt;&gt;"", J40&lt;&gt;""), HYPERLINK("#'" &amp; C40 &amp; "'!" &amp; J40, J40), "")</f>
        <v/>
      </c>
    </row>
    <row r="41">
      <c r="B41" s="21">
        <f>IF(AND(C41&lt;&gt;"", J41&lt;&gt;""), HYPERLINK("#'" &amp; C41 &amp; "'!" &amp; J41, J41), "")</f>
        <v/>
      </c>
    </row>
    <row r="42">
      <c r="B42" s="21">
        <f>IF(AND(C42&lt;&gt;"", J42&lt;&gt;""), HYPERLINK("#'" &amp; C42 &amp; "'!" &amp; J42, J42), "")</f>
        <v/>
      </c>
    </row>
    <row r="43">
      <c r="B43" s="21">
        <f>IF(AND(C43&lt;&gt;"", J43&lt;&gt;""), HYPERLINK("#'" &amp; C43 &amp; "'!" &amp; J43, J43), "")</f>
        <v/>
      </c>
    </row>
    <row r="44">
      <c r="B44" s="21">
        <f>IF(AND(C44&lt;&gt;"", J44&lt;&gt;""), HYPERLINK("#'" &amp; C44 &amp; "'!" &amp; J44, J44), "")</f>
        <v/>
      </c>
    </row>
    <row r="45">
      <c r="B45" s="21">
        <f>IF(AND(C45&lt;&gt;"", J45&lt;&gt;""), HYPERLINK("#'" &amp; C45 &amp; "'!" &amp; J45, J45), "")</f>
        <v/>
      </c>
    </row>
    <row r="46">
      <c r="B46" s="21">
        <f>IF(AND(C46&lt;&gt;"", J46&lt;&gt;""), HYPERLINK("#'" &amp; C46 &amp; "'!" &amp; J46, J46), "")</f>
        <v/>
      </c>
    </row>
    <row r="47">
      <c r="B47" s="21">
        <f>IF(AND(C47&lt;&gt;"", J47&lt;&gt;""), HYPERLINK("#'" &amp; C47 &amp; "'!" &amp; J47, J47), "")</f>
        <v/>
      </c>
    </row>
    <row r="48">
      <c r="B48" s="21">
        <f>IF(AND(C48&lt;&gt;"", J48&lt;&gt;""), HYPERLINK("#'" &amp; C48 &amp; "'!" &amp; J48, J48), "")</f>
        <v/>
      </c>
    </row>
    <row r="49">
      <c r="B49" s="21">
        <f>IF(AND(C49&lt;&gt;"", J49&lt;&gt;""), HYPERLINK("#'" &amp; C49 &amp; "'!" &amp; J49, J49), "")</f>
        <v/>
      </c>
    </row>
    <row r="50">
      <c r="B50" s="21">
        <f>IF(AND(C50&lt;&gt;"", J50&lt;&gt;""), HYPERLINK("#'" &amp; C50 &amp; "'!" &amp; J50, J50), "")</f>
        <v/>
      </c>
    </row>
    <row r="51">
      <c r="B51" s="21">
        <f>IF(AND(C51&lt;&gt;"", J51&lt;&gt;""), HYPERLINK("#'" &amp; C51 &amp; "'!" &amp; J51, J51), "")</f>
        <v/>
      </c>
    </row>
    <row r="52">
      <c r="B52" s="21">
        <f>IF(AND(C52&lt;&gt;"", J52&lt;&gt;""), HYPERLINK("#'" &amp; C52 &amp; "'!" &amp; J52, J52), "")</f>
        <v/>
      </c>
    </row>
    <row r="53">
      <c r="B53" s="21">
        <f>IF(AND(C53&lt;&gt;"", J53&lt;&gt;""), HYPERLINK("#'" &amp; C53 &amp; "'!" &amp; J53, J53), "")</f>
        <v/>
      </c>
    </row>
    <row r="54">
      <c r="B54" s="21">
        <f>IF(AND(C54&lt;&gt;"", J54&lt;&gt;""), HYPERLINK("#'" &amp; C54 &amp; "'!" &amp; J54, J54), "")</f>
        <v/>
      </c>
    </row>
    <row r="55">
      <c r="B55" s="21">
        <f>IF(AND(C55&lt;&gt;"", J55&lt;&gt;""), HYPERLINK("#'" &amp; C55 &amp; "'!" &amp; J55, J55), "")</f>
        <v/>
      </c>
    </row>
    <row r="56">
      <c r="B56" s="21">
        <f>IF(AND(C56&lt;&gt;"", J56&lt;&gt;""), HYPERLINK("#'" &amp; C56 &amp; "'!" &amp; J56, J56), "")</f>
        <v/>
      </c>
    </row>
    <row r="57">
      <c r="B57" s="21">
        <f>IF(AND(C57&lt;&gt;"", J57&lt;&gt;""), HYPERLINK("#'" &amp; C57 &amp; "'!" &amp; J57, J57), "")</f>
        <v/>
      </c>
    </row>
    <row r="58">
      <c r="B58" s="21">
        <f>IF(AND(C58&lt;&gt;"", J58&lt;&gt;""), HYPERLINK("#'" &amp; C58 &amp; "'!" &amp; J58, J58), "")</f>
        <v/>
      </c>
    </row>
    <row r="59">
      <c r="B59" s="21">
        <f>IF(AND(C59&lt;&gt;"", J59&lt;&gt;""), HYPERLINK("#'" &amp; C59 &amp; "'!" &amp; J59, J59), "")</f>
        <v/>
      </c>
    </row>
    <row r="60">
      <c r="B60" s="21">
        <f>IF(AND(C60&lt;&gt;"", J60&lt;&gt;""), HYPERLINK("#'" &amp; C60 &amp; "'!" &amp; J60, J60), "")</f>
        <v/>
      </c>
    </row>
    <row r="61">
      <c r="B61" s="21">
        <f>IF(AND(C61&lt;&gt;"", J61&lt;&gt;""), HYPERLINK("#'" &amp; C61 &amp; "'!" &amp; J61, J61), "")</f>
        <v/>
      </c>
    </row>
    <row r="62">
      <c r="B62" s="21">
        <f>IF(AND(C62&lt;&gt;"", J62&lt;&gt;""), HYPERLINK("#'" &amp; C62 &amp; "'!" &amp; J62, J62), "")</f>
        <v/>
      </c>
    </row>
    <row r="63">
      <c r="B63" s="21">
        <f>IF(AND(C63&lt;&gt;"", J63&lt;&gt;""), HYPERLINK("#'" &amp; C63 &amp; "'!" &amp; J63, J63), "")</f>
        <v/>
      </c>
    </row>
    <row r="64">
      <c r="B64" s="21">
        <f>IF(AND(C64&lt;&gt;"", J64&lt;&gt;""), HYPERLINK("#'" &amp; C64 &amp; "'!" &amp; J64, J64), "")</f>
        <v/>
      </c>
    </row>
    <row r="65">
      <c r="B65" s="21">
        <f>IF(AND(C65&lt;&gt;"", J65&lt;&gt;""), HYPERLINK("#'" &amp; C65 &amp; "'!" &amp; J65, J65), "")</f>
        <v/>
      </c>
    </row>
    <row r="66">
      <c r="B66" s="21">
        <f>IF(AND(C66&lt;&gt;"", J66&lt;&gt;""), HYPERLINK("#'" &amp; C66 &amp; "'!" &amp; J66, J66), "")</f>
        <v/>
      </c>
    </row>
    <row r="67">
      <c r="B67" s="21">
        <f>IF(AND(C67&lt;&gt;"", J67&lt;&gt;""), HYPERLINK("#'" &amp; C67 &amp; "'!" &amp; J67, J67), "")</f>
        <v/>
      </c>
    </row>
    <row r="68">
      <c r="B68" s="21">
        <f>IF(AND(C68&lt;&gt;"", J68&lt;&gt;""), HYPERLINK("#'" &amp; C68 &amp; "'!" &amp; J68, J68), "")</f>
        <v/>
      </c>
    </row>
    <row r="69">
      <c r="B69" s="21">
        <f>IF(AND(C69&lt;&gt;"", J69&lt;&gt;""), HYPERLINK("#'" &amp; C69 &amp; "'!" &amp; J69, J69), "")</f>
        <v/>
      </c>
    </row>
    <row r="70">
      <c r="B70" s="21">
        <f>IF(AND(C70&lt;&gt;"", J70&lt;&gt;""), HYPERLINK("#'" &amp; C70 &amp; "'!" &amp; J70, J70), "")</f>
        <v/>
      </c>
    </row>
    <row r="71">
      <c r="B71" s="21">
        <f>IF(AND(C71&lt;&gt;"", J71&lt;&gt;""), HYPERLINK("#'" &amp; C71 &amp; "'!" &amp; J71, J71), "")</f>
        <v/>
      </c>
    </row>
    <row r="72">
      <c r="B72" s="21">
        <f>IF(AND(C72&lt;&gt;"", J72&lt;&gt;""), HYPERLINK("#'" &amp; C72 &amp; "'!" &amp; J72, J72), "")</f>
        <v/>
      </c>
    </row>
    <row r="73">
      <c r="B73" s="21">
        <f>IF(AND(C73&lt;&gt;"", J73&lt;&gt;""), HYPERLINK("#'" &amp; C73 &amp; "'!" &amp; J73, J73), "")</f>
        <v/>
      </c>
    </row>
    <row r="74">
      <c r="B74" s="21">
        <f>IF(AND(C74&lt;&gt;"", J74&lt;&gt;""), HYPERLINK("#'" &amp; C74 &amp; "'!" &amp; J74, J74), "")</f>
        <v/>
      </c>
    </row>
    <row r="75">
      <c r="B75" s="21">
        <f>IF(AND(C75&lt;&gt;"", J75&lt;&gt;""), HYPERLINK("#'" &amp; C75 &amp; "'!" &amp; J75, J75), "")</f>
        <v/>
      </c>
    </row>
    <row r="76">
      <c r="B76" s="21">
        <f>IF(AND(C76&lt;&gt;"", J76&lt;&gt;""), HYPERLINK("#'" &amp; C76 &amp; "'!" &amp; J76, J76), "")</f>
        <v/>
      </c>
    </row>
    <row r="77">
      <c r="B77" s="21">
        <f>IF(AND(C77&lt;&gt;"", J77&lt;&gt;""), HYPERLINK("#'" &amp; C77 &amp; "'!" &amp; J77, J77), "")</f>
        <v/>
      </c>
    </row>
    <row r="78">
      <c r="B78" s="21">
        <f>IF(AND(C78&lt;&gt;"", J78&lt;&gt;""), HYPERLINK("#'" &amp; C78 &amp; "'!" &amp; J78, J78), "")</f>
        <v/>
      </c>
    </row>
    <row r="79">
      <c r="B79" s="21">
        <f>IF(AND(C79&lt;&gt;"", J79&lt;&gt;""), HYPERLINK("#'" &amp; C79 &amp; "'!" &amp; J79, J79), "")</f>
        <v/>
      </c>
    </row>
    <row r="80">
      <c r="B80" s="21">
        <f>IF(AND(C80&lt;&gt;"", J80&lt;&gt;""), HYPERLINK("#'" &amp; C80 &amp; "'!" &amp; J80, J80), "")</f>
        <v/>
      </c>
    </row>
    <row r="81">
      <c r="B81" s="21">
        <f>IF(AND(C81&lt;&gt;"", J81&lt;&gt;""), HYPERLINK("#'" &amp; C81 &amp; "'!" &amp; J81, J81), "")</f>
        <v/>
      </c>
    </row>
    <row r="82">
      <c r="B82" s="21">
        <f>IF(AND(C82&lt;&gt;"", J82&lt;&gt;""), HYPERLINK("#'" &amp; C82 &amp; "'!" &amp; J82, J82), "")</f>
        <v/>
      </c>
    </row>
    <row r="83">
      <c r="B83" s="21">
        <f>IF(AND(C83&lt;&gt;"", J83&lt;&gt;""), HYPERLINK("#'" &amp; C83 &amp; "'!" &amp; J83, J83), "")</f>
        <v/>
      </c>
    </row>
    <row r="84">
      <c r="B84" s="21">
        <f>IF(AND(C84&lt;&gt;"", J84&lt;&gt;""), HYPERLINK("#'" &amp; C84 &amp; "'!" &amp; J84, J84), "")</f>
        <v/>
      </c>
    </row>
    <row r="85">
      <c r="B85" s="21">
        <f>IF(AND(C85&lt;&gt;"", J85&lt;&gt;""), HYPERLINK("#'" &amp; C85 &amp; "'!" &amp; J85, J85), "")</f>
        <v/>
      </c>
    </row>
    <row r="86">
      <c r="B86" s="21">
        <f>IF(AND(C86&lt;&gt;"", J86&lt;&gt;""), HYPERLINK("#'" &amp; C86 &amp; "'!" &amp; J86, J86), "")</f>
        <v/>
      </c>
    </row>
    <row r="87">
      <c r="B87" s="21">
        <f>IF(AND(C87&lt;&gt;"", J87&lt;&gt;""), HYPERLINK("#'" &amp; C87 &amp; "'!" &amp; J87, J87), "")</f>
        <v/>
      </c>
    </row>
    <row r="88">
      <c r="B88" s="21">
        <f>IF(AND(C88&lt;&gt;"", J88&lt;&gt;""), HYPERLINK("#'" &amp; C88 &amp; "'!" &amp; J88, J88), "")</f>
        <v/>
      </c>
    </row>
    <row r="89">
      <c r="B89" s="21">
        <f>IF(AND(C89&lt;&gt;"", J89&lt;&gt;""), HYPERLINK("#'" &amp; C89 &amp; "'!" &amp; J89, J89), "")</f>
        <v/>
      </c>
    </row>
    <row r="90">
      <c r="B90" s="21">
        <f>IF(AND(C90&lt;&gt;"", J90&lt;&gt;""), HYPERLINK("#'" &amp; C90 &amp; "'!" &amp; J90, J90), "")</f>
        <v/>
      </c>
    </row>
    <row r="91">
      <c r="B91" s="21">
        <f>IF(AND(C91&lt;&gt;"", J91&lt;&gt;""), HYPERLINK("#'" &amp; C91 &amp; "'!" &amp; J91, J91), "")</f>
        <v/>
      </c>
    </row>
    <row r="92">
      <c r="B92" s="21">
        <f>IF(AND(C92&lt;&gt;"", J92&lt;&gt;""), HYPERLINK("#'" &amp; C92 &amp; "'!" &amp; J92, J92), "")</f>
        <v/>
      </c>
    </row>
    <row r="93">
      <c r="B93" s="21">
        <f>IF(AND(C93&lt;&gt;"", J93&lt;&gt;""), HYPERLINK("#'" &amp; C93 &amp; "'!" &amp; J93, J93), "")</f>
        <v/>
      </c>
    </row>
    <row r="94">
      <c r="B94" s="21">
        <f>IF(AND(C94&lt;&gt;"", J94&lt;&gt;""), HYPERLINK("#'" &amp; C94 &amp; "'!" &amp; J94, J94), "")</f>
        <v/>
      </c>
    </row>
    <row r="95">
      <c r="B95" s="21">
        <f>IF(AND(C95&lt;&gt;"", J95&lt;&gt;""), HYPERLINK("#'" &amp; C95 &amp; "'!" &amp; J95, J95), "")</f>
        <v/>
      </c>
    </row>
    <row r="96">
      <c r="B96" s="21">
        <f>IF(AND(C96&lt;&gt;"", J96&lt;&gt;""), HYPERLINK("#'" &amp; C96 &amp; "'!" &amp; J96, J96), "")</f>
        <v/>
      </c>
    </row>
    <row r="97">
      <c r="B97" s="21">
        <f>IF(AND(C97&lt;&gt;"", J97&lt;&gt;""), HYPERLINK("#'" &amp; C97 &amp; "'!" &amp; J97, J97), "")</f>
        <v/>
      </c>
    </row>
    <row r="98">
      <c r="B98" s="21">
        <f>IF(AND(C98&lt;&gt;"", J98&lt;&gt;""), HYPERLINK("#'" &amp; C98 &amp; "'!" &amp; J98, J98), "")</f>
        <v/>
      </c>
    </row>
    <row r="99">
      <c r="B99" s="21">
        <f>IF(AND(C99&lt;&gt;"", J99&lt;&gt;""), HYPERLINK("#'" &amp; C99 &amp; "'!" &amp; J99, J99), "")</f>
        <v/>
      </c>
    </row>
    <row r="100">
      <c r="B100" s="21">
        <f>IF(AND(C100&lt;&gt;"", J100&lt;&gt;""), HYPERLINK("#'" &amp; C100 &amp; "'!" &amp; J100, J100), "")</f>
        <v/>
      </c>
    </row>
    <row r="101">
      <c r="B101" s="21">
        <f>IF(AND(C101&lt;&gt;"", J101&lt;&gt;""), HYPERLINK("#'" &amp; C101 &amp; "'!" &amp; J101, J101), "")</f>
        <v/>
      </c>
    </row>
    <row r="102">
      <c r="B102" s="21">
        <f>IF(AND(C102&lt;&gt;"", J102&lt;&gt;""), HYPERLINK("#'" &amp; C102 &amp; "'!" &amp; J102, J102), "")</f>
        <v/>
      </c>
    </row>
    <row r="103">
      <c r="B103" s="21">
        <f>IF(AND(C103&lt;&gt;"", J103&lt;&gt;""), HYPERLINK("#'" &amp; C103 &amp; "'!" &amp; J103, J103), "")</f>
        <v/>
      </c>
    </row>
    <row r="104">
      <c r="B104" s="21">
        <f>IF(AND(C104&lt;&gt;"", J104&lt;&gt;""), HYPERLINK("#'" &amp; C104 &amp; "'!" &amp; J104, J104), "")</f>
        <v/>
      </c>
    </row>
    <row r="105">
      <c r="B105" s="21">
        <f>IF(AND(C105&lt;&gt;"", J105&lt;&gt;""), HYPERLINK("#'" &amp; C105 &amp; "'!" &amp; J105, J105), "")</f>
        <v/>
      </c>
    </row>
    <row r="106">
      <c r="B106" s="21">
        <f>IF(AND(C106&lt;&gt;"", J106&lt;&gt;""), HYPERLINK("#'" &amp; C106 &amp; "'!" &amp; J106, J106), "")</f>
        <v/>
      </c>
    </row>
    <row r="107">
      <c r="B107" s="21">
        <f>IF(AND(C107&lt;&gt;"", J107&lt;&gt;""), HYPERLINK("#'" &amp; C107 &amp; "'!" &amp; J107, J107), "")</f>
        <v/>
      </c>
    </row>
    <row r="108">
      <c r="B108" s="21">
        <f>IF(AND(C108&lt;&gt;"", J108&lt;&gt;""), HYPERLINK("#'" &amp; C108 &amp; "'!" &amp; J108, J108), "")</f>
        <v/>
      </c>
    </row>
    <row r="109">
      <c r="B109" s="21">
        <f>IF(AND(C109&lt;&gt;"", J109&lt;&gt;""), HYPERLINK("#'" &amp; C109 &amp; "'!" &amp; J109, J109), "")</f>
        <v/>
      </c>
    </row>
    <row r="110">
      <c r="B110" s="21">
        <f>IF(AND(C110&lt;&gt;"", J110&lt;&gt;""), HYPERLINK("#'" &amp; C110 &amp; "'!" &amp; J110, J110), "")</f>
        <v/>
      </c>
    </row>
    <row r="111">
      <c r="B111" s="21">
        <f>IF(AND(C111&lt;&gt;"", J111&lt;&gt;""), HYPERLINK("#'" &amp; C111 &amp; "'!" &amp; J111, J111), "")</f>
        <v/>
      </c>
    </row>
    <row r="112">
      <c r="B112" s="21">
        <f>IF(AND(C112&lt;&gt;"", J112&lt;&gt;""), HYPERLINK("#'" &amp; C112 &amp; "'!" &amp; J112, J112), "")</f>
        <v/>
      </c>
    </row>
    <row r="113">
      <c r="B113" s="21">
        <f>IF(AND(C113&lt;&gt;"", J113&lt;&gt;""), HYPERLINK("#'" &amp; C113 &amp; "'!" &amp; J113, J113), "")</f>
        <v/>
      </c>
    </row>
    <row r="114">
      <c r="B114" s="21">
        <f>IF(AND(C114&lt;&gt;"", J114&lt;&gt;""), HYPERLINK("#'" &amp; C114 &amp; "'!" &amp; J114, J114), "")</f>
        <v/>
      </c>
    </row>
    <row r="115">
      <c r="B115" s="21">
        <f>IF(AND(C115&lt;&gt;"", J115&lt;&gt;""), HYPERLINK("#'" &amp; C115 &amp; "'!" &amp; J115, J115), "")</f>
        <v/>
      </c>
    </row>
    <row r="116">
      <c r="B116" s="21">
        <f>IF(AND(C116&lt;&gt;"", J116&lt;&gt;""), HYPERLINK("#'" &amp; C116 &amp; "'!" &amp; J116, J116), "")</f>
        <v/>
      </c>
    </row>
    <row r="117">
      <c r="B117" s="21">
        <f>IF(AND(C117&lt;&gt;"", J117&lt;&gt;""), HYPERLINK("#'" &amp; C117 &amp; "'!" &amp; J117, J117), "")</f>
        <v/>
      </c>
    </row>
    <row r="118">
      <c r="B118" s="21">
        <f>IF(AND(C118&lt;&gt;"", J118&lt;&gt;""), HYPERLINK("#'" &amp; C118 &amp; "'!" &amp; J118, J118), "")</f>
        <v/>
      </c>
    </row>
    <row r="119">
      <c r="B119" s="21">
        <f>IF(AND(C119&lt;&gt;"", J119&lt;&gt;""), HYPERLINK("#'" &amp; C119 &amp; "'!" &amp; J119, J119), "")</f>
        <v/>
      </c>
    </row>
    <row r="120">
      <c r="B120" s="21">
        <f>IF(AND(C120&lt;&gt;"", J120&lt;&gt;""), HYPERLINK("#'" &amp; C120 &amp; "'!" &amp; J120, J120), "")</f>
        <v/>
      </c>
    </row>
    <row r="121">
      <c r="B121" s="21">
        <f>IF(AND(C121&lt;&gt;"", J121&lt;&gt;""), HYPERLINK("#'" &amp; C121 &amp; "'!" &amp; J121, J121), "")</f>
        <v/>
      </c>
    </row>
    <row r="122">
      <c r="B122" s="21">
        <f>IF(AND(C122&lt;&gt;"", J122&lt;&gt;""), HYPERLINK("#'" &amp; C122 &amp; "'!" &amp; J122, J122), "")</f>
        <v/>
      </c>
    </row>
    <row r="123">
      <c r="B123" s="21">
        <f>IF(AND(C123&lt;&gt;"", J123&lt;&gt;""), HYPERLINK("#'" &amp; C123 &amp; "'!" &amp; J123, J123), "")</f>
        <v/>
      </c>
    </row>
    <row r="124">
      <c r="B124" s="21">
        <f>IF(AND(C124&lt;&gt;"", J124&lt;&gt;""), HYPERLINK("#'" &amp; C124 &amp; "'!" &amp; J124, J124), "")</f>
        <v/>
      </c>
    </row>
    <row r="125">
      <c r="B125" s="21">
        <f>IF(AND(C125&lt;&gt;"", J125&lt;&gt;""), HYPERLINK("#'" &amp; C125 &amp; "'!" &amp; J125, J125), "")</f>
        <v/>
      </c>
    </row>
    <row r="126">
      <c r="B126" s="21">
        <f>IF(AND(C126&lt;&gt;"", J126&lt;&gt;""), HYPERLINK("#'" &amp; C126 &amp; "'!" &amp; J126, J126), "")</f>
        <v/>
      </c>
    </row>
    <row r="127">
      <c r="B127" s="21">
        <f>IF(AND(C127&lt;&gt;"", J127&lt;&gt;""), HYPERLINK("#'" &amp; C127 &amp; "'!" &amp; J127, J127), "")</f>
        <v/>
      </c>
    </row>
    <row r="128">
      <c r="B128" s="21">
        <f>IF(AND(C128&lt;&gt;"", J128&lt;&gt;""), HYPERLINK("#'" &amp; C128 &amp; "'!" &amp; J128, J128), "")</f>
        <v/>
      </c>
    </row>
    <row r="129">
      <c r="B129" s="21">
        <f>IF(AND(C129&lt;&gt;"", J129&lt;&gt;""), HYPERLINK("#'" &amp; C129 &amp; "'!" &amp; J129, J129), "")</f>
        <v/>
      </c>
    </row>
    <row r="130">
      <c r="B130" s="21">
        <f>IF(AND(C130&lt;&gt;"", J130&lt;&gt;""), HYPERLINK("#'" &amp; C130 &amp; "'!" &amp; J130, J130), "")</f>
        <v/>
      </c>
    </row>
    <row r="131">
      <c r="B131" s="21">
        <f>IF(AND(C131&lt;&gt;"", J131&lt;&gt;""), HYPERLINK("#'" &amp; C131 &amp; "'!" &amp; J131, J131), "")</f>
        <v/>
      </c>
    </row>
    <row r="132">
      <c r="B132" s="21">
        <f>IF(AND(C132&lt;&gt;"", J132&lt;&gt;""), HYPERLINK("#'" &amp; C132 &amp; "'!" &amp; J132, J132), "")</f>
        <v/>
      </c>
    </row>
    <row r="133">
      <c r="B133" s="21">
        <f>IF(AND(C133&lt;&gt;"", J133&lt;&gt;""), HYPERLINK("#'" &amp; C133 &amp; "'!" &amp; J133, J133), "")</f>
        <v/>
      </c>
    </row>
    <row r="134">
      <c r="B134" s="21">
        <f>IF(AND(C134&lt;&gt;"", J134&lt;&gt;""), HYPERLINK("#'" &amp; C134 &amp; "'!" &amp; J134, J134), "")</f>
        <v/>
      </c>
    </row>
    <row r="135">
      <c r="B135" s="21">
        <f>IF(AND(C135&lt;&gt;"", J135&lt;&gt;""), HYPERLINK("#'" &amp; C135 &amp; "'!" &amp; J135, J135), "")</f>
        <v/>
      </c>
    </row>
    <row r="136">
      <c r="B136" s="21">
        <f>IF(AND(C136&lt;&gt;"", J136&lt;&gt;""), HYPERLINK("#'" &amp; C136 &amp; "'!" &amp; J136, J136), "")</f>
        <v/>
      </c>
    </row>
    <row r="137">
      <c r="B137" s="21">
        <f>IF(AND(C137&lt;&gt;"", J137&lt;&gt;""), HYPERLINK("#'" &amp; C137 &amp; "'!" &amp; J137, J137), "")</f>
        <v/>
      </c>
    </row>
    <row r="138">
      <c r="B138" s="21">
        <f>IF(AND(C138&lt;&gt;"", J138&lt;&gt;""), HYPERLINK("#'" &amp; C138 &amp; "'!" &amp; J138, J138), "")</f>
        <v/>
      </c>
    </row>
    <row r="139">
      <c r="B139" s="21">
        <f>IF(AND(C139&lt;&gt;"", J139&lt;&gt;""), HYPERLINK("#'" &amp; C139 &amp; "'!" &amp; J139, J139), "")</f>
        <v/>
      </c>
    </row>
    <row r="140">
      <c r="B140" s="21">
        <f>IF(AND(C140&lt;&gt;"", J140&lt;&gt;""), HYPERLINK("#'" &amp; C140 &amp; "'!" &amp; J140, J140), "")</f>
        <v/>
      </c>
    </row>
    <row r="141">
      <c r="B141" s="21">
        <f>IF(AND(C141&lt;&gt;"", J141&lt;&gt;""), HYPERLINK("#'" &amp; C141 &amp; "'!" &amp; J141, J141), "")</f>
        <v/>
      </c>
    </row>
    <row r="142">
      <c r="B142" s="21">
        <f>IF(AND(C142&lt;&gt;"", J142&lt;&gt;""), HYPERLINK("#'" &amp; C142 &amp; "'!" &amp; J142, J142), "")</f>
        <v/>
      </c>
    </row>
    <row r="143">
      <c r="B143" s="21">
        <f>IF(AND(C143&lt;&gt;"", J143&lt;&gt;""), HYPERLINK("#'" &amp; C143 &amp; "'!" &amp; J143, J143), "")</f>
        <v/>
      </c>
    </row>
    <row r="144">
      <c r="B144" s="21">
        <f>IF(AND(C144&lt;&gt;"", J144&lt;&gt;""), HYPERLINK("#'" &amp; C144 &amp; "'!" &amp; J144, J144), "")</f>
        <v/>
      </c>
    </row>
    <row r="145">
      <c r="B145" s="21">
        <f>IF(AND(C145&lt;&gt;"", J145&lt;&gt;""), HYPERLINK("#'" &amp; C145 &amp; "'!" &amp; J145, J145), "")</f>
        <v/>
      </c>
    </row>
    <row r="146">
      <c r="B146" s="21">
        <f>IF(AND(C146&lt;&gt;"", J146&lt;&gt;""), HYPERLINK("#'" &amp; C146 &amp; "'!" &amp; J146, J146), "")</f>
        <v/>
      </c>
    </row>
    <row r="147">
      <c r="B147" s="21">
        <f>IF(AND(C147&lt;&gt;"", J147&lt;&gt;""), HYPERLINK("#'" &amp; C147 &amp; "'!" &amp; J147, J147), "")</f>
        <v/>
      </c>
    </row>
    <row r="148">
      <c r="B148" s="21">
        <f>IF(AND(C148&lt;&gt;"", J148&lt;&gt;""), HYPERLINK("#'" &amp; C148 &amp; "'!" &amp; J148, J148), "")</f>
        <v/>
      </c>
    </row>
    <row r="149">
      <c r="B149" s="21">
        <f>IF(AND(C149&lt;&gt;"", J149&lt;&gt;""), HYPERLINK("#'" &amp; C149 &amp; "'!" &amp; J149, J149), "")</f>
        <v/>
      </c>
    </row>
    <row r="150">
      <c r="B150" s="21">
        <f>IF(AND(C150&lt;&gt;"", J150&lt;&gt;""), HYPERLINK("#'" &amp; C150 &amp; "'!" &amp; J150, J150), "")</f>
        <v/>
      </c>
    </row>
    <row r="151">
      <c r="B151" s="21">
        <f>IF(AND(C151&lt;&gt;"", J151&lt;&gt;""), HYPERLINK("#'" &amp; C151 &amp; "'!" &amp; J151, J151), "")</f>
        <v/>
      </c>
    </row>
    <row r="152">
      <c r="B152" s="21">
        <f>IF(AND(C152&lt;&gt;"", J152&lt;&gt;""), HYPERLINK("#'" &amp; C152 &amp; "'!" &amp; J152, J152), "")</f>
        <v/>
      </c>
    </row>
    <row r="153">
      <c r="B153" s="21">
        <f>IF(AND(C153&lt;&gt;"", J153&lt;&gt;""), HYPERLINK("#'" &amp; C153 &amp; "'!" &amp; J153, J153), "")</f>
        <v/>
      </c>
    </row>
    <row r="154">
      <c r="B154" s="21">
        <f>IF(AND(C154&lt;&gt;"", J154&lt;&gt;""), HYPERLINK("#'" &amp; C154 &amp; "'!" &amp; J154, J154), "")</f>
        <v/>
      </c>
    </row>
    <row r="155">
      <c r="B155" s="21">
        <f>IF(AND(C155&lt;&gt;"", J155&lt;&gt;""), HYPERLINK("#'" &amp; C155 &amp; "'!" &amp; J155, J155), "")</f>
        <v/>
      </c>
    </row>
    <row r="156">
      <c r="B156" s="21">
        <f>IF(AND(C156&lt;&gt;"", J156&lt;&gt;""), HYPERLINK("#'" &amp; C156 &amp; "'!" &amp; J156, J156), "")</f>
        <v/>
      </c>
    </row>
    <row r="157">
      <c r="B157" s="21">
        <f>IF(AND(C157&lt;&gt;"", J157&lt;&gt;""), HYPERLINK("#'" &amp; C157 &amp; "'!" &amp; J157, J157), "")</f>
        <v/>
      </c>
    </row>
    <row r="158">
      <c r="B158" s="21">
        <f>IF(AND(C158&lt;&gt;"", J158&lt;&gt;""), HYPERLINK("#'" &amp; C158 &amp; "'!" &amp; J158, J158), "")</f>
        <v/>
      </c>
    </row>
    <row r="159">
      <c r="B159" s="21">
        <f>IF(AND(C159&lt;&gt;"", J159&lt;&gt;""), HYPERLINK("#'" &amp; C159 &amp; "'!" &amp; J159, J159), "")</f>
        <v/>
      </c>
    </row>
    <row r="160">
      <c r="B160" s="21">
        <f>IF(AND(C160&lt;&gt;"", J160&lt;&gt;""), HYPERLINK("#'" &amp; C160 &amp; "'!" &amp; J160, J160), "")</f>
        <v/>
      </c>
    </row>
    <row r="161">
      <c r="B161" s="21">
        <f>IF(AND(C161&lt;&gt;"", J161&lt;&gt;""), HYPERLINK("#'" &amp; C161 &amp; "'!" &amp; J161, J161), "")</f>
        <v/>
      </c>
    </row>
    <row r="162">
      <c r="B162" s="21">
        <f>IF(AND(C162&lt;&gt;"", J162&lt;&gt;""), HYPERLINK("#'" &amp; C162 &amp; "'!" &amp; J162, J162), "")</f>
        <v/>
      </c>
    </row>
    <row r="163">
      <c r="B163" s="21">
        <f>IF(AND(C163&lt;&gt;"", J163&lt;&gt;""), HYPERLINK("#'" &amp; C163 &amp; "'!" &amp; J163, J163), "")</f>
        <v/>
      </c>
    </row>
    <row r="164">
      <c r="B164" s="21">
        <f>IF(AND(C164&lt;&gt;"", J164&lt;&gt;""), HYPERLINK("#'" &amp; C164 &amp; "'!" &amp; J164, J164), "")</f>
        <v/>
      </c>
    </row>
    <row r="165">
      <c r="B165" s="21">
        <f>IF(AND(C165&lt;&gt;"", J165&lt;&gt;""), HYPERLINK("#'" &amp; C165 &amp; "'!" &amp; J165, J165), "")</f>
        <v/>
      </c>
    </row>
    <row r="166">
      <c r="B166" s="21">
        <f>IF(AND(C166&lt;&gt;"", J166&lt;&gt;""), HYPERLINK("#'" &amp; C166 &amp; "'!" &amp; J166, J166), "")</f>
        <v/>
      </c>
    </row>
    <row r="167">
      <c r="B167" s="21">
        <f>IF(AND(C167&lt;&gt;"", J167&lt;&gt;""), HYPERLINK("#'" &amp; C167 &amp; "'!" &amp; J167, J167), "")</f>
        <v/>
      </c>
    </row>
    <row r="168">
      <c r="B168" s="21">
        <f>IF(AND(C168&lt;&gt;"", J168&lt;&gt;""), HYPERLINK("#'" &amp; C168 &amp; "'!" &amp; J168, J168), "")</f>
        <v/>
      </c>
    </row>
    <row r="169">
      <c r="B169" s="21">
        <f>IF(AND(C169&lt;&gt;"", J169&lt;&gt;""), HYPERLINK("#'" &amp; C169 &amp; "'!" &amp; J169, J169), "")</f>
        <v/>
      </c>
    </row>
    <row r="170">
      <c r="B170" s="21">
        <f>IF(AND(C170&lt;&gt;"", J170&lt;&gt;""), HYPERLINK("#'" &amp; C170 &amp; "'!" &amp; J170, J170), "")</f>
        <v/>
      </c>
    </row>
    <row r="171">
      <c r="B171" s="21">
        <f>IF(AND(C171&lt;&gt;"", J171&lt;&gt;""), HYPERLINK("#'" &amp; C171 &amp; "'!" &amp; J171, J171), "")</f>
        <v/>
      </c>
    </row>
    <row r="172">
      <c r="B172" s="21">
        <f>IF(AND(C172&lt;&gt;"", J172&lt;&gt;""), HYPERLINK("#'" &amp; C172 &amp; "'!" &amp; J172, J172), "")</f>
        <v/>
      </c>
    </row>
    <row r="173">
      <c r="B173" s="21">
        <f>IF(AND(C173&lt;&gt;"", J173&lt;&gt;""), HYPERLINK("#'" &amp; C173 &amp; "'!" &amp; J173, J173), "")</f>
        <v/>
      </c>
    </row>
    <row r="174">
      <c r="B174" s="21">
        <f>IF(AND(C174&lt;&gt;"", J174&lt;&gt;""), HYPERLINK("#'" &amp; C174 &amp; "'!" &amp; J174, J174), "")</f>
        <v/>
      </c>
    </row>
    <row r="175">
      <c r="B175" s="21">
        <f>IF(AND(C175&lt;&gt;"", J175&lt;&gt;""), HYPERLINK("#'" &amp; C175 &amp; "'!" &amp; J175, J175), "")</f>
        <v/>
      </c>
    </row>
    <row r="176">
      <c r="B176" s="21">
        <f>IF(AND(C176&lt;&gt;"", J176&lt;&gt;""), HYPERLINK("#'" &amp; C176 &amp; "'!" &amp; J176, J176), "")</f>
        <v/>
      </c>
    </row>
    <row r="177">
      <c r="B177" s="21">
        <f>IF(AND(C177&lt;&gt;"", J177&lt;&gt;""), HYPERLINK("#'" &amp; C177 &amp; "'!" &amp; J177, J177), "")</f>
        <v/>
      </c>
    </row>
    <row r="178">
      <c r="B178" s="21">
        <f>IF(AND(C178&lt;&gt;"", J178&lt;&gt;""), HYPERLINK("#'" &amp; C178 &amp; "'!" &amp; J178, J178), "")</f>
        <v/>
      </c>
    </row>
    <row r="179">
      <c r="B179" s="21">
        <f>IF(AND(C179&lt;&gt;"", J179&lt;&gt;""), HYPERLINK("#'" &amp; C179 &amp; "'!" &amp; J179, J179), "")</f>
        <v/>
      </c>
    </row>
    <row r="180">
      <c r="B180" s="21">
        <f>IF(AND(C180&lt;&gt;"", J180&lt;&gt;""), HYPERLINK("#'" &amp; C180 &amp; "'!" &amp; J180, J180), "")</f>
        <v/>
      </c>
    </row>
    <row r="181">
      <c r="B181" s="21">
        <f>IF(AND(C181&lt;&gt;"", J181&lt;&gt;""), HYPERLINK("#'" &amp; C181 &amp; "'!" &amp; J181, J181), "")</f>
        <v/>
      </c>
    </row>
    <row r="182">
      <c r="B182" s="21">
        <f>IF(AND(C182&lt;&gt;"", J182&lt;&gt;""), HYPERLINK("#'" &amp; C182 &amp; "'!" &amp; J182, J182), "")</f>
        <v/>
      </c>
    </row>
    <row r="183">
      <c r="B183" s="21">
        <f>IF(AND(C183&lt;&gt;"", J183&lt;&gt;""), HYPERLINK("#'" &amp; C183 &amp; "'!" &amp; J183, J183), "")</f>
        <v/>
      </c>
    </row>
    <row r="184">
      <c r="B184" s="21">
        <f>IF(AND(C184&lt;&gt;"", J184&lt;&gt;""), HYPERLINK("#'" &amp; C184 &amp; "'!" &amp; J184, J184), "")</f>
        <v/>
      </c>
    </row>
    <row r="185">
      <c r="B185" s="21">
        <f>IF(AND(C185&lt;&gt;"", J185&lt;&gt;""), HYPERLINK("#'" &amp; C185 &amp; "'!" &amp; J185, J185), "")</f>
        <v/>
      </c>
    </row>
    <row r="186">
      <c r="B186" s="21">
        <f>IF(AND(C186&lt;&gt;"", J186&lt;&gt;""), HYPERLINK("#'" &amp; C186 &amp; "'!" &amp; J186, J186), "")</f>
        <v/>
      </c>
    </row>
    <row r="187">
      <c r="B187" s="21">
        <f>IF(AND(C187&lt;&gt;"", J187&lt;&gt;""), HYPERLINK("#'" &amp; C187 &amp; "'!" &amp; J187, J187), "")</f>
        <v/>
      </c>
    </row>
    <row r="188">
      <c r="B188" s="21">
        <f>IF(AND(C188&lt;&gt;"", J188&lt;&gt;""), HYPERLINK("#'" &amp; C188 &amp; "'!" &amp; J188, J188), "")</f>
        <v/>
      </c>
    </row>
    <row r="189">
      <c r="B189" s="21">
        <f>IF(AND(C189&lt;&gt;"", J189&lt;&gt;""), HYPERLINK("#'" &amp; C189 &amp; "'!" &amp; J189, J189), "")</f>
        <v/>
      </c>
    </row>
    <row r="190">
      <c r="B190" s="21">
        <f>IF(AND(C190&lt;&gt;"", J190&lt;&gt;""), HYPERLINK("#'" &amp; C190 &amp; "'!" &amp; J190, J190), "")</f>
        <v/>
      </c>
    </row>
    <row r="191">
      <c r="B191" s="21">
        <f>IF(AND(C191&lt;&gt;"", J191&lt;&gt;""), HYPERLINK("#'" &amp; C191 &amp; "'!" &amp; J191, J191), "")</f>
        <v/>
      </c>
    </row>
    <row r="192">
      <c r="B192" s="21">
        <f>IF(AND(C192&lt;&gt;"", J192&lt;&gt;""), HYPERLINK("#'" &amp; C192 &amp; "'!" &amp; J192, J192), "")</f>
        <v/>
      </c>
    </row>
    <row r="193">
      <c r="B193" s="21">
        <f>IF(AND(C193&lt;&gt;"", J193&lt;&gt;""), HYPERLINK("#'" &amp; C193 &amp; "'!" &amp; J193, J193), "")</f>
        <v/>
      </c>
    </row>
    <row r="194">
      <c r="B194" s="21">
        <f>IF(AND(C194&lt;&gt;"", J194&lt;&gt;""), HYPERLINK("#'" &amp; C194 &amp; "'!" &amp; J194, J194), "")</f>
        <v/>
      </c>
    </row>
    <row r="195">
      <c r="B195" s="21">
        <f>IF(AND(C195&lt;&gt;"", J195&lt;&gt;""), HYPERLINK("#'" &amp; C195 &amp; "'!" &amp; J195, J195), "")</f>
        <v/>
      </c>
    </row>
    <row r="196">
      <c r="B196" s="21">
        <f>IF(AND(C196&lt;&gt;"", J196&lt;&gt;""), HYPERLINK("#'" &amp; C196 &amp; "'!" &amp; J196, J196), "")</f>
        <v/>
      </c>
    </row>
    <row r="197">
      <c r="B197" s="21">
        <f>IF(AND(C197&lt;&gt;"", J197&lt;&gt;""), HYPERLINK("#'" &amp; C197 &amp; "'!" &amp; J197, J197), "")</f>
        <v/>
      </c>
    </row>
    <row r="198">
      <c r="B198" s="21">
        <f>IF(AND(C198&lt;&gt;"", J198&lt;&gt;""), HYPERLINK("#'" &amp; C198 &amp; "'!" &amp; J198, J198), "")</f>
        <v/>
      </c>
    </row>
    <row r="199">
      <c r="B199" s="21">
        <f>IF(AND(C199&lt;&gt;"", J199&lt;&gt;""), HYPERLINK("#'" &amp; C199 &amp; "'!" &amp; J199, J199), "")</f>
        <v/>
      </c>
    </row>
    <row r="200">
      <c r="B200" s="21">
        <f>IF(AND(C200&lt;&gt;"", J200&lt;&gt;""), HYPERLINK("#'" &amp; C200 &amp; "'!" &amp; J200, J200), "")</f>
        <v/>
      </c>
    </row>
    <row r="201">
      <c r="B201" s="21">
        <f>IF(AND(C201&lt;&gt;"", J201&lt;&gt;""), HYPERLINK("#'" &amp; C201 &amp; "'!" &amp; J201, J201), "")</f>
        <v/>
      </c>
    </row>
    <row r="202">
      <c r="B202" s="21">
        <f>IF(AND(C202&lt;&gt;"", J202&lt;&gt;""), HYPERLINK("#'" &amp; C202 &amp; "'!" &amp; J202, J202), "")</f>
        <v/>
      </c>
    </row>
    <row r="203">
      <c r="B203" s="21">
        <f>IF(AND(C203&lt;&gt;"", J203&lt;&gt;""), HYPERLINK("#'" &amp; C203 &amp; "'!" &amp; J203, J203), "")</f>
        <v/>
      </c>
    </row>
    <row r="204">
      <c r="B204" s="21">
        <f>IF(AND(C204&lt;&gt;"", J204&lt;&gt;""), HYPERLINK("#'" &amp; C204 &amp; "'!" &amp; J204, J204), "")</f>
        <v/>
      </c>
    </row>
    <row r="205">
      <c r="B205" s="21">
        <f>IF(AND(C205&lt;&gt;"", J205&lt;&gt;""), HYPERLINK("#'" &amp; C205 &amp; "'!" &amp; J205, J205), "")</f>
        <v/>
      </c>
    </row>
    <row r="206">
      <c r="B206" s="21">
        <f>IF(AND(C206&lt;&gt;"", J206&lt;&gt;""), HYPERLINK("#'" &amp; C206 &amp; "'!" &amp; J206, J206), "")</f>
        <v/>
      </c>
    </row>
    <row r="207">
      <c r="B207" s="21">
        <f>IF(AND(C207&lt;&gt;"", J207&lt;&gt;""), HYPERLINK("#'" &amp; C207 &amp; "'!" &amp; J207, J207), "")</f>
        <v/>
      </c>
    </row>
    <row r="208">
      <c r="B208" s="21">
        <f>IF(AND(C208&lt;&gt;"", J208&lt;&gt;""), HYPERLINK("#'" &amp; C208 &amp; "'!" &amp; J208, J208), "")</f>
        <v/>
      </c>
    </row>
    <row r="209">
      <c r="B209" s="21">
        <f>IF(AND(C209&lt;&gt;"", J209&lt;&gt;""), HYPERLINK("#'" &amp; C209 &amp; "'!" &amp; J209, J209), "")</f>
        <v/>
      </c>
    </row>
    <row r="210">
      <c r="B210" s="21">
        <f>IF(AND(C210&lt;&gt;"", J210&lt;&gt;""), HYPERLINK("#'" &amp; C210 &amp; "'!" &amp; J210, J210), "")</f>
        <v/>
      </c>
    </row>
    <row r="211">
      <c r="B211" s="21">
        <f>IF(AND(C211&lt;&gt;"", J211&lt;&gt;""), HYPERLINK("#'" &amp; C211 &amp; "'!" &amp; J211, J211), "")</f>
        <v/>
      </c>
    </row>
    <row r="212">
      <c r="B212" s="21">
        <f>IF(AND(C212&lt;&gt;"", J212&lt;&gt;""), HYPERLINK("#'" &amp; C212 &amp; "'!" &amp; J212, J212), "")</f>
        <v/>
      </c>
    </row>
    <row r="213">
      <c r="B213" s="21">
        <f>IF(AND(C213&lt;&gt;"", J213&lt;&gt;""), HYPERLINK("#'" &amp; C213 &amp; "'!" &amp; J213, J213), "")</f>
        <v/>
      </c>
    </row>
    <row r="214">
      <c r="B214" s="21">
        <f>IF(AND(C214&lt;&gt;"", J214&lt;&gt;""), HYPERLINK("#'" &amp; C214 &amp; "'!" &amp; J214, J214), "")</f>
        <v/>
      </c>
    </row>
    <row r="215">
      <c r="B215" s="21">
        <f>IF(AND(C215&lt;&gt;"", J215&lt;&gt;""), HYPERLINK("#'" &amp; C215 &amp; "'!" &amp; J215, J215), "")</f>
        <v/>
      </c>
    </row>
    <row r="216">
      <c r="B216" s="21">
        <f>IF(AND(C216&lt;&gt;"", J216&lt;&gt;""), HYPERLINK("#'" &amp; C216 &amp; "'!" &amp; J216, J216), "")</f>
        <v/>
      </c>
    </row>
    <row r="217">
      <c r="B217" s="21">
        <f>IF(AND(C217&lt;&gt;"", J217&lt;&gt;""), HYPERLINK("#'" &amp; C217 &amp; "'!" &amp; J217, J217), "")</f>
        <v/>
      </c>
    </row>
    <row r="218">
      <c r="B218" s="21">
        <f>IF(AND(C218&lt;&gt;"", J218&lt;&gt;""), HYPERLINK("#'" &amp; C218 &amp; "'!" &amp; J218, J218), "")</f>
        <v/>
      </c>
    </row>
    <row r="219">
      <c r="B219" s="21">
        <f>IF(AND(C219&lt;&gt;"", J219&lt;&gt;""), HYPERLINK("#'" &amp; C219 &amp; "'!" &amp; J219, J219), "")</f>
        <v/>
      </c>
    </row>
    <row r="220">
      <c r="B220" s="21">
        <f>IF(AND(C220&lt;&gt;"", J220&lt;&gt;""), HYPERLINK("#'" &amp; C220 &amp; "'!" &amp; J220, J220), "")</f>
        <v/>
      </c>
    </row>
    <row r="221">
      <c r="B221" s="21">
        <f>IF(AND(C221&lt;&gt;"", J221&lt;&gt;""), HYPERLINK("#'" &amp; C221 &amp; "'!" &amp; J221, J221), "")</f>
        <v/>
      </c>
    </row>
    <row r="222">
      <c r="B222" s="21">
        <f>IF(AND(C222&lt;&gt;"", J222&lt;&gt;""), HYPERLINK("#'" &amp; C222 &amp; "'!" &amp; J222, J222), "")</f>
        <v/>
      </c>
    </row>
    <row r="223">
      <c r="B223" s="21">
        <f>IF(AND(C223&lt;&gt;"", J223&lt;&gt;""), HYPERLINK("#'" &amp; C223 &amp; "'!" &amp; J223, J223), "")</f>
        <v/>
      </c>
    </row>
    <row r="224">
      <c r="B224" s="21">
        <f>IF(AND(C224&lt;&gt;"", J224&lt;&gt;""), HYPERLINK("#'" &amp; C224 &amp; "'!" &amp; J224, J224), "")</f>
        <v/>
      </c>
    </row>
    <row r="225">
      <c r="B225" s="21">
        <f>IF(AND(C225&lt;&gt;"", J225&lt;&gt;""), HYPERLINK("#'" &amp; C225 &amp; "'!" &amp; J225, J225), "")</f>
        <v/>
      </c>
    </row>
    <row r="226">
      <c r="B226" s="21">
        <f>IF(AND(C226&lt;&gt;"", J226&lt;&gt;""), HYPERLINK("#'" &amp; C226 &amp; "'!" &amp; J226, J226), "")</f>
        <v/>
      </c>
    </row>
    <row r="227">
      <c r="B227" s="21">
        <f>IF(AND(C227&lt;&gt;"", J227&lt;&gt;""), HYPERLINK("#'" &amp; C227 &amp; "'!" &amp; J227, J227), "")</f>
        <v/>
      </c>
    </row>
    <row r="228">
      <c r="B228" s="21">
        <f>IF(AND(C228&lt;&gt;"", J228&lt;&gt;""), HYPERLINK("#'" &amp; C228 &amp; "'!" &amp; J228, J228), "")</f>
        <v/>
      </c>
    </row>
    <row r="229">
      <c r="B229" s="21">
        <f>IF(AND(C229&lt;&gt;"", J229&lt;&gt;""), HYPERLINK("#'" &amp; C229 &amp; "'!" &amp; J229, J229), "")</f>
        <v/>
      </c>
    </row>
    <row r="230">
      <c r="B230" s="21">
        <f>IF(AND(C230&lt;&gt;"", J230&lt;&gt;""), HYPERLINK("#'" &amp; C230 &amp; "'!" &amp; J230, J230), "")</f>
        <v/>
      </c>
    </row>
    <row r="231">
      <c r="B231" s="21">
        <f>IF(AND(C231&lt;&gt;"", J231&lt;&gt;""), HYPERLINK("#'" &amp; C231 &amp; "'!" &amp; J231, J231), "")</f>
        <v/>
      </c>
    </row>
    <row r="232">
      <c r="B232" s="21">
        <f>IF(AND(C232&lt;&gt;"", J232&lt;&gt;""), HYPERLINK("#'" &amp; C232 &amp; "'!" &amp; J232, J232), "")</f>
        <v/>
      </c>
    </row>
    <row r="233">
      <c r="B233" s="21">
        <f>IF(AND(C233&lt;&gt;"", J233&lt;&gt;""), HYPERLINK("#'" &amp; C233 &amp; "'!" &amp; J233, J233), "")</f>
        <v/>
      </c>
    </row>
    <row r="234">
      <c r="B234" s="21">
        <f>IF(AND(C234&lt;&gt;"", J234&lt;&gt;""), HYPERLINK("#'" &amp; C234 &amp; "'!" &amp; J234, J234), "")</f>
        <v/>
      </c>
    </row>
    <row r="235">
      <c r="B235" s="21">
        <f>IF(AND(C235&lt;&gt;"", J235&lt;&gt;""), HYPERLINK("#'" &amp; C235 &amp; "'!" &amp; J235, J235), "")</f>
        <v/>
      </c>
    </row>
    <row r="236">
      <c r="B236" s="21">
        <f>IF(AND(C236&lt;&gt;"", J236&lt;&gt;""), HYPERLINK("#'" &amp; C236 &amp; "'!" &amp; J236, J236), "")</f>
        <v/>
      </c>
    </row>
    <row r="237">
      <c r="B237" s="21">
        <f>IF(AND(C237&lt;&gt;"", J237&lt;&gt;""), HYPERLINK("#'" &amp; C237 &amp; "'!" &amp; J237, J237), "")</f>
        <v/>
      </c>
    </row>
    <row r="238">
      <c r="B238" s="21">
        <f>IF(AND(C238&lt;&gt;"", J238&lt;&gt;""), HYPERLINK("#'" &amp; C238 &amp; "'!" &amp; J238, J238), "")</f>
        <v/>
      </c>
    </row>
    <row r="239">
      <c r="B239" s="21">
        <f>IF(AND(C239&lt;&gt;"", J239&lt;&gt;""), HYPERLINK("#'" &amp; C239 &amp; "'!" &amp; J239, J239), "")</f>
        <v/>
      </c>
    </row>
    <row r="240">
      <c r="B240" s="21">
        <f>IF(AND(C240&lt;&gt;"", J240&lt;&gt;""), HYPERLINK("#'" &amp; C240 &amp; "'!" &amp; J240, J240), "")</f>
        <v/>
      </c>
    </row>
    <row r="241">
      <c r="B241" s="21">
        <f>IF(AND(C241&lt;&gt;"", J241&lt;&gt;""), HYPERLINK("#'" &amp; C241 &amp; "'!" &amp; J241, J241), "")</f>
        <v/>
      </c>
    </row>
    <row r="242">
      <c r="B242" s="21">
        <f>IF(AND(C242&lt;&gt;"", J242&lt;&gt;""), HYPERLINK("#'" &amp; C242 &amp; "'!" &amp; J242, J242), "")</f>
        <v/>
      </c>
    </row>
    <row r="243">
      <c r="B243" s="21">
        <f>IF(AND(C243&lt;&gt;"", J243&lt;&gt;""), HYPERLINK("#'" &amp; C243 &amp; "'!" &amp; J243, J243), "")</f>
        <v/>
      </c>
    </row>
    <row r="244">
      <c r="B244" s="21">
        <f>IF(AND(C244&lt;&gt;"", J244&lt;&gt;""), HYPERLINK("#'" &amp; C244 &amp; "'!" &amp; J244, J244), "")</f>
        <v/>
      </c>
    </row>
    <row r="245">
      <c r="B245" s="21">
        <f>IF(AND(C245&lt;&gt;"", J245&lt;&gt;""), HYPERLINK("#'" &amp; C245 &amp; "'!" &amp; J245, J245), "")</f>
        <v/>
      </c>
    </row>
    <row r="246">
      <c r="B246" s="21">
        <f>IF(AND(C246&lt;&gt;"", J246&lt;&gt;""), HYPERLINK("#'" &amp; C246 &amp; "'!" &amp; J246, J246), "")</f>
        <v/>
      </c>
    </row>
    <row r="247">
      <c r="B247" s="21">
        <f>IF(AND(C247&lt;&gt;"", J247&lt;&gt;""), HYPERLINK("#'" &amp; C247 &amp; "'!" &amp; J247, J247), "")</f>
        <v/>
      </c>
    </row>
    <row r="248">
      <c r="B248" s="21">
        <f>IF(AND(C248&lt;&gt;"", J248&lt;&gt;""), HYPERLINK("#'" &amp; C248 &amp; "'!" &amp; J248, J248), "")</f>
        <v/>
      </c>
    </row>
    <row r="249">
      <c r="B249" s="21">
        <f>IF(AND(C249&lt;&gt;"", J249&lt;&gt;""), HYPERLINK("#'" &amp; C249 &amp; "'!" &amp; J249, J249), "")</f>
        <v/>
      </c>
    </row>
    <row r="250">
      <c r="B250" s="21">
        <f>IF(AND(C250&lt;&gt;"", J250&lt;&gt;""), HYPERLINK("#'" &amp; C250 &amp; "'!" &amp; J250, J250), "")</f>
        <v/>
      </c>
    </row>
    <row r="251">
      <c r="B251" s="21">
        <f>IF(AND(C251&lt;&gt;"", J251&lt;&gt;""), HYPERLINK("#'" &amp; C251 &amp; "'!" &amp; J251, J251), "")</f>
        <v/>
      </c>
    </row>
    <row r="252">
      <c r="B252" s="21">
        <f>IF(AND(C252&lt;&gt;"", J252&lt;&gt;""), HYPERLINK("#'" &amp; C252 &amp; "'!" &amp; J252, J252), "")</f>
        <v/>
      </c>
    </row>
    <row r="253">
      <c r="B253" s="21">
        <f>IF(AND(C253&lt;&gt;"", J253&lt;&gt;""), HYPERLINK("#'" &amp; C253 &amp; "'!" &amp; J253, J253), "")</f>
        <v/>
      </c>
    </row>
    <row r="254">
      <c r="B254" s="21">
        <f>IF(AND(C254&lt;&gt;"", J254&lt;&gt;""), HYPERLINK("#'" &amp; C254 &amp; "'!" &amp; J254, J254), "")</f>
        <v/>
      </c>
    </row>
    <row r="255">
      <c r="B255" s="21">
        <f>IF(AND(C255&lt;&gt;"", J255&lt;&gt;""), HYPERLINK("#'" &amp; C255 &amp; "'!" &amp; J255, J255), "")</f>
        <v/>
      </c>
    </row>
    <row r="256">
      <c r="B256" s="21">
        <f>IF(AND(C256&lt;&gt;"", J256&lt;&gt;""), HYPERLINK("#'" &amp; C256 &amp; "'!" &amp; J256, J256), "")</f>
        <v/>
      </c>
    </row>
    <row r="257">
      <c r="B257" s="21">
        <f>IF(AND(C257&lt;&gt;"", J257&lt;&gt;""), HYPERLINK("#'" &amp; C257 &amp; "'!" &amp; J257, J257), "")</f>
        <v/>
      </c>
    </row>
    <row r="258">
      <c r="B258" s="21">
        <f>IF(AND(C258&lt;&gt;"", J258&lt;&gt;""), HYPERLINK("#'" &amp; C258 &amp; "'!" &amp; J258, J258), "")</f>
        <v/>
      </c>
    </row>
    <row r="259">
      <c r="B259" s="21">
        <f>IF(AND(C259&lt;&gt;"", J259&lt;&gt;""), HYPERLINK("#'" &amp; C259 &amp; "'!" &amp; J259, J259), "")</f>
        <v/>
      </c>
    </row>
    <row r="260">
      <c r="B260" s="21">
        <f>IF(AND(C260&lt;&gt;"", J260&lt;&gt;""), HYPERLINK("#'" &amp; C260 &amp; "'!" &amp; J260, J260), "")</f>
        <v/>
      </c>
    </row>
    <row r="261">
      <c r="B261" s="21">
        <f>IF(AND(C261&lt;&gt;"", J261&lt;&gt;""), HYPERLINK("#'" &amp; C261 &amp; "'!" &amp; J261, J261), "")</f>
        <v/>
      </c>
    </row>
    <row r="262">
      <c r="B262" s="21">
        <f>IF(AND(C262&lt;&gt;"", J262&lt;&gt;""), HYPERLINK("#'" &amp; C262 &amp; "'!" &amp; J262, J262), "")</f>
        <v/>
      </c>
    </row>
    <row r="263">
      <c r="B263" s="21">
        <f>IF(AND(C263&lt;&gt;"", J263&lt;&gt;""), HYPERLINK("#'" &amp; C263 &amp; "'!" &amp; J263, J263), "")</f>
        <v/>
      </c>
    </row>
    <row r="264">
      <c r="B264" s="21">
        <f>IF(AND(C264&lt;&gt;"", J264&lt;&gt;""), HYPERLINK("#'" &amp; C264 &amp; "'!" &amp; J264, J264), "")</f>
        <v/>
      </c>
    </row>
    <row r="265">
      <c r="B265" s="21">
        <f>IF(AND(C265&lt;&gt;"", J265&lt;&gt;""), HYPERLINK("#'" &amp; C265 &amp; "'!" &amp; J265, J265), "")</f>
        <v/>
      </c>
    </row>
    <row r="266">
      <c r="B266" s="21">
        <f>IF(AND(C266&lt;&gt;"", J266&lt;&gt;""), HYPERLINK("#'" &amp; C266 &amp; "'!" &amp; J266, J266), "")</f>
        <v/>
      </c>
    </row>
    <row r="267">
      <c r="B267" s="21">
        <f>IF(AND(C267&lt;&gt;"", J267&lt;&gt;""), HYPERLINK("#'" &amp; C267 &amp; "'!" &amp; J267, J267), "")</f>
        <v/>
      </c>
    </row>
    <row r="268">
      <c r="B268" s="21">
        <f>IF(AND(C268&lt;&gt;"", J268&lt;&gt;""), HYPERLINK("#'" &amp; C268 &amp; "'!" &amp; J268, J268), "")</f>
        <v/>
      </c>
    </row>
    <row r="269">
      <c r="B269" s="21">
        <f>IF(AND(C269&lt;&gt;"", J269&lt;&gt;""), HYPERLINK("#'" &amp; C269 &amp; "'!" &amp; J269, J269), "")</f>
        <v/>
      </c>
    </row>
    <row r="270">
      <c r="B270" s="21">
        <f>IF(AND(C270&lt;&gt;"", J270&lt;&gt;""), HYPERLINK("#'" &amp; C270 &amp; "'!" &amp; J270, J270), "")</f>
        <v/>
      </c>
    </row>
    <row r="271">
      <c r="B271" s="21">
        <f>IF(AND(C271&lt;&gt;"", J271&lt;&gt;""), HYPERLINK("#'" &amp; C271 &amp; "'!" &amp; J271, J271), "")</f>
        <v/>
      </c>
    </row>
    <row r="272">
      <c r="B272" s="21">
        <f>IF(AND(C272&lt;&gt;"", J272&lt;&gt;""), HYPERLINK("#'" &amp; C272 &amp; "'!" &amp; J272, J272), "")</f>
        <v/>
      </c>
    </row>
    <row r="273">
      <c r="B273" s="21">
        <f>IF(AND(C273&lt;&gt;"", J273&lt;&gt;""), HYPERLINK("#'" &amp; C273 &amp; "'!" &amp; J273, J273), "")</f>
        <v/>
      </c>
    </row>
    <row r="274">
      <c r="B274" s="21">
        <f>IF(AND(C274&lt;&gt;"", J274&lt;&gt;""), HYPERLINK("#'" &amp; C274 &amp; "'!" &amp; J274, J274), "")</f>
        <v/>
      </c>
    </row>
    <row r="275">
      <c r="B275" s="21">
        <f>IF(AND(C275&lt;&gt;"", J275&lt;&gt;""), HYPERLINK("#'" &amp; C275 &amp; "'!" &amp; J275, J275), "")</f>
        <v/>
      </c>
    </row>
    <row r="276">
      <c r="B276" s="21">
        <f>IF(AND(C276&lt;&gt;"", J276&lt;&gt;""), HYPERLINK("#'" &amp; C276 &amp; "'!" &amp; J276, J276), "")</f>
        <v/>
      </c>
    </row>
    <row r="277">
      <c r="B277" s="21">
        <f>IF(AND(C277&lt;&gt;"", J277&lt;&gt;""), HYPERLINK("#'" &amp; C277 &amp; "'!" &amp; J277, J277), "")</f>
        <v/>
      </c>
    </row>
    <row r="278">
      <c r="B278" s="21">
        <f>IF(AND(C278&lt;&gt;"", J278&lt;&gt;""), HYPERLINK("#'" &amp; C278 &amp; "'!" &amp; J278, J278), "")</f>
        <v/>
      </c>
    </row>
    <row r="279">
      <c r="B279" s="21">
        <f>IF(AND(C279&lt;&gt;"", J279&lt;&gt;""), HYPERLINK("#'" &amp; C279 &amp; "'!" &amp; J279, J279), "")</f>
        <v/>
      </c>
    </row>
    <row r="280">
      <c r="B280" s="21">
        <f>IF(AND(C280&lt;&gt;"", J280&lt;&gt;""), HYPERLINK("#'" &amp; C280 &amp; "'!" &amp; J280, J280), "")</f>
        <v/>
      </c>
    </row>
    <row r="281">
      <c r="B281" s="21">
        <f>IF(AND(C281&lt;&gt;"", J281&lt;&gt;""), HYPERLINK("#'" &amp; C281 &amp; "'!" &amp; J281, J281), "")</f>
        <v/>
      </c>
    </row>
    <row r="282">
      <c r="B282" s="21">
        <f>IF(AND(C282&lt;&gt;"", J282&lt;&gt;""), HYPERLINK("#'" &amp; C282 &amp; "'!" &amp; J282, J282), "")</f>
        <v/>
      </c>
    </row>
    <row r="283">
      <c r="B283" s="21">
        <f>IF(AND(C283&lt;&gt;"", J283&lt;&gt;""), HYPERLINK("#'" &amp; C283 &amp; "'!" &amp; J283, J283), "")</f>
        <v/>
      </c>
    </row>
    <row r="284">
      <c r="B284" s="21">
        <f>IF(AND(C284&lt;&gt;"", J284&lt;&gt;""), HYPERLINK("#'" &amp; C284 &amp; "'!" &amp; J284, J284), "")</f>
        <v/>
      </c>
    </row>
    <row r="285">
      <c r="B285" s="21">
        <f>IF(AND(C285&lt;&gt;"", J285&lt;&gt;""), HYPERLINK("#'" &amp; C285 &amp; "'!" &amp; J285, J285), "")</f>
        <v/>
      </c>
    </row>
    <row r="286">
      <c r="B286" s="21">
        <f>IF(AND(C286&lt;&gt;"", J286&lt;&gt;""), HYPERLINK("#'" &amp; C286 &amp; "'!" &amp; J286, J286), "")</f>
        <v/>
      </c>
    </row>
    <row r="287">
      <c r="B287" s="21">
        <f>IF(AND(C287&lt;&gt;"", J287&lt;&gt;""), HYPERLINK("#'" &amp; C287 &amp; "'!" &amp; J287, J287), "")</f>
        <v/>
      </c>
    </row>
    <row r="288">
      <c r="B288" s="21">
        <f>IF(AND(C288&lt;&gt;"", J288&lt;&gt;""), HYPERLINK("#'" &amp; C288 &amp; "'!" &amp; J288, J288), "")</f>
        <v/>
      </c>
    </row>
    <row r="289">
      <c r="B289" s="21">
        <f>IF(AND(C289&lt;&gt;"", J289&lt;&gt;""), HYPERLINK("#'" &amp; C289 &amp; "'!" &amp; J289, J289), "")</f>
        <v/>
      </c>
    </row>
    <row r="290">
      <c r="B290" s="21">
        <f>IF(AND(C290&lt;&gt;"", J290&lt;&gt;""), HYPERLINK("#'" &amp; C290 &amp; "'!" &amp; J290, J290), "")</f>
        <v/>
      </c>
    </row>
    <row r="291">
      <c r="B291" s="21">
        <f>IF(AND(C291&lt;&gt;"", J291&lt;&gt;""), HYPERLINK("#'" &amp; C291 &amp; "'!" &amp; J291, J291), "")</f>
        <v/>
      </c>
    </row>
    <row r="292">
      <c r="B292" s="21">
        <f>IF(AND(C292&lt;&gt;"", J292&lt;&gt;""), HYPERLINK("#'" &amp; C292 &amp; "'!" &amp; J292, J292), "")</f>
        <v/>
      </c>
    </row>
    <row r="293">
      <c r="B293" s="21">
        <f>IF(AND(C293&lt;&gt;"", J293&lt;&gt;""), HYPERLINK("#'" &amp; C293 &amp; "'!" &amp; J293, J293), "")</f>
        <v/>
      </c>
    </row>
    <row r="294">
      <c r="B294" s="21">
        <f>IF(AND(C294&lt;&gt;"", J294&lt;&gt;""), HYPERLINK("#'" &amp; C294 &amp; "'!" &amp; J294, J294), "")</f>
        <v/>
      </c>
    </row>
    <row r="295">
      <c r="B295" s="21">
        <f>IF(AND(C295&lt;&gt;"", J295&lt;&gt;""), HYPERLINK("#'" &amp; C295 &amp; "'!" &amp; J295, J295), "")</f>
        <v/>
      </c>
    </row>
    <row r="296">
      <c r="B296" s="21">
        <f>IF(AND(C296&lt;&gt;"", J296&lt;&gt;""), HYPERLINK("#'" &amp; C296 &amp; "'!" &amp; J296, J296), "")</f>
        <v/>
      </c>
    </row>
    <row r="297">
      <c r="B297" s="21">
        <f>IF(AND(C297&lt;&gt;"", J297&lt;&gt;""), HYPERLINK("#'" &amp; C297 &amp; "'!" &amp; J297, J297), "")</f>
        <v/>
      </c>
    </row>
    <row r="298">
      <c r="B298" s="21">
        <f>IF(AND(C298&lt;&gt;"", J298&lt;&gt;""), HYPERLINK("#'" &amp; C298 &amp; "'!" &amp; J298, J298), "")</f>
        <v/>
      </c>
    </row>
    <row r="299">
      <c r="B299" s="21">
        <f>IF(AND(C299&lt;&gt;"", J299&lt;&gt;""), HYPERLINK("#'" &amp; C299 &amp; "'!" &amp; J299, J299), "")</f>
        <v/>
      </c>
    </row>
    <row r="300">
      <c r="B300" s="21">
        <f>IF(AND(C300&lt;&gt;"", J300&lt;&gt;""), HYPERLINK("#'" &amp; C300 &amp; "'!" &amp; J300, J300), "")</f>
        <v/>
      </c>
    </row>
    <row r="301">
      <c r="B301" s="21">
        <f>IF(AND(C301&lt;&gt;"", J301&lt;&gt;""), HYPERLINK("#'" &amp; C301 &amp; "'!" &amp; J301, J301), "")</f>
        <v/>
      </c>
    </row>
    <row r="302">
      <c r="B302" s="21">
        <f>IF(AND(C302&lt;&gt;"", J302&lt;&gt;""), HYPERLINK("#'" &amp; C302 &amp; "'!" &amp; J302, J302), "")</f>
        <v/>
      </c>
    </row>
    <row r="303">
      <c r="B303" s="21">
        <f>IF(AND(C303&lt;&gt;"", J303&lt;&gt;""), HYPERLINK("#'" &amp; C303 &amp; "'!" &amp; J303, J303), "")</f>
        <v/>
      </c>
    </row>
    <row r="304">
      <c r="B304" s="21">
        <f>IF(AND(C304&lt;&gt;"", J304&lt;&gt;""), HYPERLINK("#'" &amp; C304 &amp; "'!" &amp; J304, J304), "")</f>
        <v/>
      </c>
    </row>
    <row r="305">
      <c r="B305" s="21">
        <f>IF(AND(C305&lt;&gt;"", J305&lt;&gt;""), HYPERLINK("#'" &amp; C305 &amp; "'!" &amp; J305, J305), "")</f>
        <v/>
      </c>
    </row>
    <row r="306">
      <c r="B306" s="21">
        <f>IF(AND(C306&lt;&gt;"", J306&lt;&gt;""), HYPERLINK("#'" &amp; C306 &amp; "'!" &amp; J306, J306), "")</f>
        <v/>
      </c>
    </row>
    <row r="307">
      <c r="B307" s="21">
        <f>IF(AND(C307&lt;&gt;"", J307&lt;&gt;""), HYPERLINK("#'" &amp; C307 &amp; "'!" &amp; J307, J307), "")</f>
        <v/>
      </c>
    </row>
    <row r="308">
      <c r="B308" s="21">
        <f>IF(AND(C308&lt;&gt;"", J308&lt;&gt;""), HYPERLINK("#'" &amp; C308 &amp; "'!" &amp; J308, J308), "")</f>
        <v/>
      </c>
    </row>
    <row r="309">
      <c r="B309" s="21">
        <f>IF(AND(C309&lt;&gt;"", J309&lt;&gt;""), HYPERLINK("#'" &amp; C309 &amp; "'!" &amp; J309, J309), "")</f>
        <v/>
      </c>
    </row>
    <row r="310">
      <c r="B310" s="21">
        <f>IF(AND(C310&lt;&gt;"", J310&lt;&gt;""), HYPERLINK("#'" &amp; C310 &amp; "'!" &amp; J310, J310), "")</f>
        <v/>
      </c>
    </row>
    <row r="311">
      <c r="B311" s="21">
        <f>IF(AND(C311&lt;&gt;"", J311&lt;&gt;""), HYPERLINK("#'" &amp; C311 &amp; "'!" &amp; J311, J311), "")</f>
        <v/>
      </c>
    </row>
    <row r="312">
      <c r="B312" s="21">
        <f>IF(AND(C312&lt;&gt;"", J312&lt;&gt;""), HYPERLINK("#'" &amp; C312 &amp; "'!" &amp; J312, J312), "")</f>
        <v/>
      </c>
    </row>
    <row r="313">
      <c r="B313" s="21">
        <f>IF(AND(C313&lt;&gt;"", J313&lt;&gt;""), HYPERLINK("#'" &amp; C313 &amp; "'!" &amp; J313, J313), "")</f>
        <v/>
      </c>
    </row>
    <row r="314">
      <c r="B314" s="21">
        <f>IF(AND(C314&lt;&gt;"", J314&lt;&gt;""), HYPERLINK("#'" &amp; C314 &amp; "'!" &amp; J314, J314), "")</f>
        <v/>
      </c>
    </row>
    <row r="315">
      <c r="B315" s="21">
        <f>IF(AND(C315&lt;&gt;"", J315&lt;&gt;""), HYPERLINK("#'" &amp; C315 &amp; "'!" &amp; J315, J315), "")</f>
        <v/>
      </c>
    </row>
    <row r="316">
      <c r="B316" s="21">
        <f>IF(AND(C316&lt;&gt;"", J316&lt;&gt;""), HYPERLINK("#'" &amp; C316 &amp; "'!" &amp; J316, J316), "")</f>
        <v/>
      </c>
    </row>
    <row r="317">
      <c r="B317" s="21">
        <f>IF(AND(C317&lt;&gt;"", J317&lt;&gt;""), HYPERLINK("#'" &amp; C317 &amp; "'!" &amp; J317, J317), "")</f>
        <v/>
      </c>
    </row>
    <row r="318">
      <c r="B318" s="21">
        <f>IF(AND(C318&lt;&gt;"", J318&lt;&gt;""), HYPERLINK("#'" &amp; C318 &amp; "'!" &amp; J318, J318), "")</f>
        <v/>
      </c>
    </row>
    <row r="319">
      <c r="B319" s="21">
        <f>IF(AND(C319&lt;&gt;"", J319&lt;&gt;""), HYPERLINK("#'" &amp; C319 &amp; "'!" &amp; J319, J319), "")</f>
        <v/>
      </c>
    </row>
    <row r="320">
      <c r="B320" s="21">
        <f>IF(AND(C320&lt;&gt;"", J320&lt;&gt;""), HYPERLINK("#'" &amp; C320 &amp; "'!" &amp; J320, J320), "")</f>
        <v/>
      </c>
    </row>
    <row r="321">
      <c r="B321" s="21">
        <f>IF(AND(C321&lt;&gt;"", J321&lt;&gt;""), HYPERLINK("#'" &amp; C321 &amp; "'!" &amp; J321, J321), "")</f>
        <v/>
      </c>
    </row>
    <row r="322">
      <c r="B322" s="21">
        <f>IF(AND(C322&lt;&gt;"", J322&lt;&gt;""), HYPERLINK("#'" &amp; C322 &amp; "'!" &amp; J322, J322), "")</f>
        <v/>
      </c>
    </row>
    <row r="323">
      <c r="B323" s="21">
        <f>IF(AND(C323&lt;&gt;"", J323&lt;&gt;""), HYPERLINK("#'" &amp; C323 &amp; "'!" &amp; J323, J323), "")</f>
        <v/>
      </c>
    </row>
    <row r="324">
      <c r="B324" s="21">
        <f>IF(AND(C324&lt;&gt;"", J324&lt;&gt;""), HYPERLINK("#'" &amp; C324 &amp; "'!" &amp; J324, J324), "")</f>
        <v/>
      </c>
    </row>
    <row r="325">
      <c r="B325" s="21">
        <f>IF(AND(C325&lt;&gt;"", J325&lt;&gt;""), HYPERLINK("#'" &amp; C325 &amp; "'!" &amp; J325, J325), "")</f>
        <v/>
      </c>
    </row>
    <row r="326">
      <c r="B326" s="21">
        <f>IF(AND(C326&lt;&gt;"", J326&lt;&gt;""), HYPERLINK("#'" &amp; C326 &amp; "'!" &amp; J326, J326), "")</f>
        <v/>
      </c>
    </row>
    <row r="327">
      <c r="B327" s="21">
        <f>IF(AND(C327&lt;&gt;"", J327&lt;&gt;""), HYPERLINK("#'" &amp; C327 &amp; "'!" &amp; J327, J327), "")</f>
        <v/>
      </c>
    </row>
    <row r="328">
      <c r="B328" s="21">
        <f>IF(AND(C328&lt;&gt;"", J328&lt;&gt;""), HYPERLINK("#'" &amp; C328 &amp; "'!" &amp; J328, J328), "")</f>
        <v/>
      </c>
    </row>
    <row r="329">
      <c r="B329" s="21">
        <f>IF(AND(C329&lt;&gt;"", J329&lt;&gt;""), HYPERLINK("#'" &amp; C329 &amp; "'!" &amp; J329, J329), "")</f>
        <v/>
      </c>
    </row>
    <row r="330">
      <c r="B330" s="21">
        <f>IF(AND(C330&lt;&gt;"", J330&lt;&gt;""), HYPERLINK("#'" &amp; C330 &amp; "'!" &amp; J330, J330), "")</f>
        <v/>
      </c>
    </row>
    <row r="331">
      <c r="B331" s="21">
        <f>IF(AND(C331&lt;&gt;"", J331&lt;&gt;""), HYPERLINK("#'" &amp; C331 &amp; "'!" &amp; J331, J331), "")</f>
        <v/>
      </c>
    </row>
    <row r="332">
      <c r="B332" s="21">
        <f>IF(AND(C332&lt;&gt;"", J332&lt;&gt;""), HYPERLINK("#'" &amp; C332 &amp; "'!" &amp; J332, J332), "")</f>
        <v/>
      </c>
    </row>
    <row r="333">
      <c r="B333" s="21">
        <f>IF(AND(C333&lt;&gt;"", J333&lt;&gt;""), HYPERLINK("#'" &amp; C333 &amp; "'!" &amp; J333, J333), "")</f>
        <v/>
      </c>
    </row>
    <row r="334">
      <c r="B334" s="21">
        <f>IF(AND(C334&lt;&gt;"", J334&lt;&gt;""), HYPERLINK("#'" &amp; C334 &amp; "'!" &amp; J334, J334), "")</f>
        <v/>
      </c>
    </row>
    <row r="335">
      <c r="B335" s="21">
        <f>IF(AND(C335&lt;&gt;"", J335&lt;&gt;""), HYPERLINK("#'" &amp; C335 &amp; "'!" &amp; J335, J335), "")</f>
        <v/>
      </c>
    </row>
    <row r="336">
      <c r="B336" s="21">
        <f>IF(AND(C336&lt;&gt;"", J336&lt;&gt;""), HYPERLINK("#'" &amp; C336 &amp; "'!" &amp; J336, J336), "")</f>
        <v/>
      </c>
    </row>
    <row r="337">
      <c r="B337" s="21">
        <f>IF(AND(C337&lt;&gt;"", J337&lt;&gt;""), HYPERLINK("#'" &amp; C337 &amp; "'!" &amp; J337, J337), "")</f>
        <v/>
      </c>
    </row>
    <row r="338">
      <c r="B338" s="21">
        <f>IF(AND(C338&lt;&gt;"", J338&lt;&gt;""), HYPERLINK("#'" &amp; C338 &amp; "'!" &amp; J338, J338), "")</f>
        <v/>
      </c>
    </row>
    <row r="339">
      <c r="B339" s="21">
        <f>IF(AND(C339&lt;&gt;"", J339&lt;&gt;""), HYPERLINK("#'" &amp; C339 &amp; "'!" &amp; J339, J339), "")</f>
        <v/>
      </c>
    </row>
    <row r="340">
      <c r="B340" s="21">
        <f>IF(AND(C340&lt;&gt;"", J340&lt;&gt;""), HYPERLINK("#'" &amp; C340 &amp; "'!" &amp; J340, J340), "")</f>
        <v/>
      </c>
    </row>
    <row r="341">
      <c r="B341" s="21">
        <f>IF(AND(C341&lt;&gt;"", J341&lt;&gt;""), HYPERLINK("#'" &amp; C341 &amp; "'!" &amp; J341, J341), "")</f>
        <v/>
      </c>
    </row>
    <row r="342">
      <c r="B342" s="21">
        <f>IF(AND(C342&lt;&gt;"", J342&lt;&gt;""), HYPERLINK("#'" &amp; C342 &amp; "'!" &amp; J342, J342), "")</f>
        <v/>
      </c>
    </row>
    <row r="343">
      <c r="B343" s="21">
        <f>IF(AND(C343&lt;&gt;"", J343&lt;&gt;""), HYPERLINK("#'" &amp; C343 &amp; "'!" &amp; J343, J343), "")</f>
        <v/>
      </c>
    </row>
    <row r="344">
      <c r="B344" s="21">
        <f>IF(AND(C344&lt;&gt;"", J344&lt;&gt;""), HYPERLINK("#'" &amp; C344 &amp; "'!" &amp; J344, J344), "")</f>
        <v/>
      </c>
    </row>
    <row r="345">
      <c r="B345" s="21">
        <f>IF(AND(C345&lt;&gt;"", J345&lt;&gt;""), HYPERLINK("#'" &amp; C345 &amp; "'!" &amp; J345, J345), "")</f>
        <v/>
      </c>
    </row>
    <row r="346">
      <c r="B346" s="21">
        <f>IF(AND(C346&lt;&gt;"", J346&lt;&gt;""), HYPERLINK("#'" &amp; C346 &amp; "'!" &amp; J346, J346), "")</f>
        <v/>
      </c>
    </row>
    <row r="347">
      <c r="B347" s="21">
        <f>IF(AND(C347&lt;&gt;"", J347&lt;&gt;""), HYPERLINK("#'" &amp; C347 &amp; "'!" &amp; J347, J347), "")</f>
        <v/>
      </c>
    </row>
    <row r="348">
      <c r="B348" s="21">
        <f>IF(AND(C348&lt;&gt;"", J348&lt;&gt;""), HYPERLINK("#'" &amp; C348 &amp; "'!" &amp; J348, J348), "")</f>
        <v/>
      </c>
    </row>
    <row r="349">
      <c r="B349" s="21">
        <f>IF(AND(C349&lt;&gt;"", J349&lt;&gt;""), HYPERLINK("#'" &amp; C349 &amp; "'!" &amp; J349, J349), "")</f>
        <v/>
      </c>
    </row>
    <row r="350">
      <c r="B350" s="21">
        <f>IF(AND(C350&lt;&gt;"", J350&lt;&gt;""), HYPERLINK("#'" &amp; C350 &amp; "'!" &amp; J350, J350), "")</f>
        <v/>
      </c>
    </row>
    <row r="351">
      <c r="B351" s="21">
        <f>IF(AND(C351&lt;&gt;"", J351&lt;&gt;""), HYPERLINK("#'" &amp; C351 &amp; "'!" &amp; J351, J351), "")</f>
        <v/>
      </c>
    </row>
    <row r="352">
      <c r="B352" s="21">
        <f>IF(AND(C352&lt;&gt;"", J352&lt;&gt;""), HYPERLINK("#'" &amp; C352 &amp; "'!" &amp; J352, J352), "")</f>
        <v/>
      </c>
    </row>
    <row r="353">
      <c r="B353" s="21">
        <f>IF(AND(C353&lt;&gt;"", J353&lt;&gt;""), HYPERLINK("#'" &amp; C353 &amp; "'!" &amp; J353, J353), "")</f>
        <v/>
      </c>
    </row>
    <row r="354">
      <c r="B354" s="21">
        <f>IF(AND(C354&lt;&gt;"", J354&lt;&gt;""), HYPERLINK("#'" &amp; C354 &amp; "'!" &amp; J354, J354), "")</f>
        <v/>
      </c>
    </row>
    <row r="355">
      <c r="B355" s="21">
        <f>IF(AND(C355&lt;&gt;"", J355&lt;&gt;""), HYPERLINK("#'" &amp; C355 &amp; "'!" &amp; J355, J355), "")</f>
        <v/>
      </c>
    </row>
    <row r="356">
      <c r="B356" s="21">
        <f>IF(AND(C356&lt;&gt;"", J356&lt;&gt;""), HYPERLINK("#'" &amp; C356 &amp; "'!" &amp; J356, J356), "")</f>
        <v/>
      </c>
    </row>
    <row r="357">
      <c r="B357" s="21">
        <f>IF(AND(C357&lt;&gt;"", J357&lt;&gt;""), HYPERLINK("#'" &amp; C357 &amp; "'!" &amp; J357, J357), "")</f>
        <v/>
      </c>
    </row>
    <row r="358">
      <c r="B358" s="21">
        <f>IF(AND(C358&lt;&gt;"", J358&lt;&gt;""), HYPERLINK("#'" &amp; C358 &amp; "'!" &amp; J358, J358), "")</f>
        <v/>
      </c>
    </row>
    <row r="359">
      <c r="B359" s="21">
        <f>IF(AND(C359&lt;&gt;"", J359&lt;&gt;""), HYPERLINK("#'" &amp; C359 &amp; "'!" &amp; J359, J359), "")</f>
        <v/>
      </c>
    </row>
    <row r="360">
      <c r="B360" s="21">
        <f>IF(AND(C360&lt;&gt;"", J360&lt;&gt;""), HYPERLINK("#'" &amp; C360 &amp; "'!" &amp; J360, J360), "")</f>
        <v/>
      </c>
    </row>
    <row r="361">
      <c r="B361" s="21">
        <f>IF(AND(C361&lt;&gt;"", J361&lt;&gt;""), HYPERLINK("#'" &amp; C361 &amp; "'!" &amp; J361, J361), "")</f>
        <v/>
      </c>
    </row>
    <row r="362">
      <c r="B362" s="21">
        <f>IF(AND(C362&lt;&gt;"", J362&lt;&gt;""), HYPERLINK("#'" &amp; C362 &amp; "'!" &amp; J362, J362), "")</f>
        <v/>
      </c>
    </row>
    <row r="363">
      <c r="B363" s="21">
        <f>IF(AND(C363&lt;&gt;"", J363&lt;&gt;""), HYPERLINK("#'" &amp; C363 &amp; "'!" &amp; J363, J363), "")</f>
        <v/>
      </c>
    </row>
    <row r="364">
      <c r="B364" s="21">
        <f>IF(AND(C364&lt;&gt;"", J364&lt;&gt;""), HYPERLINK("#'" &amp; C364 &amp; "'!" &amp; J364, J364), "")</f>
        <v/>
      </c>
    </row>
    <row r="365">
      <c r="B365" s="21">
        <f>IF(AND(C365&lt;&gt;"", J365&lt;&gt;""), HYPERLINK("#'" &amp; C365 &amp; "'!" &amp; J365, J365), "")</f>
        <v/>
      </c>
    </row>
    <row r="366">
      <c r="B366" s="21">
        <f>IF(AND(C366&lt;&gt;"", J366&lt;&gt;""), HYPERLINK("#'" &amp; C366 &amp; "'!" &amp; J366, J366), "")</f>
        <v/>
      </c>
    </row>
    <row r="367">
      <c r="B367" s="21">
        <f>IF(AND(C367&lt;&gt;"", J367&lt;&gt;""), HYPERLINK("#'" &amp; C367 &amp; "'!" &amp; J367, J367), "")</f>
        <v/>
      </c>
    </row>
    <row r="368">
      <c r="B368" s="21">
        <f>IF(AND(C368&lt;&gt;"", J368&lt;&gt;""), HYPERLINK("#'" &amp; C368 &amp; "'!" &amp; J368, J368), "")</f>
        <v/>
      </c>
    </row>
    <row r="369">
      <c r="B369" s="21">
        <f>IF(AND(C369&lt;&gt;"", J369&lt;&gt;""), HYPERLINK("#'" &amp; C369 &amp; "'!" &amp; J369, J369), "")</f>
        <v/>
      </c>
    </row>
    <row r="370">
      <c r="B370" s="21">
        <f>IF(AND(C370&lt;&gt;"", J370&lt;&gt;""), HYPERLINK("#'" &amp; C370 &amp; "'!" &amp; J370, J370), "")</f>
        <v/>
      </c>
    </row>
    <row r="371">
      <c r="B371" s="21">
        <f>IF(AND(C371&lt;&gt;"", J371&lt;&gt;""), HYPERLINK("#'" &amp; C371 &amp; "'!" &amp; J371, J371), "")</f>
        <v/>
      </c>
    </row>
    <row r="372">
      <c r="B372" s="21">
        <f>IF(AND(C372&lt;&gt;"", J372&lt;&gt;""), HYPERLINK("#'" &amp; C372 &amp; "'!" &amp; J372, J372), "")</f>
        <v/>
      </c>
    </row>
    <row r="373">
      <c r="B373" s="21">
        <f>IF(AND(C373&lt;&gt;"", J373&lt;&gt;""), HYPERLINK("#'" &amp; C373 &amp; "'!" &amp; J373, J373), "")</f>
        <v/>
      </c>
    </row>
    <row r="374">
      <c r="B374" s="21">
        <f>IF(AND(C374&lt;&gt;"", J374&lt;&gt;""), HYPERLINK("#'" &amp; C374 &amp; "'!" &amp; J374, J374), "")</f>
        <v/>
      </c>
    </row>
    <row r="375">
      <c r="B375" s="21">
        <f>IF(AND(C375&lt;&gt;"", J375&lt;&gt;""), HYPERLINK("#'" &amp; C375 &amp; "'!" &amp; J375, J375), "")</f>
        <v/>
      </c>
    </row>
    <row r="376">
      <c r="B376" s="21">
        <f>IF(AND(C376&lt;&gt;"", J376&lt;&gt;""), HYPERLINK("#'" &amp; C376 &amp; "'!" &amp; J376, J376), "")</f>
        <v/>
      </c>
    </row>
    <row r="377">
      <c r="B377" s="21">
        <f>IF(AND(C377&lt;&gt;"", J377&lt;&gt;""), HYPERLINK("#'" &amp; C377 &amp; "'!" &amp; J377, J377), "")</f>
        <v/>
      </c>
    </row>
    <row r="378">
      <c r="B378" s="21">
        <f>IF(AND(C378&lt;&gt;"", J378&lt;&gt;""), HYPERLINK("#'" &amp; C378 &amp; "'!" &amp; J378, J378), "")</f>
        <v/>
      </c>
    </row>
    <row r="379">
      <c r="B379" s="21">
        <f>IF(AND(C379&lt;&gt;"", J379&lt;&gt;""), HYPERLINK("#'" &amp; C379 &amp; "'!" &amp; J379, J379), "")</f>
        <v/>
      </c>
    </row>
    <row r="380">
      <c r="B380" s="21">
        <f>IF(AND(C380&lt;&gt;"", J380&lt;&gt;""), HYPERLINK("#'" &amp; C380 &amp; "'!" &amp; J380, J380), "")</f>
        <v/>
      </c>
    </row>
    <row r="381">
      <c r="B381" s="21">
        <f>IF(AND(C381&lt;&gt;"", J381&lt;&gt;""), HYPERLINK("#'" &amp; C381 &amp; "'!" &amp; J381, J381), "")</f>
        <v/>
      </c>
    </row>
    <row r="382">
      <c r="B382" s="21">
        <f>IF(AND(C382&lt;&gt;"", J382&lt;&gt;""), HYPERLINK("#'" &amp; C382 &amp; "'!" &amp; J382, J382), "")</f>
        <v/>
      </c>
    </row>
    <row r="383">
      <c r="B383" s="21">
        <f>IF(AND(C383&lt;&gt;"", J383&lt;&gt;""), HYPERLINK("#'" &amp; C383 &amp; "'!" &amp; J383, J383), "")</f>
        <v/>
      </c>
    </row>
    <row r="384">
      <c r="B384" s="21">
        <f>IF(AND(C384&lt;&gt;"", J384&lt;&gt;""), HYPERLINK("#'" &amp; C384 &amp; "'!" &amp; J384, J384), "")</f>
        <v/>
      </c>
    </row>
    <row r="385">
      <c r="B385" s="21">
        <f>IF(AND(C385&lt;&gt;"", J385&lt;&gt;""), HYPERLINK("#'" &amp; C385 &amp; "'!" &amp; J385, J385), "")</f>
        <v/>
      </c>
    </row>
    <row r="386">
      <c r="B386" s="21">
        <f>IF(AND(C386&lt;&gt;"", J386&lt;&gt;""), HYPERLINK("#'" &amp; C386 &amp; "'!" &amp; J386, J386), "")</f>
        <v/>
      </c>
    </row>
    <row r="387">
      <c r="B387" s="21">
        <f>IF(AND(C387&lt;&gt;"", J387&lt;&gt;""), HYPERLINK("#'" &amp; C387 &amp; "'!" &amp; J387, J387), "")</f>
        <v/>
      </c>
    </row>
    <row r="388">
      <c r="B388" s="21">
        <f>IF(AND(C388&lt;&gt;"", J388&lt;&gt;""), HYPERLINK("#'" &amp; C388 &amp; "'!" &amp; J388, J388), "")</f>
        <v/>
      </c>
    </row>
    <row r="389">
      <c r="B389" s="21">
        <f>IF(AND(C389&lt;&gt;"", J389&lt;&gt;""), HYPERLINK("#'" &amp; C389 &amp; "'!" &amp; J389, J389), "")</f>
        <v/>
      </c>
    </row>
    <row r="390">
      <c r="B390" s="21">
        <f>IF(AND(C390&lt;&gt;"", J390&lt;&gt;""), HYPERLINK("#'" &amp; C390 &amp; "'!" &amp; J390, J390), "")</f>
        <v/>
      </c>
    </row>
    <row r="391">
      <c r="B391" s="21">
        <f>IF(AND(C391&lt;&gt;"", J391&lt;&gt;""), HYPERLINK("#'" &amp; C391 &amp; "'!" &amp; J391, J391), "")</f>
        <v/>
      </c>
    </row>
    <row r="392">
      <c r="B392" s="21">
        <f>IF(AND(C392&lt;&gt;"", J392&lt;&gt;""), HYPERLINK("#'" &amp; C392 &amp; "'!" &amp; J392, J392), "")</f>
        <v/>
      </c>
    </row>
    <row r="393">
      <c r="B393" s="21">
        <f>IF(AND(C393&lt;&gt;"", J393&lt;&gt;""), HYPERLINK("#'" &amp; C393 &amp; "'!" &amp; J393, J393), "")</f>
        <v/>
      </c>
    </row>
    <row r="394">
      <c r="B394" s="21">
        <f>IF(AND(C394&lt;&gt;"", J394&lt;&gt;""), HYPERLINK("#'" &amp; C394 &amp; "'!" &amp; J394, J394), "")</f>
        <v/>
      </c>
    </row>
    <row r="395">
      <c r="B395" s="21">
        <f>IF(AND(C395&lt;&gt;"", J395&lt;&gt;""), HYPERLINK("#'" &amp; C395 &amp; "'!" &amp; J395, J395), "")</f>
        <v/>
      </c>
    </row>
    <row r="396">
      <c r="B396" s="21">
        <f>IF(AND(C396&lt;&gt;"", J396&lt;&gt;""), HYPERLINK("#'" &amp; C396 &amp; "'!" &amp; J396, J396), "")</f>
        <v/>
      </c>
    </row>
    <row r="397">
      <c r="B397" s="21">
        <f>IF(AND(C397&lt;&gt;"", J397&lt;&gt;""), HYPERLINK("#'" &amp; C397 &amp; "'!" &amp; J397, J397), "")</f>
        <v/>
      </c>
    </row>
    <row r="398">
      <c r="B398" s="21">
        <f>IF(AND(C398&lt;&gt;"", J398&lt;&gt;""), HYPERLINK("#'" &amp; C398 &amp; "'!" &amp; J398, J398), "")</f>
        <v/>
      </c>
    </row>
    <row r="399">
      <c r="B399" s="21">
        <f>IF(AND(C399&lt;&gt;"", J399&lt;&gt;""), HYPERLINK("#'" &amp; C399 &amp; "'!" &amp; J399, J399), "")</f>
        <v/>
      </c>
    </row>
    <row r="400">
      <c r="B400" s="21">
        <f>IF(AND(C400&lt;&gt;"", J400&lt;&gt;""), HYPERLINK("#'" &amp; C400 &amp; "'!" &amp; J400, J400), "")</f>
        <v/>
      </c>
    </row>
    <row r="401">
      <c r="B401" s="21">
        <f>IF(AND(C401&lt;&gt;"", J401&lt;&gt;""), HYPERLINK("#'" &amp; C401 &amp; "'!" &amp; J401, J401), "")</f>
        <v/>
      </c>
    </row>
    <row r="402">
      <c r="B402" s="21">
        <f>IF(AND(C402&lt;&gt;"", J402&lt;&gt;""), HYPERLINK("#'" &amp; C402 &amp; "'!" &amp; J402, J402), "")</f>
        <v/>
      </c>
    </row>
    <row r="403">
      <c r="B403" s="21">
        <f>IF(AND(C403&lt;&gt;"", J403&lt;&gt;""), HYPERLINK("#'" &amp; C403 &amp; "'!" &amp; J403, J403), "")</f>
        <v/>
      </c>
    </row>
    <row r="404">
      <c r="B404" s="21">
        <f>IF(AND(C404&lt;&gt;"", J404&lt;&gt;""), HYPERLINK("#'" &amp; C404 &amp; "'!" &amp; J404, J404), "")</f>
        <v/>
      </c>
    </row>
    <row r="405">
      <c r="B405" s="21">
        <f>IF(AND(C405&lt;&gt;"", J405&lt;&gt;""), HYPERLINK("#'" &amp; C405 &amp; "'!" &amp; J405, J405), "")</f>
        <v/>
      </c>
    </row>
    <row r="406">
      <c r="B406" s="21">
        <f>IF(AND(C406&lt;&gt;"", J406&lt;&gt;""), HYPERLINK("#'" &amp; C406 &amp; "'!" &amp; J406, J406), "")</f>
        <v/>
      </c>
    </row>
    <row r="407">
      <c r="B407" s="21">
        <f>IF(AND(C407&lt;&gt;"", J407&lt;&gt;""), HYPERLINK("#'" &amp; C407 &amp; "'!" &amp; J407, J407), "")</f>
        <v/>
      </c>
    </row>
    <row r="408">
      <c r="B408" s="21">
        <f>IF(AND(C408&lt;&gt;"", J408&lt;&gt;""), HYPERLINK("#'" &amp; C408 &amp; "'!" &amp; J408, J408), "")</f>
        <v/>
      </c>
    </row>
    <row r="409">
      <c r="B409" s="21">
        <f>IF(AND(C409&lt;&gt;"", J409&lt;&gt;""), HYPERLINK("#'" &amp; C409 &amp; "'!" &amp; J409, J409), "")</f>
        <v/>
      </c>
    </row>
    <row r="410">
      <c r="B410" s="21">
        <f>IF(AND(C410&lt;&gt;"", J410&lt;&gt;""), HYPERLINK("#'" &amp; C410 &amp; "'!" &amp; J410, J410), "")</f>
        <v/>
      </c>
    </row>
    <row r="411">
      <c r="B411" s="21">
        <f>IF(AND(C411&lt;&gt;"", J411&lt;&gt;""), HYPERLINK("#'" &amp; C411 &amp; "'!" &amp; J411, J411), "")</f>
        <v/>
      </c>
    </row>
    <row r="412">
      <c r="B412" s="21">
        <f>IF(AND(C412&lt;&gt;"", J412&lt;&gt;""), HYPERLINK("#'" &amp; C412 &amp; "'!" &amp; J412, J412), "")</f>
        <v/>
      </c>
    </row>
    <row r="413">
      <c r="B413" s="21">
        <f>IF(AND(C413&lt;&gt;"", J413&lt;&gt;""), HYPERLINK("#'" &amp; C413 &amp; "'!" &amp; J413, J413), "")</f>
        <v/>
      </c>
    </row>
    <row r="414">
      <c r="B414" s="21">
        <f>IF(AND(C414&lt;&gt;"", J414&lt;&gt;""), HYPERLINK("#'" &amp; C414 &amp; "'!" &amp; J414, J414), "")</f>
        <v/>
      </c>
    </row>
    <row r="415">
      <c r="B415" s="21">
        <f>IF(AND(C415&lt;&gt;"", J415&lt;&gt;""), HYPERLINK("#'" &amp; C415 &amp; "'!" &amp; J415, J415), "")</f>
        <v/>
      </c>
    </row>
    <row r="416">
      <c r="B416" s="21">
        <f>IF(AND(C416&lt;&gt;"", J416&lt;&gt;""), HYPERLINK("#'" &amp; C416 &amp; "'!" &amp; J416, J416), "")</f>
        <v/>
      </c>
    </row>
    <row r="417">
      <c r="B417" s="21">
        <f>IF(AND(C417&lt;&gt;"", J417&lt;&gt;""), HYPERLINK("#'" &amp; C417 &amp; "'!" &amp; J417, J417), "")</f>
        <v/>
      </c>
    </row>
    <row r="418">
      <c r="B418" s="21">
        <f>IF(AND(C418&lt;&gt;"", J418&lt;&gt;""), HYPERLINK("#'" &amp; C418 &amp; "'!" &amp; J418, J418), "")</f>
        <v/>
      </c>
    </row>
    <row r="419">
      <c r="B419" s="21">
        <f>IF(AND(C419&lt;&gt;"", J419&lt;&gt;""), HYPERLINK("#'" &amp; C419 &amp; "'!" &amp; J419, J419), "")</f>
        <v/>
      </c>
    </row>
    <row r="420">
      <c r="B420" s="21">
        <f>IF(AND(C420&lt;&gt;"", J420&lt;&gt;""), HYPERLINK("#'" &amp; C420 &amp; "'!" &amp; J420, J420), "")</f>
        <v/>
      </c>
    </row>
    <row r="421">
      <c r="B421" s="21">
        <f>IF(AND(C421&lt;&gt;"", J421&lt;&gt;""), HYPERLINK("#'" &amp; C421 &amp; "'!" &amp; J421, J421), "")</f>
        <v/>
      </c>
    </row>
    <row r="422">
      <c r="B422" s="21">
        <f>IF(AND(C422&lt;&gt;"", J422&lt;&gt;""), HYPERLINK("#'" &amp; C422 &amp; "'!" &amp; J422, J422), "")</f>
        <v/>
      </c>
    </row>
    <row r="423">
      <c r="B423" s="21">
        <f>IF(AND(C423&lt;&gt;"", J423&lt;&gt;""), HYPERLINK("#'" &amp; C423 &amp; "'!" &amp; J423, J423), "")</f>
        <v/>
      </c>
    </row>
    <row r="424">
      <c r="B424" s="21">
        <f>IF(AND(C424&lt;&gt;"", J424&lt;&gt;""), HYPERLINK("#'" &amp; C424 &amp; "'!" &amp; J424, J424), "")</f>
        <v/>
      </c>
    </row>
    <row r="425">
      <c r="B425" s="21">
        <f>IF(AND(C425&lt;&gt;"", J425&lt;&gt;""), HYPERLINK("#'" &amp; C425 &amp; "'!" &amp; J425, J425), "")</f>
        <v/>
      </c>
    </row>
    <row r="426">
      <c r="B426" s="21">
        <f>IF(AND(C426&lt;&gt;"", J426&lt;&gt;""), HYPERLINK("#'" &amp; C426 &amp; "'!" &amp; J426, J426), "")</f>
        <v/>
      </c>
    </row>
    <row r="427">
      <c r="B427" s="21">
        <f>IF(AND(C427&lt;&gt;"", J427&lt;&gt;""), HYPERLINK("#'" &amp; C427 &amp; "'!" &amp; J427, J427), "")</f>
        <v/>
      </c>
    </row>
    <row r="428">
      <c r="B428" s="21">
        <f>IF(AND(C428&lt;&gt;"", J428&lt;&gt;""), HYPERLINK("#'" &amp; C428 &amp; "'!" &amp; J428, J428), "")</f>
        <v/>
      </c>
    </row>
    <row r="429">
      <c r="B429" s="21">
        <f>IF(AND(C429&lt;&gt;"", J429&lt;&gt;""), HYPERLINK("#'" &amp; C429 &amp; "'!" &amp; J429, J429), "")</f>
        <v/>
      </c>
    </row>
    <row r="430">
      <c r="B430" s="21">
        <f>IF(AND(C430&lt;&gt;"", J430&lt;&gt;""), HYPERLINK("#'" &amp; C430 &amp; "'!" &amp; J430, J430), "")</f>
        <v/>
      </c>
    </row>
    <row r="431">
      <c r="B431" s="21">
        <f>IF(AND(C431&lt;&gt;"", J431&lt;&gt;""), HYPERLINK("#'" &amp; C431 &amp; "'!" &amp; J431, J431), "")</f>
        <v/>
      </c>
    </row>
    <row r="432">
      <c r="B432" s="21">
        <f>IF(AND(C432&lt;&gt;"", J432&lt;&gt;""), HYPERLINK("#'" &amp; C432 &amp; "'!" &amp; J432, J432), "")</f>
        <v/>
      </c>
    </row>
    <row r="433">
      <c r="B433" s="21">
        <f>IF(AND(C433&lt;&gt;"", J433&lt;&gt;""), HYPERLINK("#'" &amp; C433 &amp; "'!" &amp; J433, J433), "")</f>
        <v/>
      </c>
    </row>
    <row r="434">
      <c r="B434" s="21">
        <f>IF(AND(C434&lt;&gt;"", J434&lt;&gt;""), HYPERLINK("#'" &amp; C434 &amp; "'!" &amp; J434, J434), "")</f>
        <v/>
      </c>
    </row>
    <row r="435">
      <c r="B435" s="21">
        <f>IF(AND(C435&lt;&gt;"", J435&lt;&gt;""), HYPERLINK("#'" &amp; C435 &amp; "'!" &amp; J435, J435), "")</f>
        <v/>
      </c>
    </row>
    <row r="436">
      <c r="B436" s="21">
        <f>IF(AND(C436&lt;&gt;"", J436&lt;&gt;""), HYPERLINK("#'" &amp; C436 &amp; "'!" &amp; J436, J436), "")</f>
        <v/>
      </c>
    </row>
    <row r="437">
      <c r="B437" s="21">
        <f>IF(AND(C437&lt;&gt;"", J437&lt;&gt;""), HYPERLINK("#'" &amp; C437 &amp; "'!" &amp; J437, J437), "")</f>
        <v/>
      </c>
    </row>
    <row r="438">
      <c r="B438" s="21">
        <f>IF(AND(C438&lt;&gt;"", J438&lt;&gt;""), HYPERLINK("#'" &amp; C438 &amp; "'!" &amp; J438, J438), "")</f>
        <v/>
      </c>
    </row>
    <row r="439">
      <c r="B439" s="21">
        <f>IF(AND(C439&lt;&gt;"", J439&lt;&gt;""), HYPERLINK("#'" &amp; C439 &amp; "'!" &amp; J439, J439), "")</f>
        <v/>
      </c>
    </row>
    <row r="440">
      <c r="B440" s="21">
        <f>IF(AND(C440&lt;&gt;"", J440&lt;&gt;""), HYPERLINK("#'" &amp; C440 &amp; "'!" &amp; J440, J440), "")</f>
        <v/>
      </c>
    </row>
    <row r="441">
      <c r="B441" s="21">
        <f>IF(AND(C441&lt;&gt;"", J441&lt;&gt;""), HYPERLINK("#'" &amp; C441 &amp; "'!" &amp; J441, J441), "")</f>
        <v/>
      </c>
    </row>
    <row r="442">
      <c r="B442" s="21">
        <f>IF(AND(C442&lt;&gt;"", J442&lt;&gt;""), HYPERLINK("#'" &amp; C442 &amp; "'!" &amp; J442, J442), "")</f>
        <v/>
      </c>
    </row>
    <row r="443">
      <c r="B443" s="21">
        <f>IF(AND(C443&lt;&gt;"", J443&lt;&gt;""), HYPERLINK("#'" &amp; C443 &amp; "'!" &amp; J443, J443), "")</f>
        <v/>
      </c>
    </row>
    <row r="444">
      <c r="B444" s="21">
        <f>IF(AND(C444&lt;&gt;"", J444&lt;&gt;""), HYPERLINK("#'" &amp; C444 &amp; "'!" &amp; J444, J444), "")</f>
        <v/>
      </c>
    </row>
    <row r="445">
      <c r="B445" s="21">
        <f>IF(AND(C445&lt;&gt;"", J445&lt;&gt;""), HYPERLINK("#'" &amp; C445 &amp; "'!" &amp; J445, J445), "")</f>
        <v/>
      </c>
    </row>
    <row r="446">
      <c r="B446" s="21">
        <f>IF(AND(C446&lt;&gt;"", J446&lt;&gt;""), HYPERLINK("#'" &amp; C446 &amp; "'!" &amp; J446, J446), "")</f>
        <v/>
      </c>
    </row>
    <row r="447">
      <c r="B447" s="21">
        <f>IF(AND(C447&lt;&gt;"", J447&lt;&gt;""), HYPERLINK("#'" &amp; C447 &amp; "'!" &amp; J447, J447), "")</f>
        <v/>
      </c>
    </row>
    <row r="448">
      <c r="B448" s="21">
        <f>IF(AND(C448&lt;&gt;"", J448&lt;&gt;""), HYPERLINK("#'" &amp; C448 &amp; "'!" &amp; J448, J448), "")</f>
        <v/>
      </c>
    </row>
    <row r="449">
      <c r="B449" s="21">
        <f>IF(AND(C449&lt;&gt;"", J449&lt;&gt;""), HYPERLINK("#'" &amp; C449 &amp; "'!" &amp; J449, J449), "")</f>
        <v/>
      </c>
    </row>
    <row r="450">
      <c r="B450" s="21">
        <f>IF(AND(C450&lt;&gt;"", J450&lt;&gt;""), HYPERLINK("#'" &amp; C450 &amp; "'!" &amp; J450, J450), "")</f>
        <v/>
      </c>
    </row>
    <row r="451">
      <c r="B451" s="21">
        <f>IF(AND(C451&lt;&gt;"", J451&lt;&gt;""), HYPERLINK("#'" &amp; C451 &amp; "'!" &amp; J451, J451), "")</f>
        <v/>
      </c>
    </row>
    <row r="452">
      <c r="B452" s="21">
        <f>IF(AND(C452&lt;&gt;"", J452&lt;&gt;""), HYPERLINK("#'" &amp; C452 &amp; "'!" &amp; J452, J452), "")</f>
        <v/>
      </c>
    </row>
    <row r="453">
      <c r="B453" s="21">
        <f>IF(AND(C453&lt;&gt;"", J453&lt;&gt;""), HYPERLINK("#'" &amp; C453 &amp; "'!" &amp; J453, J453), "")</f>
        <v/>
      </c>
    </row>
    <row r="454">
      <c r="B454" s="21">
        <f>IF(AND(C454&lt;&gt;"", J454&lt;&gt;""), HYPERLINK("#'" &amp; C454 &amp; "'!" &amp; J454, J454), "")</f>
        <v/>
      </c>
    </row>
    <row r="455">
      <c r="B455" s="21">
        <f>IF(AND(C455&lt;&gt;"", J455&lt;&gt;""), HYPERLINK("#'" &amp; C455 &amp; "'!" &amp; J455, J455), "")</f>
        <v/>
      </c>
    </row>
    <row r="456">
      <c r="B456" s="21">
        <f>IF(AND(C456&lt;&gt;"", J456&lt;&gt;""), HYPERLINK("#'" &amp; C456 &amp; "'!" &amp; J456, J456), "")</f>
        <v/>
      </c>
    </row>
    <row r="457">
      <c r="B457" s="21">
        <f>IF(AND(C457&lt;&gt;"", J457&lt;&gt;""), HYPERLINK("#'" &amp; C457 &amp; "'!" &amp; J457, J457), "")</f>
        <v/>
      </c>
    </row>
    <row r="458">
      <c r="B458" s="21">
        <f>IF(AND(C458&lt;&gt;"", J458&lt;&gt;""), HYPERLINK("#'" &amp; C458 &amp; "'!" &amp; J458, J458), "")</f>
        <v/>
      </c>
    </row>
    <row r="459">
      <c r="B459" s="21">
        <f>IF(AND(C459&lt;&gt;"", J459&lt;&gt;""), HYPERLINK("#'" &amp; C459 &amp; "'!" &amp; J459, J459), "")</f>
        <v/>
      </c>
    </row>
    <row r="460">
      <c r="B460" s="21">
        <f>IF(AND(C460&lt;&gt;"", J460&lt;&gt;""), HYPERLINK("#'" &amp; C460 &amp; "'!" &amp; J460, J460), "")</f>
        <v/>
      </c>
    </row>
    <row r="461">
      <c r="B461" s="21">
        <f>IF(AND(C461&lt;&gt;"", J461&lt;&gt;""), HYPERLINK("#'" &amp; C461 &amp; "'!" &amp; J461, J461), "")</f>
        <v/>
      </c>
    </row>
    <row r="462">
      <c r="B462" s="21">
        <f>IF(AND(C462&lt;&gt;"", J462&lt;&gt;""), HYPERLINK("#'" &amp; C462 &amp; "'!" &amp; J462, J462), "")</f>
        <v/>
      </c>
    </row>
    <row r="463">
      <c r="B463" s="21">
        <f>IF(AND(C463&lt;&gt;"", J463&lt;&gt;""), HYPERLINK("#'" &amp; C463 &amp; "'!" &amp; J463, J463), "")</f>
        <v/>
      </c>
    </row>
    <row r="464">
      <c r="B464" s="21">
        <f>IF(AND(C464&lt;&gt;"", J464&lt;&gt;""), HYPERLINK("#'" &amp; C464 &amp; "'!" &amp; J464, J464), "")</f>
        <v/>
      </c>
    </row>
    <row r="465">
      <c r="B465" s="21">
        <f>IF(AND(C465&lt;&gt;"", J465&lt;&gt;""), HYPERLINK("#'" &amp; C465 &amp; "'!" &amp; J465, J465), "")</f>
        <v/>
      </c>
    </row>
    <row r="466">
      <c r="B466" s="21">
        <f>IF(AND(C466&lt;&gt;"", J466&lt;&gt;""), HYPERLINK("#'" &amp; C466 &amp; "'!" &amp; J466, J466), "")</f>
        <v/>
      </c>
    </row>
    <row r="467">
      <c r="B467" s="21">
        <f>IF(AND(C467&lt;&gt;"", J467&lt;&gt;""), HYPERLINK("#'" &amp; C467 &amp; "'!" &amp; J467, J467), "")</f>
        <v/>
      </c>
    </row>
    <row r="468">
      <c r="B468" s="21">
        <f>IF(AND(C468&lt;&gt;"", J468&lt;&gt;""), HYPERLINK("#'" &amp; C468 &amp; "'!" &amp; J468, J468), "")</f>
        <v/>
      </c>
    </row>
    <row r="469">
      <c r="B469" s="21">
        <f>IF(AND(C469&lt;&gt;"", J469&lt;&gt;""), HYPERLINK("#'" &amp; C469 &amp; "'!" &amp; J469, J469), "")</f>
        <v/>
      </c>
    </row>
    <row r="470">
      <c r="B470" s="21">
        <f>IF(AND(C470&lt;&gt;"", J470&lt;&gt;""), HYPERLINK("#'" &amp; C470 &amp; "'!" &amp; J470, J470), "")</f>
        <v/>
      </c>
    </row>
    <row r="471">
      <c r="B471" s="21">
        <f>IF(AND(C471&lt;&gt;"", J471&lt;&gt;""), HYPERLINK("#'" &amp; C471 &amp; "'!" &amp; J471, J471), "")</f>
        <v/>
      </c>
    </row>
    <row r="472">
      <c r="B472" s="21">
        <f>IF(AND(C472&lt;&gt;"", J472&lt;&gt;""), HYPERLINK("#'" &amp; C472 &amp; "'!" &amp; J472, J472), "")</f>
        <v/>
      </c>
    </row>
    <row r="473">
      <c r="B473" s="21">
        <f>IF(AND(C473&lt;&gt;"", J473&lt;&gt;""), HYPERLINK("#'" &amp; C473 &amp; "'!" &amp; J473, J473), "")</f>
        <v/>
      </c>
    </row>
    <row r="474">
      <c r="B474" s="21">
        <f>IF(AND(C474&lt;&gt;"", J474&lt;&gt;""), HYPERLINK("#'" &amp; C474 &amp; "'!" &amp; J474, J474), "")</f>
        <v/>
      </c>
    </row>
    <row r="475">
      <c r="B475" s="21">
        <f>IF(AND(C475&lt;&gt;"", J475&lt;&gt;""), HYPERLINK("#'" &amp; C475 &amp; "'!" &amp; J475, J475), "")</f>
        <v/>
      </c>
    </row>
    <row r="476">
      <c r="B476" s="21">
        <f>IF(AND(C476&lt;&gt;"", J476&lt;&gt;""), HYPERLINK("#'" &amp; C476 &amp; "'!" &amp; J476, J476), "")</f>
        <v/>
      </c>
    </row>
    <row r="477">
      <c r="B477" s="21">
        <f>IF(AND(C477&lt;&gt;"", J477&lt;&gt;""), HYPERLINK("#'" &amp; C477 &amp; "'!" &amp; J477, J477), "")</f>
        <v/>
      </c>
    </row>
    <row r="478">
      <c r="B478" s="21">
        <f>IF(AND(C478&lt;&gt;"", J478&lt;&gt;""), HYPERLINK("#'" &amp; C478 &amp; "'!" &amp; J478, J478), "")</f>
        <v/>
      </c>
    </row>
    <row r="479">
      <c r="B479" s="21">
        <f>IF(AND(C479&lt;&gt;"", J479&lt;&gt;""), HYPERLINK("#'" &amp; C479 &amp; "'!" &amp; J479, J479), "")</f>
        <v/>
      </c>
    </row>
    <row r="480">
      <c r="B480" s="21">
        <f>IF(AND(C480&lt;&gt;"", J480&lt;&gt;""), HYPERLINK("#'" &amp; C480 &amp; "'!" &amp; J480, J480), "")</f>
        <v/>
      </c>
    </row>
    <row r="481">
      <c r="B481" s="21">
        <f>IF(AND(C481&lt;&gt;"", J481&lt;&gt;""), HYPERLINK("#'" &amp; C481 &amp; "'!" &amp; J481, J481), "")</f>
        <v/>
      </c>
    </row>
    <row r="482">
      <c r="B482" s="21">
        <f>IF(AND(C482&lt;&gt;"", J482&lt;&gt;""), HYPERLINK("#'" &amp; C482 &amp; "'!" &amp; J482, J482), "")</f>
        <v/>
      </c>
    </row>
    <row r="483">
      <c r="B483" s="21">
        <f>IF(AND(C483&lt;&gt;"", J483&lt;&gt;""), HYPERLINK("#'" &amp; C483 &amp; "'!" &amp; J483, J483), "")</f>
        <v/>
      </c>
    </row>
    <row r="484">
      <c r="B484" s="21">
        <f>IF(AND(C484&lt;&gt;"", J484&lt;&gt;""), HYPERLINK("#'" &amp; C484 &amp; "'!" &amp; J484, J484), "")</f>
        <v/>
      </c>
    </row>
    <row r="485">
      <c r="B485" s="21">
        <f>IF(AND(C485&lt;&gt;"", J485&lt;&gt;""), HYPERLINK("#'" &amp; C485 &amp; "'!" &amp; J485, J485), "")</f>
        <v/>
      </c>
    </row>
    <row r="486">
      <c r="B486" s="21">
        <f>IF(AND(C486&lt;&gt;"", J486&lt;&gt;""), HYPERLINK("#'" &amp; C486 &amp; "'!" &amp; J486, J486), "")</f>
        <v/>
      </c>
    </row>
    <row r="487">
      <c r="B487" s="21">
        <f>IF(AND(C487&lt;&gt;"", J487&lt;&gt;""), HYPERLINK("#'" &amp; C487 &amp; "'!" &amp; J487, J487), "")</f>
        <v/>
      </c>
    </row>
    <row r="488">
      <c r="B488" s="21">
        <f>IF(AND(C488&lt;&gt;"", J488&lt;&gt;""), HYPERLINK("#'" &amp; C488 &amp; "'!" &amp; J488, J488), "")</f>
        <v/>
      </c>
    </row>
    <row r="489">
      <c r="B489" s="21">
        <f>IF(AND(C489&lt;&gt;"", J489&lt;&gt;""), HYPERLINK("#'" &amp; C489 &amp; "'!" &amp; J489, J489), "")</f>
        <v/>
      </c>
    </row>
    <row r="490">
      <c r="B490" s="21">
        <f>IF(AND(C490&lt;&gt;"", J490&lt;&gt;""), HYPERLINK("#'" &amp; C490 &amp; "'!" &amp; J490, J490), "")</f>
        <v/>
      </c>
    </row>
    <row r="491">
      <c r="B491" s="21">
        <f>IF(AND(C491&lt;&gt;"", J491&lt;&gt;""), HYPERLINK("#'" &amp; C491 &amp; "'!" &amp; J491, J491), "")</f>
        <v/>
      </c>
    </row>
    <row r="492">
      <c r="B492" s="21">
        <f>IF(AND(C492&lt;&gt;"", J492&lt;&gt;""), HYPERLINK("#'" &amp; C492 &amp; "'!" &amp; J492, J492), "")</f>
        <v/>
      </c>
    </row>
    <row r="493">
      <c r="B493" s="21">
        <f>IF(AND(C493&lt;&gt;"", J493&lt;&gt;""), HYPERLINK("#'" &amp; C493 &amp; "'!" &amp; J493, J493), "")</f>
        <v/>
      </c>
    </row>
    <row r="494">
      <c r="B494" s="21">
        <f>IF(AND(C494&lt;&gt;"", J494&lt;&gt;""), HYPERLINK("#'" &amp; C494 &amp; "'!" &amp; J494, J494), "")</f>
        <v/>
      </c>
    </row>
    <row r="495">
      <c r="B495" s="21">
        <f>IF(AND(C495&lt;&gt;"", J495&lt;&gt;""), HYPERLINK("#'" &amp; C495 &amp; "'!" &amp; J495, J495), "")</f>
        <v/>
      </c>
    </row>
    <row r="496">
      <c r="B496" s="21">
        <f>IF(AND(C496&lt;&gt;"", J496&lt;&gt;""), HYPERLINK("#'" &amp; C496 &amp; "'!" &amp; J496, J496), "")</f>
        <v/>
      </c>
    </row>
    <row r="497">
      <c r="B497" s="21">
        <f>IF(AND(C497&lt;&gt;"", J497&lt;&gt;""), HYPERLINK("#'" &amp; C497 &amp; "'!" &amp; J497, J497), "")</f>
        <v/>
      </c>
    </row>
    <row r="498">
      <c r="B498" s="21">
        <f>IF(AND(C498&lt;&gt;"", J498&lt;&gt;""), HYPERLINK("#'" &amp; C498 &amp; "'!" &amp; J498, J498), "")</f>
        <v/>
      </c>
    </row>
    <row r="499">
      <c r="B499" s="21">
        <f>IF(AND(C499&lt;&gt;"", J499&lt;&gt;""), HYPERLINK("#'" &amp; C499 &amp; "'!" &amp; J499, J499), "")</f>
        <v/>
      </c>
    </row>
    <row r="500">
      <c r="B500" s="21">
        <f>IF(AND(C500&lt;&gt;"", J500&lt;&gt;""), HYPERLINK("#'" &amp; C500 &amp; "'!" &amp; J500, J500), "")</f>
        <v/>
      </c>
    </row>
    <row r="501">
      <c r="B501" s="21">
        <f>IF(AND(C501&lt;&gt;"", J501&lt;&gt;""), HYPERLINK("#'" &amp; C501 &amp; "'!" &amp; J501, J501), "")</f>
        <v/>
      </c>
    </row>
    <row r="502">
      <c r="B502" s="21">
        <f>IF(AND(C502&lt;&gt;"", J502&lt;&gt;""), HYPERLINK("#'" &amp; C502 &amp; "'!" &amp; J502, J502), "")</f>
        <v/>
      </c>
    </row>
    <row r="503">
      <c r="B503" s="21">
        <f>IF(AND(C503&lt;&gt;"", J503&lt;&gt;""), HYPERLINK("#'" &amp; C503 &amp; "'!" &amp; J503, J503), "")</f>
        <v/>
      </c>
    </row>
    <row r="504">
      <c r="B504" s="21">
        <f>IF(AND(C504&lt;&gt;"", J504&lt;&gt;""), HYPERLINK("#'" &amp; C504 &amp; "'!" &amp; J504, J504), "")</f>
        <v/>
      </c>
    </row>
    <row r="505">
      <c r="B505" s="21">
        <f>IF(AND(C505&lt;&gt;"", J505&lt;&gt;""), HYPERLINK("#'" &amp; C505 &amp; "'!" &amp; J505, J505), "")</f>
        <v/>
      </c>
    </row>
    <row r="506">
      <c r="B506" s="21">
        <f>IF(AND(C506&lt;&gt;"", J506&lt;&gt;""), HYPERLINK("#'" &amp; C506 &amp; "'!" &amp; J506, J506), "")</f>
        <v/>
      </c>
    </row>
    <row r="507">
      <c r="B507" s="21">
        <f>IF(AND(C507&lt;&gt;"", J507&lt;&gt;""), HYPERLINK("#'" &amp; C507 &amp; "'!" &amp; J507, J507), "")</f>
        <v/>
      </c>
    </row>
    <row r="508">
      <c r="B508" s="21">
        <f>IF(AND(C508&lt;&gt;"", J508&lt;&gt;""), HYPERLINK("#'" &amp; C508 &amp; "'!" &amp; J508, J508), "")</f>
        <v/>
      </c>
    </row>
    <row r="509">
      <c r="B509" s="21">
        <f>IF(AND(C509&lt;&gt;"", J509&lt;&gt;""), HYPERLINK("#'" &amp; C509 &amp; "'!" &amp; J509, J509), "")</f>
        <v/>
      </c>
    </row>
    <row r="510">
      <c r="B510" s="21">
        <f>IF(AND(C510&lt;&gt;"", J510&lt;&gt;""), HYPERLINK("#'" &amp; C510 &amp; "'!" &amp; J510, J510), "")</f>
        <v/>
      </c>
    </row>
    <row r="511">
      <c r="B511" s="21">
        <f>IF(AND(C511&lt;&gt;"", J511&lt;&gt;""), HYPERLINK("#'" &amp; C511 &amp; "'!" &amp; J511, J511), "")</f>
        <v/>
      </c>
    </row>
    <row r="512">
      <c r="B512" s="21">
        <f>IF(AND(C512&lt;&gt;"", J512&lt;&gt;""), HYPERLINK("#'" &amp; C512 &amp; "'!" &amp; J512, J512), "")</f>
        <v/>
      </c>
    </row>
    <row r="513">
      <c r="B513" s="21">
        <f>IF(AND(C513&lt;&gt;"", J513&lt;&gt;""), HYPERLINK("#'" &amp; C513 &amp; "'!" &amp; J513, J513), "")</f>
        <v/>
      </c>
    </row>
    <row r="514">
      <c r="B514" s="21">
        <f>IF(AND(C514&lt;&gt;"", J514&lt;&gt;""), HYPERLINK("#'" &amp; C514 &amp; "'!" &amp; J514, J514), "")</f>
        <v/>
      </c>
    </row>
    <row r="515">
      <c r="B515" s="21">
        <f>IF(AND(C515&lt;&gt;"", J515&lt;&gt;""), HYPERLINK("#'" &amp; C515 &amp; "'!" &amp; J515, J515), "")</f>
        <v/>
      </c>
    </row>
    <row r="516">
      <c r="B516" s="21">
        <f>IF(AND(C516&lt;&gt;"", J516&lt;&gt;""), HYPERLINK("#'" &amp; C516 &amp; "'!" &amp; J516, J516), "")</f>
        <v/>
      </c>
    </row>
    <row r="517">
      <c r="B517" s="21">
        <f>IF(AND(C517&lt;&gt;"", J517&lt;&gt;""), HYPERLINK("#'" &amp; C517 &amp; "'!" &amp; J517, J517), "")</f>
        <v/>
      </c>
    </row>
    <row r="518">
      <c r="B518" s="21">
        <f>IF(AND(C518&lt;&gt;"", J518&lt;&gt;""), HYPERLINK("#'" &amp; C518 &amp; "'!" &amp; J518, J518), "")</f>
        <v/>
      </c>
    </row>
    <row r="519">
      <c r="B519" s="21">
        <f>IF(AND(C519&lt;&gt;"", J519&lt;&gt;""), HYPERLINK("#'" &amp; C519 &amp; "'!" &amp; J519, J519), "")</f>
        <v/>
      </c>
    </row>
    <row r="520">
      <c r="B520" s="21">
        <f>IF(AND(C520&lt;&gt;"", J520&lt;&gt;""), HYPERLINK("#'" &amp; C520 &amp; "'!" &amp; J520, J520), "")</f>
        <v/>
      </c>
    </row>
    <row r="521">
      <c r="B521" s="21">
        <f>IF(AND(C521&lt;&gt;"", J521&lt;&gt;""), HYPERLINK("#'" &amp; C521 &amp; "'!" &amp; J521, J521), "")</f>
        <v/>
      </c>
    </row>
    <row r="522">
      <c r="B522" s="21">
        <f>IF(AND(C522&lt;&gt;"", J522&lt;&gt;""), HYPERLINK("#'" &amp; C522 &amp; "'!" &amp; J522, J522), "")</f>
        <v/>
      </c>
    </row>
    <row r="523">
      <c r="B523" s="21">
        <f>IF(AND(C523&lt;&gt;"", J523&lt;&gt;""), HYPERLINK("#'" &amp; C523 &amp; "'!" &amp; J523, J523), "")</f>
        <v/>
      </c>
    </row>
    <row r="524">
      <c r="B524" s="21">
        <f>IF(AND(C524&lt;&gt;"", J524&lt;&gt;""), HYPERLINK("#'" &amp; C524 &amp; "'!" &amp; J524, J524), "")</f>
        <v/>
      </c>
    </row>
    <row r="525">
      <c r="B525" s="21">
        <f>IF(AND(C525&lt;&gt;"", J525&lt;&gt;""), HYPERLINK("#'" &amp; C525 &amp; "'!" &amp; J525, J525), "")</f>
        <v/>
      </c>
    </row>
    <row r="526">
      <c r="B526" s="21">
        <f>IF(AND(C526&lt;&gt;"", J526&lt;&gt;""), HYPERLINK("#'" &amp; C526 &amp; "'!" &amp; J526, J526), "")</f>
        <v/>
      </c>
    </row>
    <row r="527">
      <c r="B527" s="21">
        <f>IF(AND(C527&lt;&gt;"", J527&lt;&gt;""), HYPERLINK("#'" &amp; C527 &amp; "'!" &amp; J527, J527), "")</f>
        <v/>
      </c>
    </row>
    <row r="528">
      <c r="B528" s="21">
        <f>IF(AND(C528&lt;&gt;"", J528&lt;&gt;""), HYPERLINK("#'" &amp; C528 &amp; "'!" &amp; J528, J528), "")</f>
        <v/>
      </c>
    </row>
    <row r="529">
      <c r="B529" s="21">
        <f>IF(AND(C529&lt;&gt;"", J529&lt;&gt;""), HYPERLINK("#'" &amp; C529 &amp; "'!" &amp; J529, J529), "")</f>
        <v/>
      </c>
    </row>
    <row r="530">
      <c r="B530" s="21">
        <f>IF(AND(C530&lt;&gt;"", J530&lt;&gt;""), HYPERLINK("#'" &amp; C530 &amp; "'!" &amp; J530, J530), "")</f>
        <v/>
      </c>
    </row>
    <row r="531">
      <c r="B531" s="21">
        <f>IF(AND(C531&lt;&gt;"", J531&lt;&gt;""), HYPERLINK("#'" &amp; C531 &amp; "'!" &amp; J531, J531), "")</f>
        <v/>
      </c>
    </row>
    <row r="532">
      <c r="B532" s="21">
        <f>IF(AND(C532&lt;&gt;"", J532&lt;&gt;""), HYPERLINK("#'" &amp; C532 &amp; "'!" &amp; J532, J532), "")</f>
        <v/>
      </c>
    </row>
    <row r="533">
      <c r="B533" s="21">
        <f>IF(AND(C533&lt;&gt;"", J533&lt;&gt;""), HYPERLINK("#'" &amp; C533 &amp; "'!" &amp; J533, J533), "")</f>
        <v/>
      </c>
    </row>
    <row r="534">
      <c r="B534" s="21">
        <f>IF(AND(C534&lt;&gt;"", J534&lt;&gt;""), HYPERLINK("#'" &amp; C534 &amp; "'!" &amp; J534, J534), "")</f>
        <v/>
      </c>
    </row>
    <row r="535">
      <c r="B535" s="21">
        <f>IF(AND(C535&lt;&gt;"", J535&lt;&gt;""), HYPERLINK("#'" &amp; C535 &amp; "'!" &amp; J535, J535), "")</f>
        <v/>
      </c>
    </row>
    <row r="536">
      <c r="B536" s="21">
        <f>IF(AND(C536&lt;&gt;"", J536&lt;&gt;""), HYPERLINK("#'" &amp; C536 &amp; "'!" &amp; J536, J536), "")</f>
        <v/>
      </c>
    </row>
    <row r="537">
      <c r="B537" s="21">
        <f>IF(AND(C537&lt;&gt;"", J537&lt;&gt;""), HYPERLINK("#'" &amp; C537 &amp; "'!" &amp; J537, J537), "")</f>
        <v/>
      </c>
    </row>
    <row r="538">
      <c r="B538" s="21">
        <f>IF(AND(C538&lt;&gt;"", J538&lt;&gt;""), HYPERLINK("#'" &amp; C538 &amp; "'!" &amp; J538, J538), "")</f>
        <v/>
      </c>
    </row>
    <row r="539">
      <c r="B539" s="21">
        <f>IF(AND(C539&lt;&gt;"", J539&lt;&gt;""), HYPERLINK("#'" &amp; C539 &amp; "'!" &amp; J539, J539), "")</f>
        <v/>
      </c>
    </row>
    <row r="540">
      <c r="B540" s="21">
        <f>IF(AND(C540&lt;&gt;"", J540&lt;&gt;""), HYPERLINK("#'" &amp; C540 &amp; "'!" &amp; J540, J540), "")</f>
        <v/>
      </c>
    </row>
    <row r="541">
      <c r="B541" s="21">
        <f>IF(AND(C541&lt;&gt;"", J541&lt;&gt;""), HYPERLINK("#'" &amp; C541 &amp; "'!" &amp; J541, J541), "")</f>
        <v/>
      </c>
    </row>
    <row r="542">
      <c r="B542" s="21">
        <f>IF(AND(C542&lt;&gt;"", J542&lt;&gt;""), HYPERLINK("#'" &amp; C542 &amp; "'!" &amp; J542, J542), "")</f>
        <v/>
      </c>
    </row>
    <row r="543">
      <c r="B543" s="21">
        <f>IF(AND(C543&lt;&gt;"", J543&lt;&gt;""), HYPERLINK("#'" &amp; C543 &amp; "'!" &amp; J543, J543), "")</f>
        <v/>
      </c>
    </row>
    <row r="544">
      <c r="B544" s="21">
        <f>IF(AND(C544&lt;&gt;"", J544&lt;&gt;""), HYPERLINK("#'" &amp; C544 &amp; "'!" &amp; J544, J544), "")</f>
        <v/>
      </c>
    </row>
    <row r="545">
      <c r="B545" s="21">
        <f>IF(AND(C545&lt;&gt;"", J545&lt;&gt;""), HYPERLINK("#'" &amp; C545 &amp; "'!" &amp; J545, J545), "")</f>
        <v/>
      </c>
    </row>
    <row r="546">
      <c r="B546" s="21">
        <f>IF(AND(C546&lt;&gt;"", J546&lt;&gt;""), HYPERLINK("#'" &amp; C546 &amp; "'!" &amp; J546, J546), "")</f>
        <v/>
      </c>
    </row>
    <row r="547">
      <c r="B547" s="21">
        <f>IF(AND(C547&lt;&gt;"", J547&lt;&gt;""), HYPERLINK("#'" &amp; C547 &amp; "'!" &amp; J547, J547), "")</f>
        <v/>
      </c>
    </row>
    <row r="548">
      <c r="B548" s="21">
        <f>IF(AND(C548&lt;&gt;"", J548&lt;&gt;""), HYPERLINK("#'" &amp; C548 &amp; "'!" &amp; J548, J548), "")</f>
        <v/>
      </c>
    </row>
    <row r="549">
      <c r="B549" s="21">
        <f>IF(AND(C549&lt;&gt;"", J549&lt;&gt;""), HYPERLINK("#'" &amp; C549 &amp; "'!" &amp; J549, J549), "")</f>
        <v/>
      </c>
    </row>
    <row r="550">
      <c r="B550" s="21">
        <f>IF(AND(C550&lt;&gt;"", J550&lt;&gt;""), HYPERLINK("#'" &amp; C550 &amp; "'!" &amp; J550, J550), "")</f>
        <v/>
      </c>
    </row>
    <row r="551">
      <c r="B551" s="21">
        <f>IF(AND(C551&lt;&gt;"", J551&lt;&gt;""), HYPERLINK("#'" &amp; C551 &amp; "'!" &amp; J551, J551), "")</f>
        <v/>
      </c>
    </row>
    <row r="552">
      <c r="B552" s="21">
        <f>IF(AND(C552&lt;&gt;"", J552&lt;&gt;""), HYPERLINK("#'" &amp; C552 &amp; "'!" &amp; J552, J552), "")</f>
        <v/>
      </c>
    </row>
    <row r="553">
      <c r="B553" s="21">
        <f>IF(AND(C553&lt;&gt;"", J553&lt;&gt;""), HYPERLINK("#'" &amp; C553 &amp; "'!" &amp; J553, J553), "")</f>
        <v/>
      </c>
    </row>
    <row r="554">
      <c r="B554" s="21">
        <f>IF(AND(C554&lt;&gt;"", J554&lt;&gt;""), HYPERLINK("#'" &amp; C554 &amp; "'!" &amp; J554, J554), "")</f>
        <v/>
      </c>
    </row>
    <row r="555">
      <c r="B555" s="21">
        <f>IF(AND(C555&lt;&gt;"", J555&lt;&gt;""), HYPERLINK("#'" &amp; C555 &amp; "'!" &amp; J555, J555), "")</f>
        <v/>
      </c>
    </row>
    <row r="556">
      <c r="B556" s="21">
        <f>IF(AND(C556&lt;&gt;"", J556&lt;&gt;""), HYPERLINK("#'" &amp; C556 &amp; "'!" &amp; J556, J556), "")</f>
        <v/>
      </c>
    </row>
    <row r="557">
      <c r="B557" s="21">
        <f>IF(AND(C557&lt;&gt;"", J557&lt;&gt;""), HYPERLINK("#'" &amp; C557 &amp; "'!" &amp; J557, J557), "")</f>
        <v/>
      </c>
    </row>
    <row r="558">
      <c r="B558" s="21">
        <f>IF(AND(C558&lt;&gt;"", J558&lt;&gt;""), HYPERLINK("#'" &amp; C558 &amp; "'!" &amp; J558, J558), "")</f>
        <v/>
      </c>
    </row>
    <row r="559">
      <c r="B559" s="21">
        <f>IF(AND(C559&lt;&gt;"", J559&lt;&gt;""), HYPERLINK("#'" &amp; C559 &amp; "'!" &amp; J559, J559), "")</f>
        <v/>
      </c>
    </row>
    <row r="560">
      <c r="B560" s="21">
        <f>IF(AND(C560&lt;&gt;"", J560&lt;&gt;""), HYPERLINK("#'" &amp; C560 &amp; "'!" &amp; J560, J560), "")</f>
        <v/>
      </c>
    </row>
    <row r="561">
      <c r="B561" s="21">
        <f>IF(AND(C561&lt;&gt;"", J561&lt;&gt;""), HYPERLINK("#'" &amp; C561 &amp; "'!" &amp; J561, J561), "")</f>
        <v/>
      </c>
    </row>
    <row r="562">
      <c r="B562" s="21">
        <f>IF(AND(C562&lt;&gt;"", J562&lt;&gt;""), HYPERLINK("#'" &amp; C562 &amp; "'!" &amp; J562, J562), "")</f>
        <v/>
      </c>
    </row>
    <row r="563">
      <c r="B563" s="21">
        <f>IF(AND(C563&lt;&gt;"", J563&lt;&gt;""), HYPERLINK("#'" &amp; C563 &amp; "'!" &amp; J563, J563), "")</f>
        <v/>
      </c>
    </row>
    <row r="564">
      <c r="B564" s="21">
        <f>IF(AND(C564&lt;&gt;"", J564&lt;&gt;""), HYPERLINK("#'" &amp; C564 &amp; "'!" &amp; J564, J564), "")</f>
        <v/>
      </c>
    </row>
    <row r="565">
      <c r="B565" s="21">
        <f>IF(AND(C565&lt;&gt;"", J565&lt;&gt;""), HYPERLINK("#'" &amp; C565 &amp; "'!" &amp; J565, J565), "")</f>
        <v/>
      </c>
    </row>
    <row r="566">
      <c r="B566" s="21">
        <f>IF(AND(C566&lt;&gt;"", J566&lt;&gt;""), HYPERLINK("#'" &amp; C566 &amp; "'!" &amp; J566, J566), "")</f>
        <v/>
      </c>
    </row>
    <row r="567">
      <c r="B567" s="21">
        <f>IF(AND(C567&lt;&gt;"", J567&lt;&gt;""), HYPERLINK("#'" &amp; C567 &amp; "'!" &amp; J567, J567), "")</f>
        <v/>
      </c>
    </row>
    <row r="568">
      <c r="B568" s="21">
        <f>IF(AND(C568&lt;&gt;"", J568&lt;&gt;""), HYPERLINK("#'" &amp; C568 &amp; "'!" &amp; J568, J568), "")</f>
        <v/>
      </c>
    </row>
    <row r="569">
      <c r="B569" s="21">
        <f>IF(AND(C569&lt;&gt;"", J569&lt;&gt;""), HYPERLINK("#'" &amp; C569 &amp; "'!" &amp; J569, J569), "")</f>
        <v/>
      </c>
    </row>
    <row r="570">
      <c r="B570" s="21">
        <f>IF(AND(C570&lt;&gt;"", J570&lt;&gt;""), HYPERLINK("#'" &amp; C570 &amp; "'!" &amp; J570, J570), "")</f>
        <v/>
      </c>
    </row>
    <row r="571">
      <c r="B571" s="21">
        <f>IF(AND(C571&lt;&gt;"", J571&lt;&gt;""), HYPERLINK("#'" &amp; C571 &amp; "'!" &amp; J571, J571), "")</f>
        <v/>
      </c>
    </row>
    <row r="572">
      <c r="B572" s="21">
        <f>IF(AND(C572&lt;&gt;"", J572&lt;&gt;""), HYPERLINK("#'" &amp; C572 &amp; "'!" &amp; J572, J572), "")</f>
        <v/>
      </c>
    </row>
    <row r="573">
      <c r="B573" s="21">
        <f>IF(AND(C573&lt;&gt;"", J573&lt;&gt;""), HYPERLINK("#'" &amp; C573 &amp; "'!" &amp; J573, J573), "")</f>
        <v/>
      </c>
    </row>
    <row r="574">
      <c r="B574" s="21">
        <f>IF(AND(C574&lt;&gt;"", J574&lt;&gt;""), HYPERLINK("#'" &amp; C574 &amp; "'!" &amp; J574, J574), "")</f>
        <v/>
      </c>
    </row>
    <row r="575">
      <c r="B575" s="21">
        <f>IF(AND(C575&lt;&gt;"", J575&lt;&gt;""), HYPERLINK("#'" &amp; C575 &amp; "'!" &amp; J575, J575), "")</f>
        <v/>
      </c>
    </row>
    <row r="576">
      <c r="B576" s="21">
        <f>IF(AND(C576&lt;&gt;"", J576&lt;&gt;""), HYPERLINK("#'" &amp; C576 &amp; "'!" &amp; J576, J576), "")</f>
        <v/>
      </c>
    </row>
    <row r="577">
      <c r="B577" s="21">
        <f>IF(AND(C577&lt;&gt;"", J577&lt;&gt;""), HYPERLINK("#'" &amp; C577 &amp; "'!" &amp; J577, J577), "")</f>
        <v/>
      </c>
    </row>
    <row r="578">
      <c r="B578" s="21">
        <f>IF(AND(C578&lt;&gt;"", J578&lt;&gt;""), HYPERLINK("#'" &amp; C578 &amp; "'!" &amp; J578, J578), "")</f>
        <v/>
      </c>
    </row>
    <row r="579">
      <c r="B579" s="21">
        <f>IF(AND(C579&lt;&gt;"", J579&lt;&gt;""), HYPERLINK("#'" &amp; C579 &amp; "'!" &amp; J579, J579), "")</f>
        <v/>
      </c>
    </row>
    <row r="580">
      <c r="B580" s="21">
        <f>IF(AND(C580&lt;&gt;"", J580&lt;&gt;""), HYPERLINK("#'" &amp; C580 &amp; "'!" &amp; J580, J580), "")</f>
        <v/>
      </c>
    </row>
    <row r="581">
      <c r="B581" s="21">
        <f>IF(AND(C581&lt;&gt;"", J581&lt;&gt;""), HYPERLINK("#'" &amp; C581 &amp; "'!" &amp; J581, J581), "")</f>
        <v/>
      </c>
    </row>
    <row r="582">
      <c r="B582" s="21">
        <f>IF(AND(C582&lt;&gt;"", J582&lt;&gt;""), HYPERLINK("#'" &amp; C582 &amp; "'!" &amp; J582, J582), "")</f>
        <v/>
      </c>
    </row>
    <row r="583">
      <c r="B583" s="21">
        <f>IF(AND(C583&lt;&gt;"", J583&lt;&gt;""), HYPERLINK("#'" &amp; C583 &amp; "'!" &amp; J583, J583), "")</f>
        <v/>
      </c>
    </row>
    <row r="584">
      <c r="B584" s="21">
        <f>IF(AND(C584&lt;&gt;"", J584&lt;&gt;""), HYPERLINK("#'" &amp; C584 &amp; "'!" &amp; J584, J584), "")</f>
        <v/>
      </c>
    </row>
    <row r="585">
      <c r="B585" s="21">
        <f>IF(AND(C585&lt;&gt;"", J585&lt;&gt;""), HYPERLINK("#'" &amp; C585 &amp; "'!" &amp; J585, J585), "")</f>
        <v/>
      </c>
    </row>
    <row r="586">
      <c r="B586" s="21">
        <f>IF(AND(C586&lt;&gt;"", J586&lt;&gt;""), HYPERLINK("#'" &amp; C586 &amp; "'!" &amp; J586, J586), "")</f>
        <v/>
      </c>
    </row>
    <row r="587">
      <c r="B587" s="21">
        <f>IF(AND(C587&lt;&gt;"", J587&lt;&gt;""), HYPERLINK("#'" &amp; C587 &amp; "'!" &amp; J587, J587), "")</f>
        <v/>
      </c>
    </row>
    <row r="588">
      <c r="B588" s="21">
        <f>IF(AND(C588&lt;&gt;"", J588&lt;&gt;""), HYPERLINK("#'" &amp; C588 &amp; "'!" &amp; J588, J588), "")</f>
        <v/>
      </c>
    </row>
    <row r="589">
      <c r="B589" s="21">
        <f>IF(AND(C589&lt;&gt;"", J589&lt;&gt;""), HYPERLINK("#'" &amp; C589 &amp; "'!" &amp; J589, J589), "")</f>
        <v/>
      </c>
    </row>
    <row r="590">
      <c r="B590" s="21">
        <f>IF(AND(C590&lt;&gt;"", J590&lt;&gt;""), HYPERLINK("#'" &amp; C590 &amp; "'!" &amp; J590, J590), "")</f>
        <v/>
      </c>
    </row>
    <row r="591">
      <c r="B591" s="21">
        <f>IF(AND(C591&lt;&gt;"", J591&lt;&gt;""), HYPERLINK("#'" &amp; C591 &amp; "'!" &amp; J591, J591), "")</f>
        <v/>
      </c>
    </row>
    <row r="592">
      <c r="B592" s="21">
        <f>IF(AND(C592&lt;&gt;"", J592&lt;&gt;""), HYPERLINK("#'" &amp; C592 &amp; "'!" &amp; J592, J592), "")</f>
        <v/>
      </c>
    </row>
    <row r="593">
      <c r="B593" s="21">
        <f>IF(AND(C593&lt;&gt;"", J593&lt;&gt;""), HYPERLINK("#'" &amp; C593 &amp; "'!" &amp; J593, J593), "")</f>
        <v/>
      </c>
    </row>
    <row r="594">
      <c r="B594" s="21">
        <f>IF(AND(C594&lt;&gt;"", J594&lt;&gt;""), HYPERLINK("#'" &amp; C594 &amp; "'!" &amp; J594, J594), "")</f>
        <v/>
      </c>
    </row>
    <row r="595">
      <c r="B595" s="21">
        <f>IF(AND(C595&lt;&gt;"", J595&lt;&gt;""), HYPERLINK("#'" &amp; C595 &amp; "'!" &amp; J595, J595), "")</f>
        <v/>
      </c>
    </row>
    <row r="596">
      <c r="B596" s="21">
        <f>IF(AND(C596&lt;&gt;"", J596&lt;&gt;""), HYPERLINK("#'" &amp; C596 &amp; "'!" &amp; J596, J596), "")</f>
        <v/>
      </c>
    </row>
    <row r="597">
      <c r="B597" s="21">
        <f>IF(AND(C597&lt;&gt;"", J597&lt;&gt;""), HYPERLINK("#'" &amp; C597 &amp; "'!" &amp; J597, J597), "")</f>
        <v/>
      </c>
    </row>
    <row r="598">
      <c r="B598" s="21">
        <f>IF(AND(C598&lt;&gt;"", J598&lt;&gt;""), HYPERLINK("#'" &amp; C598 &amp; "'!" &amp; J598, J598), "")</f>
        <v/>
      </c>
    </row>
    <row r="599">
      <c r="B599" s="21">
        <f>IF(AND(C599&lt;&gt;"", J599&lt;&gt;""), HYPERLINK("#'" &amp; C599 &amp; "'!" &amp; J599, J599), "")</f>
        <v/>
      </c>
    </row>
    <row r="600">
      <c r="B600" s="21">
        <f>IF(AND(C600&lt;&gt;"", J600&lt;&gt;""), HYPERLINK("#'" &amp; C600 &amp; "'!" &amp; J600, J600), "")</f>
        <v/>
      </c>
    </row>
    <row r="601">
      <c r="B601" s="21">
        <f>IF(AND(C601&lt;&gt;"", J601&lt;&gt;""), HYPERLINK("#'" &amp; C601 &amp; "'!" &amp; J601, J601), "")</f>
        <v/>
      </c>
    </row>
    <row r="602">
      <c r="B602" s="21">
        <f>IF(AND(C602&lt;&gt;"", J602&lt;&gt;""), HYPERLINK("#'" &amp; C602 &amp; "'!" &amp; J602, J602), "")</f>
        <v/>
      </c>
    </row>
    <row r="603">
      <c r="B603" s="21">
        <f>IF(AND(C603&lt;&gt;"", J603&lt;&gt;""), HYPERLINK("#'" &amp; C603 &amp; "'!" &amp; J603, J603), "")</f>
        <v/>
      </c>
    </row>
    <row r="604">
      <c r="B604" s="21">
        <f>IF(AND(C604&lt;&gt;"", J604&lt;&gt;""), HYPERLINK("#'" &amp; C604 &amp; "'!" &amp; J604, J604), "")</f>
        <v/>
      </c>
    </row>
    <row r="605">
      <c r="B605" s="21">
        <f>IF(AND(C605&lt;&gt;"", J605&lt;&gt;""), HYPERLINK("#'" &amp; C605 &amp; "'!" &amp; J605, J605), "")</f>
        <v/>
      </c>
    </row>
    <row r="606">
      <c r="B606" s="21">
        <f>IF(AND(C606&lt;&gt;"", J606&lt;&gt;""), HYPERLINK("#'" &amp; C606 &amp; "'!" &amp; J606, J606), "")</f>
        <v/>
      </c>
    </row>
    <row r="607">
      <c r="B607" s="21">
        <f>IF(AND(C607&lt;&gt;"", J607&lt;&gt;""), HYPERLINK("#'" &amp; C607 &amp; "'!" &amp; J607, J607), "")</f>
        <v/>
      </c>
    </row>
    <row r="608">
      <c r="B608" s="21">
        <f>IF(AND(C608&lt;&gt;"", J608&lt;&gt;""), HYPERLINK("#'" &amp; C608 &amp; "'!" &amp; J608, J608), "")</f>
        <v/>
      </c>
    </row>
    <row r="609">
      <c r="B609" s="21">
        <f>IF(AND(C609&lt;&gt;"", J609&lt;&gt;""), HYPERLINK("#'" &amp; C609 &amp; "'!" &amp; J609, J609), "")</f>
        <v/>
      </c>
    </row>
    <row r="610">
      <c r="B610" s="21">
        <f>IF(AND(C610&lt;&gt;"", J610&lt;&gt;""), HYPERLINK("#'" &amp; C610 &amp; "'!" &amp; J610, J610), "")</f>
        <v/>
      </c>
    </row>
    <row r="611">
      <c r="B611" s="21">
        <f>IF(AND(C611&lt;&gt;"", J611&lt;&gt;""), HYPERLINK("#'" &amp; C611 &amp; "'!" &amp; J611, J611), "")</f>
        <v/>
      </c>
    </row>
    <row r="612">
      <c r="B612" s="21">
        <f>IF(AND(C612&lt;&gt;"", J612&lt;&gt;""), HYPERLINK("#'" &amp; C612 &amp; "'!" &amp; J612, J612), "")</f>
        <v/>
      </c>
    </row>
    <row r="613">
      <c r="B613" s="21">
        <f>IF(AND(C613&lt;&gt;"", J613&lt;&gt;""), HYPERLINK("#'" &amp; C613 &amp; "'!" &amp; J613, J613), "")</f>
        <v/>
      </c>
    </row>
    <row r="614">
      <c r="B614" s="21">
        <f>IF(AND(C614&lt;&gt;"", J614&lt;&gt;""), HYPERLINK("#'" &amp; C614 &amp; "'!" &amp; J614, J614), "")</f>
        <v/>
      </c>
    </row>
    <row r="615">
      <c r="B615" s="21">
        <f>IF(AND(C615&lt;&gt;"", J615&lt;&gt;""), HYPERLINK("#'" &amp; C615 &amp; "'!" &amp; J615, J615), "")</f>
        <v/>
      </c>
    </row>
    <row r="616">
      <c r="B616" s="21">
        <f>IF(AND(C616&lt;&gt;"", J616&lt;&gt;""), HYPERLINK("#'" &amp; C616 &amp; "'!" &amp; J616, J616), "")</f>
        <v/>
      </c>
    </row>
    <row r="617">
      <c r="B617" s="21">
        <f>IF(AND(C617&lt;&gt;"", J617&lt;&gt;""), HYPERLINK("#'" &amp; C617 &amp; "'!" &amp; J617, J617), "")</f>
        <v/>
      </c>
    </row>
    <row r="618">
      <c r="B618" s="21">
        <f>IF(AND(C618&lt;&gt;"", J618&lt;&gt;""), HYPERLINK("#'" &amp; C618 &amp; "'!" &amp; J618, J618), "")</f>
        <v/>
      </c>
    </row>
    <row r="619">
      <c r="B619" s="21">
        <f>IF(AND(C619&lt;&gt;"", J619&lt;&gt;""), HYPERLINK("#'" &amp; C619 &amp; "'!" &amp; J619, J619), "")</f>
        <v/>
      </c>
    </row>
    <row r="620">
      <c r="B620" s="21">
        <f>IF(AND(C620&lt;&gt;"", J620&lt;&gt;""), HYPERLINK("#'" &amp; C620 &amp; "'!" &amp; J620, J620), "")</f>
        <v/>
      </c>
    </row>
    <row r="621">
      <c r="B621" s="21">
        <f>IF(AND(C621&lt;&gt;"", J621&lt;&gt;""), HYPERLINK("#'" &amp; C621 &amp; "'!" &amp; J621, J621), "")</f>
        <v/>
      </c>
    </row>
    <row r="622">
      <c r="B622" s="21">
        <f>IF(AND(C622&lt;&gt;"", J622&lt;&gt;""), HYPERLINK("#'" &amp; C622 &amp; "'!" &amp; J622, J622), "")</f>
        <v/>
      </c>
    </row>
    <row r="623">
      <c r="B623" s="21">
        <f>IF(AND(C623&lt;&gt;"", J623&lt;&gt;""), HYPERLINK("#'" &amp; C623 &amp; "'!" &amp; J623, J623), "")</f>
        <v/>
      </c>
    </row>
    <row r="624">
      <c r="B624" s="21">
        <f>IF(AND(C624&lt;&gt;"", J624&lt;&gt;""), HYPERLINK("#'" &amp; C624 &amp; "'!" &amp; J624, J624), "")</f>
        <v/>
      </c>
    </row>
    <row r="625">
      <c r="B625" s="21">
        <f>IF(AND(C625&lt;&gt;"", J625&lt;&gt;""), HYPERLINK("#'" &amp; C625 &amp; "'!" &amp; J625, J625), "")</f>
        <v/>
      </c>
    </row>
    <row r="626">
      <c r="B626" s="21">
        <f>IF(AND(C626&lt;&gt;"", J626&lt;&gt;""), HYPERLINK("#'" &amp; C626 &amp; "'!" &amp; J626, J626), "")</f>
        <v/>
      </c>
    </row>
    <row r="627">
      <c r="B627" s="21">
        <f>IF(AND(C627&lt;&gt;"", J627&lt;&gt;""), HYPERLINK("#'" &amp; C627 &amp; "'!" &amp; J627, J627), "")</f>
        <v/>
      </c>
    </row>
    <row r="628">
      <c r="B628" s="21">
        <f>IF(AND(C628&lt;&gt;"", J628&lt;&gt;""), HYPERLINK("#'" &amp; C628 &amp; "'!" &amp; J628, J628), "")</f>
        <v/>
      </c>
    </row>
    <row r="629">
      <c r="B629" s="21">
        <f>IF(AND(C629&lt;&gt;"", J629&lt;&gt;""), HYPERLINK("#'" &amp; C629 &amp; "'!" &amp; J629, J629), "")</f>
        <v/>
      </c>
    </row>
    <row r="630">
      <c r="B630" s="21">
        <f>IF(AND(C630&lt;&gt;"", J630&lt;&gt;""), HYPERLINK("#'" &amp; C630 &amp; "'!" &amp; J630, J630), "")</f>
        <v/>
      </c>
    </row>
    <row r="631">
      <c r="B631" s="21">
        <f>IF(AND(C631&lt;&gt;"", J631&lt;&gt;""), HYPERLINK("#'" &amp; C631 &amp; "'!" &amp; J631, J631), "")</f>
        <v/>
      </c>
    </row>
    <row r="632">
      <c r="B632" s="21">
        <f>IF(AND(C632&lt;&gt;"", J632&lt;&gt;""), HYPERLINK("#'" &amp; C632 &amp; "'!" &amp; J632, J632), "")</f>
        <v/>
      </c>
    </row>
    <row r="633">
      <c r="B633" s="21">
        <f>IF(AND(C633&lt;&gt;"", J633&lt;&gt;""), HYPERLINK("#'" &amp; C633 &amp; "'!" &amp; J633, J633), "")</f>
        <v/>
      </c>
    </row>
    <row r="634">
      <c r="B634" s="21">
        <f>IF(AND(C634&lt;&gt;"", J634&lt;&gt;""), HYPERLINK("#'" &amp; C634 &amp; "'!" &amp; J634, J634), "")</f>
        <v/>
      </c>
    </row>
    <row r="635">
      <c r="B635" s="21">
        <f>IF(AND(C635&lt;&gt;"", J635&lt;&gt;""), HYPERLINK("#'" &amp; C635 &amp; "'!" &amp; J635, J635), "")</f>
        <v/>
      </c>
    </row>
    <row r="636">
      <c r="B636" s="21">
        <f>IF(AND(C636&lt;&gt;"", J636&lt;&gt;""), HYPERLINK("#'" &amp; C636 &amp; "'!" &amp; J636, J636), "")</f>
        <v/>
      </c>
    </row>
    <row r="637">
      <c r="B637" s="21">
        <f>IF(AND(C637&lt;&gt;"", J637&lt;&gt;""), HYPERLINK("#'" &amp; C637 &amp; "'!" &amp; J637, J637), "")</f>
        <v/>
      </c>
    </row>
    <row r="638">
      <c r="B638" s="21">
        <f>IF(AND(C638&lt;&gt;"", J638&lt;&gt;""), HYPERLINK("#'" &amp; C638 &amp; "'!" &amp; J638, J638), "")</f>
        <v/>
      </c>
    </row>
    <row r="639">
      <c r="B639" s="21">
        <f>IF(AND(C639&lt;&gt;"", J639&lt;&gt;""), HYPERLINK("#'" &amp; C639 &amp; "'!" &amp; J639, J639), "")</f>
        <v/>
      </c>
    </row>
    <row r="640">
      <c r="B640" s="21">
        <f>IF(AND(C640&lt;&gt;"", J640&lt;&gt;""), HYPERLINK("#'" &amp; C640 &amp; "'!" &amp; J640, J640), "")</f>
        <v/>
      </c>
    </row>
    <row r="641">
      <c r="B641" s="21">
        <f>IF(AND(C641&lt;&gt;"", J641&lt;&gt;""), HYPERLINK("#'" &amp; C641 &amp; "'!" &amp; J641, J641), "")</f>
        <v/>
      </c>
    </row>
    <row r="642">
      <c r="B642" s="21">
        <f>IF(AND(C642&lt;&gt;"", J642&lt;&gt;""), HYPERLINK("#'" &amp; C642 &amp; "'!" &amp; J642, J642), "")</f>
        <v/>
      </c>
    </row>
    <row r="643">
      <c r="B643" s="21">
        <f>IF(AND(C643&lt;&gt;"", J643&lt;&gt;""), HYPERLINK("#'" &amp; C643 &amp; "'!" &amp; J643, J643), "")</f>
        <v/>
      </c>
    </row>
    <row r="644">
      <c r="B644" s="21">
        <f>IF(AND(C644&lt;&gt;"", J644&lt;&gt;""), HYPERLINK("#'" &amp; C644 &amp; "'!" &amp; J644, J644), "")</f>
        <v/>
      </c>
    </row>
    <row r="645">
      <c r="B645" s="21">
        <f>IF(AND(C645&lt;&gt;"", J645&lt;&gt;""), HYPERLINK("#'" &amp; C645 &amp; "'!" &amp; J645, J645), "")</f>
        <v/>
      </c>
    </row>
    <row r="646">
      <c r="B646" s="21">
        <f>IF(AND(C646&lt;&gt;"", J646&lt;&gt;""), HYPERLINK("#'" &amp; C646 &amp; "'!" &amp; J646, J646), "")</f>
        <v/>
      </c>
    </row>
    <row r="647">
      <c r="B647" s="21">
        <f>IF(AND(C647&lt;&gt;"", J647&lt;&gt;""), HYPERLINK("#'" &amp; C647 &amp; "'!" &amp; J647, J647), "")</f>
        <v/>
      </c>
    </row>
    <row r="648">
      <c r="B648" s="21">
        <f>IF(AND(C648&lt;&gt;"", J648&lt;&gt;""), HYPERLINK("#'" &amp; C648 &amp; "'!" &amp; J648, J648), "")</f>
        <v/>
      </c>
    </row>
    <row r="649">
      <c r="B649" s="21">
        <f>IF(AND(C649&lt;&gt;"", J649&lt;&gt;""), HYPERLINK("#'" &amp; C649 &amp; "'!" &amp; J649, J649), "")</f>
        <v/>
      </c>
    </row>
    <row r="650">
      <c r="B650" s="21">
        <f>IF(AND(C650&lt;&gt;"", J650&lt;&gt;""), HYPERLINK("#'" &amp; C650 &amp; "'!" &amp; J650, J650), "")</f>
        <v/>
      </c>
    </row>
    <row r="651">
      <c r="B651" s="21">
        <f>IF(AND(C651&lt;&gt;"", J651&lt;&gt;""), HYPERLINK("#'" &amp; C651 &amp; "'!" &amp; J651, J651), "")</f>
        <v/>
      </c>
    </row>
    <row r="652">
      <c r="B652" s="21">
        <f>IF(AND(C652&lt;&gt;"", J652&lt;&gt;""), HYPERLINK("#'" &amp; C652 &amp; "'!" &amp; J652, J652), "")</f>
        <v/>
      </c>
    </row>
    <row r="653">
      <c r="B653" s="21">
        <f>IF(AND(C653&lt;&gt;"", J653&lt;&gt;""), HYPERLINK("#'" &amp; C653 &amp; "'!" &amp; J653, J653), "")</f>
        <v/>
      </c>
    </row>
    <row r="654">
      <c r="B654" s="21">
        <f>IF(AND(C654&lt;&gt;"", J654&lt;&gt;""), HYPERLINK("#'" &amp; C654 &amp; "'!" &amp; J654, J654), "")</f>
        <v/>
      </c>
    </row>
    <row r="655">
      <c r="B655" s="21">
        <f>IF(AND(C655&lt;&gt;"", J655&lt;&gt;""), HYPERLINK("#'" &amp; C655 &amp; "'!" &amp; J655, J655), "")</f>
        <v/>
      </c>
    </row>
    <row r="656">
      <c r="B656" s="21">
        <f>IF(AND(C656&lt;&gt;"", J656&lt;&gt;""), HYPERLINK("#'" &amp; C656 &amp; "'!" &amp; J656, J656), "")</f>
        <v/>
      </c>
    </row>
    <row r="657">
      <c r="B657" s="21">
        <f>IF(AND(C657&lt;&gt;"", J657&lt;&gt;""), HYPERLINK("#'" &amp; C657 &amp; "'!" &amp; J657, J657), "")</f>
        <v/>
      </c>
    </row>
    <row r="658">
      <c r="B658" s="21">
        <f>IF(AND(C658&lt;&gt;"", J658&lt;&gt;""), HYPERLINK("#'" &amp; C658 &amp; "'!" &amp; J658, J658), "")</f>
        <v/>
      </c>
    </row>
    <row r="659">
      <c r="B659" s="21">
        <f>IF(AND(C659&lt;&gt;"", J659&lt;&gt;""), HYPERLINK("#'" &amp; C659 &amp; "'!" &amp; J659, J659), "")</f>
        <v/>
      </c>
    </row>
    <row r="660">
      <c r="B660" s="21">
        <f>IF(AND(C660&lt;&gt;"", J660&lt;&gt;""), HYPERLINK("#'" &amp; C660 &amp; "'!" &amp; J660, J660), "")</f>
        <v/>
      </c>
    </row>
    <row r="661">
      <c r="B661" s="21">
        <f>IF(AND(C661&lt;&gt;"", J661&lt;&gt;""), HYPERLINK("#'" &amp; C661 &amp; "'!" &amp; J661, J661), "")</f>
        <v/>
      </c>
    </row>
    <row r="662">
      <c r="B662" s="21">
        <f>IF(AND(C662&lt;&gt;"", J662&lt;&gt;""), HYPERLINK("#'" &amp; C662 &amp; "'!" &amp; J662, J662), "")</f>
        <v/>
      </c>
    </row>
    <row r="663">
      <c r="B663" s="21">
        <f>IF(AND(C663&lt;&gt;"", J663&lt;&gt;""), HYPERLINK("#'" &amp; C663 &amp; "'!" &amp; J663, J663), "")</f>
        <v/>
      </c>
    </row>
    <row r="664">
      <c r="B664" s="21">
        <f>IF(AND(C664&lt;&gt;"", J664&lt;&gt;""), HYPERLINK("#'" &amp; C664 &amp; "'!" &amp; J664, J664), "")</f>
        <v/>
      </c>
    </row>
    <row r="665">
      <c r="B665" s="21">
        <f>IF(AND(C665&lt;&gt;"", J665&lt;&gt;""), HYPERLINK("#'" &amp; C665 &amp; "'!" &amp; J665, J665), "")</f>
        <v/>
      </c>
    </row>
    <row r="666">
      <c r="B666" s="21">
        <f>IF(AND(C666&lt;&gt;"", J666&lt;&gt;""), HYPERLINK("#'" &amp; C666 &amp; "'!" &amp; J666, J666), "")</f>
        <v/>
      </c>
    </row>
    <row r="667">
      <c r="B667" s="21">
        <f>IF(AND(C667&lt;&gt;"", J667&lt;&gt;""), HYPERLINK("#'" &amp; C667 &amp; "'!" &amp; J667, J667), "")</f>
        <v/>
      </c>
    </row>
    <row r="668">
      <c r="B668" s="21">
        <f>IF(AND(C668&lt;&gt;"", J668&lt;&gt;""), HYPERLINK("#'" &amp; C668 &amp; "'!" &amp; J668, J668), "")</f>
        <v/>
      </c>
    </row>
    <row r="669">
      <c r="B669" s="21">
        <f>IF(AND(C669&lt;&gt;"", J669&lt;&gt;""), HYPERLINK("#'" &amp; C669 &amp; "'!" &amp; J669, J669), "")</f>
        <v/>
      </c>
    </row>
    <row r="670">
      <c r="B670" s="21">
        <f>IF(AND(C670&lt;&gt;"", J670&lt;&gt;""), HYPERLINK("#'" &amp; C670 &amp; "'!" &amp; J670, J670), "")</f>
        <v/>
      </c>
    </row>
    <row r="671">
      <c r="B671" s="21">
        <f>IF(AND(C671&lt;&gt;"", J671&lt;&gt;""), HYPERLINK("#'" &amp; C671 &amp; "'!" &amp; J671, J671), "")</f>
        <v/>
      </c>
    </row>
    <row r="672">
      <c r="B672" s="21">
        <f>IF(AND(C672&lt;&gt;"", J672&lt;&gt;""), HYPERLINK("#'" &amp; C672 &amp; "'!" &amp; J672, J672), "")</f>
        <v/>
      </c>
    </row>
    <row r="673">
      <c r="B673" s="21">
        <f>IF(AND(C673&lt;&gt;"", J673&lt;&gt;""), HYPERLINK("#'" &amp; C673 &amp; "'!" &amp; J673, J673), "")</f>
        <v/>
      </c>
    </row>
    <row r="674">
      <c r="B674" s="21">
        <f>IF(AND(C674&lt;&gt;"", J674&lt;&gt;""), HYPERLINK("#'" &amp; C674 &amp; "'!" &amp; J674, J674), "")</f>
        <v/>
      </c>
    </row>
    <row r="675">
      <c r="B675" s="21">
        <f>IF(AND(C675&lt;&gt;"", J675&lt;&gt;""), HYPERLINK("#'" &amp; C675 &amp; "'!" &amp; J675, J675), "")</f>
        <v/>
      </c>
    </row>
    <row r="676">
      <c r="B676" s="21">
        <f>IF(AND(C676&lt;&gt;"", J676&lt;&gt;""), HYPERLINK("#'" &amp; C676 &amp; "'!" &amp; J676, J676), "")</f>
        <v/>
      </c>
    </row>
    <row r="677">
      <c r="B677" s="21">
        <f>IF(AND(C677&lt;&gt;"", J677&lt;&gt;""), HYPERLINK("#'" &amp; C677 &amp; "'!" &amp; J677, J677), "")</f>
        <v/>
      </c>
    </row>
    <row r="678">
      <c r="B678" s="21">
        <f>IF(AND(C678&lt;&gt;"", J678&lt;&gt;""), HYPERLINK("#'" &amp; C678 &amp; "'!" &amp; J678, J678), "")</f>
        <v/>
      </c>
    </row>
    <row r="679">
      <c r="B679" s="21">
        <f>IF(AND(C679&lt;&gt;"", J679&lt;&gt;""), HYPERLINK("#'" &amp; C679 &amp; "'!" &amp; J679, J679), "")</f>
        <v/>
      </c>
    </row>
    <row r="680">
      <c r="B680" s="21">
        <f>IF(AND(C680&lt;&gt;"", J680&lt;&gt;""), HYPERLINK("#'" &amp; C680 &amp; "'!" &amp; J680, J680), "")</f>
        <v/>
      </c>
    </row>
    <row r="681">
      <c r="B681" s="21">
        <f>IF(AND(C681&lt;&gt;"", J681&lt;&gt;""), HYPERLINK("#'" &amp; C681 &amp; "'!" &amp; J681, J681), "")</f>
        <v/>
      </c>
    </row>
    <row r="682">
      <c r="B682" s="21">
        <f>IF(AND(C682&lt;&gt;"", J682&lt;&gt;""), HYPERLINK("#'" &amp; C682 &amp; "'!" &amp; J682, J682), "")</f>
        <v/>
      </c>
    </row>
    <row r="683">
      <c r="B683" s="21">
        <f>IF(AND(C683&lt;&gt;"", J683&lt;&gt;""), HYPERLINK("#'" &amp; C683 &amp; "'!" &amp; J683, J683), "")</f>
        <v/>
      </c>
    </row>
    <row r="684">
      <c r="B684" s="21">
        <f>IF(AND(C684&lt;&gt;"", J684&lt;&gt;""), HYPERLINK("#'" &amp; C684 &amp; "'!" &amp; J684, J684), "")</f>
        <v/>
      </c>
    </row>
    <row r="685">
      <c r="B685" s="21">
        <f>IF(AND(C685&lt;&gt;"", J685&lt;&gt;""), HYPERLINK("#'" &amp; C685 &amp; "'!" &amp; J685, J685), "")</f>
        <v/>
      </c>
    </row>
    <row r="686">
      <c r="B686" s="21">
        <f>IF(AND(C686&lt;&gt;"", J686&lt;&gt;""), HYPERLINK("#'" &amp; C686 &amp; "'!" &amp; J686, J686), "")</f>
        <v/>
      </c>
    </row>
    <row r="687">
      <c r="B687" s="21">
        <f>IF(AND(C687&lt;&gt;"", J687&lt;&gt;""), HYPERLINK("#'" &amp; C687 &amp; "'!" &amp; J687, J687), "")</f>
        <v/>
      </c>
    </row>
    <row r="688">
      <c r="B688" s="21">
        <f>IF(AND(C688&lt;&gt;"", J688&lt;&gt;""), HYPERLINK("#'" &amp; C688 &amp; "'!" &amp; J688, J688), "")</f>
        <v/>
      </c>
    </row>
    <row r="689">
      <c r="B689" s="21">
        <f>IF(AND(C689&lt;&gt;"", J689&lt;&gt;""), HYPERLINK("#'" &amp; C689 &amp; "'!" &amp; J689, J689), "")</f>
        <v/>
      </c>
    </row>
    <row r="690">
      <c r="B690" s="21">
        <f>IF(AND(C690&lt;&gt;"", J690&lt;&gt;""), HYPERLINK("#'" &amp; C690 &amp; "'!" &amp; J690, J690), "")</f>
        <v/>
      </c>
    </row>
    <row r="691">
      <c r="B691" s="21">
        <f>IF(AND(C691&lt;&gt;"", J691&lt;&gt;""), HYPERLINK("#'" &amp; C691 &amp; "'!" &amp; J691, J691), "")</f>
        <v/>
      </c>
    </row>
    <row r="692">
      <c r="B692" s="21">
        <f>IF(AND(C692&lt;&gt;"", J692&lt;&gt;""), HYPERLINK("#'" &amp; C692 &amp; "'!" &amp; J692, J692), "")</f>
        <v/>
      </c>
    </row>
    <row r="693">
      <c r="B693" s="21">
        <f>IF(AND(C693&lt;&gt;"", J693&lt;&gt;""), HYPERLINK("#'" &amp; C693 &amp; "'!" &amp; J693, J693), "")</f>
        <v/>
      </c>
    </row>
    <row r="694">
      <c r="B694" s="21">
        <f>IF(AND(C694&lt;&gt;"", J694&lt;&gt;""), HYPERLINK("#'" &amp; C694 &amp; "'!" &amp; J694, J694), "")</f>
        <v/>
      </c>
    </row>
    <row r="695">
      <c r="B695" s="21">
        <f>IF(AND(C695&lt;&gt;"", J695&lt;&gt;""), HYPERLINK("#'" &amp; C695 &amp; "'!" &amp; J695, J695), "")</f>
        <v/>
      </c>
    </row>
    <row r="696">
      <c r="B696" s="21">
        <f>IF(AND(C696&lt;&gt;"", J696&lt;&gt;""), HYPERLINK("#'" &amp; C696 &amp; "'!" &amp; J696, J696), "")</f>
        <v/>
      </c>
    </row>
    <row r="697">
      <c r="B697" s="21">
        <f>IF(AND(C697&lt;&gt;"", J697&lt;&gt;""), HYPERLINK("#'" &amp; C697 &amp; "'!" &amp; J697, J697), "")</f>
        <v/>
      </c>
    </row>
    <row r="698">
      <c r="B698" s="21">
        <f>IF(AND(C698&lt;&gt;"", J698&lt;&gt;""), HYPERLINK("#'" &amp; C698 &amp; "'!" &amp; J698, J698), "")</f>
        <v/>
      </c>
    </row>
    <row r="699">
      <c r="B699" s="21">
        <f>IF(AND(C699&lt;&gt;"", J699&lt;&gt;""), HYPERLINK("#'" &amp; C699 &amp; "'!" &amp; J699, J699), "")</f>
        <v/>
      </c>
    </row>
    <row r="700">
      <c r="B700" s="21">
        <f>IF(AND(C700&lt;&gt;"", J700&lt;&gt;""), HYPERLINK("#'" &amp; C700 &amp; "'!" &amp; J700, J700), "")</f>
        <v/>
      </c>
    </row>
    <row r="701">
      <c r="B701" s="21">
        <f>IF(AND(C701&lt;&gt;"", J701&lt;&gt;""), HYPERLINK("#'" &amp; C701 &amp; "'!" &amp; J701, J701), "")</f>
        <v/>
      </c>
    </row>
    <row r="702">
      <c r="B702" s="21">
        <f>IF(AND(C702&lt;&gt;"", J702&lt;&gt;""), HYPERLINK("#'" &amp; C702 &amp; "'!" &amp; J702, J702), "")</f>
        <v/>
      </c>
    </row>
    <row r="703">
      <c r="B703" s="21">
        <f>IF(AND(C703&lt;&gt;"", J703&lt;&gt;""), HYPERLINK("#'" &amp; C703 &amp; "'!" &amp; J703, J703), "")</f>
        <v/>
      </c>
    </row>
    <row r="704">
      <c r="B704" s="21">
        <f>IF(AND(C704&lt;&gt;"", J704&lt;&gt;""), HYPERLINK("#'" &amp; C704 &amp; "'!" &amp; J704, J704), "")</f>
        <v/>
      </c>
    </row>
    <row r="705">
      <c r="B705" s="21">
        <f>IF(AND(C705&lt;&gt;"", J705&lt;&gt;""), HYPERLINK("#'" &amp; C705 &amp; "'!" &amp; J705, J705), "")</f>
        <v/>
      </c>
    </row>
    <row r="706">
      <c r="B706" s="21">
        <f>IF(AND(C706&lt;&gt;"", J706&lt;&gt;""), HYPERLINK("#'" &amp; C706 &amp; "'!" &amp; J706, J706), "")</f>
        <v/>
      </c>
    </row>
    <row r="707">
      <c r="B707" s="21">
        <f>IF(AND(C707&lt;&gt;"", J707&lt;&gt;""), HYPERLINK("#'" &amp; C707 &amp; "'!" &amp; J707, J707), "")</f>
        <v/>
      </c>
    </row>
    <row r="708">
      <c r="B708" s="21">
        <f>IF(AND(C708&lt;&gt;"", J708&lt;&gt;""), HYPERLINK("#'" &amp; C708 &amp; "'!" &amp; J708, J708), "")</f>
        <v/>
      </c>
    </row>
    <row r="709">
      <c r="B709" s="21">
        <f>IF(AND(C709&lt;&gt;"", J709&lt;&gt;""), HYPERLINK("#'" &amp; C709 &amp; "'!" &amp; J709, J709), "")</f>
        <v/>
      </c>
    </row>
    <row r="710">
      <c r="B710" s="21">
        <f>IF(AND(C710&lt;&gt;"", J710&lt;&gt;""), HYPERLINK("#'" &amp; C710 &amp; "'!" &amp; J710, J710), "")</f>
        <v/>
      </c>
    </row>
    <row r="711">
      <c r="B711" s="21">
        <f>IF(AND(C711&lt;&gt;"", J711&lt;&gt;""), HYPERLINK("#'" &amp; C711 &amp; "'!" &amp; J711, J711), "")</f>
        <v/>
      </c>
    </row>
    <row r="712">
      <c r="B712" s="21">
        <f>IF(AND(C712&lt;&gt;"", J712&lt;&gt;""), HYPERLINK("#'" &amp; C712 &amp; "'!" &amp; J712, J712), "")</f>
        <v/>
      </c>
    </row>
    <row r="713">
      <c r="B713" s="21">
        <f>IF(AND(C713&lt;&gt;"", J713&lt;&gt;""), HYPERLINK("#'" &amp; C713 &amp; "'!" &amp; J713, J713), "")</f>
        <v/>
      </c>
    </row>
    <row r="714">
      <c r="B714" s="21">
        <f>IF(AND(C714&lt;&gt;"", J714&lt;&gt;""), HYPERLINK("#'" &amp; C714 &amp; "'!" &amp; J714, J714), "")</f>
        <v/>
      </c>
    </row>
    <row r="715">
      <c r="B715" s="21">
        <f>IF(AND(C715&lt;&gt;"", J715&lt;&gt;""), HYPERLINK("#'" &amp; C715 &amp; "'!" &amp; J715, J715), "")</f>
        <v/>
      </c>
    </row>
    <row r="716">
      <c r="B716" s="21">
        <f>IF(AND(C716&lt;&gt;"", J716&lt;&gt;""), HYPERLINK("#'" &amp; C716 &amp; "'!" &amp; J716, J716), "")</f>
        <v/>
      </c>
    </row>
    <row r="717">
      <c r="B717" s="21">
        <f>IF(AND(C717&lt;&gt;"", J717&lt;&gt;""), HYPERLINK("#'" &amp; C717 &amp; "'!" &amp; J717, J717), "")</f>
        <v/>
      </c>
    </row>
    <row r="718">
      <c r="B718" s="21">
        <f>IF(AND(C718&lt;&gt;"", J718&lt;&gt;""), HYPERLINK("#'" &amp; C718 &amp; "'!" &amp; J718, J718), "")</f>
        <v/>
      </c>
    </row>
    <row r="719">
      <c r="B719" s="21">
        <f>IF(AND(C719&lt;&gt;"", J719&lt;&gt;""), HYPERLINK("#'" &amp; C719 &amp; "'!" &amp; J719, J719), "")</f>
        <v/>
      </c>
    </row>
    <row r="720">
      <c r="B720" s="21">
        <f>IF(AND(C720&lt;&gt;"", J720&lt;&gt;""), HYPERLINK("#'" &amp; C720 &amp; "'!" &amp; J720, J720), "")</f>
        <v/>
      </c>
    </row>
    <row r="721">
      <c r="B721" s="21">
        <f>IF(AND(C721&lt;&gt;"", J721&lt;&gt;""), HYPERLINK("#'" &amp; C721 &amp; "'!" &amp; J721, J721), "")</f>
        <v/>
      </c>
    </row>
    <row r="722">
      <c r="B722" s="21">
        <f>IF(AND(C722&lt;&gt;"", J722&lt;&gt;""), HYPERLINK("#'" &amp; C722 &amp; "'!" &amp; J722, J722), "")</f>
        <v/>
      </c>
    </row>
    <row r="723">
      <c r="B723" s="21">
        <f>IF(AND(C723&lt;&gt;"", J723&lt;&gt;""), HYPERLINK("#'" &amp; C723 &amp; "'!" &amp; J723, J723), "")</f>
        <v/>
      </c>
    </row>
    <row r="724">
      <c r="B724" s="21">
        <f>IF(AND(C724&lt;&gt;"", J724&lt;&gt;""), HYPERLINK("#'" &amp; C724 &amp; "'!" &amp; J724, J724), "")</f>
        <v/>
      </c>
    </row>
    <row r="725">
      <c r="B725" s="21">
        <f>IF(AND(C725&lt;&gt;"", J725&lt;&gt;""), HYPERLINK("#'" &amp; C725 &amp; "'!" &amp; J725, J725), "")</f>
        <v/>
      </c>
    </row>
    <row r="726">
      <c r="B726" s="21">
        <f>IF(AND(C726&lt;&gt;"", J726&lt;&gt;""), HYPERLINK("#'" &amp; C726 &amp; "'!" &amp; J726, J726), "")</f>
        <v/>
      </c>
    </row>
    <row r="727">
      <c r="B727" s="21">
        <f>IF(AND(C727&lt;&gt;"", J727&lt;&gt;""), HYPERLINK("#'" &amp; C727 &amp; "'!" &amp; J727, J727), "")</f>
        <v/>
      </c>
    </row>
    <row r="728">
      <c r="B728" s="21">
        <f>IF(AND(C728&lt;&gt;"", J728&lt;&gt;""), HYPERLINK("#'" &amp; C728 &amp; "'!" &amp; J728, J728), "")</f>
        <v/>
      </c>
    </row>
    <row r="729">
      <c r="B729" s="21">
        <f>IF(AND(C729&lt;&gt;"", J729&lt;&gt;""), HYPERLINK("#'" &amp; C729 &amp; "'!" &amp; J729, J729), "")</f>
        <v/>
      </c>
    </row>
    <row r="730">
      <c r="B730" s="21">
        <f>IF(AND(C730&lt;&gt;"", J730&lt;&gt;""), HYPERLINK("#'" &amp; C730 &amp; "'!" &amp; J730, J730), "")</f>
        <v/>
      </c>
    </row>
    <row r="731">
      <c r="B731" s="21">
        <f>IF(AND(C731&lt;&gt;"", J731&lt;&gt;""), HYPERLINK("#'" &amp; C731 &amp; "'!" &amp; J731, J731), "")</f>
        <v/>
      </c>
    </row>
    <row r="732">
      <c r="B732" s="21">
        <f>IF(AND(C732&lt;&gt;"", J732&lt;&gt;""), HYPERLINK("#'" &amp; C732 &amp; "'!" &amp; J732, J732), "")</f>
        <v/>
      </c>
    </row>
    <row r="733">
      <c r="B733" s="21">
        <f>IF(AND(C733&lt;&gt;"", J733&lt;&gt;""), HYPERLINK("#'" &amp; C733 &amp; "'!" &amp; J733, J733), "")</f>
        <v/>
      </c>
    </row>
    <row r="734">
      <c r="B734" s="21">
        <f>IF(AND(C734&lt;&gt;"", J734&lt;&gt;""), HYPERLINK("#'" &amp; C734 &amp; "'!" &amp; J734, J734), "")</f>
        <v/>
      </c>
    </row>
    <row r="735">
      <c r="B735" s="21">
        <f>IF(AND(C735&lt;&gt;"", J735&lt;&gt;""), HYPERLINK("#'" &amp; C735 &amp; "'!" &amp; J735, J735), "")</f>
        <v/>
      </c>
    </row>
    <row r="736">
      <c r="B736" s="21">
        <f>IF(AND(C736&lt;&gt;"", J736&lt;&gt;""), HYPERLINK("#'" &amp; C736 &amp; "'!" &amp; J736, J736), "")</f>
        <v/>
      </c>
    </row>
    <row r="737">
      <c r="B737" s="21">
        <f>IF(AND(C737&lt;&gt;"", J737&lt;&gt;""), HYPERLINK("#'" &amp; C737 &amp; "'!" &amp; J737, J737), "")</f>
        <v/>
      </c>
    </row>
    <row r="738">
      <c r="B738" s="21">
        <f>IF(AND(C738&lt;&gt;"", J738&lt;&gt;""), HYPERLINK("#'" &amp; C738 &amp; "'!" &amp; J738, J738), "")</f>
        <v/>
      </c>
    </row>
    <row r="739">
      <c r="B739" s="21">
        <f>IF(AND(C739&lt;&gt;"", J739&lt;&gt;""), HYPERLINK("#'" &amp; C739 &amp; "'!" &amp; J739, J739), "")</f>
        <v/>
      </c>
    </row>
    <row r="740">
      <c r="B740" s="21">
        <f>IF(AND(C740&lt;&gt;"", J740&lt;&gt;""), HYPERLINK("#'" &amp; C740 &amp; "'!" &amp; J740, J740), "")</f>
        <v/>
      </c>
    </row>
    <row r="741">
      <c r="B741" s="21">
        <f>IF(AND(C741&lt;&gt;"", J741&lt;&gt;""), HYPERLINK("#'" &amp; C741 &amp; "'!" &amp; J741, J741), "")</f>
        <v/>
      </c>
    </row>
    <row r="742">
      <c r="B742" s="21">
        <f>IF(AND(C742&lt;&gt;"", J742&lt;&gt;""), HYPERLINK("#'" &amp; C742 &amp; "'!" &amp; J742, J742), "")</f>
        <v/>
      </c>
    </row>
    <row r="743">
      <c r="B743" s="21">
        <f>IF(AND(C743&lt;&gt;"", J743&lt;&gt;""), HYPERLINK("#'" &amp; C743 &amp; "'!" &amp; J743, J743), "")</f>
        <v/>
      </c>
    </row>
    <row r="744">
      <c r="B744" s="21">
        <f>IF(AND(C744&lt;&gt;"", J744&lt;&gt;""), HYPERLINK("#'" &amp; C744 &amp; "'!" &amp; J744, J744), "")</f>
        <v/>
      </c>
    </row>
    <row r="745">
      <c r="B745" s="21">
        <f>IF(AND(C745&lt;&gt;"", J745&lt;&gt;""), HYPERLINK("#'" &amp; C745 &amp; "'!" &amp; J745, J745), "")</f>
        <v/>
      </c>
    </row>
    <row r="746">
      <c r="B746" s="21">
        <f>IF(AND(C746&lt;&gt;"", J746&lt;&gt;""), HYPERLINK("#'" &amp; C746 &amp; "'!" &amp; J746, J746), "")</f>
        <v/>
      </c>
    </row>
    <row r="747">
      <c r="B747" s="21">
        <f>IF(AND(C747&lt;&gt;"", J747&lt;&gt;""), HYPERLINK("#'" &amp; C747 &amp; "'!" &amp; J747, J747), "")</f>
        <v/>
      </c>
    </row>
    <row r="748">
      <c r="B748" s="21">
        <f>IF(AND(C748&lt;&gt;"", J748&lt;&gt;""), HYPERLINK("#'" &amp; C748 &amp; "'!" &amp; J748, J748), "")</f>
        <v/>
      </c>
    </row>
    <row r="749">
      <c r="B749" s="21">
        <f>IF(AND(C749&lt;&gt;"", J749&lt;&gt;""), HYPERLINK("#'" &amp; C749 &amp; "'!" &amp; J749, J749), "")</f>
        <v/>
      </c>
    </row>
    <row r="750">
      <c r="B750" s="21">
        <f>IF(AND(C750&lt;&gt;"", J750&lt;&gt;""), HYPERLINK("#'" &amp; C750 &amp; "'!" &amp; J750, J750), "")</f>
        <v/>
      </c>
    </row>
    <row r="751">
      <c r="B751" s="21">
        <f>IF(AND(C751&lt;&gt;"", J751&lt;&gt;""), HYPERLINK("#'" &amp; C751 &amp; "'!" &amp; J751, J751), "")</f>
        <v/>
      </c>
    </row>
    <row r="752">
      <c r="B752" s="21">
        <f>IF(AND(C752&lt;&gt;"", J752&lt;&gt;""), HYPERLINK("#'" &amp; C752 &amp; "'!" &amp; J752, J752), "")</f>
        <v/>
      </c>
    </row>
    <row r="753">
      <c r="B753" s="21">
        <f>IF(AND(C753&lt;&gt;"", J753&lt;&gt;""), HYPERLINK("#'" &amp; C753 &amp; "'!" &amp; J753, J753), "")</f>
        <v/>
      </c>
    </row>
    <row r="754">
      <c r="B754" s="21">
        <f>IF(AND(C754&lt;&gt;"", J754&lt;&gt;""), HYPERLINK("#'" &amp; C754 &amp; "'!" &amp; J754, J754), "")</f>
        <v/>
      </c>
    </row>
    <row r="755">
      <c r="B755" s="21">
        <f>IF(AND(C755&lt;&gt;"", J755&lt;&gt;""), HYPERLINK("#'" &amp; C755 &amp; "'!" &amp; J755, J755), "")</f>
        <v/>
      </c>
    </row>
    <row r="756">
      <c r="B756" s="21">
        <f>IF(AND(C756&lt;&gt;"", J756&lt;&gt;""), HYPERLINK("#'" &amp; C756 &amp; "'!" &amp; J756, J756), "")</f>
        <v/>
      </c>
    </row>
    <row r="757">
      <c r="B757" s="21">
        <f>IF(AND(C757&lt;&gt;"", J757&lt;&gt;""), HYPERLINK("#'" &amp; C757 &amp; "'!" &amp; J757, J757), "")</f>
        <v/>
      </c>
    </row>
    <row r="758">
      <c r="B758" s="21">
        <f>IF(AND(C758&lt;&gt;"", J758&lt;&gt;""), HYPERLINK("#'" &amp; C758 &amp; "'!" &amp; J758, J758), "")</f>
        <v/>
      </c>
    </row>
    <row r="759">
      <c r="B759" s="21">
        <f>IF(AND(C759&lt;&gt;"", J759&lt;&gt;""), HYPERLINK("#'" &amp; C759 &amp; "'!" &amp; J759, J759), "")</f>
        <v/>
      </c>
    </row>
    <row r="760">
      <c r="B760" s="21">
        <f>IF(AND(C760&lt;&gt;"", J760&lt;&gt;""), HYPERLINK("#'" &amp; C760 &amp; "'!" &amp; J760, J760), "")</f>
        <v/>
      </c>
    </row>
    <row r="761">
      <c r="B761" s="21">
        <f>IF(AND(C761&lt;&gt;"", J761&lt;&gt;""), HYPERLINK("#'" &amp; C761 &amp; "'!" &amp; J761, J761), "")</f>
        <v/>
      </c>
    </row>
    <row r="762">
      <c r="B762" s="21">
        <f>IF(AND(C762&lt;&gt;"", J762&lt;&gt;""), HYPERLINK("#'" &amp; C762 &amp; "'!" &amp; J762, J762), "")</f>
        <v/>
      </c>
    </row>
    <row r="763">
      <c r="B763" s="21">
        <f>IF(AND(C763&lt;&gt;"", J763&lt;&gt;""), HYPERLINK("#'" &amp; C763 &amp; "'!" &amp; J763, J763), "")</f>
        <v/>
      </c>
    </row>
    <row r="764">
      <c r="B764" s="21">
        <f>IF(AND(C764&lt;&gt;"", J764&lt;&gt;""), HYPERLINK("#'" &amp; C764 &amp; "'!" &amp; J764, J764), "")</f>
        <v/>
      </c>
    </row>
    <row r="765">
      <c r="B765" s="21">
        <f>IF(AND(C765&lt;&gt;"", J765&lt;&gt;""), HYPERLINK("#'" &amp; C765 &amp; "'!" &amp; J765, J765), "")</f>
        <v/>
      </c>
    </row>
    <row r="766">
      <c r="B766" s="21">
        <f>IF(AND(C766&lt;&gt;"", J766&lt;&gt;""), HYPERLINK("#'" &amp; C766 &amp; "'!" &amp; J766, J766), "")</f>
        <v/>
      </c>
    </row>
    <row r="767">
      <c r="B767" s="21">
        <f>IF(AND(C767&lt;&gt;"", J767&lt;&gt;""), HYPERLINK("#'" &amp; C767 &amp; "'!" &amp; J767, J767), "")</f>
        <v/>
      </c>
    </row>
    <row r="768">
      <c r="B768" s="21">
        <f>IF(AND(C768&lt;&gt;"", J768&lt;&gt;""), HYPERLINK("#'" &amp; C768 &amp; "'!" &amp; J768, J768), "")</f>
        <v/>
      </c>
    </row>
    <row r="769">
      <c r="B769" s="21">
        <f>IF(AND(C769&lt;&gt;"", J769&lt;&gt;""), HYPERLINK("#'" &amp; C769 &amp; "'!" &amp; J769, J769), "")</f>
        <v/>
      </c>
    </row>
    <row r="770">
      <c r="B770" s="21">
        <f>IF(AND(C770&lt;&gt;"", J770&lt;&gt;""), HYPERLINK("#'" &amp; C770 &amp; "'!" &amp; J770, J770), "")</f>
        <v/>
      </c>
    </row>
    <row r="771">
      <c r="B771" s="21">
        <f>IF(AND(C771&lt;&gt;"", J771&lt;&gt;""), HYPERLINK("#'" &amp; C771 &amp; "'!" &amp; J771, J771), "")</f>
        <v/>
      </c>
    </row>
    <row r="772">
      <c r="B772" s="21">
        <f>IF(AND(C772&lt;&gt;"", J772&lt;&gt;""), HYPERLINK("#'" &amp; C772 &amp; "'!" &amp; J772, J772), "")</f>
        <v/>
      </c>
    </row>
    <row r="773">
      <c r="B773" s="21">
        <f>IF(AND(C773&lt;&gt;"", J773&lt;&gt;""), HYPERLINK("#'" &amp; C773 &amp; "'!" &amp; J773, J773), "")</f>
        <v/>
      </c>
    </row>
    <row r="774">
      <c r="B774" s="21">
        <f>IF(AND(C774&lt;&gt;"", J774&lt;&gt;""), HYPERLINK("#'" &amp; C774 &amp; "'!" &amp; J774, J774), "")</f>
        <v/>
      </c>
    </row>
    <row r="775">
      <c r="B775" s="21">
        <f>IF(AND(C775&lt;&gt;"", J775&lt;&gt;""), HYPERLINK("#'" &amp; C775 &amp; "'!" &amp; J775, J775), "")</f>
        <v/>
      </c>
    </row>
    <row r="776">
      <c r="B776" s="21">
        <f>IF(AND(C776&lt;&gt;"", J776&lt;&gt;""), HYPERLINK("#'" &amp; C776 &amp; "'!" &amp; J776, J776), "")</f>
        <v/>
      </c>
    </row>
    <row r="777">
      <c r="B777" s="21">
        <f>IF(AND(C777&lt;&gt;"", J777&lt;&gt;""), HYPERLINK("#'" &amp; C777 &amp; "'!" &amp; J777, J777), "")</f>
        <v/>
      </c>
    </row>
    <row r="778">
      <c r="B778" s="21">
        <f>IF(AND(C778&lt;&gt;"", J778&lt;&gt;""), HYPERLINK("#'" &amp; C778 &amp; "'!" &amp; J778, J778), "")</f>
        <v/>
      </c>
    </row>
    <row r="779">
      <c r="B779" s="21">
        <f>IF(AND(C779&lt;&gt;"", J779&lt;&gt;""), HYPERLINK("#'" &amp; C779 &amp; "'!" &amp; J779, J779), "")</f>
        <v/>
      </c>
    </row>
    <row r="780">
      <c r="B780" s="21">
        <f>IF(AND(C780&lt;&gt;"", J780&lt;&gt;""), HYPERLINK("#'" &amp; C780 &amp; "'!" &amp; J780, J780), "")</f>
        <v/>
      </c>
    </row>
    <row r="781">
      <c r="B781" s="21">
        <f>IF(AND(C781&lt;&gt;"", J781&lt;&gt;""), HYPERLINK("#'" &amp; C781 &amp; "'!" &amp; J781, J781), "")</f>
        <v/>
      </c>
    </row>
    <row r="782">
      <c r="B782" s="21">
        <f>IF(AND(C782&lt;&gt;"", J782&lt;&gt;""), HYPERLINK("#'" &amp; C782 &amp; "'!" &amp; J782, J782), "")</f>
        <v/>
      </c>
    </row>
    <row r="783">
      <c r="B783" s="21">
        <f>IF(AND(C783&lt;&gt;"", J783&lt;&gt;""), HYPERLINK("#'" &amp; C783 &amp; "'!" &amp; J783, J783), "")</f>
        <v/>
      </c>
    </row>
    <row r="784">
      <c r="B784" s="21">
        <f>IF(AND(C784&lt;&gt;"", J784&lt;&gt;""), HYPERLINK("#'" &amp; C784 &amp; "'!" &amp; J784, J784), "")</f>
        <v/>
      </c>
    </row>
    <row r="785">
      <c r="B785" s="21">
        <f>IF(AND(C785&lt;&gt;"", J785&lt;&gt;""), HYPERLINK("#'" &amp; C785 &amp; "'!" &amp; J785, J785), "")</f>
        <v/>
      </c>
    </row>
    <row r="786">
      <c r="B786" s="21">
        <f>IF(AND(C786&lt;&gt;"", J786&lt;&gt;""), HYPERLINK("#'" &amp; C786 &amp; "'!" &amp; J786, J786), "")</f>
        <v/>
      </c>
    </row>
    <row r="787">
      <c r="B787" s="21">
        <f>IF(AND(C787&lt;&gt;"", J787&lt;&gt;""), HYPERLINK("#'" &amp; C787 &amp; "'!" &amp; J787, J787), "")</f>
        <v/>
      </c>
    </row>
    <row r="788">
      <c r="B788" s="21">
        <f>IF(AND(C788&lt;&gt;"", J788&lt;&gt;""), HYPERLINK("#'" &amp; C788 &amp; "'!" &amp; J788, J788), "")</f>
        <v/>
      </c>
    </row>
    <row r="789">
      <c r="B789" s="21">
        <f>IF(AND(C789&lt;&gt;"", J789&lt;&gt;""), HYPERLINK("#'" &amp; C789 &amp; "'!" &amp; J789, J789), "")</f>
        <v/>
      </c>
    </row>
    <row r="790">
      <c r="B790" s="21">
        <f>IF(AND(C790&lt;&gt;"", J790&lt;&gt;""), HYPERLINK("#'" &amp; C790 &amp; "'!" &amp; J790, J790), "")</f>
        <v/>
      </c>
    </row>
    <row r="791">
      <c r="B791" s="21">
        <f>IF(AND(C791&lt;&gt;"", J791&lt;&gt;""), HYPERLINK("#'" &amp; C791 &amp; "'!" &amp; J791, J791), "")</f>
        <v/>
      </c>
    </row>
    <row r="792">
      <c r="B792" s="21">
        <f>IF(AND(C792&lt;&gt;"", J792&lt;&gt;""), HYPERLINK("#'" &amp; C792 &amp; "'!" &amp; J792, J792), "")</f>
        <v/>
      </c>
    </row>
    <row r="793">
      <c r="B793" s="21">
        <f>IF(AND(C793&lt;&gt;"", J793&lt;&gt;""), HYPERLINK("#'" &amp; C793 &amp; "'!" &amp; J793, J793), "")</f>
        <v/>
      </c>
    </row>
    <row r="794">
      <c r="B794" s="21">
        <f>IF(AND(C794&lt;&gt;"", J794&lt;&gt;""), HYPERLINK("#'" &amp; C794 &amp; "'!" &amp; J794, J794), "")</f>
        <v/>
      </c>
    </row>
    <row r="795">
      <c r="B795" s="21">
        <f>IF(AND(C795&lt;&gt;"", J795&lt;&gt;""), HYPERLINK("#'" &amp; C795 &amp; "'!" &amp; J795, J795), "")</f>
        <v/>
      </c>
    </row>
    <row r="796">
      <c r="B796" s="21">
        <f>IF(AND(C796&lt;&gt;"", J796&lt;&gt;""), HYPERLINK("#'" &amp; C796 &amp; "'!" &amp; J796, J796), "")</f>
        <v/>
      </c>
    </row>
    <row r="797">
      <c r="B797" s="21">
        <f>IF(AND(C797&lt;&gt;"", J797&lt;&gt;""), HYPERLINK("#'" &amp; C797 &amp; "'!" &amp; J797, J797), "")</f>
        <v/>
      </c>
    </row>
    <row r="798">
      <c r="B798" s="21">
        <f>IF(AND(C798&lt;&gt;"", J798&lt;&gt;""), HYPERLINK("#'" &amp; C798 &amp; "'!" &amp; J798, J798), "")</f>
        <v/>
      </c>
    </row>
    <row r="799">
      <c r="B799" s="21">
        <f>IF(AND(C799&lt;&gt;"", J799&lt;&gt;""), HYPERLINK("#'" &amp; C799 &amp; "'!" &amp; J799, J799), "")</f>
        <v/>
      </c>
    </row>
    <row r="800">
      <c r="B800" s="21">
        <f>IF(AND(C800&lt;&gt;"", J800&lt;&gt;""), HYPERLINK("#'" &amp; C800 &amp; "'!" &amp; J800, J800), "")</f>
        <v/>
      </c>
    </row>
    <row r="801">
      <c r="B801" s="21">
        <f>IF(AND(C801&lt;&gt;"", J801&lt;&gt;""), HYPERLINK("#'" &amp; C801 &amp; "'!" &amp; J801, J801), "")</f>
        <v/>
      </c>
    </row>
    <row r="802">
      <c r="B802" s="21">
        <f>IF(AND(C802&lt;&gt;"", J802&lt;&gt;""), HYPERLINK("#'" &amp; C802 &amp; "'!" &amp; J802, J802), "")</f>
        <v/>
      </c>
    </row>
    <row r="803">
      <c r="B803" s="21">
        <f>IF(AND(C803&lt;&gt;"", J803&lt;&gt;""), HYPERLINK("#'" &amp; C803 &amp; "'!" &amp; J803, J803), "")</f>
        <v/>
      </c>
    </row>
    <row r="804">
      <c r="B804" s="21">
        <f>IF(AND(C804&lt;&gt;"", J804&lt;&gt;""), HYPERLINK("#'" &amp; C804 &amp; "'!" &amp; J804, J804), "")</f>
        <v/>
      </c>
    </row>
    <row r="805">
      <c r="B805" s="21">
        <f>IF(AND(C805&lt;&gt;"", J805&lt;&gt;""), HYPERLINK("#'" &amp; C805 &amp; "'!" &amp; J805, J805), "")</f>
        <v/>
      </c>
    </row>
    <row r="806">
      <c r="B806" s="21">
        <f>IF(AND(C806&lt;&gt;"", J806&lt;&gt;""), HYPERLINK("#'" &amp; C806 &amp; "'!" &amp; J806, J806), "")</f>
        <v/>
      </c>
    </row>
    <row r="807">
      <c r="B807" s="21">
        <f>IF(AND(C807&lt;&gt;"", J807&lt;&gt;""), HYPERLINK("#'" &amp; C807 &amp; "'!" &amp; J807, J807), "")</f>
        <v/>
      </c>
    </row>
    <row r="808">
      <c r="B808" s="21">
        <f>IF(AND(C808&lt;&gt;"", J808&lt;&gt;""), HYPERLINK("#'" &amp; C808 &amp; "'!" &amp; J808, J808), "")</f>
        <v/>
      </c>
    </row>
    <row r="809">
      <c r="B809" s="21">
        <f>IF(AND(C809&lt;&gt;"", J809&lt;&gt;""), HYPERLINK("#'" &amp; C809 &amp; "'!" &amp; J809, J809), "")</f>
        <v/>
      </c>
    </row>
    <row r="810">
      <c r="B810" s="21">
        <f>IF(AND(C810&lt;&gt;"", J810&lt;&gt;""), HYPERLINK("#'" &amp; C810 &amp; "'!" &amp; J810, J810), "")</f>
        <v/>
      </c>
    </row>
    <row r="811">
      <c r="B811" s="21">
        <f>IF(AND(C811&lt;&gt;"", J811&lt;&gt;""), HYPERLINK("#'" &amp; C811 &amp; "'!" &amp; J811, J811), "")</f>
        <v/>
      </c>
    </row>
    <row r="812">
      <c r="B812" s="21">
        <f>IF(AND(C812&lt;&gt;"", J812&lt;&gt;""), HYPERLINK("#'" &amp; C812 &amp; "'!" &amp; J812, J812), "")</f>
        <v/>
      </c>
    </row>
    <row r="813">
      <c r="B813" s="21">
        <f>IF(AND(C813&lt;&gt;"", J813&lt;&gt;""), HYPERLINK("#'" &amp; C813 &amp; "'!" &amp; J813, J813), "")</f>
        <v/>
      </c>
    </row>
    <row r="814">
      <c r="B814" s="21">
        <f>IF(AND(C814&lt;&gt;"", J814&lt;&gt;""), HYPERLINK("#'" &amp; C814 &amp; "'!" &amp; J814, J814), "")</f>
        <v/>
      </c>
    </row>
    <row r="815">
      <c r="B815" s="21">
        <f>IF(AND(C815&lt;&gt;"", J815&lt;&gt;""), HYPERLINK("#'" &amp; C815 &amp; "'!" &amp; J815, J815), "")</f>
        <v/>
      </c>
    </row>
    <row r="816">
      <c r="B816" s="21">
        <f>IF(AND(C816&lt;&gt;"", J816&lt;&gt;""), HYPERLINK("#'" &amp; C816 &amp; "'!" &amp; J816, J816), "")</f>
        <v/>
      </c>
    </row>
    <row r="817">
      <c r="B817" s="21">
        <f>IF(AND(C817&lt;&gt;"", J817&lt;&gt;""), HYPERLINK("#'" &amp; C817 &amp; "'!" &amp; J817, J817), "")</f>
        <v/>
      </c>
    </row>
    <row r="818">
      <c r="B818" s="21">
        <f>IF(AND(C818&lt;&gt;"", J818&lt;&gt;""), HYPERLINK("#'" &amp; C818 &amp; "'!" &amp; J818, J818), "")</f>
        <v/>
      </c>
    </row>
    <row r="819">
      <c r="B819" s="21">
        <f>IF(AND(C819&lt;&gt;"", J819&lt;&gt;""), HYPERLINK("#'" &amp; C819 &amp; "'!" &amp; J819, J819), "")</f>
        <v/>
      </c>
    </row>
    <row r="820">
      <c r="B820" s="21">
        <f>IF(AND(C820&lt;&gt;"", J820&lt;&gt;""), HYPERLINK("#'" &amp; C820 &amp; "'!" &amp; J820, J820), "")</f>
        <v/>
      </c>
    </row>
    <row r="821">
      <c r="B821" s="21">
        <f>IF(AND(C821&lt;&gt;"", J821&lt;&gt;""), HYPERLINK("#'" &amp; C821 &amp; "'!" &amp; J821, J821), "")</f>
        <v/>
      </c>
    </row>
    <row r="822">
      <c r="B822" s="21">
        <f>IF(AND(C822&lt;&gt;"", J822&lt;&gt;""), HYPERLINK("#'" &amp; C822 &amp; "'!" &amp; J822, J822), "")</f>
        <v/>
      </c>
    </row>
    <row r="823">
      <c r="B823" s="21">
        <f>IF(AND(C823&lt;&gt;"", J823&lt;&gt;""), HYPERLINK("#'" &amp; C823 &amp; "'!" &amp; J823, J823), "")</f>
        <v/>
      </c>
    </row>
    <row r="824">
      <c r="B824" s="21">
        <f>IF(AND(C824&lt;&gt;"", J824&lt;&gt;""), HYPERLINK("#'" &amp; C824 &amp; "'!" &amp; J824, J824), "")</f>
        <v/>
      </c>
    </row>
    <row r="825">
      <c r="B825" s="21">
        <f>IF(AND(C825&lt;&gt;"", J825&lt;&gt;""), HYPERLINK("#'" &amp; C825 &amp; "'!" &amp; J825, J825), "")</f>
        <v/>
      </c>
    </row>
    <row r="826">
      <c r="B826" s="21">
        <f>IF(AND(C826&lt;&gt;"", J826&lt;&gt;""), HYPERLINK("#'" &amp; C826 &amp; "'!" &amp; J826, J826), "")</f>
        <v/>
      </c>
    </row>
    <row r="827">
      <c r="B827" s="21">
        <f>IF(AND(C827&lt;&gt;"", J827&lt;&gt;""), HYPERLINK("#'" &amp; C827 &amp; "'!" &amp; J827, J827), "")</f>
        <v/>
      </c>
    </row>
    <row r="828">
      <c r="B828" s="21">
        <f>IF(AND(C828&lt;&gt;"", J828&lt;&gt;""), HYPERLINK("#'" &amp; C828 &amp; "'!" &amp; J828, J828), "")</f>
        <v/>
      </c>
    </row>
    <row r="829">
      <c r="B829" s="21">
        <f>IF(AND(C829&lt;&gt;"", J829&lt;&gt;""), HYPERLINK("#'" &amp; C829 &amp; "'!" &amp; J829, J829), "")</f>
        <v/>
      </c>
    </row>
    <row r="830">
      <c r="B830" s="21">
        <f>IF(AND(C830&lt;&gt;"", J830&lt;&gt;""), HYPERLINK("#'" &amp; C830 &amp; "'!" &amp; J830, J830), "")</f>
        <v/>
      </c>
    </row>
    <row r="831">
      <c r="B831" s="21">
        <f>IF(AND(C831&lt;&gt;"", J831&lt;&gt;""), HYPERLINK("#'" &amp; C831 &amp; "'!" &amp; J831, J831), "")</f>
        <v/>
      </c>
    </row>
    <row r="832">
      <c r="B832" s="21">
        <f>IF(AND(C832&lt;&gt;"", J832&lt;&gt;""), HYPERLINK("#'" &amp; C832 &amp; "'!" &amp; J832, J832), "")</f>
        <v/>
      </c>
    </row>
    <row r="833">
      <c r="B833" s="21">
        <f>IF(AND(C833&lt;&gt;"", J833&lt;&gt;""), HYPERLINK("#'" &amp; C833 &amp; "'!" &amp; J833, J833), "")</f>
        <v/>
      </c>
    </row>
    <row r="834">
      <c r="B834" s="21">
        <f>IF(AND(C834&lt;&gt;"", J834&lt;&gt;""), HYPERLINK("#'" &amp; C834 &amp; "'!" &amp; J834, J834), "")</f>
        <v/>
      </c>
    </row>
    <row r="835">
      <c r="B835" s="21">
        <f>IF(AND(C835&lt;&gt;"", J835&lt;&gt;""), HYPERLINK("#'" &amp; C835 &amp; "'!" &amp; J835, J835), "")</f>
        <v/>
      </c>
    </row>
    <row r="836">
      <c r="B836" s="21">
        <f>IF(AND(C836&lt;&gt;"", J836&lt;&gt;""), HYPERLINK("#'" &amp; C836 &amp; "'!" &amp; J836, J836), "")</f>
        <v/>
      </c>
    </row>
    <row r="837">
      <c r="B837" s="21">
        <f>IF(AND(C837&lt;&gt;"", J837&lt;&gt;""), HYPERLINK("#'" &amp; C837 &amp; "'!" &amp; J837, J837), "")</f>
        <v/>
      </c>
    </row>
    <row r="838">
      <c r="B838" s="21">
        <f>IF(AND(C838&lt;&gt;"", J838&lt;&gt;""), HYPERLINK("#'" &amp; C838 &amp; "'!" &amp; J838, J838), "")</f>
        <v/>
      </c>
    </row>
    <row r="839">
      <c r="B839" s="21">
        <f>IF(AND(C839&lt;&gt;"", J839&lt;&gt;""), HYPERLINK("#'" &amp; C839 &amp; "'!" &amp; J839, J839), "")</f>
        <v/>
      </c>
    </row>
    <row r="840">
      <c r="B840" s="21">
        <f>IF(AND(C840&lt;&gt;"", J840&lt;&gt;""), HYPERLINK("#'" &amp; C840 &amp; "'!" &amp; J840, J840), "")</f>
        <v/>
      </c>
    </row>
    <row r="841">
      <c r="B841" s="21">
        <f>IF(AND(C841&lt;&gt;"", J841&lt;&gt;""), HYPERLINK("#'" &amp; C841 &amp; "'!" &amp; J841, J841), "")</f>
        <v/>
      </c>
    </row>
    <row r="842">
      <c r="B842" s="21">
        <f>IF(AND(C842&lt;&gt;"", J842&lt;&gt;""), HYPERLINK("#'" &amp; C842 &amp; "'!" &amp; J842, J842), "")</f>
        <v/>
      </c>
    </row>
    <row r="843">
      <c r="B843" s="21">
        <f>IF(AND(C843&lt;&gt;"", J843&lt;&gt;""), HYPERLINK("#'" &amp; C843 &amp; "'!" &amp; J843, J843), "")</f>
        <v/>
      </c>
    </row>
    <row r="844">
      <c r="B844" s="21">
        <f>IF(AND(C844&lt;&gt;"", J844&lt;&gt;""), HYPERLINK("#'" &amp; C844 &amp; "'!" &amp; J844, J844), "")</f>
        <v/>
      </c>
    </row>
    <row r="845">
      <c r="B845" s="21">
        <f>IF(AND(C845&lt;&gt;"", J845&lt;&gt;""), HYPERLINK("#'" &amp; C845 &amp; "'!" &amp; J845, J845), "")</f>
        <v/>
      </c>
    </row>
    <row r="846">
      <c r="B846" s="21">
        <f>IF(AND(C846&lt;&gt;"", J846&lt;&gt;""), HYPERLINK("#'" &amp; C846 &amp; "'!" &amp; J846, J846), "")</f>
        <v/>
      </c>
    </row>
    <row r="847">
      <c r="B847" s="21">
        <f>IF(AND(C847&lt;&gt;"", J847&lt;&gt;""), HYPERLINK("#'" &amp; C847 &amp; "'!" &amp; J847, J847), "")</f>
        <v/>
      </c>
    </row>
    <row r="848">
      <c r="B848" s="21">
        <f>IF(AND(C848&lt;&gt;"", J848&lt;&gt;""), HYPERLINK("#'" &amp; C848 &amp; "'!" &amp; J848, J848), "")</f>
        <v/>
      </c>
    </row>
    <row r="849">
      <c r="B849" s="21">
        <f>IF(AND(C849&lt;&gt;"", J849&lt;&gt;""), HYPERLINK("#'" &amp; C849 &amp; "'!" &amp; J849, J849), "")</f>
        <v/>
      </c>
    </row>
    <row r="850">
      <c r="B850" s="21">
        <f>IF(AND(C850&lt;&gt;"", J850&lt;&gt;""), HYPERLINK("#'" &amp; C850 &amp; "'!" &amp; J850, J850), "")</f>
        <v/>
      </c>
    </row>
    <row r="851">
      <c r="B851" s="21">
        <f>IF(AND(C851&lt;&gt;"", J851&lt;&gt;""), HYPERLINK("#'" &amp; C851 &amp; "'!" &amp; J851, J851), "")</f>
        <v/>
      </c>
    </row>
    <row r="852">
      <c r="B852" s="21">
        <f>IF(AND(C852&lt;&gt;"", J852&lt;&gt;""), HYPERLINK("#'" &amp; C852 &amp; "'!" &amp; J852, J852), "")</f>
        <v/>
      </c>
    </row>
    <row r="853">
      <c r="B853" s="21">
        <f>IF(AND(C853&lt;&gt;"", J853&lt;&gt;""), HYPERLINK("#'" &amp; C853 &amp; "'!" &amp; J853, J853), "")</f>
        <v/>
      </c>
    </row>
    <row r="854">
      <c r="B854" s="21">
        <f>IF(AND(C854&lt;&gt;"", J854&lt;&gt;""), HYPERLINK("#'" &amp; C854 &amp; "'!" &amp; J854, J854), "")</f>
        <v/>
      </c>
    </row>
    <row r="855">
      <c r="B855" s="21">
        <f>IF(AND(C855&lt;&gt;"", J855&lt;&gt;""), HYPERLINK("#'" &amp; C855 &amp; "'!" &amp; J855, J855), "")</f>
        <v/>
      </c>
    </row>
    <row r="856">
      <c r="B856" s="21">
        <f>IF(AND(C856&lt;&gt;"", J856&lt;&gt;""), HYPERLINK("#'" &amp; C856 &amp; "'!" &amp; J856, J856), "")</f>
        <v/>
      </c>
    </row>
    <row r="857">
      <c r="B857" s="21">
        <f>IF(AND(C857&lt;&gt;"", J857&lt;&gt;""), HYPERLINK("#'" &amp; C857 &amp; "'!" &amp; J857, J857), "")</f>
        <v/>
      </c>
    </row>
    <row r="858">
      <c r="B858" s="21">
        <f>IF(AND(C858&lt;&gt;"", J858&lt;&gt;""), HYPERLINK("#'" &amp; C858 &amp; "'!" &amp; J858, J858), "")</f>
        <v/>
      </c>
    </row>
    <row r="859">
      <c r="B859" s="21">
        <f>IF(AND(C859&lt;&gt;"", J859&lt;&gt;""), HYPERLINK("#'" &amp; C859 &amp; "'!" &amp; J859, J859), "")</f>
        <v/>
      </c>
    </row>
    <row r="860">
      <c r="B860" s="21">
        <f>IF(AND(C860&lt;&gt;"", J860&lt;&gt;""), HYPERLINK("#'" &amp; C860 &amp; "'!" &amp; J860, J860), "")</f>
        <v/>
      </c>
    </row>
    <row r="861">
      <c r="B861" s="21">
        <f>IF(AND(C861&lt;&gt;"", J861&lt;&gt;""), HYPERLINK("#'" &amp; C861 &amp; "'!" &amp; J861, J861), "")</f>
        <v/>
      </c>
    </row>
    <row r="862">
      <c r="B862" s="21">
        <f>IF(AND(C862&lt;&gt;"", J862&lt;&gt;""), HYPERLINK("#'" &amp; C862 &amp; "'!" &amp; J862, J862), "")</f>
        <v/>
      </c>
    </row>
    <row r="863">
      <c r="B863" s="21">
        <f>IF(AND(C863&lt;&gt;"", J863&lt;&gt;""), HYPERLINK("#'" &amp; C863 &amp; "'!" &amp; J863, J863), "")</f>
        <v/>
      </c>
    </row>
    <row r="864">
      <c r="B864" s="21">
        <f>IF(AND(C864&lt;&gt;"", J864&lt;&gt;""), HYPERLINK("#'" &amp; C864 &amp; "'!" &amp; J864, J864), "")</f>
        <v/>
      </c>
    </row>
    <row r="865">
      <c r="B865" s="21">
        <f>IF(AND(C865&lt;&gt;"", J865&lt;&gt;""), HYPERLINK("#'" &amp; C865 &amp; "'!" &amp; J865, J865), "")</f>
        <v/>
      </c>
    </row>
    <row r="866">
      <c r="B866" s="21">
        <f>IF(AND(C866&lt;&gt;"", J866&lt;&gt;""), HYPERLINK("#'" &amp; C866 &amp; "'!" &amp; J866, J866), "")</f>
        <v/>
      </c>
    </row>
    <row r="867">
      <c r="B867" s="21">
        <f>IF(AND(C867&lt;&gt;"", J867&lt;&gt;""), HYPERLINK("#'" &amp; C867 &amp; "'!" &amp; J867, J867), "")</f>
        <v/>
      </c>
    </row>
    <row r="868">
      <c r="B868" s="21">
        <f>IF(AND(C868&lt;&gt;"", J868&lt;&gt;""), HYPERLINK("#'" &amp; C868 &amp; "'!" &amp; J868, J868), "")</f>
        <v/>
      </c>
    </row>
    <row r="869">
      <c r="B869" s="21">
        <f>IF(AND(C869&lt;&gt;"", J869&lt;&gt;""), HYPERLINK("#'" &amp; C869 &amp; "'!" &amp; J869, J869), "")</f>
        <v/>
      </c>
    </row>
    <row r="870">
      <c r="B870" s="21">
        <f>IF(AND(C870&lt;&gt;"", J870&lt;&gt;""), HYPERLINK("#'" &amp; C870 &amp; "'!" &amp; J870, J870), "")</f>
        <v/>
      </c>
    </row>
    <row r="871">
      <c r="B871" s="21">
        <f>IF(AND(C871&lt;&gt;"", J871&lt;&gt;""), HYPERLINK("#'" &amp; C871 &amp; "'!" &amp; J871, J871), "")</f>
        <v/>
      </c>
    </row>
    <row r="872">
      <c r="B872" s="21">
        <f>IF(AND(C872&lt;&gt;"", J872&lt;&gt;""), HYPERLINK("#'" &amp; C872 &amp; "'!" &amp; J872, J872), "")</f>
        <v/>
      </c>
    </row>
    <row r="873">
      <c r="B873" s="21">
        <f>IF(AND(C873&lt;&gt;"", J873&lt;&gt;""), HYPERLINK("#'" &amp; C873 &amp; "'!" &amp; J873, J873), "")</f>
        <v/>
      </c>
    </row>
    <row r="874">
      <c r="B874" s="21">
        <f>IF(AND(C874&lt;&gt;"", J874&lt;&gt;""), HYPERLINK("#'" &amp; C874 &amp; "'!" &amp; J874, J874), "")</f>
        <v/>
      </c>
    </row>
    <row r="875">
      <c r="B875" s="21">
        <f>IF(AND(C875&lt;&gt;"", J875&lt;&gt;""), HYPERLINK("#'" &amp; C875 &amp; "'!" &amp; J875, J875), "")</f>
        <v/>
      </c>
    </row>
    <row r="876">
      <c r="B876" s="21">
        <f>IF(AND(C876&lt;&gt;"", J876&lt;&gt;""), HYPERLINK("#'" &amp; C876 &amp; "'!" &amp; J876, J876), "")</f>
        <v/>
      </c>
    </row>
    <row r="877">
      <c r="B877" s="21">
        <f>IF(AND(C877&lt;&gt;"", J877&lt;&gt;""), HYPERLINK("#'" &amp; C877 &amp; "'!" &amp; J877, J877), "")</f>
        <v/>
      </c>
    </row>
    <row r="878">
      <c r="B878" s="21">
        <f>IF(AND(C878&lt;&gt;"", J878&lt;&gt;""), HYPERLINK("#'" &amp; C878 &amp; "'!" &amp; J878, J878), "")</f>
        <v/>
      </c>
    </row>
    <row r="879">
      <c r="B879" s="21">
        <f>IF(AND(C879&lt;&gt;"", J879&lt;&gt;""), HYPERLINK("#'" &amp; C879 &amp; "'!" &amp; J879, J879), "")</f>
        <v/>
      </c>
    </row>
    <row r="880">
      <c r="B880" s="21">
        <f>IF(AND(C880&lt;&gt;"", J880&lt;&gt;""), HYPERLINK("#'" &amp; C880 &amp; "'!" &amp; J880, J880), "")</f>
        <v/>
      </c>
    </row>
    <row r="881">
      <c r="B881" s="21">
        <f>IF(AND(C881&lt;&gt;"", J881&lt;&gt;""), HYPERLINK("#'" &amp; C881 &amp; "'!" &amp; J881, J881), "")</f>
        <v/>
      </c>
    </row>
    <row r="882">
      <c r="B882" s="21">
        <f>IF(AND(C882&lt;&gt;"", J882&lt;&gt;""), HYPERLINK("#'" &amp; C882 &amp; "'!" &amp; J882, J882), "")</f>
        <v/>
      </c>
    </row>
    <row r="883">
      <c r="B883" s="21">
        <f>IF(AND(C883&lt;&gt;"", J883&lt;&gt;""), HYPERLINK("#'" &amp; C883 &amp; "'!" &amp; J883, J883), "")</f>
        <v/>
      </c>
    </row>
    <row r="884">
      <c r="B884" s="21">
        <f>IF(AND(C884&lt;&gt;"", J884&lt;&gt;""), HYPERLINK("#'" &amp; C884 &amp; "'!" &amp; J884, J884), "")</f>
        <v/>
      </c>
    </row>
    <row r="885">
      <c r="B885" s="21">
        <f>IF(AND(C885&lt;&gt;"", J885&lt;&gt;""), HYPERLINK("#'" &amp; C885 &amp; "'!" &amp; J885, J885), "")</f>
        <v/>
      </c>
    </row>
    <row r="886">
      <c r="B886" s="21">
        <f>IF(AND(C886&lt;&gt;"", J886&lt;&gt;""), HYPERLINK("#'" &amp; C886 &amp; "'!" &amp; J886, J886), "")</f>
        <v/>
      </c>
    </row>
    <row r="887">
      <c r="B887" s="21">
        <f>IF(AND(C887&lt;&gt;"", J887&lt;&gt;""), HYPERLINK("#'" &amp; C887 &amp; "'!" &amp; J887, J887), "")</f>
        <v/>
      </c>
    </row>
    <row r="888">
      <c r="B888" s="21">
        <f>IF(AND(C888&lt;&gt;"", J888&lt;&gt;""), HYPERLINK("#'" &amp; C888 &amp; "'!" &amp; J888, J888), "")</f>
        <v/>
      </c>
    </row>
    <row r="889">
      <c r="B889" s="21">
        <f>IF(AND(C889&lt;&gt;"", J889&lt;&gt;""), HYPERLINK("#'" &amp; C889 &amp; "'!" &amp; J889, J889), "")</f>
        <v/>
      </c>
    </row>
    <row r="890">
      <c r="B890" s="21">
        <f>IF(AND(C890&lt;&gt;"", J890&lt;&gt;""), HYPERLINK("#'" &amp; C890 &amp; "'!" &amp; J890, J890), "")</f>
        <v/>
      </c>
    </row>
    <row r="891">
      <c r="B891" s="21">
        <f>IF(AND(C891&lt;&gt;"", J891&lt;&gt;""), HYPERLINK("#'" &amp; C891 &amp; "'!" &amp; J891, J891), "")</f>
        <v/>
      </c>
    </row>
    <row r="892">
      <c r="B892" s="21">
        <f>IF(AND(C892&lt;&gt;"", J892&lt;&gt;""), HYPERLINK("#'" &amp; C892 &amp; "'!" &amp; J892, J892), "")</f>
        <v/>
      </c>
    </row>
    <row r="893">
      <c r="B893" s="21">
        <f>IF(AND(C893&lt;&gt;"", J893&lt;&gt;""), HYPERLINK("#'" &amp; C893 &amp; "'!" &amp; J893, J893), "")</f>
        <v/>
      </c>
    </row>
    <row r="894">
      <c r="B894" s="21">
        <f>IF(AND(C894&lt;&gt;"", J894&lt;&gt;""), HYPERLINK("#'" &amp; C894 &amp; "'!" &amp; J894, J894), "")</f>
        <v/>
      </c>
    </row>
    <row r="895">
      <c r="B895" s="21">
        <f>IF(AND(C895&lt;&gt;"", J895&lt;&gt;""), HYPERLINK("#'" &amp; C895 &amp; "'!" &amp; J895, J895), "")</f>
        <v/>
      </c>
    </row>
    <row r="896">
      <c r="B896" s="21">
        <f>IF(AND(C896&lt;&gt;"", J896&lt;&gt;""), HYPERLINK("#'" &amp; C896 &amp; "'!" &amp; J896, J896), "")</f>
        <v/>
      </c>
    </row>
    <row r="897">
      <c r="B897" s="21">
        <f>IF(AND(C897&lt;&gt;"", J897&lt;&gt;""), HYPERLINK("#'" &amp; C897 &amp; "'!" &amp; J897, J897), "")</f>
        <v/>
      </c>
    </row>
    <row r="898">
      <c r="B898" s="21">
        <f>IF(AND(C898&lt;&gt;"", J898&lt;&gt;""), HYPERLINK("#'" &amp; C898 &amp; "'!" &amp; J898, J898), "")</f>
        <v/>
      </c>
    </row>
    <row r="899">
      <c r="B899" s="21">
        <f>IF(AND(C899&lt;&gt;"", J899&lt;&gt;""), HYPERLINK("#'" &amp; C899 &amp; "'!" &amp; J899, J899), "")</f>
        <v/>
      </c>
    </row>
    <row r="900">
      <c r="B900" s="21">
        <f>IF(AND(C900&lt;&gt;"", J900&lt;&gt;""), HYPERLINK("#'" &amp; C900 &amp; "'!" &amp; J900, J900), "")</f>
        <v/>
      </c>
    </row>
    <row r="901">
      <c r="B901" s="21">
        <f>IF(AND(C901&lt;&gt;"", J901&lt;&gt;""), HYPERLINK("#'" &amp; C901 &amp; "'!" &amp; J901, J901), "")</f>
        <v/>
      </c>
    </row>
    <row r="902">
      <c r="B902" s="21">
        <f>IF(AND(C902&lt;&gt;"", J902&lt;&gt;""), HYPERLINK("#'" &amp; C902 &amp; "'!" &amp; J902, J902), "")</f>
        <v/>
      </c>
    </row>
    <row r="903">
      <c r="B903" s="21">
        <f>IF(AND(C903&lt;&gt;"", J903&lt;&gt;""), HYPERLINK("#'" &amp; C903 &amp; "'!" &amp; J903, J903), "")</f>
        <v/>
      </c>
    </row>
    <row r="904">
      <c r="B904" s="21">
        <f>IF(AND(C904&lt;&gt;"", J904&lt;&gt;""), HYPERLINK("#'" &amp; C904 &amp; "'!" &amp; J904, J904), "")</f>
        <v/>
      </c>
    </row>
    <row r="905">
      <c r="B905" s="21">
        <f>IF(AND(C905&lt;&gt;"", J905&lt;&gt;""), HYPERLINK("#'" &amp; C905 &amp; "'!" &amp; J905, J905), "")</f>
        <v/>
      </c>
    </row>
    <row r="906">
      <c r="B906" s="21">
        <f>IF(AND(C906&lt;&gt;"", J906&lt;&gt;""), HYPERLINK("#'" &amp; C906 &amp; "'!" &amp; J906, J906), "")</f>
        <v/>
      </c>
    </row>
    <row r="907">
      <c r="B907" s="21">
        <f>IF(AND(C907&lt;&gt;"", J907&lt;&gt;""), HYPERLINK("#'" &amp; C907 &amp; "'!" &amp; J907, J907), "")</f>
        <v/>
      </c>
    </row>
    <row r="908">
      <c r="B908" s="21">
        <f>IF(AND(C908&lt;&gt;"", J908&lt;&gt;""), HYPERLINK("#'" &amp; C908 &amp; "'!" &amp; J908, J908), "")</f>
        <v/>
      </c>
    </row>
    <row r="909">
      <c r="B909" s="21">
        <f>IF(AND(C909&lt;&gt;"", J909&lt;&gt;""), HYPERLINK("#'" &amp; C909 &amp; "'!" &amp; J909, J909), "")</f>
        <v/>
      </c>
    </row>
    <row r="910">
      <c r="B910" s="21">
        <f>IF(AND(C910&lt;&gt;"", J910&lt;&gt;""), HYPERLINK("#'" &amp; C910 &amp; "'!" &amp; J910, J910), "")</f>
        <v/>
      </c>
    </row>
    <row r="911">
      <c r="B911" s="21">
        <f>IF(AND(C911&lt;&gt;"", J911&lt;&gt;""), HYPERLINK("#'" &amp; C911 &amp; "'!" &amp; J911, J911), "")</f>
        <v/>
      </c>
    </row>
    <row r="912">
      <c r="B912" s="21">
        <f>IF(AND(C912&lt;&gt;"", J912&lt;&gt;""), HYPERLINK("#'" &amp; C912 &amp; "'!" &amp; J912, J912), "")</f>
        <v/>
      </c>
    </row>
    <row r="913">
      <c r="B913" s="21">
        <f>IF(AND(C913&lt;&gt;"", J913&lt;&gt;""), HYPERLINK("#'" &amp; C913 &amp; "'!" &amp; J913, J913), "")</f>
        <v/>
      </c>
    </row>
    <row r="914">
      <c r="B914" s="21">
        <f>IF(AND(C914&lt;&gt;"", J914&lt;&gt;""), HYPERLINK("#'" &amp; C914 &amp; "'!" &amp; J914, J914), "")</f>
        <v/>
      </c>
    </row>
    <row r="915">
      <c r="B915" s="21">
        <f>IF(AND(C915&lt;&gt;"", J915&lt;&gt;""), HYPERLINK("#'" &amp; C915 &amp; "'!" &amp; J915, J915), "")</f>
        <v/>
      </c>
    </row>
    <row r="916">
      <c r="B916" s="21">
        <f>IF(AND(C916&lt;&gt;"", J916&lt;&gt;""), HYPERLINK("#'" &amp; C916 &amp; "'!" &amp; J916, J916), "")</f>
        <v/>
      </c>
    </row>
    <row r="917">
      <c r="B917" s="21">
        <f>IF(AND(C917&lt;&gt;"", J917&lt;&gt;""), HYPERLINK("#'" &amp; C917 &amp; "'!" &amp; J917, J917), "")</f>
        <v/>
      </c>
    </row>
    <row r="918">
      <c r="B918" s="21">
        <f>IF(AND(C918&lt;&gt;"", J918&lt;&gt;""), HYPERLINK("#'" &amp; C918 &amp; "'!" &amp; J918, J918), "")</f>
        <v/>
      </c>
    </row>
    <row r="919">
      <c r="B919" s="21">
        <f>IF(AND(C919&lt;&gt;"", J919&lt;&gt;""), HYPERLINK("#'" &amp; C919 &amp; "'!" &amp; J919, J919), "")</f>
        <v/>
      </c>
    </row>
    <row r="920">
      <c r="B920" s="21">
        <f>IF(AND(C920&lt;&gt;"", J920&lt;&gt;""), HYPERLINK("#'" &amp; C920 &amp; "'!" &amp; J920, J920), "")</f>
        <v/>
      </c>
    </row>
    <row r="921">
      <c r="B921" s="21">
        <f>IF(AND(C921&lt;&gt;"", J921&lt;&gt;""), HYPERLINK("#'" &amp; C921 &amp; "'!" &amp; J921, J921), "")</f>
        <v/>
      </c>
    </row>
    <row r="922">
      <c r="B922" s="21">
        <f>IF(AND(C922&lt;&gt;"", J922&lt;&gt;""), HYPERLINK("#'" &amp; C922 &amp; "'!" &amp; J922, J922), "")</f>
        <v/>
      </c>
    </row>
    <row r="923">
      <c r="B923" s="21">
        <f>IF(AND(C923&lt;&gt;"", J923&lt;&gt;""), HYPERLINK("#'" &amp; C923 &amp; "'!" &amp; J923, J923), "")</f>
        <v/>
      </c>
    </row>
    <row r="924">
      <c r="B924" s="21">
        <f>IF(AND(C924&lt;&gt;"", J924&lt;&gt;""), HYPERLINK("#'" &amp; C924 &amp; "'!" &amp; J924, J924), "")</f>
        <v/>
      </c>
    </row>
    <row r="925">
      <c r="B925" s="21">
        <f>IF(AND(C925&lt;&gt;"", J925&lt;&gt;""), HYPERLINK("#'" &amp; C925 &amp; "'!" &amp; J925, J925), "")</f>
        <v/>
      </c>
    </row>
    <row r="926">
      <c r="B926" s="21">
        <f>IF(AND(C926&lt;&gt;"", J926&lt;&gt;""), HYPERLINK("#'" &amp; C926 &amp; "'!" &amp; J926, J926), "")</f>
        <v/>
      </c>
    </row>
    <row r="927">
      <c r="B927" s="21">
        <f>IF(AND(C927&lt;&gt;"", J927&lt;&gt;""), HYPERLINK("#'" &amp; C927 &amp; "'!" &amp; J927, J927), "")</f>
        <v/>
      </c>
    </row>
    <row r="928">
      <c r="B928" s="21">
        <f>IF(AND(C928&lt;&gt;"", J928&lt;&gt;""), HYPERLINK("#'" &amp; C928 &amp; "'!" &amp; J928, J928), "")</f>
        <v/>
      </c>
    </row>
    <row r="929">
      <c r="B929" s="21">
        <f>IF(AND(C929&lt;&gt;"", J929&lt;&gt;""), HYPERLINK("#'" &amp; C929 &amp; "'!" &amp; J929, J929), "")</f>
        <v/>
      </c>
    </row>
    <row r="930">
      <c r="B930" s="21">
        <f>IF(AND(C930&lt;&gt;"", J930&lt;&gt;""), HYPERLINK("#'" &amp; C930 &amp; "'!" &amp; J930, J930), "")</f>
        <v/>
      </c>
    </row>
    <row r="931">
      <c r="B931" s="21">
        <f>IF(AND(C931&lt;&gt;"", J931&lt;&gt;""), HYPERLINK("#'" &amp; C931 &amp; "'!" &amp; J931, J931), "")</f>
        <v/>
      </c>
    </row>
    <row r="932">
      <c r="B932" s="21">
        <f>IF(AND(C932&lt;&gt;"", J932&lt;&gt;""), HYPERLINK("#'" &amp; C932 &amp; "'!" &amp; J932, J932), "")</f>
        <v/>
      </c>
    </row>
    <row r="933">
      <c r="B933" s="21">
        <f>IF(AND(C933&lt;&gt;"", J933&lt;&gt;""), HYPERLINK("#'" &amp; C933 &amp; "'!" &amp; J933, J933), "")</f>
        <v/>
      </c>
    </row>
    <row r="934">
      <c r="B934" s="21">
        <f>IF(AND(C934&lt;&gt;"", J934&lt;&gt;""), HYPERLINK("#'" &amp; C934 &amp; "'!" &amp; J934, J934), "")</f>
        <v/>
      </c>
    </row>
    <row r="935">
      <c r="B935" s="21">
        <f>IF(AND(C935&lt;&gt;"", J935&lt;&gt;""), HYPERLINK("#'" &amp; C935 &amp; "'!" &amp; J935, J935), "")</f>
        <v/>
      </c>
    </row>
    <row r="936">
      <c r="B936" s="21">
        <f>IF(AND(C936&lt;&gt;"", J936&lt;&gt;""), HYPERLINK("#'" &amp; C936 &amp; "'!" &amp; J936, J936), "")</f>
        <v/>
      </c>
    </row>
    <row r="937">
      <c r="B937" s="21">
        <f>IF(AND(C937&lt;&gt;"", J937&lt;&gt;""), HYPERLINK("#'" &amp; C937 &amp; "'!" &amp; J937, J937), "")</f>
        <v/>
      </c>
    </row>
    <row r="938">
      <c r="B938" s="21">
        <f>IF(AND(C938&lt;&gt;"", J938&lt;&gt;""), HYPERLINK("#'" &amp; C938 &amp; "'!" &amp; J938, J938), "")</f>
        <v/>
      </c>
    </row>
    <row r="939">
      <c r="B939" s="21">
        <f>IF(AND(C939&lt;&gt;"", J939&lt;&gt;""), HYPERLINK("#'" &amp; C939 &amp; "'!" &amp; J939, J939), "")</f>
        <v/>
      </c>
    </row>
    <row r="940">
      <c r="B940" s="21">
        <f>IF(AND(C940&lt;&gt;"", J940&lt;&gt;""), HYPERLINK("#'" &amp; C940 &amp; "'!" &amp; J940, J940), "")</f>
        <v/>
      </c>
    </row>
    <row r="941">
      <c r="B941" s="21">
        <f>IF(AND(C941&lt;&gt;"", J941&lt;&gt;""), HYPERLINK("#'" &amp; C941 &amp; "'!" &amp; J941, J941), "")</f>
        <v/>
      </c>
    </row>
    <row r="942">
      <c r="B942" s="21">
        <f>IF(AND(C942&lt;&gt;"", J942&lt;&gt;""), HYPERLINK("#'" &amp; C942 &amp; "'!" &amp; J942, J942), "")</f>
        <v/>
      </c>
    </row>
    <row r="943">
      <c r="B943" s="21">
        <f>IF(AND(C943&lt;&gt;"", J943&lt;&gt;""), HYPERLINK("#'" &amp; C943 &amp; "'!" &amp; J943, J943), "")</f>
        <v/>
      </c>
    </row>
    <row r="944">
      <c r="B944" s="21">
        <f>IF(AND(C944&lt;&gt;"", J944&lt;&gt;""), HYPERLINK("#'" &amp; C944 &amp; "'!" &amp; J944, J944), "")</f>
        <v/>
      </c>
    </row>
    <row r="945">
      <c r="B945" s="21">
        <f>IF(AND(C945&lt;&gt;"", J945&lt;&gt;""), HYPERLINK("#'" &amp; C945 &amp; "'!" &amp; J945, J945), "")</f>
        <v/>
      </c>
    </row>
    <row r="946">
      <c r="B946" s="21">
        <f>IF(AND(C946&lt;&gt;"", J946&lt;&gt;""), HYPERLINK("#'" &amp; C946 &amp; "'!" &amp; J946, J946), "")</f>
        <v/>
      </c>
    </row>
    <row r="947">
      <c r="B947" s="21">
        <f>IF(AND(C947&lt;&gt;"", J947&lt;&gt;""), HYPERLINK("#'" &amp; C947 &amp; "'!" &amp; J947, J947), "")</f>
        <v/>
      </c>
    </row>
    <row r="948">
      <c r="B948" s="21">
        <f>IF(AND(C948&lt;&gt;"", J948&lt;&gt;""), HYPERLINK("#'" &amp; C948 &amp; "'!" &amp; J948, J948), "")</f>
        <v/>
      </c>
    </row>
    <row r="949">
      <c r="B949" s="21">
        <f>IF(AND(C949&lt;&gt;"", J949&lt;&gt;""), HYPERLINK("#'" &amp; C949 &amp; "'!" &amp; J949, J949), "")</f>
        <v/>
      </c>
    </row>
    <row r="950">
      <c r="B950" s="21">
        <f>IF(AND(C950&lt;&gt;"", J950&lt;&gt;""), HYPERLINK("#'" &amp; C950 &amp; "'!" &amp; J950, J950), "")</f>
        <v/>
      </c>
    </row>
    <row r="951">
      <c r="B951" s="21">
        <f>IF(AND(C951&lt;&gt;"", J951&lt;&gt;""), HYPERLINK("#'" &amp; C951 &amp; "'!" &amp; J951, J951), "")</f>
        <v/>
      </c>
    </row>
    <row r="952">
      <c r="B952" s="21">
        <f>IF(AND(C952&lt;&gt;"", J952&lt;&gt;""), HYPERLINK("#'" &amp; C952 &amp; "'!" &amp; J952, J952), "")</f>
        <v/>
      </c>
    </row>
    <row r="953">
      <c r="B953" s="21">
        <f>IF(AND(C953&lt;&gt;"", J953&lt;&gt;""), HYPERLINK("#'" &amp; C953 &amp; "'!" &amp; J953, J953), "")</f>
        <v/>
      </c>
    </row>
    <row r="954">
      <c r="B954" s="21">
        <f>IF(AND(C954&lt;&gt;"", J954&lt;&gt;""), HYPERLINK("#'" &amp; C954 &amp; "'!" &amp; J954, J954), "")</f>
        <v/>
      </c>
    </row>
    <row r="955">
      <c r="B955" s="21">
        <f>IF(AND(C955&lt;&gt;"", J955&lt;&gt;""), HYPERLINK("#'" &amp; C955 &amp; "'!" &amp; J955, J955), "")</f>
        <v/>
      </c>
    </row>
    <row r="956">
      <c r="B956" s="21">
        <f>IF(AND(C956&lt;&gt;"", J956&lt;&gt;""), HYPERLINK("#'" &amp; C956 &amp; "'!" &amp; J956, J956), "")</f>
        <v/>
      </c>
    </row>
    <row r="957">
      <c r="B957" s="21">
        <f>IF(AND(C957&lt;&gt;"", J957&lt;&gt;""), HYPERLINK("#'" &amp; C957 &amp; "'!" &amp; J957, J957), "")</f>
        <v/>
      </c>
    </row>
    <row r="958">
      <c r="B958" s="21">
        <f>IF(AND(C958&lt;&gt;"", J958&lt;&gt;""), HYPERLINK("#'" &amp; C958 &amp; "'!" &amp; J958, J958), "")</f>
        <v/>
      </c>
    </row>
    <row r="959">
      <c r="B959" s="21">
        <f>IF(AND(C959&lt;&gt;"", J959&lt;&gt;""), HYPERLINK("#'" &amp; C959 &amp; "'!" &amp; J959, J959), "")</f>
        <v/>
      </c>
    </row>
    <row r="960">
      <c r="B960" s="21">
        <f>IF(AND(C960&lt;&gt;"", J960&lt;&gt;""), HYPERLINK("#'" &amp; C960 &amp; "'!" &amp; J960, J960), "")</f>
        <v/>
      </c>
    </row>
    <row r="961">
      <c r="B961" s="21">
        <f>IF(AND(C961&lt;&gt;"", J961&lt;&gt;""), HYPERLINK("#'" &amp; C961 &amp; "'!" &amp; J961, J961), "")</f>
        <v/>
      </c>
    </row>
    <row r="962">
      <c r="B962" s="21">
        <f>IF(AND(C962&lt;&gt;"", J962&lt;&gt;""), HYPERLINK("#'" &amp; C962 &amp; "'!" &amp; J962, J962), "")</f>
        <v/>
      </c>
    </row>
    <row r="963">
      <c r="B963" s="21">
        <f>IF(AND(C963&lt;&gt;"", J963&lt;&gt;""), HYPERLINK("#'" &amp; C963 &amp; "'!" &amp; J963, J963), "")</f>
        <v/>
      </c>
    </row>
    <row r="964">
      <c r="B964" s="21">
        <f>IF(AND(C964&lt;&gt;"", J964&lt;&gt;""), HYPERLINK("#'" &amp; C964 &amp; "'!" &amp; J964, J964), "")</f>
        <v/>
      </c>
    </row>
    <row r="965">
      <c r="B965" s="21">
        <f>IF(AND(C965&lt;&gt;"", J965&lt;&gt;""), HYPERLINK("#'" &amp; C965 &amp; "'!" &amp; J965, J965), "")</f>
        <v/>
      </c>
    </row>
    <row r="966">
      <c r="B966" s="21">
        <f>IF(AND(C966&lt;&gt;"", J966&lt;&gt;""), HYPERLINK("#'" &amp; C966 &amp; "'!" &amp; J966, J966), "")</f>
        <v/>
      </c>
    </row>
    <row r="967">
      <c r="B967" s="21">
        <f>IF(AND(C967&lt;&gt;"", J967&lt;&gt;""), HYPERLINK("#'" &amp; C967 &amp; "'!" &amp; J967, J967), "")</f>
        <v/>
      </c>
    </row>
    <row r="968">
      <c r="B968" s="21">
        <f>IF(AND(C968&lt;&gt;"", J968&lt;&gt;""), HYPERLINK("#'" &amp; C968 &amp; "'!" &amp; J968, J968), "")</f>
        <v/>
      </c>
    </row>
    <row r="969">
      <c r="B969" s="21">
        <f>IF(AND(C969&lt;&gt;"", J969&lt;&gt;""), HYPERLINK("#'" &amp; C969 &amp; "'!" &amp; J969, J969), "")</f>
        <v/>
      </c>
    </row>
    <row r="970">
      <c r="B970" s="21">
        <f>IF(AND(C970&lt;&gt;"", J970&lt;&gt;""), HYPERLINK("#'" &amp; C970 &amp; "'!" &amp; J970, J970), "")</f>
        <v/>
      </c>
    </row>
    <row r="971">
      <c r="B971" s="21">
        <f>IF(AND(C971&lt;&gt;"", J971&lt;&gt;""), HYPERLINK("#'" &amp; C971 &amp; "'!" &amp; J971, J971), "")</f>
        <v/>
      </c>
    </row>
    <row r="972">
      <c r="B972" s="21">
        <f>IF(AND(C972&lt;&gt;"", J972&lt;&gt;""), HYPERLINK("#'" &amp; C972 &amp; "'!" &amp; J972, J972), "")</f>
        <v/>
      </c>
    </row>
    <row r="973">
      <c r="B973" s="21">
        <f>IF(AND(C973&lt;&gt;"", J973&lt;&gt;""), HYPERLINK("#'" &amp; C973 &amp; "'!" &amp; J973, J973), "")</f>
        <v/>
      </c>
    </row>
    <row r="974">
      <c r="B974" s="21">
        <f>IF(AND(C974&lt;&gt;"", J974&lt;&gt;""), HYPERLINK("#'" &amp; C974 &amp; "'!" &amp; J974, J974), "")</f>
        <v/>
      </c>
    </row>
    <row r="975">
      <c r="B975" s="21">
        <f>IF(AND(C975&lt;&gt;"", J975&lt;&gt;""), HYPERLINK("#'" &amp; C975 &amp; "'!" &amp; J975, J975), "")</f>
        <v/>
      </c>
    </row>
    <row r="976">
      <c r="B976" s="21">
        <f>IF(AND(C976&lt;&gt;"", J976&lt;&gt;""), HYPERLINK("#'" &amp; C976 &amp; "'!" &amp; J976, J976), "")</f>
        <v/>
      </c>
    </row>
    <row r="977">
      <c r="B977" s="21">
        <f>IF(AND(C977&lt;&gt;"", J977&lt;&gt;""), HYPERLINK("#'" &amp; C977 &amp; "'!" &amp; J977, J977), "")</f>
        <v/>
      </c>
    </row>
    <row r="978">
      <c r="B978" s="21">
        <f>IF(AND(C978&lt;&gt;"", J978&lt;&gt;""), HYPERLINK("#'" &amp; C978 &amp; "'!" &amp; J978, J978), "")</f>
        <v/>
      </c>
    </row>
    <row r="979">
      <c r="B979" s="21">
        <f>IF(AND(C979&lt;&gt;"", J979&lt;&gt;""), HYPERLINK("#'" &amp; C979 &amp; "'!" &amp; J979, J979), "")</f>
        <v/>
      </c>
    </row>
    <row r="980">
      <c r="B980" s="21">
        <f>IF(AND(C980&lt;&gt;"", J980&lt;&gt;""), HYPERLINK("#'" &amp; C980 &amp; "'!" &amp; J980, J980), "")</f>
        <v/>
      </c>
    </row>
    <row r="981">
      <c r="B981" s="21">
        <f>IF(AND(C981&lt;&gt;"", J981&lt;&gt;""), HYPERLINK("#'" &amp; C981 &amp; "'!" &amp; J981, J981), "")</f>
        <v/>
      </c>
    </row>
    <row r="982">
      <c r="B982" s="21">
        <f>IF(AND(C982&lt;&gt;"", J982&lt;&gt;""), HYPERLINK("#'" &amp; C982 &amp; "'!" &amp; J982, J982), "")</f>
        <v/>
      </c>
    </row>
    <row r="983">
      <c r="B983" s="21">
        <f>IF(AND(C983&lt;&gt;"", J983&lt;&gt;""), HYPERLINK("#'" &amp; C983 &amp; "'!" &amp; J983, J983), "")</f>
        <v/>
      </c>
    </row>
    <row r="984">
      <c r="B984" s="21">
        <f>IF(AND(C984&lt;&gt;"", J984&lt;&gt;""), HYPERLINK("#'" &amp; C984 &amp; "'!" &amp; J984, J984), "")</f>
        <v/>
      </c>
    </row>
    <row r="985">
      <c r="B985" s="21">
        <f>IF(AND(C985&lt;&gt;"", J985&lt;&gt;""), HYPERLINK("#'" &amp; C985 &amp; "'!" &amp; J985, J985), "")</f>
        <v/>
      </c>
    </row>
    <row r="986">
      <c r="B986" s="21">
        <f>IF(AND(C986&lt;&gt;"", J986&lt;&gt;""), HYPERLINK("#'" &amp; C986 &amp; "'!" &amp; J986, J986), "")</f>
        <v/>
      </c>
    </row>
    <row r="987">
      <c r="B987" s="21">
        <f>IF(AND(C987&lt;&gt;"", J987&lt;&gt;""), HYPERLINK("#'" &amp; C987 &amp; "'!" &amp; J987, J987), "")</f>
        <v/>
      </c>
    </row>
    <row r="988">
      <c r="B988" s="21">
        <f>IF(AND(C988&lt;&gt;"", J988&lt;&gt;""), HYPERLINK("#'" &amp; C988 &amp; "'!" &amp; J988, J988), "")</f>
        <v/>
      </c>
    </row>
    <row r="989">
      <c r="B989" s="21">
        <f>IF(AND(C989&lt;&gt;"", J989&lt;&gt;""), HYPERLINK("#'" &amp; C989 &amp; "'!" &amp; J989, J989), "")</f>
        <v/>
      </c>
    </row>
    <row r="990">
      <c r="B990" s="21">
        <f>IF(AND(C990&lt;&gt;"", J990&lt;&gt;""), HYPERLINK("#'" &amp; C990 &amp; "'!" &amp; J990, J990), "")</f>
        <v/>
      </c>
    </row>
    <row r="991">
      <c r="B991" s="21">
        <f>IF(AND(C991&lt;&gt;"", J991&lt;&gt;""), HYPERLINK("#'" &amp; C991 &amp; "'!" &amp; J991, J991), "")</f>
        <v/>
      </c>
    </row>
    <row r="992">
      <c r="B992" s="21">
        <f>IF(AND(C992&lt;&gt;"", J992&lt;&gt;""), HYPERLINK("#'" &amp; C992 &amp; "'!" &amp; J992, J992), "")</f>
        <v/>
      </c>
    </row>
    <row r="993">
      <c r="B993" s="21">
        <f>IF(AND(C993&lt;&gt;"", J993&lt;&gt;""), HYPERLINK("#'" &amp; C993 &amp; "'!" &amp; J993, J993), "")</f>
        <v/>
      </c>
    </row>
    <row r="994">
      <c r="B994" s="21">
        <f>IF(AND(C994&lt;&gt;"", J994&lt;&gt;""), HYPERLINK("#'" &amp; C994 &amp; "'!" &amp; J994, J994), "")</f>
        <v/>
      </c>
    </row>
    <row r="995">
      <c r="B995" s="21">
        <f>IF(AND(C995&lt;&gt;"", J995&lt;&gt;""), HYPERLINK("#'" &amp; C995 &amp; "'!" &amp; J995, J995), "")</f>
        <v/>
      </c>
    </row>
    <row r="996">
      <c r="B996" s="21">
        <f>IF(AND(C996&lt;&gt;"", J996&lt;&gt;""), HYPERLINK("#'" &amp; C996 &amp; "'!" &amp; J996, J996), "")</f>
        <v/>
      </c>
    </row>
    <row r="997">
      <c r="B997" s="21">
        <f>IF(AND(C997&lt;&gt;"", J997&lt;&gt;""), HYPERLINK("#'" &amp; C997 &amp; "'!" &amp; J997, J997), "")</f>
        <v/>
      </c>
    </row>
    <row r="998">
      <c r="B998" s="21">
        <f>IF(AND(C998&lt;&gt;"", J998&lt;&gt;""), HYPERLINK("#'" &amp; C998 &amp; "'!" &amp; J998, J998), "")</f>
        <v/>
      </c>
    </row>
    <row r="999">
      <c r="B999" s="21">
        <f>IF(AND(C999&lt;&gt;"", J999&lt;&gt;""), HYPERLINK("#'" &amp; C999 &amp; "'!" &amp; J999, J999), "")</f>
        <v/>
      </c>
    </row>
    <row r="1000">
      <c r="B1000" s="21">
        <f>IF(AND(C1000&lt;&gt;"", J1000&lt;&gt;""), HYPERLINK("#'" &amp; C1000 &amp; "'!" &amp; J1000, J1000), "")</f>
        <v/>
      </c>
    </row>
    <row r="1001">
      <c r="B1001" s="21">
        <f>IF(AND(C1001&lt;&gt;"", J1001&lt;&gt;""), HYPERLINK("#'" &amp; C1001 &amp; "'!" &amp; J1001, J1001), "")</f>
        <v/>
      </c>
    </row>
    <row r="1002">
      <c r="B1002" s="21">
        <f>IF(AND(C1002&lt;&gt;"", J1002&lt;&gt;""), HYPERLINK("#'" &amp; C1002 &amp; "'!" &amp; J1002, J1002), "")</f>
        <v/>
      </c>
    </row>
    <row r="1003">
      <c r="B1003" s="21">
        <f>IF(AND(C1003&lt;&gt;"", J1003&lt;&gt;""), HYPERLINK("#'" &amp; C1003 &amp; "'!" &amp; J1003, J1003), "")</f>
        <v/>
      </c>
    </row>
    <row r="1004">
      <c r="B1004" s="21">
        <f>IF(AND(C1004&lt;&gt;"", J1004&lt;&gt;""), HYPERLINK("#'" &amp; C1004 &amp; "'!" &amp; J1004, J1004), "")</f>
        <v/>
      </c>
    </row>
    <row r="1005">
      <c r="B1005" s="21">
        <f>IF(AND(C1005&lt;&gt;"", J1005&lt;&gt;""), HYPERLINK("#'" &amp; C1005 &amp; "'!" &amp; J1005, J1005), "")</f>
        <v/>
      </c>
    </row>
    <row r="1006">
      <c r="B1006" s="21">
        <f>IF(AND(C1006&lt;&gt;"", J1006&lt;&gt;""), HYPERLINK("#'" &amp; C1006 &amp; "'!" &amp; J1006, J1006), "")</f>
        <v/>
      </c>
    </row>
    <row r="1007">
      <c r="B1007" s="21">
        <f>IF(AND(C1007&lt;&gt;"", J1007&lt;&gt;""), HYPERLINK("#'" &amp; C1007 &amp; "'!" &amp; J1007, J1007), "")</f>
        <v/>
      </c>
    </row>
    <row r="1008">
      <c r="B1008" s="21">
        <f>IF(AND(C1008&lt;&gt;"", J1008&lt;&gt;""), HYPERLINK("#'" &amp; C1008 &amp; "'!" &amp; J1008, J1008), "")</f>
        <v/>
      </c>
    </row>
    <row r="1009">
      <c r="B1009" s="21">
        <f>IF(AND(C1009&lt;&gt;"", J1009&lt;&gt;""), HYPERLINK("#'" &amp; C1009 &amp; "'!" &amp; J1009, J1009), "")</f>
        <v/>
      </c>
    </row>
    <row r="1010">
      <c r="B1010" s="21">
        <f>IF(AND(C1010&lt;&gt;"", J1010&lt;&gt;""), HYPERLINK("#'" &amp; C1010 &amp; "'!" &amp; J1010, J1010), "")</f>
        <v/>
      </c>
    </row>
    <row r="1011">
      <c r="B1011" s="21">
        <f>IF(AND(C1011&lt;&gt;"", J1011&lt;&gt;""), HYPERLINK("#'" &amp; C1011 &amp; "'!" &amp; J1011, J1011), "")</f>
        <v/>
      </c>
    </row>
    <row r="1012">
      <c r="B1012" s="21">
        <f>IF(AND(C1012&lt;&gt;"", J1012&lt;&gt;""), HYPERLINK("#'" &amp; C1012 &amp; "'!" &amp; J1012, J1012), "")</f>
        <v/>
      </c>
    </row>
    <row r="1013">
      <c r="B1013" s="21">
        <f>IF(AND(C1013&lt;&gt;"", J1013&lt;&gt;""), HYPERLINK("#'" &amp; C1013 &amp; "'!" &amp; J1013, J1013), "")</f>
        <v/>
      </c>
    </row>
    <row r="1014">
      <c r="B1014" s="21">
        <f>IF(AND(C1014&lt;&gt;"", J1014&lt;&gt;""), HYPERLINK("#'" &amp; C1014 &amp; "'!" &amp; J1014, J1014), "")</f>
        <v/>
      </c>
    </row>
    <row r="1015">
      <c r="B1015" s="21">
        <f>IF(AND(C1015&lt;&gt;"", J1015&lt;&gt;""), HYPERLINK("#'" &amp; C1015 &amp; "'!" &amp; J1015, J1015), "")</f>
        <v/>
      </c>
    </row>
    <row r="1016">
      <c r="B1016" s="21">
        <f>IF(AND(C1016&lt;&gt;"", J1016&lt;&gt;""), HYPERLINK("#'" &amp; C1016 &amp; "'!" &amp; J1016, J1016), "")</f>
        <v/>
      </c>
    </row>
    <row r="1017">
      <c r="B1017" s="21">
        <f>IF(AND(C1017&lt;&gt;"", J1017&lt;&gt;""), HYPERLINK("#'" &amp; C1017 &amp; "'!" &amp; J1017, J1017), "")</f>
        <v/>
      </c>
    </row>
    <row r="1018">
      <c r="B1018" s="21">
        <f>IF(AND(C1018&lt;&gt;"", J1018&lt;&gt;""), HYPERLINK("#'" &amp; C1018 &amp; "'!" &amp; J1018, J1018), "")</f>
        <v/>
      </c>
    </row>
    <row r="1019">
      <c r="B1019" s="21">
        <f>IF(AND(C1019&lt;&gt;"", J1019&lt;&gt;""), HYPERLINK("#'" &amp; C1019 &amp; "'!" &amp; J1019, J1019), "")</f>
        <v/>
      </c>
    </row>
    <row r="1020">
      <c r="B1020" s="21">
        <f>IF(AND(C1020&lt;&gt;"", J1020&lt;&gt;""), HYPERLINK("#'" &amp; C1020 &amp; "'!" &amp; J1020, J1020), "")</f>
        <v/>
      </c>
    </row>
    <row r="1021">
      <c r="B1021" s="21">
        <f>IF(AND(C1021&lt;&gt;"", J1021&lt;&gt;""), HYPERLINK("#'" &amp; C1021 &amp; "'!" &amp; J1021, J1021), "")</f>
        <v/>
      </c>
    </row>
    <row r="1022">
      <c r="B1022" s="21">
        <f>IF(AND(C1022&lt;&gt;"", J1022&lt;&gt;""), HYPERLINK("#'" &amp; C1022 &amp; "'!" &amp; J1022, J1022), "")</f>
        <v/>
      </c>
    </row>
    <row r="1023">
      <c r="B1023" s="21">
        <f>IF(AND(C1023&lt;&gt;"", J1023&lt;&gt;""), HYPERLINK("#'" &amp; C1023 &amp; "'!" &amp; J1023, J1023), "")</f>
        <v/>
      </c>
    </row>
    <row r="1024">
      <c r="B1024" s="21">
        <f>IF(AND(C1024&lt;&gt;"", J1024&lt;&gt;""), HYPERLINK("#'" &amp; C1024 &amp; "'!" &amp; J1024, J1024), "")</f>
        <v/>
      </c>
    </row>
    <row r="1025">
      <c r="B1025" s="21">
        <f>IF(AND(C1025&lt;&gt;"", J1025&lt;&gt;""), HYPERLINK("#'" &amp; C1025 &amp; "'!" &amp; J1025, J1025), "")</f>
        <v/>
      </c>
    </row>
    <row r="1026">
      <c r="B1026" s="21">
        <f>IF(AND(C1026&lt;&gt;"", J1026&lt;&gt;""), HYPERLINK("#'" &amp; C1026 &amp; "'!" &amp; J1026, J1026), "")</f>
        <v/>
      </c>
    </row>
    <row r="1027">
      <c r="B1027" s="21">
        <f>IF(AND(C1027&lt;&gt;"", J1027&lt;&gt;""), HYPERLINK("#'" &amp; C1027 &amp; "'!" &amp; J1027, J1027), "")</f>
        <v/>
      </c>
    </row>
    <row r="1028">
      <c r="B1028" s="21">
        <f>IF(AND(C1028&lt;&gt;"", J1028&lt;&gt;""), HYPERLINK("#'" &amp; C1028 &amp; "'!" &amp; J1028, J1028), "")</f>
        <v/>
      </c>
    </row>
    <row r="1029">
      <c r="B1029" s="21">
        <f>IF(AND(C1029&lt;&gt;"", J1029&lt;&gt;""), HYPERLINK("#'" &amp; C1029 &amp; "'!" &amp; J1029, J1029), "")</f>
        <v/>
      </c>
    </row>
    <row r="1030">
      <c r="B1030" s="21">
        <f>IF(AND(C1030&lt;&gt;"", J1030&lt;&gt;""), HYPERLINK("#'" &amp; C1030 &amp; "'!" &amp; J1030, J1030), "")</f>
        <v/>
      </c>
    </row>
    <row r="1031">
      <c r="B1031" s="21">
        <f>IF(AND(C1031&lt;&gt;"", J1031&lt;&gt;""), HYPERLINK("#'" &amp; C1031 &amp; "'!" &amp; J1031, J1031), "")</f>
        <v/>
      </c>
    </row>
    <row r="1032">
      <c r="B1032" s="21">
        <f>IF(AND(C1032&lt;&gt;"", J1032&lt;&gt;""), HYPERLINK("#'" &amp; C1032 &amp; "'!" &amp; J1032, J1032), "")</f>
        <v/>
      </c>
    </row>
    <row r="1033">
      <c r="B1033" s="21">
        <f>IF(AND(C1033&lt;&gt;"", J1033&lt;&gt;""), HYPERLINK("#'" &amp; C1033 &amp; "'!" &amp; J1033, J1033), "")</f>
        <v/>
      </c>
    </row>
    <row r="1034">
      <c r="B1034" s="21">
        <f>IF(AND(C1034&lt;&gt;"", J1034&lt;&gt;""), HYPERLINK("#'" &amp; C1034 &amp; "'!" &amp; J1034, J1034), "")</f>
        <v/>
      </c>
    </row>
    <row r="1035">
      <c r="B1035" s="21">
        <f>IF(AND(C1035&lt;&gt;"", J1035&lt;&gt;""), HYPERLINK("#'" &amp; C1035 &amp; "'!" &amp; J1035, J1035), "")</f>
        <v/>
      </c>
    </row>
    <row r="1036">
      <c r="B1036" s="21">
        <f>IF(AND(C1036&lt;&gt;"", J1036&lt;&gt;""), HYPERLINK("#'" &amp; C1036 &amp; "'!" &amp; J1036, J1036), "")</f>
        <v/>
      </c>
    </row>
    <row r="1037">
      <c r="B1037" s="21">
        <f>IF(AND(C1037&lt;&gt;"", J1037&lt;&gt;""), HYPERLINK("#'" &amp; C1037 &amp; "'!" &amp; J1037, J1037), "")</f>
        <v/>
      </c>
    </row>
    <row r="1038">
      <c r="B1038" s="21">
        <f>IF(AND(C1038&lt;&gt;"", J1038&lt;&gt;""), HYPERLINK("#'" &amp; C1038 &amp; "'!" &amp; J1038, J1038), "")</f>
        <v/>
      </c>
    </row>
    <row r="1039">
      <c r="B1039" s="21">
        <f>IF(AND(C1039&lt;&gt;"", J1039&lt;&gt;""), HYPERLINK("#'" &amp; C1039 &amp; "'!" &amp; J1039, J1039), "")</f>
        <v/>
      </c>
    </row>
    <row r="1040">
      <c r="B1040" s="21">
        <f>IF(AND(C1040&lt;&gt;"", J1040&lt;&gt;""), HYPERLINK("#'" &amp; C1040 &amp; "'!" &amp; J1040, J1040), "")</f>
        <v/>
      </c>
    </row>
    <row r="1041">
      <c r="B1041" s="21">
        <f>IF(AND(C1041&lt;&gt;"", J1041&lt;&gt;""), HYPERLINK("#'" &amp; C1041 &amp; "'!" &amp; J1041, J1041), "")</f>
        <v/>
      </c>
    </row>
    <row r="1042">
      <c r="B1042" s="21">
        <f>IF(AND(C1042&lt;&gt;"", J1042&lt;&gt;""), HYPERLINK("#'" &amp; C1042 &amp; "'!" &amp; J1042, J1042), "")</f>
        <v/>
      </c>
    </row>
    <row r="1043">
      <c r="B1043" s="21">
        <f>IF(AND(C1043&lt;&gt;"", J1043&lt;&gt;""), HYPERLINK("#'" &amp; C1043 &amp; "'!" &amp; J1043, J1043), "")</f>
        <v/>
      </c>
    </row>
    <row r="1044">
      <c r="B1044" s="21">
        <f>IF(AND(C1044&lt;&gt;"", J1044&lt;&gt;""), HYPERLINK("#'" &amp; C1044 &amp; "'!" &amp; J1044, J1044), "")</f>
        <v/>
      </c>
    </row>
    <row r="1045">
      <c r="B1045" s="21">
        <f>IF(AND(C1045&lt;&gt;"", J1045&lt;&gt;""), HYPERLINK("#'" &amp; C1045 &amp; "'!" &amp; J1045, J1045), "")</f>
        <v/>
      </c>
    </row>
    <row r="1046">
      <c r="B1046" s="21">
        <f>IF(AND(C1046&lt;&gt;"", J1046&lt;&gt;""), HYPERLINK("#'" &amp; C1046 &amp; "'!" &amp; J1046, J1046), "")</f>
        <v/>
      </c>
    </row>
    <row r="1047">
      <c r="B1047" s="21">
        <f>IF(AND(C1047&lt;&gt;"", J1047&lt;&gt;""), HYPERLINK("#'" &amp; C1047 &amp; "'!" &amp; J1047, J1047), "")</f>
        <v/>
      </c>
    </row>
    <row r="1048">
      <c r="B1048" s="21">
        <f>IF(AND(C1048&lt;&gt;"", J1048&lt;&gt;""), HYPERLINK("#'" &amp; C1048 &amp; "'!" &amp; J1048, J1048), "")</f>
        <v/>
      </c>
    </row>
    <row r="1049">
      <c r="B1049" s="21">
        <f>IF(AND(C1049&lt;&gt;"", J1049&lt;&gt;""), HYPERLINK("#'" &amp; C1049 &amp; "'!" &amp; J1049, J1049), "")</f>
        <v/>
      </c>
    </row>
    <row r="1050">
      <c r="B1050" s="21">
        <f>IF(AND(C1050&lt;&gt;"", J1050&lt;&gt;""), HYPERLINK("#'" &amp; C1050 &amp; "'!" &amp; J1050, J1050), "")</f>
        <v/>
      </c>
    </row>
    <row r="1051">
      <c r="B1051" s="21">
        <f>IF(AND(C1051&lt;&gt;"", J1051&lt;&gt;""), HYPERLINK("#'" &amp; C1051 &amp; "'!" &amp; J1051, J1051), "")</f>
        <v/>
      </c>
    </row>
    <row r="1052">
      <c r="B1052" s="21">
        <f>IF(AND(C1052&lt;&gt;"", J1052&lt;&gt;""), HYPERLINK("#'" &amp; C1052 &amp; "'!" &amp; J1052, J1052), "")</f>
        <v/>
      </c>
    </row>
    <row r="1053">
      <c r="B1053" s="21">
        <f>IF(AND(C1053&lt;&gt;"", J1053&lt;&gt;""), HYPERLINK("#'" &amp; C1053 &amp; "'!" &amp; J1053, J1053), "")</f>
        <v/>
      </c>
    </row>
    <row r="1054">
      <c r="B1054" s="21">
        <f>IF(AND(C1054&lt;&gt;"", J1054&lt;&gt;""), HYPERLINK("#'" &amp; C1054 &amp; "'!" &amp; J1054, J1054), "")</f>
        <v/>
      </c>
    </row>
    <row r="1055">
      <c r="B1055" s="21">
        <f>IF(AND(C1055&lt;&gt;"", J1055&lt;&gt;""), HYPERLINK("#'" &amp; C1055 &amp; "'!" &amp; J1055, J1055), "")</f>
        <v/>
      </c>
    </row>
    <row r="1056">
      <c r="B1056" s="21">
        <f>IF(AND(C1056&lt;&gt;"", J1056&lt;&gt;""), HYPERLINK("#'" &amp; C1056 &amp; "'!" &amp; J1056, J1056), "")</f>
        <v/>
      </c>
    </row>
    <row r="1057">
      <c r="B1057" s="21">
        <f>IF(AND(C1057&lt;&gt;"", J1057&lt;&gt;""), HYPERLINK("#'" &amp; C1057 &amp; "'!" &amp; J1057, J1057), "")</f>
        <v/>
      </c>
    </row>
    <row r="1058">
      <c r="B1058" s="21">
        <f>IF(AND(C1058&lt;&gt;"", J1058&lt;&gt;""), HYPERLINK("#'" &amp; C1058 &amp; "'!" &amp; J1058, J1058), "")</f>
        <v/>
      </c>
    </row>
    <row r="1059">
      <c r="B1059" s="21">
        <f>IF(AND(C1059&lt;&gt;"", J1059&lt;&gt;""), HYPERLINK("#'" &amp; C1059 &amp; "'!" &amp; J1059, J1059), "")</f>
        <v/>
      </c>
    </row>
    <row r="1060">
      <c r="B1060" s="21">
        <f>IF(AND(C1060&lt;&gt;"", J1060&lt;&gt;""), HYPERLINK("#'" &amp; C1060 &amp; "'!" &amp; J1060, J1060), "")</f>
        <v/>
      </c>
    </row>
    <row r="1061">
      <c r="B1061" s="21">
        <f>IF(AND(C1061&lt;&gt;"", J1061&lt;&gt;""), HYPERLINK("#'" &amp; C1061 &amp; "'!" &amp; J1061, J1061), "")</f>
        <v/>
      </c>
    </row>
    <row r="1062">
      <c r="B1062" s="21">
        <f>IF(AND(C1062&lt;&gt;"", J1062&lt;&gt;""), HYPERLINK("#'" &amp; C1062 &amp; "'!" &amp; J1062, J1062), "")</f>
        <v/>
      </c>
    </row>
    <row r="1063">
      <c r="B1063" s="21">
        <f>IF(AND(C1063&lt;&gt;"", J1063&lt;&gt;""), HYPERLINK("#'" &amp; C1063 &amp; "'!" &amp; J1063, J1063), "")</f>
        <v/>
      </c>
    </row>
    <row r="1064">
      <c r="B1064" s="21">
        <f>IF(AND(C1064&lt;&gt;"", J1064&lt;&gt;""), HYPERLINK("#'" &amp; C1064 &amp; "'!" &amp; J1064, J1064), "")</f>
        <v/>
      </c>
    </row>
    <row r="1065">
      <c r="B1065" s="21">
        <f>IF(AND(C1065&lt;&gt;"", J1065&lt;&gt;""), HYPERLINK("#'" &amp; C1065 &amp; "'!" &amp; J1065, J1065), "")</f>
        <v/>
      </c>
    </row>
    <row r="1066">
      <c r="B1066" s="21">
        <f>IF(AND(C1066&lt;&gt;"", J1066&lt;&gt;""), HYPERLINK("#'" &amp; C1066 &amp; "'!" &amp; J1066, J1066), "")</f>
        <v/>
      </c>
    </row>
    <row r="1067">
      <c r="B1067" s="21">
        <f>IF(AND(C1067&lt;&gt;"", J1067&lt;&gt;""), HYPERLINK("#'" &amp; C1067 &amp; "'!" &amp; J1067, J1067), "")</f>
        <v/>
      </c>
    </row>
    <row r="1068">
      <c r="B1068" s="21">
        <f>IF(AND(C1068&lt;&gt;"", J1068&lt;&gt;""), HYPERLINK("#'" &amp; C1068 &amp; "'!" &amp; J1068, J1068), "")</f>
        <v/>
      </c>
    </row>
    <row r="1069">
      <c r="B1069" s="21">
        <f>IF(AND(C1069&lt;&gt;"", J1069&lt;&gt;""), HYPERLINK("#'" &amp; C1069 &amp; "'!" &amp; J1069, J1069), "")</f>
        <v/>
      </c>
    </row>
    <row r="1070">
      <c r="B1070" s="21">
        <f>IF(AND(C1070&lt;&gt;"", J1070&lt;&gt;""), HYPERLINK("#'" &amp; C1070 &amp; "'!" &amp; J1070, J1070), "")</f>
        <v/>
      </c>
    </row>
    <row r="1071">
      <c r="B1071" s="21">
        <f>IF(AND(C1071&lt;&gt;"", J1071&lt;&gt;""), HYPERLINK("#'" &amp; C1071 &amp; "'!" &amp; J1071, J1071), "")</f>
        <v/>
      </c>
    </row>
    <row r="1072">
      <c r="B1072" s="21">
        <f>IF(AND(C1072&lt;&gt;"", J1072&lt;&gt;""), HYPERLINK("#'" &amp; C1072 &amp; "'!" &amp; J1072, J1072), "")</f>
        <v/>
      </c>
    </row>
    <row r="1073">
      <c r="B1073" s="21">
        <f>IF(AND(C1073&lt;&gt;"", J1073&lt;&gt;""), HYPERLINK("#'" &amp; C1073 &amp; "'!" &amp; J1073, J1073), "")</f>
        <v/>
      </c>
    </row>
    <row r="1074">
      <c r="B1074" s="21">
        <f>IF(AND(C1074&lt;&gt;"", J1074&lt;&gt;""), HYPERLINK("#'" &amp; C1074 &amp; "'!" &amp; J1074, J1074), "")</f>
        <v/>
      </c>
    </row>
    <row r="1075">
      <c r="B1075" s="21">
        <f>IF(AND(C1075&lt;&gt;"", J1075&lt;&gt;""), HYPERLINK("#'" &amp; C1075 &amp; "'!" &amp; J1075, J1075), "")</f>
        <v/>
      </c>
    </row>
    <row r="1076">
      <c r="B1076" s="21">
        <f>IF(AND(C1076&lt;&gt;"", J1076&lt;&gt;""), HYPERLINK("#'" &amp; C1076 &amp; "'!" &amp; J1076, J1076), "")</f>
        <v/>
      </c>
    </row>
    <row r="1077">
      <c r="B1077" s="21">
        <f>IF(AND(C1077&lt;&gt;"", J1077&lt;&gt;""), HYPERLINK("#'" &amp; C1077 &amp; "'!" &amp; J1077, J1077), "")</f>
        <v/>
      </c>
    </row>
    <row r="1078">
      <c r="B1078" s="21">
        <f>IF(AND(C1078&lt;&gt;"", J1078&lt;&gt;""), HYPERLINK("#'" &amp; C1078 &amp; "'!" &amp; J1078, J1078), "")</f>
        <v/>
      </c>
    </row>
    <row r="1079">
      <c r="B1079" s="21">
        <f>IF(AND(C1079&lt;&gt;"", J1079&lt;&gt;""), HYPERLINK("#'" &amp; C1079 &amp; "'!" &amp; J1079, J1079), "")</f>
        <v/>
      </c>
    </row>
    <row r="1080">
      <c r="B1080" s="21">
        <f>IF(AND(C1080&lt;&gt;"", J1080&lt;&gt;""), HYPERLINK("#'" &amp; C1080 &amp; "'!" &amp; J1080, J1080), "")</f>
        <v/>
      </c>
    </row>
    <row r="1081">
      <c r="B1081" s="21">
        <f>IF(AND(C1081&lt;&gt;"", J1081&lt;&gt;""), HYPERLINK("#'" &amp; C1081 &amp; "'!" &amp; J1081, J1081), "")</f>
        <v/>
      </c>
    </row>
    <row r="1082">
      <c r="B1082" s="21">
        <f>IF(AND(C1082&lt;&gt;"", J1082&lt;&gt;""), HYPERLINK("#'" &amp; C1082 &amp; "'!" &amp; J1082, J1082), "")</f>
        <v/>
      </c>
    </row>
    <row r="1083">
      <c r="B1083" s="21">
        <f>IF(AND(C1083&lt;&gt;"", J1083&lt;&gt;""), HYPERLINK("#'" &amp; C1083 &amp; "'!" &amp; J1083, J1083), "")</f>
        <v/>
      </c>
    </row>
    <row r="1084">
      <c r="B1084" s="21">
        <f>IF(AND(C1084&lt;&gt;"", J1084&lt;&gt;""), HYPERLINK("#'" &amp; C1084 &amp; "'!" &amp; J1084, J1084), "")</f>
        <v/>
      </c>
    </row>
    <row r="1085">
      <c r="B1085" s="21">
        <f>IF(AND(C1085&lt;&gt;"", J1085&lt;&gt;""), HYPERLINK("#'" &amp; C1085 &amp; "'!" &amp; J1085, J1085), "")</f>
        <v/>
      </c>
    </row>
    <row r="1086">
      <c r="B1086" s="21">
        <f>IF(AND(C1086&lt;&gt;"", J1086&lt;&gt;""), HYPERLINK("#'" &amp; C1086 &amp; "'!" &amp; J1086, J1086), "")</f>
        <v/>
      </c>
    </row>
    <row r="1087">
      <c r="B1087" s="21">
        <f>IF(AND(C1087&lt;&gt;"", J1087&lt;&gt;""), HYPERLINK("#'" &amp; C1087 &amp; "'!" &amp; J1087, J1087), "")</f>
        <v/>
      </c>
    </row>
    <row r="1088">
      <c r="B1088" s="21">
        <f>IF(AND(C1088&lt;&gt;"", J1088&lt;&gt;""), HYPERLINK("#'" &amp; C1088 &amp; "'!" &amp; J1088, J1088), "")</f>
        <v/>
      </c>
    </row>
    <row r="1089">
      <c r="B1089" s="21">
        <f>IF(AND(C1089&lt;&gt;"", J1089&lt;&gt;""), HYPERLINK("#'" &amp; C1089 &amp; "'!" &amp; J1089, J1089), "")</f>
        <v/>
      </c>
    </row>
    <row r="1090">
      <c r="B1090" s="21">
        <f>IF(AND(C1090&lt;&gt;"", J1090&lt;&gt;""), HYPERLINK("#'" &amp; C1090 &amp; "'!" &amp; J1090, J1090), "")</f>
        <v/>
      </c>
    </row>
    <row r="1091">
      <c r="B1091" s="21">
        <f>IF(AND(C1091&lt;&gt;"", J1091&lt;&gt;""), HYPERLINK("#'" &amp; C1091 &amp; "'!" &amp; J1091, J1091), "")</f>
        <v/>
      </c>
    </row>
    <row r="1092">
      <c r="B1092" s="21">
        <f>IF(AND(C1092&lt;&gt;"", J1092&lt;&gt;""), HYPERLINK("#'" &amp; C1092 &amp; "'!" &amp; J1092, J1092), "")</f>
        <v/>
      </c>
    </row>
    <row r="1093">
      <c r="B1093" s="21">
        <f>IF(AND(C1093&lt;&gt;"", J1093&lt;&gt;""), HYPERLINK("#'" &amp; C1093 &amp; "'!" &amp; J1093, J1093), "")</f>
        <v/>
      </c>
    </row>
    <row r="1094">
      <c r="B1094" s="21">
        <f>IF(AND(C1094&lt;&gt;"", J1094&lt;&gt;""), HYPERLINK("#'" &amp; C1094 &amp; "'!" &amp; J1094, J1094), "")</f>
        <v/>
      </c>
    </row>
    <row r="1095">
      <c r="B1095" s="21">
        <f>IF(AND(C1095&lt;&gt;"", J1095&lt;&gt;""), HYPERLINK("#'" &amp; C1095 &amp; "'!" &amp; J1095, J1095), "")</f>
        <v/>
      </c>
    </row>
    <row r="1096">
      <c r="B1096" s="21">
        <f>IF(AND(C1096&lt;&gt;"", J1096&lt;&gt;""), HYPERLINK("#'" &amp; C1096 &amp; "'!" &amp; J1096, J1096), "")</f>
        <v/>
      </c>
    </row>
    <row r="1097">
      <c r="B1097" s="21">
        <f>IF(AND(C1097&lt;&gt;"", J1097&lt;&gt;""), HYPERLINK("#'" &amp; C1097 &amp; "'!" &amp; J1097, J1097), "")</f>
        <v/>
      </c>
    </row>
    <row r="1098">
      <c r="B1098" s="21">
        <f>IF(AND(C1098&lt;&gt;"", J1098&lt;&gt;""), HYPERLINK("#'" &amp; C1098 &amp; "'!" &amp; J1098, J1098), "")</f>
        <v/>
      </c>
    </row>
    <row r="1099">
      <c r="B1099" s="21">
        <f>IF(AND(C1099&lt;&gt;"", J1099&lt;&gt;""), HYPERLINK("#'" &amp; C1099 &amp; "'!" &amp; J1099, J1099), "")</f>
        <v/>
      </c>
    </row>
    <row r="1100">
      <c r="B1100" s="21">
        <f>IF(AND(C1100&lt;&gt;"", J1100&lt;&gt;""), HYPERLINK("#'" &amp; C1100 &amp; "'!" &amp; J1100, J1100), "")</f>
        <v/>
      </c>
    </row>
    <row r="1101">
      <c r="B1101" s="21">
        <f>IF(AND(C1101&lt;&gt;"", J1101&lt;&gt;""), HYPERLINK("#'" &amp; C1101 &amp; "'!" &amp; J1101, J1101), "")</f>
        <v/>
      </c>
    </row>
    <row r="1102">
      <c r="B1102" s="21">
        <f>IF(AND(C1102&lt;&gt;"", J1102&lt;&gt;""), HYPERLINK("#'" &amp; C1102 &amp; "'!" &amp; J1102, J1102), "")</f>
        <v/>
      </c>
    </row>
    <row r="1103">
      <c r="B1103" s="21">
        <f>IF(AND(C1103&lt;&gt;"", J1103&lt;&gt;""), HYPERLINK("#'" &amp; C1103 &amp; "'!" &amp; J1103, J1103), "")</f>
        <v/>
      </c>
    </row>
    <row r="1104">
      <c r="B1104" s="21">
        <f>IF(AND(C1104&lt;&gt;"", J1104&lt;&gt;""), HYPERLINK("#'" &amp; C1104 &amp; "'!" &amp; J1104, J1104), "")</f>
        <v/>
      </c>
    </row>
    <row r="1105">
      <c r="B1105" s="21">
        <f>IF(AND(C1105&lt;&gt;"", J1105&lt;&gt;""), HYPERLINK("#'" &amp; C1105 &amp; "'!" &amp; J1105, J1105), "")</f>
        <v/>
      </c>
    </row>
    <row r="1106">
      <c r="B1106" s="21">
        <f>IF(AND(C1106&lt;&gt;"", J1106&lt;&gt;""), HYPERLINK("#'" &amp; C1106 &amp; "'!" &amp; J1106, J1106), "")</f>
        <v/>
      </c>
    </row>
    <row r="1107">
      <c r="B1107" s="21">
        <f>IF(AND(C1107&lt;&gt;"", J1107&lt;&gt;""), HYPERLINK("#'" &amp; C1107 &amp; "'!" &amp; J1107, J1107), "")</f>
        <v/>
      </c>
    </row>
    <row r="1108">
      <c r="B1108" s="21">
        <f>IF(AND(C1108&lt;&gt;"", J1108&lt;&gt;""), HYPERLINK("#'" &amp; C1108 &amp; "'!" &amp; J1108, J1108), "")</f>
        <v/>
      </c>
    </row>
    <row r="1109">
      <c r="B1109" s="21">
        <f>IF(AND(C1109&lt;&gt;"", J1109&lt;&gt;""), HYPERLINK("#'" &amp; C1109 &amp; "'!" &amp; J1109, J1109), "")</f>
        <v/>
      </c>
    </row>
    <row r="1110">
      <c r="B1110" s="21">
        <f>IF(AND(C1110&lt;&gt;"", J1110&lt;&gt;""), HYPERLINK("#'" &amp; C1110 &amp; "'!" &amp; J1110, J1110), "")</f>
        <v/>
      </c>
    </row>
    <row r="1111">
      <c r="B1111" s="21">
        <f>IF(AND(C1111&lt;&gt;"", J1111&lt;&gt;""), HYPERLINK("#'" &amp; C1111 &amp; "'!" &amp; J1111, J1111), "")</f>
        <v/>
      </c>
    </row>
    <row r="1112">
      <c r="B1112" s="21">
        <f>IF(AND(C1112&lt;&gt;"", J1112&lt;&gt;""), HYPERLINK("#'" &amp; C1112 &amp; "'!" &amp; J1112, J1112), "")</f>
        <v/>
      </c>
    </row>
    <row r="1113">
      <c r="B1113" s="21">
        <f>IF(AND(C1113&lt;&gt;"", J1113&lt;&gt;""), HYPERLINK("#'" &amp; C1113 &amp; "'!" &amp; J1113, J1113), "")</f>
        <v/>
      </c>
    </row>
    <row r="1114">
      <c r="B1114" s="21">
        <f>IF(AND(C1114&lt;&gt;"", J1114&lt;&gt;""), HYPERLINK("#'" &amp; C1114 &amp; "'!" &amp; J1114, J1114), "")</f>
        <v/>
      </c>
    </row>
    <row r="1115">
      <c r="B1115" s="21">
        <f>IF(AND(C1115&lt;&gt;"", J1115&lt;&gt;""), HYPERLINK("#'" &amp; C1115 &amp; "'!" &amp; J1115, J1115), "")</f>
        <v/>
      </c>
    </row>
    <row r="1116">
      <c r="B1116" s="21">
        <f>IF(AND(C1116&lt;&gt;"", J1116&lt;&gt;""), HYPERLINK("#'" &amp; C1116 &amp; "'!" &amp; J1116, J1116), "")</f>
        <v/>
      </c>
    </row>
    <row r="1117">
      <c r="B1117" s="21">
        <f>IF(AND(C1117&lt;&gt;"", J1117&lt;&gt;""), HYPERLINK("#'" &amp; C1117 &amp; "'!" &amp; J1117, J1117), "")</f>
        <v/>
      </c>
    </row>
    <row r="1118">
      <c r="B1118" s="21">
        <f>IF(AND(C1118&lt;&gt;"", J1118&lt;&gt;""), HYPERLINK("#'" &amp; C1118 &amp; "'!" &amp; J1118, J1118), "")</f>
        <v/>
      </c>
    </row>
    <row r="1119">
      <c r="B1119" s="21">
        <f>IF(AND(C1119&lt;&gt;"", J1119&lt;&gt;""), HYPERLINK("#'" &amp; C1119 &amp; "'!" &amp; J1119, J1119), "")</f>
        <v/>
      </c>
    </row>
    <row r="1120">
      <c r="B1120" s="21">
        <f>IF(AND(C1120&lt;&gt;"", J1120&lt;&gt;""), HYPERLINK("#'" &amp; C1120 &amp; "'!" &amp; J1120, J1120), "")</f>
        <v/>
      </c>
    </row>
    <row r="1121">
      <c r="B1121" s="21">
        <f>IF(AND(C1121&lt;&gt;"", J1121&lt;&gt;""), HYPERLINK("#'" &amp; C1121 &amp; "'!" &amp; J1121, J1121), "")</f>
        <v/>
      </c>
    </row>
    <row r="1122">
      <c r="B1122" s="21">
        <f>IF(AND(C1122&lt;&gt;"", J1122&lt;&gt;""), HYPERLINK("#'" &amp; C1122 &amp; "'!" &amp; J1122, J1122), "")</f>
        <v/>
      </c>
    </row>
    <row r="1123">
      <c r="B1123" s="21">
        <f>IF(AND(C1123&lt;&gt;"", J1123&lt;&gt;""), HYPERLINK("#'" &amp; C1123 &amp; "'!" &amp; J1123, J1123), "")</f>
        <v/>
      </c>
    </row>
    <row r="1124">
      <c r="B1124" s="21">
        <f>IF(AND(C1124&lt;&gt;"", J1124&lt;&gt;""), HYPERLINK("#'" &amp; C1124 &amp; "'!" &amp; J1124, J1124), "")</f>
        <v/>
      </c>
    </row>
    <row r="1125">
      <c r="B1125" s="21">
        <f>IF(AND(C1125&lt;&gt;"", J1125&lt;&gt;""), HYPERLINK("#'" &amp; C1125 &amp; "'!" &amp; J1125, J1125), "")</f>
        <v/>
      </c>
    </row>
    <row r="1126">
      <c r="B1126" s="21">
        <f>IF(AND(C1126&lt;&gt;"", J1126&lt;&gt;""), HYPERLINK("#'" &amp; C1126 &amp; "'!" &amp; J1126, J1126), "")</f>
        <v/>
      </c>
    </row>
    <row r="1127">
      <c r="B1127" s="21">
        <f>IF(AND(C1127&lt;&gt;"", J1127&lt;&gt;""), HYPERLINK("#'" &amp; C1127 &amp; "'!" &amp; J1127, J1127), "")</f>
        <v/>
      </c>
    </row>
    <row r="1128">
      <c r="B1128" s="21">
        <f>IF(AND(C1128&lt;&gt;"", J1128&lt;&gt;""), HYPERLINK("#'" &amp; C1128 &amp; "'!" &amp; J1128, J1128), "")</f>
        <v/>
      </c>
    </row>
    <row r="1129">
      <c r="B1129" s="21">
        <f>IF(AND(C1129&lt;&gt;"", J1129&lt;&gt;""), HYPERLINK("#'" &amp; C1129 &amp; "'!" &amp; J1129, J1129), "")</f>
        <v/>
      </c>
    </row>
    <row r="1130">
      <c r="B1130" s="21">
        <f>IF(AND(C1130&lt;&gt;"", J1130&lt;&gt;""), HYPERLINK("#'" &amp; C1130 &amp; "'!" &amp; J1130, J1130), "")</f>
        <v/>
      </c>
    </row>
    <row r="1131">
      <c r="B1131" s="21">
        <f>IF(AND(C1131&lt;&gt;"", J1131&lt;&gt;""), HYPERLINK("#'" &amp; C1131 &amp; "'!" &amp; J1131, J1131), "")</f>
        <v/>
      </c>
    </row>
    <row r="1132">
      <c r="B1132" s="21">
        <f>IF(AND(C1132&lt;&gt;"", J1132&lt;&gt;""), HYPERLINK("#'" &amp; C1132 &amp; "'!" &amp; J1132, J1132), "")</f>
        <v/>
      </c>
    </row>
    <row r="1133">
      <c r="B1133" s="21">
        <f>IF(AND(C1133&lt;&gt;"", J1133&lt;&gt;""), HYPERLINK("#'" &amp; C1133 &amp; "'!" &amp; J1133, J1133), "")</f>
        <v/>
      </c>
    </row>
    <row r="1134">
      <c r="B1134" s="21">
        <f>IF(AND(C1134&lt;&gt;"", J1134&lt;&gt;""), HYPERLINK("#'" &amp; C1134 &amp; "'!" &amp; J1134, J1134), "")</f>
        <v/>
      </c>
    </row>
    <row r="1135">
      <c r="B1135" s="21">
        <f>IF(AND(C1135&lt;&gt;"", J1135&lt;&gt;""), HYPERLINK("#'" &amp; C1135 &amp; "'!" &amp; J1135, J1135), "")</f>
        <v/>
      </c>
    </row>
    <row r="1136">
      <c r="B1136" s="21">
        <f>IF(AND(C1136&lt;&gt;"", J1136&lt;&gt;""), HYPERLINK("#'" &amp; C1136 &amp; "'!" &amp; J1136, J1136), "")</f>
        <v/>
      </c>
    </row>
    <row r="1137">
      <c r="B1137" s="21">
        <f>IF(AND(C1137&lt;&gt;"", J1137&lt;&gt;""), HYPERLINK("#'" &amp; C1137 &amp; "'!" &amp; J1137, J1137), "")</f>
        <v/>
      </c>
    </row>
    <row r="1138">
      <c r="B1138" s="21">
        <f>IF(AND(C1138&lt;&gt;"", J1138&lt;&gt;""), HYPERLINK("#'" &amp; C1138 &amp; "'!" &amp; J1138, J1138), "")</f>
        <v/>
      </c>
    </row>
    <row r="1139">
      <c r="B1139" s="21">
        <f>IF(AND(C1139&lt;&gt;"", J1139&lt;&gt;""), HYPERLINK("#'" &amp; C1139 &amp; "'!" &amp; J1139, J1139), "")</f>
        <v/>
      </c>
    </row>
    <row r="1140">
      <c r="B1140" s="21">
        <f>IF(AND(C1140&lt;&gt;"", J1140&lt;&gt;""), HYPERLINK("#'" &amp; C1140 &amp; "'!" &amp; J1140, J1140), "")</f>
        <v/>
      </c>
    </row>
    <row r="1141">
      <c r="B1141" s="21">
        <f>IF(AND(C1141&lt;&gt;"", J1141&lt;&gt;""), HYPERLINK("#'" &amp; C1141 &amp; "'!" &amp; J1141, J1141), "")</f>
        <v/>
      </c>
    </row>
    <row r="1142">
      <c r="B1142" s="21">
        <f>IF(AND(C1142&lt;&gt;"", J1142&lt;&gt;""), HYPERLINK("#'" &amp; C1142 &amp; "'!" &amp; J1142, J1142), "")</f>
        <v/>
      </c>
    </row>
    <row r="1143">
      <c r="B1143" s="21">
        <f>IF(AND(C1143&lt;&gt;"", J1143&lt;&gt;""), HYPERLINK("#'" &amp; C1143 &amp; "'!" &amp; J1143, J1143), "")</f>
        <v/>
      </c>
    </row>
    <row r="1144">
      <c r="B1144" s="21">
        <f>IF(AND(C1144&lt;&gt;"", J1144&lt;&gt;""), HYPERLINK("#'" &amp; C1144 &amp; "'!" &amp; J1144, J1144), "")</f>
        <v/>
      </c>
    </row>
    <row r="1145">
      <c r="B1145" s="21">
        <f>IF(AND(C1145&lt;&gt;"", J1145&lt;&gt;""), HYPERLINK("#'" &amp; C1145 &amp; "'!" &amp; J1145, J1145), "")</f>
        <v/>
      </c>
    </row>
    <row r="1146">
      <c r="B1146" s="21">
        <f>IF(AND(C1146&lt;&gt;"", J1146&lt;&gt;""), HYPERLINK("#'" &amp; C1146 &amp; "'!" &amp; J1146, J1146), "")</f>
        <v/>
      </c>
    </row>
    <row r="1147">
      <c r="B1147" s="21">
        <f>IF(AND(C1147&lt;&gt;"", J1147&lt;&gt;""), HYPERLINK("#'" &amp; C1147 &amp; "'!" &amp; J1147, J1147), "")</f>
        <v/>
      </c>
    </row>
    <row r="1148">
      <c r="B1148" s="21">
        <f>IF(AND(C1148&lt;&gt;"", J1148&lt;&gt;""), HYPERLINK("#'" &amp; C1148 &amp; "'!" &amp; J1148, J1148), "")</f>
        <v/>
      </c>
    </row>
    <row r="1149">
      <c r="B1149" s="21">
        <f>IF(AND(C1149&lt;&gt;"", J1149&lt;&gt;""), HYPERLINK("#'" &amp; C1149 &amp; "'!" &amp; J1149, J1149), "")</f>
        <v/>
      </c>
    </row>
    <row r="1150">
      <c r="B1150" s="21">
        <f>IF(AND(C1150&lt;&gt;"", J1150&lt;&gt;""), HYPERLINK("#'" &amp; C1150 &amp; "'!" &amp; J1150, J1150), "")</f>
        <v/>
      </c>
    </row>
    <row r="1151">
      <c r="B1151" s="21">
        <f>IF(AND(C1151&lt;&gt;"", J1151&lt;&gt;""), HYPERLINK("#'" &amp; C1151 &amp; "'!" &amp; J1151, J1151), "")</f>
        <v/>
      </c>
    </row>
    <row r="1152">
      <c r="B1152" s="21">
        <f>IF(AND(C1152&lt;&gt;"", J1152&lt;&gt;""), HYPERLINK("#'" &amp; C1152 &amp; "'!" &amp; J1152, J1152), "")</f>
        <v/>
      </c>
    </row>
    <row r="1153">
      <c r="B1153" s="21">
        <f>IF(AND(C1153&lt;&gt;"", J1153&lt;&gt;""), HYPERLINK("#'" &amp; C1153 &amp; "'!" &amp; J1153, J1153), "")</f>
        <v/>
      </c>
    </row>
    <row r="1154">
      <c r="B1154" s="21">
        <f>IF(AND(C1154&lt;&gt;"", J1154&lt;&gt;""), HYPERLINK("#'" &amp; C1154 &amp; "'!" &amp; J1154, J1154), "")</f>
        <v/>
      </c>
    </row>
    <row r="1155">
      <c r="B1155" s="21">
        <f>IF(AND(C1155&lt;&gt;"", J1155&lt;&gt;""), HYPERLINK("#'" &amp; C1155 &amp; "'!" &amp; J1155, J1155), "")</f>
        <v/>
      </c>
    </row>
    <row r="1156">
      <c r="B1156" s="21">
        <f>IF(AND(C1156&lt;&gt;"", J1156&lt;&gt;""), HYPERLINK("#'" &amp; C1156 &amp; "'!" &amp; J1156, J1156), "")</f>
        <v/>
      </c>
    </row>
    <row r="1157">
      <c r="B1157" s="21">
        <f>IF(AND(C1157&lt;&gt;"", J1157&lt;&gt;""), HYPERLINK("#'" &amp; C1157 &amp; "'!" &amp; J1157, J1157), "")</f>
        <v/>
      </c>
    </row>
    <row r="1158">
      <c r="B1158" s="21">
        <f>IF(AND(C1158&lt;&gt;"", J1158&lt;&gt;""), HYPERLINK("#'" &amp; C1158 &amp; "'!" &amp; J1158, J1158), "")</f>
        <v/>
      </c>
    </row>
    <row r="1159">
      <c r="B1159" s="21">
        <f>IF(AND(C1159&lt;&gt;"", J1159&lt;&gt;""), HYPERLINK("#'" &amp; C1159 &amp; "'!" &amp; J1159, J1159), "")</f>
        <v/>
      </c>
    </row>
    <row r="1160">
      <c r="B1160" s="21">
        <f>IF(AND(C1160&lt;&gt;"", J1160&lt;&gt;""), HYPERLINK("#'" &amp; C1160 &amp; "'!" &amp; J1160, J1160), "")</f>
        <v/>
      </c>
    </row>
    <row r="1161">
      <c r="B1161" s="21">
        <f>IF(AND(C1161&lt;&gt;"", J1161&lt;&gt;""), HYPERLINK("#'" &amp; C1161 &amp; "'!" &amp; J1161, J1161), "")</f>
        <v/>
      </c>
    </row>
    <row r="1162">
      <c r="B1162" s="21">
        <f>IF(AND(C1162&lt;&gt;"", J1162&lt;&gt;""), HYPERLINK("#'" &amp; C1162 &amp; "'!" &amp; J1162, J1162), "")</f>
        <v/>
      </c>
    </row>
    <row r="1163">
      <c r="B1163" s="21">
        <f>IF(AND(C1163&lt;&gt;"", J1163&lt;&gt;""), HYPERLINK("#'" &amp; C1163 &amp; "'!" &amp; J1163, J1163), "")</f>
        <v/>
      </c>
    </row>
    <row r="1164">
      <c r="B1164" s="21">
        <f>IF(AND(C1164&lt;&gt;"", J1164&lt;&gt;""), HYPERLINK("#'" &amp; C1164 &amp; "'!" &amp; J1164, J1164), "")</f>
        <v/>
      </c>
    </row>
    <row r="1165">
      <c r="B1165" s="21">
        <f>IF(AND(C1165&lt;&gt;"", J1165&lt;&gt;""), HYPERLINK("#'" &amp; C1165 &amp; "'!" &amp; J1165, J1165), "")</f>
        <v/>
      </c>
    </row>
    <row r="1166">
      <c r="B1166" s="21">
        <f>IF(AND(C1166&lt;&gt;"", J1166&lt;&gt;""), HYPERLINK("#'" &amp; C1166 &amp; "'!" &amp; J1166, J1166), "")</f>
        <v/>
      </c>
    </row>
    <row r="1167">
      <c r="B1167" s="21">
        <f>IF(AND(C1167&lt;&gt;"", J1167&lt;&gt;""), HYPERLINK("#'" &amp; C1167 &amp; "'!" &amp; J1167, J1167), "")</f>
        <v/>
      </c>
    </row>
    <row r="1168">
      <c r="B1168" s="21">
        <f>IF(AND(C1168&lt;&gt;"", J1168&lt;&gt;""), HYPERLINK("#'" &amp; C1168 &amp; "'!" &amp; J1168, J1168), "")</f>
        <v/>
      </c>
    </row>
    <row r="1169">
      <c r="B1169" s="21">
        <f>IF(AND(C1169&lt;&gt;"", J1169&lt;&gt;""), HYPERLINK("#'" &amp; C1169 &amp; "'!" &amp; J1169, J1169), "")</f>
        <v/>
      </c>
    </row>
    <row r="1170">
      <c r="B1170" s="21">
        <f>IF(AND(C1170&lt;&gt;"", J1170&lt;&gt;""), HYPERLINK("#'" &amp; C1170 &amp; "'!" &amp; J1170, J1170), "")</f>
        <v/>
      </c>
    </row>
    <row r="1171">
      <c r="B1171" s="21">
        <f>IF(AND(C1171&lt;&gt;"", J1171&lt;&gt;""), HYPERLINK("#'" &amp; C1171 &amp; "'!" &amp; J1171, J1171), "")</f>
        <v/>
      </c>
    </row>
    <row r="1172">
      <c r="B1172" s="21">
        <f>IF(AND(C1172&lt;&gt;"", J1172&lt;&gt;""), HYPERLINK("#'" &amp; C1172 &amp; "'!" &amp; J1172, J1172), "")</f>
        <v/>
      </c>
    </row>
    <row r="1173">
      <c r="B1173" s="21">
        <f>IF(AND(C1173&lt;&gt;"", J1173&lt;&gt;""), HYPERLINK("#'" &amp; C1173 &amp; "'!" &amp; J1173, J1173), "")</f>
        <v/>
      </c>
    </row>
    <row r="1174">
      <c r="B1174" s="21">
        <f>IF(AND(C1174&lt;&gt;"", J1174&lt;&gt;""), HYPERLINK("#'" &amp; C1174 &amp; "'!" &amp; J1174, J1174), "")</f>
        <v/>
      </c>
    </row>
    <row r="1175">
      <c r="B1175" s="21">
        <f>IF(AND(C1175&lt;&gt;"", J1175&lt;&gt;""), HYPERLINK("#'" &amp; C1175 &amp; "'!" &amp; J1175, J1175), "")</f>
        <v/>
      </c>
    </row>
    <row r="1176">
      <c r="B1176" s="21">
        <f>IF(AND(C1176&lt;&gt;"", J1176&lt;&gt;""), HYPERLINK("#'" &amp; C1176 &amp; "'!" &amp; J1176, J1176), "")</f>
        <v/>
      </c>
    </row>
    <row r="1177">
      <c r="B1177" s="21">
        <f>IF(AND(C1177&lt;&gt;"", J1177&lt;&gt;""), HYPERLINK("#'" &amp; C1177 &amp; "'!" &amp; J1177, J1177), "")</f>
        <v/>
      </c>
    </row>
    <row r="1178">
      <c r="B1178" s="21">
        <f>IF(AND(C1178&lt;&gt;"", J1178&lt;&gt;""), HYPERLINK("#'" &amp; C1178 &amp; "'!" &amp; J1178, J1178), "")</f>
        <v/>
      </c>
    </row>
    <row r="1179">
      <c r="B1179" s="21">
        <f>IF(AND(C1179&lt;&gt;"", J1179&lt;&gt;""), HYPERLINK("#'" &amp; C1179 &amp; "'!" &amp; J1179, J1179), "")</f>
        <v/>
      </c>
    </row>
    <row r="1180">
      <c r="B1180" s="21">
        <f>IF(AND(C1180&lt;&gt;"", J1180&lt;&gt;""), HYPERLINK("#'" &amp; C1180 &amp; "'!" &amp; J1180, J1180), "")</f>
        <v/>
      </c>
    </row>
    <row r="1181">
      <c r="B1181" s="21">
        <f>IF(AND(C1181&lt;&gt;"", J1181&lt;&gt;""), HYPERLINK("#'" &amp; C1181 &amp; "'!" &amp; J1181, J1181), "")</f>
        <v/>
      </c>
    </row>
    <row r="1182">
      <c r="B1182" s="21">
        <f>IF(AND(C1182&lt;&gt;"", J1182&lt;&gt;""), HYPERLINK("#'" &amp; C1182 &amp; "'!" &amp; J1182, J1182), "")</f>
        <v/>
      </c>
    </row>
    <row r="1183">
      <c r="B1183" s="21">
        <f>IF(AND(C1183&lt;&gt;"", J1183&lt;&gt;""), HYPERLINK("#'" &amp; C1183 &amp; "'!" &amp; J1183, J1183), "")</f>
        <v/>
      </c>
    </row>
    <row r="1184">
      <c r="B1184" s="21">
        <f>IF(AND(C1184&lt;&gt;"", J1184&lt;&gt;""), HYPERLINK("#'" &amp; C1184 &amp; "'!" &amp; J1184, J1184), "")</f>
        <v/>
      </c>
    </row>
    <row r="1185">
      <c r="B1185" s="21">
        <f>IF(AND(C1185&lt;&gt;"", J1185&lt;&gt;""), HYPERLINK("#'" &amp; C1185 &amp; "'!" &amp; J1185, J1185), "")</f>
        <v/>
      </c>
    </row>
    <row r="1186">
      <c r="B1186" s="21">
        <f>IF(AND(C1186&lt;&gt;"", J1186&lt;&gt;""), HYPERLINK("#'" &amp; C1186 &amp; "'!" &amp; J1186, J1186), "")</f>
        <v/>
      </c>
    </row>
    <row r="1187">
      <c r="B1187" s="21">
        <f>IF(AND(C1187&lt;&gt;"", J1187&lt;&gt;""), HYPERLINK("#'" &amp; C1187 &amp; "'!" &amp; J1187, J1187), "")</f>
        <v/>
      </c>
    </row>
    <row r="1188">
      <c r="B1188" s="21">
        <f>IF(AND(C1188&lt;&gt;"", J1188&lt;&gt;""), HYPERLINK("#'" &amp; C1188 &amp; "'!" &amp; J1188, J1188), "")</f>
        <v/>
      </c>
    </row>
    <row r="1189">
      <c r="B1189" s="21">
        <f>IF(AND(C1189&lt;&gt;"", J1189&lt;&gt;""), HYPERLINK("#'" &amp; C1189 &amp; "'!" &amp; J1189, J1189), "")</f>
        <v/>
      </c>
    </row>
    <row r="1190">
      <c r="B1190" s="21">
        <f>IF(AND(C1190&lt;&gt;"", J1190&lt;&gt;""), HYPERLINK("#'" &amp; C1190 &amp; "'!" &amp; J1190, J1190), "")</f>
        <v/>
      </c>
    </row>
    <row r="1191">
      <c r="B1191" s="21">
        <f>IF(AND(C1191&lt;&gt;"", J1191&lt;&gt;""), HYPERLINK("#'" &amp; C1191 &amp; "'!" &amp; J1191, J1191), "")</f>
        <v/>
      </c>
    </row>
    <row r="1192">
      <c r="B1192" s="21">
        <f>IF(AND(C1192&lt;&gt;"", J1192&lt;&gt;""), HYPERLINK("#'" &amp; C1192 &amp; "'!" &amp; J1192, J1192), "")</f>
        <v/>
      </c>
    </row>
    <row r="1193">
      <c r="B1193" s="21">
        <f>IF(AND(C1193&lt;&gt;"", J1193&lt;&gt;""), HYPERLINK("#'" &amp; C1193 &amp; "'!" &amp; J1193, J1193), "")</f>
        <v/>
      </c>
    </row>
    <row r="1194">
      <c r="B1194" s="21">
        <f>IF(AND(C1194&lt;&gt;"", J1194&lt;&gt;""), HYPERLINK("#'" &amp; C1194 &amp; "'!" &amp; J1194, J1194), "")</f>
        <v/>
      </c>
    </row>
    <row r="1195">
      <c r="B1195" s="21">
        <f>IF(AND(C1195&lt;&gt;"", J1195&lt;&gt;""), HYPERLINK("#'" &amp; C1195 &amp; "'!" &amp; J1195, J1195), "")</f>
        <v/>
      </c>
    </row>
    <row r="1196">
      <c r="B1196" s="21">
        <f>IF(AND(C1196&lt;&gt;"", J1196&lt;&gt;""), HYPERLINK("#'" &amp; C1196 &amp; "'!" &amp; J1196, J1196), "")</f>
        <v/>
      </c>
    </row>
    <row r="1197">
      <c r="B1197" s="21">
        <f>IF(AND(C1197&lt;&gt;"", J1197&lt;&gt;""), HYPERLINK("#'" &amp; C1197 &amp; "'!" &amp; J1197, J1197), "")</f>
        <v/>
      </c>
    </row>
    <row r="1198">
      <c r="B1198" s="21">
        <f>IF(AND(C1198&lt;&gt;"", J1198&lt;&gt;""), HYPERLINK("#'" &amp; C1198 &amp; "'!" &amp; J1198, J1198), "")</f>
        <v/>
      </c>
    </row>
    <row r="1199">
      <c r="B1199" s="21">
        <f>IF(AND(C1199&lt;&gt;"", J1199&lt;&gt;""), HYPERLINK("#'" &amp; C1199 &amp; "'!" &amp; J1199, J1199), "")</f>
        <v/>
      </c>
    </row>
    <row r="1200">
      <c r="B1200" s="21">
        <f>IF(AND(C1200&lt;&gt;"", J1200&lt;&gt;""), HYPERLINK("#'" &amp; C1200 &amp; "'!" &amp; J1200, J1200), "")</f>
        <v/>
      </c>
    </row>
    <row r="1201">
      <c r="B1201" s="21">
        <f>IF(AND(C1201&lt;&gt;"", J1201&lt;&gt;""), HYPERLINK("#'" &amp; C1201 &amp; "'!" &amp; J1201, J1201), "")</f>
        <v/>
      </c>
    </row>
    <row r="1202">
      <c r="B1202" s="21">
        <f>IF(AND(C1202&lt;&gt;"", J1202&lt;&gt;""), HYPERLINK("#'" &amp; C1202 &amp; "'!" &amp; J1202, J1202), "")</f>
        <v/>
      </c>
    </row>
    <row r="1203">
      <c r="B1203" s="21">
        <f>IF(AND(C1203&lt;&gt;"", J1203&lt;&gt;""), HYPERLINK("#'" &amp; C1203 &amp; "'!" &amp; J1203, J1203), "")</f>
        <v/>
      </c>
    </row>
    <row r="1204">
      <c r="B1204" s="21">
        <f>IF(AND(C1204&lt;&gt;"", J1204&lt;&gt;""), HYPERLINK("#'" &amp; C1204 &amp; "'!" &amp; J1204, J1204), "")</f>
        <v/>
      </c>
    </row>
    <row r="1205">
      <c r="B1205" s="21">
        <f>IF(AND(C1205&lt;&gt;"", J1205&lt;&gt;""), HYPERLINK("#'" &amp; C1205 &amp; "'!" &amp; J1205, J1205), "")</f>
        <v/>
      </c>
    </row>
    <row r="1206">
      <c r="B1206" s="21">
        <f>IF(AND(C1206&lt;&gt;"", J1206&lt;&gt;""), HYPERLINK("#'" &amp; C1206 &amp; "'!" &amp; J1206, J1206), "")</f>
        <v/>
      </c>
    </row>
    <row r="1207">
      <c r="B1207" s="21">
        <f>IF(AND(C1207&lt;&gt;"", J1207&lt;&gt;""), HYPERLINK("#'" &amp; C1207 &amp; "'!" &amp; J1207, J1207), "")</f>
        <v/>
      </c>
    </row>
    <row r="1208">
      <c r="B1208" s="21">
        <f>IF(AND(C1208&lt;&gt;"", J1208&lt;&gt;""), HYPERLINK("#'" &amp; C1208 &amp; "'!" &amp; J1208, J1208), "")</f>
        <v/>
      </c>
    </row>
    <row r="1209">
      <c r="B1209" s="21">
        <f>IF(AND(C1209&lt;&gt;"", J1209&lt;&gt;""), HYPERLINK("#'" &amp; C1209 &amp; "'!" &amp; J1209, J1209), "")</f>
        <v/>
      </c>
    </row>
    <row r="1210">
      <c r="B1210" s="21">
        <f>IF(AND(C1210&lt;&gt;"", J1210&lt;&gt;""), HYPERLINK("#'" &amp; C1210 &amp; "'!" &amp; J1210, J1210), "")</f>
        <v/>
      </c>
    </row>
    <row r="1211">
      <c r="B1211" s="21">
        <f>IF(AND(C1211&lt;&gt;"", J1211&lt;&gt;""), HYPERLINK("#'" &amp; C1211 &amp; "'!" &amp; J1211, J1211), "")</f>
        <v/>
      </c>
    </row>
    <row r="1212">
      <c r="B1212" s="21">
        <f>IF(AND(C1212&lt;&gt;"", J1212&lt;&gt;""), HYPERLINK("#'" &amp; C1212 &amp; "'!" &amp; J1212, J1212), "")</f>
        <v/>
      </c>
    </row>
    <row r="1213">
      <c r="B1213" s="21">
        <f>IF(AND(C1213&lt;&gt;"", J1213&lt;&gt;""), HYPERLINK("#'" &amp; C1213 &amp; "'!" &amp; J1213, J1213), "")</f>
        <v/>
      </c>
    </row>
    <row r="1214">
      <c r="B1214" s="21">
        <f>IF(AND(C1214&lt;&gt;"", J1214&lt;&gt;""), HYPERLINK("#'" &amp; C1214 &amp; "'!" &amp; J1214, J1214), "")</f>
        <v/>
      </c>
    </row>
    <row r="1215">
      <c r="B1215" s="21">
        <f>IF(AND(C1215&lt;&gt;"", J1215&lt;&gt;""), HYPERLINK("#'" &amp; C1215 &amp; "'!" &amp; J1215, J1215), "")</f>
        <v/>
      </c>
    </row>
    <row r="1216">
      <c r="B1216" s="21">
        <f>IF(AND(C1216&lt;&gt;"", J1216&lt;&gt;""), HYPERLINK("#'" &amp; C1216 &amp; "'!" &amp; J1216, J1216), "")</f>
        <v/>
      </c>
    </row>
    <row r="1217">
      <c r="B1217" s="21">
        <f>IF(AND(C1217&lt;&gt;"", J1217&lt;&gt;""), HYPERLINK("#'" &amp; C1217 &amp; "'!" &amp; J1217, J1217), "")</f>
        <v/>
      </c>
    </row>
    <row r="1218">
      <c r="B1218" s="21">
        <f>IF(AND(C1218&lt;&gt;"", J1218&lt;&gt;""), HYPERLINK("#'" &amp; C1218 &amp; "'!" &amp; J1218, J1218), "")</f>
        <v/>
      </c>
    </row>
    <row r="1219">
      <c r="B1219" s="21">
        <f>IF(AND(C1219&lt;&gt;"", J1219&lt;&gt;""), HYPERLINK("#'" &amp; C1219 &amp; "'!" &amp; J1219, J1219), "")</f>
        <v/>
      </c>
    </row>
    <row r="1220">
      <c r="B1220" s="21">
        <f>IF(AND(C1220&lt;&gt;"", J1220&lt;&gt;""), HYPERLINK("#'" &amp; C1220 &amp; "'!" &amp; J1220, J1220), "")</f>
        <v/>
      </c>
    </row>
    <row r="1221">
      <c r="B1221" s="21">
        <f>IF(AND(C1221&lt;&gt;"", J1221&lt;&gt;""), HYPERLINK("#'" &amp; C1221 &amp; "'!" &amp; J1221, J1221), "")</f>
        <v/>
      </c>
    </row>
    <row r="1222">
      <c r="B1222" s="21">
        <f>IF(AND(C1222&lt;&gt;"", J1222&lt;&gt;""), HYPERLINK("#'" &amp; C1222 &amp; "'!" &amp; J1222, J1222), "")</f>
        <v/>
      </c>
    </row>
    <row r="1223">
      <c r="B1223" s="21">
        <f>IF(AND(C1223&lt;&gt;"", J1223&lt;&gt;""), HYPERLINK("#'" &amp; C1223 &amp; "'!" &amp; J1223, J1223), "")</f>
        <v/>
      </c>
    </row>
    <row r="1224">
      <c r="B1224" s="21">
        <f>IF(AND(C1224&lt;&gt;"", J1224&lt;&gt;""), HYPERLINK("#'" &amp; C1224 &amp; "'!" &amp; J1224, J1224), "")</f>
        <v/>
      </c>
    </row>
    <row r="1225">
      <c r="B1225" s="21">
        <f>IF(AND(C1225&lt;&gt;"", J1225&lt;&gt;""), HYPERLINK("#'" &amp; C1225 &amp; "'!" &amp; J1225, J1225), "")</f>
        <v/>
      </c>
    </row>
    <row r="1226">
      <c r="B1226" s="21">
        <f>IF(AND(C1226&lt;&gt;"", J1226&lt;&gt;""), HYPERLINK("#'" &amp; C1226 &amp; "'!" &amp; J1226, J1226), "")</f>
        <v/>
      </c>
    </row>
    <row r="1227">
      <c r="B1227" s="21">
        <f>IF(AND(C1227&lt;&gt;"", J1227&lt;&gt;""), HYPERLINK("#'" &amp; C1227 &amp; "'!" &amp; J1227, J1227), "")</f>
        <v/>
      </c>
    </row>
    <row r="1228">
      <c r="B1228" s="21">
        <f>IF(AND(C1228&lt;&gt;"", J1228&lt;&gt;""), HYPERLINK("#'" &amp; C1228 &amp; "'!" &amp; J1228, J1228), "")</f>
        <v/>
      </c>
    </row>
    <row r="1229">
      <c r="B1229" s="21">
        <f>IF(AND(C1229&lt;&gt;"", J1229&lt;&gt;""), HYPERLINK("#'" &amp; C1229 &amp; "'!" &amp; J1229, J1229), "")</f>
        <v/>
      </c>
    </row>
    <row r="1230">
      <c r="B1230" s="21">
        <f>IF(AND(C1230&lt;&gt;"", J1230&lt;&gt;""), HYPERLINK("#'" &amp; C1230 &amp; "'!" &amp; J1230, J1230), "")</f>
        <v/>
      </c>
    </row>
    <row r="1231">
      <c r="B1231" s="21">
        <f>IF(AND(C1231&lt;&gt;"", J1231&lt;&gt;""), HYPERLINK("#'" &amp; C1231 &amp; "'!" &amp; J1231, J1231), "")</f>
        <v/>
      </c>
    </row>
    <row r="1232">
      <c r="B1232" s="21">
        <f>IF(AND(C1232&lt;&gt;"", J1232&lt;&gt;""), HYPERLINK("#'" &amp; C1232 &amp; "'!" &amp; J1232, J1232), "")</f>
        <v/>
      </c>
    </row>
    <row r="1233">
      <c r="B1233" s="21">
        <f>IF(AND(C1233&lt;&gt;"", J1233&lt;&gt;""), HYPERLINK("#'" &amp; C1233 &amp; "'!" &amp; J1233, J1233), "")</f>
        <v/>
      </c>
    </row>
    <row r="1234">
      <c r="B1234" s="21">
        <f>IF(AND(C1234&lt;&gt;"", J1234&lt;&gt;""), HYPERLINK("#'" &amp; C1234 &amp; "'!" &amp; J1234, J1234), "")</f>
        <v/>
      </c>
    </row>
    <row r="1235">
      <c r="B1235" s="21">
        <f>IF(AND(C1235&lt;&gt;"", J1235&lt;&gt;""), HYPERLINK("#'" &amp; C1235 &amp; "'!" &amp; J1235, J1235), "")</f>
        <v/>
      </c>
    </row>
    <row r="1236">
      <c r="B1236" s="21">
        <f>IF(AND(C1236&lt;&gt;"", J1236&lt;&gt;""), HYPERLINK("#'" &amp; C1236 &amp; "'!" &amp; J1236, J1236), "")</f>
        <v/>
      </c>
    </row>
    <row r="1237">
      <c r="B1237" s="21">
        <f>IF(AND(C1237&lt;&gt;"", J1237&lt;&gt;""), HYPERLINK("#'" &amp; C1237 &amp; "'!" &amp; J1237, J1237), "")</f>
        <v/>
      </c>
    </row>
    <row r="1238">
      <c r="B1238" s="21">
        <f>IF(AND(C1238&lt;&gt;"", J1238&lt;&gt;""), HYPERLINK("#'" &amp; C1238 &amp; "'!" &amp; J1238, J1238), "")</f>
        <v/>
      </c>
    </row>
    <row r="1239">
      <c r="B1239" s="21">
        <f>IF(AND(C1239&lt;&gt;"", J1239&lt;&gt;""), HYPERLINK("#'" &amp; C1239 &amp; "'!" &amp; J1239, J1239), "")</f>
        <v/>
      </c>
    </row>
    <row r="1240">
      <c r="B1240" s="21">
        <f>IF(AND(C1240&lt;&gt;"", J1240&lt;&gt;""), HYPERLINK("#'" &amp; C1240 &amp; "'!" &amp; J1240, J1240), "")</f>
        <v/>
      </c>
    </row>
    <row r="1241">
      <c r="B1241" s="21">
        <f>IF(AND(C1241&lt;&gt;"", J1241&lt;&gt;""), HYPERLINK("#'" &amp; C1241 &amp; "'!" &amp; J1241, J1241), "")</f>
        <v/>
      </c>
    </row>
    <row r="1242">
      <c r="B1242" s="21">
        <f>IF(AND(C1242&lt;&gt;"", J1242&lt;&gt;""), HYPERLINK("#'" &amp; C1242 &amp; "'!" &amp; J1242, J1242), "")</f>
        <v/>
      </c>
    </row>
    <row r="1243">
      <c r="B1243" s="21">
        <f>IF(AND(C1243&lt;&gt;"", J1243&lt;&gt;""), HYPERLINK("#'" &amp; C1243 &amp; "'!" &amp; J1243, J1243), "")</f>
        <v/>
      </c>
    </row>
    <row r="1244">
      <c r="B1244" s="21">
        <f>IF(AND(C1244&lt;&gt;"", J1244&lt;&gt;""), HYPERLINK("#'" &amp; C1244 &amp; "'!" &amp; J1244, J1244), "")</f>
        <v/>
      </c>
    </row>
    <row r="1245">
      <c r="B1245" s="21">
        <f>IF(AND(C1245&lt;&gt;"", J1245&lt;&gt;""), HYPERLINK("#'" &amp; C1245 &amp; "'!" &amp; J1245, J1245), "")</f>
        <v/>
      </c>
    </row>
    <row r="1246">
      <c r="B1246" s="21">
        <f>IF(AND(C1246&lt;&gt;"", J1246&lt;&gt;""), HYPERLINK("#'" &amp; C1246 &amp; "'!" &amp; J1246, J1246), "")</f>
        <v/>
      </c>
    </row>
    <row r="1247">
      <c r="B1247" s="21">
        <f>IF(AND(C1247&lt;&gt;"", J1247&lt;&gt;""), HYPERLINK("#'" &amp; C1247 &amp; "'!" &amp; J1247, J1247), "")</f>
        <v/>
      </c>
    </row>
    <row r="1248">
      <c r="B1248" s="21">
        <f>IF(AND(C1248&lt;&gt;"", J1248&lt;&gt;""), HYPERLINK("#'" &amp; C1248 &amp; "'!" &amp; J1248, J1248), "")</f>
        <v/>
      </c>
    </row>
    <row r="1249">
      <c r="B1249" s="21">
        <f>IF(AND(C1249&lt;&gt;"", J1249&lt;&gt;""), HYPERLINK("#'" &amp; C1249 &amp; "'!" &amp; J1249, J1249), "")</f>
        <v/>
      </c>
    </row>
    <row r="1250">
      <c r="B1250" s="21">
        <f>IF(AND(C1250&lt;&gt;"", J1250&lt;&gt;""), HYPERLINK("#'" &amp; C1250 &amp; "'!" &amp; J1250, J1250), "")</f>
        <v/>
      </c>
    </row>
    <row r="1251">
      <c r="B1251" s="21">
        <f>IF(AND(C1251&lt;&gt;"", J1251&lt;&gt;""), HYPERLINK("#'" &amp; C1251 &amp; "'!" &amp; J1251, J1251), "")</f>
        <v/>
      </c>
    </row>
    <row r="1252">
      <c r="B1252" s="21">
        <f>IF(AND(C1252&lt;&gt;"", J1252&lt;&gt;""), HYPERLINK("#'" &amp; C1252 &amp; "'!" &amp; J1252, J1252), "")</f>
        <v/>
      </c>
    </row>
    <row r="1253">
      <c r="B1253" s="21">
        <f>IF(AND(C1253&lt;&gt;"", J1253&lt;&gt;""), HYPERLINK("#'" &amp; C1253 &amp; "'!" &amp; J1253, J1253), "")</f>
        <v/>
      </c>
    </row>
    <row r="1254">
      <c r="B1254" s="21">
        <f>IF(AND(C1254&lt;&gt;"", J1254&lt;&gt;""), HYPERLINK("#'" &amp; C1254 &amp; "'!" &amp; J1254, J1254), "")</f>
        <v/>
      </c>
    </row>
    <row r="1255">
      <c r="B1255" s="21">
        <f>IF(AND(C1255&lt;&gt;"", J1255&lt;&gt;""), HYPERLINK("#'" &amp; C1255 &amp; "'!" &amp; J1255, J1255), "")</f>
        <v/>
      </c>
    </row>
    <row r="1256">
      <c r="B1256" s="21">
        <f>IF(AND(C1256&lt;&gt;"", J1256&lt;&gt;""), HYPERLINK("#'" &amp; C1256 &amp; "'!" &amp; J1256, J1256), "")</f>
        <v/>
      </c>
    </row>
    <row r="1257">
      <c r="B1257" s="21">
        <f>IF(AND(C1257&lt;&gt;"", J1257&lt;&gt;""), HYPERLINK("#'" &amp; C1257 &amp; "'!" &amp; J1257, J1257), "")</f>
        <v/>
      </c>
    </row>
    <row r="1258">
      <c r="B1258" s="21">
        <f>IF(AND(C1258&lt;&gt;"", J1258&lt;&gt;""), HYPERLINK("#'" &amp; C1258 &amp; "'!" &amp; J1258, J1258), "")</f>
        <v/>
      </c>
    </row>
    <row r="1259">
      <c r="B1259" s="21">
        <f>IF(AND(C1259&lt;&gt;"", J1259&lt;&gt;""), HYPERLINK("#'" &amp; C1259 &amp; "'!" &amp; J1259, J1259), "")</f>
        <v/>
      </c>
    </row>
    <row r="1260">
      <c r="B1260" s="21">
        <f>IF(AND(C1260&lt;&gt;"", J1260&lt;&gt;""), HYPERLINK("#'" &amp; C1260 &amp; "'!" &amp; J1260, J1260), "")</f>
        <v/>
      </c>
    </row>
    <row r="1261">
      <c r="B1261" s="21">
        <f>IF(AND(C1261&lt;&gt;"", J1261&lt;&gt;""), HYPERLINK("#'" &amp; C1261 &amp; "'!" &amp; J1261, J1261), "")</f>
        <v/>
      </c>
    </row>
    <row r="1262">
      <c r="B1262" s="21">
        <f>IF(AND(C1262&lt;&gt;"", J1262&lt;&gt;""), HYPERLINK("#'" &amp; C1262 &amp; "'!" &amp; J1262, J1262), "")</f>
        <v/>
      </c>
    </row>
    <row r="1263">
      <c r="B1263" s="21">
        <f>IF(AND(C1263&lt;&gt;"", J1263&lt;&gt;""), HYPERLINK("#'" &amp; C1263 &amp; "'!" &amp; J1263, J1263), "")</f>
        <v/>
      </c>
    </row>
    <row r="1264">
      <c r="B1264" s="21">
        <f>IF(AND(C1264&lt;&gt;"", J1264&lt;&gt;""), HYPERLINK("#'" &amp; C1264 &amp; "'!" &amp; J1264, J1264), "")</f>
        <v/>
      </c>
    </row>
    <row r="1265">
      <c r="B1265" s="21">
        <f>IF(AND(C1265&lt;&gt;"", J1265&lt;&gt;""), HYPERLINK("#'" &amp; C1265 &amp; "'!" &amp; J1265, J1265), "")</f>
        <v/>
      </c>
    </row>
    <row r="1266">
      <c r="B1266" s="21">
        <f>IF(AND(C1266&lt;&gt;"", J1266&lt;&gt;""), HYPERLINK("#'" &amp; C1266 &amp; "'!" &amp; J1266, J1266), "")</f>
        <v/>
      </c>
    </row>
    <row r="1267">
      <c r="B1267" s="21">
        <f>IF(AND(C1267&lt;&gt;"", J1267&lt;&gt;""), HYPERLINK("#'" &amp; C1267 &amp; "'!" &amp; J1267, J1267), "")</f>
        <v/>
      </c>
    </row>
    <row r="1268">
      <c r="B1268" s="21">
        <f>IF(AND(C1268&lt;&gt;"", J1268&lt;&gt;""), HYPERLINK("#'" &amp; C1268 &amp; "'!" &amp; J1268, J1268), "")</f>
        <v/>
      </c>
    </row>
    <row r="1269">
      <c r="B1269" s="21">
        <f>IF(AND(C1269&lt;&gt;"", J1269&lt;&gt;""), HYPERLINK("#'" &amp; C1269 &amp; "'!" &amp; J1269, J1269), "")</f>
        <v/>
      </c>
    </row>
    <row r="1270">
      <c r="B1270" s="21">
        <f>IF(AND(C1270&lt;&gt;"", J1270&lt;&gt;""), HYPERLINK("#'" &amp; C1270 &amp; "'!" &amp; J1270, J1270), "")</f>
        <v/>
      </c>
    </row>
    <row r="1271">
      <c r="B1271" s="21">
        <f>IF(AND(C1271&lt;&gt;"", J1271&lt;&gt;""), HYPERLINK("#'" &amp; C1271 &amp; "'!" &amp; J1271, J1271), "")</f>
        <v/>
      </c>
    </row>
    <row r="1272">
      <c r="B1272" s="21">
        <f>IF(AND(C1272&lt;&gt;"", J1272&lt;&gt;""), HYPERLINK("#'" &amp; C1272 &amp; "'!" &amp; J1272, J1272), "")</f>
        <v/>
      </c>
    </row>
    <row r="1273">
      <c r="B1273" s="21">
        <f>IF(AND(C1273&lt;&gt;"", J1273&lt;&gt;""), HYPERLINK("#'" &amp; C1273 &amp; "'!" &amp; J1273, J1273), "")</f>
        <v/>
      </c>
    </row>
    <row r="1274">
      <c r="B1274" s="21">
        <f>IF(AND(C1274&lt;&gt;"", J1274&lt;&gt;""), HYPERLINK("#'" &amp; C1274 &amp; "'!" &amp; J1274, J1274), "")</f>
        <v/>
      </c>
    </row>
    <row r="1275">
      <c r="B1275" s="21">
        <f>IF(AND(C1275&lt;&gt;"", J1275&lt;&gt;""), HYPERLINK("#'" &amp; C1275 &amp; "'!" &amp; J1275, J1275), "")</f>
        <v/>
      </c>
    </row>
    <row r="1276">
      <c r="B1276" s="21">
        <f>IF(AND(C1276&lt;&gt;"", J1276&lt;&gt;""), HYPERLINK("#'" &amp; C1276 &amp; "'!" &amp; J1276, J1276), "")</f>
        <v/>
      </c>
    </row>
    <row r="1277">
      <c r="B1277" s="21">
        <f>IF(AND(C1277&lt;&gt;"", J1277&lt;&gt;""), HYPERLINK("#'" &amp; C1277 &amp; "'!" &amp; J1277, J1277), "")</f>
        <v/>
      </c>
    </row>
    <row r="1278">
      <c r="B1278" s="21">
        <f>IF(AND(C1278&lt;&gt;"", J1278&lt;&gt;""), HYPERLINK("#'" &amp; C1278 &amp; "'!" &amp; J1278, J1278), "")</f>
        <v/>
      </c>
    </row>
    <row r="1279">
      <c r="B1279" s="21">
        <f>IF(AND(C1279&lt;&gt;"", J1279&lt;&gt;""), HYPERLINK("#'" &amp; C1279 &amp; "'!" &amp; J1279, J1279), "")</f>
        <v/>
      </c>
    </row>
    <row r="1280">
      <c r="B1280" s="21">
        <f>IF(AND(C1280&lt;&gt;"", J1280&lt;&gt;""), HYPERLINK("#'" &amp; C1280 &amp; "'!" &amp; J1280, J1280), "")</f>
        <v/>
      </c>
    </row>
    <row r="1281">
      <c r="B1281" s="21">
        <f>IF(AND(C1281&lt;&gt;"", J1281&lt;&gt;""), HYPERLINK("#'" &amp; C1281 &amp; "'!" &amp; J1281, J1281), "")</f>
        <v/>
      </c>
    </row>
    <row r="1282">
      <c r="B1282" s="21">
        <f>IF(AND(C1282&lt;&gt;"", J1282&lt;&gt;""), HYPERLINK("#'" &amp; C1282 &amp; "'!" &amp; J1282, J1282), "")</f>
        <v/>
      </c>
    </row>
    <row r="1283">
      <c r="B1283" s="21">
        <f>IF(AND(C1283&lt;&gt;"", J1283&lt;&gt;""), HYPERLINK("#'" &amp; C1283 &amp; "'!" &amp; J1283, J1283), "")</f>
        <v/>
      </c>
    </row>
    <row r="1284">
      <c r="B1284" s="21">
        <f>IF(AND(C1284&lt;&gt;"", J1284&lt;&gt;""), HYPERLINK("#'" &amp; C1284 &amp; "'!" &amp; J1284, J1284), "")</f>
        <v/>
      </c>
    </row>
    <row r="1285">
      <c r="B1285" s="21">
        <f>IF(AND(C1285&lt;&gt;"", J1285&lt;&gt;""), HYPERLINK("#'" &amp; C1285 &amp; "'!" &amp; J1285, J1285), "")</f>
        <v/>
      </c>
    </row>
    <row r="1286">
      <c r="B1286" s="21">
        <f>IF(AND(C1286&lt;&gt;"", J1286&lt;&gt;""), HYPERLINK("#'" &amp; C1286 &amp; "'!" &amp; J1286, J1286), "")</f>
        <v/>
      </c>
    </row>
    <row r="1287">
      <c r="B1287" s="21">
        <f>IF(AND(C1287&lt;&gt;"", J1287&lt;&gt;""), HYPERLINK("#'" &amp; C1287 &amp; "'!" &amp; J1287, J1287), "")</f>
        <v/>
      </c>
    </row>
    <row r="1288">
      <c r="B1288" s="21">
        <f>IF(AND(C1288&lt;&gt;"", J1288&lt;&gt;""), HYPERLINK("#'" &amp; C1288 &amp; "'!" &amp; J1288, J1288), "")</f>
        <v/>
      </c>
    </row>
    <row r="1289">
      <c r="B1289" s="21">
        <f>IF(AND(C1289&lt;&gt;"", J1289&lt;&gt;""), HYPERLINK("#'" &amp; C1289 &amp; "'!" &amp; J1289, J1289), "")</f>
        <v/>
      </c>
    </row>
    <row r="1290">
      <c r="B1290" s="21">
        <f>IF(AND(C1290&lt;&gt;"", J1290&lt;&gt;""), HYPERLINK("#'" &amp; C1290 &amp; "'!" &amp; J1290, J1290), "")</f>
        <v/>
      </c>
    </row>
    <row r="1291">
      <c r="B1291" s="21">
        <f>IF(AND(C1291&lt;&gt;"", J1291&lt;&gt;""), HYPERLINK("#'" &amp; C1291 &amp; "'!" &amp; J1291, J1291), "")</f>
        <v/>
      </c>
    </row>
    <row r="1292">
      <c r="B1292" s="21">
        <f>IF(AND(C1292&lt;&gt;"", J1292&lt;&gt;""), HYPERLINK("#'" &amp; C1292 &amp; "'!" &amp; J1292, J1292), "")</f>
        <v/>
      </c>
    </row>
    <row r="1293">
      <c r="B1293" s="21">
        <f>IF(AND(C1293&lt;&gt;"", J1293&lt;&gt;""), HYPERLINK("#'" &amp; C1293 &amp; "'!" &amp; J1293, J1293), "")</f>
        <v/>
      </c>
    </row>
    <row r="1294">
      <c r="B1294" s="21">
        <f>IF(AND(C1294&lt;&gt;"", J1294&lt;&gt;""), HYPERLINK("#'" &amp; C1294 &amp; "'!" &amp; J1294, J1294), "")</f>
        <v/>
      </c>
    </row>
    <row r="1295">
      <c r="B1295" s="21">
        <f>IF(AND(C1295&lt;&gt;"", J1295&lt;&gt;""), HYPERLINK("#'" &amp; C1295 &amp; "'!" &amp; J1295, J1295), "")</f>
        <v/>
      </c>
    </row>
    <row r="1296">
      <c r="B1296" s="21">
        <f>IF(AND(C1296&lt;&gt;"", J1296&lt;&gt;""), HYPERLINK("#'" &amp; C1296 &amp; "'!" &amp; J1296, J1296), "")</f>
        <v/>
      </c>
    </row>
    <row r="1297">
      <c r="B1297" s="21">
        <f>IF(AND(C1297&lt;&gt;"", J1297&lt;&gt;""), HYPERLINK("#'" &amp; C1297 &amp; "'!" &amp; J1297, J1297), "")</f>
        <v/>
      </c>
    </row>
    <row r="1298">
      <c r="B1298" s="21">
        <f>IF(AND(C1298&lt;&gt;"", J1298&lt;&gt;""), HYPERLINK("#'" &amp; C1298 &amp; "'!" &amp; J1298, J1298), "")</f>
        <v/>
      </c>
    </row>
    <row r="1299">
      <c r="B1299" s="21">
        <f>IF(AND(C1299&lt;&gt;"", J1299&lt;&gt;""), HYPERLINK("#'" &amp; C1299 &amp; "'!" &amp; J1299, J1299), "")</f>
        <v/>
      </c>
    </row>
    <row r="1300">
      <c r="B1300" s="21">
        <f>IF(AND(C1300&lt;&gt;"", J1300&lt;&gt;""), HYPERLINK("#'" &amp; C1300 &amp; "'!" &amp; J1300, J1300), "")</f>
        <v/>
      </c>
    </row>
    <row r="1301">
      <c r="B1301" s="21">
        <f>IF(AND(C1301&lt;&gt;"", J1301&lt;&gt;""), HYPERLINK("#'" &amp; C1301 &amp; "'!" &amp; J1301, J1301), "")</f>
        <v/>
      </c>
    </row>
    <row r="1302">
      <c r="B1302" s="21">
        <f>IF(AND(C1302&lt;&gt;"", J1302&lt;&gt;""), HYPERLINK("#'" &amp; C1302 &amp; "'!" &amp; J1302, J1302), "")</f>
        <v/>
      </c>
    </row>
    <row r="1303">
      <c r="B1303" s="21">
        <f>IF(AND(C1303&lt;&gt;"", J1303&lt;&gt;""), HYPERLINK("#'" &amp; C1303 &amp; "'!" &amp; J1303, J1303), "")</f>
        <v/>
      </c>
    </row>
    <row r="1304">
      <c r="B1304" s="21">
        <f>IF(AND(C1304&lt;&gt;"", J1304&lt;&gt;""), HYPERLINK("#'" &amp; C1304 &amp; "'!" &amp; J1304, J1304), "")</f>
        <v/>
      </c>
    </row>
    <row r="1305">
      <c r="B1305" s="21">
        <f>IF(AND(C1305&lt;&gt;"", J1305&lt;&gt;""), HYPERLINK("#'" &amp; C1305 &amp; "'!" &amp; J1305, J1305), "")</f>
        <v/>
      </c>
    </row>
    <row r="1306">
      <c r="B1306" s="21">
        <f>IF(AND(C1306&lt;&gt;"", J1306&lt;&gt;""), HYPERLINK("#'" &amp; C1306 &amp; "'!" &amp; J1306, J1306), "")</f>
        <v/>
      </c>
    </row>
    <row r="1307">
      <c r="B1307" s="21">
        <f>IF(AND(C1307&lt;&gt;"", J1307&lt;&gt;""), HYPERLINK("#'" &amp; C1307 &amp; "'!" &amp; J1307, J1307), "")</f>
        <v/>
      </c>
    </row>
    <row r="1308">
      <c r="B1308" s="21">
        <f>IF(AND(C1308&lt;&gt;"", J1308&lt;&gt;""), HYPERLINK("#'" &amp; C1308 &amp; "'!" &amp; J1308, J1308), "")</f>
        <v/>
      </c>
    </row>
    <row r="1309">
      <c r="B1309" s="21">
        <f>IF(AND(C1309&lt;&gt;"", J1309&lt;&gt;""), HYPERLINK("#'" &amp; C1309 &amp; "'!" &amp; J1309, J1309), "")</f>
        <v/>
      </c>
    </row>
    <row r="1310">
      <c r="B1310" s="21">
        <f>IF(AND(C1310&lt;&gt;"", J1310&lt;&gt;""), HYPERLINK("#'" &amp; C1310 &amp; "'!" &amp; J1310, J1310), "")</f>
        <v/>
      </c>
    </row>
    <row r="1311">
      <c r="B1311" s="21">
        <f>IF(AND(C1311&lt;&gt;"", J1311&lt;&gt;""), HYPERLINK("#'" &amp; C1311 &amp; "'!" &amp; J1311, J1311), "")</f>
        <v/>
      </c>
    </row>
    <row r="1312">
      <c r="B1312" s="21">
        <f>IF(AND(C1312&lt;&gt;"", J1312&lt;&gt;""), HYPERLINK("#'" &amp; C1312 &amp; "'!" &amp; J1312, J1312), "")</f>
        <v/>
      </c>
    </row>
    <row r="1313">
      <c r="B1313" s="21">
        <f>IF(AND(C1313&lt;&gt;"", J1313&lt;&gt;""), HYPERLINK("#'" &amp; C1313 &amp; "'!" &amp; J1313, J1313), "")</f>
        <v/>
      </c>
    </row>
    <row r="1314">
      <c r="B1314" s="21">
        <f>IF(AND(C1314&lt;&gt;"", J1314&lt;&gt;""), HYPERLINK("#'" &amp; C1314 &amp; "'!" &amp; J1314, J1314), "")</f>
        <v/>
      </c>
    </row>
    <row r="1315">
      <c r="B1315" s="21">
        <f>IF(AND(C1315&lt;&gt;"", J1315&lt;&gt;""), HYPERLINK("#'" &amp; C1315 &amp; "'!" &amp; J1315, J1315), "")</f>
        <v/>
      </c>
    </row>
    <row r="1316">
      <c r="B1316" s="21">
        <f>IF(AND(C1316&lt;&gt;"", J1316&lt;&gt;""), HYPERLINK("#'" &amp; C1316 &amp; "'!" &amp; J1316, J1316), "")</f>
        <v/>
      </c>
    </row>
    <row r="1317">
      <c r="B1317" s="21">
        <f>IF(AND(C1317&lt;&gt;"", J1317&lt;&gt;""), HYPERLINK("#'" &amp; C1317 &amp; "'!" &amp; J1317, J1317), "")</f>
        <v/>
      </c>
    </row>
    <row r="1318">
      <c r="B1318" s="21">
        <f>IF(AND(C1318&lt;&gt;"", J1318&lt;&gt;""), HYPERLINK("#'" &amp; C1318 &amp; "'!" &amp; J1318, J1318), "")</f>
        <v/>
      </c>
    </row>
    <row r="1319">
      <c r="B1319" s="21">
        <f>IF(AND(C1319&lt;&gt;"", J1319&lt;&gt;""), HYPERLINK("#'" &amp; C1319 &amp; "'!" &amp; J1319, J1319), "")</f>
        <v/>
      </c>
    </row>
    <row r="1320">
      <c r="B1320" s="21">
        <f>IF(AND(C1320&lt;&gt;"", J1320&lt;&gt;""), HYPERLINK("#'" &amp; C1320 &amp; "'!" &amp; J1320, J1320), "")</f>
        <v/>
      </c>
    </row>
    <row r="1321">
      <c r="B1321" s="21">
        <f>IF(AND(C1321&lt;&gt;"", J1321&lt;&gt;""), HYPERLINK("#'" &amp; C1321 &amp; "'!" &amp; J1321, J1321), "")</f>
        <v/>
      </c>
    </row>
    <row r="1322">
      <c r="B1322" s="21">
        <f>IF(AND(C1322&lt;&gt;"", J1322&lt;&gt;""), HYPERLINK("#'" &amp; C1322 &amp; "'!" &amp; J1322, J1322), "")</f>
        <v/>
      </c>
    </row>
    <row r="1323">
      <c r="B1323" s="21">
        <f>IF(AND(C1323&lt;&gt;"", J1323&lt;&gt;""), HYPERLINK("#'" &amp; C1323 &amp; "'!" &amp; J1323, J1323), "")</f>
        <v/>
      </c>
    </row>
    <row r="1324">
      <c r="B1324" s="21">
        <f>IF(AND(C1324&lt;&gt;"", J1324&lt;&gt;""), HYPERLINK("#'" &amp; C1324 &amp; "'!" &amp; J1324, J1324), "")</f>
        <v/>
      </c>
    </row>
    <row r="1325">
      <c r="B1325" s="21">
        <f>IF(AND(C1325&lt;&gt;"", J1325&lt;&gt;""), HYPERLINK("#'" &amp; C1325 &amp; "'!" &amp; J1325, J1325), "")</f>
        <v/>
      </c>
    </row>
    <row r="1326">
      <c r="B1326" s="21">
        <f>IF(AND(C1326&lt;&gt;"", J1326&lt;&gt;""), HYPERLINK("#'" &amp; C1326 &amp; "'!" &amp; J1326, J1326), "")</f>
        <v/>
      </c>
    </row>
    <row r="1327">
      <c r="B1327" s="21">
        <f>IF(AND(C1327&lt;&gt;"", J1327&lt;&gt;""), HYPERLINK("#'" &amp; C1327 &amp; "'!" &amp; J1327, J1327), "")</f>
        <v/>
      </c>
    </row>
    <row r="1328">
      <c r="B1328" s="21">
        <f>IF(AND(C1328&lt;&gt;"", J1328&lt;&gt;""), HYPERLINK("#'" &amp; C1328 &amp; "'!" &amp; J1328, J1328), "")</f>
        <v/>
      </c>
    </row>
    <row r="1329">
      <c r="B1329" s="21">
        <f>IF(AND(C1329&lt;&gt;"", J1329&lt;&gt;""), HYPERLINK("#'" &amp; C1329 &amp; "'!" &amp; J1329, J1329), "")</f>
        <v/>
      </c>
    </row>
    <row r="1330">
      <c r="B1330" s="21">
        <f>IF(AND(C1330&lt;&gt;"", J1330&lt;&gt;""), HYPERLINK("#'" &amp; C1330 &amp; "'!" &amp; J1330, J1330), "")</f>
        <v/>
      </c>
    </row>
    <row r="1331">
      <c r="B1331" s="21">
        <f>IF(AND(C1331&lt;&gt;"", J1331&lt;&gt;""), HYPERLINK("#'" &amp; C1331 &amp; "'!" &amp; J1331, J1331), "")</f>
        <v/>
      </c>
    </row>
    <row r="1332">
      <c r="B1332" s="21">
        <f>IF(AND(C1332&lt;&gt;"", J1332&lt;&gt;""), HYPERLINK("#'" &amp; C1332 &amp; "'!" &amp; J1332, J1332), "")</f>
        <v/>
      </c>
    </row>
    <row r="1333">
      <c r="B1333" s="21">
        <f>IF(AND(C1333&lt;&gt;"", J1333&lt;&gt;""), HYPERLINK("#'" &amp; C1333 &amp; "'!" &amp; J1333, J1333), "")</f>
        <v/>
      </c>
    </row>
    <row r="1334">
      <c r="B1334" s="21">
        <f>IF(AND(C1334&lt;&gt;"", J1334&lt;&gt;""), HYPERLINK("#'" &amp; C1334 &amp; "'!" &amp; J1334, J1334), "")</f>
        <v/>
      </c>
    </row>
    <row r="1335">
      <c r="B1335" s="21">
        <f>IF(AND(C1335&lt;&gt;"", J1335&lt;&gt;""), HYPERLINK("#'" &amp; C1335 &amp; "'!" &amp; J1335, J1335), "")</f>
        <v/>
      </c>
    </row>
    <row r="1336">
      <c r="B1336" s="21">
        <f>IF(AND(C1336&lt;&gt;"", J1336&lt;&gt;""), HYPERLINK("#'" &amp; C1336 &amp; "'!" &amp; J1336, J1336), "")</f>
        <v/>
      </c>
    </row>
    <row r="1337">
      <c r="B1337" s="21">
        <f>IF(AND(C1337&lt;&gt;"", J1337&lt;&gt;""), HYPERLINK("#'" &amp; C1337 &amp; "'!" &amp; J1337, J1337), "")</f>
        <v/>
      </c>
    </row>
    <row r="1338">
      <c r="B1338" s="21">
        <f>IF(AND(C1338&lt;&gt;"", J1338&lt;&gt;""), HYPERLINK("#'" &amp; C1338 &amp; "'!" &amp; J1338, J1338), "")</f>
        <v/>
      </c>
    </row>
    <row r="1339">
      <c r="B1339" s="21">
        <f>IF(AND(C1339&lt;&gt;"", J1339&lt;&gt;""), HYPERLINK("#'" &amp; C1339 &amp; "'!" &amp; J1339, J1339), "")</f>
        <v/>
      </c>
    </row>
    <row r="1340">
      <c r="B1340" s="21">
        <f>IF(AND(C1340&lt;&gt;"", J1340&lt;&gt;""), HYPERLINK("#'" &amp; C1340 &amp; "'!" &amp; J1340, J1340), "")</f>
        <v/>
      </c>
    </row>
    <row r="1341">
      <c r="B1341" s="21">
        <f>IF(AND(C1341&lt;&gt;"", J1341&lt;&gt;""), HYPERLINK("#'" &amp; C1341 &amp; "'!" &amp; J1341, J1341), "")</f>
        <v/>
      </c>
    </row>
    <row r="1342">
      <c r="B1342" s="21">
        <f>IF(AND(C1342&lt;&gt;"", J1342&lt;&gt;""), HYPERLINK("#'" &amp; C1342 &amp; "'!" &amp; J1342, J1342), "")</f>
        <v/>
      </c>
    </row>
    <row r="1343">
      <c r="B1343" s="21">
        <f>IF(AND(C1343&lt;&gt;"", J1343&lt;&gt;""), HYPERLINK("#'" &amp; C1343 &amp; "'!" &amp; J1343, J1343), "")</f>
        <v/>
      </c>
    </row>
    <row r="1344">
      <c r="B1344" s="21">
        <f>IF(AND(C1344&lt;&gt;"", J1344&lt;&gt;""), HYPERLINK("#'" &amp; C1344 &amp; "'!" &amp; J1344, J1344), "")</f>
        <v/>
      </c>
    </row>
    <row r="1345">
      <c r="B1345" s="21">
        <f>IF(AND(C1345&lt;&gt;"", J1345&lt;&gt;""), HYPERLINK("#'" &amp; C1345 &amp; "'!" &amp; J1345, J1345), "")</f>
        <v/>
      </c>
    </row>
    <row r="1346">
      <c r="B1346" s="21">
        <f>IF(AND(C1346&lt;&gt;"", J1346&lt;&gt;""), HYPERLINK("#'" &amp; C1346 &amp; "'!" &amp; J1346, J1346), "")</f>
        <v/>
      </c>
    </row>
    <row r="1347">
      <c r="B1347" s="21">
        <f>IF(AND(C1347&lt;&gt;"", J1347&lt;&gt;""), HYPERLINK("#'" &amp; C1347 &amp; "'!" &amp; J1347, J1347), "")</f>
        <v/>
      </c>
    </row>
    <row r="1348">
      <c r="B1348" s="21">
        <f>IF(AND(C1348&lt;&gt;"", J1348&lt;&gt;""), HYPERLINK("#'" &amp; C1348 &amp; "'!" &amp; J1348, J1348), "")</f>
        <v/>
      </c>
    </row>
    <row r="1349">
      <c r="B1349" s="21">
        <f>IF(AND(C1349&lt;&gt;"", J1349&lt;&gt;""), HYPERLINK("#'" &amp; C1349 &amp; "'!" &amp; J1349, J1349), "")</f>
        <v/>
      </c>
    </row>
    <row r="1350">
      <c r="B1350" s="21">
        <f>IF(AND(C1350&lt;&gt;"", J1350&lt;&gt;""), HYPERLINK("#'" &amp; C1350 &amp; "'!" &amp; J1350, J1350), "")</f>
        <v/>
      </c>
    </row>
    <row r="1351">
      <c r="B1351" s="21">
        <f>IF(AND(C1351&lt;&gt;"", J1351&lt;&gt;""), HYPERLINK("#'" &amp; C1351 &amp; "'!" &amp; J1351, J1351), "")</f>
        <v/>
      </c>
    </row>
    <row r="1352">
      <c r="B1352" s="21">
        <f>IF(AND(C1352&lt;&gt;"", J1352&lt;&gt;""), HYPERLINK("#'" &amp; C1352 &amp; "'!" &amp; J1352, J1352), "")</f>
        <v/>
      </c>
    </row>
    <row r="1353">
      <c r="B1353" s="21">
        <f>IF(AND(C1353&lt;&gt;"", J1353&lt;&gt;""), HYPERLINK("#'" &amp; C1353 &amp; "'!" &amp; J1353, J1353), "")</f>
        <v/>
      </c>
    </row>
    <row r="1354">
      <c r="B1354" s="21">
        <f>IF(AND(C1354&lt;&gt;"", J1354&lt;&gt;""), HYPERLINK("#'" &amp; C1354 &amp; "'!" &amp; J1354, J1354), "")</f>
        <v/>
      </c>
    </row>
    <row r="1355">
      <c r="B1355" s="21">
        <f>IF(AND(C1355&lt;&gt;"", J1355&lt;&gt;""), HYPERLINK("#'" &amp; C1355 &amp; "'!" &amp; J1355, J1355), "")</f>
        <v/>
      </c>
    </row>
    <row r="1356">
      <c r="B1356" s="21">
        <f>IF(AND(C1356&lt;&gt;"", J1356&lt;&gt;""), HYPERLINK("#'" &amp; C1356 &amp; "'!" &amp; J1356, J1356), "")</f>
        <v/>
      </c>
    </row>
    <row r="1357">
      <c r="B1357" s="21">
        <f>IF(AND(C1357&lt;&gt;"", J1357&lt;&gt;""), HYPERLINK("#'" &amp; C1357 &amp; "'!" &amp; J1357, J1357), "")</f>
        <v/>
      </c>
    </row>
    <row r="1358">
      <c r="B1358" s="21">
        <f>IF(AND(C1358&lt;&gt;"", J1358&lt;&gt;""), HYPERLINK("#'" &amp; C1358 &amp; "'!" &amp; J1358, J1358), "")</f>
        <v/>
      </c>
    </row>
    <row r="1359">
      <c r="B1359" s="21">
        <f>IF(AND(C1359&lt;&gt;"", J1359&lt;&gt;""), HYPERLINK("#'" &amp; C1359 &amp; "'!" &amp; J1359, J1359), "")</f>
        <v/>
      </c>
    </row>
    <row r="1360">
      <c r="B1360" s="21">
        <f>IF(AND(C1360&lt;&gt;"", J1360&lt;&gt;""), HYPERLINK("#'" &amp; C1360 &amp; "'!" &amp; J1360, J1360), "")</f>
        <v/>
      </c>
    </row>
    <row r="1361">
      <c r="B1361" s="21">
        <f>IF(AND(C1361&lt;&gt;"", J1361&lt;&gt;""), HYPERLINK("#'" &amp; C1361 &amp; "'!" &amp; J1361, J1361), "")</f>
        <v/>
      </c>
    </row>
    <row r="1362">
      <c r="B1362" s="21">
        <f>IF(AND(C1362&lt;&gt;"", J1362&lt;&gt;""), HYPERLINK("#'" &amp; C1362 &amp; "'!" &amp; J1362, J1362), "")</f>
        <v/>
      </c>
    </row>
    <row r="1363">
      <c r="B1363" s="21">
        <f>IF(AND(C1363&lt;&gt;"", J1363&lt;&gt;""), HYPERLINK("#'" &amp; C1363 &amp; "'!" &amp; J1363, J1363), "")</f>
        <v/>
      </c>
    </row>
    <row r="1364">
      <c r="B1364" s="21">
        <f>IF(AND(C1364&lt;&gt;"", J1364&lt;&gt;""), HYPERLINK("#'" &amp; C1364 &amp; "'!" &amp; J1364, J1364), "")</f>
        <v/>
      </c>
    </row>
    <row r="1365">
      <c r="B1365" s="21">
        <f>IF(AND(C1365&lt;&gt;"", J1365&lt;&gt;""), HYPERLINK("#'" &amp; C1365 &amp; "'!" &amp; J1365, J1365), "")</f>
        <v/>
      </c>
    </row>
    <row r="1366">
      <c r="B1366" s="21">
        <f>IF(AND(C1366&lt;&gt;"", J1366&lt;&gt;""), HYPERLINK("#'" &amp; C1366 &amp; "'!" &amp; J1366, J1366), "")</f>
        <v/>
      </c>
    </row>
    <row r="1367">
      <c r="B1367" s="21">
        <f>IF(AND(C1367&lt;&gt;"", J1367&lt;&gt;""), HYPERLINK("#'" &amp; C1367 &amp; "'!" &amp; J1367, J1367), "")</f>
        <v/>
      </c>
    </row>
    <row r="1368">
      <c r="B1368" s="21">
        <f>IF(AND(C1368&lt;&gt;"", J1368&lt;&gt;""), HYPERLINK("#'" &amp; C1368 &amp; "'!" &amp; J1368, J1368), "")</f>
        <v/>
      </c>
    </row>
    <row r="1369">
      <c r="B1369" s="21">
        <f>IF(AND(C1369&lt;&gt;"", J1369&lt;&gt;""), HYPERLINK("#'" &amp; C1369 &amp; "'!" &amp; J1369, J1369), "")</f>
        <v/>
      </c>
    </row>
    <row r="1370">
      <c r="B1370" s="21">
        <f>IF(AND(C1370&lt;&gt;"", J1370&lt;&gt;""), HYPERLINK("#'" &amp; C1370 &amp; "'!" &amp; J1370, J1370), "")</f>
        <v/>
      </c>
    </row>
    <row r="1371">
      <c r="B1371" s="21">
        <f>IF(AND(C1371&lt;&gt;"", J1371&lt;&gt;""), HYPERLINK("#'" &amp; C1371 &amp; "'!" &amp; J1371, J1371), "")</f>
        <v/>
      </c>
    </row>
    <row r="1372">
      <c r="B1372" s="21">
        <f>IF(AND(C1372&lt;&gt;"", J1372&lt;&gt;""), HYPERLINK("#'" &amp; C1372 &amp; "'!" &amp; J1372, J1372), "")</f>
        <v/>
      </c>
    </row>
    <row r="1373">
      <c r="B1373" s="21">
        <f>IF(AND(C1373&lt;&gt;"", J1373&lt;&gt;""), HYPERLINK("#'" &amp; C1373 &amp; "'!" &amp; J1373, J1373), "")</f>
        <v/>
      </c>
    </row>
    <row r="1374">
      <c r="B1374" s="21">
        <f>IF(AND(C1374&lt;&gt;"", J1374&lt;&gt;""), HYPERLINK("#'" &amp; C1374 &amp; "'!" &amp; J1374, J1374), "")</f>
        <v/>
      </c>
    </row>
    <row r="1375">
      <c r="B1375" s="21">
        <f>IF(AND(C1375&lt;&gt;"", J1375&lt;&gt;""), HYPERLINK("#'" &amp; C1375 &amp; "'!" &amp; J1375, J1375), "")</f>
        <v/>
      </c>
    </row>
    <row r="1376">
      <c r="B1376" s="21">
        <f>IF(AND(C1376&lt;&gt;"", J1376&lt;&gt;""), HYPERLINK("#'" &amp; C1376 &amp; "'!" &amp; J1376, J1376), "")</f>
        <v/>
      </c>
    </row>
    <row r="1377">
      <c r="B1377" s="21">
        <f>IF(AND(C1377&lt;&gt;"", J1377&lt;&gt;""), HYPERLINK("#'" &amp; C1377 &amp; "'!" &amp; J1377, J1377), "")</f>
        <v/>
      </c>
    </row>
    <row r="1378">
      <c r="B1378" s="21">
        <f>IF(AND(C1378&lt;&gt;"", J1378&lt;&gt;""), HYPERLINK("#'" &amp; C1378 &amp; "'!" &amp; J1378, J1378), "")</f>
        <v/>
      </c>
    </row>
    <row r="1379">
      <c r="B1379" s="21">
        <f>IF(AND(C1379&lt;&gt;"", J1379&lt;&gt;""), HYPERLINK("#'" &amp; C1379 &amp; "'!" &amp; J1379, J1379), "")</f>
        <v/>
      </c>
    </row>
    <row r="1380">
      <c r="B1380" s="21">
        <f>IF(AND(C1380&lt;&gt;"", J1380&lt;&gt;""), HYPERLINK("#'" &amp; C1380 &amp; "'!" &amp; J1380, J1380), "")</f>
        <v/>
      </c>
    </row>
    <row r="1381">
      <c r="B1381" s="21">
        <f>IF(AND(C1381&lt;&gt;"", J1381&lt;&gt;""), HYPERLINK("#'" &amp; C1381 &amp; "'!" &amp; J1381, J1381), "")</f>
        <v/>
      </c>
    </row>
    <row r="1382">
      <c r="B1382" s="21">
        <f>IF(AND(C1382&lt;&gt;"", J1382&lt;&gt;""), HYPERLINK("#'" &amp; C1382 &amp; "'!" &amp; J1382, J1382), "")</f>
        <v/>
      </c>
    </row>
    <row r="1383">
      <c r="B1383" s="21">
        <f>IF(AND(C1383&lt;&gt;"", J1383&lt;&gt;""), HYPERLINK("#'" &amp; C1383 &amp; "'!" &amp; J1383, J1383), "")</f>
        <v/>
      </c>
    </row>
    <row r="1384">
      <c r="B1384" s="21">
        <f>IF(AND(C1384&lt;&gt;"", J1384&lt;&gt;""), HYPERLINK("#'" &amp; C1384 &amp; "'!" &amp; J1384, J1384), "")</f>
        <v/>
      </c>
    </row>
    <row r="1385">
      <c r="B1385" s="21">
        <f>IF(AND(C1385&lt;&gt;"", J1385&lt;&gt;""), HYPERLINK("#'" &amp; C1385 &amp; "'!" &amp; J1385, J1385), "")</f>
        <v/>
      </c>
    </row>
    <row r="1386">
      <c r="B1386" s="21">
        <f>IF(AND(C1386&lt;&gt;"", J1386&lt;&gt;""), HYPERLINK("#'" &amp; C1386 &amp; "'!" &amp; J1386, J1386), "")</f>
        <v/>
      </c>
    </row>
    <row r="1387">
      <c r="B1387" s="21">
        <f>IF(AND(C1387&lt;&gt;"", J1387&lt;&gt;""), HYPERLINK("#'" &amp; C1387 &amp; "'!" &amp; J1387, J1387), "")</f>
        <v/>
      </c>
    </row>
    <row r="1388">
      <c r="B1388" s="21">
        <f>IF(AND(C1388&lt;&gt;"", J1388&lt;&gt;""), HYPERLINK("#'" &amp; C1388 &amp; "'!" &amp; J1388, J1388), "")</f>
        <v/>
      </c>
    </row>
    <row r="1389">
      <c r="B1389" s="21">
        <f>IF(AND(C1389&lt;&gt;"", J1389&lt;&gt;""), HYPERLINK("#'" &amp; C1389 &amp; "'!" &amp; J1389, J1389), "")</f>
        <v/>
      </c>
    </row>
    <row r="1390">
      <c r="B1390" s="21">
        <f>IF(AND(C1390&lt;&gt;"", J1390&lt;&gt;""), HYPERLINK("#'" &amp; C1390 &amp; "'!" &amp; J1390, J1390), "")</f>
        <v/>
      </c>
    </row>
    <row r="1391">
      <c r="B1391" s="21">
        <f>IF(AND(C1391&lt;&gt;"", J1391&lt;&gt;""), HYPERLINK("#'" &amp; C1391 &amp; "'!" &amp; J1391, J1391), "")</f>
        <v/>
      </c>
    </row>
    <row r="1392">
      <c r="B1392" s="21">
        <f>IF(AND(C1392&lt;&gt;"", J1392&lt;&gt;""), HYPERLINK("#'" &amp; C1392 &amp; "'!" &amp; J1392, J1392), "")</f>
        <v/>
      </c>
    </row>
    <row r="1393">
      <c r="B1393" s="21">
        <f>IF(AND(C1393&lt;&gt;"", J1393&lt;&gt;""), HYPERLINK("#'" &amp; C1393 &amp; "'!" &amp; J1393, J1393), "")</f>
        <v/>
      </c>
    </row>
    <row r="1394">
      <c r="B1394" s="21">
        <f>IF(AND(C1394&lt;&gt;"", J1394&lt;&gt;""), HYPERLINK("#'" &amp; C1394 &amp; "'!" &amp; J1394, J1394), "")</f>
        <v/>
      </c>
    </row>
    <row r="1395">
      <c r="B1395" s="21">
        <f>IF(AND(C1395&lt;&gt;"", J1395&lt;&gt;""), HYPERLINK("#'" &amp; C1395 &amp; "'!" &amp; J1395, J1395), "")</f>
        <v/>
      </c>
    </row>
    <row r="1396">
      <c r="B1396" s="21">
        <f>IF(AND(C1396&lt;&gt;"", J1396&lt;&gt;""), HYPERLINK("#'" &amp; C1396 &amp; "'!" &amp; J1396, J1396), "")</f>
        <v/>
      </c>
    </row>
    <row r="1397">
      <c r="B1397" s="21">
        <f>IF(AND(C1397&lt;&gt;"", J1397&lt;&gt;""), HYPERLINK("#'" &amp; C1397 &amp; "'!" &amp; J1397, J1397), "")</f>
        <v/>
      </c>
    </row>
    <row r="1398">
      <c r="B1398" s="21">
        <f>IF(AND(C1398&lt;&gt;"", J1398&lt;&gt;""), HYPERLINK("#'" &amp; C1398 &amp; "'!" &amp; J1398, J1398), "")</f>
        <v/>
      </c>
    </row>
    <row r="1399">
      <c r="B1399" s="21">
        <f>IF(AND(C1399&lt;&gt;"", J1399&lt;&gt;""), HYPERLINK("#'" &amp; C1399 &amp; "'!" &amp; J1399, J1399), "")</f>
        <v/>
      </c>
    </row>
    <row r="1400">
      <c r="B1400" s="21">
        <f>IF(AND(C1400&lt;&gt;"", J1400&lt;&gt;""), HYPERLINK("#'" &amp; C1400 &amp; "'!" &amp; J1400, J1400), "")</f>
        <v/>
      </c>
    </row>
    <row r="1401">
      <c r="B1401" s="21">
        <f>IF(AND(C1401&lt;&gt;"", J1401&lt;&gt;""), HYPERLINK("#'" &amp; C1401 &amp; "'!" &amp; J1401, J1401), "")</f>
        <v/>
      </c>
    </row>
    <row r="1402">
      <c r="B1402" s="21">
        <f>IF(AND(C1402&lt;&gt;"", J1402&lt;&gt;""), HYPERLINK("#'" &amp; C1402 &amp; "'!" &amp; J1402, J1402), "")</f>
        <v/>
      </c>
    </row>
    <row r="1403">
      <c r="B1403" s="21">
        <f>IF(AND(C1403&lt;&gt;"", J1403&lt;&gt;""), HYPERLINK("#'" &amp; C1403 &amp; "'!" &amp; J1403, J1403), "")</f>
        <v/>
      </c>
    </row>
    <row r="1404">
      <c r="B1404" s="21">
        <f>IF(AND(C1404&lt;&gt;"", J1404&lt;&gt;""), HYPERLINK("#'" &amp; C1404 &amp; "'!" &amp; J1404, J1404), "")</f>
        <v/>
      </c>
    </row>
    <row r="1405">
      <c r="B1405" s="21">
        <f>IF(AND(C1405&lt;&gt;"", J1405&lt;&gt;""), HYPERLINK("#'" &amp; C1405 &amp; "'!" &amp; J1405, J1405), "")</f>
        <v/>
      </c>
    </row>
    <row r="1406">
      <c r="B1406" s="21">
        <f>IF(AND(C1406&lt;&gt;"", J1406&lt;&gt;""), HYPERLINK("#'" &amp; C1406 &amp; "'!" &amp; J1406, J1406), "")</f>
        <v/>
      </c>
    </row>
    <row r="1407">
      <c r="B1407" s="21">
        <f>IF(AND(C1407&lt;&gt;"", J1407&lt;&gt;""), HYPERLINK("#'" &amp; C1407 &amp; "'!" &amp; J1407, J1407), "")</f>
        <v/>
      </c>
    </row>
    <row r="1408">
      <c r="B1408" s="21">
        <f>IF(AND(C1408&lt;&gt;"", J1408&lt;&gt;""), HYPERLINK("#'" &amp; C1408 &amp; "'!" &amp; J1408, J1408), "")</f>
        <v/>
      </c>
    </row>
    <row r="1409">
      <c r="B1409" s="21">
        <f>IF(AND(C1409&lt;&gt;"", J1409&lt;&gt;""), HYPERLINK("#'" &amp; C1409 &amp; "'!" &amp; J1409, J1409), "")</f>
        <v/>
      </c>
    </row>
    <row r="1410">
      <c r="B1410" s="21">
        <f>IF(AND(C1410&lt;&gt;"", J1410&lt;&gt;""), HYPERLINK("#'" &amp; C1410 &amp; "'!" &amp; J1410, J1410), "")</f>
        <v/>
      </c>
    </row>
    <row r="1411">
      <c r="B1411" s="21">
        <f>IF(AND(C1411&lt;&gt;"", J1411&lt;&gt;""), HYPERLINK("#'" &amp; C1411 &amp; "'!" &amp; J1411, J1411), "")</f>
        <v/>
      </c>
    </row>
    <row r="1412">
      <c r="B1412" s="21">
        <f>IF(AND(C1412&lt;&gt;"", J1412&lt;&gt;""), HYPERLINK("#'" &amp; C1412 &amp; "'!" &amp; J1412, J1412), "")</f>
        <v/>
      </c>
    </row>
    <row r="1413">
      <c r="B1413" s="21">
        <f>IF(AND(C1413&lt;&gt;"", J1413&lt;&gt;""), HYPERLINK("#'" &amp; C1413 &amp; "'!" &amp; J1413, J1413), "")</f>
        <v/>
      </c>
    </row>
    <row r="1414">
      <c r="B1414" s="21">
        <f>IF(AND(C1414&lt;&gt;"", J1414&lt;&gt;""), HYPERLINK("#'" &amp; C1414 &amp; "'!" &amp; J1414, J1414), "")</f>
        <v/>
      </c>
    </row>
    <row r="1415">
      <c r="B1415" s="21">
        <f>IF(AND(C1415&lt;&gt;"", J1415&lt;&gt;""), HYPERLINK("#'" &amp; C1415 &amp; "'!" &amp; J1415, J1415), "")</f>
        <v/>
      </c>
    </row>
    <row r="1416">
      <c r="B1416" s="21">
        <f>IF(AND(C1416&lt;&gt;"", J1416&lt;&gt;""), HYPERLINK("#'" &amp; C1416 &amp; "'!" &amp; J1416, J1416), "")</f>
        <v/>
      </c>
    </row>
    <row r="1417">
      <c r="B1417" s="21">
        <f>IF(AND(C1417&lt;&gt;"", J1417&lt;&gt;""), HYPERLINK("#'" &amp; C1417 &amp; "'!" &amp; J1417, J1417), "")</f>
        <v/>
      </c>
    </row>
    <row r="1418">
      <c r="B1418" s="21">
        <f>IF(AND(C1418&lt;&gt;"", J1418&lt;&gt;""), HYPERLINK("#'" &amp; C1418 &amp; "'!" &amp; J1418, J1418), "")</f>
        <v/>
      </c>
    </row>
    <row r="1419">
      <c r="B1419" s="21">
        <f>IF(AND(C1419&lt;&gt;"", J1419&lt;&gt;""), HYPERLINK("#'" &amp; C1419 &amp; "'!" &amp; J1419, J1419), "")</f>
        <v/>
      </c>
    </row>
    <row r="1420">
      <c r="B1420" s="21">
        <f>IF(AND(C1420&lt;&gt;"", J1420&lt;&gt;""), HYPERLINK("#'" &amp; C1420 &amp; "'!" &amp; J1420, J1420), "")</f>
        <v/>
      </c>
    </row>
    <row r="1421">
      <c r="B1421" s="21">
        <f>IF(AND(C1421&lt;&gt;"", J1421&lt;&gt;""), HYPERLINK("#'" &amp; C1421 &amp; "'!" &amp; J1421, J1421), "")</f>
        <v/>
      </c>
    </row>
    <row r="1422">
      <c r="B1422" s="21">
        <f>IF(AND(C1422&lt;&gt;"", J1422&lt;&gt;""), HYPERLINK("#'" &amp; C1422 &amp; "'!" &amp; J1422, J1422), "")</f>
        <v/>
      </c>
    </row>
    <row r="1423">
      <c r="B1423" s="21">
        <f>IF(AND(C1423&lt;&gt;"", J1423&lt;&gt;""), HYPERLINK("#'" &amp; C1423 &amp; "'!" &amp; J1423, J1423), "")</f>
        <v/>
      </c>
    </row>
    <row r="1424">
      <c r="B1424" s="21">
        <f>IF(AND(C1424&lt;&gt;"", J1424&lt;&gt;""), HYPERLINK("#'" &amp; C1424 &amp; "'!" &amp; J1424, J1424), "")</f>
        <v/>
      </c>
    </row>
    <row r="1425">
      <c r="B1425" s="21">
        <f>IF(AND(C1425&lt;&gt;"", J1425&lt;&gt;""), HYPERLINK("#'" &amp; C1425 &amp; "'!" &amp; J1425, J1425), "")</f>
        <v/>
      </c>
    </row>
    <row r="1426">
      <c r="B1426" s="21">
        <f>IF(AND(C1426&lt;&gt;"", J1426&lt;&gt;""), HYPERLINK("#'" &amp; C1426 &amp; "'!" &amp; J1426, J1426), "")</f>
        <v/>
      </c>
    </row>
    <row r="1427">
      <c r="B1427" s="21">
        <f>IF(AND(C1427&lt;&gt;"", J1427&lt;&gt;""), HYPERLINK("#'" &amp; C1427 &amp; "'!" &amp; J1427, J1427), "")</f>
        <v/>
      </c>
    </row>
    <row r="1428">
      <c r="B1428" s="21">
        <f>IF(AND(C1428&lt;&gt;"", J1428&lt;&gt;""), HYPERLINK("#'" &amp; C1428 &amp; "'!" &amp; J1428, J1428), "")</f>
        <v/>
      </c>
    </row>
    <row r="1429">
      <c r="B1429" s="21">
        <f>IF(AND(C1429&lt;&gt;"", J1429&lt;&gt;""), HYPERLINK("#'" &amp; C1429 &amp; "'!" &amp; J1429, J1429), "")</f>
        <v/>
      </c>
    </row>
    <row r="1430">
      <c r="B1430" s="21">
        <f>IF(AND(C1430&lt;&gt;"", J1430&lt;&gt;""), HYPERLINK("#'" &amp; C1430 &amp; "'!" &amp; J1430, J1430), "")</f>
        <v/>
      </c>
    </row>
    <row r="1431">
      <c r="B1431" s="21">
        <f>IF(AND(C1431&lt;&gt;"", J1431&lt;&gt;""), HYPERLINK("#'" &amp; C1431 &amp; "'!" &amp; J1431, J1431), "")</f>
        <v/>
      </c>
    </row>
    <row r="1432">
      <c r="B1432" s="21">
        <f>IF(AND(C1432&lt;&gt;"", J1432&lt;&gt;""), HYPERLINK("#'" &amp; C1432 &amp; "'!" &amp; J1432, J1432), "")</f>
        <v/>
      </c>
    </row>
    <row r="1433">
      <c r="B1433" s="21">
        <f>IF(AND(C1433&lt;&gt;"", J1433&lt;&gt;""), HYPERLINK("#'" &amp; C1433 &amp; "'!" &amp; J1433, J1433), "")</f>
        <v/>
      </c>
    </row>
    <row r="1434">
      <c r="B1434" s="21">
        <f>IF(AND(C1434&lt;&gt;"", J1434&lt;&gt;""), HYPERLINK("#'" &amp; C1434 &amp; "'!" &amp; J1434, J1434), "")</f>
        <v/>
      </c>
    </row>
    <row r="1435">
      <c r="B1435" s="21">
        <f>IF(AND(C1435&lt;&gt;"", J1435&lt;&gt;""), HYPERLINK("#'" &amp; C1435 &amp; "'!" &amp; J1435, J1435), "")</f>
        <v/>
      </c>
    </row>
    <row r="1436">
      <c r="B1436" s="21">
        <f>IF(AND(C1436&lt;&gt;"", J1436&lt;&gt;""), HYPERLINK("#'" &amp; C1436 &amp; "'!" &amp; J1436, J1436), "")</f>
        <v/>
      </c>
    </row>
    <row r="1437">
      <c r="B1437" s="21">
        <f>IF(AND(C1437&lt;&gt;"", J1437&lt;&gt;""), HYPERLINK("#'" &amp; C1437 &amp; "'!" &amp; J1437, J1437), "")</f>
        <v/>
      </c>
    </row>
    <row r="1438">
      <c r="B1438" s="21">
        <f>IF(AND(C1438&lt;&gt;"", J1438&lt;&gt;""), HYPERLINK("#'" &amp; C1438 &amp; "'!" &amp; J1438, J1438), "")</f>
        <v/>
      </c>
    </row>
    <row r="1439">
      <c r="B1439" s="21">
        <f>IF(AND(C1439&lt;&gt;"", J1439&lt;&gt;""), HYPERLINK("#'" &amp; C1439 &amp; "'!" &amp; J1439, J1439), "")</f>
        <v/>
      </c>
    </row>
    <row r="1440">
      <c r="B1440" s="21">
        <f>IF(AND(C1440&lt;&gt;"", J1440&lt;&gt;""), HYPERLINK("#'" &amp; C1440 &amp; "'!" &amp; J1440, J1440), "")</f>
        <v/>
      </c>
    </row>
    <row r="1441">
      <c r="B1441" s="21">
        <f>IF(AND(C1441&lt;&gt;"", J1441&lt;&gt;""), HYPERLINK("#'" &amp; C1441 &amp; "'!" &amp; J1441, J1441), "")</f>
        <v/>
      </c>
    </row>
    <row r="1442">
      <c r="B1442" s="21">
        <f>IF(AND(C1442&lt;&gt;"", J1442&lt;&gt;""), HYPERLINK("#'" &amp; C1442 &amp; "'!" &amp; J1442, J1442), "")</f>
        <v/>
      </c>
    </row>
    <row r="1443">
      <c r="B1443" s="21">
        <f>IF(AND(C1443&lt;&gt;"", J1443&lt;&gt;""), HYPERLINK("#'" &amp; C1443 &amp; "'!" &amp; J1443, J1443), "")</f>
        <v/>
      </c>
    </row>
    <row r="1444">
      <c r="B1444" s="21">
        <f>IF(AND(C1444&lt;&gt;"", J1444&lt;&gt;""), HYPERLINK("#'" &amp; C1444 &amp; "'!" &amp; J1444, J1444), "")</f>
        <v/>
      </c>
    </row>
    <row r="1445">
      <c r="B1445" s="21">
        <f>IF(AND(C1445&lt;&gt;"", J1445&lt;&gt;""), HYPERLINK("#'" &amp; C1445 &amp; "'!" &amp; J1445, J1445), "")</f>
        <v/>
      </c>
    </row>
    <row r="1446">
      <c r="B1446" s="21">
        <f>IF(AND(C1446&lt;&gt;"", J1446&lt;&gt;""), HYPERLINK("#'" &amp; C1446 &amp; "'!" &amp; J1446, J1446), "")</f>
        <v/>
      </c>
    </row>
    <row r="1447">
      <c r="B1447" s="21">
        <f>IF(AND(C1447&lt;&gt;"", J1447&lt;&gt;""), HYPERLINK("#'" &amp; C1447 &amp; "'!" &amp; J1447, J1447), "")</f>
        <v/>
      </c>
    </row>
    <row r="1448">
      <c r="B1448" s="21">
        <f>IF(AND(C1448&lt;&gt;"", J1448&lt;&gt;""), HYPERLINK("#'" &amp; C1448 &amp; "'!" &amp; J1448, J1448), "")</f>
        <v/>
      </c>
    </row>
    <row r="1449">
      <c r="B1449" s="21">
        <f>IF(AND(C1449&lt;&gt;"", J1449&lt;&gt;""), HYPERLINK("#'" &amp; C1449 &amp; "'!" &amp; J1449, J1449), "")</f>
        <v/>
      </c>
    </row>
    <row r="1450">
      <c r="B1450" s="21">
        <f>IF(AND(C1450&lt;&gt;"", J1450&lt;&gt;""), HYPERLINK("#'" &amp; C1450 &amp; "'!" &amp; J1450, J1450), "")</f>
        <v/>
      </c>
    </row>
    <row r="1451">
      <c r="B1451" s="21">
        <f>IF(AND(C1451&lt;&gt;"", J1451&lt;&gt;""), HYPERLINK("#'" &amp; C1451 &amp; "'!" &amp; J1451, J1451), "")</f>
        <v/>
      </c>
    </row>
    <row r="1452">
      <c r="B1452" s="21">
        <f>IF(AND(C1452&lt;&gt;"", J1452&lt;&gt;""), HYPERLINK("#'" &amp; C1452 &amp; "'!" &amp; J1452, J1452), "")</f>
        <v/>
      </c>
    </row>
    <row r="1453">
      <c r="B1453" s="21">
        <f>IF(AND(C1453&lt;&gt;"", J1453&lt;&gt;""), HYPERLINK("#'" &amp; C1453 &amp; "'!" &amp; J1453, J1453), "")</f>
        <v/>
      </c>
    </row>
    <row r="1454">
      <c r="B1454" s="21">
        <f>IF(AND(C1454&lt;&gt;"", J1454&lt;&gt;""), HYPERLINK("#'" &amp; C1454 &amp; "'!" &amp; J1454, J1454), "")</f>
        <v/>
      </c>
    </row>
    <row r="1455">
      <c r="B1455" s="21">
        <f>IF(AND(C1455&lt;&gt;"", J1455&lt;&gt;""), HYPERLINK("#'" &amp; C1455 &amp; "'!" &amp; J1455, J1455), "")</f>
        <v/>
      </c>
    </row>
    <row r="1456">
      <c r="B1456" s="21">
        <f>IF(AND(C1456&lt;&gt;"", J1456&lt;&gt;""), HYPERLINK("#'" &amp; C1456 &amp; "'!" &amp; J1456, J1456), "")</f>
        <v/>
      </c>
    </row>
    <row r="1457">
      <c r="B1457" s="21">
        <f>IF(AND(C1457&lt;&gt;"", J1457&lt;&gt;""), HYPERLINK("#'" &amp; C1457 &amp; "'!" &amp; J1457, J1457), "")</f>
        <v/>
      </c>
    </row>
    <row r="1458">
      <c r="B1458" s="21">
        <f>IF(AND(C1458&lt;&gt;"", J1458&lt;&gt;""), HYPERLINK("#'" &amp; C1458 &amp; "'!" &amp; J1458, J1458), "")</f>
        <v/>
      </c>
    </row>
    <row r="1459">
      <c r="B1459" s="21">
        <f>IF(AND(C1459&lt;&gt;"", J1459&lt;&gt;""), HYPERLINK("#'" &amp; C1459 &amp; "'!" &amp; J1459, J1459), "")</f>
        <v/>
      </c>
    </row>
    <row r="1460">
      <c r="B1460" s="21">
        <f>IF(AND(C1460&lt;&gt;"", J1460&lt;&gt;""), HYPERLINK("#'" &amp; C1460 &amp; "'!" &amp; J1460, J1460), "")</f>
        <v/>
      </c>
    </row>
    <row r="1461">
      <c r="B1461" s="21">
        <f>IF(AND(C1461&lt;&gt;"", J1461&lt;&gt;""), HYPERLINK("#'" &amp; C1461 &amp; "'!" &amp; J1461, J1461), "")</f>
        <v/>
      </c>
    </row>
    <row r="1462">
      <c r="B1462" s="21">
        <f>IF(AND(C1462&lt;&gt;"", J1462&lt;&gt;""), HYPERLINK("#'" &amp; C1462 &amp; "'!" &amp; J1462, J1462), "")</f>
        <v/>
      </c>
    </row>
    <row r="1463">
      <c r="B1463" s="21">
        <f>IF(AND(C1463&lt;&gt;"", J1463&lt;&gt;""), HYPERLINK("#'" &amp; C1463 &amp; "'!" &amp; J1463, J1463), "")</f>
        <v/>
      </c>
    </row>
    <row r="1464">
      <c r="B1464" s="21">
        <f>IF(AND(C1464&lt;&gt;"", J1464&lt;&gt;""), HYPERLINK("#'" &amp; C1464 &amp; "'!" &amp; J1464, J1464), "")</f>
        <v/>
      </c>
    </row>
    <row r="1465">
      <c r="B1465" s="21">
        <f>IF(AND(C1465&lt;&gt;"", J1465&lt;&gt;""), HYPERLINK("#'" &amp; C1465 &amp; "'!" &amp; J1465, J1465), "")</f>
        <v/>
      </c>
    </row>
    <row r="1466">
      <c r="B1466" s="21">
        <f>IF(AND(C1466&lt;&gt;"", J1466&lt;&gt;""), HYPERLINK("#'" &amp; C1466 &amp; "'!" &amp; J1466, J1466), "")</f>
        <v/>
      </c>
    </row>
    <row r="1467">
      <c r="B1467" s="21">
        <f>IF(AND(C1467&lt;&gt;"", J1467&lt;&gt;""), HYPERLINK("#'" &amp; C1467 &amp; "'!" &amp; J1467, J1467), "")</f>
        <v/>
      </c>
    </row>
    <row r="1468">
      <c r="B1468" s="21">
        <f>IF(AND(C1468&lt;&gt;"", J1468&lt;&gt;""), HYPERLINK("#'" &amp; C1468 &amp; "'!" &amp; J1468, J1468), "")</f>
        <v/>
      </c>
    </row>
    <row r="1469">
      <c r="B1469" s="21">
        <f>IF(AND(C1469&lt;&gt;"", J1469&lt;&gt;""), HYPERLINK("#'" &amp; C1469 &amp; "'!" &amp; J1469, J1469), "")</f>
        <v/>
      </c>
    </row>
    <row r="1470">
      <c r="B1470" s="21">
        <f>IF(AND(C1470&lt;&gt;"", J1470&lt;&gt;""), HYPERLINK("#'" &amp; C1470 &amp; "'!" &amp; J1470, J1470), "")</f>
        <v/>
      </c>
    </row>
    <row r="1471">
      <c r="B1471" s="21">
        <f>IF(AND(C1471&lt;&gt;"", J1471&lt;&gt;""), HYPERLINK("#'" &amp; C1471 &amp; "'!" &amp; J1471, J1471), "")</f>
        <v/>
      </c>
    </row>
    <row r="1472">
      <c r="B1472" s="21">
        <f>IF(AND(C1472&lt;&gt;"", J1472&lt;&gt;""), HYPERLINK("#'" &amp; C1472 &amp; "'!" &amp; J1472, J1472), "")</f>
        <v/>
      </c>
    </row>
    <row r="1473">
      <c r="B1473" s="21">
        <f>IF(AND(C1473&lt;&gt;"", J1473&lt;&gt;""), HYPERLINK("#'" &amp; C1473 &amp; "'!" &amp; J1473, J1473), "")</f>
        <v/>
      </c>
    </row>
    <row r="1474">
      <c r="B1474" s="21">
        <f>IF(AND(C1474&lt;&gt;"", J1474&lt;&gt;""), HYPERLINK("#'" &amp; C1474 &amp; "'!" &amp; J1474, J1474), "")</f>
        <v/>
      </c>
    </row>
    <row r="1475">
      <c r="B1475" s="21">
        <f>IF(AND(C1475&lt;&gt;"", J1475&lt;&gt;""), HYPERLINK("#'" &amp; C1475 &amp; "'!" &amp; J1475, J1475), "")</f>
        <v/>
      </c>
    </row>
    <row r="1476">
      <c r="B1476" s="21">
        <f>IF(AND(C1476&lt;&gt;"", J1476&lt;&gt;""), HYPERLINK("#'" &amp; C1476 &amp; "'!" &amp; J1476, J1476), "")</f>
        <v/>
      </c>
    </row>
    <row r="1477">
      <c r="B1477" s="21">
        <f>IF(AND(C1477&lt;&gt;"", J1477&lt;&gt;""), HYPERLINK("#'" &amp; C1477 &amp; "'!" &amp; J1477, J1477), "")</f>
        <v/>
      </c>
    </row>
    <row r="1478">
      <c r="B1478" s="21">
        <f>IF(AND(C1478&lt;&gt;"", J1478&lt;&gt;""), HYPERLINK("#'" &amp; C1478 &amp; "'!" &amp; J1478, J1478), "")</f>
        <v/>
      </c>
    </row>
    <row r="1479">
      <c r="B1479" s="21">
        <f>IF(AND(C1479&lt;&gt;"", J1479&lt;&gt;""), HYPERLINK("#'" &amp; C1479 &amp; "'!" &amp; J1479, J1479), "")</f>
        <v/>
      </c>
    </row>
    <row r="1480">
      <c r="B1480" s="21">
        <f>IF(AND(C1480&lt;&gt;"", J1480&lt;&gt;""), HYPERLINK("#'" &amp; C1480 &amp; "'!" &amp; J1480, J1480), "")</f>
        <v/>
      </c>
    </row>
    <row r="1481">
      <c r="B1481" s="21">
        <f>IF(AND(C1481&lt;&gt;"", J1481&lt;&gt;""), HYPERLINK("#'" &amp; C1481 &amp; "'!" &amp; J1481, J1481), "")</f>
        <v/>
      </c>
    </row>
    <row r="1482">
      <c r="B1482" s="21">
        <f>IF(AND(C1482&lt;&gt;"", J1482&lt;&gt;""), HYPERLINK("#'" &amp; C1482 &amp; "'!" &amp; J1482, J1482), "")</f>
        <v/>
      </c>
    </row>
    <row r="1483">
      <c r="B1483" s="21">
        <f>IF(AND(C1483&lt;&gt;"", J1483&lt;&gt;""), HYPERLINK("#'" &amp; C1483 &amp; "'!" &amp; J1483, J1483), "")</f>
        <v/>
      </c>
    </row>
    <row r="1484">
      <c r="B1484" s="21">
        <f>IF(AND(C1484&lt;&gt;"", J1484&lt;&gt;""), HYPERLINK("#'" &amp; C1484 &amp; "'!" &amp; J1484, J1484), "")</f>
        <v/>
      </c>
    </row>
    <row r="1485">
      <c r="B1485" s="21">
        <f>IF(AND(C1485&lt;&gt;"", J1485&lt;&gt;""), HYPERLINK("#'" &amp; C1485 &amp; "'!" &amp; J1485, J1485), "")</f>
        <v/>
      </c>
    </row>
    <row r="1486">
      <c r="B1486" s="21">
        <f>IF(AND(C1486&lt;&gt;"", J1486&lt;&gt;""), HYPERLINK("#'" &amp; C1486 &amp; "'!" &amp; J1486, J1486), "")</f>
        <v/>
      </c>
    </row>
    <row r="1487">
      <c r="B1487" s="21">
        <f>IF(AND(C1487&lt;&gt;"", J1487&lt;&gt;""), HYPERLINK("#'" &amp; C1487 &amp; "'!" &amp; J1487, J1487), "")</f>
        <v/>
      </c>
    </row>
    <row r="1488">
      <c r="B1488" s="21">
        <f>IF(AND(C1488&lt;&gt;"", J1488&lt;&gt;""), HYPERLINK("#'" &amp; C1488 &amp; "'!" &amp; J1488, J1488), "")</f>
        <v/>
      </c>
    </row>
    <row r="1489">
      <c r="B1489" s="21">
        <f>IF(AND(C1489&lt;&gt;"", J1489&lt;&gt;""), HYPERLINK("#'" &amp; C1489 &amp; "'!" &amp; J1489, J1489), "")</f>
        <v/>
      </c>
    </row>
    <row r="1490">
      <c r="B1490" s="21">
        <f>IF(AND(C1490&lt;&gt;"", J1490&lt;&gt;""), HYPERLINK("#'" &amp; C1490 &amp; "'!" &amp; J1490, J1490), "")</f>
        <v/>
      </c>
    </row>
    <row r="1491">
      <c r="B1491" s="21">
        <f>IF(AND(C1491&lt;&gt;"", J1491&lt;&gt;""), HYPERLINK("#'" &amp; C1491 &amp; "'!" &amp; J1491, J1491), "")</f>
        <v/>
      </c>
    </row>
    <row r="1492">
      <c r="B1492" s="21">
        <f>IF(AND(C1492&lt;&gt;"", J1492&lt;&gt;""), HYPERLINK("#'" &amp; C1492 &amp; "'!" &amp; J1492, J1492), "")</f>
        <v/>
      </c>
    </row>
    <row r="1493">
      <c r="B1493" s="21">
        <f>IF(AND(C1493&lt;&gt;"", J1493&lt;&gt;""), HYPERLINK("#'" &amp; C1493 &amp; "'!" &amp; J1493, J1493), "")</f>
        <v/>
      </c>
    </row>
    <row r="1494">
      <c r="B1494" s="21">
        <f>IF(AND(C1494&lt;&gt;"", J1494&lt;&gt;""), HYPERLINK("#'" &amp; C1494 &amp; "'!" &amp; J1494, J1494), "")</f>
        <v/>
      </c>
    </row>
    <row r="1495">
      <c r="B1495" s="21">
        <f>IF(AND(C1495&lt;&gt;"", J1495&lt;&gt;""), HYPERLINK("#'" &amp; C1495 &amp; "'!" &amp; J1495, J1495), "")</f>
        <v/>
      </c>
    </row>
    <row r="1496">
      <c r="B1496" s="21">
        <f>IF(AND(C1496&lt;&gt;"", J1496&lt;&gt;""), HYPERLINK("#'" &amp; C1496 &amp; "'!" &amp; J1496, J1496), "")</f>
        <v/>
      </c>
    </row>
    <row r="1497">
      <c r="B1497" s="21">
        <f>IF(AND(C1497&lt;&gt;"", J1497&lt;&gt;""), HYPERLINK("#'" &amp; C1497 &amp; "'!" &amp; J1497, J1497), "")</f>
        <v/>
      </c>
    </row>
    <row r="1498">
      <c r="B1498" s="21">
        <f>IF(AND(C1498&lt;&gt;"", J1498&lt;&gt;""), HYPERLINK("#'" &amp; C1498 &amp; "'!" &amp; J1498, J1498), "")</f>
        <v/>
      </c>
    </row>
    <row r="1499">
      <c r="B1499" s="21">
        <f>IF(AND(C1499&lt;&gt;"", J1499&lt;&gt;""), HYPERLINK("#'" &amp; C1499 &amp; "'!" &amp; J1499, J1499), "")</f>
        <v/>
      </c>
    </row>
    <row r="1500">
      <c r="B1500" s="21">
        <f>IF(AND(C1500&lt;&gt;"", J1500&lt;&gt;""), HYPERLINK("#'" &amp; C1500 &amp; "'!" &amp; J1500, J1500), "")</f>
        <v/>
      </c>
    </row>
    <row r="1501">
      <c r="B1501" s="21">
        <f>IF(AND(C1501&lt;&gt;"", J1501&lt;&gt;""), HYPERLINK("#'" &amp; C1501 &amp; "'!" &amp; J1501, J1501), "")</f>
        <v/>
      </c>
    </row>
    <row r="1502">
      <c r="B1502" s="21">
        <f>IF(AND(C1502&lt;&gt;"", J1502&lt;&gt;""), HYPERLINK("#'" &amp; C1502 &amp; "'!" &amp; J1502, J1502), "")</f>
        <v/>
      </c>
    </row>
    <row r="1503">
      <c r="B1503" s="21">
        <f>IF(AND(C1503&lt;&gt;"", J1503&lt;&gt;""), HYPERLINK("#'" &amp; C1503 &amp; "'!" &amp; J1503, J1503), "")</f>
        <v/>
      </c>
    </row>
    <row r="1504">
      <c r="B1504" s="21">
        <f>IF(AND(C1504&lt;&gt;"", J1504&lt;&gt;""), HYPERLINK("#'" &amp; C1504 &amp; "'!" &amp; J1504, J1504), "")</f>
        <v/>
      </c>
    </row>
    <row r="1505">
      <c r="B1505" s="21">
        <f>IF(AND(C1505&lt;&gt;"", J1505&lt;&gt;""), HYPERLINK("#'" &amp; C1505 &amp; "'!" &amp; J1505, J1505), "")</f>
        <v/>
      </c>
    </row>
    <row r="1506">
      <c r="B1506" s="21">
        <f>IF(AND(C1506&lt;&gt;"", J1506&lt;&gt;""), HYPERLINK("#'" &amp; C1506 &amp; "'!" &amp; J1506, J1506), "")</f>
        <v/>
      </c>
    </row>
    <row r="1507">
      <c r="B1507" s="21">
        <f>IF(AND(C1507&lt;&gt;"", J1507&lt;&gt;""), HYPERLINK("#'" &amp; C1507 &amp; "'!" &amp; J1507, J1507), "")</f>
        <v/>
      </c>
    </row>
    <row r="1508">
      <c r="B1508" s="21">
        <f>IF(AND(C1508&lt;&gt;"", J1508&lt;&gt;""), HYPERLINK("#'" &amp; C1508 &amp; "'!" &amp; J1508, J1508), "")</f>
        <v/>
      </c>
    </row>
    <row r="1509">
      <c r="B1509" s="21">
        <f>IF(AND(C1509&lt;&gt;"", J1509&lt;&gt;""), HYPERLINK("#'" &amp; C1509 &amp; "'!" &amp; J1509, J1509), "")</f>
        <v/>
      </c>
    </row>
    <row r="1510">
      <c r="B1510" s="21">
        <f>IF(AND(C1510&lt;&gt;"", J1510&lt;&gt;""), HYPERLINK("#'" &amp; C1510 &amp; "'!" &amp; J1510, J1510), "")</f>
        <v/>
      </c>
    </row>
    <row r="1511">
      <c r="B1511" s="21">
        <f>IF(AND(C1511&lt;&gt;"", J1511&lt;&gt;""), HYPERLINK("#'" &amp; C1511 &amp; "'!" &amp; J1511, J1511), "")</f>
        <v/>
      </c>
    </row>
    <row r="1512">
      <c r="B1512" s="21">
        <f>IF(AND(C1512&lt;&gt;"", J1512&lt;&gt;""), HYPERLINK("#'" &amp; C1512 &amp; "'!" &amp; J1512, J1512), "")</f>
        <v/>
      </c>
    </row>
    <row r="1513">
      <c r="B1513" s="21">
        <f>IF(AND(C1513&lt;&gt;"", J1513&lt;&gt;""), HYPERLINK("#'" &amp; C1513 &amp; "'!" &amp; J1513, J1513), "")</f>
        <v/>
      </c>
    </row>
    <row r="1514">
      <c r="B1514" s="21">
        <f>IF(AND(C1514&lt;&gt;"", J1514&lt;&gt;""), HYPERLINK("#'" &amp; C1514 &amp; "'!" &amp; J1514, J1514), "")</f>
        <v/>
      </c>
    </row>
    <row r="1515">
      <c r="B1515" s="21">
        <f>IF(AND(C1515&lt;&gt;"", J1515&lt;&gt;""), HYPERLINK("#'" &amp; C1515 &amp; "'!" &amp; J1515, J1515), "")</f>
        <v/>
      </c>
    </row>
    <row r="1516">
      <c r="B1516" s="21">
        <f>IF(AND(C1516&lt;&gt;"", J1516&lt;&gt;""), HYPERLINK("#'" &amp; C1516 &amp; "'!" &amp; J1516, J1516), "")</f>
        <v/>
      </c>
    </row>
    <row r="1517">
      <c r="B1517" s="21">
        <f>IF(AND(C1517&lt;&gt;"", J1517&lt;&gt;""), HYPERLINK("#'" &amp; C1517 &amp; "'!" &amp; J1517, J1517), "")</f>
        <v/>
      </c>
    </row>
    <row r="1518">
      <c r="B1518" s="21">
        <f>IF(AND(C1518&lt;&gt;"", J1518&lt;&gt;""), HYPERLINK("#'" &amp; C1518 &amp; "'!" &amp; J1518, J1518), "")</f>
        <v/>
      </c>
    </row>
    <row r="1519">
      <c r="B1519" s="21">
        <f>IF(AND(C1519&lt;&gt;"", J1519&lt;&gt;""), HYPERLINK("#'" &amp; C1519 &amp; "'!" &amp; J1519, J1519), "")</f>
        <v/>
      </c>
    </row>
    <row r="1520">
      <c r="B1520" s="21">
        <f>IF(AND(C1520&lt;&gt;"", J1520&lt;&gt;""), HYPERLINK("#'" &amp; C1520 &amp; "'!" &amp; J1520, J1520), "")</f>
        <v/>
      </c>
    </row>
    <row r="1521">
      <c r="B1521" s="21">
        <f>IF(AND(C1521&lt;&gt;"", J1521&lt;&gt;""), HYPERLINK("#'" &amp; C1521 &amp; "'!" &amp; J1521, J1521), "")</f>
        <v/>
      </c>
    </row>
    <row r="1522">
      <c r="B1522" s="21">
        <f>IF(AND(C1522&lt;&gt;"", J1522&lt;&gt;""), HYPERLINK("#'" &amp; C1522 &amp; "'!" &amp; J1522, J1522), "")</f>
        <v/>
      </c>
    </row>
    <row r="1523">
      <c r="B1523" s="21">
        <f>IF(AND(C1523&lt;&gt;"", J1523&lt;&gt;""), HYPERLINK("#'" &amp; C1523 &amp; "'!" &amp; J1523, J1523), "")</f>
        <v/>
      </c>
    </row>
    <row r="1524">
      <c r="B1524" s="21">
        <f>IF(AND(C1524&lt;&gt;"", J1524&lt;&gt;""), HYPERLINK("#'" &amp; C1524 &amp; "'!" &amp; J1524, J1524), "")</f>
        <v/>
      </c>
    </row>
    <row r="1525">
      <c r="B1525" s="21">
        <f>IF(AND(C1525&lt;&gt;"", J1525&lt;&gt;""), HYPERLINK("#'" &amp; C1525 &amp; "'!" &amp; J1525, J1525), "")</f>
        <v/>
      </c>
    </row>
    <row r="1526">
      <c r="B1526" s="21">
        <f>IF(AND(C1526&lt;&gt;"", J1526&lt;&gt;""), HYPERLINK("#'" &amp; C1526 &amp; "'!" &amp; J1526, J1526), "")</f>
        <v/>
      </c>
    </row>
    <row r="1527">
      <c r="B1527" s="21">
        <f>IF(AND(C1527&lt;&gt;"", J1527&lt;&gt;""), HYPERLINK("#'" &amp; C1527 &amp; "'!" &amp; J1527, J1527), "")</f>
        <v/>
      </c>
    </row>
    <row r="1528">
      <c r="B1528" s="21">
        <f>IF(AND(C1528&lt;&gt;"", J1528&lt;&gt;""), HYPERLINK("#'" &amp; C1528 &amp; "'!" &amp; J1528, J1528), "")</f>
        <v/>
      </c>
    </row>
    <row r="1529">
      <c r="B1529" s="21">
        <f>IF(AND(C1529&lt;&gt;"", J1529&lt;&gt;""), HYPERLINK("#'" &amp; C1529 &amp; "'!" &amp; J1529, J1529), "")</f>
        <v/>
      </c>
    </row>
    <row r="1530">
      <c r="B1530" s="21">
        <f>IF(AND(C1530&lt;&gt;"", J1530&lt;&gt;""), HYPERLINK("#'" &amp; C1530 &amp; "'!" &amp; J1530, J1530), "")</f>
        <v/>
      </c>
    </row>
    <row r="1531">
      <c r="B1531" s="21">
        <f>IF(AND(C1531&lt;&gt;"", J1531&lt;&gt;""), HYPERLINK("#'" &amp; C1531 &amp; "'!" &amp; J1531, J1531), "")</f>
        <v/>
      </c>
    </row>
    <row r="1532">
      <c r="B1532" s="21">
        <f>IF(AND(C1532&lt;&gt;"", J1532&lt;&gt;""), HYPERLINK("#'" &amp; C1532 &amp; "'!" &amp; J1532, J1532), "")</f>
        <v/>
      </c>
    </row>
    <row r="1533">
      <c r="B1533" s="21">
        <f>IF(AND(C1533&lt;&gt;"", J1533&lt;&gt;""), HYPERLINK("#'" &amp; C1533 &amp; "'!" &amp; J1533, J1533), "")</f>
        <v/>
      </c>
    </row>
    <row r="1534">
      <c r="B1534" s="21">
        <f>IF(AND(C1534&lt;&gt;"", J1534&lt;&gt;""), HYPERLINK("#'" &amp; C1534 &amp; "'!" &amp; J1534, J1534), "")</f>
        <v/>
      </c>
    </row>
    <row r="1535">
      <c r="B1535" s="21">
        <f>IF(AND(C1535&lt;&gt;"", J1535&lt;&gt;""), HYPERLINK("#'" &amp; C1535 &amp; "'!" &amp; J1535, J1535), "")</f>
        <v/>
      </c>
    </row>
    <row r="1536">
      <c r="B1536" s="21">
        <f>IF(AND(C1536&lt;&gt;"", J1536&lt;&gt;""), HYPERLINK("#'" &amp; C1536 &amp; "'!" &amp; J1536, J1536), "")</f>
        <v/>
      </c>
    </row>
    <row r="1537">
      <c r="B1537" s="21">
        <f>IF(AND(C1537&lt;&gt;"", J1537&lt;&gt;""), HYPERLINK("#'" &amp; C1537 &amp; "'!" &amp; J1537, J1537), "")</f>
        <v/>
      </c>
    </row>
    <row r="1538">
      <c r="B1538" s="21">
        <f>IF(AND(C1538&lt;&gt;"", J1538&lt;&gt;""), HYPERLINK("#'" &amp; C1538 &amp; "'!" &amp; J1538, J1538), "")</f>
        <v/>
      </c>
    </row>
    <row r="1539">
      <c r="B1539" s="21">
        <f>IF(AND(C1539&lt;&gt;"", J1539&lt;&gt;""), HYPERLINK("#'" &amp; C1539 &amp; "'!" &amp; J1539, J1539), "")</f>
        <v/>
      </c>
    </row>
    <row r="1540">
      <c r="B1540" s="21">
        <f>IF(AND(C1540&lt;&gt;"", J1540&lt;&gt;""), HYPERLINK("#'" &amp; C1540 &amp; "'!" &amp; J1540, J1540), "")</f>
        <v/>
      </c>
    </row>
    <row r="1541">
      <c r="B1541" s="21">
        <f>IF(AND(C1541&lt;&gt;"", J1541&lt;&gt;""), HYPERLINK("#'" &amp; C1541 &amp; "'!" &amp; J1541, J1541), "")</f>
        <v/>
      </c>
    </row>
    <row r="1542">
      <c r="B1542" s="21">
        <f>IF(AND(C1542&lt;&gt;"", J1542&lt;&gt;""), HYPERLINK("#'" &amp; C1542 &amp; "'!" &amp; J1542, J1542), "")</f>
        <v/>
      </c>
    </row>
    <row r="1543">
      <c r="B1543" s="21">
        <f>IF(AND(C1543&lt;&gt;"", J1543&lt;&gt;""), HYPERLINK("#'" &amp; C1543 &amp; "'!" &amp; J1543, J1543), "")</f>
        <v/>
      </c>
    </row>
    <row r="1544">
      <c r="B1544" s="21">
        <f>IF(AND(C1544&lt;&gt;"", J1544&lt;&gt;""), HYPERLINK("#'" &amp; C1544 &amp; "'!" &amp; J1544, J1544), "")</f>
        <v/>
      </c>
    </row>
    <row r="1545">
      <c r="B1545" s="21">
        <f>IF(AND(C1545&lt;&gt;"", J1545&lt;&gt;""), HYPERLINK("#'" &amp; C1545 &amp; "'!" &amp; J1545, J1545), "")</f>
        <v/>
      </c>
    </row>
    <row r="1546">
      <c r="B1546" s="21">
        <f>IF(AND(C1546&lt;&gt;"", J1546&lt;&gt;""), HYPERLINK("#'" &amp; C1546 &amp; "'!" &amp; J1546, J1546), "")</f>
        <v/>
      </c>
    </row>
    <row r="1547">
      <c r="B1547" s="21">
        <f>IF(AND(C1547&lt;&gt;"", J1547&lt;&gt;""), HYPERLINK("#'" &amp; C1547 &amp; "'!" &amp; J1547, J1547), "")</f>
        <v/>
      </c>
    </row>
    <row r="1548">
      <c r="B1548" s="21">
        <f>IF(AND(C1548&lt;&gt;"", J1548&lt;&gt;""), HYPERLINK("#'" &amp; C1548 &amp; "'!" &amp; J1548, J1548), "")</f>
        <v/>
      </c>
    </row>
    <row r="1549">
      <c r="B1549" s="21">
        <f>IF(AND(C1549&lt;&gt;"", J1549&lt;&gt;""), HYPERLINK("#'" &amp; C1549 &amp; "'!" &amp; J1549, J1549), "")</f>
        <v/>
      </c>
    </row>
    <row r="1550">
      <c r="B1550" s="21">
        <f>IF(AND(C1550&lt;&gt;"", J1550&lt;&gt;""), HYPERLINK("#'" &amp; C1550 &amp; "'!" &amp; J1550, J1550), "")</f>
        <v/>
      </c>
    </row>
    <row r="1551">
      <c r="B1551" s="21">
        <f>IF(AND(C1551&lt;&gt;"", J1551&lt;&gt;""), HYPERLINK("#'" &amp; C1551 &amp; "'!" &amp; J1551, J1551), "")</f>
        <v/>
      </c>
    </row>
    <row r="1552">
      <c r="B1552" s="21">
        <f>IF(AND(C1552&lt;&gt;"", J1552&lt;&gt;""), HYPERLINK("#'" &amp; C1552 &amp; "'!" &amp; J1552, J1552), "")</f>
        <v/>
      </c>
    </row>
    <row r="1553">
      <c r="B1553" s="21">
        <f>IF(AND(C1553&lt;&gt;"", J1553&lt;&gt;""), HYPERLINK("#'" &amp; C1553 &amp; "'!" &amp; J1553, J1553), "")</f>
        <v/>
      </c>
    </row>
    <row r="1554">
      <c r="B1554" s="21">
        <f>IF(AND(C1554&lt;&gt;"", J1554&lt;&gt;""), HYPERLINK("#'" &amp; C1554 &amp; "'!" &amp; J1554, J1554), "")</f>
        <v/>
      </c>
    </row>
    <row r="1555">
      <c r="B1555" s="21">
        <f>IF(AND(C1555&lt;&gt;"", J1555&lt;&gt;""), HYPERLINK("#'" &amp; C1555 &amp; "'!" &amp; J1555, J1555), "")</f>
        <v/>
      </c>
    </row>
    <row r="1556">
      <c r="B1556" s="21">
        <f>IF(AND(C1556&lt;&gt;"", J1556&lt;&gt;""), HYPERLINK("#'" &amp; C1556 &amp; "'!" &amp; J1556, J1556), "")</f>
        <v/>
      </c>
    </row>
    <row r="1557">
      <c r="B1557" s="21">
        <f>IF(AND(C1557&lt;&gt;"", J1557&lt;&gt;""), HYPERLINK("#'" &amp; C1557 &amp; "'!" &amp; J1557, J1557), "")</f>
        <v/>
      </c>
    </row>
    <row r="1558">
      <c r="B1558" s="21">
        <f>IF(AND(C1558&lt;&gt;"", J1558&lt;&gt;""), HYPERLINK("#'" &amp; C1558 &amp; "'!" &amp; J1558, J1558), "")</f>
        <v/>
      </c>
    </row>
    <row r="1559">
      <c r="B1559" s="21">
        <f>IF(AND(C1559&lt;&gt;"", J1559&lt;&gt;""), HYPERLINK("#'" &amp; C1559 &amp; "'!" &amp; J1559, J1559), "")</f>
        <v/>
      </c>
    </row>
    <row r="1560">
      <c r="B1560" s="21">
        <f>IF(AND(C1560&lt;&gt;"", J1560&lt;&gt;""), HYPERLINK("#'" &amp; C1560 &amp; "'!" &amp; J1560, J1560), "")</f>
        <v/>
      </c>
    </row>
    <row r="1561">
      <c r="B1561" s="21">
        <f>IF(AND(C1561&lt;&gt;"", J1561&lt;&gt;""), HYPERLINK("#'" &amp; C1561 &amp; "'!" &amp; J1561, J1561), "")</f>
        <v/>
      </c>
    </row>
    <row r="1562">
      <c r="B1562" s="21">
        <f>IF(AND(C1562&lt;&gt;"", J1562&lt;&gt;""), HYPERLINK("#'" &amp; C1562 &amp; "'!" &amp; J1562, J1562), "")</f>
        <v/>
      </c>
    </row>
    <row r="1563">
      <c r="B1563" s="21">
        <f>IF(AND(C1563&lt;&gt;"", J1563&lt;&gt;""), HYPERLINK("#'" &amp; C1563 &amp; "'!" &amp; J1563, J1563), "")</f>
        <v/>
      </c>
    </row>
    <row r="1564">
      <c r="B1564" s="21">
        <f>IF(AND(C1564&lt;&gt;"", J1564&lt;&gt;""), HYPERLINK("#'" &amp; C1564 &amp; "'!" &amp; J1564, J1564), "")</f>
        <v/>
      </c>
    </row>
    <row r="1565">
      <c r="B1565" s="21">
        <f>IF(AND(C1565&lt;&gt;"", J1565&lt;&gt;""), HYPERLINK("#'" &amp; C1565 &amp; "'!" &amp; J1565, J1565), "")</f>
        <v/>
      </c>
    </row>
    <row r="1566">
      <c r="B1566" s="21">
        <f>IF(AND(C1566&lt;&gt;"", J1566&lt;&gt;""), HYPERLINK("#'" &amp; C1566 &amp; "'!" &amp; J1566, J1566), "")</f>
        <v/>
      </c>
    </row>
    <row r="1567">
      <c r="B1567" s="21">
        <f>IF(AND(C1567&lt;&gt;"", J1567&lt;&gt;""), HYPERLINK("#'" &amp; C1567 &amp; "'!" &amp; J1567, J1567), "")</f>
        <v/>
      </c>
    </row>
    <row r="1568">
      <c r="B1568" s="21">
        <f>IF(AND(C1568&lt;&gt;"", J1568&lt;&gt;""), HYPERLINK("#'" &amp; C1568 &amp; "'!" &amp; J1568, J1568), "")</f>
        <v/>
      </c>
    </row>
    <row r="1569">
      <c r="B1569" s="21">
        <f>IF(AND(C1569&lt;&gt;"", J1569&lt;&gt;""), HYPERLINK("#'" &amp; C1569 &amp; "'!" &amp; J1569, J1569), "")</f>
        <v/>
      </c>
    </row>
    <row r="1570">
      <c r="B1570" s="21">
        <f>IF(AND(C1570&lt;&gt;"", J1570&lt;&gt;""), HYPERLINK("#'" &amp; C1570 &amp; "'!" &amp; J1570, J1570), "")</f>
        <v/>
      </c>
    </row>
    <row r="1571">
      <c r="B1571" s="21">
        <f>IF(AND(C1571&lt;&gt;"", J1571&lt;&gt;""), HYPERLINK("#'" &amp; C1571 &amp; "'!" &amp; J1571, J1571), "")</f>
        <v/>
      </c>
    </row>
    <row r="1572">
      <c r="B1572" s="21">
        <f>IF(AND(C1572&lt;&gt;"", J1572&lt;&gt;""), HYPERLINK("#'" &amp; C1572 &amp; "'!" &amp; J1572, J1572), "")</f>
        <v/>
      </c>
    </row>
    <row r="1573">
      <c r="B1573" s="21">
        <f>IF(AND(C1573&lt;&gt;"", J1573&lt;&gt;""), HYPERLINK("#'" &amp; C1573 &amp; "'!" &amp; J1573, J1573), "")</f>
        <v/>
      </c>
    </row>
    <row r="1574">
      <c r="B1574" s="21">
        <f>IF(AND(C1574&lt;&gt;"", J1574&lt;&gt;""), HYPERLINK("#'" &amp; C1574 &amp; "'!" &amp; J1574, J1574), "")</f>
        <v/>
      </c>
    </row>
    <row r="1575">
      <c r="B1575" s="21">
        <f>IF(AND(C1575&lt;&gt;"", J1575&lt;&gt;""), HYPERLINK("#'" &amp; C1575 &amp; "'!" &amp; J1575, J1575), "")</f>
        <v/>
      </c>
    </row>
    <row r="1576">
      <c r="B1576" s="21">
        <f>IF(AND(C1576&lt;&gt;"", J1576&lt;&gt;""), HYPERLINK("#'" &amp; C1576 &amp; "'!" &amp; J1576, J1576), "")</f>
        <v/>
      </c>
    </row>
    <row r="1577">
      <c r="B1577" s="21">
        <f>IF(AND(C1577&lt;&gt;"", J1577&lt;&gt;""), HYPERLINK("#'" &amp; C1577 &amp; "'!" &amp; J1577, J1577), "")</f>
        <v/>
      </c>
    </row>
    <row r="1578">
      <c r="B1578" s="21">
        <f>IF(AND(C1578&lt;&gt;"", J1578&lt;&gt;""), HYPERLINK("#'" &amp; C1578 &amp; "'!" &amp; J1578, J1578), "")</f>
        <v/>
      </c>
    </row>
    <row r="1579">
      <c r="B1579" s="21">
        <f>IF(AND(C1579&lt;&gt;"", J1579&lt;&gt;""), HYPERLINK("#'" &amp; C1579 &amp; "'!" &amp; J1579, J1579), "")</f>
        <v/>
      </c>
    </row>
    <row r="1580">
      <c r="B1580" s="21">
        <f>IF(AND(C1580&lt;&gt;"", J1580&lt;&gt;""), HYPERLINK("#'" &amp; C1580 &amp; "'!" &amp; J1580, J1580), "")</f>
        <v/>
      </c>
    </row>
    <row r="1581">
      <c r="B1581" s="21">
        <f>IF(AND(C1581&lt;&gt;"", J1581&lt;&gt;""), HYPERLINK("#'" &amp; C1581 &amp; "'!" &amp; J1581, J1581), "")</f>
        <v/>
      </c>
    </row>
    <row r="1582">
      <c r="B1582" s="21">
        <f>IF(AND(C1582&lt;&gt;"", J1582&lt;&gt;""), HYPERLINK("#'" &amp; C1582 &amp; "'!" &amp; J1582, J1582), "")</f>
        <v/>
      </c>
    </row>
    <row r="1583">
      <c r="B1583" s="21">
        <f>IF(AND(C1583&lt;&gt;"", J1583&lt;&gt;""), HYPERLINK("#'" &amp; C1583 &amp; "'!" &amp; J1583, J1583), "")</f>
        <v/>
      </c>
    </row>
    <row r="1584">
      <c r="B1584" s="21">
        <f>IF(AND(C1584&lt;&gt;"", J1584&lt;&gt;""), HYPERLINK("#'" &amp; C1584 &amp; "'!" &amp; J1584, J1584), "")</f>
        <v/>
      </c>
    </row>
    <row r="1585">
      <c r="B1585" s="21">
        <f>IF(AND(C1585&lt;&gt;"", J1585&lt;&gt;""), HYPERLINK("#'" &amp; C1585 &amp; "'!" &amp; J1585, J1585), "")</f>
        <v/>
      </c>
    </row>
    <row r="1586">
      <c r="B1586" s="21">
        <f>IF(AND(C1586&lt;&gt;"", J1586&lt;&gt;""), HYPERLINK("#'" &amp; C1586 &amp; "'!" &amp; J1586, J1586), "")</f>
        <v/>
      </c>
    </row>
    <row r="1587">
      <c r="B1587" s="21">
        <f>IF(AND(C1587&lt;&gt;"", J1587&lt;&gt;""), HYPERLINK("#'" &amp; C1587 &amp; "'!" &amp; J1587, J1587), "")</f>
        <v/>
      </c>
    </row>
    <row r="1588">
      <c r="B1588" s="21">
        <f>IF(AND(C1588&lt;&gt;"", J1588&lt;&gt;""), HYPERLINK("#'" &amp; C1588 &amp; "'!" &amp; J1588, J1588), "")</f>
        <v/>
      </c>
    </row>
    <row r="1589">
      <c r="B1589" s="21">
        <f>IF(AND(C1589&lt;&gt;"", J1589&lt;&gt;""), HYPERLINK("#'" &amp; C1589 &amp; "'!" &amp; J1589, J1589), "")</f>
        <v/>
      </c>
    </row>
    <row r="1590">
      <c r="B1590" s="21">
        <f>IF(AND(C1590&lt;&gt;"", J1590&lt;&gt;""), HYPERLINK("#'" &amp; C1590 &amp; "'!" &amp; J1590, J1590), "")</f>
        <v/>
      </c>
    </row>
    <row r="1591">
      <c r="B1591" s="21">
        <f>IF(AND(C1591&lt;&gt;"", J1591&lt;&gt;""), HYPERLINK("#'" &amp; C1591 &amp; "'!" &amp; J1591, J1591), "")</f>
        <v/>
      </c>
    </row>
    <row r="1592">
      <c r="B1592" s="21">
        <f>IF(AND(C1592&lt;&gt;"", J1592&lt;&gt;""), HYPERLINK("#'" &amp; C1592 &amp; "'!" &amp; J1592, J1592), "")</f>
        <v/>
      </c>
    </row>
    <row r="1593">
      <c r="B1593" s="21">
        <f>IF(AND(C1593&lt;&gt;"", J1593&lt;&gt;""), HYPERLINK("#'" &amp; C1593 &amp; "'!" &amp; J1593, J1593), "")</f>
        <v/>
      </c>
    </row>
    <row r="1594">
      <c r="B1594" s="21">
        <f>IF(AND(C1594&lt;&gt;"", J1594&lt;&gt;""), HYPERLINK("#'" &amp; C1594 &amp; "'!" &amp; J1594, J1594), "")</f>
        <v/>
      </c>
    </row>
    <row r="1595">
      <c r="B1595" s="21">
        <f>IF(AND(C1595&lt;&gt;"", J1595&lt;&gt;""), HYPERLINK("#'" &amp; C1595 &amp; "'!" &amp; J1595, J1595), "")</f>
        <v/>
      </c>
    </row>
    <row r="1596">
      <c r="B1596" s="21">
        <f>IF(AND(C1596&lt;&gt;"", J1596&lt;&gt;""), HYPERLINK("#'" &amp; C1596 &amp; "'!" &amp; J1596, J1596), "")</f>
        <v/>
      </c>
    </row>
    <row r="1597">
      <c r="B1597" s="21">
        <f>IF(AND(C1597&lt;&gt;"", J1597&lt;&gt;""), HYPERLINK("#'" &amp; C1597 &amp; "'!" &amp; J1597, J1597), "")</f>
        <v/>
      </c>
    </row>
    <row r="1598">
      <c r="B1598" s="21">
        <f>IF(AND(C1598&lt;&gt;"", J1598&lt;&gt;""), HYPERLINK("#'" &amp; C1598 &amp; "'!" &amp; J1598, J1598), "")</f>
        <v/>
      </c>
    </row>
    <row r="1599">
      <c r="B1599" s="21">
        <f>IF(AND(C1599&lt;&gt;"", J1599&lt;&gt;""), HYPERLINK("#'" &amp; C1599 &amp; "'!" &amp; J1599, J1599), "")</f>
        <v/>
      </c>
    </row>
    <row r="1600">
      <c r="B1600" s="21">
        <f>IF(AND(C1600&lt;&gt;"", J1600&lt;&gt;""), HYPERLINK("#'" &amp; C1600 &amp; "'!" &amp; J1600, J1600), "")</f>
        <v/>
      </c>
    </row>
    <row r="1601">
      <c r="B1601" s="21">
        <f>IF(AND(C1601&lt;&gt;"", J1601&lt;&gt;""), HYPERLINK("#'" &amp; C1601 &amp; "'!" &amp; J1601, J1601), "")</f>
        <v/>
      </c>
    </row>
    <row r="1602">
      <c r="B1602" s="21">
        <f>IF(AND(C1602&lt;&gt;"", J1602&lt;&gt;""), HYPERLINK("#'" &amp; C1602 &amp; "'!" &amp; J1602, J1602), "")</f>
        <v/>
      </c>
    </row>
    <row r="1603">
      <c r="B1603" s="21">
        <f>IF(AND(C1603&lt;&gt;"", J1603&lt;&gt;""), HYPERLINK("#'" &amp; C1603 &amp; "'!" &amp; J1603, J1603), "")</f>
        <v/>
      </c>
    </row>
    <row r="1604">
      <c r="B1604" s="21">
        <f>IF(AND(C1604&lt;&gt;"", J1604&lt;&gt;""), HYPERLINK("#'" &amp; C1604 &amp; "'!" &amp; J1604, J1604), "")</f>
        <v/>
      </c>
    </row>
    <row r="1605">
      <c r="B1605" s="21">
        <f>IF(AND(C1605&lt;&gt;"", J1605&lt;&gt;""), HYPERLINK("#'" &amp; C1605 &amp; "'!" &amp; J1605, J1605), "")</f>
        <v/>
      </c>
    </row>
    <row r="1606">
      <c r="B1606" s="21">
        <f>IF(AND(C1606&lt;&gt;"", J1606&lt;&gt;""), HYPERLINK("#'" &amp; C1606 &amp; "'!" &amp; J1606, J1606), "")</f>
        <v/>
      </c>
    </row>
    <row r="1607">
      <c r="B1607" s="21">
        <f>IF(AND(C1607&lt;&gt;"", J1607&lt;&gt;""), HYPERLINK("#'" &amp; C1607 &amp; "'!" &amp; J1607, J1607), "")</f>
        <v/>
      </c>
    </row>
    <row r="1608">
      <c r="B1608" s="21">
        <f>IF(AND(C1608&lt;&gt;"", J1608&lt;&gt;""), HYPERLINK("#'" &amp; C1608 &amp; "'!" &amp; J1608, J1608), "")</f>
        <v/>
      </c>
    </row>
    <row r="1609">
      <c r="B1609" s="21">
        <f>IF(AND(C1609&lt;&gt;"", J1609&lt;&gt;""), HYPERLINK("#'" &amp; C1609 &amp; "'!" &amp; J1609, J1609), "")</f>
        <v/>
      </c>
    </row>
    <row r="1610">
      <c r="B1610" s="21">
        <f>IF(AND(C1610&lt;&gt;"", J1610&lt;&gt;""), HYPERLINK("#'" &amp; C1610 &amp; "'!" &amp; J1610, J1610), "")</f>
        <v/>
      </c>
    </row>
    <row r="1611">
      <c r="B1611" s="21">
        <f>IF(AND(C1611&lt;&gt;"", J1611&lt;&gt;""), HYPERLINK("#'" &amp; C1611 &amp; "'!" &amp; J1611, J1611), "")</f>
        <v/>
      </c>
    </row>
    <row r="1612">
      <c r="B1612" s="21">
        <f>IF(AND(C1612&lt;&gt;"", J1612&lt;&gt;""), HYPERLINK("#'" &amp; C1612 &amp; "'!" &amp; J1612, J1612), "")</f>
        <v/>
      </c>
    </row>
    <row r="1613">
      <c r="B1613" s="21">
        <f>IF(AND(C1613&lt;&gt;"", J1613&lt;&gt;""), HYPERLINK("#'" &amp; C1613 &amp; "'!" &amp; J1613, J1613), "")</f>
        <v/>
      </c>
    </row>
    <row r="1614">
      <c r="B1614" s="21">
        <f>IF(AND(C1614&lt;&gt;"", J1614&lt;&gt;""), HYPERLINK("#'" &amp; C1614 &amp; "'!" &amp; J1614, J1614), "")</f>
        <v/>
      </c>
    </row>
    <row r="1615">
      <c r="B1615" s="21">
        <f>IF(AND(C1615&lt;&gt;"", J1615&lt;&gt;""), HYPERLINK("#'" &amp; C1615 &amp; "'!" &amp; J1615, J1615), "")</f>
        <v/>
      </c>
    </row>
    <row r="1616">
      <c r="B1616" s="21">
        <f>IF(AND(C1616&lt;&gt;"", J1616&lt;&gt;""), HYPERLINK("#'" &amp; C1616 &amp; "'!" &amp; J1616, J1616), "")</f>
        <v/>
      </c>
    </row>
    <row r="1617">
      <c r="B1617" s="21">
        <f>IF(AND(C1617&lt;&gt;"", J1617&lt;&gt;""), HYPERLINK("#'" &amp; C1617 &amp; "'!" &amp; J1617, J1617), "")</f>
        <v/>
      </c>
    </row>
    <row r="1618">
      <c r="B1618" s="21">
        <f>IF(AND(C1618&lt;&gt;"", J1618&lt;&gt;""), HYPERLINK("#'" &amp; C1618 &amp; "'!" &amp; J1618, J1618), "")</f>
        <v/>
      </c>
    </row>
    <row r="1619">
      <c r="B1619" s="21">
        <f>IF(AND(C1619&lt;&gt;"", J1619&lt;&gt;""), HYPERLINK("#'" &amp; C1619 &amp; "'!" &amp; J1619, J1619), "")</f>
        <v/>
      </c>
    </row>
    <row r="1620">
      <c r="B1620" s="21">
        <f>IF(AND(C1620&lt;&gt;"", J1620&lt;&gt;""), HYPERLINK("#'" &amp; C1620 &amp; "'!" &amp; J1620, J1620), "")</f>
        <v/>
      </c>
    </row>
    <row r="1621">
      <c r="B1621" s="21">
        <f>IF(AND(C1621&lt;&gt;"", J1621&lt;&gt;""), HYPERLINK("#'" &amp; C1621 &amp; "'!" &amp; J1621, J1621), "")</f>
        <v/>
      </c>
    </row>
    <row r="1622">
      <c r="B1622" s="21">
        <f>IF(AND(C1622&lt;&gt;"", J1622&lt;&gt;""), HYPERLINK("#'" &amp; C1622 &amp; "'!" &amp; J1622, J1622), "")</f>
        <v/>
      </c>
    </row>
    <row r="1623">
      <c r="B1623" s="21">
        <f>IF(AND(C1623&lt;&gt;"", J1623&lt;&gt;""), HYPERLINK("#'" &amp; C1623 &amp; "'!" &amp; J1623, J1623), "")</f>
        <v/>
      </c>
    </row>
    <row r="1624">
      <c r="B1624" s="21">
        <f>IF(AND(C1624&lt;&gt;"", J1624&lt;&gt;""), HYPERLINK("#'" &amp; C1624 &amp; "'!" &amp; J1624, J1624), "")</f>
        <v/>
      </c>
    </row>
    <row r="1625">
      <c r="B1625" s="21">
        <f>IF(AND(C1625&lt;&gt;"", J1625&lt;&gt;""), HYPERLINK("#'" &amp; C1625 &amp; "'!" &amp; J1625, J1625), "")</f>
        <v/>
      </c>
    </row>
    <row r="1626">
      <c r="B1626" s="21">
        <f>IF(AND(C1626&lt;&gt;"", J1626&lt;&gt;""), HYPERLINK("#'" &amp; C1626 &amp; "'!" &amp; J1626, J1626), "")</f>
        <v/>
      </c>
    </row>
    <row r="1627">
      <c r="B1627" s="21">
        <f>IF(AND(C1627&lt;&gt;"", J1627&lt;&gt;""), HYPERLINK("#'" &amp; C1627 &amp; "'!" &amp; J1627, J1627), "")</f>
        <v/>
      </c>
    </row>
    <row r="1628">
      <c r="B1628" s="21">
        <f>IF(AND(C1628&lt;&gt;"", J1628&lt;&gt;""), HYPERLINK("#'" &amp; C1628 &amp; "'!" &amp; J1628, J1628), "")</f>
        <v/>
      </c>
    </row>
    <row r="1629">
      <c r="B1629" s="21">
        <f>IF(AND(C1629&lt;&gt;"", J1629&lt;&gt;""), HYPERLINK("#'" &amp; C1629 &amp; "'!" &amp; J1629, J1629), "")</f>
        <v/>
      </c>
    </row>
    <row r="1630">
      <c r="B1630" s="21">
        <f>IF(AND(C1630&lt;&gt;"", J1630&lt;&gt;""), HYPERLINK("#'" &amp; C1630 &amp; "'!" &amp; J1630, J1630), "")</f>
        <v/>
      </c>
    </row>
    <row r="1631">
      <c r="B1631" s="21">
        <f>IF(AND(C1631&lt;&gt;"", J1631&lt;&gt;""), HYPERLINK("#'" &amp; C1631 &amp; "'!" &amp; J1631, J1631), "")</f>
        <v/>
      </c>
    </row>
    <row r="1632">
      <c r="B1632" s="21">
        <f>IF(AND(C1632&lt;&gt;"", J1632&lt;&gt;""), HYPERLINK("#'" &amp; C1632 &amp; "'!" &amp; J1632, J1632), "")</f>
        <v/>
      </c>
    </row>
    <row r="1633">
      <c r="B1633" s="21">
        <f>IF(AND(C1633&lt;&gt;"", J1633&lt;&gt;""), HYPERLINK("#'" &amp; C1633 &amp; "'!" &amp; J1633, J1633), "")</f>
        <v/>
      </c>
    </row>
    <row r="1634">
      <c r="B1634" s="21">
        <f>IF(AND(C1634&lt;&gt;"", J1634&lt;&gt;""), HYPERLINK("#'" &amp; C1634 &amp; "'!" &amp; J1634, J1634), "")</f>
        <v/>
      </c>
    </row>
    <row r="1635">
      <c r="B1635" s="21">
        <f>IF(AND(C1635&lt;&gt;"", J1635&lt;&gt;""), HYPERLINK("#'" &amp; C1635 &amp; "'!" &amp; J1635, J1635), "")</f>
        <v/>
      </c>
    </row>
    <row r="1636">
      <c r="B1636" s="21">
        <f>IF(AND(C1636&lt;&gt;"", J1636&lt;&gt;""), HYPERLINK("#'" &amp; C1636 &amp; "'!" &amp; J1636, J1636), "")</f>
        <v/>
      </c>
    </row>
    <row r="1637">
      <c r="B1637" s="21">
        <f>IF(AND(C1637&lt;&gt;"", J1637&lt;&gt;""), HYPERLINK("#'" &amp; C1637 &amp; "'!" &amp; J1637, J1637), "")</f>
        <v/>
      </c>
    </row>
    <row r="1638">
      <c r="B1638" s="21">
        <f>IF(AND(C1638&lt;&gt;"", J1638&lt;&gt;""), HYPERLINK("#'" &amp; C1638 &amp; "'!" &amp; J1638, J1638), "")</f>
        <v/>
      </c>
    </row>
    <row r="1639">
      <c r="B1639" s="21">
        <f>IF(AND(C1639&lt;&gt;"", J1639&lt;&gt;""), HYPERLINK("#'" &amp; C1639 &amp; "'!" &amp; J1639, J1639), "")</f>
        <v/>
      </c>
    </row>
    <row r="1640">
      <c r="B1640" s="21">
        <f>IF(AND(C1640&lt;&gt;"", J1640&lt;&gt;""), HYPERLINK("#'" &amp; C1640 &amp; "'!" &amp; J1640, J1640), "")</f>
        <v/>
      </c>
    </row>
    <row r="1641">
      <c r="B1641" s="21">
        <f>IF(AND(C1641&lt;&gt;"", J1641&lt;&gt;""), HYPERLINK("#'" &amp; C1641 &amp; "'!" &amp; J1641, J1641), "")</f>
        <v/>
      </c>
    </row>
    <row r="1642">
      <c r="B1642" s="21">
        <f>IF(AND(C1642&lt;&gt;"", J1642&lt;&gt;""), HYPERLINK("#'" &amp; C1642 &amp; "'!" &amp; J1642, J1642), "")</f>
        <v/>
      </c>
    </row>
    <row r="1643">
      <c r="B1643" s="21">
        <f>IF(AND(C1643&lt;&gt;"", J1643&lt;&gt;""), HYPERLINK("#'" &amp; C1643 &amp; "'!" &amp; J1643, J1643), "")</f>
        <v/>
      </c>
    </row>
    <row r="1644">
      <c r="B1644" s="21">
        <f>IF(AND(C1644&lt;&gt;"", J1644&lt;&gt;""), HYPERLINK("#'" &amp; C1644 &amp; "'!" &amp; J1644, J1644), "")</f>
        <v/>
      </c>
    </row>
    <row r="1645">
      <c r="B1645" s="21">
        <f>IF(AND(C1645&lt;&gt;"", J1645&lt;&gt;""), HYPERLINK("#'" &amp; C1645 &amp; "'!" &amp; J1645, J1645), "")</f>
        <v/>
      </c>
    </row>
    <row r="1646">
      <c r="B1646" s="21">
        <f>IF(AND(C1646&lt;&gt;"", J1646&lt;&gt;""), HYPERLINK("#'" &amp; C1646 &amp; "'!" &amp; J1646, J1646), "")</f>
        <v/>
      </c>
    </row>
    <row r="1647">
      <c r="B1647" s="21">
        <f>IF(AND(C1647&lt;&gt;"", J1647&lt;&gt;""), HYPERLINK("#'" &amp; C1647 &amp; "'!" &amp; J1647, J1647), "")</f>
        <v/>
      </c>
    </row>
    <row r="1648">
      <c r="B1648" s="21">
        <f>IF(AND(C1648&lt;&gt;"", J1648&lt;&gt;""), HYPERLINK("#'" &amp; C1648 &amp; "'!" &amp; J1648, J1648), "")</f>
        <v/>
      </c>
    </row>
    <row r="1649">
      <c r="B1649" s="21">
        <f>IF(AND(C1649&lt;&gt;"", J1649&lt;&gt;""), HYPERLINK("#'" &amp; C1649 &amp; "'!" &amp; J1649, J1649), "")</f>
        <v/>
      </c>
    </row>
    <row r="1650">
      <c r="B1650" s="21">
        <f>IF(AND(C1650&lt;&gt;"", J1650&lt;&gt;""), HYPERLINK("#'" &amp; C1650 &amp; "'!" &amp; J1650, J1650), "")</f>
        <v/>
      </c>
    </row>
    <row r="1651">
      <c r="B1651" s="21">
        <f>IF(AND(C1651&lt;&gt;"", J1651&lt;&gt;""), HYPERLINK("#'" &amp; C1651 &amp; "'!" &amp; J1651, J1651), "")</f>
        <v/>
      </c>
    </row>
    <row r="1652">
      <c r="B1652" s="21">
        <f>IF(AND(C1652&lt;&gt;"", J1652&lt;&gt;""), HYPERLINK("#'" &amp; C1652 &amp; "'!" &amp; J1652, J1652), "")</f>
        <v/>
      </c>
    </row>
    <row r="1653">
      <c r="B1653" s="21">
        <f>IF(AND(C1653&lt;&gt;"", J1653&lt;&gt;""), HYPERLINK("#'" &amp; C1653 &amp; "'!" &amp; J1653, J1653), "")</f>
        <v/>
      </c>
    </row>
    <row r="1654">
      <c r="B1654" s="21">
        <f>IF(AND(C1654&lt;&gt;"", J1654&lt;&gt;""), HYPERLINK("#'" &amp; C1654 &amp; "'!" &amp; J1654, J1654), "")</f>
        <v/>
      </c>
    </row>
    <row r="1655">
      <c r="B1655" s="21">
        <f>IF(AND(C1655&lt;&gt;"", J1655&lt;&gt;""), HYPERLINK("#'" &amp; C1655 &amp; "'!" &amp; J1655, J1655), "")</f>
        <v/>
      </c>
    </row>
    <row r="1656">
      <c r="B1656" s="21">
        <f>IF(AND(C1656&lt;&gt;"", J1656&lt;&gt;""), HYPERLINK("#'" &amp; C1656 &amp; "'!" &amp; J1656, J1656), "")</f>
        <v/>
      </c>
    </row>
    <row r="1657">
      <c r="B1657" s="21">
        <f>IF(AND(C1657&lt;&gt;"", J1657&lt;&gt;""), HYPERLINK("#'" &amp; C1657 &amp; "'!" &amp; J1657, J1657), "")</f>
        <v/>
      </c>
    </row>
    <row r="1658">
      <c r="B1658" s="21">
        <f>IF(AND(C1658&lt;&gt;"", J1658&lt;&gt;""), HYPERLINK("#'" &amp; C1658 &amp; "'!" &amp; J1658, J1658), "")</f>
        <v/>
      </c>
    </row>
    <row r="1659">
      <c r="B1659" s="21">
        <f>IF(AND(C1659&lt;&gt;"", J1659&lt;&gt;""), HYPERLINK("#'" &amp; C1659 &amp; "'!" &amp; J1659, J1659), "")</f>
        <v/>
      </c>
    </row>
    <row r="1660">
      <c r="B1660" s="21">
        <f>IF(AND(C1660&lt;&gt;"", J1660&lt;&gt;""), HYPERLINK("#'" &amp; C1660 &amp; "'!" &amp; J1660, J1660), "")</f>
        <v/>
      </c>
    </row>
    <row r="1661">
      <c r="B1661" s="21">
        <f>IF(AND(C1661&lt;&gt;"", J1661&lt;&gt;""), HYPERLINK("#'" &amp; C1661 &amp; "'!" &amp; J1661, J1661), "")</f>
        <v/>
      </c>
    </row>
    <row r="1662">
      <c r="B1662" s="21">
        <f>IF(AND(C1662&lt;&gt;"", J1662&lt;&gt;""), HYPERLINK("#'" &amp; C1662 &amp; "'!" &amp; J1662, J1662), "")</f>
        <v/>
      </c>
    </row>
    <row r="1663">
      <c r="B1663" s="21">
        <f>IF(AND(C1663&lt;&gt;"", J1663&lt;&gt;""), HYPERLINK("#'" &amp; C1663 &amp; "'!" &amp; J1663, J1663), "")</f>
        <v/>
      </c>
    </row>
    <row r="1664">
      <c r="B1664" s="21">
        <f>IF(AND(C1664&lt;&gt;"", J1664&lt;&gt;""), HYPERLINK("#'" &amp; C1664 &amp; "'!" &amp; J1664, J1664), "")</f>
        <v/>
      </c>
    </row>
    <row r="1665">
      <c r="B1665" s="21">
        <f>IF(AND(C1665&lt;&gt;"", J1665&lt;&gt;""), HYPERLINK("#'" &amp; C1665 &amp; "'!" &amp; J1665, J1665), "")</f>
        <v/>
      </c>
    </row>
    <row r="1666">
      <c r="B1666" s="21">
        <f>IF(AND(C1666&lt;&gt;"", J1666&lt;&gt;""), HYPERLINK("#'" &amp; C1666 &amp; "'!" &amp; J1666, J1666), "")</f>
        <v/>
      </c>
    </row>
    <row r="1667">
      <c r="B1667" s="21">
        <f>IF(AND(C1667&lt;&gt;"", J1667&lt;&gt;""), HYPERLINK("#'" &amp; C1667 &amp; "'!" &amp; J1667, J1667), "")</f>
        <v/>
      </c>
    </row>
    <row r="1668">
      <c r="B1668" s="21">
        <f>IF(AND(C1668&lt;&gt;"", J1668&lt;&gt;""), HYPERLINK("#'" &amp; C1668 &amp; "'!" &amp; J1668, J1668), "")</f>
        <v/>
      </c>
    </row>
    <row r="1669">
      <c r="B1669" s="21">
        <f>IF(AND(C1669&lt;&gt;"", J1669&lt;&gt;""), HYPERLINK("#'" &amp; C1669 &amp; "'!" &amp; J1669, J1669), "")</f>
        <v/>
      </c>
    </row>
    <row r="1670">
      <c r="B1670" s="21">
        <f>IF(AND(C1670&lt;&gt;"", J1670&lt;&gt;""), HYPERLINK("#'" &amp; C1670 &amp; "'!" &amp; J1670, J1670), "")</f>
        <v/>
      </c>
    </row>
    <row r="1671">
      <c r="B1671" s="21">
        <f>IF(AND(C1671&lt;&gt;"", J1671&lt;&gt;""), HYPERLINK("#'" &amp; C1671 &amp; "'!" &amp; J1671, J1671), "")</f>
        <v/>
      </c>
    </row>
    <row r="1672">
      <c r="B1672" s="21">
        <f>IF(AND(C1672&lt;&gt;"", J1672&lt;&gt;""), HYPERLINK("#'" &amp; C1672 &amp; "'!" &amp; J1672, J1672), "")</f>
        <v/>
      </c>
    </row>
    <row r="1673">
      <c r="B1673" s="21">
        <f>IF(AND(C1673&lt;&gt;"", J1673&lt;&gt;""), HYPERLINK("#'" &amp; C1673 &amp; "'!" &amp; J1673, J1673), "")</f>
        <v/>
      </c>
    </row>
    <row r="1674">
      <c r="B1674" s="21">
        <f>IF(AND(C1674&lt;&gt;"", J1674&lt;&gt;""), HYPERLINK("#'" &amp; C1674 &amp; "'!" &amp; J1674, J1674), "")</f>
        <v/>
      </c>
    </row>
    <row r="1675">
      <c r="B1675" s="21">
        <f>IF(AND(C1675&lt;&gt;"", J1675&lt;&gt;""), HYPERLINK("#'" &amp; C1675 &amp; "'!" &amp; J1675, J1675), "")</f>
        <v/>
      </c>
    </row>
    <row r="1676">
      <c r="B1676" s="21">
        <f>IF(AND(C1676&lt;&gt;"", J1676&lt;&gt;""), HYPERLINK("#'" &amp; C1676 &amp; "'!" &amp; J1676, J1676), "")</f>
        <v/>
      </c>
    </row>
    <row r="1677">
      <c r="B1677" s="21">
        <f>IF(AND(C1677&lt;&gt;"", J1677&lt;&gt;""), HYPERLINK("#'" &amp; C1677 &amp; "'!" &amp; J1677, J1677), "")</f>
        <v/>
      </c>
    </row>
    <row r="1678">
      <c r="B1678" s="21">
        <f>IF(AND(C1678&lt;&gt;"", J1678&lt;&gt;""), HYPERLINK("#'" &amp; C1678 &amp; "'!" &amp; J1678, J1678), "")</f>
        <v/>
      </c>
    </row>
    <row r="1679">
      <c r="B1679" s="21">
        <f>IF(AND(C1679&lt;&gt;"", J1679&lt;&gt;""), HYPERLINK("#'" &amp; C1679 &amp; "'!" &amp; J1679, J1679), "")</f>
        <v/>
      </c>
    </row>
    <row r="1680">
      <c r="B1680" s="21">
        <f>IF(AND(C1680&lt;&gt;"", J1680&lt;&gt;""), HYPERLINK("#'" &amp; C1680 &amp; "'!" &amp; J1680, J1680), "")</f>
        <v/>
      </c>
    </row>
    <row r="1681">
      <c r="B1681" s="21">
        <f>IF(AND(C1681&lt;&gt;"", J1681&lt;&gt;""), HYPERLINK("#'" &amp; C1681 &amp; "'!" &amp; J1681, J1681), "")</f>
        <v/>
      </c>
    </row>
    <row r="1682">
      <c r="B1682" s="21">
        <f>IF(AND(C1682&lt;&gt;"", J1682&lt;&gt;""), HYPERLINK("#'" &amp; C1682 &amp; "'!" &amp; J1682, J1682), "")</f>
        <v/>
      </c>
    </row>
    <row r="1683">
      <c r="B1683" s="21">
        <f>IF(AND(C1683&lt;&gt;"", J1683&lt;&gt;""), HYPERLINK("#'" &amp; C1683 &amp; "'!" &amp; J1683, J1683), "")</f>
        <v/>
      </c>
    </row>
    <row r="1684">
      <c r="B1684" s="21">
        <f>IF(AND(C1684&lt;&gt;"", J1684&lt;&gt;""), HYPERLINK("#'" &amp; C1684 &amp; "'!" &amp; J1684, J1684), "")</f>
        <v/>
      </c>
    </row>
    <row r="1685">
      <c r="B1685" s="21">
        <f>IF(AND(C1685&lt;&gt;"", J1685&lt;&gt;""), HYPERLINK("#'" &amp; C1685 &amp; "'!" &amp; J1685, J1685), "")</f>
        <v/>
      </c>
    </row>
    <row r="1686">
      <c r="B1686" s="21">
        <f>IF(AND(C1686&lt;&gt;"", J1686&lt;&gt;""), HYPERLINK("#'" &amp; C1686 &amp; "'!" &amp; J1686, J1686), "")</f>
        <v/>
      </c>
    </row>
    <row r="1687">
      <c r="B1687" s="21">
        <f>IF(AND(C1687&lt;&gt;"", J1687&lt;&gt;""), HYPERLINK("#'" &amp; C1687 &amp; "'!" &amp; J1687, J1687), "")</f>
        <v/>
      </c>
    </row>
    <row r="1688">
      <c r="B1688" s="21">
        <f>IF(AND(C1688&lt;&gt;"", J1688&lt;&gt;""), HYPERLINK("#'" &amp; C1688 &amp; "'!" &amp; J1688, J1688), "")</f>
        <v/>
      </c>
    </row>
    <row r="1689">
      <c r="B1689" s="21">
        <f>IF(AND(C1689&lt;&gt;"", J1689&lt;&gt;""), HYPERLINK("#'" &amp; C1689 &amp; "'!" &amp; J1689, J1689), "")</f>
        <v/>
      </c>
    </row>
    <row r="1690">
      <c r="B1690" s="21">
        <f>IF(AND(C1690&lt;&gt;"", J1690&lt;&gt;""), HYPERLINK("#'" &amp; C1690 &amp; "'!" &amp; J1690, J1690), "")</f>
        <v/>
      </c>
    </row>
    <row r="1691">
      <c r="B1691" s="21">
        <f>IF(AND(C1691&lt;&gt;"", J1691&lt;&gt;""), HYPERLINK("#'" &amp; C1691 &amp; "'!" &amp; J1691, J1691), "")</f>
        <v/>
      </c>
    </row>
    <row r="1692">
      <c r="B1692" s="21">
        <f>IF(AND(C1692&lt;&gt;"", J1692&lt;&gt;""), HYPERLINK("#'" &amp; C1692 &amp; "'!" &amp; J1692, J1692), "")</f>
        <v/>
      </c>
    </row>
    <row r="1693">
      <c r="B1693" s="21">
        <f>IF(AND(C1693&lt;&gt;"", J1693&lt;&gt;""), HYPERLINK("#'" &amp; C1693 &amp; "'!" &amp; J1693, J1693), "")</f>
        <v/>
      </c>
    </row>
    <row r="1694">
      <c r="B1694" s="21">
        <f>IF(AND(C1694&lt;&gt;"", J1694&lt;&gt;""), HYPERLINK("#'" &amp; C1694 &amp; "'!" &amp; J1694, J1694), "")</f>
        <v/>
      </c>
    </row>
    <row r="1695">
      <c r="B1695" s="21">
        <f>IF(AND(C1695&lt;&gt;"", J1695&lt;&gt;""), HYPERLINK("#'" &amp; C1695 &amp; "'!" &amp; J1695, J1695), "")</f>
        <v/>
      </c>
    </row>
    <row r="1696">
      <c r="B1696" s="21">
        <f>IF(AND(C1696&lt;&gt;"", J1696&lt;&gt;""), HYPERLINK("#'" &amp; C1696 &amp; "'!" &amp; J1696, J1696), "")</f>
        <v/>
      </c>
    </row>
    <row r="1697">
      <c r="B1697" s="21">
        <f>IF(AND(C1697&lt;&gt;"", J1697&lt;&gt;""), HYPERLINK("#'" &amp; C1697 &amp; "'!" &amp; J1697, J1697), "")</f>
        <v/>
      </c>
    </row>
    <row r="1698">
      <c r="B1698" s="21">
        <f>IF(AND(C1698&lt;&gt;"", J1698&lt;&gt;""), HYPERLINK("#'" &amp; C1698 &amp; "'!" &amp; J1698, J1698), "")</f>
        <v/>
      </c>
    </row>
    <row r="1699">
      <c r="B1699" s="21">
        <f>IF(AND(C1699&lt;&gt;"", J1699&lt;&gt;""), HYPERLINK("#'" &amp; C1699 &amp; "'!" &amp; J1699, J1699), "")</f>
        <v/>
      </c>
    </row>
    <row r="1700">
      <c r="B1700" s="21">
        <f>IF(AND(C1700&lt;&gt;"", J1700&lt;&gt;""), HYPERLINK("#'" &amp; C1700 &amp; "'!" &amp; J1700, J1700), "")</f>
        <v/>
      </c>
    </row>
    <row r="1701">
      <c r="B1701" s="21">
        <f>IF(AND(C1701&lt;&gt;"", J1701&lt;&gt;""), HYPERLINK("#'" &amp; C1701 &amp; "'!" &amp; J1701, J1701), "")</f>
        <v/>
      </c>
    </row>
    <row r="1702">
      <c r="B1702" s="21">
        <f>IF(AND(C1702&lt;&gt;"", J1702&lt;&gt;""), HYPERLINK("#'" &amp; C1702 &amp; "'!" &amp; J1702, J1702), "")</f>
        <v/>
      </c>
    </row>
    <row r="1703">
      <c r="B1703" s="21">
        <f>IF(AND(C1703&lt;&gt;"", J1703&lt;&gt;""), HYPERLINK("#'" &amp; C1703 &amp; "'!" &amp; J1703, J1703), "")</f>
        <v/>
      </c>
    </row>
    <row r="1704">
      <c r="B1704" s="21">
        <f>IF(AND(C1704&lt;&gt;"", J1704&lt;&gt;""), HYPERLINK("#'" &amp; C1704 &amp; "'!" &amp; J1704, J1704), "")</f>
        <v/>
      </c>
    </row>
    <row r="1705">
      <c r="B1705" s="21">
        <f>IF(AND(C1705&lt;&gt;"", J1705&lt;&gt;""), HYPERLINK("#'" &amp; C1705 &amp; "'!" &amp; J1705, J1705), "")</f>
        <v/>
      </c>
    </row>
    <row r="1706">
      <c r="B1706" s="21">
        <f>IF(AND(C1706&lt;&gt;"", J1706&lt;&gt;""), HYPERLINK("#'" &amp; C1706 &amp; "'!" &amp; J1706, J1706), "")</f>
        <v/>
      </c>
    </row>
    <row r="1707">
      <c r="B1707" s="21">
        <f>IF(AND(C1707&lt;&gt;"", J1707&lt;&gt;""), HYPERLINK("#'" &amp; C1707 &amp; "'!" &amp; J1707, J1707), "")</f>
        <v/>
      </c>
    </row>
    <row r="1708">
      <c r="B1708" s="21">
        <f>IF(AND(C1708&lt;&gt;"", J1708&lt;&gt;""), HYPERLINK("#'" &amp; C1708 &amp; "'!" &amp; J1708, J1708), "")</f>
        <v/>
      </c>
    </row>
    <row r="1709">
      <c r="B1709" s="21">
        <f>IF(AND(C1709&lt;&gt;"", J1709&lt;&gt;""), HYPERLINK("#'" &amp; C1709 &amp; "'!" &amp; J1709, J1709), "")</f>
        <v/>
      </c>
    </row>
    <row r="1710">
      <c r="B1710" s="21">
        <f>IF(AND(C1710&lt;&gt;"", J1710&lt;&gt;""), HYPERLINK("#'" &amp; C1710 &amp; "'!" &amp; J1710, J1710), "")</f>
        <v/>
      </c>
    </row>
    <row r="1711">
      <c r="B1711" s="21">
        <f>IF(AND(C1711&lt;&gt;"", J1711&lt;&gt;""), HYPERLINK("#'" &amp; C1711 &amp; "'!" &amp; J1711, J1711), "")</f>
        <v/>
      </c>
    </row>
    <row r="1712">
      <c r="B1712" s="21">
        <f>IF(AND(C1712&lt;&gt;"", J1712&lt;&gt;""), HYPERLINK("#'" &amp; C1712 &amp; "'!" &amp; J1712, J1712), "")</f>
        <v/>
      </c>
    </row>
    <row r="1713">
      <c r="B1713" s="21">
        <f>IF(AND(C1713&lt;&gt;"", J1713&lt;&gt;""), HYPERLINK("#'" &amp; C1713 &amp; "'!" &amp; J1713, J1713), "")</f>
        <v/>
      </c>
    </row>
    <row r="1714">
      <c r="B1714" s="21">
        <f>IF(AND(C1714&lt;&gt;"", J1714&lt;&gt;""), HYPERLINK("#'" &amp; C1714 &amp; "'!" &amp; J1714, J1714), "")</f>
        <v/>
      </c>
    </row>
    <row r="1715">
      <c r="B1715" s="21">
        <f>IF(AND(C1715&lt;&gt;"", J1715&lt;&gt;""), HYPERLINK("#'" &amp; C1715 &amp; "'!" &amp; J1715, J1715), "")</f>
        <v/>
      </c>
    </row>
    <row r="1716">
      <c r="B1716" s="21">
        <f>IF(AND(C1716&lt;&gt;"", J1716&lt;&gt;""), HYPERLINK("#'" &amp; C1716 &amp; "'!" &amp; J1716, J1716), "")</f>
        <v/>
      </c>
    </row>
    <row r="1717">
      <c r="B1717" s="21">
        <f>IF(AND(C1717&lt;&gt;"", J1717&lt;&gt;""), HYPERLINK("#'" &amp; C1717 &amp; "'!" &amp; J1717, J1717), "")</f>
        <v/>
      </c>
    </row>
    <row r="1718">
      <c r="B1718" s="21">
        <f>IF(AND(C1718&lt;&gt;"", J1718&lt;&gt;""), HYPERLINK("#'" &amp; C1718 &amp; "'!" &amp; J1718, J1718), "")</f>
        <v/>
      </c>
    </row>
    <row r="1719">
      <c r="B1719" s="21">
        <f>IF(AND(C1719&lt;&gt;"", J1719&lt;&gt;""), HYPERLINK("#'" &amp; C1719 &amp; "'!" &amp; J1719, J1719), "")</f>
        <v/>
      </c>
    </row>
    <row r="1720">
      <c r="B1720" s="21">
        <f>IF(AND(C1720&lt;&gt;"", J1720&lt;&gt;""), HYPERLINK("#'" &amp; C1720 &amp; "'!" &amp; J1720, J1720), "")</f>
        <v/>
      </c>
    </row>
    <row r="1721">
      <c r="B1721" s="21">
        <f>IF(AND(C1721&lt;&gt;"", J1721&lt;&gt;""), HYPERLINK("#'" &amp; C1721 &amp; "'!" &amp; J1721, J1721), "")</f>
        <v/>
      </c>
    </row>
    <row r="1722">
      <c r="B1722" s="21">
        <f>IF(AND(C1722&lt;&gt;"", J1722&lt;&gt;""), HYPERLINK("#'" &amp; C1722 &amp; "'!" &amp; J1722, J1722), "")</f>
        <v/>
      </c>
    </row>
    <row r="1723">
      <c r="B1723" s="21">
        <f>IF(AND(C1723&lt;&gt;"", J1723&lt;&gt;""), HYPERLINK("#'" &amp; C1723 &amp; "'!" &amp; J1723, J1723), "")</f>
        <v/>
      </c>
    </row>
    <row r="1724">
      <c r="B1724" s="21">
        <f>IF(AND(C1724&lt;&gt;"", J1724&lt;&gt;""), HYPERLINK("#'" &amp; C1724 &amp; "'!" &amp; J1724, J1724), "")</f>
        <v/>
      </c>
    </row>
    <row r="1725">
      <c r="B1725" s="21">
        <f>IF(AND(C1725&lt;&gt;"", J1725&lt;&gt;""), HYPERLINK("#'" &amp; C1725 &amp; "'!" &amp; J1725, J1725), "")</f>
        <v/>
      </c>
    </row>
    <row r="1726">
      <c r="B1726" s="21">
        <f>IF(AND(C1726&lt;&gt;"", J1726&lt;&gt;""), HYPERLINK("#'" &amp; C1726 &amp; "'!" &amp; J1726, J1726), "")</f>
        <v/>
      </c>
    </row>
    <row r="1727">
      <c r="B1727" s="21">
        <f>IF(AND(C1727&lt;&gt;"", J1727&lt;&gt;""), HYPERLINK("#'" &amp; C1727 &amp; "'!" &amp; J1727, J1727), "")</f>
        <v/>
      </c>
    </row>
    <row r="1728">
      <c r="B1728" s="21">
        <f>IF(AND(C1728&lt;&gt;"", J1728&lt;&gt;""), HYPERLINK("#'" &amp; C1728 &amp; "'!" &amp; J1728, J1728), "")</f>
        <v/>
      </c>
    </row>
    <row r="1729">
      <c r="B1729" s="21">
        <f>IF(AND(C1729&lt;&gt;"", J1729&lt;&gt;""), HYPERLINK("#'" &amp; C1729 &amp; "'!" &amp; J1729, J1729), "")</f>
        <v/>
      </c>
    </row>
    <row r="1730">
      <c r="B1730" s="21">
        <f>IF(AND(C1730&lt;&gt;"", J1730&lt;&gt;""), HYPERLINK("#'" &amp; C1730 &amp; "'!" &amp; J1730, J1730), "")</f>
        <v/>
      </c>
    </row>
    <row r="1731">
      <c r="B1731" s="21">
        <f>IF(AND(C1731&lt;&gt;"", J1731&lt;&gt;""), HYPERLINK("#'" &amp; C1731 &amp; "'!" &amp; J1731, J1731), "")</f>
        <v/>
      </c>
    </row>
    <row r="1732">
      <c r="B1732" s="21">
        <f>IF(AND(C1732&lt;&gt;"", J1732&lt;&gt;""), HYPERLINK("#'" &amp; C1732 &amp; "'!" &amp; J1732, J1732), "")</f>
        <v/>
      </c>
    </row>
    <row r="1733">
      <c r="B1733" s="21">
        <f>IF(AND(C1733&lt;&gt;"", J1733&lt;&gt;""), HYPERLINK("#'" &amp; C1733 &amp; "'!" &amp; J1733, J1733), "")</f>
        <v/>
      </c>
    </row>
    <row r="1734">
      <c r="B1734" s="21">
        <f>IF(AND(C1734&lt;&gt;"", J1734&lt;&gt;""), HYPERLINK("#'" &amp; C1734 &amp; "'!" &amp; J1734, J1734), "")</f>
        <v/>
      </c>
    </row>
    <row r="1735">
      <c r="B1735" s="21">
        <f>IF(AND(C1735&lt;&gt;"", J1735&lt;&gt;""), HYPERLINK("#'" &amp; C1735 &amp; "'!" &amp; J1735, J1735), "")</f>
        <v/>
      </c>
    </row>
    <row r="1736">
      <c r="B1736" s="21">
        <f>IF(AND(C1736&lt;&gt;"", J1736&lt;&gt;""), HYPERLINK("#'" &amp; C1736 &amp; "'!" &amp; J1736, J1736), "")</f>
        <v/>
      </c>
    </row>
    <row r="1737">
      <c r="B1737" s="21">
        <f>IF(AND(C1737&lt;&gt;"", J1737&lt;&gt;""), HYPERLINK("#'" &amp; C1737 &amp; "'!" &amp; J1737, J1737), "")</f>
        <v/>
      </c>
    </row>
    <row r="1738">
      <c r="B1738" s="21">
        <f>IF(AND(C1738&lt;&gt;"", J1738&lt;&gt;""), HYPERLINK("#'" &amp; C1738 &amp; "'!" &amp; J1738, J1738), "")</f>
        <v/>
      </c>
    </row>
    <row r="1739">
      <c r="B1739" s="21">
        <f>IF(AND(C1739&lt;&gt;"", J1739&lt;&gt;""), HYPERLINK("#'" &amp; C1739 &amp; "'!" &amp; J1739, J1739), "")</f>
        <v/>
      </c>
    </row>
    <row r="1740">
      <c r="B1740" s="21">
        <f>IF(AND(C1740&lt;&gt;"", J1740&lt;&gt;""), HYPERLINK("#'" &amp; C1740 &amp; "'!" &amp; J1740, J1740), "")</f>
        <v/>
      </c>
    </row>
    <row r="1741">
      <c r="B1741" s="21">
        <f>IF(AND(C1741&lt;&gt;"", J1741&lt;&gt;""), HYPERLINK("#'" &amp; C1741 &amp; "'!" &amp; J1741, J1741), "")</f>
        <v/>
      </c>
    </row>
    <row r="1742">
      <c r="B1742" s="21">
        <f>IF(AND(C1742&lt;&gt;"", J1742&lt;&gt;""), HYPERLINK("#'" &amp; C1742 &amp; "'!" &amp; J1742, J1742), "")</f>
        <v/>
      </c>
    </row>
    <row r="1743">
      <c r="B1743" s="21">
        <f>IF(AND(C1743&lt;&gt;"", J1743&lt;&gt;""), HYPERLINK("#'" &amp; C1743 &amp; "'!" &amp; J1743, J1743), "")</f>
        <v/>
      </c>
    </row>
    <row r="1744">
      <c r="B1744" s="21">
        <f>IF(AND(C1744&lt;&gt;"", J1744&lt;&gt;""), HYPERLINK("#'" &amp; C1744 &amp; "'!" &amp; J1744, J1744), "")</f>
        <v/>
      </c>
    </row>
    <row r="1745">
      <c r="B1745" s="21">
        <f>IF(AND(C1745&lt;&gt;"", J1745&lt;&gt;""), HYPERLINK("#'" &amp; C1745 &amp; "'!" &amp; J1745, J1745), "")</f>
        <v/>
      </c>
    </row>
    <row r="1746">
      <c r="B1746" s="21">
        <f>IF(AND(C1746&lt;&gt;"", J1746&lt;&gt;""), HYPERLINK("#'" &amp; C1746 &amp; "'!" &amp; J1746, J1746), "")</f>
        <v/>
      </c>
    </row>
    <row r="1747">
      <c r="B1747" s="21">
        <f>IF(AND(C1747&lt;&gt;"", J1747&lt;&gt;""), HYPERLINK("#'" &amp; C1747 &amp; "'!" &amp; J1747, J1747), "")</f>
        <v/>
      </c>
    </row>
    <row r="1748">
      <c r="B1748" s="21">
        <f>IF(AND(C1748&lt;&gt;"", J1748&lt;&gt;""), HYPERLINK("#'" &amp; C1748 &amp; "'!" &amp; J1748, J1748), "")</f>
        <v/>
      </c>
    </row>
    <row r="1749">
      <c r="B1749" s="21">
        <f>IF(AND(C1749&lt;&gt;"", J1749&lt;&gt;""), HYPERLINK("#'" &amp; C1749 &amp; "'!" &amp; J1749, J1749), "")</f>
        <v/>
      </c>
    </row>
    <row r="1750">
      <c r="B1750" s="21">
        <f>IF(AND(C1750&lt;&gt;"", J1750&lt;&gt;""), HYPERLINK("#'" &amp; C1750 &amp; "'!" &amp; J1750, J1750), "")</f>
        <v/>
      </c>
    </row>
    <row r="1751">
      <c r="B1751" s="21">
        <f>IF(AND(C1751&lt;&gt;"", J1751&lt;&gt;""), HYPERLINK("#'" &amp; C1751 &amp; "'!" &amp; J1751, J1751), "")</f>
        <v/>
      </c>
    </row>
    <row r="1752">
      <c r="B1752" s="21">
        <f>IF(AND(C1752&lt;&gt;"", J1752&lt;&gt;""), HYPERLINK("#'" &amp; C1752 &amp; "'!" &amp; J1752, J1752), "")</f>
        <v/>
      </c>
    </row>
    <row r="1753">
      <c r="B1753" s="21">
        <f>IF(AND(C1753&lt;&gt;"", J1753&lt;&gt;""), HYPERLINK("#'" &amp; C1753 &amp; "'!" &amp; J1753, J1753), "")</f>
        <v/>
      </c>
    </row>
    <row r="1754">
      <c r="B1754" s="21">
        <f>IF(AND(C1754&lt;&gt;"", J1754&lt;&gt;""), HYPERLINK("#'" &amp; C1754 &amp; "'!" &amp; J1754, J1754), "")</f>
        <v/>
      </c>
    </row>
    <row r="1755">
      <c r="B1755" s="21">
        <f>IF(AND(C1755&lt;&gt;"", J1755&lt;&gt;""), HYPERLINK("#'" &amp; C1755 &amp; "'!" &amp; J1755, J1755), "")</f>
        <v/>
      </c>
    </row>
    <row r="1756">
      <c r="B1756" s="21">
        <f>IF(AND(C1756&lt;&gt;"", J1756&lt;&gt;""), HYPERLINK("#'" &amp; C1756 &amp; "'!" &amp; J1756, J1756), "")</f>
        <v/>
      </c>
    </row>
    <row r="1757">
      <c r="B1757" s="21">
        <f>IF(AND(C1757&lt;&gt;"", J1757&lt;&gt;""), HYPERLINK("#'" &amp; C1757 &amp; "'!" &amp; J1757, J1757), "")</f>
        <v/>
      </c>
    </row>
    <row r="1758">
      <c r="B1758" s="21">
        <f>IF(AND(C1758&lt;&gt;"", J1758&lt;&gt;""), HYPERLINK("#'" &amp; C1758 &amp; "'!" &amp; J1758, J1758), "")</f>
        <v/>
      </c>
    </row>
    <row r="1759">
      <c r="B1759" s="21">
        <f>IF(AND(C1759&lt;&gt;"", J1759&lt;&gt;""), HYPERLINK("#'" &amp; C1759 &amp; "'!" &amp; J1759, J1759), "")</f>
        <v/>
      </c>
    </row>
    <row r="1760">
      <c r="B1760" s="21">
        <f>IF(AND(C1760&lt;&gt;"", J1760&lt;&gt;""), HYPERLINK("#'" &amp; C1760 &amp; "'!" &amp; J1760, J1760), "")</f>
        <v/>
      </c>
    </row>
    <row r="1761">
      <c r="B1761" s="21">
        <f>IF(AND(C1761&lt;&gt;"", J1761&lt;&gt;""), HYPERLINK("#'" &amp; C1761 &amp; "'!" &amp; J1761, J1761), "")</f>
        <v/>
      </c>
    </row>
    <row r="1762">
      <c r="B1762" s="21">
        <f>IF(AND(C1762&lt;&gt;"", J1762&lt;&gt;""), HYPERLINK("#'" &amp; C1762 &amp; "'!" &amp; J1762, J1762), "")</f>
        <v/>
      </c>
    </row>
    <row r="1763">
      <c r="B1763" s="21">
        <f>IF(AND(C1763&lt;&gt;"", J1763&lt;&gt;""), HYPERLINK("#'" &amp; C1763 &amp; "'!" &amp; J1763, J1763), "")</f>
        <v/>
      </c>
    </row>
    <row r="1764">
      <c r="B1764" s="21">
        <f>IF(AND(C1764&lt;&gt;"", J1764&lt;&gt;""), HYPERLINK("#'" &amp; C1764 &amp; "'!" &amp; J1764, J1764), "")</f>
        <v/>
      </c>
    </row>
    <row r="1765">
      <c r="B1765" s="21">
        <f>IF(AND(C1765&lt;&gt;"", J1765&lt;&gt;""), HYPERLINK("#'" &amp; C1765 &amp; "'!" &amp; J1765, J1765), "")</f>
        <v/>
      </c>
    </row>
    <row r="1766">
      <c r="B1766" s="21">
        <f>IF(AND(C1766&lt;&gt;"", J1766&lt;&gt;""), HYPERLINK("#'" &amp; C1766 &amp; "'!" &amp; J1766, J1766), "")</f>
        <v/>
      </c>
    </row>
    <row r="1767">
      <c r="B1767" s="21">
        <f>IF(AND(C1767&lt;&gt;"", J1767&lt;&gt;""), HYPERLINK("#'" &amp; C1767 &amp; "'!" &amp; J1767, J1767), "")</f>
        <v/>
      </c>
    </row>
    <row r="1768">
      <c r="B1768" s="21">
        <f>IF(AND(C1768&lt;&gt;"", J1768&lt;&gt;""), HYPERLINK("#'" &amp; C1768 &amp; "'!" &amp; J1768, J1768), "")</f>
        <v/>
      </c>
    </row>
    <row r="1769">
      <c r="B1769" s="21">
        <f>IF(AND(C1769&lt;&gt;"", J1769&lt;&gt;""), HYPERLINK("#'" &amp; C1769 &amp; "'!" &amp; J1769, J1769), "")</f>
        <v/>
      </c>
    </row>
    <row r="1770">
      <c r="B1770" s="21">
        <f>IF(AND(C1770&lt;&gt;"", J1770&lt;&gt;""), HYPERLINK("#'" &amp; C1770 &amp; "'!" &amp; J1770, J1770), "")</f>
        <v/>
      </c>
    </row>
    <row r="1771">
      <c r="B1771" s="21">
        <f>IF(AND(C1771&lt;&gt;"", J1771&lt;&gt;""), HYPERLINK("#'" &amp; C1771 &amp; "'!" &amp; J1771, J1771), "")</f>
        <v/>
      </c>
    </row>
    <row r="1772">
      <c r="B1772" s="21">
        <f>IF(AND(C1772&lt;&gt;"", J1772&lt;&gt;""), HYPERLINK("#'" &amp; C1772 &amp; "'!" &amp; J1772, J1772), "")</f>
        <v/>
      </c>
    </row>
    <row r="1773">
      <c r="B1773" s="21">
        <f>IF(AND(C1773&lt;&gt;"", J1773&lt;&gt;""), HYPERLINK("#'" &amp; C1773 &amp; "'!" &amp; J1773, J1773), "")</f>
        <v/>
      </c>
    </row>
    <row r="1774">
      <c r="B1774" s="21">
        <f>IF(AND(C1774&lt;&gt;"", J1774&lt;&gt;""), HYPERLINK("#'" &amp; C1774 &amp; "'!" &amp; J1774, J1774), "")</f>
        <v/>
      </c>
    </row>
    <row r="1775">
      <c r="B1775" s="21">
        <f>IF(AND(C1775&lt;&gt;"", J1775&lt;&gt;""), HYPERLINK("#'" &amp; C1775 &amp; "'!" &amp; J1775, J1775), "")</f>
        <v/>
      </c>
    </row>
    <row r="1776">
      <c r="B1776" s="21">
        <f>IF(AND(C1776&lt;&gt;"", J1776&lt;&gt;""), HYPERLINK("#'" &amp; C1776 &amp; "'!" &amp; J1776, J1776), "")</f>
        <v/>
      </c>
    </row>
    <row r="1777">
      <c r="B1777" s="21">
        <f>IF(AND(C1777&lt;&gt;"", J1777&lt;&gt;""), HYPERLINK("#'" &amp; C1777 &amp; "'!" &amp; J1777, J1777), "")</f>
        <v/>
      </c>
    </row>
    <row r="1778">
      <c r="B1778" s="21">
        <f>IF(AND(C1778&lt;&gt;"", J1778&lt;&gt;""), HYPERLINK("#'" &amp; C1778 &amp; "'!" &amp; J1778, J1778), "")</f>
        <v/>
      </c>
    </row>
    <row r="1779">
      <c r="B1779" s="21">
        <f>IF(AND(C1779&lt;&gt;"", J1779&lt;&gt;""), HYPERLINK("#'" &amp; C1779 &amp; "'!" &amp; J1779, J1779), "")</f>
        <v/>
      </c>
    </row>
    <row r="1780">
      <c r="B1780" s="21">
        <f>IF(AND(C1780&lt;&gt;"", J1780&lt;&gt;""), HYPERLINK("#'" &amp; C1780 &amp; "'!" &amp; J1780, J1780), "")</f>
        <v/>
      </c>
    </row>
    <row r="1781">
      <c r="B1781" s="21">
        <f>IF(AND(C1781&lt;&gt;"", J1781&lt;&gt;""), HYPERLINK("#'" &amp; C1781 &amp; "'!" &amp; J1781, J1781), "")</f>
        <v/>
      </c>
    </row>
    <row r="1782">
      <c r="B1782" s="21">
        <f>IF(AND(C1782&lt;&gt;"", J1782&lt;&gt;""), HYPERLINK("#'" &amp; C1782 &amp; "'!" &amp; J1782, J1782), "")</f>
        <v/>
      </c>
    </row>
    <row r="1783">
      <c r="B1783" s="21">
        <f>IF(AND(C1783&lt;&gt;"", J1783&lt;&gt;""), HYPERLINK("#'" &amp; C1783 &amp; "'!" &amp; J1783, J1783), "")</f>
        <v/>
      </c>
    </row>
    <row r="1784">
      <c r="B1784" s="21">
        <f>IF(AND(C1784&lt;&gt;"", J1784&lt;&gt;""), HYPERLINK("#'" &amp; C1784 &amp; "'!" &amp; J1784, J1784), "")</f>
        <v/>
      </c>
    </row>
    <row r="1785">
      <c r="B1785" s="21">
        <f>IF(AND(C1785&lt;&gt;"", J1785&lt;&gt;""), HYPERLINK("#'" &amp; C1785 &amp; "'!" &amp; J1785, J1785), "")</f>
        <v/>
      </c>
    </row>
    <row r="1786">
      <c r="B1786" s="21">
        <f>IF(AND(C1786&lt;&gt;"", J1786&lt;&gt;""), HYPERLINK("#'" &amp; C1786 &amp; "'!" &amp; J1786, J1786), "")</f>
        <v/>
      </c>
    </row>
    <row r="1787">
      <c r="B1787" s="21">
        <f>IF(AND(C1787&lt;&gt;"", J1787&lt;&gt;""), HYPERLINK("#'" &amp; C1787 &amp; "'!" &amp; J1787, J1787), "")</f>
        <v/>
      </c>
    </row>
    <row r="1788">
      <c r="B1788" s="21">
        <f>IF(AND(C1788&lt;&gt;"", J1788&lt;&gt;""), HYPERLINK("#'" &amp; C1788 &amp; "'!" &amp; J1788, J1788), "")</f>
        <v/>
      </c>
    </row>
    <row r="1789">
      <c r="B1789" s="21">
        <f>IF(AND(C1789&lt;&gt;"", J1789&lt;&gt;""), HYPERLINK("#'" &amp; C1789 &amp; "'!" &amp; J1789, J1789), "")</f>
        <v/>
      </c>
    </row>
    <row r="1790">
      <c r="B1790" s="21">
        <f>IF(AND(C1790&lt;&gt;"", J1790&lt;&gt;""), HYPERLINK("#'" &amp; C1790 &amp; "'!" &amp; J1790, J1790), "")</f>
        <v/>
      </c>
    </row>
    <row r="1791">
      <c r="B1791" s="21">
        <f>IF(AND(C1791&lt;&gt;"", J1791&lt;&gt;""), HYPERLINK("#'" &amp; C1791 &amp; "'!" &amp; J1791, J1791), "")</f>
        <v/>
      </c>
    </row>
    <row r="1792">
      <c r="B1792" s="21">
        <f>IF(AND(C1792&lt;&gt;"", J1792&lt;&gt;""), HYPERLINK("#'" &amp; C1792 &amp; "'!" &amp; J1792, J1792), "")</f>
        <v/>
      </c>
    </row>
    <row r="1793">
      <c r="B1793" s="21">
        <f>IF(AND(C1793&lt;&gt;"", J1793&lt;&gt;""), HYPERLINK("#'" &amp; C1793 &amp; "'!" &amp; J1793, J1793), "")</f>
        <v/>
      </c>
    </row>
    <row r="1794">
      <c r="B1794" s="21">
        <f>IF(AND(C1794&lt;&gt;"", J1794&lt;&gt;""), HYPERLINK("#'" &amp; C1794 &amp; "'!" &amp; J1794, J1794), "")</f>
        <v/>
      </c>
    </row>
    <row r="1795">
      <c r="B1795" s="21">
        <f>IF(AND(C1795&lt;&gt;"", J1795&lt;&gt;""), HYPERLINK("#'" &amp; C1795 &amp; "'!" &amp; J1795, J1795), "")</f>
        <v/>
      </c>
    </row>
    <row r="1796">
      <c r="B1796" s="21">
        <f>IF(AND(C1796&lt;&gt;"", J1796&lt;&gt;""), HYPERLINK("#'" &amp; C1796 &amp; "'!" &amp; J1796, J1796), "")</f>
        <v/>
      </c>
    </row>
    <row r="1797">
      <c r="B1797" s="21">
        <f>IF(AND(C1797&lt;&gt;"", J1797&lt;&gt;""), HYPERLINK("#'" &amp; C1797 &amp; "'!" &amp; J1797, J1797), "")</f>
        <v/>
      </c>
    </row>
    <row r="1798">
      <c r="B1798" s="21">
        <f>IF(AND(C1798&lt;&gt;"", J1798&lt;&gt;""), HYPERLINK("#'" &amp; C1798 &amp; "'!" &amp; J1798, J1798), "")</f>
        <v/>
      </c>
    </row>
    <row r="1799">
      <c r="B1799" s="21">
        <f>IF(AND(C1799&lt;&gt;"", J1799&lt;&gt;""), HYPERLINK("#'" &amp; C1799 &amp; "'!" &amp; J1799, J1799), "")</f>
        <v/>
      </c>
    </row>
    <row r="1800">
      <c r="B1800" s="21">
        <f>IF(AND(C1800&lt;&gt;"", J1800&lt;&gt;""), HYPERLINK("#'" &amp; C1800 &amp; "'!" &amp; J1800, J1800), "")</f>
        <v/>
      </c>
    </row>
    <row r="1801">
      <c r="B1801" s="21">
        <f>IF(AND(C1801&lt;&gt;"", J1801&lt;&gt;""), HYPERLINK("#'" &amp; C1801 &amp; "'!" &amp; J1801, J1801), "")</f>
        <v/>
      </c>
    </row>
    <row r="1802">
      <c r="B1802" s="21">
        <f>IF(AND(C1802&lt;&gt;"", J1802&lt;&gt;""), HYPERLINK("#'" &amp; C1802 &amp; "'!" &amp; J1802, J1802), "")</f>
        <v/>
      </c>
    </row>
    <row r="1803">
      <c r="B1803" s="21">
        <f>IF(AND(C1803&lt;&gt;"", J1803&lt;&gt;""), HYPERLINK("#'" &amp; C1803 &amp; "'!" &amp; J1803, J1803), "")</f>
        <v/>
      </c>
    </row>
    <row r="1804">
      <c r="B1804" s="21">
        <f>IF(AND(C1804&lt;&gt;"", J1804&lt;&gt;""), HYPERLINK("#'" &amp; C1804 &amp; "'!" &amp; J1804, J1804), "")</f>
        <v/>
      </c>
    </row>
    <row r="1805">
      <c r="B1805" s="21">
        <f>IF(AND(C1805&lt;&gt;"", J1805&lt;&gt;""), HYPERLINK("#'" &amp; C1805 &amp; "'!" &amp; J1805, J1805), "")</f>
        <v/>
      </c>
    </row>
    <row r="1806">
      <c r="B1806" s="21">
        <f>IF(AND(C1806&lt;&gt;"", J1806&lt;&gt;""), HYPERLINK("#'" &amp; C1806 &amp; "'!" &amp; J1806, J1806), "")</f>
        <v/>
      </c>
    </row>
    <row r="1807">
      <c r="B1807" s="21">
        <f>IF(AND(C1807&lt;&gt;"", J1807&lt;&gt;""), HYPERLINK("#'" &amp; C1807 &amp; "'!" &amp; J1807, J1807), "")</f>
        <v/>
      </c>
    </row>
    <row r="1808">
      <c r="B1808" s="21">
        <f>IF(AND(C1808&lt;&gt;"", J1808&lt;&gt;""), HYPERLINK("#'" &amp; C1808 &amp; "'!" &amp; J1808, J1808), "")</f>
        <v/>
      </c>
    </row>
    <row r="1809">
      <c r="B1809" s="21">
        <f>IF(AND(C1809&lt;&gt;"", J1809&lt;&gt;""), HYPERLINK("#'" &amp; C1809 &amp; "'!" &amp; J1809, J1809), "")</f>
        <v/>
      </c>
    </row>
    <row r="1810">
      <c r="B1810" s="21">
        <f>IF(AND(C1810&lt;&gt;"", J1810&lt;&gt;""), HYPERLINK("#'" &amp; C1810 &amp; "'!" &amp; J1810, J1810), "")</f>
        <v/>
      </c>
    </row>
    <row r="1811">
      <c r="B1811" s="21">
        <f>IF(AND(C1811&lt;&gt;"", J1811&lt;&gt;""), HYPERLINK("#'" &amp; C1811 &amp; "'!" &amp; J1811, J1811), "")</f>
        <v/>
      </c>
    </row>
    <row r="1812">
      <c r="B1812" s="21">
        <f>IF(AND(C1812&lt;&gt;"", J1812&lt;&gt;""), HYPERLINK("#'" &amp; C1812 &amp; "'!" &amp; J1812, J1812), "")</f>
        <v/>
      </c>
    </row>
    <row r="1813">
      <c r="B1813" s="21">
        <f>IF(AND(C1813&lt;&gt;"", J1813&lt;&gt;""), HYPERLINK("#'" &amp; C1813 &amp; "'!" &amp; J1813, J1813), "")</f>
        <v/>
      </c>
    </row>
    <row r="1814">
      <c r="B1814" s="21">
        <f>IF(AND(C1814&lt;&gt;"", J1814&lt;&gt;""), HYPERLINK("#'" &amp; C1814 &amp; "'!" &amp; J1814, J1814), "")</f>
        <v/>
      </c>
    </row>
    <row r="1815">
      <c r="B1815" s="21">
        <f>IF(AND(C1815&lt;&gt;"", J1815&lt;&gt;""), HYPERLINK("#'" &amp; C1815 &amp; "'!" &amp; J1815, J1815), "")</f>
        <v/>
      </c>
    </row>
    <row r="1816">
      <c r="B1816" s="21">
        <f>IF(AND(C1816&lt;&gt;"", J1816&lt;&gt;""), HYPERLINK("#'" &amp; C1816 &amp; "'!" &amp; J1816, J1816), "")</f>
        <v/>
      </c>
    </row>
    <row r="1817">
      <c r="B1817" s="21">
        <f>IF(AND(C1817&lt;&gt;"", J1817&lt;&gt;""), HYPERLINK("#'" &amp; C1817 &amp; "'!" &amp; J1817, J1817), "")</f>
        <v/>
      </c>
    </row>
    <row r="1818">
      <c r="B1818" s="21">
        <f>IF(AND(C1818&lt;&gt;"", J1818&lt;&gt;""), HYPERLINK("#'" &amp; C1818 &amp; "'!" &amp; J1818, J1818), "")</f>
        <v/>
      </c>
    </row>
    <row r="1819">
      <c r="B1819" s="21">
        <f>IF(AND(C1819&lt;&gt;"", J1819&lt;&gt;""), HYPERLINK("#'" &amp; C1819 &amp; "'!" &amp; J1819, J1819), "")</f>
        <v/>
      </c>
    </row>
    <row r="1820">
      <c r="B1820" s="21">
        <f>IF(AND(C1820&lt;&gt;"", J1820&lt;&gt;""), HYPERLINK("#'" &amp; C1820 &amp; "'!" &amp; J1820, J1820), "")</f>
        <v/>
      </c>
    </row>
    <row r="1821">
      <c r="B1821" s="21">
        <f>IF(AND(C1821&lt;&gt;"", J1821&lt;&gt;""), HYPERLINK("#'" &amp; C1821 &amp; "'!" &amp; J1821, J1821), "")</f>
        <v/>
      </c>
    </row>
    <row r="1822">
      <c r="B1822" s="21">
        <f>IF(AND(C1822&lt;&gt;"", J1822&lt;&gt;""), HYPERLINK("#'" &amp; C1822 &amp; "'!" &amp; J1822, J1822), "")</f>
        <v/>
      </c>
    </row>
    <row r="1823">
      <c r="B1823" s="21">
        <f>IF(AND(C1823&lt;&gt;"", J1823&lt;&gt;""), HYPERLINK("#'" &amp; C1823 &amp; "'!" &amp; J1823, J1823), "")</f>
        <v/>
      </c>
    </row>
    <row r="1824">
      <c r="B1824" s="21">
        <f>IF(AND(C1824&lt;&gt;"", J1824&lt;&gt;""), HYPERLINK("#'" &amp; C1824 &amp; "'!" &amp; J1824, J1824), "")</f>
        <v/>
      </c>
    </row>
    <row r="1825">
      <c r="B1825" s="21">
        <f>IF(AND(C1825&lt;&gt;"", J1825&lt;&gt;""), HYPERLINK("#'" &amp; C1825 &amp; "'!" &amp; J1825, J1825), "")</f>
        <v/>
      </c>
    </row>
    <row r="1826">
      <c r="B1826" s="21">
        <f>IF(AND(C1826&lt;&gt;"", J1826&lt;&gt;""), HYPERLINK("#'" &amp; C1826 &amp; "'!" &amp; J1826, J1826), "")</f>
        <v/>
      </c>
    </row>
    <row r="1827">
      <c r="B1827" s="21">
        <f>IF(AND(C1827&lt;&gt;"", J1827&lt;&gt;""), HYPERLINK("#'" &amp; C1827 &amp; "'!" &amp; J1827, J1827), "")</f>
        <v/>
      </c>
    </row>
    <row r="1828">
      <c r="B1828" s="21">
        <f>IF(AND(C1828&lt;&gt;"", J1828&lt;&gt;""), HYPERLINK("#'" &amp; C1828 &amp; "'!" &amp; J1828, J1828), "")</f>
        <v/>
      </c>
    </row>
    <row r="1829">
      <c r="B1829" s="21">
        <f>IF(AND(C1829&lt;&gt;"", J1829&lt;&gt;""), HYPERLINK("#'" &amp; C1829 &amp; "'!" &amp; J1829, J1829), "")</f>
        <v/>
      </c>
    </row>
    <row r="1830">
      <c r="B1830" s="21">
        <f>IF(AND(C1830&lt;&gt;"", J1830&lt;&gt;""), HYPERLINK("#'" &amp; C1830 &amp; "'!" &amp; J1830, J1830), "")</f>
        <v/>
      </c>
    </row>
    <row r="1831">
      <c r="B1831" s="21">
        <f>IF(AND(C1831&lt;&gt;"", J1831&lt;&gt;""), HYPERLINK("#'" &amp; C1831 &amp; "'!" &amp; J1831, J1831), "")</f>
        <v/>
      </c>
    </row>
    <row r="1832">
      <c r="B1832" s="21">
        <f>IF(AND(C1832&lt;&gt;"", J1832&lt;&gt;""), HYPERLINK("#'" &amp; C1832 &amp; "'!" &amp; J1832, J1832), "")</f>
        <v/>
      </c>
    </row>
    <row r="1833">
      <c r="B1833" s="21">
        <f>IF(AND(C1833&lt;&gt;"", J1833&lt;&gt;""), HYPERLINK("#'" &amp; C1833 &amp; "'!" &amp; J1833, J1833), "")</f>
        <v/>
      </c>
    </row>
    <row r="1834">
      <c r="B1834" s="21">
        <f>IF(AND(C1834&lt;&gt;"", J1834&lt;&gt;""), HYPERLINK("#'" &amp; C1834 &amp; "'!" &amp; J1834, J1834), "")</f>
        <v/>
      </c>
    </row>
    <row r="1835">
      <c r="B1835" s="21">
        <f>IF(AND(C1835&lt;&gt;"", J1835&lt;&gt;""), HYPERLINK("#'" &amp; C1835 &amp; "'!" &amp; J1835, J1835), "")</f>
        <v/>
      </c>
    </row>
    <row r="1836">
      <c r="B1836" s="21">
        <f>IF(AND(C1836&lt;&gt;"", J1836&lt;&gt;""), HYPERLINK("#'" &amp; C1836 &amp; "'!" &amp; J1836, J1836), "")</f>
        <v/>
      </c>
    </row>
    <row r="1837">
      <c r="B1837" s="21">
        <f>IF(AND(C1837&lt;&gt;"", J1837&lt;&gt;""), HYPERLINK("#'" &amp; C1837 &amp; "'!" &amp; J1837, J1837), "")</f>
        <v/>
      </c>
    </row>
    <row r="1838">
      <c r="B1838" s="21">
        <f>IF(AND(C1838&lt;&gt;"", J1838&lt;&gt;""), HYPERLINK("#'" &amp; C1838 &amp; "'!" &amp; J1838, J1838), "")</f>
        <v/>
      </c>
    </row>
    <row r="1839">
      <c r="B1839" s="21">
        <f>IF(AND(C1839&lt;&gt;"", J1839&lt;&gt;""), HYPERLINK("#'" &amp; C1839 &amp; "'!" &amp; J1839, J1839), "")</f>
        <v/>
      </c>
    </row>
    <row r="1840">
      <c r="B1840" s="21">
        <f>IF(AND(C1840&lt;&gt;"", J1840&lt;&gt;""), HYPERLINK("#'" &amp; C1840 &amp; "'!" &amp; J1840, J1840), "")</f>
        <v/>
      </c>
    </row>
    <row r="1841">
      <c r="B1841" s="21">
        <f>IF(AND(C1841&lt;&gt;"", J1841&lt;&gt;""), HYPERLINK("#'" &amp; C1841 &amp; "'!" &amp; J1841, J1841), "")</f>
        <v/>
      </c>
    </row>
    <row r="1842">
      <c r="B1842" s="21">
        <f>IF(AND(C1842&lt;&gt;"", J1842&lt;&gt;""), HYPERLINK("#'" &amp; C1842 &amp; "'!" &amp; J1842, J1842), "")</f>
        <v/>
      </c>
    </row>
    <row r="1843">
      <c r="B1843" s="21">
        <f>IF(AND(C1843&lt;&gt;"", J1843&lt;&gt;""), HYPERLINK("#'" &amp; C1843 &amp; "'!" &amp; J1843, J1843), "")</f>
        <v/>
      </c>
    </row>
    <row r="1844">
      <c r="B1844" s="21">
        <f>IF(AND(C1844&lt;&gt;"", J1844&lt;&gt;""), HYPERLINK("#'" &amp; C1844 &amp; "'!" &amp; J1844, J1844), "")</f>
        <v/>
      </c>
    </row>
    <row r="1845">
      <c r="B1845" s="21">
        <f>IF(AND(C1845&lt;&gt;"", J1845&lt;&gt;""), HYPERLINK("#'" &amp; C1845 &amp; "'!" &amp; J1845, J1845), "")</f>
        <v/>
      </c>
    </row>
    <row r="1846">
      <c r="B1846" s="21">
        <f>IF(AND(C1846&lt;&gt;"", J1846&lt;&gt;""), HYPERLINK("#'" &amp; C1846 &amp; "'!" &amp; J1846, J1846), "")</f>
        <v/>
      </c>
    </row>
    <row r="1847">
      <c r="B1847" s="21">
        <f>IF(AND(C1847&lt;&gt;"", J1847&lt;&gt;""), HYPERLINK("#'" &amp; C1847 &amp; "'!" &amp; J1847, J1847), "")</f>
        <v/>
      </c>
    </row>
    <row r="1848">
      <c r="B1848" s="21">
        <f>IF(AND(C1848&lt;&gt;"", J1848&lt;&gt;""), HYPERLINK("#'" &amp; C1848 &amp; "'!" &amp; J1848, J1848), "")</f>
        <v/>
      </c>
    </row>
    <row r="1849">
      <c r="B1849" s="21">
        <f>IF(AND(C1849&lt;&gt;"", J1849&lt;&gt;""), HYPERLINK("#'" &amp; C1849 &amp; "'!" &amp; J1849, J1849), "")</f>
        <v/>
      </c>
    </row>
    <row r="1850">
      <c r="B1850" s="21">
        <f>IF(AND(C1850&lt;&gt;"", J1850&lt;&gt;""), HYPERLINK("#'" &amp; C1850 &amp; "'!" &amp; J1850, J1850), "")</f>
        <v/>
      </c>
    </row>
    <row r="1851">
      <c r="B1851" s="21">
        <f>IF(AND(C1851&lt;&gt;"", J1851&lt;&gt;""), HYPERLINK("#'" &amp; C1851 &amp; "'!" &amp; J1851, J1851), "")</f>
        <v/>
      </c>
    </row>
    <row r="1852">
      <c r="B1852" s="21">
        <f>IF(AND(C1852&lt;&gt;"", J1852&lt;&gt;""), HYPERLINK("#'" &amp; C1852 &amp; "'!" &amp; J1852, J1852), "")</f>
        <v/>
      </c>
    </row>
    <row r="1853">
      <c r="B1853" s="21">
        <f>IF(AND(C1853&lt;&gt;"", J1853&lt;&gt;""), HYPERLINK("#'" &amp; C1853 &amp; "'!" &amp; J1853, J1853), "")</f>
        <v/>
      </c>
    </row>
    <row r="1854">
      <c r="B1854" s="21">
        <f>IF(AND(C1854&lt;&gt;"", J1854&lt;&gt;""), HYPERLINK("#'" &amp; C1854 &amp; "'!" &amp; J1854, J1854), "")</f>
        <v/>
      </c>
    </row>
    <row r="1855">
      <c r="B1855" s="21">
        <f>IF(AND(C1855&lt;&gt;"", J1855&lt;&gt;""), HYPERLINK("#'" &amp; C1855 &amp; "'!" &amp; J1855, J1855), "")</f>
        <v/>
      </c>
    </row>
    <row r="1856">
      <c r="B1856" s="21">
        <f>IF(AND(C1856&lt;&gt;"", J1856&lt;&gt;""), HYPERLINK("#'" &amp; C1856 &amp; "'!" &amp; J1856, J1856), "")</f>
        <v/>
      </c>
    </row>
    <row r="1857">
      <c r="B1857" s="21">
        <f>IF(AND(C1857&lt;&gt;"", J1857&lt;&gt;""), HYPERLINK("#'" &amp; C1857 &amp; "'!" &amp; J1857, J1857), "")</f>
        <v/>
      </c>
    </row>
    <row r="1858">
      <c r="B1858" s="21">
        <f>IF(AND(C1858&lt;&gt;"", J1858&lt;&gt;""), HYPERLINK("#'" &amp; C1858 &amp; "'!" &amp; J1858, J1858), "")</f>
        <v/>
      </c>
    </row>
    <row r="1859">
      <c r="B1859" s="21">
        <f>IF(AND(C1859&lt;&gt;"", J1859&lt;&gt;""), HYPERLINK("#'" &amp; C1859 &amp; "'!" &amp; J1859, J1859), "")</f>
        <v/>
      </c>
    </row>
    <row r="1860">
      <c r="B1860" s="21">
        <f>IF(AND(C1860&lt;&gt;"", J1860&lt;&gt;""), HYPERLINK("#'" &amp; C1860 &amp; "'!" &amp; J1860, J1860), "")</f>
        <v/>
      </c>
    </row>
    <row r="1861">
      <c r="B1861" s="21">
        <f>IF(AND(C1861&lt;&gt;"", J1861&lt;&gt;""), HYPERLINK("#'" &amp; C1861 &amp; "'!" &amp; J1861, J1861), "")</f>
        <v/>
      </c>
    </row>
    <row r="1862">
      <c r="B1862" s="21">
        <f>IF(AND(C1862&lt;&gt;"", J1862&lt;&gt;""), HYPERLINK("#'" &amp; C1862 &amp; "'!" &amp; J1862, J1862), "")</f>
        <v/>
      </c>
    </row>
    <row r="1863">
      <c r="B1863" s="21">
        <f>IF(AND(C1863&lt;&gt;"", J1863&lt;&gt;""), HYPERLINK("#'" &amp; C1863 &amp; "'!" &amp; J1863, J1863), "")</f>
        <v/>
      </c>
    </row>
    <row r="1864">
      <c r="B1864" s="21">
        <f>IF(AND(C1864&lt;&gt;"", J1864&lt;&gt;""), HYPERLINK("#'" &amp; C1864 &amp; "'!" &amp; J1864, J1864), "")</f>
        <v/>
      </c>
    </row>
    <row r="1865">
      <c r="B1865" s="21">
        <f>IF(AND(C1865&lt;&gt;"", J1865&lt;&gt;""), HYPERLINK("#'" &amp; C1865 &amp; "'!" &amp; J1865, J1865), "")</f>
        <v/>
      </c>
    </row>
    <row r="1866">
      <c r="B1866" s="21">
        <f>IF(AND(C1866&lt;&gt;"", J1866&lt;&gt;""), HYPERLINK("#'" &amp; C1866 &amp; "'!" &amp; J1866, J1866), "")</f>
        <v/>
      </c>
    </row>
    <row r="1867">
      <c r="B1867" s="21">
        <f>IF(AND(C1867&lt;&gt;"", J1867&lt;&gt;""), HYPERLINK("#'" &amp; C1867 &amp; "'!" &amp; J1867, J1867), "")</f>
        <v/>
      </c>
    </row>
    <row r="1868">
      <c r="B1868" s="21">
        <f>IF(AND(C1868&lt;&gt;"", J1868&lt;&gt;""), HYPERLINK("#'" &amp; C1868 &amp; "'!" &amp; J1868, J1868), "")</f>
        <v/>
      </c>
    </row>
    <row r="1869">
      <c r="B1869" s="21">
        <f>IF(AND(C1869&lt;&gt;"", J1869&lt;&gt;""), HYPERLINK("#'" &amp; C1869 &amp; "'!" &amp; J1869, J1869), "")</f>
        <v/>
      </c>
    </row>
    <row r="1870">
      <c r="B1870" s="21">
        <f>IF(AND(C1870&lt;&gt;"", J1870&lt;&gt;""), HYPERLINK("#'" &amp; C1870 &amp; "'!" &amp; J1870, J1870), "")</f>
        <v/>
      </c>
    </row>
    <row r="1871">
      <c r="B1871" s="21">
        <f>IF(AND(C1871&lt;&gt;"", J1871&lt;&gt;""), HYPERLINK("#'" &amp; C1871 &amp; "'!" &amp; J1871, J1871), "")</f>
        <v/>
      </c>
    </row>
    <row r="1872">
      <c r="B1872" s="21">
        <f>IF(AND(C1872&lt;&gt;"", J1872&lt;&gt;""), HYPERLINK("#'" &amp; C1872 &amp; "'!" &amp; J1872, J1872), "")</f>
        <v/>
      </c>
    </row>
    <row r="1873">
      <c r="B1873" s="21">
        <f>IF(AND(C1873&lt;&gt;"", J1873&lt;&gt;""), HYPERLINK("#'" &amp; C1873 &amp; "'!" &amp; J1873, J1873), "")</f>
        <v/>
      </c>
    </row>
    <row r="1874">
      <c r="B1874" s="21">
        <f>IF(AND(C1874&lt;&gt;"", J1874&lt;&gt;""), HYPERLINK("#'" &amp; C1874 &amp; "'!" &amp; J1874, J1874), "")</f>
        <v/>
      </c>
    </row>
    <row r="1875">
      <c r="B1875" s="21">
        <f>IF(AND(C1875&lt;&gt;"", J1875&lt;&gt;""), HYPERLINK("#'" &amp; C1875 &amp; "'!" &amp; J1875, J1875), "")</f>
        <v/>
      </c>
    </row>
    <row r="1876">
      <c r="B1876" s="21">
        <f>IF(AND(C1876&lt;&gt;"", J1876&lt;&gt;""), HYPERLINK("#'" &amp; C1876 &amp; "'!" &amp; J1876, J1876), "")</f>
        <v/>
      </c>
    </row>
    <row r="1877">
      <c r="B1877" s="21">
        <f>IF(AND(C1877&lt;&gt;"", J1877&lt;&gt;""), HYPERLINK("#'" &amp; C1877 &amp; "'!" &amp; J1877, J1877), "")</f>
        <v/>
      </c>
    </row>
    <row r="1878">
      <c r="B1878" s="21">
        <f>IF(AND(C1878&lt;&gt;"", J1878&lt;&gt;""), HYPERLINK("#'" &amp; C1878 &amp; "'!" &amp; J1878, J1878), "")</f>
        <v/>
      </c>
    </row>
    <row r="1879">
      <c r="B1879" s="21">
        <f>IF(AND(C1879&lt;&gt;"", J1879&lt;&gt;""), HYPERLINK("#'" &amp; C1879 &amp; "'!" &amp; J1879, J1879), "")</f>
        <v/>
      </c>
    </row>
    <row r="1880">
      <c r="B1880" s="21">
        <f>IF(AND(C1880&lt;&gt;"", J1880&lt;&gt;""), HYPERLINK("#'" &amp; C1880 &amp; "'!" &amp; J1880, J1880), "")</f>
        <v/>
      </c>
    </row>
    <row r="1881">
      <c r="B1881" s="21">
        <f>IF(AND(C1881&lt;&gt;"", J1881&lt;&gt;""), HYPERLINK("#'" &amp; C1881 &amp; "'!" &amp; J1881, J1881), "")</f>
        <v/>
      </c>
    </row>
    <row r="1882">
      <c r="B1882" s="21">
        <f>IF(AND(C1882&lt;&gt;"", J1882&lt;&gt;""), HYPERLINK("#'" &amp; C1882 &amp; "'!" &amp; J1882, J1882), "")</f>
        <v/>
      </c>
    </row>
    <row r="1883">
      <c r="B1883" s="21">
        <f>IF(AND(C1883&lt;&gt;"", J1883&lt;&gt;""), HYPERLINK("#'" &amp; C1883 &amp; "'!" &amp; J1883, J1883), "")</f>
        <v/>
      </c>
    </row>
    <row r="1884">
      <c r="B1884" s="21">
        <f>IF(AND(C1884&lt;&gt;"", J1884&lt;&gt;""), HYPERLINK("#'" &amp; C1884 &amp; "'!" &amp; J1884, J1884), "")</f>
        <v/>
      </c>
    </row>
    <row r="1885">
      <c r="B1885" s="21">
        <f>IF(AND(C1885&lt;&gt;"", J1885&lt;&gt;""), HYPERLINK("#'" &amp; C1885 &amp; "'!" &amp; J1885, J1885), "")</f>
        <v/>
      </c>
    </row>
    <row r="1886">
      <c r="B1886" s="21">
        <f>IF(AND(C1886&lt;&gt;"", J1886&lt;&gt;""), HYPERLINK("#'" &amp; C1886 &amp; "'!" &amp; J1886, J1886), "")</f>
        <v/>
      </c>
    </row>
    <row r="1887">
      <c r="B1887" s="21">
        <f>IF(AND(C1887&lt;&gt;"", J1887&lt;&gt;""), HYPERLINK("#'" &amp; C1887 &amp; "'!" &amp; J1887, J1887), "")</f>
        <v/>
      </c>
    </row>
    <row r="1888">
      <c r="B1888" s="21">
        <f>IF(AND(C1888&lt;&gt;"", J1888&lt;&gt;""), HYPERLINK("#'" &amp; C1888 &amp; "'!" &amp; J1888, J1888), "")</f>
        <v/>
      </c>
    </row>
    <row r="1889">
      <c r="B1889" s="21">
        <f>IF(AND(C1889&lt;&gt;"", J1889&lt;&gt;""), HYPERLINK("#'" &amp; C1889 &amp; "'!" &amp; J1889, J1889), "")</f>
        <v/>
      </c>
    </row>
    <row r="1890">
      <c r="B1890" s="21">
        <f>IF(AND(C1890&lt;&gt;"", J1890&lt;&gt;""), HYPERLINK("#'" &amp; C1890 &amp; "'!" &amp; J1890, J1890), "")</f>
        <v/>
      </c>
    </row>
    <row r="1891">
      <c r="B1891" s="21">
        <f>IF(AND(C1891&lt;&gt;"", J1891&lt;&gt;""), HYPERLINK("#'" &amp; C1891 &amp; "'!" &amp; J1891, J1891), "")</f>
        <v/>
      </c>
    </row>
    <row r="1892">
      <c r="B1892" s="21">
        <f>IF(AND(C1892&lt;&gt;"", J1892&lt;&gt;""), HYPERLINK("#'" &amp; C1892 &amp; "'!" &amp; J1892, J1892), "")</f>
        <v/>
      </c>
    </row>
    <row r="1893">
      <c r="B1893" s="21">
        <f>IF(AND(C1893&lt;&gt;"", J1893&lt;&gt;""), HYPERLINK("#'" &amp; C1893 &amp; "'!" &amp; J1893, J1893), "")</f>
        <v/>
      </c>
    </row>
    <row r="1894">
      <c r="B1894" s="21">
        <f>IF(AND(C1894&lt;&gt;"", J1894&lt;&gt;""), HYPERLINK("#'" &amp; C1894 &amp; "'!" &amp; J1894, J1894), "")</f>
        <v/>
      </c>
    </row>
    <row r="1895">
      <c r="B1895" s="21">
        <f>IF(AND(C1895&lt;&gt;"", J1895&lt;&gt;""), HYPERLINK("#'" &amp; C1895 &amp; "'!" &amp; J1895, J1895), "")</f>
        <v/>
      </c>
    </row>
    <row r="1896">
      <c r="B1896" s="21">
        <f>IF(AND(C1896&lt;&gt;"", J1896&lt;&gt;""), HYPERLINK("#'" &amp; C1896 &amp; "'!" &amp; J1896, J1896), "")</f>
        <v/>
      </c>
    </row>
    <row r="1897">
      <c r="B1897" s="21">
        <f>IF(AND(C1897&lt;&gt;"", J1897&lt;&gt;""), HYPERLINK("#'" &amp; C1897 &amp; "'!" &amp; J1897, J1897), "")</f>
        <v/>
      </c>
    </row>
    <row r="1898">
      <c r="B1898" s="21">
        <f>IF(AND(C1898&lt;&gt;"", J1898&lt;&gt;""), HYPERLINK("#'" &amp; C1898 &amp; "'!" &amp; J1898, J1898), "")</f>
        <v/>
      </c>
    </row>
    <row r="1899">
      <c r="B1899" s="21">
        <f>IF(AND(C1899&lt;&gt;"", J1899&lt;&gt;""), HYPERLINK("#'" &amp; C1899 &amp; "'!" &amp; J1899, J1899), "")</f>
        <v/>
      </c>
    </row>
    <row r="1900">
      <c r="B1900" s="21">
        <f>IF(AND(C1900&lt;&gt;"", J1900&lt;&gt;""), HYPERLINK("#'" &amp; C1900 &amp; "'!" &amp; J1900, J1900), "")</f>
        <v/>
      </c>
    </row>
    <row r="1901">
      <c r="B1901" s="21">
        <f>IF(AND(C1901&lt;&gt;"", J1901&lt;&gt;""), HYPERLINK("#'" &amp; C1901 &amp; "'!" &amp; J1901, J1901), "")</f>
        <v/>
      </c>
    </row>
    <row r="1902">
      <c r="B1902" s="21">
        <f>IF(AND(C1902&lt;&gt;"", J1902&lt;&gt;""), HYPERLINK("#'" &amp; C1902 &amp; "'!" &amp; J1902, J1902), "")</f>
        <v/>
      </c>
    </row>
    <row r="1903">
      <c r="B1903" s="21">
        <f>IF(AND(C1903&lt;&gt;"", J1903&lt;&gt;""), HYPERLINK("#'" &amp; C1903 &amp; "'!" &amp; J1903, J1903), "")</f>
        <v/>
      </c>
    </row>
    <row r="1904">
      <c r="B1904" s="21">
        <f>IF(AND(C1904&lt;&gt;"", J1904&lt;&gt;""), HYPERLINK("#'" &amp; C1904 &amp; "'!" &amp; J1904, J1904), "")</f>
        <v/>
      </c>
    </row>
    <row r="1905">
      <c r="B1905" s="21">
        <f>IF(AND(C1905&lt;&gt;"", J1905&lt;&gt;""), HYPERLINK("#'" &amp; C1905 &amp; "'!" &amp; J1905, J1905), "")</f>
        <v/>
      </c>
    </row>
    <row r="1906">
      <c r="B1906" s="21">
        <f>IF(AND(C1906&lt;&gt;"", J1906&lt;&gt;""), HYPERLINK("#'" &amp; C1906 &amp; "'!" &amp; J1906, J1906), "")</f>
        <v/>
      </c>
    </row>
    <row r="1907">
      <c r="B1907" s="21">
        <f>IF(AND(C1907&lt;&gt;"", J1907&lt;&gt;""), HYPERLINK("#'" &amp; C1907 &amp; "'!" &amp; J1907, J1907), "")</f>
        <v/>
      </c>
    </row>
    <row r="1908">
      <c r="B1908" s="21">
        <f>IF(AND(C1908&lt;&gt;"", J1908&lt;&gt;""), HYPERLINK("#'" &amp; C1908 &amp; "'!" &amp; J1908, J1908), "")</f>
        <v/>
      </c>
    </row>
    <row r="1909">
      <c r="B1909" s="21">
        <f>IF(AND(C1909&lt;&gt;"", J1909&lt;&gt;""), HYPERLINK("#'" &amp; C1909 &amp; "'!" &amp; J1909, J1909), "")</f>
        <v/>
      </c>
    </row>
    <row r="1910">
      <c r="B1910" s="21">
        <f>IF(AND(C1910&lt;&gt;"", J1910&lt;&gt;""), HYPERLINK("#'" &amp; C1910 &amp; "'!" &amp; J1910, J1910), "")</f>
        <v/>
      </c>
    </row>
    <row r="1911">
      <c r="B1911" s="21">
        <f>IF(AND(C1911&lt;&gt;"", J1911&lt;&gt;""), HYPERLINK("#'" &amp; C1911 &amp; "'!" &amp; J1911, J1911), "")</f>
        <v/>
      </c>
    </row>
    <row r="1912">
      <c r="B1912" s="21">
        <f>IF(AND(C1912&lt;&gt;"", J1912&lt;&gt;""), HYPERLINK("#'" &amp; C1912 &amp; "'!" &amp; J1912, J1912), "")</f>
        <v/>
      </c>
    </row>
    <row r="1913">
      <c r="B1913" s="21">
        <f>IF(AND(C1913&lt;&gt;"", J1913&lt;&gt;""), HYPERLINK("#'" &amp; C1913 &amp; "'!" &amp; J1913, J1913), "")</f>
        <v/>
      </c>
    </row>
    <row r="1914">
      <c r="B1914" s="21">
        <f>IF(AND(C1914&lt;&gt;"", J1914&lt;&gt;""), HYPERLINK("#'" &amp; C1914 &amp; "'!" &amp; J1914, J1914), "")</f>
        <v/>
      </c>
    </row>
    <row r="1915">
      <c r="B1915" s="21">
        <f>IF(AND(C1915&lt;&gt;"", J1915&lt;&gt;""), HYPERLINK("#'" &amp; C1915 &amp; "'!" &amp; J1915, J1915), "")</f>
        <v/>
      </c>
    </row>
    <row r="1916">
      <c r="B1916" s="21">
        <f>IF(AND(C1916&lt;&gt;"", J1916&lt;&gt;""), HYPERLINK("#'" &amp; C1916 &amp; "'!" &amp; J1916, J1916), "")</f>
        <v/>
      </c>
    </row>
    <row r="1917">
      <c r="B1917" s="21">
        <f>IF(AND(C1917&lt;&gt;"", J1917&lt;&gt;""), HYPERLINK("#'" &amp; C1917 &amp; "'!" &amp; J1917, J1917), "")</f>
        <v/>
      </c>
    </row>
    <row r="1918">
      <c r="B1918" s="21">
        <f>IF(AND(C1918&lt;&gt;"", J1918&lt;&gt;""), HYPERLINK("#'" &amp; C1918 &amp; "'!" &amp; J1918, J1918), "")</f>
        <v/>
      </c>
    </row>
    <row r="1919">
      <c r="B1919" s="21">
        <f>IF(AND(C1919&lt;&gt;"", J1919&lt;&gt;""), HYPERLINK("#'" &amp; C1919 &amp; "'!" &amp; J1919, J1919), "")</f>
        <v/>
      </c>
    </row>
    <row r="1920">
      <c r="B1920" s="21">
        <f>IF(AND(C1920&lt;&gt;"", J1920&lt;&gt;""), HYPERLINK("#'" &amp; C1920 &amp; "'!" &amp; J1920, J1920), "")</f>
        <v/>
      </c>
    </row>
    <row r="1921">
      <c r="B1921" s="21">
        <f>IF(AND(C1921&lt;&gt;"", J1921&lt;&gt;""), HYPERLINK("#'" &amp; C1921 &amp; "'!" &amp; J1921, J1921), "")</f>
        <v/>
      </c>
    </row>
    <row r="1922">
      <c r="B1922" s="21">
        <f>IF(AND(C1922&lt;&gt;"", J1922&lt;&gt;""), HYPERLINK("#'" &amp; C1922 &amp; "'!" &amp; J1922, J1922), "")</f>
        <v/>
      </c>
    </row>
    <row r="1923">
      <c r="B1923" s="21">
        <f>IF(AND(C1923&lt;&gt;"", J1923&lt;&gt;""), HYPERLINK("#'" &amp; C1923 &amp; "'!" &amp; J1923, J1923), "")</f>
        <v/>
      </c>
    </row>
    <row r="1924">
      <c r="B1924" s="21">
        <f>IF(AND(C1924&lt;&gt;"", J1924&lt;&gt;""), HYPERLINK("#'" &amp; C1924 &amp; "'!" &amp; J1924, J1924), "")</f>
        <v/>
      </c>
    </row>
    <row r="1925">
      <c r="B1925" s="21">
        <f>IF(AND(C1925&lt;&gt;"", J1925&lt;&gt;""), HYPERLINK("#'" &amp; C1925 &amp; "'!" &amp; J1925, J1925), "")</f>
        <v/>
      </c>
    </row>
    <row r="1926">
      <c r="B1926" s="21">
        <f>IF(AND(C1926&lt;&gt;"", J1926&lt;&gt;""), HYPERLINK("#'" &amp; C1926 &amp; "'!" &amp; J1926, J1926), "")</f>
        <v/>
      </c>
    </row>
    <row r="1927">
      <c r="B1927" s="21">
        <f>IF(AND(C1927&lt;&gt;"", J1927&lt;&gt;""), HYPERLINK("#'" &amp; C1927 &amp; "'!" &amp; J1927, J1927), "")</f>
        <v/>
      </c>
    </row>
    <row r="1928">
      <c r="B1928" s="21">
        <f>IF(AND(C1928&lt;&gt;"", J1928&lt;&gt;""), HYPERLINK("#'" &amp; C1928 &amp; "'!" &amp; J1928, J1928), "")</f>
        <v/>
      </c>
    </row>
    <row r="1929">
      <c r="B1929" s="21">
        <f>IF(AND(C1929&lt;&gt;"", J1929&lt;&gt;""), HYPERLINK("#'" &amp; C1929 &amp; "'!" &amp; J1929, J1929), "")</f>
        <v/>
      </c>
    </row>
    <row r="1930">
      <c r="B1930" s="21">
        <f>IF(AND(C1930&lt;&gt;"", J1930&lt;&gt;""), HYPERLINK("#'" &amp; C1930 &amp; "'!" &amp; J1930, J1930), "")</f>
        <v/>
      </c>
    </row>
    <row r="1931">
      <c r="B1931" s="21">
        <f>IF(AND(C1931&lt;&gt;"", J1931&lt;&gt;""), HYPERLINK("#'" &amp; C1931 &amp; "'!" &amp; J1931, J1931), "")</f>
        <v/>
      </c>
    </row>
    <row r="1932">
      <c r="B1932" s="21">
        <f>IF(AND(C1932&lt;&gt;"", J1932&lt;&gt;""), HYPERLINK("#'" &amp; C1932 &amp; "'!" &amp; J1932, J1932), "")</f>
        <v/>
      </c>
    </row>
    <row r="1933">
      <c r="B1933" s="21">
        <f>IF(AND(C1933&lt;&gt;"", J1933&lt;&gt;""), HYPERLINK("#'" &amp; C1933 &amp; "'!" &amp; J1933, J1933), "")</f>
        <v/>
      </c>
    </row>
    <row r="1934">
      <c r="B1934" s="21">
        <f>IF(AND(C1934&lt;&gt;"", J1934&lt;&gt;""), HYPERLINK("#'" &amp; C1934 &amp; "'!" &amp; J1934, J1934), "")</f>
        <v/>
      </c>
    </row>
    <row r="1935">
      <c r="B1935" s="21">
        <f>IF(AND(C1935&lt;&gt;"", J1935&lt;&gt;""), HYPERLINK("#'" &amp; C1935 &amp; "'!" &amp; J1935, J1935), "")</f>
        <v/>
      </c>
    </row>
    <row r="1936">
      <c r="B1936" s="21">
        <f>IF(AND(C1936&lt;&gt;"", J1936&lt;&gt;""), HYPERLINK("#'" &amp; C1936 &amp; "'!" &amp; J1936, J1936), "")</f>
        <v/>
      </c>
    </row>
    <row r="1937">
      <c r="B1937" s="21">
        <f>IF(AND(C1937&lt;&gt;"", J1937&lt;&gt;""), HYPERLINK("#'" &amp; C1937 &amp; "'!" &amp; J1937, J1937), "")</f>
        <v/>
      </c>
    </row>
    <row r="1938">
      <c r="B1938" s="21">
        <f>IF(AND(C1938&lt;&gt;"", J1938&lt;&gt;""), HYPERLINK("#'" &amp; C1938 &amp; "'!" &amp; J1938, J1938), "")</f>
        <v/>
      </c>
    </row>
    <row r="1939">
      <c r="B1939" s="21">
        <f>IF(AND(C1939&lt;&gt;"", J1939&lt;&gt;""), HYPERLINK("#'" &amp; C1939 &amp; "'!" &amp; J1939, J1939), "")</f>
        <v/>
      </c>
    </row>
    <row r="1940">
      <c r="B1940" s="21">
        <f>IF(AND(C1940&lt;&gt;"", J1940&lt;&gt;""), HYPERLINK("#'" &amp; C1940 &amp; "'!" &amp; J1940, J1940), "")</f>
        <v/>
      </c>
    </row>
    <row r="1941">
      <c r="B1941" s="21">
        <f>IF(AND(C1941&lt;&gt;"", J1941&lt;&gt;""), HYPERLINK("#'" &amp; C1941 &amp; "'!" &amp; J1941, J1941), "")</f>
        <v/>
      </c>
    </row>
    <row r="1942">
      <c r="B1942" s="21">
        <f>IF(AND(C1942&lt;&gt;"", J1942&lt;&gt;""), HYPERLINK("#'" &amp; C1942 &amp; "'!" &amp; J1942, J1942), "")</f>
        <v/>
      </c>
    </row>
    <row r="1943">
      <c r="B1943" s="21">
        <f>IF(AND(C1943&lt;&gt;"", J1943&lt;&gt;""), HYPERLINK("#'" &amp; C1943 &amp; "'!" &amp; J1943, J1943), "")</f>
        <v/>
      </c>
    </row>
    <row r="1944">
      <c r="B1944" s="21">
        <f>IF(AND(C1944&lt;&gt;"", J1944&lt;&gt;""), HYPERLINK("#'" &amp; C1944 &amp; "'!" &amp; J1944, J1944), "")</f>
        <v/>
      </c>
    </row>
    <row r="1945">
      <c r="B1945" s="21">
        <f>IF(AND(C1945&lt;&gt;"", J1945&lt;&gt;""), HYPERLINK("#'" &amp; C1945 &amp; "'!" &amp; J1945, J1945), "")</f>
        <v/>
      </c>
    </row>
    <row r="1946">
      <c r="B1946" s="21">
        <f>IF(AND(C1946&lt;&gt;"", J1946&lt;&gt;""), HYPERLINK("#'" &amp; C1946 &amp; "'!" &amp; J1946, J1946), "")</f>
        <v/>
      </c>
    </row>
    <row r="1947">
      <c r="B1947" s="21">
        <f>IF(AND(C1947&lt;&gt;"", J1947&lt;&gt;""), HYPERLINK("#'" &amp; C1947 &amp; "'!" &amp; J1947, J1947), "")</f>
        <v/>
      </c>
    </row>
    <row r="1948">
      <c r="B1948" s="21">
        <f>IF(AND(C1948&lt;&gt;"", J1948&lt;&gt;""), HYPERLINK("#'" &amp; C1948 &amp; "'!" &amp; J1948, J1948), "")</f>
        <v/>
      </c>
    </row>
    <row r="1949">
      <c r="B1949" s="21">
        <f>IF(AND(C1949&lt;&gt;"", J1949&lt;&gt;""), HYPERLINK("#'" &amp; C1949 &amp; "'!" &amp; J1949, J1949), "")</f>
        <v/>
      </c>
    </row>
    <row r="1950">
      <c r="B1950" s="21">
        <f>IF(AND(C1950&lt;&gt;"", J1950&lt;&gt;""), HYPERLINK("#'" &amp; C1950 &amp; "'!" &amp; J1950, J1950), "")</f>
        <v/>
      </c>
    </row>
    <row r="1951">
      <c r="B1951" s="21">
        <f>IF(AND(C1951&lt;&gt;"", J1951&lt;&gt;""), HYPERLINK("#'" &amp; C1951 &amp; "'!" &amp; J1951, J1951), "")</f>
        <v/>
      </c>
    </row>
    <row r="1952">
      <c r="B1952" s="21">
        <f>IF(AND(C1952&lt;&gt;"", J1952&lt;&gt;""), HYPERLINK("#'" &amp; C1952 &amp; "'!" &amp; J1952, J1952), "")</f>
        <v/>
      </c>
    </row>
    <row r="1953">
      <c r="B1953" s="21">
        <f>IF(AND(C1953&lt;&gt;"", J1953&lt;&gt;""), HYPERLINK("#'" &amp; C1953 &amp; "'!" &amp; J1953, J1953), "")</f>
        <v/>
      </c>
    </row>
    <row r="1954">
      <c r="B1954" s="21">
        <f>IF(AND(C1954&lt;&gt;"", J1954&lt;&gt;""), HYPERLINK("#'" &amp; C1954 &amp; "'!" &amp; J1954, J1954), "")</f>
        <v/>
      </c>
    </row>
    <row r="1955">
      <c r="B1955" s="21">
        <f>IF(AND(C1955&lt;&gt;"", J1955&lt;&gt;""), HYPERLINK("#'" &amp; C1955 &amp; "'!" &amp; J1955, J1955), "")</f>
        <v/>
      </c>
    </row>
    <row r="1956">
      <c r="B1956" s="21">
        <f>IF(AND(C1956&lt;&gt;"", J1956&lt;&gt;""), HYPERLINK("#'" &amp; C1956 &amp; "'!" &amp; J1956, J1956), "")</f>
        <v/>
      </c>
    </row>
    <row r="1957">
      <c r="B1957" s="21">
        <f>IF(AND(C1957&lt;&gt;"", J1957&lt;&gt;""), HYPERLINK("#'" &amp; C1957 &amp; "'!" &amp; J1957, J1957), "")</f>
        <v/>
      </c>
    </row>
    <row r="1958">
      <c r="B1958" s="21">
        <f>IF(AND(C1958&lt;&gt;"", J1958&lt;&gt;""), HYPERLINK("#'" &amp; C1958 &amp; "'!" &amp; J1958, J1958), "")</f>
        <v/>
      </c>
    </row>
    <row r="1959">
      <c r="B1959" s="21">
        <f>IF(AND(C1959&lt;&gt;"", J1959&lt;&gt;""), HYPERLINK("#'" &amp; C1959 &amp; "'!" &amp; J1959, J1959), "")</f>
        <v/>
      </c>
    </row>
    <row r="1960">
      <c r="B1960" s="21">
        <f>IF(AND(C1960&lt;&gt;"", J1960&lt;&gt;""), HYPERLINK("#'" &amp; C1960 &amp; "'!" &amp; J1960, J1960), "")</f>
        <v/>
      </c>
    </row>
    <row r="1961">
      <c r="B1961" s="21">
        <f>IF(AND(C1961&lt;&gt;"", J1961&lt;&gt;""), HYPERLINK("#'" &amp; C1961 &amp; "'!" &amp; J1961, J1961), "")</f>
        <v/>
      </c>
    </row>
    <row r="1962">
      <c r="B1962" s="21">
        <f>IF(AND(C1962&lt;&gt;"", J1962&lt;&gt;""), HYPERLINK("#'" &amp; C1962 &amp; "'!" &amp; J1962, J1962), "")</f>
        <v/>
      </c>
    </row>
    <row r="1963">
      <c r="B1963" s="21">
        <f>IF(AND(C1963&lt;&gt;"", J1963&lt;&gt;""), HYPERLINK("#'" &amp; C1963 &amp; "'!" &amp; J1963, J1963), "")</f>
        <v/>
      </c>
    </row>
    <row r="1964">
      <c r="B1964" s="21">
        <f>IF(AND(C1964&lt;&gt;"", J1964&lt;&gt;""), HYPERLINK("#'" &amp; C1964 &amp; "'!" &amp; J1964, J1964), "")</f>
        <v/>
      </c>
    </row>
    <row r="1965">
      <c r="B1965" s="21">
        <f>IF(AND(C1965&lt;&gt;"", J1965&lt;&gt;""), HYPERLINK("#'" &amp; C1965 &amp; "'!" &amp; J1965, J1965), "")</f>
        <v/>
      </c>
    </row>
    <row r="1966">
      <c r="B1966" s="21">
        <f>IF(AND(C1966&lt;&gt;"", J1966&lt;&gt;""), HYPERLINK("#'" &amp; C1966 &amp; "'!" &amp; J1966, J1966), "")</f>
        <v/>
      </c>
    </row>
    <row r="1967">
      <c r="B1967" s="21">
        <f>IF(AND(C1967&lt;&gt;"", J1967&lt;&gt;""), HYPERLINK("#'" &amp; C1967 &amp; "'!" &amp; J1967, J1967), "")</f>
        <v/>
      </c>
    </row>
    <row r="1968">
      <c r="B1968" s="21">
        <f>IF(AND(C1968&lt;&gt;"", J1968&lt;&gt;""), HYPERLINK("#'" &amp; C1968 &amp; "'!" &amp; J1968, J1968), "")</f>
        <v/>
      </c>
    </row>
    <row r="1969">
      <c r="B1969" s="21">
        <f>IF(AND(C1969&lt;&gt;"", J1969&lt;&gt;""), HYPERLINK("#'" &amp; C1969 &amp; "'!" &amp; J1969, J1969), "")</f>
        <v/>
      </c>
    </row>
    <row r="1970">
      <c r="B1970" s="21">
        <f>IF(AND(C1970&lt;&gt;"", J1970&lt;&gt;""), HYPERLINK("#'" &amp; C1970 &amp; "'!" &amp; J1970, J1970), "")</f>
        <v/>
      </c>
    </row>
    <row r="1971">
      <c r="B1971" s="21">
        <f>IF(AND(C1971&lt;&gt;"", J1971&lt;&gt;""), HYPERLINK("#'" &amp; C1971 &amp; "'!" &amp; J1971, J1971), "")</f>
        <v/>
      </c>
    </row>
    <row r="1972">
      <c r="B1972" s="21">
        <f>IF(AND(C1972&lt;&gt;"", J1972&lt;&gt;""), HYPERLINK("#'" &amp; C1972 &amp; "'!" &amp; J1972, J1972), "")</f>
        <v/>
      </c>
    </row>
    <row r="1973">
      <c r="B1973" s="21">
        <f>IF(AND(C1973&lt;&gt;"", J1973&lt;&gt;""), HYPERLINK("#'" &amp; C1973 &amp; "'!" &amp; J1973, J1973), "")</f>
        <v/>
      </c>
    </row>
    <row r="1974">
      <c r="B1974" s="21">
        <f>IF(AND(C1974&lt;&gt;"", J1974&lt;&gt;""), HYPERLINK("#'" &amp; C1974 &amp; "'!" &amp; J1974, J1974), "")</f>
        <v/>
      </c>
    </row>
    <row r="1975">
      <c r="B1975" s="21">
        <f>IF(AND(C1975&lt;&gt;"", J1975&lt;&gt;""), HYPERLINK("#'" &amp; C1975 &amp; "'!" &amp; J1975, J1975), "")</f>
        <v/>
      </c>
    </row>
    <row r="1976">
      <c r="B1976" s="21">
        <f>IF(AND(C1976&lt;&gt;"", J1976&lt;&gt;""), HYPERLINK("#'" &amp; C1976 &amp; "'!" &amp; J1976, J1976), "")</f>
        <v/>
      </c>
    </row>
    <row r="1977">
      <c r="B1977" s="21">
        <f>IF(AND(C1977&lt;&gt;"", J1977&lt;&gt;""), HYPERLINK("#'" &amp; C1977 &amp; "'!" &amp; J1977, J1977), "")</f>
        <v/>
      </c>
    </row>
    <row r="1978">
      <c r="B1978" s="21">
        <f>IF(AND(C1978&lt;&gt;"", J1978&lt;&gt;""), HYPERLINK("#'" &amp; C1978 &amp; "'!" &amp; J1978, J1978), "")</f>
        <v/>
      </c>
    </row>
    <row r="1979">
      <c r="B1979" s="21">
        <f>IF(AND(C1979&lt;&gt;"", J1979&lt;&gt;""), HYPERLINK("#'" &amp; C1979 &amp; "'!" &amp; J1979, J1979), "")</f>
        <v/>
      </c>
    </row>
    <row r="1980">
      <c r="B1980" s="21">
        <f>IF(AND(C1980&lt;&gt;"", J1980&lt;&gt;""), HYPERLINK("#'" &amp; C1980 &amp; "'!" &amp; J1980, J1980), "")</f>
        <v/>
      </c>
    </row>
    <row r="1981">
      <c r="B1981" s="21">
        <f>IF(AND(C1981&lt;&gt;"", J1981&lt;&gt;""), HYPERLINK("#'" &amp; C1981 &amp; "'!" &amp; J1981, J1981), "")</f>
        <v/>
      </c>
    </row>
    <row r="1982">
      <c r="B1982" s="21">
        <f>IF(AND(C1982&lt;&gt;"", J1982&lt;&gt;""), HYPERLINK("#'" &amp; C1982 &amp; "'!" &amp; J1982, J1982), "")</f>
        <v/>
      </c>
    </row>
    <row r="1983">
      <c r="B1983" s="21">
        <f>IF(AND(C1983&lt;&gt;"", J1983&lt;&gt;""), HYPERLINK("#'" &amp; C1983 &amp; "'!" &amp; J1983, J1983), "")</f>
        <v/>
      </c>
    </row>
    <row r="1984">
      <c r="B1984" s="21">
        <f>IF(AND(C1984&lt;&gt;"", J1984&lt;&gt;""), HYPERLINK("#'" &amp; C1984 &amp; "'!" &amp; J1984, J1984), "")</f>
        <v/>
      </c>
    </row>
    <row r="1985">
      <c r="B1985" s="21">
        <f>IF(AND(C1985&lt;&gt;"", J1985&lt;&gt;""), HYPERLINK("#'" &amp; C1985 &amp; "'!" &amp; J1985, J1985), "")</f>
        <v/>
      </c>
    </row>
    <row r="1986">
      <c r="B1986" s="21">
        <f>IF(AND(C1986&lt;&gt;"", J1986&lt;&gt;""), HYPERLINK("#'" &amp; C1986 &amp; "'!" &amp; J1986, J1986), "")</f>
        <v/>
      </c>
    </row>
    <row r="1987">
      <c r="B1987" s="21">
        <f>IF(AND(C1987&lt;&gt;"", J1987&lt;&gt;""), HYPERLINK("#'" &amp; C1987 &amp; "'!" &amp; J1987, J1987), "")</f>
        <v/>
      </c>
    </row>
    <row r="1988">
      <c r="B1988" s="21">
        <f>IF(AND(C1988&lt;&gt;"", J1988&lt;&gt;""), HYPERLINK("#'" &amp; C1988 &amp; "'!" &amp; J1988, J1988), "")</f>
        <v/>
      </c>
    </row>
    <row r="1989">
      <c r="B1989" s="21">
        <f>IF(AND(C1989&lt;&gt;"", J1989&lt;&gt;""), HYPERLINK("#'" &amp; C1989 &amp; "'!" &amp; J1989, J1989), "")</f>
        <v/>
      </c>
    </row>
    <row r="1990">
      <c r="B1990" s="21">
        <f>IF(AND(C1990&lt;&gt;"", J1990&lt;&gt;""), HYPERLINK("#'" &amp; C1990 &amp; "'!" &amp; J1990, J1990), "")</f>
        <v/>
      </c>
    </row>
    <row r="1991">
      <c r="B1991" s="21">
        <f>IF(AND(C1991&lt;&gt;"", J1991&lt;&gt;""), HYPERLINK("#'" &amp; C1991 &amp; "'!" &amp; J1991, J1991), "")</f>
        <v/>
      </c>
    </row>
    <row r="1992">
      <c r="B1992" s="21">
        <f>IF(AND(C1992&lt;&gt;"", J1992&lt;&gt;""), HYPERLINK("#'" &amp; C1992 &amp; "'!" &amp; J1992, J1992), "")</f>
        <v/>
      </c>
    </row>
    <row r="1993">
      <c r="B1993" s="21">
        <f>IF(AND(C1993&lt;&gt;"", J1993&lt;&gt;""), HYPERLINK("#'" &amp; C1993 &amp; "'!" &amp; J1993, J1993), "")</f>
        <v/>
      </c>
    </row>
    <row r="1994">
      <c r="B1994" s="21">
        <f>IF(AND(C1994&lt;&gt;"", J1994&lt;&gt;""), HYPERLINK("#'" &amp; C1994 &amp; "'!" &amp; J1994, J1994), "")</f>
        <v/>
      </c>
    </row>
    <row r="1995">
      <c r="B1995" s="21">
        <f>IF(AND(C1995&lt;&gt;"", J1995&lt;&gt;""), HYPERLINK("#'" &amp; C1995 &amp; "'!" &amp; J1995, J1995), "")</f>
        <v/>
      </c>
    </row>
    <row r="1996">
      <c r="B1996" s="21">
        <f>IF(AND(C1996&lt;&gt;"", J1996&lt;&gt;""), HYPERLINK("#'" &amp; C1996 &amp; "'!" &amp; J1996, J1996), "")</f>
        <v/>
      </c>
    </row>
    <row r="1997">
      <c r="B1997" s="21">
        <f>IF(AND(C1997&lt;&gt;"", J1997&lt;&gt;""), HYPERLINK("#'" &amp; C1997 &amp; "'!" &amp; J1997, J1997), "")</f>
        <v/>
      </c>
    </row>
    <row r="1998">
      <c r="B1998" s="21">
        <f>IF(AND(C1998&lt;&gt;"", J1998&lt;&gt;""), HYPERLINK("#'" &amp; C1998 &amp; "'!" &amp; J1998, J1998), "")</f>
        <v/>
      </c>
    </row>
    <row r="1999">
      <c r="B1999" s="21">
        <f>IF(AND(C1999&lt;&gt;"", J1999&lt;&gt;""), HYPERLINK("#'" &amp; C1999 &amp; "'!" &amp; J1999, J1999), "")</f>
        <v/>
      </c>
    </row>
    <row r="2000">
      <c r="B2000" s="21">
        <f>IF(AND(C2000&lt;&gt;"", J2000&lt;&gt;""), HYPERLINK("#'" &amp; C2000 &amp; "'!" &amp; J2000, J2000), "")</f>
        <v/>
      </c>
    </row>
    <row r="2001">
      <c r="B2001" s="21">
        <f>IF(AND(C2001&lt;&gt;"", J2001&lt;&gt;""), HYPERLINK("#'" &amp; C2001 &amp; "'!" &amp; J2001, J2001), "")</f>
        <v/>
      </c>
    </row>
    <row r="2002">
      <c r="B2002" s="21">
        <f>IF(AND(C2002&lt;&gt;"", J2002&lt;&gt;""), HYPERLINK("#'" &amp; C2002 &amp; "'!" &amp; J2002, J2002), "")</f>
        <v/>
      </c>
    </row>
    <row r="2003">
      <c r="B2003" s="21">
        <f>IF(AND(C2003&lt;&gt;"", J2003&lt;&gt;""), HYPERLINK("#'" &amp; C2003 &amp; "'!" &amp; J2003, J2003), "")</f>
        <v/>
      </c>
    </row>
    <row r="2004">
      <c r="B2004" s="21">
        <f>IF(AND(C2004&lt;&gt;"", J2004&lt;&gt;""), HYPERLINK("#'" &amp; C2004 &amp; "'!" &amp; J2004, J2004), "")</f>
        <v/>
      </c>
    </row>
    <row r="2005">
      <c r="B2005" s="21">
        <f>IF(AND(C2005&lt;&gt;"", J2005&lt;&gt;""), HYPERLINK("#'" &amp; C2005 &amp; "'!" &amp; J2005, J2005), "")</f>
        <v/>
      </c>
    </row>
    <row r="2006">
      <c r="B2006" s="21">
        <f>IF(AND(C2006&lt;&gt;"", J2006&lt;&gt;""), HYPERLINK("#'" &amp; C2006 &amp; "'!" &amp; J2006, J2006), "")</f>
        <v/>
      </c>
    </row>
    <row r="2007">
      <c r="B2007" s="21">
        <f>IF(AND(C2007&lt;&gt;"", J2007&lt;&gt;""), HYPERLINK("#'" &amp; C2007 &amp; "'!" &amp; J2007, J2007), "")</f>
        <v/>
      </c>
    </row>
    <row r="2008">
      <c r="B2008" s="21">
        <f>IF(AND(C2008&lt;&gt;"", J2008&lt;&gt;""), HYPERLINK("#'" &amp; C2008 &amp; "'!" &amp; J2008, J2008), "")</f>
        <v/>
      </c>
    </row>
    <row r="2009">
      <c r="B2009" s="21">
        <f>IF(AND(C2009&lt;&gt;"", J2009&lt;&gt;""), HYPERLINK("#'" &amp; C2009 &amp; "'!" &amp; J2009, J2009), "")</f>
        <v/>
      </c>
    </row>
    <row r="2010">
      <c r="B2010" s="21">
        <f>IF(AND(C2010&lt;&gt;"", J2010&lt;&gt;""), HYPERLINK("#'" &amp; C2010 &amp; "'!" &amp; J2010, J2010), "")</f>
        <v/>
      </c>
    </row>
    <row r="2011">
      <c r="B2011" s="21">
        <f>IF(AND(C2011&lt;&gt;"", J2011&lt;&gt;""), HYPERLINK("#'" &amp; C2011 &amp; "'!" &amp; J2011, J2011), "")</f>
        <v/>
      </c>
    </row>
    <row r="2012">
      <c r="B2012" s="21">
        <f>IF(AND(C2012&lt;&gt;"", J2012&lt;&gt;""), HYPERLINK("#'" &amp; C2012 &amp; "'!" &amp; J2012, J2012), "")</f>
        <v/>
      </c>
    </row>
    <row r="2013">
      <c r="B2013" s="21">
        <f>IF(AND(C2013&lt;&gt;"", J2013&lt;&gt;""), HYPERLINK("#'" &amp; C2013 &amp; "'!" &amp; J2013, J2013), "")</f>
        <v/>
      </c>
    </row>
    <row r="2014">
      <c r="B2014" s="21">
        <f>IF(AND(C2014&lt;&gt;"", J2014&lt;&gt;""), HYPERLINK("#'" &amp; C2014 &amp; "'!" &amp; J2014, J2014), "")</f>
        <v/>
      </c>
    </row>
    <row r="2015">
      <c r="B2015" s="21">
        <f>IF(AND(C2015&lt;&gt;"", J2015&lt;&gt;""), HYPERLINK("#'" &amp; C2015 &amp; "'!" &amp; J2015, J2015), "")</f>
        <v/>
      </c>
    </row>
    <row r="2016">
      <c r="B2016" s="21">
        <f>IF(AND(C2016&lt;&gt;"", J2016&lt;&gt;""), HYPERLINK("#'" &amp; C2016 &amp; "'!" &amp; J2016, J2016), "")</f>
        <v/>
      </c>
    </row>
    <row r="2017">
      <c r="B2017" s="21">
        <f>IF(AND(C2017&lt;&gt;"", J2017&lt;&gt;""), HYPERLINK("#'" &amp; C2017 &amp; "'!" &amp; J2017, J2017), "")</f>
        <v/>
      </c>
    </row>
    <row r="2018">
      <c r="B2018" s="21">
        <f>IF(AND(C2018&lt;&gt;"", J2018&lt;&gt;""), HYPERLINK("#'" &amp; C2018 &amp; "'!" &amp; J2018, J2018), "")</f>
        <v/>
      </c>
    </row>
    <row r="2019">
      <c r="B2019" s="21">
        <f>IF(AND(C2019&lt;&gt;"", J2019&lt;&gt;""), HYPERLINK("#'" &amp; C2019 &amp; "'!" &amp; J2019, J2019), "")</f>
        <v/>
      </c>
    </row>
    <row r="2020">
      <c r="B2020" s="21">
        <f>IF(AND(C2020&lt;&gt;"", J2020&lt;&gt;""), HYPERLINK("#'" &amp; C2020 &amp; "'!" &amp; J2020, J2020), "")</f>
        <v/>
      </c>
    </row>
    <row r="2021">
      <c r="B2021" s="21">
        <f>IF(AND(C2021&lt;&gt;"", J2021&lt;&gt;""), HYPERLINK("#'" &amp; C2021 &amp; "'!" &amp; J2021, J2021), "")</f>
        <v/>
      </c>
    </row>
    <row r="2022">
      <c r="B2022" s="21">
        <f>IF(AND(C2022&lt;&gt;"", J2022&lt;&gt;""), HYPERLINK("#'" &amp; C2022 &amp; "'!" &amp; J2022, J2022), "")</f>
        <v/>
      </c>
    </row>
    <row r="2023">
      <c r="B2023" s="21">
        <f>IF(AND(C2023&lt;&gt;"", J2023&lt;&gt;""), HYPERLINK("#'" &amp; C2023 &amp; "'!" &amp; J2023, J2023), "")</f>
        <v/>
      </c>
    </row>
    <row r="2024">
      <c r="B2024" s="21">
        <f>IF(AND(C2024&lt;&gt;"", J2024&lt;&gt;""), HYPERLINK("#'" &amp; C2024 &amp; "'!" &amp; J2024, J2024), "")</f>
        <v/>
      </c>
    </row>
    <row r="2025">
      <c r="B2025" s="21">
        <f>IF(AND(C2025&lt;&gt;"", J2025&lt;&gt;""), HYPERLINK("#'" &amp; C2025 &amp; "'!" &amp; J2025, J2025), "")</f>
        <v/>
      </c>
    </row>
    <row r="2026">
      <c r="B2026" s="21">
        <f>IF(AND(C2026&lt;&gt;"", J2026&lt;&gt;""), HYPERLINK("#'" &amp; C2026 &amp; "'!" &amp; J2026, J2026), "")</f>
        <v/>
      </c>
    </row>
    <row r="2027">
      <c r="B2027" s="21">
        <f>IF(AND(C2027&lt;&gt;"", J2027&lt;&gt;""), HYPERLINK("#'" &amp; C2027 &amp; "'!" &amp; J2027, J2027), "")</f>
        <v/>
      </c>
    </row>
    <row r="2028">
      <c r="B2028" s="21">
        <f>IF(AND(C2028&lt;&gt;"", J2028&lt;&gt;""), HYPERLINK("#'" &amp; C2028 &amp; "'!" &amp; J2028, J2028), "")</f>
        <v/>
      </c>
    </row>
    <row r="2029">
      <c r="B2029" s="21">
        <f>IF(AND(C2029&lt;&gt;"", J2029&lt;&gt;""), HYPERLINK("#'" &amp; C2029 &amp; "'!" &amp; J2029, J2029), "")</f>
        <v/>
      </c>
    </row>
    <row r="2030">
      <c r="B2030" s="21">
        <f>IF(AND(C2030&lt;&gt;"", J2030&lt;&gt;""), HYPERLINK("#'" &amp; C2030 &amp; "'!" &amp; J2030, J2030), "")</f>
        <v/>
      </c>
    </row>
    <row r="2031">
      <c r="B2031" s="21">
        <f>IF(AND(C2031&lt;&gt;"", J2031&lt;&gt;""), HYPERLINK("#'" &amp; C2031 &amp; "'!" &amp; J2031, J2031), "")</f>
        <v/>
      </c>
    </row>
    <row r="2032">
      <c r="B2032" s="21">
        <f>IF(AND(C2032&lt;&gt;"", J2032&lt;&gt;""), HYPERLINK("#'" &amp; C2032 &amp; "'!" &amp; J2032, J2032), "")</f>
        <v/>
      </c>
    </row>
    <row r="2033">
      <c r="B2033" s="21">
        <f>IF(AND(C2033&lt;&gt;"", J2033&lt;&gt;""), HYPERLINK("#'" &amp; C2033 &amp; "'!" &amp; J2033, J2033), "")</f>
        <v/>
      </c>
    </row>
    <row r="2034">
      <c r="B2034" s="21">
        <f>IF(AND(C2034&lt;&gt;"", J2034&lt;&gt;""), HYPERLINK("#'" &amp; C2034 &amp; "'!" &amp; J2034, J2034), "")</f>
        <v/>
      </c>
    </row>
    <row r="2035">
      <c r="B2035" s="21">
        <f>IF(AND(C2035&lt;&gt;"", J2035&lt;&gt;""), HYPERLINK("#'" &amp; C2035 &amp; "'!" &amp; J2035, J2035), "")</f>
        <v/>
      </c>
    </row>
    <row r="2036">
      <c r="B2036" s="21">
        <f>IF(AND(C2036&lt;&gt;"", J2036&lt;&gt;""), HYPERLINK("#'" &amp; C2036 &amp; "'!" &amp; J2036, J2036), "")</f>
        <v/>
      </c>
    </row>
    <row r="2037">
      <c r="B2037" s="21">
        <f>IF(AND(C2037&lt;&gt;"", J2037&lt;&gt;""), HYPERLINK("#'" &amp; C2037 &amp; "'!" &amp; J2037, J2037), "")</f>
        <v/>
      </c>
    </row>
    <row r="2038">
      <c r="B2038" s="21">
        <f>IF(AND(C2038&lt;&gt;"", J2038&lt;&gt;""), HYPERLINK("#'" &amp; C2038 &amp; "'!" &amp; J2038, J2038), "")</f>
        <v/>
      </c>
    </row>
    <row r="2039">
      <c r="B2039" s="21">
        <f>IF(AND(C2039&lt;&gt;"", J2039&lt;&gt;""), HYPERLINK("#'" &amp; C2039 &amp; "'!" &amp; J2039, J2039), "")</f>
        <v/>
      </c>
    </row>
    <row r="2040">
      <c r="B2040" s="21">
        <f>IF(AND(C2040&lt;&gt;"", J2040&lt;&gt;""), HYPERLINK("#'" &amp; C2040 &amp; "'!" &amp; J2040, J2040), "")</f>
        <v/>
      </c>
    </row>
    <row r="2041">
      <c r="B2041" s="21">
        <f>IF(AND(C2041&lt;&gt;"", J2041&lt;&gt;""), HYPERLINK("#'" &amp; C2041 &amp; "'!" &amp; J2041, J2041), "")</f>
        <v/>
      </c>
    </row>
    <row r="2042">
      <c r="B2042" s="21">
        <f>IF(AND(C2042&lt;&gt;"", J2042&lt;&gt;""), HYPERLINK("#'" &amp; C2042 &amp; "'!" &amp; J2042, J2042), "")</f>
        <v/>
      </c>
    </row>
    <row r="2043">
      <c r="B2043" s="21">
        <f>IF(AND(C2043&lt;&gt;"", J2043&lt;&gt;""), HYPERLINK("#'" &amp; C2043 &amp; "'!" &amp; J2043, J2043), "")</f>
        <v/>
      </c>
    </row>
    <row r="2044">
      <c r="B2044" s="21">
        <f>IF(AND(C2044&lt;&gt;"", J2044&lt;&gt;""), HYPERLINK("#'" &amp; C2044 &amp; "'!" &amp; J2044, J2044), "")</f>
        <v/>
      </c>
    </row>
    <row r="2045">
      <c r="B2045" s="21">
        <f>IF(AND(C2045&lt;&gt;"", J2045&lt;&gt;""), HYPERLINK("#'" &amp; C2045 &amp; "'!" &amp; J2045, J2045), "")</f>
        <v/>
      </c>
    </row>
    <row r="2046">
      <c r="B2046" s="21">
        <f>IF(AND(C2046&lt;&gt;"", J2046&lt;&gt;""), HYPERLINK("#'" &amp; C2046 &amp; "'!" &amp; J2046, J2046), "")</f>
        <v/>
      </c>
    </row>
    <row r="2047">
      <c r="B2047" s="21">
        <f>IF(AND(C2047&lt;&gt;"", J2047&lt;&gt;""), HYPERLINK("#'" &amp; C2047 &amp; "'!" &amp; J2047, J2047), "")</f>
        <v/>
      </c>
    </row>
    <row r="2048">
      <c r="B2048" s="21">
        <f>IF(AND(C2048&lt;&gt;"", J2048&lt;&gt;""), HYPERLINK("#'" &amp; C2048 &amp; "'!" &amp; J2048, J2048), "")</f>
        <v/>
      </c>
    </row>
    <row r="2049">
      <c r="B2049" s="21">
        <f>IF(AND(C2049&lt;&gt;"", J2049&lt;&gt;""), HYPERLINK("#'" &amp; C2049 &amp; "'!" &amp; J2049, J2049), "")</f>
        <v/>
      </c>
    </row>
    <row r="2050">
      <c r="B2050" s="21">
        <f>IF(AND(C2050&lt;&gt;"", J2050&lt;&gt;""), HYPERLINK("#'" &amp; C2050 &amp; "'!" &amp; J2050, J2050), "")</f>
        <v/>
      </c>
    </row>
    <row r="2051">
      <c r="B2051" s="21">
        <f>IF(AND(C2051&lt;&gt;"", J2051&lt;&gt;""), HYPERLINK("#'" &amp; C2051 &amp; "'!" &amp; J2051, J2051), "")</f>
        <v/>
      </c>
    </row>
    <row r="2052">
      <c r="B2052" s="21">
        <f>IF(AND(C2052&lt;&gt;"", J2052&lt;&gt;""), HYPERLINK("#'" &amp; C2052 &amp; "'!" &amp; J2052, J2052), "")</f>
        <v/>
      </c>
    </row>
    <row r="2053">
      <c r="B2053" s="21">
        <f>IF(AND(C2053&lt;&gt;"", J2053&lt;&gt;""), HYPERLINK("#'" &amp; C2053 &amp; "'!" &amp; J2053, J2053), "")</f>
        <v/>
      </c>
    </row>
    <row r="2054">
      <c r="B2054" s="21">
        <f>IF(AND(C2054&lt;&gt;"", J2054&lt;&gt;""), HYPERLINK("#'" &amp; C2054 &amp; "'!" &amp; J2054, J2054), "")</f>
        <v/>
      </c>
    </row>
    <row r="2055">
      <c r="B2055" s="21">
        <f>IF(AND(C2055&lt;&gt;"", J2055&lt;&gt;""), HYPERLINK("#'" &amp; C2055 &amp; "'!" &amp; J2055, J2055), "")</f>
        <v/>
      </c>
    </row>
    <row r="2056">
      <c r="B2056" s="21">
        <f>IF(AND(C2056&lt;&gt;"", J2056&lt;&gt;""), HYPERLINK("#'" &amp; C2056 &amp; "'!" &amp; J2056, J2056), "")</f>
        <v/>
      </c>
    </row>
    <row r="2057">
      <c r="B2057" s="21">
        <f>IF(AND(C2057&lt;&gt;"", J2057&lt;&gt;""), HYPERLINK("#'" &amp; C2057 &amp; "'!" &amp; J2057, J2057), "")</f>
        <v/>
      </c>
    </row>
    <row r="2058">
      <c r="B2058" s="21">
        <f>IF(AND(C2058&lt;&gt;"", J2058&lt;&gt;""), HYPERLINK("#'" &amp; C2058 &amp; "'!" &amp; J2058, J2058), "")</f>
        <v/>
      </c>
    </row>
    <row r="2059">
      <c r="B2059" s="21">
        <f>IF(AND(C2059&lt;&gt;"", J2059&lt;&gt;""), HYPERLINK("#'" &amp; C2059 &amp; "'!" &amp; J2059, J2059), "")</f>
        <v/>
      </c>
    </row>
    <row r="2060">
      <c r="B2060" s="21">
        <f>IF(AND(C2060&lt;&gt;"", J2060&lt;&gt;""), HYPERLINK("#'" &amp; C2060 &amp; "'!" &amp; J2060, J2060), "")</f>
        <v/>
      </c>
    </row>
    <row r="2061">
      <c r="B2061" s="21">
        <f>IF(AND(C2061&lt;&gt;"", J2061&lt;&gt;""), HYPERLINK("#'" &amp; C2061 &amp; "'!" &amp; J2061, J2061), "")</f>
        <v/>
      </c>
    </row>
    <row r="2062">
      <c r="B2062" s="21">
        <f>IF(AND(C2062&lt;&gt;"", J2062&lt;&gt;""), HYPERLINK("#'" &amp; C2062 &amp; "'!" &amp; J2062, J2062), "")</f>
        <v/>
      </c>
    </row>
    <row r="2063">
      <c r="B2063" s="21">
        <f>IF(AND(C2063&lt;&gt;"", J2063&lt;&gt;""), HYPERLINK("#'" &amp; C2063 &amp; "'!" &amp; J2063, J2063), "")</f>
        <v/>
      </c>
    </row>
    <row r="2064">
      <c r="B2064" s="21">
        <f>IF(AND(C2064&lt;&gt;"", J2064&lt;&gt;""), HYPERLINK("#'" &amp; C2064 &amp; "'!" &amp; J2064, J2064), "")</f>
        <v/>
      </c>
    </row>
    <row r="2065">
      <c r="B2065" s="21">
        <f>IF(AND(C2065&lt;&gt;"", J2065&lt;&gt;""), HYPERLINK("#'" &amp; C2065 &amp; "'!" &amp; J2065, J2065), "")</f>
        <v/>
      </c>
    </row>
    <row r="2066">
      <c r="B2066" s="21">
        <f>IF(AND(C2066&lt;&gt;"", J2066&lt;&gt;""), HYPERLINK("#'" &amp; C2066 &amp; "'!" &amp; J2066, J2066), "")</f>
        <v/>
      </c>
    </row>
    <row r="2067">
      <c r="B2067" s="21">
        <f>IF(AND(C2067&lt;&gt;"", J2067&lt;&gt;""), HYPERLINK("#'" &amp; C2067 &amp; "'!" &amp; J2067, J2067), "")</f>
        <v/>
      </c>
    </row>
    <row r="2068">
      <c r="B2068" s="21">
        <f>IF(AND(C2068&lt;&gt;"", J2068&lt;&gt;""), HYPERLINK("#'" &amp; C2068 &amp; "'!" &amp; J2068, J2068), "")</f>
        <v/>
      </c>
    </row>
    <row r="2069">
      <c r="B2069" s="21">
        <f>IF(AND(C2069&lt;&gt;"", J2069&lt;&gt;""), HYPERLINK("#'" &amp; C2069 &amp; "'!" &amp; J2069, J2069), "")</f>
        <v/>
      </c>
    </row>
    <row r="2070">
      <c r="B2070" s="21">
        <f>IF(AND(C2070&lt;&gt;"", J2070&lt;&gt;""), HYPERLINK("#'" &amp; C2070 &amp; "'!" &amp; J2070, J2070), "")</f>
        <v/>
      </c>
    </row>
    <row r="2071">
      <c r="B2071" s="21">
        <f>IF(AND(C2071&lt;&gt;"", J2071&lt;&gt;""), HYPERLINK("#'" &amp; C2071 &amp; "'!" &amp; J2071, J2071), "")</f>
        <v/>
      </c>
    </row>
    <row r="2072">
      <c r="B2072" s="21">
        <f>IF(AND(C2072&lt;&gt;"", J2072&lt;&gt;""), HYPERLINK("#'" &amp; C2072 &amp; "'!" &amp; J2072, J2072), "")</f>
        <v/>
      </c>
    </row>
    <row r="2073">
      <c r="B2073" s="21">
        <f>IF(AND(C2073&lt;&gt;"", J2073&lt;&gt;""), HYPERLINK("#'" &amp; C2073 &amp; "'!" &amp; J2073, J2073), "")</f>
        <v/>
      </c>
    </row>
    <row r="2074">
      <c r="B2074" s="21">
        <f>IF(AND(C2074&lt;&gt;"", J2074&lt;&gt;""), HYPERLINK("#'" &amp; C2074 &amp; "'!" &amp; J2074, J2074), "")</f>
        <v/>
      </c>
    </row>
    <row r="2075">
      <c r="B2075" s="21">
        <f>IF(AND(C2075&lt;&gt;"", J2075&lt;&gt;""), HYPERLINK("#'" &amp; C2075 &amp; "'!" &amp; J2075, J2075), "")</f>
        <v/>
      </c>
    </row>
    <row r="2076">
      <c r="B2076" s="21">
        <f>IF(AND(C2076&lt;&gt;"", J2076&lt;&gt;""), HYPERLINK("#'" &amp; C2076 &amp; "'!" &amp; J2076, J2076), "")</f>
        <v/>
      </c>
    </row>
    <row r="2077">
      <c r="B2077" s="21">
        <f>IF(AND(C2077&lt;&gt;"", J2077&lt;&gt;""), HYPERLINK("#'" &amp; C2077 &amp; "'!" &amp; J2077, J2077), "")</f>
        <v/>
      </c>
    </row>
    <row r="2078">
      <c r="B2078" s="21">
        <f>IF(AND(C2078&lt;&gt;"", J2078&lt;&gt;""), HYPERLINK("#'" &amp; C2078 &amp; "'!" &amp; J2078, J2078), "")</f>
        <v/>
      </c>
    </row>
    <row r="2079">
      <c r="B2079" s="21">
        <f>IF(AND(C2079&lt;&gt;"", J2079&lt;&gt;""), HYPERLINK("#'" &amp; C2079 &amp; "'!" &amp; J2079, J2079), "")</f>
        <v/>
      </c>
    </row>
    <row r="2080">
      <c r="B2080" s="21">
        <f>IF(AND(C2080&lt;&gt;"", J2080&lt;&gt;""), HYPERLINK("#'" &amp; C2080 &amp; "'!" &amp; J2080, J2080), "")</f>
        <v/>
      </c>
    </row>
    <row r="2081">
      <c r="B2081" s="21">
        <f>IF(AND(C2081&lt;&gt;"", J2081&lt;&gt;""), HYPERLINK("#'" &amp; C2081 &amp; "'!" &amp; J2081, J2081), "")</f>
        <v/>
      </c>
    </row>
    <row r="2082">
      <c r="B2082" s="21">
        <f>IF(AND(C2082&lt;&gt;"", J2082&lt;&gt;""), HYPERLINK("#'" &amp; C2082 &amp; "'!" &amp; J2082, J2082), "")</f>
        <v/>
      </c>
    </row>
    <row r="2083">
      <c r="B2083" s="21">
        <f>IF(AND(C2083&lt;&gt;"", J2083&lt;&gt;""), HYPERLINK("#'" &amp; C2083 &amp; "'!" &amp; J2083, J2083), "")</f>
        <v/>
      </c>
    </row>
    <row r="2084">
      <c r="B2084" s="21">
        <f>IF(AND(C2084&lt;&gt;"", J2084&lt;&gt;""), HYPERLINK("#'" &amp; C2084 &amp; "'!" &amp; J2084, J2084), "")</f>
        <v/>
      </c>
    </row>
    <row r="2085">
      <c r="B2085" s="21">
        <f>IF(AND(C2085&lt;&gt;"", J2085&lt;&gt;""), HYPERLINK("#'" &amp; C2085 &amp; "'!" &amp; J2085, J2085), "")</f>
        <v/>
      </c>
    </row>
    <row r="2086">
      <c r="B2086" s="21">
        <f>IF(AND(C2086&lt;&gt;"", J2086&lt;&gt;""), HYPERLINK("#'" &amp; C2086 &amp; "'!" &amp; J2086, J2086), "")</f>
        <v/>
      </c>
    </row>
    <row r="2087">
      <c r="B2087" s="21">
        <f>IF(AND(C2087&lt;&gt;"", J2087&lt;&gt;""), HYPERLINK("#'" &amp; C2087 &amp; "'!" &amp; J2087, J2087), "")</f>
        <v/>
      </c>
    </row>
    <row r="2088">
      <c r="B2088" s="21">
        <f>IF(AND(C2088&lt;&gt;"", J2088&lt;&gt;""), HYPERLINK("#'" &amp; C2088 &amp; "'!" &amp; J2088, J2088), "")</f>
        <v/>
      </c>
    </row>
    <row r="2089">
      <c r="B2089" s="21">
        <f>IF(AND(C2089&lt;&gt;"", J2089&lt;&gt;""), HYPERLINK("#'" &amp; C2089 &amp; "'!" &amp; J2089, J2089), "")</f>
        <v/>
      </c>
    </row>
    <row r="2090">
      <c r="B2090" s="21">
        <f>IF(AND(C2090&lt;&gt;"", J2090&lt;&gt;""), HYPERLINK("#'" &amp; C2090 &amp; "'!" &amp; J2090, J2090), "")</f>
        <v/>
      </c>
    </row>
    <row r="2091">
      <c r="B2091" s="21">
        <f>IF(AND(C2091&lt;&gt;"", J2091&lt;&gt;""), HYPERLINK("#'" &amp; C2091 &amp; "'!" &amp; J2091, J2091), "")</f>
        <v/>
      </c>
    </row>
    <row r="2092">
      <c r="B2092" s="21">
        <f>IF(AND(C2092&lt;&gt;"", J2092&lt;&gt;""), HYPERLINK("#'" &amp; C2092 &amp; "'!" &amp; J2092, J2092), "")</f>
        <v/>
      </c>
    </row>
    <row r="2093">
      <c r="B2093" s="21">
        <f>IF(AND(C2093&lt;&gt;"", J2093&lt;&gt;""), HYPERLINK("#'" &amp; C2093 &amp; "'!" &amp; J2093, J2093), "")</f>
        <v/>
      </c>
    </row>
    <row r="2094">
      <c r="B2094" s="21">
        <f>IF(AND(C2094&lt;&gt;"", J2094&lt;&gt;""), HYPERLINK("#'" &amp; C2094 &amp; "'!" &amp; J2094, J2094), "")</f>
        <v/>
      </c>
    </row>
    <row r="2095">
      <c r="B2095" s="21">
        <f>IF(AND(C2095&lt;&gt;"", J2095&lt;&gt;""), HYPERLINK("#'" &amp; C2095 &amp; "'!" &amp; J2095, J2095), "")</f>
        <v/>
      </c>
    </row>
    <row r="2096">
      <c r="B2096" s="21">
        <f>IF(AND(C2096&lt;&gt;"", J2096&lt;&gt;""), HYPERLINK("#'" &amp; C2096 &amp; "'!" &amp; J2096, J2096), "")</f>
        <v/>
      </c>
    </row>
    <row r="2097">
      <c r="B2097" s="21">
        <f>IF(AND(C2097&lt;&gt;"", J2097&lt;&gt;""), HYPERLINK("#'" &amp; C2097 &amp; "'!" &amp; J2097, J2097), "")</f>
        <v/>
      </c>
    </row>
    <row r="2098">
      <c r="B2098" s="21">
        <f>IF(AND(C2098&lt;&gt;"", J2098&lt;&gt;""), HYPERLINK("#'" &amp; C2098 &amp; "'!" &amp; J2098, J2098), "")</f>
        <v/>
      </c>
    </row>
    <row r="2099">
      <c r="B2099" s="21">
        <f>IF(AND(C2099&lt;&gt;"", J2099&lt;&gt;""), HYPERLINK("#'" &amp; C2099 &amp; "'!" &amp; J2099, J2099), "")</f>
        <v/>
      </c>
    </row>
    <row r="2100">
      <c r="B2100" s="21">
        <f>IF(AND(C2100&lt;&gt;"", J2100&lt;&gt;""), HYPERLINK("#'" &amp; C2100 &amp; "'!" &amp; J2100, J2100), "")</f>
        <v/>
      </c>
    </row>
    <row r="2101">
      <c r="B2101" s="21">
        <f>IF(AND(C2101&lt;&gt;"", J2101&lt;&gt;""), HYPERLINK("#'" &amp; C2101 &amp; "'!" &amp; J2101, J2101), "")</f>
        <v/>
      </c>
    </row>
    <row r="2102">
      <c r="B2102" s="21">
        <f>IF(AND(C2102&lt;&gt;"", J2102&lt;&gt;""), HYPERLINK("#'" &amp; C2102 &amp; "'!" &amp; J2102, J2102), "")</f>
        <v/>
      </c>
    </row>
    <row r="2103">
      <c r="B2103" s="21">
        <f>IF(AND(C2103&lt;&gt;"", J2103&lt;&gt;""), HYPERLINK("#'" &amp; C2103 &amp; "'!" &amp; J2103, J2103), "")</f>
        <v/>
      </c>
    </row>
    <row r="2104">
      <c r="B2104" s="21">
        <f>IF(AND(C2104&lt;&gt;"", J2104&lt;&gt;""), HYPERLINK("#'" &amp; C2104 &amp; "'!" &amp; J2104, J2104), "")</f>
        <v/>
      </c>
    </row>
    <row r="2105">
      <c r="B2105" s="21">
        <f>IF(AND(C2105&lt;&gt;"", J2105&lt;&gt;""), HYPERLINK("#'" &amp; C2105 &amp; "'!" &amp; J2105, J2105), "")</f>
        <v/>
      </c>
    </row>
    <row r="2106">
      <c r="B2106" s="21">
        <f>IF(AND(C2106&lt;&gt;"", J2106&lt;&gt;""), HYPERLINK("#'" &amp; C2106 &amp; "'!" &amp; J2106, J2106), "")</f>
        <v/>
      </c>
    </row>
    <row r="2107">
      <c r="B2107" s="21">
        <f>IF(AND(C2107&lt;&gt;"", J2107&lt;&gt;""), HYPERLINK("#'" &amp; C2107 &amp; "'!" &amp; J2107, J2107), "")</f>
        <v/>
      </c>
    </row>
    <row r="2108">
      <c r="B2108" s="21">
        <f>IF(AND(C2108&lt;&gt;"", J2108&lt;&gt;""), HYPERLINK("#'" &amp; C2108 &amp; "'!" &amp; J2108, J2108), "")</f>
        <v/>
      </c>
    </row>
    <row r="2109">
      <c r="B2109" s="21">
        <f>IF(AND(C2109&lt;&gt;"", J2109&lt;&gt;""), HYPERLINK("#'" &amp; C2109 &amp; "'!" &amp; J2109, J2109), "")</f>
        <v/>
      </c>
    </row>
    <row r="2110">
      <c r="B2110" s="21">
        <f>IF(AND(C2110&lt;&gt;"", J2110&lt;&gt;""), HYPERLINK("#'" &amp; C2110 &amp; "'!" &amp; J2110, J2110), "")</f>
        <v/>
      </c>
    </row>
    <row r="2111">
      <c r="B2111" s="21">
        <f>IF(AND(C2111&lt;&gt;"", J2111&lt;&gt;""), HYPERLINK("#'" &amp; C2111 &amp; "'!" &amp; J2111, J2111), "")</f>
        <v/>
      </c>
    </row>
    <row r="2112">
      <c r="B2112" s="21">
        <f>IF(AND(C2112&lt;&gt;"", J2112&lt;&gt;""), HYPERLINK("#'" &amp; C2112 &amp; "'!" &amp; J2112, J2112), "")</f>
        <v/>
      </c>
    </row>
    <row r="2113">
      <c r="B2113" s="21">
        <f>IF(AND(C2113&lt;&gt;"", J2113&lt;&gt;""), HYPERLINK("#'" &amp; C2113 &amp; "'!" &amp; J2113, J2113), "")</f>
        <v/>
      </c>
    </row>
    <row r="2114">
      <c r="B2114" s="21">
        <f>IF(AND(C2114&lt;&gt;"", J2114&lt;&gt;""), HYPERLINK("#'" &amp; C2114 &amp; "'!" &amp; J2114, J2114), "")</f>
        <v/>
      </c>
    </row>
    <row r="2115">
      <c r="B2115" s="21">
        <f>IF(AND(C2115&lt;&gt;"", J2115&lt;&gt;""), HYPERLINK("#'" &amp; C2115 &amp; "'!" &amp; J2115, J2115), "")</f>
        <v/>
      </c>
    </row>
    <row r="2116">
      <c r="B2116" s="21">
        <f>IF(AND(C2116&lt;&gt;"", J2116&lt;&gt;""), HYPERLINK("#'" &amp; C2116 &amp; "'!" &amp; J2116, J2116), "")</f>
        <v/>
      </c>
    </row>
    <row r="2117">
      <c r="B2117" s="21">
        <f>IF(AND(C2117&lt;&gt;"", J2117&lt;&gt;""), HYPERLINK("#'" &amp; C2117 &amp; "'!" &amp; J2117, J2117), "")</f>
        <v/>
      </c>
    </row>
    <row r="2118">
      <c r="B2118" s="21">
        <f>IF(AND(C2118&lt;&gt;"", J2118&lt;&gt;""), HYPERLINK("#'" &amp; C2118 &amp; "'!" &amp; J2118, J2118), "")</f>
        <v/>
      </c>
    </row>
    <row r="2119">
      <c r="B2119" s="21">
        <f>IF(AND(C2119&lt;&gt;"", J2119&lt;&gt;""), HYPERLINK("#'" &amp; C2119 &amp; "'!" &amp; J2119, J2119), "")</f>
        <v/>
      </c>
    </row>
    <row r="2120">
      <c r="B2120" s="21">
        <f>IF(AND(C2120&lt;&gt;"", J2120&lt;&gt;""), HYPERLINK("#'" &amp; C2120 &amp; "'!" &amp; J2120, J2120), "")</f>
        <v/>
      </c>
    </row>
    <row r="2121">
      <c r="B2121" s="21">
        <f>IF(AND(C2121&lt;&gt;"", J2121&lt;&gt;""), HYPERLINK("#'" &amp; C2121 &amp; "'!" &amp; J2121, J2121), "")</f>
        <v/>
      </c>
    </row>
    <row r="2122">
      <c r="B2122" s="21">
        <f>IF(AND(C2122&lt;&gt;"", J2122&lt;&gt;""), HYPERLINK("#'" &amp; C2122 &amp; "'!" &amp; J2122, J2122), "")</f>
        <v/>
      </c>
    </row>
    <row r="2123">
      <c r="B2123" s="21">
        <f>IF(AND(C2123&lt;&gt;"", J2123&lt;&gt;""), HYPERLINK("#'" &amp; C2123 &amp; "'!" &amp; J2123, J2123), "")</f>
        <v/>
      </c>
    </row>
    <row r="2124">
      <c r="B2124" s="21">
        <f>IF(AND(C2124&lt;&gt;"", J2124&lt;&gt;""), HYPERLINK("#'" &amp; C2124 &amp; "'!" &amp; J2124, J2124), "")</f>
        <v/>
      </c>
    </row>
    <row r="2125">
      <c r="B2125" s="21">
        <f>IF(AND(C2125&lt;&gt;"", J2125&lt;&gt;""), HYPERLINK("#'" &amp; C2125 &amp; "'!" &amp; J2125, J2125), "")</f>
        <v/>
      </c>
    </row>
    <row r="2126">
      <c r="B2126" s="21">
        <f>IF(AND(C2126&lt;&gt;"", J2126&lt;&gt;""), HYPERLINK("#'" &amp; C2126 &amp; "'!" &amp; J2126, J2126), "")</f>
        <v/>
      </c>
    </row>
    <row r="2127">
      <c r="B2127" s="21">
        <f>IF(AND(C2127&lt;&gt;"", J2127&lt;&gt;""), HYPERLINK("#'" &amp; C2127 &amp; "'!" &amp; J2127, J2127), "")</f>
        <v/>
      </c>
    </row>
    <row r="2128">
      <c r="B2128" s="21">
        <f>IF(AND(C2128&lt;&gt;"", J2128&lt;&gt;""), HYPERLINK("#'" &amp; C2128 &amp; "'!" &amp; J2128, J2128), "")</f>
        <v/>
      </c>
    </row>
    <row r="2129">
      <c r="B2129" s="21">
        <f>IF(AND(C2129&lt;&gt;"", J2129&lt;&gt;""), HYPERLINK("#'" &amp; C2129 &amp; "'!" &amp; J2129, J2129), "")</f>
        <v/>
      </c>
    </row>
    <row r="2130">
      <c r="B2130" s="21">
        <f>IF(AND(C2130&lt;&gt;"", J2130&lt;&gt;""), HYPERLINK("#'" &amp; C2130 &amp; "'!" &amp; J2130, J2130), "")</f>
        <v/>
      </c>
    </row>
    <row r="2131">
      <c r="B2131" s="21">
        <f>IF(AND(C2131&lt;&gt;"", J2131&lt;&gt;""), HYPERLINK("#'" &amp; C2131 &amp; "'!" &amp; J2131, J2131), "")</f>
        <v/>
      </c>
    </row>
    <row r="2132">
      <c r="B2132" s="21">
        <f>IF(AND(C2132&lt;&gt;"", J2132&lt;&gt;""), HYPERLINK("#'" &amp; C2132 &amp; "'!" &amp; J2132, J2132), "")</f>
        <v/>
      </c>
    </row>
    <row r="2133">
      <c r="B2133" s="21">
        <f>IF(AND(C2133&lt;&gt;"", J2133&lt;&gt;""), HYPERLINK("#'" &amp; C2133 &amp; "'!" &amp; J2133, J2133), "")</f>
        <v/>
      </c>
    </row>
    <row r="2134">
      <c r="B2134" s="21">
        <f>IF(AND(C2134&lt;&gt;"", J2134&lt;&gt;""), HYPERLINK("#'" &amp; C2134 &amp; "'!" &amp; J2134, J2134), "")</f>
        <v/>
      </c>
    </row>
    <row r="2135">
      <c r="B2135" s="21">
        <f>IF(AND(C2135&lt;&gt;"", J2135&lt;&gt;""), HYPERLINK("#'" &amp; C2135 &amp; "'!" &amp; J2135, J2135), "")</f>
        <v/>
      </c>
    </row>
    <row r="2136">
      <c r="B2136" s="21">
        <f>IF(AND(C2136&lt;&gt;"", J2136&lt;&gt;""), HYPERLINK("#'" &amp; C2136 &amp; "'!" &amp; J2136, J2136), "")</f>
        <v/>
      </c>
    </row>
    <row r="2137">
      <c r="B2137" s="21">
        <f>IF(AND(C2137&lt;&gt;"", J2137&lt;&gt;""), HYPERLINK("#'" &amp; C2137 &amp; "'!" &amp; J2137, J2137), "")</f>
        <v/>
      </c>
    </row>
    <row r="2138">
      <c r="B2138" s="21">
        <f>IF(AND(C2138&lt;&gt;"", J2138&lt;&gt;""), HYPERLINK("#'" &amp; C2138 &amp; "'!" &amp; J2138, J2138), "")</f>
        <v/>
      </c>
    </row>
    <row r="2139">
      <c r="B2139" s="21">
        <f>IF(AND(C2139&lt;&gt;"", J2139&lt;&gt;""), HYPERLINK("#'" &amp; C2139 &amp; "'!" &amp; J2139, J2139), "")</f>
        <v/>
      </c>
    </row>
    <row r="2140">
      <c r="B2140" s="21">
        <f>IF(AND(C2140&lt;&gt;"", J2140&lt;&gt;""), HYPERLINK("#'" &amp; C2140 &amp; "'!" &amp; J2140, J2140), "")</f>
        <v/>
      </c>
    </row>
    <row r="2141">
      <c r="B2141" s="21">
        <f>IF(AND(C2141&lt;&gt;"", J2141&lt;&gt;""), HYPERLINK("#'" &amp; C2141 &amp; "'!" &amp; J2141, J2141), "")</f>
        <v/>
      </c>
    </row>
    <row r="2142">
      <c r="B2142" s="21">
        <f>IF(AND(C2142&lt;&gt;"", J2142&lt;&gt;""), HYPERLINK("#'" &amp; C2142 &amp; "'!" &amp; J2142, J2142), "")</f>
        <v/>
      </c>
    </row>
    <row r="2143">
      <c r="B2143" s="21">
        <f>IF(AND(C2143&lt;&gt;"", J2143&lt;&gt;""), HYPERLINK("#'" &amp; C2143 &amp; "'!" &amp; J2143, J2143), "")</f>
        <v/>
      </c>
    </row>
    <row r="2144">
      <c r="B2144" s="21">
        <f>IF(AND(C2144&lt;&gt;"", J2144&lt;&gt;""), HYPERLINK("#'" &amp; C2144 &amp; "'!" &amp; J2144, J2144), "")</f>
        <v/>
      </c>
    </row>
    <row r="2145">
      <c r="B2145" s="21">
        <f>IF(AND(C2145&lt;&gt;"", J2145&lt;&gt;""), HYPERLINK("#'" &amp; C2145 &amp; "'!" &amp; J2145, J2145), "")</f>
        <v/>
      </c>
    </row>
    <row r="2146">
      <c r="B2146" s="21">
        <f>IF(AND(C2146&lt;&gt;"", J2146&lt;&gt;""), HYPERLINK("#'" &amp; C2146 &amp; "'!" &amp; J2146, J2146), "")</f>
        <v/>
      </c>
    </row>
    <row r="2147">
      <c r="B2147" s="21">
        <f>IF(AND(C2147&lt;&gt;"", J2147&lt;&gt;""), HYPERLINK("#'" &amp; C2147 &amp; "'!" &amp; J2147, J2147), "")</f>
        <v/>
      </c>
    </row>
    <row r="2148">
      <c r="B2148" s="21">
        <f>IF(AND(C2148&lt;&gt;"", J2148&lt;&gt;""), HYPERLINK("#'" &amp; C2148 &amp; "'!" &amp; J2148, J2148), "")</f>
        <v/>
      </c>
    </row>
    <row r="2149">
      <c r="B2149" s="21">
        <f>IF(AND(C2149&lt;&gt;"", J2149&lt;&gt;""), HYPERLINK("#'" &amp; C2149 &amp; "'!" &amp; J2149, J2149), "")</f>
        <v/>
      </c>
    </row>
    <row r="2150">
      <c r="B2150" s="21">
        <f>IF(AND(C2150&lt;&gt;"", J2150&lt;&gt;""), HYPERLINK("#'" &amp; C2150 &amp; "'!" &amp; J2150, J2150), "")</f>
        <v/>
      </c>
    </row>
    <row r="2151">
      <c r="B2151" s="21">
        <f>IF(AND(C2151&lt;&gt;"", J2151&lt;&gt;""), HYPERLINK("#'" &amp; C2151 &amp; "'!" &amp; J2151, J2151), "")</f>
        <v/>
      </c>
    </row>
    <row r="2152">
      <c r="B2152" s="21">
        <f>IF(AND(C2152&lt;&gt;"", J2152&lt;&gt;""), HYPERLINK("#'" &amp; C2152 &amp; "'!" &amp; J2152, J2152), "")</f>
        <v/>
      </c>
    </row>
    <row r="2153">
      <c r="B2153" s="21">
        <f>IF(AND(C2153&lt;&gt;"", J2153&lt;&gt;""), HYPERLINK("#'" &amp; C2153 &amp; "'!" &amp; J2153, J2153), "")</f>
        <v/>
      </c>
    </row>
    <row r="2154">
      <c r="B2154" s="21">
        <f>IF(AND(C2154&lt;&gt;"", J2154&lt;&gt;""), HYPERLINK("#'" &amp; C2154 &amp; "'!" &amp; J2154, J2154), "")</f>
        <v/>
      </c>
    </row>
    <row r="2155">
      <c r="B2155" s="21">
        <f>IF(AND(C2155&lt;&gt;"", J2155&lt;&gt;""), HYPERLINK("#'" &amp; C2155 &amp; "'!" &amp; J2155, J2155), "")</f>
        <v/>
      </c>
    </row>
    <row r="2156">
      <c r="B2156" s="21">
        <f>IF(AND(C2156&lt;&gt;"", J2156&lt;&gt;""), HYPERLINK("#'" &amp; C2156 &amp; "'!" &amp; J2156, J2156), "")</f>
        <v/>
      </c>
    </row>
    <row r="2157">
      <c r="B2157" s="21">
        <f>IF(AND(C2157&lt;&gt;"", J2157&lt;&gt;""), HYPERLINK("#'" &amp; C2157 &amp; "'!" &amp; J2157, J2157), "")</f>
        <v/>
      </c>
    </row>
    <row r="2158">
      <c r="B2158" s="21">
        <f>IF(AND(C2158&lt;&gt;"", J2158&lt;&gt;""), HYPERLINK("#'" &amp; C2158 &amp; "'!" &amp; J2158, J2158), "")</f>
        <v/>
      </c>
    </row>
    <row r="2159">
      <c r="B2159" s="21">
        <f>IF(AND(C2159&lt;&gt;"", J2159&lt;&gt;""), HYPERLINK("#'" &amp; C2159 &amp; "'!" &amp; J2159, J2159), "")</f>
        <v/>
      </c>
    </row>
    <row r="2160">
      <c r="B2160" s="21">
        <f>IF(AND(C2160&lt;&gt;"", J2160&lt;&gt;""), HYPERLINK("#'" &amp; C2160 &amp; "'!" &amp; J2160, J2160), "")</f>
        <v/>
      </c>
    </row>
    <row r="2161">
      <c r="B2161" s="21">
        <f>IF(AND(C2161&lt;&gt;"", J2161&lt;&gt;""), HYPERLINK("#'" &amp; C2161 &amp; "'!" &amp; J2161, J2161), "")</f>
        <v/>
      </c>
    </row>
    <row r="2162">
      <c r="B2162" s="21">
        <f>IF(AND(C2162&lt;&gt;"", J2162&lt;&gt;""), HYPERLINK("#'" &amp; C2162 &amp; "'!" &amp; J2162, J2162), "")</f>
        <v/>
      </c>
    </row>
    <row r="2163">
      <c r="B2163" s="21">
        <f>IF(AND(C2163&lt;&gt;"", J2163&lt;&gt;""), HYPERLINK("#'" &amp; C2163 &amp; "'!" &amp; J2163, J2163), "")</f>
        <v/>
      </c>
    </row>
    <row r="2164">
      <c r="B2164" s="21">
        <f>IF(AND(C2164&lt;&gt;"", J2164&lt;&gt;""), HYPERLINK("#'" &amp; C2164 &amp; "'!" &amp; J2164, J2164), "")</f>
        <v/>
      </c>
    </row>
    <row r="2165">
      <c r="B2165" s="21">
        <f>IF(AND(C2165&lt;&gt;"", J2165&lt;&gt;""), HYPERLINK("#'" &amp; C2165 &amp; "'!" &amp; J2165, J2165), "")</f>
        <v/>
      </c>
    </row>
    <row r="2166">
      <c r="B2166" s="21">
        <f>IF(AND(C2166&lt;&gt;"", J2166&lt;&gt;""), HYPERLINK("#'" &amp; C2166 &amp; "'!" &amp; J2166, J2166), "")</f>
        <v/>
      </c>
    </row>
    <row r="2167">
      <c r="B2167" s="21">
        <f>IF(AND(C2167&lt;&gt;"", J2167&lt;&gt;""), HYPERLINK("#'" &amp; C2167 &amp; "'!" &amp; J2167, J2167), "")</f>
        <v/>
      </c>
    </row>
    <row r="2168">
      <c r="B2168" s="21">
        <f>IF(AND(C2168&lt;&gt;"", J2168&lt;&gt;""), HYPERLINK("#'" &amp; C2168 &amp; "'!" &amp; J2168, J2168), "")</f>
        <v/>
      </c>
    </row>
    <row r="2169">
      <c r="B2169" s="21">
        <f>IF(AND(C2169&lt;&gt;"", J2169&lt;&gt;""), HYPERLINK("#'" &amp; C2169 &amp; "'!" &amp; J2169, J2169), "")</f>
        <v/>
      </c>
    </row>
    <row r="2170">
      <c r="B2170" s="21">
        <f>IF(AND(C2170&lt;&gt;"", J2170&lt;&gt;""), HYPERLINK("#'" &amp; C2170 &amp; "'!" &amp; J2170, J2170), "")</f>
        <v/>
      </c>
    </row>
    <row r="2171">
      <c r="B2171" s="21">
        <f>IF(AND(C2171&lt;&gt;"", J2171&lt;&gt;""), HYPERLINK("#'" &amp; C2171 &amp; "'!" &amp; J2171, J2171), "")</f>
        <v/>
      </c>
    </row>
    <row r="2172">
      <c r="B2172" s="21">
        <f>IF(AND(C2172&lt;&gt;"", J2172&lt;&gt;""), HYPERLINK("#'" &amp; C2172 &amp; "'!" &amp; J2172, J2172), "")</f>
        <v/>
      </c>
    </row>
    <row r="2173">
      <c r="B2173" s="21">
        <f>IF(AND(C2173&lt;&gt;"", J2173&lt;&gt;""), HYPERLINK("#'" &amp; C2173 &amp; "'!" &amp; J2173, J2173), "")</f>
        <v/>
      </c>
    </row>
    <row r="2174">
      <c r="B2174" s="21">
        <f>IF(AND(C2174&lt;&gt;"", J2174&lt;&gt;""), HYPERLINK("#'" &amp; C2174 &amp; "'!" &amp; J2174, J2174), "")</f>
        <v/>
      </c>
    </row>
    <row r="2175">
      <c r="B2175" s="21">
        <f>IF(AND(C2175&lt;&gt;"", J2175&lt;&gt;""), HYPERLINK("#'" &amp; C2175 &amp; "'!" &amp; J2175, J2175), "")</f>
        <v/>
      </c>
    </row>
    <row r="2176">
      <c r="B2176" s="21">
        <f>IF(AND(C2176&lt;&gt;"", J2176&lt;&gt;""), HYPERLINK("#'" &amp; C2176 &amp; "'!" &amp; J2176, J2176), "")</f>
        <v/>
      </c>
    </row>
    <row r="2177">
      <c r="B2177" s="21">
        <f>IF(AND(C2177&lt;&gt;"", J2177&lt;&gt;""), HYPERLINK("#'" &amp; C2177 &amp; "'!" &amp; J2177, J2177), "")</f>
        <v/>
      </c>
    </row>
    <row r="2178">
      <c r="B2178" s="21">
        <f>IF(AND(C2178&lt;&gt;"", J2178&lt;&gt;""), HYPERLINK("#'" &amp; C2178 &amp; "'!" &amp; J2178, J2178), "")</f>
        <v/>
      </c>
    </row>
    <row r="2179">
      <c r="B2179" s="21">
        <f>IF(AND(C2179&lt;&gt;"", J2179&lt;&gt;""), HYPERLINK("#'" &amp; C2179 &amp; "'!" &amp; J2179, J2179), "")</f>
        <v/>
      </c>
    </row>
    <row r="2180">
      <c r="B2180" s="21">
        <f>IF(AND(C2180&lt;&gt;"", J2180&lt;&gt;""), HYPERLINK("#'" &amp; C2180 &amp; "'!" &amp; J2180, J2180), "")</f>
        <v/>
      </c>
    </row>
    <row r="2181">
      <c r="B2181" s="21">
        <f>IF(AND(C2181&lt;&gt;"", J2181&lt;&gt;""), HYPERLINK("#'" &amp; C2181 &amp; "'!" &amp; J2181, J2181), "")</f>
        <v/>
      </c>
    </row>
    <row r="2182">
      <c r="B2182" s="21">
        <f>IF(AND(C2182&lt;&gt;"", J2182&lt;&gt;""), HYPERLINK("#'" &amp; C2182 &amp; "'!" &amp; J2182, J2182), "")</f>
        <v/>
      </c>
    </row>
    <row r="2183">
      <c r="B2183" s="21">
        <f>IF(AND(C2183&lt;&gt;"", J2183&lt;&gt;""), HYPERLINK("#'" &amp; C2183 &amp; "'!" &amp; J2183, J2183), "")</f>
        <v/>
      </c>
    </row>
    <row r="2184">
      <c r="B2184" s="21">
        <f>IF(AND(C2184&lt;&gt;"", J2184&lt;&gt;""), HYPERLINK("#'" &amp; C2184 &amp; "'!" &amp; J2184, J2184), "")</f>
        <v/>
      </c>
    </row>
    <row r="2185">
      <c r="B2185" s="21">
        <f>IF(AND(C2185&lt;&gt;"", J2185&lt;&gt;""), HYPERLINK("#'" &amp; C2185 &amp; "'!" &amp; J2185, J2185), "")</f>
        <v/>
      </c>
    </row>
    <row r="2186">
      <c r="B2186" s="21">
        <f>IF(AND(C2186&lt;&gt;"", J2186&lt;&gt;""), HYPERLINK("#'" &amp; C2186 &amp; "'!" &amp; J2186, J2186), "")</f>
        <v/>
      </c>
    </row>
    <row r="2187">
      <c r="B2187" s="21">
        <f>IF(AND(C2187&lt;&gt;"", J2187&lt;&gt;""), HYPERLINK("#'" &amp; C2187 &amp; "'!" &amp; J2187, J2187), "")</f>
        <v/>
      </c>
    </row>
    <row r="2188">
      <c r="B2188" s="21">
        <f>IF(AND(C2188&lt;&gt;"", J2188&lt;&gt;""), HYPERLINK("#'" &amp; C2188 &amp; "'!" &amp; J2188, J2188), "")</f>
        <v/>
      </c>
    </row>
    <row r="2189">
      <c r="B2189" s="21">
        <f>IF(AND(C2189&lt;&gt;"", J2189&lt;&gt;""), HYPERLINK("#'" &amp; C2189 &amp; "'!" &amp; J2189, J2189), "")</f>
        <v/>
      </c>
    </row>
    <row r="2190">
      <c r="B2190" s="21">
        <f>IF(AND(C2190&lt;&gt;"", J2190&lt;&gt;""), HYPERLINK("#'" &amp; C2190 &amp; "'!" &amp; J2190, J2190), "")</f>
        <v/>
      </c>
    </row>
    <row r="2191">
      <c r="B2191" s="21">
        <f>IF(AND(C2191&lt;&gt;"", J2191&lt;&gt;""), HYPERLINK("#'" &amp; C2191 &amp; "'!" &amp; J2191, J2191), "")</f>
        <v/>
      </c>
    </row>
    <row r="2192">
      <c r="B2192" s="21">
        <f>IF(AND(C2192&lt;&gt;"", J2192&lt;&gt;""), HYPERLINK("#'" &amp; C2192 &amp; "'!" &amp; J2192, J2192), "")</f>
        <v/>
      </c>
    </row>
    <row r="2193">
      <c r="B2193" s="21">
        <f>IF(AND(C2193&lt;&gt;"", J2193&lt;&gt;""), HYPERLINK("#'" &amp; C2193 &amp; "'!" &amp; J2193, J2193), "")</f>
        <v/>
      </c>
    </row>
    <row r="2194">
      <c r="B2194" s="21">
        <f>IF(AND(C2194&lt;&gt;"", J2194&lt;&gt;""), HYPERLINK("#'" &amp; C2194 &amp; "'!" &amp; J2194, J2194), "")</f>
        <v/>
      </c>
    </row>
    <row r="2195">
      <c r="B2195" s="21">
        <f>IF(AND(C2195&lt;&gt;"", J2195&lt;&gt;""), HYPERLINK("#'" &amp; C2195 &amp; "'!" &amp; J2195, J2195), "")</f>
        <v/>
      </c>
    </row>
    <row r="2196">
      <c r="B2196" s="21">
        <f>IF(AND(C2196&lt;&gt;"", J2196&lt;&gt;""), HYPERLINK("#'" &amp; C2196 &amp; "'!" &amp; J2196, J2196), "")</f>
        <v/>
      </c>
    </row>
    <row r="2197">
      <c r="B2197" s="21">
        <f>IF(AND(C2197&lt;&gt;"", J2197&lt;&gt;""), HYPERLINK("#'" &amp; C2197 &amp; "'!" &amp; J2197, J2197), "")</f>
        <v/>
      </c>
    </row>
    <row r="2198">
      <c r="B2198" s="21">
        <f>IF(AND(C2198&lt;&gt;"", J2198&lt;&gt;""), HYPERLINK("#'" &amp; C2198 &amp; "'!" &amp; J2198, J2198), "")</f>
        <v/>
      </c>
    </row>
    <row r="2199">
      <c r="B2199" s="21">
        <f>IF(AND(C2199&lt;&gt;"", J2199&lt;&gt;""), HYPERLINK("#'" &amp; C2199 &amp; "'!" &amp; J2199, J2199), "")</f>
        <v/>
      </c>
    </row>
    <row r="2200">
      <c r="B2200" s="21">
        <f>IF(AND(C2200&lt;&gt;"", J2200&lt;&gt;""), HYPERLINK("#'" &amp; C2200 &amp; "'!" &amp; J2200, J2200), "")</f>
        <v/>
      </c>
    </row>
    <row r="2201">
      <c r="B2201" s="21">
        <f>IF(AND(C2201&lt;&gt;"", J2201&lt;&gt;""), HYPERLINK("#'" &amp; C2201 &amp; "'!" &amp; J2201, J2201), "")</f>
        <v/>
      </c>
    </row>
    <row r="2202">
      <c r="B2202" s="21">
        <f>IF(AND(C2202&lt;&gt;"", J2202&lt;&gt;""), HYPERLINK("#'" &amp; C2202 &amp; "'!" &amp; J2202, J2202), "")</f>
        <v/>
      </c>
    </row>
    <row r="2203">
      <c r="B2203" s="21">
        <f>IF(AND(C2203&lt;&gt;"", J2203&lt;&gt;""), HYPERLINK("#'" &amp; C2203 &amp; "'!" &amp; J2203, J2203), "")</f>
        <v/>
      </c>
    </row>
    <row r="2204">
      <c r="B2204" s="21">
        <f>IF(AND(C2204&lt;&gt;"", J2204&lt;&gt;""), HYPERLINK("#'" &amp; C2204 &amp; "'!" &amp; J2204, J2204), "")</f>
        <v/>
      </c>
    </row>
    <row r="2205">
      <c r="B2205" s="21">
        <f>IF(AND(C2205&lt;&gt;"", J2205&lt;&gt;""), HYPERLINK("#'" &amp; C2205 &amp; "'!" &amp; J2205, J2205), "")</f>
        <v/>
      </c>
    </row>
    <row r="2206">
      <c r="B2206" s="21">
        <f>IF(AND(C2206&lt;&gt;"", J2206&lt;&gt;""), HYPERLINK("#'" &amp; C2206 &amp; "'!" &amp; J2206, J2206), "")</f>
        <v/>
      </c>
    </row>
    <row r="2207">
      <c r="B2207" s="21">
        <f>IF(AND(C2207&lt;&gt;"", J2207&lt;&gt;""), HYPERLINK("#'" &amp; C2207 &amp; "'!" &amp; J2207, J2207), "")</f>
        <v/>
      </c>
    </row>
    <row r="2208">
      <c r="B2208" s="21">
        <f>IF(AND(C2208&lt;&gt;"", J2208&lt;&gt;""), HYPERLINK("#'" &amp; C2208 &amp; "'!" &amp; J2208, J2208), "")</f>
        <v/>
      </c>
    </row>
    <row r="2209">
      <c r="B2209" s="21">
        <f>IF(AND(C2209&lt;&gt;"", J2209&lt;&gt;""), HYPERLINK("#'" &amp; C2209 &amp; "'!" &amp; J2209, J2209), "")</f>
        <v/>
      </c>
    </row>
    <row r="2210">
      <c r="B2210" s="21">
        <f>IF(AND(C2210&lt;&gt;"", J2210&lt;&gt;""), HYPERLINK("#'" &amp; C2210 &amp; "'!" &amp; J2210, J2210), "")</f>
        <v/>
      </c>
    </row>
    <row r="2211">
      <c r="B2211" s="21">
        <f>IF(AND(C2211&lt;&gt;"", J2211&lt;&gt;""), HYPERLINK("#'" &amp; C2211 &amp; "'!" &amp; J2211, J2211), "")</f>
        <v/>
      </c>
    </row>
    <row r="2212">
      <c r="B2212" s="21">
        <f>IF(AND(C2212&lt;&gt;"", J2212&lt;&gt;""), HYPERLINK("#'" &amp; C2212 &amp; "'!" &amp; J2212, J2212), "")</f>
        <v/>
      </c>
    </row>
    <row r="2213">
      <c r="B2213" s="21">
        <f>IF(AND(C2213&lt;&gt;"", J2213&lt;&gt;""), HYPERLINK("#'" &amp; C2213 &amp; "'!" &amp; J2213, J2213), "")</f>
        <v/>
      </c>
    </row>
    <row r="2214">
      <c r="B2214" s="21">
        <f>IF(AND(C2214&lt;&gt;"", J2214&lt;&gt;""), HYPERLINK("#'" &amp; C2214 &amp; "'!" &amp; J2214, J2214), "")</f>
        <v/>
      </c>
    </row>
    <row r="2215">
      <c r="B2215" s="21">
        <f>IF(AND(C2215&lt;&gt;"", J2215&lt;&gt;""), HYPERLINK("#'" &amp; C2215 &amp; "'!" &amp; J2215, J2215), "")</f>
        <v/>
      </c>
    </row>
    <row r="2216">
      <c r="B2216" s="21">
        <f>IF(AND(C2216&lt;&gt;"", J2216&lt;&gt;""), HYPERLINK("#'" &amp; C2216 &amp; "'!" &amp; J2216, J2216), "")</f>
        <v/>
      </c>
    </row>
    <row r="2217">
      <c r="B2217" s="21">
        <f>IF(AND(C2217&lt;&gt;"", J2217&lt;&gt;""), HYPERLINK("#'" &amp; C2217 &amp; "'!" &amp; J2217, J2217), "")</f>
        <v/>
      </c>
    </row>
    <row r="2218">
      <c r="B2218" s="21">
        <f>IF(AND(C2218&lt;&gt;"", J2218&lt;&gt;""), HYPERLINK("#'" &amp; C2218 &amp; "'!" &amp; J2218, J2218), "")</f>
        <v/>
      </c>
    </row>
    <row r="2219">
      <c r="B2219" s="21">
        <f>IF(AND(C2219&lt;&gt;"", J2219&lt;&gt;""), HYPERLINK("#'" &amp; C2219 &amp; "'!" &amp; J2219, J2219), "")</f>
        <v/>
      </c>
    </row>
    <row r="2220">
      <c r="B2220" s="21">
        <f>IF(AND(C2220&lt;&gt;"", J2220&lt;&gt;""), HYPERLINK("#'" &amp; C2220 &amp; "'!" &amp; J2220, J2220), "")</f>
        <v/>
      </c>
    </row>
    <row r="2221">
      <c r="B2221" s="21">
        <f>IF(AND(C2221&lt;&gt;"", J2221&lt;&gt;""), HYPERLINK("#'" &amp; C2221 &amp; "'!" &amp; J2221, J2221), "")</f>
        <v/>
      </c>
    </row>
    <row r="2222">
      <c r="B2222" s="21">
        <f>IF(AND(C2222&lt;&gt;"", J2222&lt;&gt;""), HYPERLINK("#'" &amp; C2222 &amp; "'!" &amp; J2222, J2222), "")</f>
        <v/>
      </c>
    </row>
    <row r="2223">
      <c r="B2223" s="21">
        <f>IF(AND(C2223&lt;&gt;"", J2223&lt;&gt;""), HYPERLINK("#'" &amp; C2223 &amp; "'!" &amp; J2223, J2223), "")</f>
        <v/>
      </c>
    </row>
    <row r="2224">
      <c r="B2224" s="21">
        <f>IF(AND(C2224&lt;&gt;"", J2224&lt;&gt;""), HYPERLINK("#'" &amp; C2224 &amp; "'!" &amp; J2224, J2224), "")</f>
        <v/>
      </c>
    </row>
    <row r="2225">
      <c r="B2225" s="21">
        <f>IF(AND(C2225&lt;&gt;"", J2225&lt;&gt;""), HYPERLINK("#'" &amp; C2225 &amp; "'!" &amp; J2225, J2225), "")</f>
        <v/>
      </c>
    </row>
    <row r="2226">
      <c r="B2226" s="21">
        <f>IF(AND(C2226&lt;&gt;"", J2226&lt;&gt;""), HYPERLINK("#'" &amp; C2226 &amp; "'!" &amp; J2226, J2226), "")</f>
        <v/>
      </c>
    </row>
    <row r="2227">
      <c r="B2227" s="21">
        <f>IF(AND(C2227&lt;&gt;"", J2227&lt;&gt;""), HYPERLINK("#'" &amp; C2227 &amp; "'!" &amp; J2227, J2227), "")</f>
        <v/>
      </c>
    </row>
    <row r="2228">
      <c r="B2228" s="21">
        <f>IF(AND(C2228&lt;&gt;"", J2228&lt;&gt;""), HYPERLINK("#'" &amp; C2228 &amp; "'!" &amp; J2228, J2228), "")</f>
        <v/>
      </c>
    </row>
    <row r="2229">
      <c r="B2229" s="21">
        <f>IF(AND(C2229&lt;&gt;"", J2229&lt;&gt;""), HYPERLINK("#'" &amp; C2229 &amp; "'!" &amp; J2229, J2229), "")</f>
        <v/>
      </c>
    </row>
    <row r="2230">
      <c r="B2230" s="21">
        <f>IF(AND(C2230&lt;&gt;"", J2230&lt;&gt;""), HYPERLINK("#'" &amp; C2230 &amp; "'!" &amp; J2230, J2230), "")</f>
        <v/>
      </c>
    </row>
    <row r="2231">
      <c r="B2231" s="21">
        <f>IF(AND(C2231&lt;&gt;"", J2231&lt;&gt;""), HYPERLINK("#'" &amp; C2231 &amp; "'!" &amp; J2231, J2231), "")</f>
        <v/>
      </c>
    </row>
    <row r="2232">
      <c r="B2232" s="21">
        <f>IF(AND(C2232&lt;&gt;"", J2232&lt;&gt;""), HYPERLINK("#'" &amp; C2232 &amp; "'!" &amp; J2232, J2232), "")</f>
        <v/>
      </c>
    </row>
    <row r="2233">
      <c r="B2233" s="21">
        <f>IF(AND(C2233&lt;&gt;"", J2233&lt;&gt;""), HYPERLINK("#'" &amp; C2233 &amp; "'!" &amp; J2233, J2233), "")</f>
        <v/>
      </c>
    </row>
    <row r="2234">
      <c r="B2234" s="21">
        <f>IF(AND(C2234&lt;&gt;"", J2234&lt;&gt;""), HYPERLINK("#'" &amp; C2234 &amp; "'!" &amp; J2234, J2234), "")</f>
        <v/>
      </c>
    </row>
    <row r="2235">
      <c r="B2235" s="21">
        <f>IF(AND(C2235&lt;&gt;"", J2235&lt;&gt;""), HYPERLINK("#'" &amp; C2235 &amp; "'!" &amp; J2235, J2235), "")</f>
        <v/>
      </c>
    </row>
    <row r="2236">
      <c r="B2236" s="21">
        <f>IF(AND(C2236&lt;&gt;"", J2236&lt;&gt;""), HYPERLINK("#'" &amp; C2236 &amp; "'!" &amp; J2236, J2236), "")</f>
        <v/>
      </c>
    </row>
    <row r="2237">
      <c r="B2237" s="21">
        <f>IF(AND(C2237&lt;&gt;"", J2237&lt;&gt;""), HYPERLINK("#'" &amp; C2237 &amp; "'!" &amp; J2237, J2237), "")</f>
        <v/>
      </c>
    </row>
    <row r="2238">
      <c r="B2238" s="21">
        <f>IF(AND(C2238&lt;&gt;"", J2238&lt;&gt;""), HYPERLINK("#'" &amp; C2238 &amp; "'!" &amp; J2238, J2238), "")</f>
        <v/>
      </c>
    </row>
    <row r="2239">
      <c r="B2239" s="21">
        <f>IF(AND(C2239&lt;&gt;"", J2239&lt;&gt;""), HYPERLINK("#'" &amp; C2239 &amp; "'!" &amp; J2239, J2239), "")</f>
        <v/>
      </c>
    </row>
    <row r="2240">
      <c r="B2240" s="21">
        <f>IF(AND(C2240&lt;&gt;"", J2240&lt;&gt;""), HYPERLINK("#'" &amp; C2240 &amp; "'!" &amp; J2240, J2240), "")</f>
        <v/>
      </c>
    </row>
    <row r="2241">
      <c r="B2241" s="21">
        <f>IF(AND(C2241&lt;&gt;"", J2241&lt;&gt;""), HYPERLINK("#'" &amp; C2241 &amp; "'!" &amp; J2241, J2241), "")</f>
        <v/>
      </c>
    </row>
    <row r="2242">
      <c r="B2242" s="21">
        <f>IF(AND(C2242&lt;&gt;"", J2242&lt;&gt;""), HYPERLINK("#'" &amp; C2242 &amp; "'!" &amp; J2242, J2242), "")</f>
        <v/>
      </c>
    </row>
    <row r="2243">
      <c r="B2243" s="21">
        <f>IF(AND(C2243&lt;&gt;"", J2243&lt;&gt;""), HYPERLINK("#'" &amp; C2243 &amp; "'!" &amp; J2243, J2243), "")</f>
        <v/>
      </c>
    </row>
    <row r="2244">
      <c r="B2244" s="21">
        <f>IF(AND(C2244&lt;&gt;"", J2244&lt;&gt;""), HYPERLINK("#'" &amp; C2244 &amp; "'!" &amp; J2244, J2244), "")</f>
        <v/>
      </c>
    </row>
    <row r="2245">
      <c r="B2245" s="21">
        <f>IF(AND(C2245&lt;&gt;"", J2245&lt;&gt;""), HYPERLINK("#'" &amp; C2245 &amp; "'!" &amp; J2245, J2245), "")</f>
        <v/>
      </c>
    </row>
    <row r="2246">
      <c r="B2246" s="21">
        <f>IF(AND(C2246&lt;&gt;"", J2246&lt;&gt;""), HYPERLINK("#'" &amp; C2246 &amp; "'!" &amp; J2246, J2246), "")</f>
        <v/>
      </c>
    </row>
    <row r="2247">
      <c r="B2247" s="21">
        <f>IF(AND(C2247&lt;&gt;"", J2247&lt;&gt;""), HYPERLINK("#'" &amp; C2247 &amp; "'!" &amp; J2247, J2247), "")</f>
        <v/>
      </c>
    </row>
    <row r="2248">
      <c r="B2248" s="21">
        <f>IF(AND(C2248&lt;&gt;"", J2248&lt;&gt;""), HYPERLINK("#'" &amp; C2248 &amp; "'!" &amp; J2248, J2248), "")</f>
        <v/>
      </c>
    </row>
    <row r="2249">
      <c r="B2249" s="21">
        <f>IF(AND(C2249&lt;&gt;"", J2249&lt;&gt;""), HYPERLINK("#'" &amp; C2249 &amp; "'!" &amp; J2249, J2249), "")</f>
        <v/>
      </c>
    </row>
    <row r="2250">
      <c r="B2250" s="21">
        <f>IF(AND(C2250&lt;&gt;"", J2250&lt;&gt;""), HYPERLINK("#'" &amp; C2250 &amp; "'!" &amp; J2250, J2250), "")</f>
        <v/>
      </c>
    </row>
    <row r="2251">
      <c r="B2251" s="21">
        <f>IF(AND(C2251&lt;&gt;"", J2251&lt;&gt;""), HYPERLINK("#'" &amp; C2251 &amp; "'!" &amp; J2251, J2251), "")</f>
        <v/>
      </c>
    </row>
    <row r="2252">
      <c r="B2252" s="21">
        <f>IF(AND(C2252&lt;&gt;"", J2252&lt;&gt;""), HYPERLINK("#'" &amp; C2252 &amp; "'!" &amp; J2252, J2252), "")</f>
        <v/>
      </c>
    </row>
    <row r="2253">
      <c r="B2253" s="21">
        <f>IF(AND(C2253&lt;&gt;"", J2253&lt;&gt;""), HYPERLINK("#'" &amp; C2253 &amp; "'!" &amp; J2253, J2253), "")</f>
        <v/>
      </c>
    </row>
    <row r="2254">
      <c r="B2254" s="21">
        <f>IF(AND(C2254&lt;&gt;"", J2254&lt;&gt;""), HYPERLINK("#'" &amp; C2254 &amp; "'!" &amp; J2254, J2254), "")</f>
        <v/>
      </c>
    </row>
    <row r="2255">
      <c r="B2255" s="21">
        <f>IF(AND(C2255&lt;&gt;"", J2255&lt;&gt;""), HYPERLINK("#'" &amp; C2255 &amp; "'!" &amp; J2255, J2255), "")</f>
        <v/>
      </c>
    </row>
    <row r="2256">
      <c r="B2256" s="21">
        <f>IF(AND(C2256&lt;&gt;"", J2256&lt;&gt;""), HYPERLINK("#'" &amp; C2256 &amp; "'!" &amp; J2256, J2256), "")</f>
        <v/>
      </c>
    </row>
    <row r="2257">
      <c r="B2257" s="21">
        <f>IF(AND(C2257&lt;&gt;"", J2257&lt;&gt;""), HYPERLINK("#'" &amp; C2257 &amp; "'!" &amp; J2257, J2257), "")</f>
        <v/>
      </c>
    </row>
    <row r="2258">
      <c r="B2258" s="21">
        <f>IF(AND(C2258&lt;&gt;"", J2258&lt;&gt;""), HYPERLINK("#'" &amp; C2258 &amp; "'!" &amp; J2258, J2258), "")</f>
        <v/>
      </c>
    </row>
    <row r="2259">
      <c r="B2259" s="21">
        <f>IF(AND(C2259&lt;&gt;"", J2259&lt;&gt;""), HYPERLINK("#'" &amp; C2259 &amp; "'!" &amp; J2259, J2259), "")</f>
        <v/>
      </c>
    </row>
    <row r="2260">
      <c r="B2260" s="21">
        <f>IF(AND(C2260&lt;&gt;"", J2260&lt;&gt;""), HYPERLINK("#'" &amp; C2260 &amp; "'!" &amp; J2260, J2260), "")</f>
        <v/>
      </c>
    </row>
    <row r="2261">
      <c r="B2261" s="21">
        <f>IF(AND(C2261&lt;&gt;"", J2261&lt;&gt;""), HYPERLINK("#'" &amp; C2261 &amp; "'!" &amp; J2261, J2261), "")</f>
        <v/>
      </c>
    </row>
    <row r="2262">
      <c r="B2262" s="21">
        <f>IF(AND(C2262&lt;&gt;"", J2262&lt;&gt;""), HYPERLINK("#'" &amp; C2262 &amp; "'!" &amp; J2262, J2262), "")</f>
        <v/>
      </c>
    </row>
    <row r="2263">
      <c r="B2263" s="21">
        <f>IF(AND(C2263&lt;&gt;"", J2263&lt;&gt;""), HYPERLINK("#'" &amp; C2263 &amp; "'!" &amp; J2263, J2263), "")</f>
        <v/>
      </c>
    </row>
    <row r="2264">
      <c r="B2264" s="21">
        <f>IF(AND(C2264&lt;&gt;"", J2264&lt;&gt;""), HYPERLINK("#'" &amp; C2264 &amp; "'!" &amp; J2264, J2264), "")</f>
        <v/>
      </c>
    </row>
    <row r="2265">
      <c r="B2265" s="21">
        <f>IF(AND(C2265&lt;&gt;"", J2265&lt;&gt;""), HYPERLINK("#'" &amp; C2265 &amp; "'!" &amp; J2265, J2265), "")</f>
        <v/>
      </c>
    </row>
    <row r="2266">
      <c r="B2266" s="21">
        <f>IF(AND(C2266&lt;&gt;"", J2266&lt;&gt;""), HYPERLINK("#'" &amp; C2266 &amp; "'!" &amp; J2266, J2266), "")</f>
        <v/>
      </c>
    </row>
    <row r="2267">
      <c r="B2267" s="21">
        <f>IF(AND(C2267&lt;&gt;"", J2267&lt;&gt;""), HYPERLINK("#'" &amp; C2267 &amp; "'!" &amp; J2267, J2267), "")</f>
        <v/>
      </c>
    </row>
    <row r="2268">
      <c r="B2268" s="21">
        <f>IF(AND(C2268&lt;&gt;"", J2268&lt;&gt;""), HYPERLINK("#'" &amp; C2268 &amp; "'!" &amp; J2268, J2268), "")</f>
        <v/>
      </c>
    </row>
    <row r="2269">
      <c r="B2269" s="21">
        <f>IF(AND(C2269&lt;&gt;"", J2269&lt;&gt;""), HYPERLINK("#'" &amp; C2269 &amp; "'!" &amp; J2269, J2269), "")</f>
        <v/>
      </c>
    </row>
    <row r="2270">
      <c r="B2270" s="21">
        <f>IF(AND(C2270&lt;&gt;"", J2270&lt;&gt;""), HYPERLINK("#'" &amp; C2270 &amp; "'!" &amp; J2270, J2270), "")</f>
        <v/>
      </c>
    </row>
    <row r="2271">
      <c r="B2271" s="21">
        <f>IF(AND(C2271&lt;&gt;"", J2271&lt;&gt;""), HYPERLINK("#'" &amp; C2271 &amp; "'!" &amp; J2271, J2271), "")</f>
        <v/>
      </c>
    </row>
    <row r="2272">
      <c r="B2272" s="21">
        <f>IF(AND(C2272&lt;&gt;"", J2272&lt;&gt;""), HYPERLINK("#'" &amp; C2272 &amp; "'!" &amp; J2272, J2272), "")</f>
        <v/>
      </c>
    </row>
    <row r="2273">
      <c r="B2273" s="21">
        <f>IF(AND(C2273&lt;&gt;"", J2273&lt;&gt;""), HYPERLINK("#'" &amp; C2273 &amp; "'!" &amp; J2273, J2273), "")</f>
        <v/>
      </c>
    </row>
    <row r="2274">
      <c r="B2274" s="21">
        <f>IF(AND(C2274&lt;&gt;"", J2274&lt;&gt;""), HYPERLINK("#'" &amp; C2274 &amp; "'!" &amp; J2274, J2274), "")</f>
        <v/>
      </c>
    </row>
    <row r="2275">
      <c r="B2275" s="21">
        <f>IF(AND(C2275&lt;&gt;"", J2275&lt;&gt;""), HYPERLINK("#'" &amp; C2275 &amp; "'!" &amp; J2275, J2275), "")</f>
        <v/>
      </c>
    </row>
    <row r="2276">
      <c r="B2276" s="21">
        <f>IF(AND(C2276&lt;&gt;"", J2276&lt;&gt;""), HYPERLINK("#'" &amp; C2276 &amp; "'!" &amp; J2276, J2276), "")</f>
        <v/>
      </c>
    </row>
    <row r="2277">
      <c r="B2277" s="21">
        <f>IF(AND(C2277&lt;&gt;"", J2277&lt;&gt;""), HYPERLINK("#'" &amp; C2277 &amp; "'!" &amp; J2277, J2277), "")</f>
        <v/>
      </c>
    </row>
    <row r="2278">
      <c r="B2278" s="21">
        <f>IF(AND(C2278&lt;&gt;"", J2278&lt;&gt;""), HYPERLINK("#'" &amp; C2278 &amp; "'!" &amp; J2278, J2278), "")</f>
        <v/>
      </c>
    </row>
    <row r="2279">
      <c r="B2279" s="21">
        <f>IF(AND(C2279&lt;&gt;"", J2279&lt;&gt;""), HYPERLINK("#'" &amp; C2279 &amp; "'!" &amp; J2279, J2279), "")</f>
        <v/>
      </c>
    </row>
    <row r="2280">
      <c r="B2280" s="21">
        <f>IF(AND(C2280&lt;&gt;"", J2280&lt;&gt;""), HYPERLINK("#'" &amp; C2280 &amp; "'!" &amp; J2280, J2280), "")</f>
        <v/>
      </c>
    </row>
    <row r="2281">
      <c r="B2281" s="21">
        <f>IF(AND(C2281&lt;&gt;"", J2281&lt;&gt;""), HYPERLINK("#'" &amp; C2281 &amp; "'!" &amp; J2281, J2281), "")</f>
        <v/>
      </c>
    </row>
    <row r="2282">
      <c r="B2282" s="21">
        <f>IF(AND(C2282&lt;&gt;"", J2282&lt;&gt;""), HYPERLINK("#'" &amp; C2282 &amp; "'!" &amp; J2282, J2282), "")</f>
        <v/>
      </c>
    </row>
    <row r="2283">
      <c r="B2283" s="21">
        <f>IF(AND(C2283&lt;&gt;"", J2283&lt;&gt;""), HYPERLINK("#'" &amp; C2283 &amp; "'!" &amp; J2283, J2283), "")</f>
        <v/>
      </c>
    </row>
    <row r="2284">
      <c r="B2284" s="21">
        <f>IF(AND(C2284&lt;&gt;"", J2284&lt;&gt;""), HYPERLINK("#'" &amp; C2284 &amp; "'!" &amp; J2284, J2284), "")</f>
        <v/>
      </c>
    </row>
    <row r="2285">
      <c r="B2285" s="21">
        <f>IF(AND(C2285&lt;&gt;"", J2285&lt;&gt;""), HYPERLINK("#'" &amp; C2285 &amp; "'!" &amp; J2285, J2285), "")</f>
        <v/>
      </c>
    </row>
    <row r="2286">
      <c r="B2286" s="21">
        <f>IF(AND(C2286&lt;&gt;"", J2286&lt;&gt;""), HYPERLINK("#'" &amp; C2286 &amp; "'!" &amp; J2286, J2286), "")</f>
        <v/>
      </c>
    </row>
    <row r="2287">
      <c r="B2287" s="21">
        <f>IF(AND(C2287&lt;&gt;"", J2287&lt;&gt;""), HYPERLINK("#'" &amp; C2287 &amp; "'!" &amp; J2287, J2287), "")</f>
        <v/>
      </c>
    </row>
    <row r="2288">
      <c r="B2288" s="21">
        <f>IF(AND(C2288&lt;&gt;"", J2288&lt;&gt;""), HYPERLINK("#'" &amp; C2288 &amp; "'!" &amp; J2288, J2288), "")</f>
        <v/>
      </c>
    </row>
    <row r="2289">
      <c r="B2289" s="21">
        <f>IF(AND(C2289&lt;&gt;"", J2289&lt;&gt;""), HYPERLINK("#'" &amp; C2289 &amp; "'!" &amp; J2289, J2289), "")</f>
        <v/>
      </c>
    </row>
    <row r="2290">
      <c r="B2290" s="21">
        <f>IF(AND(C2290&lt;&gt;"", J2290&lt;&gt;""), HYPERLINK("#'" &amp; C2290 &amp; "'!" &amp; J2290, J2290), "")</f>
        <v/>
      </c>
    </row>
    <row r="2291">
      <c r="B2291" s="21">
        <f>IF(AND(C2291&lt;&gt;"", J2291&lt;&gt;""), HYPERLINK("#'" &amp; C2291 &amp; "'!" &amp; J2291, J2291), "")</f>
        <v/>
      </c>
    </row>
    <row r="2292">
      <c r="B2292" s="21">
        <f>IF(AND(C2292&lt;&gt;"", J2292&lt;&gt;""), HYPERLINK("#'" &amp; C2292 &amp; "'!" &amp; J2292, J2292), "")</f>
        <v/>
      </c>
    </row>
    <row r="2293">
      <c r="B2293" s="21">
        <f>IF(AND(C2293&lt;&gt;"", J2293&lt;&gt;""), HYPERLINK("#'" &amp; C2293 &amp; "'!" &amp; J2293, J2293), "")</f>
        <v/>
      </c>
    </row>
    <row r="2294">
      <c r="B2294" s="21">
        <f>IF(AND(C2294&lt;&gt;"", J2294&lt;&gt;""), HYPERLINK("#'" &amp; C2294 &amp; "'!" &amp; J2294, J2294), "")</f>
        <v/>
      </c>
    </row>
    <row r="2295">
      <c r="B2295" s="21">
        <f>IF(AND(C2295&lt;&gt;"", J2295&lt;&gt;""), HYPERLINK("#'" &amp; C2295 &amp; "'!" &amp; J2295, J2295), "")</f>
        <v/>
      </c>
    </row>
    <row r="2296">
      <c r="B2296" s="21">
        <f>IF(AND(C2296&lt;&gt;"", J2296&lt;&gt;""), HYPERLINK("#'" &amp; C2296 &amp; "'!" &amp; J2296, J2296), "")</f>
        <v/>
      </c>
    </row>
    <row r="2297">
      <c r="B2297" s="21">
        <f>IF(AND(C2297&lt;&gt;"", J2297&lt;&gt;""), HYPERLINK("#'" &amp; C2297 &amp; "'!" &amp; J2297, J2297), "")</f>
        <v/>
      </c>
    </row>
    <row r="2298">
      <c r="B2298" s="21">
        <f>IF(AND(C2298&lt;&gt;"", J2298&lt;&gt;""), HYPERLINK("#'" &amp; C2298 &amp; "'!" &amp; J2298, J2298), "")</f>
        <v/>
      </c>
    </row>
    <row r="2299">
      <c r="B2299" s="21">
        <f>IF(AND(C2299&lt;&gt;"", J2299&lt;&gt;""), HYPERLINK("#'" &amp; C2299 &amp; "'!" &amp; J2299, J2299), "")</f>
        <v/>
      </c>
    </row>
    <row r="2300">
      <c r="B2300" s="21">
        <f>IF(AND(C2300&lt;&gt;"", J2300&lt;&gt;""), HYPERLINK("#'" &amp; C2300 &amp; "'!" &amp; J2300, J2300), "")</f>
        <v/>
      </c>
    </row>
    <row r="2301">
      <c r="B2301" s="21">
        <f>IF(AND(C2301&lt;&gt;"", J2301&lt;&gt;""), HYPERLINK("#'" &amp; C2301 &amp; "'!" &amp; J2301, J2301), "")</f>
        <v/>
      </c>
    </row>
    <row r="2302">
      <c r="B2302" s="21">
        <f>IF(AND(C2302&lt;&gt;"", J2302&lt;&gt;""), HYPERLINK("#'" &amp; C2302 &amp; "'!" &amp; J2302, J2302), "")</f>
        <v/>
      </c>
    </row>
    <row r="2303">
      <c r="B2303" s="21">
        <f>IF(AND(C2303&lt;&gt;"", J2303&lt;&gt;""), HYPERLINK("#'" &amp; C2303 &amp; "'!" &amp; J2303, J2303), "")</f>
        <v/>
      </c>
    </row>
    <row r="2304">
      <c r="B2304" s="21">
        <f>IF(AND(C2304&lt;&gt;"", J2304&lt;&gt;""), HYPERLINK("#'" &amp; C2304 &amp; "'!" &amp; J2304, J2304), "")</f>
        <v/>
      </c>
    </row>
    <row r="2305">
      <c r="B2305" s="21">
        <f>IF(AND(C2305&lt;&gt;"", J2305&lt;&gt;""), HYPERLINK("#'" &amp; C2305 &amp; "'!" &amp; J2305, J2305), "")</f>
        <v/>
      </c>
    </row>
    <row r="2306">
      <c r="B2306" s="21">
        <f>IF(AND(C2306&lt;&gt;"", J2306&lt;&gt;""), HYPERLINK("#'" &amp; C2306 &amp; "'!" &amp; J2306, J2306), "")</f>
        <v/>
      </c>
    </row>
    <row r="2307">
      <c r="B2307" s="21">
        <f>IF(AND(C2307&lt;&gt;"", J2307&lt;&gt;""), HYPERLINK("#'" &amp; C2307 &amp; "'!" &amp; J2307, J2307), "")</f>
        <v/>
      </c>
    </row>
    <row r="2308">
      <c r="B2308" s="21">
        <f>IF(AND(C2308&lt;&gt;"", J2308&lt;&gt;""), HYPERLINK("#'" &amp; C2308 &amp; "'!" &amp; J2308, J2308), "")</f>
        <v/>
      </c>
    </row>
    <row r="2309">
      <c r="B2309" s="21">
        <f>IF(AND(C2309&lt;&gt;"", J2309&lt;&gt;""), HYPERLINK("#'" &amp; C2309 &amp; "'!" &amp; J2309, J2309), "")</f>
        <v/>
      </c>
    </row>
    <row r="2310">
      <c r="B2310" s="21">
        <f>IF(AND(C2310&lt;&gt;"", J2310&lt;&gt;""), HYPERLINK("#'" &amp; C2310 &amp; "'!" &amp; J2310, J2310), "")</f>
        <v/>
      </c>
    </row>
    <row r="2311">
      <c r="B2311" s="21">
        <f>IF(AND(C2311&lt;&gt;"", J2311&lt;&gt;""), HYPERLINK("#'" &amp; C2311 &amp; "'!" &amp; J2311, J2311), "")</f>
        <v/>
      </c>
    </row>
    <row r="2312">
      <c r="B2312" s="21">
        <f>IF(AND(C2312&lt;&gt;"", J2312&lt;&gt;""), HYPERLINK("#'" &amp; C2312 &amp; "'!" &amp; J2312, J2312), "")</f>
        <v/>
      </c>
    </row>
    <row r="2313">
      <c r="B2313" s="21">
        <f>IF(AND(C2313&lt;&gt;"", J2313&lt;&gt;""), HYPERLINK("#'" &amp; C2313 &amp; "'!" &amp; J2313, J2313), "")</f>
        <v/>
      </c>
    </row>
    <row r="2314">
      <c r="B2314" s="21">
        <f>IF(AND(C2314&lt;&gt;"", J2314&lt;&gt;""), HYPERLINK("#'" &amp; C2314 &amp; "'!" &amp; J2314, J2314), "")</f>
        <v/>
      </c>
    </row>
    <row r="2315">
      <c r="B2315" s="21">
        <f>IF(AND(C2315&lt;&gt;"", J2315&lt;&gt;""), HYPERLINK("#'" &amp; C2315 &amp; "'!" &amp; J2315, J2315), "")</f>
        <v/>
      </c>
    </row>
    <row r="2316">
      <c r="B2316" s="21">
        <f>IF(AND(C2316&lt;&gt;"", J2316&lt;&gt;""), HYPERLINK("#'" &amp; C2316 &amp; "'!" &amp; J2316, J2316), "")</f>
        <v/>
      </c>
    </row>
    <row r="2317">
      <c r="B2317" s="21">
        <f>IF(AND(C2317&lt;&gt;"", J2317&lt;&gt;""), HYPERLINK("#'" &amp; C2317 &amp; "'!" &amp; J2317, J2317), "")</f>
        <v/>
      </c>
    </row>
    <row r="2318">
      <c r="B2318" s="21">
        <f>IF(AND(C2318&lt;&gt;"", J2318&lt;&gt;""), HYPERLINK("#'" &amp; C2318 &amp; "'!" &amp; J2318, J2318), "")</f>
        <v/>
      </c>
    </row>
    <row r="2319">
      <c r="B2319" s="21">
        <f>IF(AND(C2319&lt;&gt;"", J2319&lt;&gt;""), HYPERLINK("#'" &amp; C2319 &amp; "'!" &amp; J2319, J2319), "")</f>
        <v/>
      </c>
    </row>
    <row r="2320">
      <c r="B2320" s="21">
        <f>IF(AND(C2320&lt;&gt;"", J2320&lt;&gt;""), HYPERLINK("#'" &amp; C2320 &amp; "'!" &amp; J2320, J2320), "")</f>
        <v/>
      </c>
    </row>
    <row r="2321">
      <c r="B2321" s="21">
        <f>IF(AND(C2321&lt;&gt;"", J2321&lt;&gt;""), HYPERLINK("#'" &amp; C2321 &amp; "'!" &amp; J2321, J2321), "")</f>
        <v/>
      </c>
    </row>
    <row r="2322">
      <c r="B2322" s="21">
        <f>IF(AND(C2322&lt;&gt;"", J2322&lt;&gt;""), HYPERLINK("#'" &amp; C2322 &amp; "'!" &amp; J2322, J2322), "")</f>
        <v/>
      </c>
    </row>
    <row r="2323">
      <c r="B2323" s="21">
        <f>IF(AND(C2323&lt;&gt;"", J2323&lt;&gt;""), HYPERLINK("#'" &amp; C2323 &amp; "'!" &amp; J2323, J2323), "")</f>
        <v/>
      </c>
    </row>
    <row r="2324">
      <c r="B2324" s="21">
        <f>IF(AND(C2324&lt;&gt;"", J2324&lt;&gt;""), HYPERLINK("#'" &amp; C2324 &amp; "'!" &amp; J2324, J2324), "")</f>
        <v/>
      </c>
    </row>
    <row r="2325">
      <c r="B2325" s="21">
        <f>IF(AND(C2325&lt;&gt;"", J2325&lt;&gt;""), HYPERLINK("#'" &amp; C2325 &amp; "'!" &amp; J2325, J2325), "")</f>
        <v/>
      </c>
    </row>
    <row r="2326">
      <c r="B2326" s="21">
        <f>IF(AND(C2326&lt;&gt;"", J2326&lt;&gt;""), HYPERLINK("#'" &amp; C2326 &amp; "'!" &amp; J2326, J2326), "")</f>
        <v/>
      </c>
    </row>
    <row r="2327">
      <c r="B2327" s="21">
        <f>IF(AND(C2327&lt;&gt;"", J2327&lt;&gt;""), HYPERLINK("#'" &amp; C2327 &amp; "'!" &amp; J2327, J2327), "")</f>
        <v/>
      </c>
    </row>
    <row r="2328">
      <c r="B2328" s="21">
        <f>IF(AND(C2328&lt;&gt;"", J2328&lt;&gt;""), HYPERLINK("#'" &amp; C2328 &amp; "'!" &amp; J2328, J2328), "")</f>
        <v/>
      </c>
    </row>
    <row r="2329">
      <c r="B2329" s="21">
        <f>IF(AND(C2329&lt;&gt;"", J2329&lt;&gt;""), HYPERLINK("#'" &amp; C2329 &amp; "'!" &amp; J2329, J2329), "")</f>
        <v/>
      </c>
    </row>
    <row r="2330">
      <c r="B2330" s="21">
        <f>IF(AND(C2330&lt;&gt;"", J2330&lt;&gt;""), HYPERLINK("#'" &amp; C2330 &amp; "'!" &amp; J2330, J2330), "")</f>
        <v/>
      </c>
    </row>
    <row r="2331">
      <c r="B2331" s="21">
        <f>IF(AND(C2331&lt;&gt;"", J2331&lt;&gt;""), HYPERLINK("#'" &amp; C2331 &amp; "'!" &amp; J2331, J2331), "")</f>
        <v/>
      </c>
    </row>
    <row r="2332">
      <c r="B2332" s="21">
        <f>IF(AND(C2332&lt;&gt;"", J2332&lt;&gt;""), HYPERLINK("#'" &amp; C2332 &amp; "'!" &amp; J2332, J2332), "")</f>
        <v/>
      </c>
    </row>
    <row r="2333">
      <c r="B2333" s="21">
        <f>IF(AND(C2333&lt;&gt;"", J2333&lt;&gt;""), HYPERLINK("#'" &amp; C2333 &amp; "'!" &amp; J2333, J2333), "")</f>
        <v/>
      </c>
    </row>
    <row r="2334">
      <c r="B2334" s="21">
        <f>IF(AND(C2334&lt;&gt;"", J2334&lt;&gt;""), HYPERLINK("#'" &amp; C2334 &amp; "'!" &amp; J2334, J2334), "")</f>
        <v/>
      </c>
    </row>
    <row r="2335">
      <c r="B2335" s="21">
        <f>IF(AND(C2335&lt;&gt;"", J2335&lt;&gt;""), HYPERLINK("#'" &amp; C2335 &amp; "'!" &amp; J2335, J2335), "")</f>
        <v/>
      </c>
    </row>
    <row r="2336">
      <c r="B2336" s="21">
        <f>IF(AND(C2336&lt;&gt;"", J2336&lt;&gt;""), HYPERLINK("#'" &amp; C2336 &amp; "'!" &amp; J2336, J2336), "")</f>
        <v/>
      </c>
    </row>
    <row r="2337">
      <c r="B2337" s="21">
        <f>IF(AND(C2337&lt;&gt;"", J2337&lt;&gt;""), HYPERLINK("#'" &amp; C2337 &amp; "'!" &amp; J2337, J2337), "")</f>
        <v/>
      </c>
    </row>
    <row r="2338">
      <c r="B2338" s="21">
        <f>IF(AND(C2338&lt;&gt;"", J2338&lt;&gt;""), HYPERLINK("#'" &amp; C2338 &amp; "'!" &amp; J2338, J2338), "")</f>
        <v/>
      </c>
    </row>
    <row r="2339">
      <c r="B2339" s="21">
        <f>IF(AND(C2339&lt;&gt;"", J2339&lt;&gt;""), HYPERLINK("#'" &amp; C2339 &amp; "'!" &amp; J2339, J2339), "")</f>
        <v/>
      </c>
    </row>
    <row r="2340">
      <c r="B2340" s="21">
        <f>IF(AND(C2340&lt;&gt;"", J2340&lt;&gt;""), HYPERLINK("#'" &amp; C2340 &amp; "'!" &amp; J2340, J2340), "")</f>
        <v/>
      </c>
    </row>
    <row r="2341">
      <c r="B2341" s="21">
        <f>IF(AND(C2341&lt;&gt;"", J2341&lt;&gt;""), HYPERLINK("#'" &amp; C2341 &amp; "'!" &amp; J2341, J2341), "")</f>
        <v/>
      </c>
    </row>
    <row r="2342">
      <c r="B2342" s="21">
        <f>IF(AND(C2342&lt;&gt;"", J2342&lt;&gt;""), HYPERLINK("#'" &amp; C2342 &amp; "'!" &amp; J2342, J2342), "")</f>
        <v/>
      </c>
    </row>
    <row r="2343">
      <c r="B2343" s="21">
        <f>IF(AND(C2343&lt;&gt;"", J2343&lt;&gt;""), HYPERLINK("#'" &amp; C2343 &amp; "'!" &amp; J2343, J2343), "")</f>
        <v/>
      </c>
    </row>
    <row r="2344">
      <c r="B2344" s="21">
        <f>IF(AND(C2344&lt;&gt;"", J2344&lt;&gt;""), HYPERLINK("#'" &amp; C2344 &amp; "'!" &amp; J2344, J2344), "")</f>
        <v/>
      </c>
    </row>
    <row r="2345">
      <c r="B2345" s="21">
        <f>IF(AND(C2345&lt;&gt;"", J2345&lt;&gt;""), HYPERLINK("#'" &amp; C2345 &amp; "'!" &amp; J2345, J2345), "")</f>
        <v/>
      </c>
    </row>
    <row r="2346">
      <c r="B2346" s="21">
        <f>IF(AND(C2346&lt;&gt;"", J2346&lt;&gt;""), HYPERLINK("#'" &amp; C2346 &amp; "'!" &amp; J2346, J2346), "")</f>
        <v/>
      </c>
    </row>
    <row r="2347">
      <c r="B2347" s="21">
        <f>IF(AND(C2347&lt;&gt;"", J2347&lt;&gt;""), HYPERLINK("#'" &amp; C2347 &amp; "'!" &amp; J2347, J2347), "")</f>
        <v/>
      </c>
    </row>
    <row r="2348">
      <c r="B2348" s="21">
        <f>IF(AND(C2348&lt;&gt;"", J2348&lt;&gt;""), HYPERLINK("#'" &amp; C2348 &amp; "'!" &amp; J2348, J2348), "")</f>
        <v/>
      </c>
    </row>
    <row r="2349">
      <c r="B2349" s="21">
        <f>IF(AND(C2349&lt;&gt;"", J2349&lt;&gt;""), HYPERLINK("#'" &amp; C2349 &amp; "'!" &amp; J2349, J2349), "")</f>
        <v/>
      </c>
    </row>
    <row r="2350">
      <c r="B2350" s="21">
        <f>IF(AND(C2350&lt;&gt;"", J2350&lt;&gt;""), HYPERLINK("#'" &amp; C2350 &amp; "'!" &amp; J2350, J2350), "")</f>
        <v/>
      </c>
    </row>
    <row r="2351">
      <c r="B2351" s="21">
        <f>IF(AND(C2351&lt;&gt;"", J2351&lt;&gt;""), HYPERLINK("#'" &amp; C2351 &amp; "'!" &amp; J2351, J2351), "")</f>
        <v/>
      </c>
    </row>
    <row r="2352">
      <c r="B2352" s="21">
        <f>IF(AND(C2352&lt;&gt;"", J2352&lt;&gt;""), HYPERLINK("#'" &amp; C2352 &amp; "'!" &amp; J2352, J2352), "")</f>
        <v/>
      </c>
    </row>
    <row r="2353">
      <c r="B2353" s="21">
        <f>IF(AND(C2353&lt;&gt;"", J2353&lt;&gt;""), HYPERLINK("#'" &amp; C2353 &amp; "'!" &amp; J2353, J2353), "")</f>
        <v/>
      </c>
    </row>
    <row r="2354">
      <c r="B2354" s="21">
        <f>IF(AND(C2354&lt;&gt;"", J2354&lt;&gt;""), HYPERLINK("#'" &amp; C2354 &amp; "'!" &amp; J2354, J2354), "")</f>
        <v/>
      </c>
    </row>
    <row r="2355">
      <c r="B2355" s="21">
        <f>IF(AND(C2355&lt;&gt;"", J2355&lt;&gt;""), HYPERLINK("#'" &amp; C2355 &amp; "'!" &amp; J2355, J2355), "")</f>
        <v/>
      </c>
    </row>
    <row r="2356">
      <c r="B2356" s="21">
        <f>IF(AND(C2356&lt;&gt;"", J2356&lt;&gt;""), HYPERLINK("#'" &amp; C2356 &amp; "'!" &amp; J2356, J2356), "")</f>
        <v/>
      </c>
    </row>
    <row r="2357">
      <c r="B2357" s="21">
        <f>IF(AND(C2357&lt;&gt;"", J2357&lt;&gt;""), HYPERLINK("#'" &amp; C2357 &amp; "'!" &amp; J2357, J2357), "")</f>
        <v/>
      </c>
    </row>
    <row r="2358">
      <c r="B2358" s="21">
        <f>IF(AND(C2358&lt;&gt;"", J2358&lt;&gt;""), HYPERLINK("#'" &amp; C2358 &amp; "'!" &amp; J2358, J2358), "")</f>
        <v/>
      </c>
    </row>
    <row r="2359">
      <c r="B2359" s="21">
        <f>IF(AND(C2359&lt;&gt;"", J2359&lt;&gt;""), HYPERLINK("#'" &amp; C2359 &amp; "'!" &amp; J2359, J2359), "")</f>
        <v/>
      </c>
    </row>
    <row r="2360">
      <c r="B2360" s="21">
        <f>IF(AND(C2360&lt;&gt;"", J2360&lt;&gt;""), HYPERLINK("#'" &amp; C2360 &amp; "'!" &amp; J2360, J2360), "")</f>
        <v/>
      </c>
    </row>
    <row r="2361">
      <c r="B2361" s="21">
        <f>IF(AND(C2361&lt;&gt;"", J2361&lt;&gt;""), HYPERLINK("#'" &amp; C2361 &amp; "'!" &amp; J2361, J2361), "")</f>
        <v/>
      </c>
    </row>
    <row r="2362">
      <c r="B2362" s="21">
        <f>IF(AND(C2362&lt;&gt;"", J2362&lt;&gt;""), HYPERLINK("#'" &amp; C2362 &amp; "'!" &amp; J2362, J2362), "")</f>
        <v/>
      </c>
    </row>
    <row r="2363">
      <c r="B2363" s="21">
        <f>IF(AND(C2363&lt;&gt;"", J2363&lt;&gt;""), HYPERLINK("#'" &amp; C2363 &amp; "'!" &amp; J2363, J2363), "")</f>
        <v/>
      </c>
    </row>
    <row r="2364">
      <c r="B2364" s="21">
        <f>IF(AND(C2364&lt;&gt;"", J2364&lt;&gt;""), HYPERLINK("#'" &amp; C2364 &amp; "'!" &amp; J2364, J2364), "")</f>
        <v/>
      </c>
    </row>
    <row r="2365">
      <c r="B2365" s="21">
        <f>IF(AND(C2365&lt;&gt;"", J2365&lt;&gt;""), HYPERLINK("#'" &amp; C2365 &amp; "'!" &amp; J2365, J2365), "")</f>
        <v/>
      </c>
    </row>
    <row r="2366">
      <c r="B2366" s="21">
        <f>IF(AND(C2366&lt;&gt;"", J2366&lt;&gt;""), HYPERLINK("#'" &amp; C2366 &amp; "'!" &amp; J2366, J2366), "")</f>
        <v/>
      </c>
    </row>
    <row r="2367">
      <c r="B2367" s="21">
        <f>IF(AND(C2367&lt;&gt;"", J2367&lt;&gt;""), HYPERLINK("#'" &amp; C2367 &amp; "'!" &amp; J2367, J2367), "")</f>
        <v/>
      </c>
    </row>
    <row r="2368">
      <c r="B2368" s="21">
        <f>IF(AND(C2368&lt;&gt;"", J2368&lt;&gt;""), HYPERLINK("#'" &amp; C2368 &amp; "'!" &amp; J2368, J2368), "")</f>
        <v/>
      </c>
    </row>
    <row r="2369">
      <c r="B2369" s="21">
        <f>IF(AND(C2369&lt;&gt;"", J2369&lt;&gt;""), HYPERLINK("#'" &amp; C2369 &amp; "'!" &amp; J2369, J2369), "")</f>
        <v/>
      </c>
    </row>
    <row r="2370">
      <c r="B2370" s="21">
        <f>IF(AND(C2370&lt;&gt;"", J2370&lt;&gt;""), HYPERLINK("#'" &amp; C2370 &amp; "'!" &amp; J2370, J2370), "")</f>
        <v/>
      </c>
    </row>
    <row r="2371">
      <c r="B2371" s="21">
        <f>IF(AND(C2371&lt;&gt;"", J2371&lt;&gt;""), HYPERLINK("#'" &amp; C2371 &amp; "'!" &amp; J2371, J2371), "")</f>
        <v/>
      </c>
    </row>
    <row r="2372">
      <c r="B2372" s="21">
        <f>IF(AND(C2372&lt;&gt;"", J2372&lt;&gt;""), HYPERLINK("#'" &amp; C2372 &amp; "'!" &amp; J2372, J2372), "")</f>
        <v/>
      </c>
    </row>
    <row r="2373">
      <c r="B2373" s="21">
        <f>IF(AND(C2373&lt;&gt;"", J2373&lt;&gt;""), HYPERLINK("#'" &amp; C2373 &amp; "'!" &amp; J2373, J2373), "")</f>
        <v/>
      </c>
    </row>
    <row r="2374">
      <c r="B2374" s="21">
        <f>IF(AND(C2374&lt;&gt;"", J2374&lt;&gt;""), HYPERLINK("#'" &amp; C2374 &amp; "'!" &amp; J2374, J2374), "")</f>
        <v/>
      </c>
    </row>
    <row r="2375">
      <c r="B2375" s="21">
        <f>IF(AND(C2375&lt;&gt;"", J2375&lt;&gt;""), HYPERLINK("#'" &amp; C2375 &amp; "'!" &amp; J2375, J2375), "")</f>
        <v/>
      </c>
    </row>
    <row r="2376">
      <c r="B2376" s="21">
        <f>IF(AND(C2376&lt;&gt;"", J2376&lt;&gt;""), HYPERLINK("#'" &amp; C2376 &amp; "'!" &amp; J2376, J2376), "")</f>
        <v/>
      </c>
    </row>
    <row r="2377">
      <c r="B2377" s="21">
        <f>IF(AND(C2377&lt;&gt;"", J2377&lt;&gt;""), HYPERLINK("#'" &amp; C2377 &amp; "'!" &amp; J2377, J2377), "")</f>
        <v/>
      </c>
    </row>
    <row r="2378">
      <c r="B2378" s="21">
        <f>IF(AND(C2378&lt;&gt;"", J2378&lt;&gt;""), HYPERLINK("#'" &amp; C2378 &amp; "'!" &amp; J2378, J2378), "")</f>
        <v/>
      </c>
    </row>
    <row r="2379">
      <c r="B2379" s="21">
        <f>IF(AND(C2379&lt;&gt;"", J2379&lt;&gt;""), HYPERLINK("#'" &amp; C2379 &amp; "'!" &amp; J2379, J2379), "")</f>
        <v/>
      </c>
    </row>
    <row r="2380">
      <c r="B2380" s="21">
        <f>IF(AND(C2380&lt;&gt;"", J2380&lt;&gt;""), HYPERLINK("#'" &amp; C2380 &amp; "'!" &amp; J2380, J2380), "")</f>
        <v/>
      </c>
    </row>
    <row r="2381">
      <c r="B2381" s="21">
        <f>IF(AND(C2381&lt;&gt;"", J2381&lt;&gt;""), HYPERLINK("#'" &amp; C2381 &amp; "'!" &amp; J2381, J2381), "")</f>
        <v/>
      </c>
    </row>
    <row r="2382">
      <c r="B2382" s="21">
        <f>IF(AND(C2382&lt;&gt;"", J2382&lt;&gt;""), HYPERLINK("#'" &amp; C2382 &amp; "'!" &amp; J2382, J2382), "")</f>
        <v/>
      </c>
    </row>
    <row r="2383">
      <c r="B2383" s="21">
        <f>IF(AND(C2383&lt;&gt;"", J2383&lt;&gt;""), HYPERLINK("#'" &amp; C2383 &amp; "'!" &amp; J2383, J2383), "")</f>
        <v/>
      </c>
    </row>
    <row r="2384">
      <c r="B2384" s="21">
        <f>IF(AND(C2384&lt;&gt;"", J2384&lt;&gt;""), HYPERLINK("#'" &amp; C2384 &amp; "'!" &amp; J2384, J2384), "")</f>
        <v/>
      </c>
    </row>
    <row r="2385">
      <c r="B2385" s="21">
        <f>IF(AND(C2385&lt;&gt;"", J2385&lt;&gt;""), HYPERLINK("#'" &amp; C2385 &amp; "'!" &amp; J2385, J2385), "")</f>
        <v/>
      </c>
    </row>
    <row r="2386">
      <c r="B2386" s="21">
        <f>IF(AND(C2386&lt;&gt;"", J2386&lt;&gt;""), HYPERLINK("#'" &amp; C2386 &amp; "'!" &amp; J2386, J2386), "")</f>
        <v/>
      </c>
    </row>
    <row r="2387">
      <c r="B2387" s="21">
        <f>IF(AND(C2387&lt;&gt;"", J2387&lt;&gt;""), HYPERLINK("#'" &amp; C2387 &amp; "'!" &amp; J2387, J2387), "")</f>
        <v/>
      </c>
    </row>
    <row r="2388">
      <c r="B2388" s="21">
        <f>IF(AND(C2388&lt;&gt;"", J2388&lt;&gt;""), HYPERLINK("#'" &amp; C2388 &amp; "'!" &amp; J2388, J2388), "")</f>
        <v/>
      </c>
    </row>
    <row r="2389">
      <c r="B2389" s="21">
        <f>IF(AND(C2389&lt;&gt;"", J2389&lt;&gt;""), HYPERLINK("#'" &amp; C2389 &amp; "'!" &amp; J2389, J2389), "")</f>
        <v/>
      </c>
    </row>
    <row r="2390">
      <c r="B2390" s="21">
        <f>IF(AND(C2390&lt;&gt;"", J2390&lt;&gt;""), HYPERLINK("#'" &amp; C2390 &amp; "'!" &amp; J2390, J2390), "")</f>
        <v/>
      </c>
    </row>
    <row r="2391">
      <c r="B2391" s="21">
        <f>IF(AND(C2391&lt;&gt;"", J2391&lt;&gt;""), HYPERLINK("#'" &amp; C2391 &amp; "'!" &amp; J2391, J2391), "")</f>
        <v/>
      </c>
    </row>
    <row r="2392">
      <c r="B2392" s="21">
        <f>IF(AND(C2392&lt;&gt;"", J2392&lt;&gt;""), HYPERLINK("#'" &amp; C2392 &amp; "'!" &amp; J2392, J2392), "")</f>
        <v/>
      </c>
    </row>
    <row r="2393">
      <c r="B2393" s="21">
        <f>IF(AND(C2393&lt;&gt;"", J2393&lt;&gt;""), HYPERLINK("#'" &amp; C2393 &amp; "'!" &amp; J2393, J2393), "")</f>
        <v/>
      </c>
    </row>
    <row r="2394">
      <c r="B2394" s="21">
        <f>IF(AND(C2394&lt;&gt;"", J2394&lt;&gt;""), HYPERLINK("#'" &amp; C2394 &amp; "'!" &amp; J2394, J2394), "")</f>
        <v/>
      </c>
    </row>
    <row r="2395">
      <c r="B2395" s="21">
        <f>IF(AND(C2395&lt;&gt;"", J2395&lt;&gt;""), HYPERLINK("#'" &amp; C2395 &amp; "'!" &amp; J2395, J2395), "")</f>
        <v/>
      </c>
    </row>
    <row r="2396">
      <c r="B2396" s="21">
        <f>IF(AND(C2396&lt;&gt;"", J2396&lt;&gt;""), HYPERLINK("#'" &amp; C2396 &amp; "'!" &amp; J2396, J2396), "")</f>
        <v/>
      </c>
    </row>
    <row r="2397">
      <c r="B2397" s="21">
        <f>IF(AND(C2397&lt;&gt;"", J2397&lt;&gt;""), HYPERLINK("#'" &amp; C2397 &amp; "'!" &amp; J2397, J2397), "")</f>
        <v/>
      </c>
    </row>
    <row r="2398">
      <c r="B2398" s="21">
        <f>IF(AND(C2398&lt;&gt;"", J2398&lt;&gt;""), HYPERLINK("#'" &amp; C2398 &amp; "'!" &amp; J2398, J2398), "")</f>
        <v/>
      </c>
    </row>
    <row r="2399">
      <c r="B2399" s="21">
        <f>IF(AND(C2399&lt;&gt;"", J2399&lt;&gt;""), HYPERLINK("#'" &amp; C2399 &amp; "'!" &amp; J2399, J2399), "")</f>
        <v/>
      </c>
    </row>
    <row r="2400">
      <c r="B2400" s="21">
        <f>IF(AND(C2400&lt;&gt;"", J2400&lt;&gt;""), HYPERLINK("#'" &amp; C2400 &amp; "'!" &amp; J2400, J2400), "")</f>
        <v/>
      </c>
    </row>
    <row r="2401">
      <c r="B2401" s="21">
        <f>IF(AND(C2401&lt;&gt;"", J2401&lt;&gt;""), HYPERLINK("#'" &amp; C2401 &amp; "'!" &amp; J2401, J2401), "")</f>
        <v/>
      </c>
    </row>
    <row r="2402">
      <c r="B2402" s="21">
        <f>IF(AND(C2402&lt;&gt;"", J2402&lt;&gt;""), HYPERLINK("#'" &amp; C2402 &amp; "'!" &amp; J2402, J2402), "")</f>
        <v/>
      </c>
    </row>
    <row r="2403">
      <c r="B2403" s="21">
        <f>IF(AND(C2403&lt;&gt;"", J2403&lt;&gt;""), HYPERLINK("#'" &amp; C2403 &amp; "'!" &amp; J2403, J2403), "")</f>
        <v/>
      </c>
    </row>
    <row r="2404">
      <c r="B2404" s="21">
        <f>IF(AND(C2404&lt;&gt;"", J2404&lt;&gt;""), HYPERLINK("#'" &amp; C2404 &amp; "'!" &amp; J2404, J2404), "")</f>
        <v/>
      </c>
    </row>
    <row r="2405">
      <c r="B2405" s="21">
        <f>IF(AND(C2405&lt;&gt;"", J2405&lt;&gt;""), HYPERLINK("#'" &amp; C2405 &amp; "'!" &amp; J2405, J2405), "")</f>
        <v/>
      </c>
    </row>
    <row r="2406">
      <c r="B2406" s="21">
        <f>IF(AND(C2406&lt;&gt;"", J2406&lt;&gt;""), HYPERLINK("#'" &amp; C2406 &amp; "'!" &amp; J2406, J2406), "")</f>
        <v/>
      </c>
    </row>
    <row r="2407">
      <c r="B2407" s="21">
        <f>IF(AND(C2407&lt;&gt;"", J2407&lt;&gt;""), HYPERLINK("#'" &amp; C2407 &amp; "'!" &amp; J2407, J2407), "")</f>
        <v/>
      </c>
    </row>
    <row r="2408">
      <c r="B2408" s="21">
        <f>IF(AND(C2408&lt;&gt;"", J2408&lt;&gt;""), HYPERLINK("#'" &amp; C2408 &amp; "'!" &amp; J2408, J2408), "")</f>
        <v/>
      </c>
    </row>
    <row r="2409">
      <c r="B2409" s="21">
        <f>IF(AND(C2409&lt;&gt;"", J2409&lt;&gt;""), HYPERLINK("#'" &amp; C2409 &amp; "'!" &amp; J2409, J2409), "")</f>
        <v/>
      </c>
    </row>
    <row r="2410">
      <c r="B2410" s="21">
        <f>IF(AND(C2410&lt;&gt;"", J2410&lt;&gt;""), HYPERLINK("#'" &amp; C2410 &amp; "'!" &amp; J2410, J2410), "")</f>
        <v/>
      </c>
    </row>
    <row r="2411">
      <c r="B2411" s="21">
        <f>IF(AND(C2411&lt;&gt;"", J2411&lt;&gt;""), HYPERLINK("#'" &amp; C2411 &amp; "'!" &amp; J2411, J2411), "")</f>
        <v/>
      </c>
    </row>
    <row r="2412">
      <c r="B2412" s="21">
        <f>IF(AND(C2412&lt;&gt;"", J2412&lt;&gt;""), HYPERLINK("#'" &amp; C2412 &amp; "'!" &amp; J2412, J2412), "")</f>
        <v/>
      </c>
    </row>
    <row r="2413">
      <c r="B2413" s="21">
        <f>IF(AND(C2413&lt;&gt;"", J2413&lt;&gt;""), HYPERLINK("#'" &amp; C2413 &amp; "'!" &amp; J2413, J2413), "")</f>
        <v/>
      </c>
    </row>
    <row r="2414">
      <c r="B2414" s="21">
        <f>IF(AND(C2414&lt;&gt;"", J2414&lt;&gt;""), HYPERLINK("#'" &amp; C2414 &amp; "'!" &amp; J2414, J2414), "")</f>
        <v/>
      </c>
    </row>
    <row r="2415">
      <c r="B2415" s="21">
        <f>IF(AND(C2415&lt;&gt;"", J2415&lt;&gt;""), HYPERLINK("#'" &amp; C2415 &amp; "'!" &amp; J2415, J2415), "")</f>
        <v/>
      </c>
    </row>
    <row r="2416">
      <c r="B2416" s="21">
        <f>IF(AND(C2416&lt;&gt;"", J2416&lt;&gt;""), HYPERLINK("#'" &amp; C2416 &amp; "'!" &amp; J2416, J2416), "")</f>
        <v/>
      </c>
    </row>
    <row r="2417">
      <c r="B2417" s="21">
        <f>IF(AND(C2417&lt;&gt;"", J2417&lt;&gt;""), HYPERLINK("#'" &amp; C2417 &amp; "'!" &amp; J2417, J2417), "")</f>
        <v/>
      </c>
    </row>
    <row r="2418">
      <c r="B2418" s="21">
        <f>IF(AND(C2418&lt;&gt;"", J2418&lt;&gt;""), HYPERLINK("#'" &amp; C2418 &amp; "'!" &amp; J2418, J2418), "")</f>
        <v/>
      </c>
    </row>
    <row r="2419">
      <c r="B2419" s="21">
        <f>IF(AND(C2419&lt;&gt;"", J2419&lt;&gt;""), HYPERLINK("#'" &amp; C2419 &amp; "'!" &amp; J2419, J2419), "")</f>
        <v/>
      </c>
    </row>
    <row r="2420">
      <c r="B2420" s="21">
        <f>IF(AND(C2420&lt;&gt;"", J2420&lt;&gt;""), HYPERLINK("#'" &amp; C2420 &amp; "'!" &amp; J2420, J2420), "")</f>
        <v/>
      </c>
    </row>
    <row r="2421">
      <c r="B2421" s="21">
        <f>IF(AND(C2421&lt;&gt;"", J2421&lt;&gt;""), HYPERLINK("#'" &amp; C2421 &amp; "'!" &amp; J2421, J2421), "")</f>
        <v/>
      </c>
    </row>
    <row r="2422">
      <c r="B2422" s="21">
        <f>IF(AND(C2422&lt;&gt;"", J2422&lt;&gt;""), HYPERLINK("#'" &amp; C2422 &amp; "'!" &amp; J2422, J2422), "")</f>
        <v/>
      </c>
    </row>
    <row r="2423">
      <c r="B2423" s="21">
        <f>IF(AND(C2423&lt;&gt;"", J2423&lt;&gt;""), HYPERLINK("#'" &amp; C2423 &amp; "'!" &amp; J2423, J2423), "")</f>
        <v/>
      </c>
    </row>
    <row r="2424">
      <c r="B2424" s="21">
        <f>IF(AND(C2424&lt;&gt;"", J2424&lt;&gt;""), HYPERLINK("#'" &amp; C2424 &amp; "'!" &amp; J2424, J2424), "")</f>
        <v/>
      </c>
    </row>
    <row r="2425">
      <c r="B2425" s="21">
        <f>IF(AND(C2425&lt;&gt;"", J2425&lt;&gt;""), HYPERLINK("#'" &amp; C2425 &amp; "'!" &amp; J2425, J2425), "")</f>
        <v/>
      </c>
    </row>
    <row r="2426">
      <c r="B2426" s="21">
        <f>IF(AND(C2426&lt;&gt;"", J2426&lt;&gt;""), HYPERLINK("#'" &amp; C2426 &amp; "'!" &amp; J2426, J2426), "")</f>
        <v/>
      </c>
    </row>
    <row r="2427">
      <c r="B2427" s="21">
        <f>IF(AND(C2427&lt;&gt;"", J2427&lt;&gt;""), HYPERLINK("#'" &amp; C2427 &amp; "'!" &amp; J2427, J2427), "")</f>
        <v/>
      </c>
    </row>
    <row r="2428">
      <c r="B2428" s="21">
        <f>IF(AND(C2428&lt;&gt;"", J2428&lt;&gt;""), HYPERLINK("#'" &amp; C2428 &amp; "'!" &amp; J2428, J2428), "")</f>
        <v/>
      </c>
    </row>
    <row r="2429">
      <c r="B2429" s="21">
        <f>IF(AND(C2429&lt;&gt;"", J2429&lt;&gt;""), HYPERLINK("#'" &amp; C2429 &amp; "'!" &amp; J2429, J2429), "")</f>
        <v/>
      </c>
    </row>
    <row r="2430">
      <c r="B2430" s="21">
        <f>IF(AND(C2430&lt;&gt;"", J2430&lt;&gt;""), HYPERLINK("#'" &amp; C2430 &amp; "'!" &amp; J2430, J2430), "")</f>
        <v/>
      </c>
    </row>
    <row r="2431">
      <c r="B2431" s="21">
        <f>IF(AND(C2431&lt;&gt;"", J2431&lt;&gt;""), HYPERLINK("#'" &amp; C2431 &amp; "'!" &amp; J2431, J2431), "")</f>
        <v/>
      </c>
    </row>
    <row r="2432">
      <c r="B2432" s="21">
        <f>IF(AND(C2432&lt;&gt;"", J2432&lt;&gt;""), HYPERLINK("#'" &amp; C2432 &amp; "'!" &amp; J2432, J2432), "")</f>
        <v/>
      </c>
    </row>
    <row r="2433">
      <c r="B2433" s="21">
        <f>IF(AND(C2433&lt;&gt;"", J2433&lt;&gt;""), HYPERLINK("#'" &amp; C2433 &amp; "'!" &amp; J2433, J2433), "")</f>
        <v/>
      </c>
    </row>
    <row r="2434">
      <c r="B2434" s="21">
        <f>IF(AND(C2434&lt;&gt;"", J2434&lt;&gt;""), HYPERLINK("#'" &amp; C2434 &amp; "'!" &amp; J2434, J2434), "")</f>
        <v/>
      </c>
    </row>
    <row r="2435">
      <c r="B2435" s="21">
        <f>IF(AND(C2435&lt;&gt;"", J2435&lt;&gt;""), HYPERLINK("#'" &amp; C2435 &amp; "'!" &amp; J2435, J2435), "")</f>
        <v/>
      </c>
    </row>
    <row r="2436">
      <c r="B2436" s="21">
        <f>IF(AND(C2436&lt;&gt;"", J2436&lt;&gt;""), HYPERLINK("#'" &amp; C2436 &amp; "'!" &amp; J2436, J2436), "")</f>
        <v/>
      </c>
    </row>
    <row r="2437">
      <c r="B2437" s="21">
        <f>IF(AND(C2437&lt;&gt;"", J2437&lt;&gt;""), HYPERLINK("#'" &amp; C2437 &amp; "'!" &amp; J2437, J2437), "")</f>
        <v/>
      </c>
    </row>
    <row r="2438">
      <c r="B2438" s="21">
        <f>IF(AND(C2438&lt;&gt;"", J2438&lt;&gt;""), HYPERLINK("#'" &amp; C2438 &amp; "'!" &amp; J2438, J2438), "")</f>
        <v/>
      </c>
    </row>
    <row r="2439">
      <c r="B2439" s="21">
        <f>IF(AND(C2439&lt;&gt;"", J2439&lt;&gt;""), HYPERLINK("#'" &amp; C2439 &amp; "'!" &amp; J2439, J2439), "")</f>
        <v/>
      </c>
    </row>
    <row r="2440">
      <c r="B2440" s="21">
        <f>IF(AND(C2440&lt;&gt;"", J2440&lt;&gt;""), HYPERLINK("#'" &amp; C2440 &amp; "'!" &amp; J2440, J2440), "")</f>
        <v/>
      </c>
    </row>
    <row r="2441">
      <c r="B2441" s="21">
        <f>IF(AND(C2441&lt;&gt;"", J2441&lt;&gt;""), HYPERLINK("#'" &amp; C2441 &amp; "'!" &amp; J2441, J2441), "")</f>
        <v/>
      </c>
    </row>
    <row r="2442">
      <c r="B2442" s="21">
        <f>IF(AND(C2442&lt;&gt;"", J2442&lt;&gt;""), HYPERLINK("#'" &amp; C2442 &amp; "'!" &amp; J2442, J2442), "")</f>
        <v/>
      </c>
    </row>
    <row r="2443">
      <c r="B2443" s="21">
        <f>IF(AND(C2443&lt;&gt;"", J2443&lt;&gt;""), HYPERLINK("#'" &amp; C2443 &amp; "'!" &amp; J2443, J2443), "")</f>
        <v/>
      </c>
    </row>
    <row r="2444">
      <c r="B2444" s="21">
        <f>IF(AND(C2444&lt;&gt;"", J2444&lt;&gt;""), HYPERLINK("#'" &amp; C2444 &amp; "'!" &amp; J2444, J2444), "")</f>
        <v/>
      </c>
    </row>
    <row r="2445">
      <c r="B2445" s="21">
        <f>IF(AND(C2445&lt;&gt;"", J2445&lt;&gt;""), HYPERLINK("#'" &amp; C2445 &amp; "'!" &amp; J2445, J2445), "")</f>
        <v/>
      </c>
    </row>
    <row r="2446">
      <c r="B2446" s="21">
        <f>IF(AND(C2446&lt;&gt;"", J2446&lt;&gt;""), HYPERLINK("#'" &amp; C2446 &amp; "'!" &amp; J2446, J2446), "")</f>
        <v/>
      </c>
    </row>
    <row r="2447">
      <c r="B2447" s="21">
        <f>IF(AND(C2447&lt;&gt;"", J2447&lt;&gt;""), HYPERLINK("#'" &amp; C2447 &amp; "'!" &amp; J2447, J2447), "")</f>
        <v/>
      </c>
    </row>
    <row r="2448">
      <c r="B2448" s="21">
        <f>IF(AND(C2448&lt;&gt;"", J2448&lt;&gt;""), HYPERLINK("#'" &amp; C2448 &amp; "'!" &amp; J2448, J2448), "")</f>
        <v/>
      </c>
    </row>
    <row r="2449">
      <c r="B2449" s="21">
        <f>IF(AND(C2449&lt;&gt;"", J2449&lt;&gt;""), HYPERLINK("#'" &amp; C2449 &amp; "'!" &amp; J2449, J2449), "")</f>
        <v/>
      </c>
    </row>
    <row r="2450">
      <c r="B2450" s="21">
        <f>IF(AND(C2450&lt;&gt;"", J2450&lt;&gt;""), HYPERLINK("#'" &amp; C2450 &amp; "'!" &amp; J2450, J2450), "")</f>
        <v/>
      </c>
    </row>
    <row r="2451">
      <c r="B2451" s="21">
        <f>IF(AND(C2451&lt;&gt;"", J2451&lt;&gt;""), HYPERLINK("#'" &amp; C2451 &amp; "'!" &amp; J2451, J2451), "")</f>
        <v/>
      </c>
    </row>
    <row r="2452">
      <c r="B2452" s="21">
        <f>IF(AND(C2452&lt;&gt;"", J2452&lt;&gt;""), HYPERLINK("#'" &amp; C2452 &amp; "'!" &amp; J2452, J2452), "")</f>
        <v/>
      </c>
    </row>
    <row r="2453">
      <c r="B2453" s="21">
        <f>IF(AND(C2453&lt;&gt;"", J2453&lt;&gt;""), HYPERLINK("#'" &amp; C2453 &amp; "'!" &amp; J2453, J2453), "")</f>
        <v/>
      </c>
    </row>
    <row r="2454">
      <c r="B2454" s="21">
        <f>IF(AND(C2454&lt;&gt;"", J2454&lt;&gt;""), HYPERLINK("#'" &amp; C2454 &amp; "'!" &amp; J2454, J2454), "")</f>
        <v/>
      </c>
    </row>
    <row r="2455">
      <c r="B2455" s="21">
        <f>IF(AND(C2455&lt;&gt;"", J2455&lt;&gt;""), HYPERLINK("#'" &amp; C2455 &amp; "'!" &amp; J2455, J2455), "")</f>
        <v/>
      </c>
    </row>
    <row r="2456">
      <c r="B2456" s="21">
        <f>IF(AND(C2456&lt;&gt;"", J2456&lt;&gt;""), HYPERLINK("#'" &amp; C2456 &amp; "'!" &amp; J2456, J2456), "")</f>
        <v/>
      </c>
    </row>
    <row r="2457">
      <c r="B2457" s="21">
        <f>IF(AND(C2457&lt;&gt;"", J2457&lt;&gt;""), HYPERLINK("#'" &amp; C2457 &amp; "'!" &amp; J2457, J2457), "")</f>
        <v/>
      </c>
    </row>
    <row r="2458">
      <c r="B2458" s="21">
        <f>IF(AND(C2458&lt;&gt;"", J2458&lt;&gt;""), HYPERLINK("#'" &amp; C2458 &amp; "'!" &amp; J2458, J2458), "")</f>
        <v/>
      </c>
    </row>
    <row r="2459">
      <c r="B2459" s="21">
        <f>IF(AND(C2459&lt;&gt;"", J2459&lt;&gt;""), HYPERLINK("#'" &amp; C2459 &amp; "'!" &amp; J2459, J2459), "")</f>
        <v/>
      </c>
    </row>
    <row r="2460">
      <c r="B2460" s="21">
        <f>IF(AND(C2460&lt;&gt;"", J2460&lt;&gt;""), HYPERLINK("#'" &amp; C2460 &amp; "'!" &amp; J2460, J2460), "")</f>
        <v/>
      </c>
    </row>
    <row r="2461">
      <c r="B2461" s="21">
        <f>IF(AND(C2461&lt;&gt;"", J2461&lt;&gt;""), HYPERLINK("#'" &amp; C2461 &amp; "'!" &amp; J2461, J2461), "")</f>
        <v/>
      </c>
    </row>
    <row r="2462">
      <c r="B2462" s="21">
        <f>IF(AND(C2462&lt;&gt;"", J2462&lt;&gt;""), HYPERLINK("#'" &amp; C2462 &amp; "'!" &amp; J2462, J2462), "")</f>
        <v/>
      </c>
    </row>
    <row r="2463">
      <c r="B2463" s="21">
        <f>IF(AND(C2463&lt;&gt;"", J2463&lt;&gt;""), HYPERLINK("#'" &amp; C2463 &amp; "'!" &amp; J2463, J2463), "")</f>
        <v/>
      </c>
    </row>
    <row r="2464">
      <c r="B2464" s="21">
        <f>IF(AND(C2464&lt;&gt;"", J2464&lt;&gt;""), HYPERLINK("#'" &amp; C2464 &amp; "'!" &amp; J2464, J2464), "")</f>
        <v/>
      </c>
    </row>
    <row r="2465">
      <c r="B2465" s="21">
        <f>IF(AND(C2465&lt;&gt;"", J2465&lt;&gt;""), HYPERLINK("#'" &amp; C2465 &amp; "'!" &amp; J2465, J2465), "")</f>
        <v/>
      </c>
    </row>
    <row r="2466">
      <c r="B2466" s="21">
        <f>IF(AND(C2466&lt;&gt;"", J2466&lt;&gt;""), HYPERLINK("#'" &amp; C2466 &amp; "'!" &amp; J2466, J2466), "")</f>
        <v/>
      </c>
    </row>
    <row r="2467">
      <c r="B2467" s="21">
        <f>IF(AND(C2467&lt;&gt;"", J2467&lt;&gt;""), HYPERLINK("#'" &amp; C2467 &amp; "'!" &amp; J2467, J2467), "")</f>
        <v/>
      </c>
    </row>
    <row r="2468">
      <c r="B2468" s="21">
        <f>IF(AND(C2468&lt;&gt;"", J2468&lt;&gt;""), HYPERLINK("#'" &amp; C2468 &amp; "'!" &amp; J2468, J2468), "")</f>
        <v/>
      </c>
    </row>
    <row r="2469">
      <c r="B2469" s="21">
        <f>IF(AND(C2469&lt;&gt;"", J2469&lt;&gt;""), HYPERLINK("#'" &amp; C2469 &amp; "'!" &amp; J2469, J2469), "")</f>
        <v/>
      </c>
    </row>
    <row r="2470">
      <c r="B2470" s="21">
        <f>IF(AND(C2470&lt;&gt;"", J2470&lt;&gt;""), HYPERLINK("#'" &amp; C2470 &amp; "'!" &amp; J2470, J2470), "")</f>
        <v/>
      </c>
    </row>
    <row r="2471">
      <c r="B2471" s="21">
        <f>IF(AND(C2471&lt;&gt;"", J2471&lt;&gt;""), HYPERLINK("#'" &amp; C2471 &amp; "'!" &amp; J2471, J2471), "")</f>
        <v/>
      </c>
    </row>
    <row r="2472">
      <c r="B2472" s="21">
        <f>IF(AND(C2472&lt;&gt;"", J2472&lt;&gt;""), HYPERLINK("#'" &amp; C2472 &amp; "'!" &amp; J2472, J2472), "")</f>
        <v/>
      </c>
    </row>
    <row r="2473">
      <c r="B2473" s="21">
        <f>IF(AND(C2473&lt;&gt;"", J2473&lt;&gt;""), HYPERLINK("#'" &amp; C2473 &amp; "'!" &amp; J2473, J2473), "")</f>
        <v/>
      </c>
    </row>
    <row r="2474">
      <c r="B2474" s="21">
        <f>IF(AND(C2474&lt;&gt;"", J2474&lt;&gt;""), HYPERLINK("#'" &amp; C2474 &amp; "'!" &amp; J2474, J2474), "")</f>
        <v/>
      </c>
    </row>
    <row r="2475">
      <c r="B2475" s="21">
        <f>IF(AND(C2475&lt;&gt;"", J2475&lt;&gt;""), HYPERLINK("#'" &amp; C2475 &amp; "'!" &amp; J2475, J2475), "")</f>
        <v/>
      </c>
    </row>
    <row r="2476">
      <c r="B2476" s="21">
        <f>IF(AND(C2476&lt;&gt;"", J2476&lt;&gt;""), HYPERLINK("#'" &amp; C2476 &amp; "'!" &amp; J2476, J2476), "")</f>
        <v/>
      </c>
    </row>
    <row r="2477">
      <c r="B2477" s="21">
        <f>IF(AND(C2477&lt;&gt;"", J2477&lt;&gt;""), HYPERLINK("#'" &amp; C2477 &amp; "'!" &amp; J2477, J2477), "")</f>
        <v/>
      </c>
    </row>
    <row r="2478">
      <c r="B2478" s="21">
        <f>IF(AND(C2478&lt;&gt;"", J2478&lt;&gt;""), HYPERLINK("#'" &amp; C2478 &amp; "'!" &amp; J2478, J2478), "")</f>
        <v/>
      </c>
    </row>
    <row r="2479">
      <c r="B2479" s="21">
        <f>IF(AND(C2479&lt;&gt;"", J2479&lt;&gt;""), HYPERLINK("#'" &amp; C2479 &amp; "'!" &amp; J2479, J2479), "")</f>
        <v/>
      </c>
    </row>
    <row r="2480">
      <c r="B2480" s="21">
        <f>IF(AND(C2480&lt;&gt;"", J2480&lt;&gt;""), HYPERLINK("#'" &amp; C2480 &amp; "'!" &amp; J2480, J2480), "")</f>
        <v/>
      </c>
    </row>
    <row r="2481">
      <c r="B2481" s="21">
        <f>IF(AND(C2481&lt;&gt;"", J2481&lt;&gt;""), HYPERLINK("#'" &amp; C2481 &amp; "'!" &amp; J2481, J2481), "")</f>
        <v/>
      </c>
    </row>
    <row r="2482">
      <c r="B2482" s="21">
        <f>IF(AND(C2482&lt;&gt;"", J2482&lt;&gt;""), HYPERLINK("#'" &amp; C2482 &amp; "'!" &amp; J2482, J2482), "")</f>
        <v/>
      </c>
    </row>
    <row r="2483">
      <c r="B2483" s="21">
        <f>IF(AND(C2483&lt;&gt;"", J2483&lt;&gt;""), HYPERLINK("#'" &amp; C2483 &amp; "'!" &amp; J2483, J2483), "")</f>
        <v/>
      </c>
    </row>
    <row r="2484">
      <c r="B2484" s="21">
        <f>IF(AND(C2484&lt;&gt;"", J2484&lt;&gt;""), HYPERLINK("#'" &amp; C2484 &amp; "'!" &amp; J2484, J2484), "")</f>
        <v/>
      </c>
    </row>
    <row r="2485">
      <c r="B2485" s="21">
        <f>IF(AND(C2485&lt;&gt;"", J2485&lt;&gt;""), HYPERLINK("#'" &amp; C2485 &amp; "'!" &amp; J2485, J2485), "")</f>
        <v/>
      </c>
    </row>
    <row r="2486">
      <c r="B2486" s="21">
        <f>IF(AND(C2486&lt;&gt;"", J2486&lt;&gt;""), HYPERLINK("#'" &amp; C2486 &amp; "'!" &amp; J2486, J2486), "")</f>
        <v/>
      </c>
    </row>
    <row r="2487">
      <c r="B2487" s="21">
        <f>IF(AND(C2487&lt;&gt;"", J2487&lt;&gt;""), HYPERLINK("#'" &amp; C2487 &amp; "'!" &amp; J2487, J2487), "")</f>
        <v/>
      </c>
    </row>
    <row r="2488">
      <c r="B2488" s="21">
        <f>IF(AND(C2488&lt;&gt;"", J2488&lt;&gt;""), HYPERLINK("#'" &amp; C2488 &amp; "'!" &amp; J2488, J2488), "")</f>
        <v/>
      </c>
    </row>
    <row r="2489">
      <c r="B2489" s="21">
        <f>IF(AND(C2489&lt;&gt;"", J2489&lt;&gt;""), HYPERLINK("#'" &amp; C2489 &amp; "'!" &amp; J2489, J2489), "")</f>
        <v/>
      </c>
    </row>
    <row r="2490">
      <c r="B2490" s="21">
        <f>IF(AND(C2490&lt;&gt;"", J2490&lt;&gt;""), HYPERLINK("#'" &amp; C2490 &amp; "'!" &amp; J2490, J2490), "")</f>
        <v/>
      </c>
    </row>
    <row r="2491">
      <c r="B2491" s="21">
        <f>IF(AND(C2491&lt;&gt;"", J2491&lt;&gt;""), HYPERLINK("#'" &amp; C2491 &amp; "'!" &amp; J2491, J2491), "")</f>
        <v/>
      </c>
    </row>
    <row r="2492">
      <c r="B2492" s="21">
        <f>IF(AND(C2492&lt;&gt;"", J2492&lt;&gt;""), HYPERLINK("#'" &amp; C2492 &amp; "'!" &amp; J2492, J2492), "")</f>
        <v/>
      </c>
    </row>
    <row r="2493">
      <c r="B2493" s="21">
        <f>IF(AND(C2493&lt;&gt;"", J2493&lt;&gt;""), HYPERLINK("#'" &amp; C2493 &amp; "'!" &amp; J2493, J2493), "")</f>
        <v/>
      </c>
    </row>
    <row r="2494">
      <c r="B2494" s="21">
        <f>IF(AND(C2494&lt;&gt;"", J2494&lt;&gt;""), HYPERLINK("#'" &amp; C2494 &amp; "'!" &amp; J2494, J2494), "")</f>
        <v/>
      </c>
    </row>
    <row r="2495">
      <c r="B2495" s="21">
        <f>IF(AND(C2495&lt;&gt;"", J2495&lt;&gt;""), HYPERLINK("#'" &amp; C2495 &amp; "'!" &amp; J2495, J2495), "")</f>
        <v/>
      </c>
    </row>
    <row r="2496">
      <c r="B2496" s="21">
        <f>IF(AND(C2496&lt;&gt;"", J2496&lt;&gt;""), HYPERLINK("#'" &amp; C2496 &amp; "'!" &amp; J2496, J2496), "")</f>
        <v/>
      </c>
    </row>
    <row r="2497">
      <c r="B2497" s="21">
        <f>IF(AND(C2497&lt;&gt;"", J2497&lt;&gt;""), HYPERLINK("#'" &amp; C2497 &amp; "'!" &amp; J2497, J2497), "")</f>
        <v/>
      </c>
    </row>
    <row r="2498">
      <c r="B2498" s="21">
        <f>IF(AND(C2498&lt;&gt;"", J2498&lt;&gt;""), HYPERLINK("#'" &amp; C2498 &amp; "'!" &amp; J2498, J2498), "")</f>
        <v/>
      </c>
    </row>
    <row r="2499">
      <c r="B2499" s="21">
        <f>IF(AND(C2499&lt;&gt;"", J2499&lt;&gt;""), HYPERLINK("#'" &amp; C2499 &amp; "'!" &amp; J2499, J2499), "")</f>
        <v/>
      </c>
    </row>
    <row r="2500">
      <c r="B2500" s="21">
        <f>IF(AND(C2500&lt;&gt;"", J2500&lt;&gt;""), HYPERLINK("#'" &amp; C2500 &amp; "'!" &amp; J2500, J2500), "")</f>
        <v/>
      </c>
    </row>
    <row r="2501">
      <c r="B2501" s="21">
        <f>IF(AND(C2501&lt;&gt;"", J2501&lt;&gt;""), HYPERLINK("#'" &amp; C2501 &amp; "'!" &amp; J2501, J2501), "")</f>
        <v/>
      </c>
    </row>
    <row r="2502">
      <c r="B2502" s="21">
        <f>IF(AND(C2502&lt;&gt;"", J2502&lt;&gt;""), HYPERLINK("#'" &amp; C2502 &amp; "'!" &amp; J2502, J2502), "")</f>
        <v/>
      </c>
    </row>
    <row r="2503">
      <c r="B2503" s="21">
        <f>IF(AND(C2503&lt;&gt;"", J2503&lt;&gt;""), HYPERLINK("#'" &amp; C2503 &amp; "'!" &amp; J2503, J2503), "")</f>
        <v/>
      </c>
    </row>
    <row r="2504">
      <c r="B2504" s="21">
        <f>IF(AND(C2504&lt;&gt;"", J2504&lt;&gt;""), HYPERLINK("#'" &amp; C2504 &amp; "'!" &amp; J2504, J2504), "")</f>
        <v/>
      </c>
    </row>
    <row r="2505">
      <c r="B2505" s="21">
        <f>IF(AND(C2505&lt;&gt;"", J2505&lt;&gt;""), HYPERLINK("#'" &amp; C2505 &amp; "'!" &amp; J2505, J2505), "")</f>
        <v/>
      </c>
    </row>
    <row r="2506">
      <c r="B2506" s="21">
        <f>IF(AND(C2506&lt;&gt;"", J2506&lt;&gt;""), HYPERLINK("#'" &amp; C2506 &amp; "'!" &amp; J2506, J2506), "")</f>
        <v/>
      </c>
    </row>
    <row r="2507">
      <c r="B2507" s="21">
        <f>IF(AND(C2507&lt;&gt;"", J2507&lt;&gt;""), HYPERLINK("#'" &amp; C2507 &amp; "'!" &amp; J2507, J2507), "")</f>
        <v/>
      </c>
    </row>
    <row r="2508">
      <c r="B2508" s="21">
        <f>IF(AND(C2508&lt;&gt;"", J2508&lt;&gt;""), HYPERLINK("#'" &amp; C2508 &amp; "'!" &amp; J2508, J2508), "")</f>
        <v/>
      </c>
    </row>
    <row r="2509">
      <c r="B2509" s="21">
        <f>IF(AND(C2509&lt;&gt;"", J2509&lt;&gt;""), HYPERLINK("#'" &amp; C2509 &amp; "'!" &amp; J2509, J2509), "")</f>
        <v/>
      </c>
    </row>
    <row r="2510">
      <c r="B2510" s="21">
        <f>IF(AND(C2510&lt;&gt;"", J2510&lt;&gt;""), HYPERLINK("#'" &amp; C2510 &amp; "'!" &amp; J2510, J2510), "")</f>
        <v/>
      </c>
    </row>
    <row r="2511">
      <c r="B2511" s="21">
        <f>IF(AND(C2511&lt;&gt;"", J2511&lt;&gt;""), HYPERLINK("#'" &amp; C2511 &amp; "'!" &amp; J2511, J2511), "")</f>
        <v/>
      </c>
    </row>
    <row r="2512">
      <c r="B2512" s="21">
        <f>IF(AND(C2512&lt;&gt;"", J2512&lt;&gt;""), HYPERLINK("#'" &amp; C2512 &amp; "'!" &amp; J2512, J2512), "")</f>
        <v/>
      </c>
    </row>
    <row r="2513">
      <c r="B2513" s="21">
        <f>IF(AND(C2513&lt;&gt;"", J2513&lt;&gt;""), HYPERLINK("#'" &amp; C2513 &amp; "'!" &amp; J2513, J2513), "")</f>
        <v/>
      </c>
    </row>
    <row r="2514">
      <c r="B2514" s="21">
        <f>IF(AND(C2514&lt;&gt;"", J2514&lt;&gt;""), HYPERLINK("#'" &amp; C2514 &amp; "'!" &amp; J2514, J2514), "")</f>
        <v/>
      </c>
    </row>
    <row r="2515">
      <c r="B2515" s="21">
        <f>IF(AND(C2515&lt;&gt;"", J2515&lt;&gt;""), HYPERLINK("#'" &amp; C2515 &amp; "'!" &amp; J2515, J2515), "")</f>
        <v/>
      </c>
    </row>
    <row r="2516">
      <c r="B2516" s="21">
        <f>IF(AND(C2516&lt;&gt;"", J2516&lt;&gt;""), HYPERLINK("#'" &amp; C2516 &amp; "'!" &amp; J2516, J2516), "")</f>
        <v/>
      </c>
    </row>
    <row r="2517">
      <c r="B2517" s="21">
        <f>IF(AND(C2517&lt;&gt;"", J2517&lt;&gt;""), HYPERLINK("#'" &amp; C2517 &amp; "'!" &amp; J2517, J2517), "")</f>
        <v/>
      </c>
    </row>
    <row r="2518">
      <c r="B2518" s="21">
        <f>IF(AND(C2518&lt;&gt;"", J2518&lt;&gt;""), HYPERLINK("#'" &amp; C2518 &amp; "'!" &amp; J2518, J2518), "")</f>
        <v/>
      </c>
    </row>
    <row r="2519">
      <c r="B2519" s="21">
        <f>IF(AND(C2519&lt;&gt;"", J2519&lt;&gt;""), HYPERLINK("#'" &amp; C2519 &amp; "'!" &amp; J2519, J2519), "")</f>
        <v/>
      </c>
    </row>
    <row r="2520">
      <c r="B2520" s="21">
        <f>IF(AND(C2520&lt;&gt;"", J2520&lt;&gt;""), HYPERLINK("#'" &amp; C2520 &amp; "'!" &amp; J2520, J2520), "")</f>
        <v/>
      </c>
    </row>
    <row r="2521">
      <c r="B2521" s="21">
        <f>IF(AND(C2521&lt;&gt;"", J2521&lt;&gt;""), HYPERLINK("#'" &amp; C2521 &amp; "'!" &amp; J2521, J2521), "")</f>
        <v/>
      </c>
    </row>
    <row r="2522">
      <c r="B2522" s="21">
        <f>IF(AND(C2522&lt;&gt;"", J2522&lt;&gt;""), HYPERLINK("#'" &amp; C2522 &amp; "'!" &amp; J2522, J2522), "")</f>
        <v/>
      </c>
    </row>
    <row r="2523">
      <c r="B2523" s="21">
        <f>IF(AND(C2523&lt;&gt;"", J2523&lt;&gt;""), HYPERLINK("#'" &amp; C2523 &amp; "'!" &amp; J2523, J2523), "")</f>
        <v/>
      </c>
    </row>
    <row r="2524">
      <c r="B2524" s="21">
        <f>IF(AND(C2524&lt;&gt;"", J2524&lt;&gt;""), HYPERLINK("#'" &amp; C2524 &amp; "'!" &amp; J2524, J2524), "")</f>
        <v/>
      </c>
    </row>
    <row r="2525">
      <c r="B2525" s="21">
        <f>IF(AND(C2525&lt;&gt;"", J2525&lt;&gt;""), HYPERLINK("#'" &amp; C2525 &amp; "'!" &amp; J2525, J2525), "")</f>
        <v/>
      </c>
    </row>
    <row r="2526">
      <c r="B2526" s="21">
        <f>IF(AND(C2526&lt;&gt;"", J2526&lt;&gt;""), HYPERLINK("#'" &amp; C2526 &amp; "'!" &amp; J2526, J2526), "")</f>
        <v/>
      </c>
    </row>
    <row r="2527">
      <c r="B2527" s="21">
        <f>IF(AND(C2527&lt;&gt;"", J2527&lt;&gt;""), HYPERLINK("#'" &amp; C2527 &amp; "'!" &amp; J2527, J2527), "")</f>
        <v/>
      </c>
    </row>
    <row r="2528">
      <c r="B2528" s="21">
        <f>IF(AND(C2528&lt;&gt;"", J2528&lt;&gt;""), HYPERLINK("#'" &amp; C2528 &amp; "'!" &amp; J2528, J2528), "")</f>
        <v/>
      </c>
    </row>
    <row r="2529">
      <c r="B2529" s="21">
        <f>IF(AND(C2529&lt;&gt;"", J2529&lt;&gt;""), HYPERLINK("#'" &amp; C2529 &amp; "'!" &amp; J2529, J2529), "")</f>
        <v/>
      </c>
    </row>
    <row r="2530">
      <c r="B2530" s="21">
        <f>IF(AND(C2530&lt;&gt;"", J2530&lt;&gt;""), HYPERLINK("#'" &amp; C2530 &amp; "'!" &amp; J2530, J2530), "")</f>
        <v/>
      </c>
    </row>
    <row r="2531">
      <c r="B2531" s="21">
        <f>IF(AND(C2531&lt;&gt;"", J2531&lt;&gt;""), HYPERLINK("#'" &amp; C2531 &amp; "'!" &amp; J2531, J2531), "")</f>
        <v/>
      </c>
    </row>
    <row r="2532">
      <c r="B2532" s="21">
        <f>IF(AND(C2532&lt;&gt;"", J2532&lt;&gt;""), HYPERLINK("#'" &amp; C2532 &amp; "'!" &amp; J2532, J2532), "")</f>
        <v/>
      </c>
    </row>
    <row r="2533">
      <c r="B2533" s="21">
        <f>IF(AND(C2533&lt;&gt;"", J2533&lt;&gt;""), HYPERLINK("#'" &amp; C2533 &amp; "'!" &amp; J2533, J2533), "")</f>
        <v/>
      </c>
    </row>
    <row r="2534">
      <c r="B2534" s="21">
        <f>IF(AND(C2534&lt;&gt;"", J2534&lt;&gt;""), HYPERLINK("#'" &amp; C2534 &amp; "'!" &amp; J2534, J2534), "")</f>
        <v/>
      </c>
    </row>
    <row r="2535">
      <c r="B2535" s="21">
        <f>IF(AND(C2535&lt;&gt;"", J2535&lt;&gt;""), HYPERLINK("#'" &amp; C2535 &amp; "'!" &amp; J2535, J2535), "")</f>
        <v/>
      </c>
    </row>
    <row r="2536">
      <c r="B2536" s="21">
        <f>IF(AND(C2536&lt;&gt;"", J2536&lt;&gt;""), HYPERLINK("#'" &amp; C2536 &amp; "'!" &amp; J2536, J2536), "")</f>
        <v/>
      </c>
    </row>
    <row r="2537">
      <c r="B2537" s="21">
        <f>IF(AND(C2537&lt;&gt;"", J2537&lt;&gt;""), HYPERLINK("#'" &amp; C2537 &amp; "'!" &amp; J2537, J2537), "")</f>
        <v/>
      </c>
    </row>
    <row r="2538">
      <c r="B2538" s="21">
        <f>IF(AND(C2538&lt;&gt;"", J2538&lt;&gt;""), HYPERLINK("#'" &amp; C2538 &amp; "'!" &amp; J2538, J2538), "")</f>
        <v/>
      </c>
    </row>
    <row r="2539">
      <c r="B2539" s="21">
        <f>IF(AND(C2539&lt;&gt;"", J2539&lt;&gt;""), HYPERLINK("#'" &amp; C2539 &amp; "'!" &amp; J2539, J2539), "")</f>
        <v/>
      </c>
    </row>
    <row r="2540">
      <c r="B2540" s="21">
        <f>IF(AND(C2540&lt;&gt;"", J2540&lt;&gt;""), HYPERLINK("#'" &amp; C2540 &amp; "'!" &amp; J2540, J2540), "")</f>
        <v/>
      </c>
    </row>
    <row r="2541">
      <c r="B2541" s="21">
        <f>IF(AND(C2541&lt;&gt;"", J2541&lt;&gt;""), HYPERLINK("#'" &amp; C2541 &amp; "'!" &amp; J2541, J2541), "")</f>
        <v/>
      </c>
    </row>
    <row r="2542">
      <c r="B2542" s="21">
        <f>IF(AND(C2542&lt;&gt;"", J2542&lt;&gt;""), HYPERLINK("#'" &amp; C2542 &amp; "'!" &amp; J2542, J2542), "")</f>
        <v/>
      </c>
    </row>
    <row r="2543">
      <c r="B2543" s="21">
        <f>IF(AND(C2543&lt;&gt;"", J2543&lt;&gt;""), HYPERLINK("#'" &amp; C2543 &amp; "'!" &amp; J2543, J2543), "")</f>
        <v/>
      </c>
    </row>
    <row r="2544">
      <c r="B2544" s="21">
        <f>IF(AND(C2544&lt;&gt;"", J2544&lt;&gt;""), HYPERLINK("#'" &amp; C2544 &amp; "'!" &amp; J2544, J2544), "")</f>
        <v/>
      </c>
    </row>
    <row r="2545">
      <c r="B2545" s="21">
        <f>IF(AND(C2545&lt;&gt;"", J2545&lt;&gt;""), HYPERLINK("#'" &amp; C2545 &amp; "'!" &amp; J2545, J2545), "")</f>
        <v/>
      </c>
    </row>
    <row r="2546">
      <c r="B2546" s="21">
        <f>IF(AND(C2546&lt;&gt;"", J2546&lt;&gt;""), HYPERLINK("#'" &amp; C2546 &amp; "'!" &amp; J2546, J2546), "")</f>
        <v/>
      </c>
    </row>
    <row r="2547">
      <c r="B2547" s="21">
        <f>IF(AND(C2547&lt;&gt;"", J2547&lt;&gt;""), HYPERLINK("#'" &amp; C2547 &amp; "'!" &amp; J2547, J2547), "")</f>
        <v/>
      </c>
    </row>
    <row r="2548">
      <c r="B2548" s="21">
        <f>IF(AND(C2548&lt;&gt;"", J2548&lt;&gt;""), HYPERLINK("#'" &amp; C2548 &amp; "'!" &amp; J2548, J2548), "")</f>
        <v/>
      </c>
    </row>
    <row r="2549">
      <c r="B2549" s="21">
        <f>IF(AND(C2549&lt;&gt;"", J2549&lt;&gt;""), HYPERLINK("#'" &amp; C2549 &amp; "'!" &amp; J2549, J2549), "")</f>
        <v/>
      </c>
    </row>
    <row r="2550">
      <c r="B2550" s="21">
        <f>IF(AND(C2550&lt;&gt;"", J2550&lt;&gt;""), HYPERLINK("#'" &amp; C2550 &amp; "'!" &amp; J2550, J2550), "")</f>
        <v/>
      </c>
    </row>
    <row r="2551">
      <c r="B2551" s="21">
        <f>IF(AND(C2551&lt;&gt;"", J2551&lt;&gt;""), HYPERLINK("#'" &amp; C2551 &amp; "'!" &amp; J2551, J2551), "")</f>
        <v/>
      </c>
    </row>
    <row r="2552">
      <c r="B2552" s="21">
        <f>IF(AND(C2552&lt;&gt;"", J2552&lt;&gt;""), HYPERLINK("#'" &amp; C2552 &amp; "'!" &amp; J2552, J2552), "")</f>
        <v/>
      </c>
    </row>
    <row r="2553">
      <c r="B2553" s="21">
        <f>IF(AND(C2553&lt;&gt;"", J2553&lt;&gt;""), HYPERLINK("#'" &amp; C2553 &amp; "'!" &amp; J2553, J2553), "")</f>
        <v/>
      </c>
    </row>
    <row r="2554">
      <c r="B2554" s="21">
        <f>IF(AND(C2554&lt;&gt;"", J2554&lt;&gt;""), HYPERLINK("#'" &amp; C2554 &amp; "'!" &amp; J2554, J2554), "")</f>
        <v/>
      </c>
    </row>
    <row r="2555">
      <c r="B2555" s="21">
        <f>IF(AND(C2555&lt;&gt;"", J2555&lt;&gt;""), HYPERLINK("#'" &amp; C2555 &amp; "'!" &amp; J2555, J2555), "")</f>
        <v/>
      </c>
    </row>
    <row r="2556">
      <c r="B2556" s="21">
        <f>IF(AND(C2556&lt;&gt;"", J2556&lt;&gt;""), HYPERLINK("#'" &amp; C2556 &amp; "'!" &amp; J2556, J2556), "")</f>
        <v/>
      </c>
    </row>
    <row r="2557">
      <c r="B2557" s="21">
        <f>IF(AND(C2557&lt;&gt;"", J2557&lt;&gt;""), HYPERLINK("#'" &amp; C2557 &amp; "'!" &amp; J2557, J2557), "")</f>
        <v/>
      </c>
    </row>
    <row r="2558">
      <c r="B2558" s="21">
        <f>IF(AND(C2558&lt;&gt;"", J2558&lt;&gt;""), HYPERLINK("#'" &amp; C2558 &amp; "'!" &amp; J2558, J2558), "")</f>
        <v/>
      </c>
    </row>
    <row r="2559">
      <c r="B2559" s="21">
        <f>IF(AND(C2559&lt;&gt;"", J2559&lt;&gt;""), HYPERLINK("#'" &amp; C2559 &amp; "'!" &amp; J2559, J2559), "")</f>
        <v/>
      </c>
    </row>
    <row r="2560">
      <c r="B2560" s="21">
        <f>IF(AND(C2560&lt;&gt;"", J2560&lt;&gt;""), HYPERLINK("#'" &amp; C2560 &amp; "'!" &amp; J2560, J2560), "")</f>
        <v/>
      </c>
    </row>
    <row r="2561">
      <c r="B2561" s="21">
        <f>IF(AND(C2561&lt;&gt;"", J2561&lt;&gt;""), HYPERLINK("#'" &amp; C2561 &amp; "'!" &amp; J2561, J2561), "")</f>
        <v/>
      </c>
    </row>
    <row r="2562">
      <c r="B2562" s="21">
        <f>IF(AND(C2562&lt;&gt;"", J2562&lt;&gt;""), HYPERLINK("#'" &amp; C2562 &amp; "'!" &amp; J2562, J2562), "")</f>
        <v/>
      </c>
    </row>
    <row r="2563">
      <c r="B2563" s="21">
        <f>IF(AND(C2563&lt;&gt;"", J2563&lt;&gt;""), HYPERLINK("#'" &amp; C2563 &amp; "'!" &amp; J2563, J2563), "")</f>
        <v/>
      </c>
    </row>
    <row r="2564">
      <c r="B2564" s="21">
        <f>IF(AND(C2564&lt;&gt;"", J2564&lt;&gt;""), HYPERLINK("#'" &amp; C2564 &amp; "'!" &amp; J2564, J2564), "")</f>
        <v/>
      </c>
    </row>
    <row r="2565">
      <c r="B2565" s="21">
        <f>IF(AND(C2565&lt;&gt;"", J2565&lt;&gt;""), HYPERLINK("#'" &amp; C2565 &amp; "'!" &amp; J2565, J2565), "")</f>
        <v/>
      </c>
    </row>
    <row r="2566">
      <c r="B2566" s="21">
        <f>IF(AND(C2566&lt;&gt;"", J2566&lt;&gt;""), HYPERLINK("#'" &amp; C2566 &amp; "'!" &amp; J2566, J2566), "")</f>
        <v/>
      </c>
    </row>
    <row r="2567">
      <c r="B2567" s="21">
        <f>IF(AND(C2567&lt;&gt;"", J2567&lt;&gt;""), HYPERLINK("#'" &amp; C2567 &amp; "'!" &amp; J2567, J2567), "")</f>
        <v/>
      </c>
    </row>
    <row r="2568">
      <c r="B2568" s="21">
        <f>IF(AND(C2568&lt;&gt;"", J2568&lt;&gt;""), HYPERLINK("#'" &amp; C2568 &amp; "'!" &amp; J2568, J2568), "")</f>
        <v/>
      </c>
    </row>
    <row r="2569">
      <c r="B2569" s="21">
        <f>IF(AND(C2569&lt;&gt;"", J2569&lt;&gt;""), HYPERLINK("#'" &amp; C2569 &amp; "'!" &amp; J2569, J2569), "")</f>
        <v/>
      </c>
    </row>
    <row r="2570">
      <c r="B2570" s="21">
        <f>IF(AND(C2570&lt;&gt;"", J2570&lt;&gt;""), HYPERLINK("#'" &amp; C2570 &amp; "'!" &amp; J2570, J2570), "")</f>
        <v/>
      </c>
    </row>
    <row r="2571">
      <c r="B2571" s="21">
        <f>IF(AND(C2571&lt;&gt;"", J2571&lt;&gt;""), HYPERLINK("#'" &amp; C2571 &amp; "'!" &amp; J2571, J2571), "")</f>
        <v/>
      </c>
    </row>
    <row r="2572">
      <c r="B2572" s="21">
        <f>IF(AND(C2572&lt;&gt;"", J2572&lt;&gt;""), HYPERLINK("#'" &amp; C2572 &amp; "'!" &amp; J2572, J2572), "")</f>
        <v/>
      </c>
    </row>
    <row r="2573">
      <c r="B2573" s="21">
        <f>IF(AND(C2573&lt;&gt;"", J2573&lt;&gt;""), HYPERLINK("#'" &amp; C2573 &amp; "'!" &amp; J2573, J2573), "")</f>
        <v/>
      </c>
    </row>
    <row r="2574">
      <c r="B2574" s="21">
        <f>IF(AND(C2574&lt;&gt;"", J2574&lt;&gt;""), HYPERLINK("#'" &amp; C2574 &amp; "'!" &amp; J2574, J2574), "")</f>
        <v/>
      </c>
    </row>
    <row r="2575">
      <c r="B2575" s="21">
        <f>IF(AND(C2575&lt;&gt;"", J2575&lt;&gt;""), HYPERLINK("#'" &amp; C2575 &amp; "'!" &amp; J2575, J2575), "")</f>
        <v/>
      </c>
    </row>
    <row r="2576">
      <c r="B2576" s="21">
        <f>IF(AND(C2576&lt;&gt;"", J2576&lt;&gt;""), HYPERLINK("#'" &amp; C2576 &amp; "'!" &amp; J2576, J2576), "")</f>
        <v/>
      </c>
    </row>
    <row r="2577">
      <c r="B2577" s="21">
        <f>IF(AND(C2577&lt;&gt;"", J2577&lt;&gt;""), HYPERLINK("#'" &amp; C2577 &amp; "'!" &amp; J2577, J2577), "")</f>
        <v/>
      </c>
    </row>
    <row r="2578">
      <c r="B2578" s="21">
        <f>IF(AND(C2578&lt;&gt;"", J2578&lt;&gt;""), HYPERLINK("#'" &amp; C2578 &amp; "'!" &amp; J2578, J2578), "")</f>
        <v/>
      </c>
    </row>
    <row r="2579">
      <c r="B2579" s="21">
        <f>IF(AND(C2579&lt;&gt;"", J2579&lt;&gt;""), HYPERLINK("#'" &amp; C2579 &amp; "'!" &amp; J2579, J2579), "")</f>
        <v/>
      </c>
    </row>
    <row r="2580">
      <c r="B2580" s="21">
        <f>IF(AND(C2580&lt;&gt;"", J2580&lt;&gt;""), HYPERLINK("#'" &amp; C2580 &amp; "'!" &amp; J2580, J2580), "")</f>
        <v/>
      </c>
    </row>
    <row r="2581">
      <c r="B2581" s="21">
        <f>IF(AND(C2581&lt;&gt;"", J2581&lt;&gt;""), HYPERLINK("#'" &amp; C2581 &amp; "'!" &amp; J2581, J2581), "")</f>
        <v/>
      </c>
    </row>
    <row r="2582">
      <c r="B2582" s="21">
        <f>IF(AND(C2582&lt;&gt;"", J2582&lt;&gt;""), HYPERLINK("#'" &amp; C2582 &amp; "'!" &amp; J2582, J2582), "")</f>
        <v/>
      </c>
    </row>
    <row r="2583">
      <c r="B2583" s="21">
        <f>IF(AND(C2583&lt;&gt;"", J2583&lt;&gt;""), HYPERLINK("#'" &amp; C2583 &amp; "'!" &amp; J2583, J2583), "")</f>
        <v/>
      </c>
    </row>
    <row r="2584">
      <c r="B2584" s="21">
        <f>IF(AND(C2584&lt;&gt;"", J2584&lt;&gt;""), HYPERLINK("#'" &amp; C2584 &amp; "'!" &amp; J2584, J2584), "")</f>
        <v/>
      </c>
    </row>
    <row r="2585">
      <c r="B2585" s="21">
        <f>IF(AND(C2585&lt;&gt;"", J2585&lt;&gt;""), HYPERLINK("#'" &amp; C2585 &amp; "'!" &amp; J2585, J2585), "")</f>
        <v/>
      </c>
    </row>
    <row r="2586">
      <c r="B2586" s="21">
        <f>IF(AND(C2586&lt;&gt;"", J2586&lt;&gt;""), HYPERLINK("#'" &amp; C2586 &amp; "'!" &amp; J2586, J2586), "")</f>
        <v/>
      </c>
    </row>
    <row r="2587">
      <c r="B2587" s="21">
        <f>IF(AND(C2587&lt;&gt;"", J2587&lt;&gt;""), HYPERLINK("#'" &amp; C2587 &amp; "'!" &amp; J2587, J2587), "")</f>
        <v/>
      </c>
    </row>
    <row r="2588">
      <c r="B2588" s="21">
        <f>IF(AND(C2588&lt;&gt;"", J2588&lt;&gt;""), HYPERLINK("#'" &amp; C2588 &amp; "'!" &amp; J2588, J2588), "")</f>
        <v/>
      </c>
    </row>
    <row r="2589">
      <c r="B2589" s="21">
        <f>IF(AND(C2589&lt;&gt;"", J2589&lt;&gt;""), HYPERLINK("#'" &amp; C2589 &amp; "'!" &amp; J2589, J2589), "")</f>
        <v/>
      </c>
    </row>
    <row r="2590">
      <c r="B2590" s="21">
        <f>IF(AND(C2590&lt;&gt;"", J2590&lt;&gt;""), HYPERLINK("#'" &amp; C2590 &amp; "'!" &amp; J2590, J2590), "")</f>
        <v/>
      </c>
    </row>
    <row r="2591">
      <c r="B2591" s="21">
        <f>IF(AND(C2591&lt;&gt;"", J2591&lt;&gt;""), HYPERLINK("#'" &amp; C2591 &amp; "'!" &amp; J2591, J2591), "")</f>
        <v/>
      </c>
    </row>
    <row r="2592">
      <c r="B2592" s="21">
        <f>IF(AND(C2592&lt;&gt;"", J2592&lt;&gt;""), HYPERLINK("#'" &amp; C2592 &amp; "'!" &amp; J2592, J2592), "")</f>
        <v/>
      </c>
    </row>
    <row r="2593">
      <c r="B2593" s="21">
        <f>IF(AND(C2593&lt;&gt;"", J2593&lt;&gt;""), HYPERLINK("#'" &amp; C2593 &amp; "'!" &amp; J2593, J2593), "")</f>
        <v/>
      </c>
    </row>
    <row r="2594">
      <c r="B2594" s="21">
        <f>IF(AND(C2594&lt;&gt;"", J2594&lt;&gt;""), HYPERLINK("#'" &amp; C2594 &amp; "'!" &amp; J2594, J2594), "")</f>
        <v/>
      </c>
    </row>
    <row r="2595">
      <c r="B2595" s="21">
        <f>IF(AND(C2595&lt;&gt;"", J2595&lt;&gt;""), HYPERLINK("#'" &amp; C2595 &amp; "'!" &amp; J2595, J2595), "")</f>
        <v/>
      </c>
    </row>
    <row r="2596">
      <c r="B2596" s="21">
        <f>IF(AND(C2596&lt;&gt;"", J2596&lt;&gt;""), HYPERLINK("#'" &amp; C2596 &amp; "'!" &amp; J2596, J2596), "")</f>
        <v/>
      </c>
    </row>
    <row r="2597">
      <c r="B2597" s="21">
        <f>IF(AND(C2597&lt;&gt;"", J2597&lt;&gt;""), HYPERLINK("#'" &amp; C2597 &amp; "'!" &amp; J2597, J2597), "")</f>
        <v/>
      </c>
    </row>
    <row r="2598">
      <c r="B2598" s="21">
        <f>IF(AND(C2598&lt;&gt;"", J2598&lt;&gt;""), HYPERLINK("#'" &amp; C2598 &amp; "'!" &amp; J2598, J2598), "")</f>
        <v/>
      </c>
    </row>
    <row r="2599">
      <c r="B2599" s="21">
        <f>IF(AND(C2599&lt;&gt;"", J2599&lt;&gt;""), HYPERLINK("#'" &amp; C2599 &amp; "'!" &amp; J2599, J2599), "")</f>
        <v/>
      </c>
    </row>
    <row r="2600">
      <c r="B2600" s="21">
        <f>IF(AND(C2600&lt;&gt;"", J2600&lt;&gt;""), HYPERLINK("#'" &amp; C2600 &amp; "'!" &amp; J2600, J2600), "")</f>
        <v/>
      </c>
    </row>
    <row r="2601">
      <c r="B2601" s="21">
        <f>IF(AND(C2601&lt;&gt;"", J2601&lt;&gt;""), HYPERLINK("#'" &amp; C2601 &amp; "'!" &amp; J2601, J2601), "")</f>
        <v/>
      </c>
    </row>
    <row r="2602">
      <c r="B2602" s="21">
        <f>IF(AND(C2602&lt;&gt;"", J2602&lt;&gt;""), HYPERLINK("#'" &amp; C2602 &amp; "'!" &amp; J2602, J2602), "")</f>
        <v/>
      </c>
    </row>
    <row r="2603">
      <c r="B2603" s="21">
        <f>IF(AND(C2603&lt;&gt;"", J2603&lt;&gt;""), HYPERLINK("#'" &amp; C2603 &amp; "'!" &amp; J2603, J2603), "")</f>
        <v/>
      </c>
    </row>
    <row r="2604">
      <c r="B2604" s="21">
        <f>IF(AND(C2604&lt;&gt;"", J2604&lt;&gt;""), HYPERLINK("#'" &amp; C2604 &amp; "'!" &amp; J2604, J2604), "")</f>
        <v/>
      </c>
    </row>
    <row r="2605">
      <c r="B2605" s="21">
        <f>IF(AND(C2605&lt;&gt;"", J2605&lt;&gt;""), HYPERLINK("#'" &amp; C2605 &amp; "'!" &amp; J2605, J2605), "")</f>
        <v/>
      </c>
    </row>
    <row r="2606">
      <c r="B2606" s="21">
        <f>IF(AND(C2606&lt;&gt;"", J2606&lt;&gt;""), HYPERLINK("#'" &amp; C2606 &amp; "'!" &amp; J2606, J2606), "")</f>
        <v/>
      </c>
    </row>
    <row r="2607">
      <c r="B2607" s="21">
        <f>IF(AND(C2607&lt;&gt;"", J2607&lt;&gt;""), HYPERLINK("#'" &amp; C2607 &amp; "'!" &amp; J2607, J2607), "")</f>
        <v/>
      </c>
    </row>
    <row r="2608">
      <c r="B2608" s="21">
        <f>IF(AND(C2608&lt;&gt;"", J2608&lt;&gt;""), HYPERLINK("#'" &amp; C2608 &amp; "'!" &amp; J2608, J2608), "")</f>
        <v/>
      </c>
    </row>
    <row r="2609">
      <c r="B2609" s="21">
        <f>IF(AND(C2609&lt;&gt;"", J2609&lt;&gt;""), HYPERLINK("#'" &amp; C2609 &amp; "'!" &amp; J2609, J2609), "")</f>
        <v/>
      </c>
    </row>
    <row r="2610">
      <c r="B2610" s="21">
        <f>IF(AND(C2610&lt;&gt;"", J2610&lt;&gt;""), HYPERLINK("#'" &amp; C2610 &amp; "'!" &amp; J2610, J2610), "")</f>
        <v/>
      </c>
    </row>
    <row r="2611">
      <c r="B2611" s="21">
        <f>IF(AND(C2611&lt;&gt;"", J2611&lt;&gt;""), HYPERLINK("#'" &amp; C2611 &amp; "'!" &amp; J2611, J2611), "")</f>
        <v/>
      </c>
    </row>
    <row r="2612">
      <c r="B2612" s="21">
        <f>IF(AND(C2612&lt;&gt;"", J2612&lt;&gt;""), HYPERLINK("#'" &amp; C2612 &amp; "'!" &amp; J2612, J2612), "")</f>
        <v/>
      </c>
    </row>
    <row r="2613">
      <c r="B2613" s="21">
        <f>IF(AND(C2613&lt;&gt;"", J2613&lt;&gt;""), HYPERLINK("#'" &amp; C2613 &amp; "'!" &amp; J2613, J2613), "")</f>
        <v/>
      </c>
    </row>
    <row r="2614">
      <c r="B2614" s="21">
        <f>IF(AND(C2614&lt;&gt;"", J2614&lt;&gt;""), HYPERLINK("#'" &amp; C2614 &amp; "'!" &amp; J2614, J2614), "")</f>
        <v/>
      </c>
    </row>
    <row r="2615">
      <c r="B2615" s="21">
        <f>IF(AND(C2615&lt;&gt;"", J2615&lt;&gt;""), HYPERLINK("#'" &amp; C2615 &amp; "'!" &amp; J2615, J2615), "")</f>
        <v/>
      </c>
    </row>
    <row r="2616">
      <c r="B2616" s="21">
        <f>IF(AND(C2616&lt;&gt;"", J2616&lt;&gt;""), HYPERLINK("#'" &amp; C2616 &amp; "'!" &amp; J2616, J2616), "")</f>
        <v/>
      </c>
    </row>
    <row r="2617">
      <c r="B2617" s="21">
        <f>IF(AND(C2617&lt;&gt;"", J2617&lt;&gt;""), HYPERLINK("#'" &amp; C2617 &amp; "'!" &amp; J2617, J2617), "")</f>
        <v/>
      </c>
    </row>
    <row r="2618">
      <c r="B2618" s="21">
        <f>IF(AND(C2618&lt;&gt;"", J2618&lt;&gt;""), HYPERLINK("#'" &amp; C2618 &amp; "'!" &amp; J2618, J2618), "")</f>
        <v/>
      </c>
    </row>
    <row r="2619">
      <c r="B2619" s="21">
        <f>IF(AND(C2619&lt;&gt;"", J2619&lt;&gt;""), HYPERLINK("#'" &amp; C2619 &amp; "'!" &amp; J2619, J2619), "")</f>
        <v/>
      </c>
    </row>
    <row r="2620">
      <c r="B2620" s="21">
        <f>IF(AND(C2620&lt;&gt;"", J2620&lt;&gt;""), HYPERLINK("#'" &amp; C2620 &amp; "'!" &amp; J2620, J2620), "")</f>
        <v/>
      </c>
    </row>
    <row r="2621">
      <c r="B2621" s="21">
        <f>IF(AND(C2621&lt;&gt;"", J2621&lt;&gt;""), HYPERLINK("#'" &amp; C2621 &amp; "'!" &amp; J2621, J2621), "")</f>
        <v/>
      </c>
    </row>
    <row r="2622">
      <c r="B2622" s="21">
        <f>IF(AND(C2622&lt;&gt;"", J2622&lt;&gt;""), HYPERLINK("#'" &amp; C2622 &amp; "'!" &amp; J2622, J2622), "")</f>
        <v/>
      </c>
    </row>
    <row r="2623">
      <c r="B2623" s="21">
        <f>IF(AND(C2623&lt;&gt;"", J2623&lt;&gt;""), HYPERLINK("#'" &amp; C2623 &amp; "'!" &amp; J2623, J2623), "")</f>
        <v/>
      </c>
    </row>
    <row r="2624">
      <c r="B2624" s="21">
        <f>IF(AND(C2624&lt;&gt;"", J2624&lt;&gt;""), HYPERLINK("#'" &amp; C2624 &amp; "'!" &amp; J2624, J2624), "")</f>
        <v/>
      </c>
    </row>
    <row r="2625">
      <c r="B2625" s="21">
        <f>IF(AND(C2625&lt;&gt;"", J2625&lt;&gt;""), HYPERLINK("#'" &amp; C2625 &amp; "'!" &amp; J2625, J2625), "")</f>
        <v/>
      </c>
    </row>
    <row r="2626">
      <c r="B2626" s="21">
        <f>IF(AND(C2626&lt;&gt;"", J2626&lt;&gt;""), HYPERLINK("#'" &amp; C2626 &amp; "'!" &amp; J2626, J2626), "")</f>
        <v/>
      </c>
    </row>
    <row r="2627">
      <c r="B2627" s="21">
        <f>IF(AND(C2627&lt;&gt;"", J2627&lt;&gt;""), HYPERLINK("#'" &amp; C2627 &amp; "'!" &amp; J2627, J2627), "")</f>
        <v/>
      </c>
    </row>
    <row r="2628">
      <c r="B2628" s="21">
        <f>IF(AND(C2628&lt;&gt;"", J2628&lt;&gt;""), HYPERLINK("#'" &amp; C2628 &amp; "'!" &amp; J2628, J2628), "")</f>
        <v/>
      </c>
    </row>
    <row r="2629">
      <c r="B2629" s="21">
        <f>IF(AND(C2629&lt;&gt;"", J2629&lt;&gt;""), HYPERLINK("#'" &amp; C2629 &amp; "'!" &amp; J2629, J2629), "")</f>
        <v/>
      </c>
    </row>
    <row r="2630">
      <c r="B2630" s="21">
        <f>IF(AND(C2630&lt;&gt;"", J2630&lt;&gt;""), HYPERLINK("#'" &amp; C2630 &amp; "'!" &amp; J2630, J2630), "")</f>
        <v/>
      </c>
    </row>
    <row r="2631">
      <c r="B2631" s="21">
        <f>IF(AND(C2631&lt;&gt;"", J2631&lt;&gt;""), HYPERLINK("#'" &amp; C2631 &amp; "'!" &amp; J2631, J2631), "")</f>
        <v/>
      </c>
    </row>
    <row r="2632">
      <c r="B2632" s="21">
        <f>IF(AND(C2632&lt;&gt;"", J2632&lt;&gt;""), HYPERLINK("#'" &amp; C2632 &amp; "'!" &amp; J2632, J2632), "")</f>
        <v/>
      </c>
    </row>
    <row r="2633">
      <c r="B2633" s="21">
        <f>IF(AND(C2633&lt;&gt;"", J2633&lt;&gt;""), HYPERLINK("#'" &amp; C2633 &amp; "'!" &amp; J2633, J2633), "")</f>
        <v/>
      </c>
    </row>
    <row r="2634">
      <c r="B2634" s="21">
        <f>IF(AND(C2634&lt;&gt;"", J2634&lt;&gt;""), HYPERLINK("#'" &amp; C2634 &amp; "'!" &amp; J2634, J2634), "")</f>
        <v/>
      </c>
    </row>
    <row r="2635">
      <c r="B2635" s="21">
        <f>IF(AND(C2635&lt;&gt;"", J2635&lt;&gt;""), HYPERLINK("#'" &amp; C2635 &amp; "'!" &amp; J2635, J2635), "")</f>
        <v/>
      </c>
    </row>
    <row r="2636">
      <c r="B2636" s="21">
        <f>IF(AND(C2636&lt;&gt;"", J2636&lt;&gt;""), HYPERLINK("#'" &amp; C2636 &amp; "'!" &amp; J2636, J2636), "")</f>
        <v/>
      </c>
    </row>
    <row r="2637">
      <c r="B2637" s="21">
        <f>IF(AND(C2637&lt;&gt;"", J2637&lt;&gt;""), HYPERLINK("#'" &amp; C2637 &amp; "'!" &amp; J2637, J2637), "")</f>
        <v/>
      </c>
    </row>
    <row r="2638">
      <c r="B2638" s="21">
        <f>IF(AND(C2638&lt;&gt;"", J2638&lt;&gt;""), HYPERLINK("#'" &amp; C2638 &amp; "'!" &amp; J2638, J2638), "")</f>
        <v/>
      </c>
    </row>
    <row r="2639">
      <c r="B2639" s="21">
        <f>IF(AND(C2639&lt;&gt;"", J2639&lt;&gt;""), HYPERLINK("#'" &amp; C2639 &amp; "'!" &amp; J2639, J2639), "")</f>
        <v/>
      </c>
    </row>
    <row r="2640">
      <c r="B2640" s="21">
        <f>IF(AND(C2640&lt;&gt;"", J2640&lt;&gt;""), HYPERLINK("#'" &amp; C2640 &amp; "'!" &amp; J2640, J2640), "")</f>
        <v/>
      </c>
    </row>
    <row r="2641">
      <c r="B2641" s="21">
        <f>IF(AND(C2641&lt;&gt;"", J2641&lt;&gt;""), HYPERLINK("#'" &amp; C2641 &amp; "'!" &amp; J2641, J2641), "")</f>
        <v/>
      </c>
    </row>
    <row r="2642">
      <c r="B2642" s="21">
        <f>IF(AND(C2642&lt;&gt;"", J2642&lt;&gt;""), HYPERLINK("#'" &amp; C2642 &amp; "'!" &amp; J2642, J2642), "")</f>
        <v/>
      </c>
    </row>
    <row r="2643">
      <c r="B2643" s="21">
        <f>IF(AND(C2643&lt;&gt;"", J2643&lt;&gt;""), HYPERLINK("#'" &amp; C2643 &amp; "'!" &amp; J2643, J2643), "")</f>
        <v/>
      </c>
    </row>
    <row r="2644">
      <c r="B2644" s="21">
        <f>IF(AND(C2644&lt;&gt;"", J2644&lt;&gt;""), HYPERLINK("#'" &amp; C2644 &amp; "'!" &amp; J2644, J2644), "")</f>
        <v/>
      </c>
    </row>
    <row r="2645">
      <c r="B2645" s="21">
        <f>IF(AND(C2645&lt;&gt;"", J2645&lt;&gt;""), HYPERLINK("#'" &amp; C2645 &amp; "'!" &amp; J2645, J2645), "")</f>
        <v/>
      </c>
    </row>
    <row r="2646">
      <c r="B2646" s="21">
        <f>IF(AND(C2646&lt;&gt;"", J2646&lt;&gt;""), HYPERLINK("#'" &amp; C2646 &amp; "'!" &amp; J2646, J2646), "")</f>
        <v/>
      </c>
    </row>
    <row r="2647">
      <c r="B2647" s="21">
        <f>IF(AND(C2647&lt;&gt;"", J2647&lt;&gt;""), HYPERLINK("#'" &amp; C2647 &amp; "'!" &amp; J2647, J2647), "")</f>
        <v/>
      </c>
    </row>
    <row r="2648">
      <c r="B2648" s="21">
        <f>IF(AND(C2648&lt;&gt;"", J2648&lt;&gt;""), HYPERLINK("#'" &amp; C2648 &amp; "'!" &amp; J2648, J2648), "")</f>
        <v/>
      </c>
    </row>
    <row r="2649">
      <c r="B2649" s="21">
        <f>IF(AND(C2649&lt;&gt;"", J2649&lt;&gt;""), HYPERLINK("#'" &amp; C2649 &amp; "'!" &amp; J2649, J2649), "")</f>
        <v/>
      </c>
    </row>
    <row r="2650">
      <c r="B2650" s="21">
        <f>IF(AND(C2650&lt;&gt;"", J2650&lt;&gt;""), HYPERLINK("#'" &amp; C2650 &amp; "'!" &amp; J2650, J2650), "")</f>
        <v/>
      </c>
    </row>
    <row r="2651">
      <c r="B2651" s="21">
        <f>IF(AND(C2651&lt;&gt;"", J2651&lt;&gt;""), HYPERLINK("#'" &amp; C2651 &amp; "'!" &amp; J2651, J2651), "")</f>
        <v/>
      </c>
    </row>
    <row r="2652">
      <c r="B2652" s="21">
        <f>IF(AND(C2652&lt;&gt;"", J2652&lt;&gt;""), HYPERLINK("#'" &amp; C2652 &amp; "'!" &amp; J2652, J2652), "")</f>
        <v/>
      </c>
    </row>
    <row r="2653">
      <c r="B2653" s="21">
        <f>IF(AND(C2653&lt;&gt;"", J2653&lt;&gt;""), HYPERLINK("#'" &amp; C2653 &amp; "'!" &amp; J2653, J2653), "")</f>
        <v/>
      </c>
    </row>
    <row r="2654">
      <c r="B2654" s="21">
        <f>IF(AND(C2654&lt;&gt;"", J2654&lt;&gt;""), HYPERLINK("#'" &amp; C2654 &amp; "'!" &amp; J2654, J2654), "")</f>
        <v/>
      </c>
    </row>
    <row r="2655">
      <c r="B2655" s="21">
        <f>IF(AND(C2655&lt;&gt;"", J2655&lt;&gt;""), HYPERLINK("#'" &amp; C2655 &amp; "'!" &amp; J2655, J2655), "")</f>
        <v/>
      </c>
    </row>
    <row r="2656">
      <c r="B2656" s="21">
        <f>IF(AND(C2656&lt;&gt;"", J2656&lt;&gt;""), HYPERLINK("#'" &amp; C2656 &amp; "'!" &amp; J2656, J2656), "")</f>
        <v/>
      </c>
    </row>
    <row r="2657">
      <c r="B2657" s="21">
        <f>IF(AND(C2657&lt;&gt;"", J2657&lt;&gt;""), HYPERLINK("#'" &amp; C2657 &amp; "'!" &amp; J2657, J2657), "")</f>
        <v/>
      </c>
    </row>
    <row r="2658">
      <c r="B2658" s="21">
        <f>IF(AND(C2658&lt;&gt;"", J2658&lt;&gt;""), HYPERLINK("#'" &amp; C2658 &amp; "'!" &amp; J2658, J2658), "")</f>
        <v/>
      </c>
    </row>
    <row r="2659">
      <c r="B2659" s="21">
        <f>IF(AND(C2659&lt;&gt;"", J2659&lt;&gt;""), HYPERLINK("#'" &amp; C2659 &amp; "'!" &amp; J2659, J2659), "")</f>
        <v/>
      </c>
    </row>
    <row r="2660">
      <c r="B2660" s="21">
        <f>IF(AND(C2660&lt;&gt;"", J2660&lt;&gt;""), HYPERLINK("#'" &amp; C2660 &amp; "'!" &amp; J2660, J2660), "")</f>
        <v/>
      </c>
    </row>
    <row r="2661">
      <c r="B2661" s="21">
        <f>IF(AND(C2661&lt;&gt;"", J2661&lt;&gt;""), HYPERLINK("#'" &amp; C2661 &amp; "'!" &amp; J2661, J2661), "")</f>
        <v/>
      </c>
    </row>
    <row r="2662">
      <c r="B2662" s="21">
        <f>IF(AND(C2662&lt;&gt;"", J2662&lt;&gt;""), HYPERLINK("#'" &amp; C2662 &amp; "'!" &amp; J2662, J2662), "")</f>
        <v/>
      </c>
    </row>
    <row r="2663">
      <c r="B2663" s="21">
        <f>IF(AND(C2663&lt;&gt;"", J2663&lt;&gt;""), HYPERLINK("#'" &amp; C2663 &amp; "'!" &amp; J2663, J2663), "")</f>
        <v/>
      </c>
    </row>
    <row r="2664">
      <c r="B2664" s="21">
        <f>IF(AND(C2664&lt;&gt;"", J2664&lt;&gt;""), HYPERLINK("#'" &amp; C2664 &amp; "'!" &amp; J2664, J2664), "")</f>
        <v/>
      </c>
    </row>
    <row r="2665">
      <c r="B2665" s="21">
        <f>IF(AND(C2665&lt;&gt;"", J2665&lt;&gt;""), HYPERLINK("#'" &amp; C2665 &amp; "'!" &amp; J2665, J2665), "")</f>
        <v/>
      </c>
    </row>
    <row r="2666">
      <c r="B2666" s="21">
        <f>IF(AND(C2666&lt;&gt;"", J2666&lt;&gt;""), HYPERLINK("#'" &amp; C2666 &amp; "'!" &amp; J2666, J2666), "")</f>
        <v/>
      </c>
    </row>
    <row r="2667">
      <c r="B2667" s="21">
        <f>IF(AND(C2667&lt;&gt;"", J2667&lt;&gt;""), HYPERLINK("#'" &amp; C2667 &amp; "'!" &amp; J2667, J2667), "")</f>
        <v/>
      </c>
    </row>
    <row r="2668">
      <c r="B2668" s="21">
        <f>IF(AND(C2668&lt;&gt;"", J2668&lt;&gt;""), HYPERLINK("#'" &amp; C2668 &amp; "'!" &amp; J2668, J2668), "")</f>
        <v/>
      </c>
    </row>
    <row r="2669">
      <c r="B2669" s="21">
        <f>IF(AND(C2669&lt;&gt;"", J2669&lt;&gt;""), HYPERLINK("#'" &amp; C2669 &amp; "'!" &amp; J2669, J2669), "")</f>
        <v/>
      </c>
    </row>
    <row r="2670">
      <c r="B2670" s="21">
        <f>IF(AND(C2670&lt;&gt;"", J2670&lt;&gt;""), HYPERLINK("#'" &amp; C2670 &amp; "'!" &amp; J2670, J2670), "")</f>
        <v/>
      </c>
    </row>
    <row r="2671">
      <c r="B2671" s="21">
        <f>IF(AND(C2671&lt;&gt;"", J2671&lt;&gt;""), HYPERLINK("#'" &amp; C2671 &amp; "'!" &amp; J2671, J2671), "")</f>
        <v/>
      </c>
    </row>
    <row r="2672">
      <c r="B2672" s="21">
        <f>IF(AND(C2672&lt;&gt;"", J2672&lt;&gt;""), HYPERLINK("#'" &amp; C2672 &amp; "'!" &amp; J2672, J2672), "")</f>
        <v/>
      </c>
    </row>
    <row r="2673">
      <c r="B2673" s="21">
        <f>IF(AND(C2673&lt;&gt;"", J2673&lt;&gt;""), HYPERLINK("#'" &amp; C2673 &amp; "'!" &amp; J2673, J2673), "")</f>
        <v/>
      </c>
    </row>
    <row r="2674">
      <c r="B2674" s="21">
        <f>IF(AND(C2674&lt;&gt;"", J2674&lt;&gt;""), HYPERLINK("#'" &amp; C2674 &amp; "'!" &amp; J2674, J2674), "")</f>
        <v/>
      </c>
    </row>
    <row r="2675">
      <c r="B2675" s="21">
        <f>IF(AND(C2675&lt;&gt;"", J2675&lt;&gt;""), HYPERLINK("#'" &amp; C2675 &amp; "'!" &amp; J2675, J2675), "")</f>
        <v/>
      </c>
    </row>
    <row r="2676">
      <c r="B2676" s="21">
        <f>IF(AND(C2676&lt;&gt;"", J2676&lt;&gt;""), HYPERLINK("#'" &amp; C2676 &amp; "'!" &amp; J2676, J2676), "")</f>
        <v/>
      </c>
    </row>
    <row r="2677">
      <c r="B2677" s="21">
        <f>IF(AND(C2677&lt;&gt;"", J2677&lt;&gt;""), HYPERLINK("#'" &amp; C2677 &amp; "'!" &amp; J2677, J2677), "")</f>
        <v/>
      </c>
    </row>
    <row r="2678">
      <c r="B2678" s="21">
        <f>IF(AND(C2678&lt;&gt;"", J2678&lt;&gt;""), HYPERLINK("#'" &amp; C2678 &amp; "'!" &amp; J2678, J2678), "")</f>
        <v/>
      </c>
    </row>
    <row r="2679">
      <c r="B2679" s="21">
        <f>IF(AND(C2679&lt;&gt;"", J2679&lt;&gt;""), HYPERLINK("#'" &amp; C2679 &amp; "'!" &amp; J2679, J2679), "")</f>
        <v/>
      </c>
    </row>
    <row r="2680">
      <c r="B2680" s="21">
        <f>IF(AND(C2680&lt;&gt;"", J2680&lt;&gt;""), HYPERLINK("#'" &amp; C2680 &amp; "'!" &amp; J2680, J2680), "")</f>
        <v/>
      </c>
    </row>
    <row r="2681">
      <c r="B2681" s="21">
        <f>IF(AND(C2681&lt;&gt;"", J2681&lt;&gt;""), HYPERLINK("#'" &amp; C2681 &amp; "'!" &amp; J2681, J2681), "")</f>
        <v/>
      </c>
    </row>
    <row r="2682">
      <c r="B2682" s="21">
        <f>IF(AND(C2682&lt;&gt;"", J2682&lt;&gt;""), HYPERLINK("#'" &amp; C2682 &amp; "'!" &amp; J2682, J2682), "")</f>
        <v/>
      </c>
    </row>
    <row r="2683">
      <c r="B2683" s="21">
        <f>IF(AND(C2683&lt;&gt;"", J2683&lt;&gt;""), HYPERLINK("#'" &amp; C2683 &amp; "'!" &amp; J2683, J2683), "")</f>
        <v/>
      </c>
    </row>
    <row r="2684">
      <c r="B2684" s="21">
        <f>IF(AND(C2684&lt;&gt;"", J2684&lt;&gt;""), HYPERLINK("#'" &amp; C2684 &amp; "'!" &amp; J2684, J2684), "")</f>
        <v/>
      </c>
    </row>
    <row r="2685">
      <c r="B2685" s="21">
        <f>IF(AND(C2685&lt;&gt;"", J2685&lt;&gt;""), HYPERLINK("#'" &amp; C2685 &amp; "'!" &amp; J2685, J2685), "")</f>
        <v/>
      </c>
    </row>
    <row r="2686">
      <c r="B2686" s="21">
        <f>IF(AND(C2686&lt;&gt;"", J2686&lt;&gt;""), HYPERLINK("#'" &amp; C2686 &amp; "'!" &amp; J2686, J2686), "")</f>
        <v/>
      </c>
    </row>
    <row r="2687">
      <c r="B2687" s="21">
        <f>IF(AND(C2687&lt;&gt;"", J2687&lt;&gt;""), HYPERLINK("#'" &amp; C2687 &amp; "'!" &amp; J2687, J2687), "")</f>
        <v/>
      </c>
    </row>
    <row r="2688">
      <c r="B2688" s="21">
        <f>IF(AND(C2688&lt;&gt;"", J2688&lt;&gt;""), HYPERLINK("#'" &amp; C2688 &amp; "'!" &amp; J2688, J2688), "")</f>
        <v/>
      </c>
    </row>
    <row r="2689">
      <c r="B2689" s="21">
        <f>IF(AND(C2689&lt;&gt;"", J2689&lt;&gt;""), HYPERLINK("#'" &amp; C2689 &amp; "'!" &amp; J2689, J2689), "")</f>
        <v/>
      </c>
    </row>
    <row r="2690">
      <c r="B2690" s="21">
        <f>IF(AND(C2690&lt;&gt;"", J2690&lt;&gt;""), HYPERLINK("#'" &amp; C2690 &amp; "'!" &amp; J2690, J2690), "")</f>
        <v/>
      </c>
    </row>
    <row r="2691">
      <c r="B2691" s="21">
        <f>IF(AND(C2691&lt;&gt;"", J2691&lt;&gt;""), HYPERLINK("#'" &amp; C2691 &amp; "'!" &amp; J2691, J2691), "")</f>
        <v/>
      </c>
    </row>
    <row r="2692">
      <c r="B2692" s="21">
        <f>IF(AND(C2692&lt;&gt;"", J2692&lt;&gt;""), HYPERLINK("#'" &amp; C2692 &amp; "'!" &amp; J2692, J2692), "")</f>
        <v/>
      </c>
    </row>
    <row r="2693">
      <c r="B2693" s="21">
        <f>IF(AND(C2693&lt;&gt;"", J2693&lt;&gt;""), HYPERLINK("#'" &amp; C2693 &amp; "'!" &amp; J2693, J2693), "")</f>
        <v/>
      </c>
    </row>
    <row r="2694">
      <c r="B2694" s="21">
        <f>IF(AND(C2694&lt;&gt;"", J2694&lt;&gt;""), HYPERLINK("#'" &amp; C2694 &amp; "'!" &amp; J2694, J2694), "")</f>
        <v/>
      </c>
    </row>
    <row r="2695">
      <c r="B2695" s="21">
        <f>IF(AND(C2695&lt;&gt;"", J2695&lt;&gt;""), HYPERLINK("#'" &amp; C2695 &amp; "'!" &amp; J2695, J2695), "")</f>
        <v/>
      </c>
    </row>
    <row r="2696">
      <c r="B2696" s="21">
        <f>IF(AND(C2696&lt;&gt;"", J2696&lt;&gt;""), HYPERLINK("#'" &amp; C2696 &amp; "'!" &amp; J2696, J2696), "")</f>
        <v/>
      </c>
    </row>
    <row r="2697">
      <c r="B2697" s="21">
        <f>IF(AND(C2697&lt;&gt;"", J2697&lt;&gt;""), HYPERLINK("#'" &amp; C2697 &amp; "'!" &amp; J2697, J2697), "")</f>
        <v/>
      </c>
    </row>
    <row r="2698">
      <c r="B2698" s="21">
        <f>IF(AND(C2698&lt;&gt;"", J2698&lt;&gt;""), HYPERLINK("#'" &amp; C2698 &amp; "'!" &amp; J2698, J2698), "")</f>
        <v/>
      </c>
    </row>
    <row r="2699">
      <c r="B2699" s="21">
        <f>IF(AND(C2699&lt;&gt;"", J2699&lt;&gt;""), HYPERLINK("#'" &amp; C2699 &amp; "'!" &amp; J2699, J2699), "")</f>
        <v/>
      </c>
    </row>
    <row r="2700">
      <c r="B2700" s="21">
        <f>IF(AND(C2700&lt;&gt;"", J2700&lt;&gt;""), HYPERLINK("#'" &amp; C2700 &amp; "'!" &amp; J2700, J2700), "")</f>
        <v/>
      </c>
    </row>
    <row r="2701">
      <c r="B2701" s="21">
        <f>IF(AND(C2701&lt;&gt;"", J2701&lt;&gt;""), HYPERLINK("#'" &amp; C2701 &amp; "'!" &amp; J2701, J2701), "")</f>
        <v/>
      </c>
    </row>
    <row r="2702">
      <c r="B2702" s="21">
        <f>IF(AND(C2702&lt;&gt;"", J2702&lt;&gt;""), HYPERLINK("#'" &amp; C2702 &amp; "'!" &amp; J2702, J2702), "")</f>
        <v/>
      </c>
    </row>
    <row r="2703">
      <c r="B2703" s="21">
        <f>IF(AND(C2703&lt;&gt;"", J2703&lt;&gt;""), HYPERLINK("#'" &amp; C2703 &amp; "'!" &amp; J2703, J2703), "")</f>
        <v/>
      </c>
    </row>
    <row r="2704">
      <c r="B2704" s="21">
        <f>IF(AND(C2704&lt;&gt;"", J2704&lt;&gt;""), HYPERLINK("#'" &amp; C2704 &amp; "'!" &amp; J2704, J2704), "")</f>
        <v/>
      </c>
    </row>
    <row r="2705">
      <c r="B2705" s="21">
        <f>IF(AND(C2705&lt;&gt;"", J2705&lt;&gt;""), HYPERLINK("#'" &amp; C2705 &amp; "'!" &amp; J2705, J2705), "")</f>
        <v/>
      </c>
    </row>
    <row r="2706">
      <c r="B2706" s="21">
        <f>IF(AND(C2706&lt;&gt;"", J2706&lt;&gt;""), HYPERLINK("#'" &amp; C2706 &amp; "'!" &amp; J2706, J2706), "")</f>
        <v/>
      </c>
    </row>
    <row r="2707">
      <c r="B2707" s="21">
        <f>IF(AND(C2707&lt;&gt;"", J2707&lt;&gt;""), HYPERLINK("#'" &amp; C2707 &amp; "'!" &amp; J2707, J2707), "")</f>
        <v/>
      </c>
    </row>
    <row r="2708">
      <c r="B2708" s="21">
        <f>IF(AND(C2708&lt;&gt;"", J2708&lt;&gt;""), HYPERLINK("#'" &amp; C2708 &amp; "'!" &amp; J2708, J2708), "")</f>
        <v/>
      </c>
    </row>
    <row r="2709">
      <c r="B2709" s="21">
        <f>IF(AND(C2709&lt;&gt;"", J2709&lt;&gt;""), HYPERLINK("#'" &amp; C2709 &amp; "'!" &amp; J2709, J2709), "")</f>
        <v/>
      </c>
    </row>
    <row r="2710">
      <c r="B2710" s="21">
        <f>IF(AND(C2710&lt;&gt;"", J2710&lt;&gt;""), HYPERLINK("#'" &amp; C2710 &amp; "'!" &amp; J2710, J2710), "")</f>
        <v/>
      </c>
    </row>
    <row r="2711">
      <c r="B2711" s="21">
        <f>IF(AND(C2711&lt;&gt;"", J2711&lt;&gt;""), HYPERLINK("#'" &amp; C2711 &amp; "'!" &amp; J2711, J2711), "")</f>
        <v/>
      </c>
    </row>
    <row r="2712">
      <c r="B2712" s="21">
        <f>IF(AND(C2712&lt;&gt;"", J2712&lt;&gt;""), HYPERLINK("#'" &amp; C2712 &amp; "'!" &amp; J2712, J2712), "")</f>
        <v/>
      </c>
    </row>
    <row r="2713">
      <c r="B2713" s="21">
        <f>IF(AND(C2713&lt;&gt;"", J2713&lt;&gt;""), HYPERLINK("#'" &amp; C2713 &amp; "'!" &amp; J2713, J2713), "")</f>
        <v/>
      </c>
    </row>
    <row r="2714">
      <c r="B2714" s="21">
        <f>IF(AND(C2714&lt;&gt;"", J2714&lt;&gt;""), HYPERLINK("#'" &amp; C2714 &amp; "'!" &amp; J2714, J2714), "")</f>
        <v/>
      </c>
    </row>
    <row r="2715">
      <c r="B2715" s="21">
        <f>IF(AND(C2715&lt;&gt;"", J2715&lt;&gt;""), HYPERLINK("#'" &amp; C2715 &amp; "'!" &amp; J2715, J2715), "")</f>
        <v/>
      </c>
    </row>
    <row r="2716">
      <c r="B2716" s="21">
        <f>IF(AND(C2716&lt;&gt;"", J2716&lt;&gt;""), HYPERLINK("#'" &amp; C2716 &amp; "'!" &amp; J2716, J2716), "")</f>
        <v/>
      </c>
    </row>
    <row r="2717">
      <c r="B2717" s="21">
        <f>IF(AND(C2717&lt;&gt;"", J2717&lt;&gt;""), HYPERLINK("#'" &amp; C2717 &amp; "'!" &amp; J2717, J2717), "")</f>
        <v/>
      </c>
    </row>
    <row r="2718">
      <c r="B2718" s="21">
        <f>IF(AND(C2718&lt;&gt;"", J2718&lt;&gt;""), HYPERLINK("#'" &amp; C2718 &amp; "'!" &amp; J2718, J2718), "")</f>
        <v/>
      </c>
    </row>
    <row r="2719">
      <c r="B2719" s="21">
        <f>IF(AND(C2719&lt;&gt;"", J2719&lt;&gt;""), HYPERLINK("#'" &amp; C2719 &amp; "'!" &amp; J2719, J2719), "")</f>
        <v/>
      </c>
    </row>
    <row r="2720">
      <c r="B2720" s="21">
        <f>IF(AND(C2720&lt;&gt;"", J2720&lt;&gt;""), HYPERLINK("#'" &amp; C2720 &amp; "'!" &amp; J2720, J2720), "")</f>
        <v/>
      </c>
    </row>
    <row r="2721">
      <c r="B2721" s="21">
        <f>IF(AND(C2721&lt;&gt;"", J2721&lt;&gt;""), HYPERLINK("#'" &amp; C2721 &amp; "'!" &amp; J2721, J2721), "")</f>
        <v/>
      </c>
    </row>
    <row r="2722">
      <c r="B2722" s="21">
        <f>IF(AND(C2722&lt;&gt;"", J2722&lt;&gt;""), HYPERLINK("#'" &amp; C2722 &amp; "'!" &amp; J2722, J2722), "")</f>
        <v/>
      </c>
    </row>
    <row r="2723">
      <c r="B2723" s="21">
        <f>IF(AND(C2723&lt;&gt;"", J2723&lt;&gt;""), HYPERLINK("#'" &amp; C2723 &amp; "'!" &amp; J2723, J2723), "")</f>
        <v/>
      </c>
    </row>
    <row r="2724">
      <c r="B2724" s="21">
        <f>IF(AND(C2724&lt;&gt;"", J2724&lt;&gt;""), HYPERLINK("#'" &amp; C2724 &amp; "'!" &amp; J2724, J2724), "")</f>
        <v/>
      </c>
    </row>
    <row r="2725">
      <c r="B2725" s="21">
        <f>IF(AND(C2725&lt;&gt;"", J2725&lt;&gt;""), HYPERLINK("#'" &amp; C2725 &amp; "'!" &amp; J2725, J2725), "")</f>
        <v/>
      </c>
    </row>
    <row r="2726">
      <c r="B2726" s="21">
        <f>IF(AND(C2726&lt;&gt;"", J2726&lt;&gt;""), HYPERLINK("#'" &amp; C2726 &amp; "'!" &amp; J2726, J2726), "")</f>
        <v/>
      </c>
    </row>
    <row r="2727">
      <c r="B2727" s="21">
        <f>IF(AND(C2727&lt;&gt;"", J2727&lt;&gt;""), HYPERLINK("#'" &amp; C2727 &amp; "'!" &amp; J2727, J2727), "")</f>
        <v/>
      </c>
    </row>
    <row r="2728">
      <c r="B2728" s="21">
        <f>IF(AND(C2728&lt;&gt;"", J2728&lt;&gt;""), HYPERLINK("#'" &amp; C2728 &amp; "'!" &amp; J2728, J2728), "")</f>
        <v/>
      </c>
    </row>
    <row r="2729">
      <c r="B2729" s="21">
        <f>IF(AND(C2729&lt;&gt;"", J2729&lt;&gt;""), HYPERLINK("#'" &amp; C2729 &amp; "'!" &amp; J2729, J2729), "")</f>
        <v/>
      </c>
    </row>
    <row r="2730">
      <c r="B2730" s="21">
        <f>IF(AND(C2730&lt;&gt;"", J2730&lt;&gt;""), HYPERLINK("#'" &amp; C2730 &amp; "'!" &amp; J2730, J2730), "")</f>
        <v/>
      </c>
    </row>
    <row r="2731">
      <c r="B2731" s="21">
        <f>IF(AND(C2731&lt;&gt;"", J2731&lt;&gt;""), HYPERLINK("#'" &amp; C2731 &amp; "'!" &amp; J2731, J2731), "")</f>
        <v/>
      </c>
    </row>
    <row r="2732">
      <c r="B2732" s="21">
        <f>IF(AND(C2732&lt;&gt;"", J2732&lt;&gt;""), HYPERLINK("#'" &amp; C2732 &amp; "'!" &amp; J2732, J2732), "")</f>
        <v/>
      </c>
    </row>
    <row r="2733">
      <c r="B2733" s="21">
        <f>IF(AND(C2733&lt;&gt;"", J2733&lt;&gt;""), HYPERLINK("#'" &amp; C2733 &amp; "'!" &amp; J2733, J2733), "")</f>
        <v/>
      </c>
    </row>
    <row r="2734">
      <c r="B2734" s="21">
        <f>IF(AND(C2734&lt;&gt;"", J2734&lt;&gt;""), HYPERLINK("#'" &amp; C2734 &amp; "'!" &amp; J2734, J2734), "")</f>
        <v/>
      </c>
    </row>
    <row r="2735">
      <c r="B2735" s="21">
        <f>IF(AND(C2735&lt;&gt;"", J2735&lt;&gt;""), HYPERLINK("#'" &amp; C2735 &amp; "'!" &amp; J2735, J2735), "")</f>
        <v/>
      </c>
    </row>
    <row r="2736">
      <c r="B2736" s="21">
        <f>IF(AND(C2736&lt;&gt;"", J2736&lt;&gt;""), HYPERLINK("#'" &amp; C2736 &amp; "'!" &amp; J2736, J2736), "")</f>
        <v/>
      </c>
    </row>
    <row r="2737">
      <c r="B2737" s="21">
        <f>IF(AND(C2737&lt;&gt;"", J2737&lt;&gt;""), HYPERLINK("#'" &amp; C2737 &amp; "'!" &amp; J2737, J2737), "")</f>
        <v/>
      </c>
    </row>
    <row r="2738">
      <c r="B2738" s="21">
        <f>IF(AND(C2738&lt;&gt;"", J2738&lt;&gt;""), HYPERLINK("#'" &amp; C2738 &amp; "'!" &amp; J2738, J2738), "")</f>
        <v/>
      </c>
    </row>
    <row r="2739">
      <c r="B2739" s="21">
        <f>IF(AND(C2739&lt;&gt;"", J2739&lt;&gt;""), HYPERLINK("#'" &amp; C2739 &amp; "'!" &amp; J2739, J2739), "")</f>
        <v/>
      </c>
    </row>
    <row r="2740">
      <c r="B2740" s="21">
        <f>IF(AND(C2740&lt;&gt;"", J2740&lt;&gt;""), HYPERLINK("#'" &amp; C2740 &amp; "'!" &amp; J2740, J2740), "")</f>
        <v/>
      </c>
    </row>
    <row r="2741">
      <c r="B2741" s="21">
        <f>IF(AND(C2741&lt;&gt;"", J2741&lt;&gt;""), HYPERLINK("#'" &amp; C2741 &amp; "'!" &amp; J2741, J2741), "")</f>
        <v/>
      </c>
    </row>
    <row r="2742">
      <c r="B2742" s="21">
        <f>IF(AND(C2742&lt;&gt;"", J2742&lt;&gt;""), HYPERLINK("#'" &amp; C2742 &amp; "'!" &amp; J2742, J2742), "")</f>
        <v/>
      </c>
    </row>
    <row r="2743">
      <c r="B2743" s="21">
        <f>IF(AND(C2743&lt;&gt;"", J2743&lt;&gt;""), HYPERLINK("#'" &amp; C2743 &amp; "'!" &amp; J2743, J2743), "")</f>
        <v/>
      </c>
    </row>
    <row r="2744">
      <c r="B2744" s="21">
        <f>IF(AND(C2744&lt;&gt;"", J2744&lt;&gt;""), HYPERLINK("#'" &amp; C2744 &amp; "'!" &amp; J2744, J2744), "")</f>
        <v/>
      </c>
    </row>
    <row r="2745">
      <c r="B2745" s="21">
        <f>IF(AND(C2745&lt;&gt;"", J2745&lt;&gt;""), HYPERLINK("#'" &amp; C2745 &amp; "'!" &amp; J2745, J2745), "")</f>
        <v/>
      </c>
    </row>
    <row r="2746">
      <c r="B2746" s="21">
        <f>IF(AND(C2746&lt;&gt;"", J2746&lt;&gt;""), HYPERLINK("#'" &amp; C2746 &amp; "'!" &amp; J2746, J2746), "")</f>
        <v/>
      </c>
    </row>
    <row r="2747">
      <c r="B2747" s="21">
        <f>IF(AND(C2747&lt;&gt;"", J2747&lt;&gt;""), HYPERLINK("#'" &amp; C2747 &amp; "'!" &amp; J2747, J2747), "")</f>
        <v/>
      </c>
    </row>
    <row r="2748">
      <c r="B2748" s="21">
        <f>IF(AND(C2748&lt;&gt;"", J2748&lt;&gt;""), HYPERLINK("#'" &amp; C2748 &amp; "'!" &amp; J2748, J2748), "")</f>
        <v/>
      </c>
    </row>
    <row r="2749">
      <c r="B2749" s="21">
        <f>IF(AND(C2749&lt;&gt;"", J2749&lt;&gt;""), HYPERLINK("#'" &amp; C2749 &amp; "'!" &amp; J2749, J2749), "")</f>
        <v/>
      </c>
    </row>
    <row r="2750">
      <c r="B2750" s="21">
        <f>IF(AND(C2750&lt;&gt;"", J2750&lt;&gt;""), HYPERLINK("#'" &amp; C2750 &amp; "'!" &amp; J2750, J2750), "")</f>
        <v/>
      </c>
    </row>
    <row r="2751">
      <c r="B2751" s="21">
        <f>IF(AND(C2751&lt;&gt;"", J2751&lt;&gt;""), HYPERLINK("#'" &amp; C2751 &amp; "'!" &amp; J2751, J2751), "")</f>
        <v/>
      </c>
    </row>
    <row r="2752">
      <c r="B2752" s="21">
        <f>IF(AND(C2752&lt;&gt;"", J2752&lt;&gt;""), HYPERLINK("#'" &amp; C2752 &amp; "'!" &amp; J2752, J2752), "")</f>
        <v/>
      </c>
    </row>
    <row r="2753">
      <c r="B2753" s="21">
        <f>IF(AND(C2753&lt;&gt;"", J2753&lt;&gt;""), HYPERLINK("#'" &amp; C2753 &amp; "'!" &amp; J2753, J2753), "")</f>
        <v/>
      </c>
    </row>
    <row r="2754">
      <c r="B2754" s="21">
        <f>IF(AND(C2754&lt;&gt;"", J2754&lt;&gt;""), HYPERLINK("#'" &amp; C2754 &amp; "'!" &amp; J2754, J2754), "")</f>
        <v/>
      </c>
    </row>
    <row r="2755">
      <c r="B2755" s="21">
        <f>IF(AND(C2755&lt;&gt;"", J2755&lt;&gt;""), HYPERLINK("#'" &amp; C2755 &amp; "'!" &amp; J2755, J2755), "")</f>
        <v/>
      </c>
    </row>
    <row r="2756">
      <c r="B2756" s="21">
        <f>IF(AND(C2756&lt;&gt;"", J2756&lt;&gt;""), HYPERLINK("#'" &amp; C2756 &amp; "'!" &amp; J2756, J2756), "")</f>
        <v/>
      </c>
    </row>
    <row r="2757">
      <c r="B2757" s="21">
        <f>IF(AND(C2757&lt;&gt;"", J2757&lt;&gt;""), HYPERLINK("#'" &amp; C2757 &amp; "'!" &amp; J2757, J2757), "")</f>
        <v/>
      </c>
    </row>
    <row r="2758">
      <c r="B2758" s="21">
        <f>IF(AND(C2758&lt;&gt;"", J2758&lt;&gt;""), HYPERLINK("#'" &amp; C2758 &amp; "'!" &amp; J2758, J2758), "")</f>
        <v/>
      </c>
    </row>
    <row r="2759">
      <c r="B2759" s="21">
        <f>IF(AND(C2759&lt;&gt;"", J2759&lt;&gt;""), HYPERLINK("#'" &amp; C2759 &amp; "'!" &amp; J2759, J2759), "")</f>
        <v/>
      </c>
    </row>
    <row r="2760">
      <c r="B2760" s="21">
        <f>IF(AND(C2760&lt;&gt;"", J2760&lt;&gt;""), HYPERLINK("#'" &amp; C2760 &amp; "'!" &amp; J2760, J2760), "")</f>
        <v/>
      </c>
    </row>
    <row r="2761">
      <c r="B2761" s="21">
        <f>IF(AND(C2761&lt;&gt;"", J2761&lt;&gt;""), HYPERLINK("#'" &amp; C2761 &amp; "'!" &amp; J2761, J2761), "")</f>
        <v/>
      </c>
    </row>
    <row r="2762">
      <c r="B2762" s="21">
        <f>IF(AND(C2762&lt;&gt;"", J2762&lt;&gt;""), HYPERLINK("#'" &amp; C2762 &amp; "'!" &amp; J2762, J2762), "")</f>
        <v/>
      </c>
    </row>
    <row r="2763">
      <c r="B2763" s="21">
        <f>IF(AND(C2763&lt;&gt;"", J2763&lt;&gt;""), HYPERLINK("#'" &amp; C2763 &amp; "'!" &amp; J2763, J2763), "")</f>
        <v/>
      </c>
    </row>
    <row r="2764">
      <c r="B2764" s="21">
        <f>IF(AND(C2764&lt;&gt;"", J2764&lt;&gt;""), HYPERLINK("#'" &amp; C2764 &amp; "'!" &amp; J2764, J2764), "")</f>
        <v/>
      </c>
    </row>
    <row r="2765">
      <c r="B2765" s="21">
        <f>IF(AND(C2765&lt;&gt;"", J2765&lt;&gt;""), HYPERLINK("#'" &amp; C2765 &amp; "'!" &amp; J2765, J2765), "")</f>
        <v/>
      </c>
    </row>
    <row r="2766">
      <c r="B2766" s="21">
        <f>IF(AND(C2766&lt;&gt;"", J2766&lt;&gt;""), HYPERLINK("#'" &amp; C2766 &amp; "'!" &amp; J2766, J2766), "")</f>
        <v/>
      </c>
    </row>
    <row r="2767">
      <c r="B2767" s="21">
        <f>IF(AND(C2767&lt;&gt;"", J2767&lt;&gt;""), HYPERLINK("#'" &amp; C2767 &amp; "'!" &amp; J2767, J2767), "")</f>
        <v/>
      </c>
    </row>
    <row r="2768">
      <c r="B2768" s="21">
        <f>IF(AND(C2768&lt;&gt;"", J2768&lt;&gt;""), HYPERLINK("#'" &amp; C2768 &amp; "'!" &amp; J2768, J2768), "")</f>
        <v/>
      </c>
    </row>
    <row r="2769">
      <c r="B2769" s="21">
        <f>IF(AND(C2769&lt;&gt;"", J2769&lt;&gt;""), HYPERLINK("#'" &amp; C2769 &amp; "'!" &amp; J2769, J2769), "")</f>
        <v/>
      </c>
    </row>
    <row r="2770">
      <c r="B2770" s="21">
        <f>IF(AND(C2770&lt;&gt;"", J2770&lt;&gt;""), HYPERLINK("#'" &amp; C2770 &amp; "'!" &amp; J2770, J2770), "")</f>
        <v/>
      </c>
    </row>
    <row r="2771">
      <c r="B2771" s="21">
        <f>IF(AND(C2771&lt;&gt;"", J2771&lt;&gt;""), HYPERLINK("#'" &amp; C2771 &amp; "'!" &amp; J2771, J2771), "")</f>
        <v/>
      </c>
    </row>
    <row r="2772">
      <c r="B2772" s="21">
        <f>IF(AND(C2772&lt;&gt;"", J2772&lt;&gt;""), HYPERLINK("#'" &amp; C2772 &amp; "'!" &amp; J2772, J2772), "")</f>
        <v/>
      </c>
    </row>
    <row r="2773">
      <c r="B2773" s="21">
        <f>IF(AND(C2773&lt;&gt;"", J2773&lt;&gt;""), HYPERLINK("#'" &amp; C2773 &amp; "'!" &amp; J2773, J2773), "")</f>
        <v/>
      </c>
    </row>
    <row r="2774">
      <c r="B2774" s="21">
        <f>IF(AND(C2774&lt;&gt;"", J2774&lt;&gt;""), HYPERLINK("#'" &amp; C2774 &amp; "'!" &amp; J2774, J2774), "")</f>
        <v/>
      </c>
    </row>
    <row r="2775">
      <c r="B2775" s="21">
        <f>IF(AND(C2775&lt;&gt;"", J2775&lt;&gt;""), HYPERLINK("#'" &amp; C2775 &amp; "'!" &amp; J2775, J2775), "")</f>
        <v/>
      </c>
    </row>
    <row r="2776">
      <c r="B2776" s="21">
        <f>IF(AND(C2776&lt;&gt;"", J2776&lt;&gt;""), HYPERLINK("#'" &amp; C2776 &amp; "'!" &amp; J2776, J2776), "")</f>
        <v/>
      </c>
    </row>
    <row r="2777">
      <c r="B2777" s="21">
        <f>IF(AND(C2777&lt;&gt;"", J2777&lt;&gt;""), HYPERLINK("#'" &amp; C2777 &amp; "'!" &amp; J2777, J2777), "")</f>
        <v/>
      </c>
    </row>
    <row r="2778">
      <c r="B2778" s="21">
        <f>IF(AND(C2778&lt;&gt;"", J2778&lt;&gt;""), HYPERLINK("#'" &amp; C2778 &amp; "'!" &amp; J2778, J2778), "")</f>
        <v/>
      </c>
    </row>
    <row r="2779">
      <c r="B2779" s="21">
        <f>IF(AND(C2779&lt;&gt;"", J2779&lt;&gt;""), HYPERLINK("#'" &amp; C2779 &amp; "'!" &amp; J2779, J2779), "")</f>
        <v/>
      </c>
    </row>
    <row r="2780">
      <c r="B2780" s="21">
        <f>IF(AND(C2780&lt;&gt;"", J2780&lt;&gt;""), HYPERLINK("#'" &amp; C2780 &amp; "'!" &amp; J2780, J2780), "")</f>
        <v/>
      </c>
    </row>
    <row r="2781">
      <c r="B2781" s="21">
        <f>IF(AND(C2781&lt;&gt;"", J2781&lt;&gt;""), HYPERLINK("#'" &amp; C2781 &amp; "'!" &amp; J2781, J2781), "")</f>
        <v/>
      </c>
    </row>
    <row r="2782">
      <c r="B2782" s="21">
        <f>IF(AND(C2782&lt;&gt;"", J2782&lt;&gt;""), HYPERLINK("#'" &amp; C2782 &amp; "'!" &amp; J2782, J2782), "")</f>
        <v/>
      </c>
    </row>
    <row r="2783">
      <c r="B2783" s="21">
        <f>IF(AND(C2783&lt;&gt;"", J2783&lt;&gt;""), HYPERLINK("#'" &amp; C2783 &amp; "'!" &amp; J2783, J2783), "")</f>
        <v/>
      </c>
    </row>
    <row r="2784">
      <c r="B2784" s="21">
        <f>IF(AND(C2784&lt;&gt;"", J2784&lt;&gt;""), HYPERLINK("#'" &amp; C2784 &amp; "'!" &amp; J2784, J2784), "")</f>
        <v/>
      </c>
    </row>
    <row r="2785">
      <c r="B2785" s="21">
        <f>IF(AND(C2785&lt;&gt;"", J2785&lt;&gt;""), HYPERLINK("#'" &amp; C2785 &amp; "'!" &amp; J2785, J2785), "")</f>
        <v/>
      </c>
    </row>
    <row r="2786">
      <c r="B2786" s="21">
        <f>IF(AND(C2786&lt;&gt;"", J2786&lt;&gt;""), HYPERLINK("#'" &amp; C2786 &amp; "'!" &amp; J2786, J2786), "")</f>
        <v/>
      </c>
    </row>
    <row r="2787">
      <c r="B2787" s="21">
        <f>IF(AND(C2787&lt;&gt;"", J2787&lt;&gt;""), HYPERLINK("#'" &amp; C2787 &amp; "'!" &amp; J2787, J2787), "")</f>
        <v/>
      </c>
    </row>
    <row r="2788">
      <c r="B2788" s="21">
        <f>IF(AND(C2788&lt;&gt;"", J2788&lt;&gt;""), HYPERLINK("#'" &amp; C2788 &amp; "'!" &amp; J2788, J2788), "")</f>
        <v/>
      </c>
    </row>
    <row r="2789">
      <c r="B2789" s="21">
        <f>IF(AND(C2789&lt;&gt;"", J2789&lt;&gt;""), HYPERLINK("#'" &amp; C2789 &amp; "'!" &amp; J2789, J2789), "")</f>
        <v/>
      </c>
    </row>
    <row r="2790">
      <c r="B2790" s="21">
        <f>IF(AND(C2790&lt;&gt;"", J2790&lt;&gt;""), HYPERLINK("#'" &amp; C2790 &amp; "'!" &amp; J2790, J2790), "")</f>
        <v/>
      </c>
    </row>
    <row r="2791">
      <c r="B2791" s="21">
        <f>IF(AND(C2791&lt;&gt;"", J2791&lt;&gt;""), HYPERLINK("#'" &amp; C2791 &amp; "'!" &amp; J2791, J2791), "")</f>
        <v/>
      </c>
    </row>
    <row r="2792">
      <c r="B2792" s="21">
        <f>IF(AND(C2792&lt;&gt;"", J2792&lt;&gt;""), HYPERLINK("#'" &amp; C2792 &amp; "'!" &amp; J2792, J2792), "")</f>
        <v/>
      </c>
    </row>
    <row r="2793">
      <c r="B2793" s="21">
        <f>IF(AND(C2793&lt;&gt;"", J2793&lt;&gt;""), HYPERLINK("#'" &amp; C2793 &amp; "'!" &amp; J2793, J2793), "")</f>
        <v/>
      </c>
    </row>
    <row r="2794">
      <c r="B2794" s="21">
        <f>IF(AND(C2794&lt;&gt;"", J2794&lt;&gt;""), HYPERLINK("#'" &amp; C2794 &amp; "'!" &amp; J2794, J2794), "")</f>
        <v/>
      </c>
    </row>
    <row r="2795">
      <c r="B2795" s="21">
        <f>IF(AND(C2795&lt;&gt;"", J2795&lt;&gt;""), HYPERLINK("#'" &amp; C2795 &amp; "'!" &amp; J2795, J2795), "")</f>
        <v/>
      </c>
    </row>
    <row r="2796">
      <c r="B2796" s="21">
        <f>IF(AND(C2796&lt;&gt;"", J2796&lt;&gt;""), HYPERLINK("#'" &amp; C2796 &amp; "'!" &amp; J2796, J2796), "")</f>
        <v/>
      </c>
    </row>
    <row r="2797">
      <c r="B2797" s="21">
        <f>IF(AND(C2797&lt;&gt;"", J2797&lt;&gt;""), HYPERLINK("#'" &amp; C2797 &amp; "'!" &amp; J2797, J2797), "")</f>
        <v/>
      </c>
    </row>
    <row r="2798">
      <c r="B2798" s="21">
        <f>IF(AND(C2798&lt;&gt;"", J2798&lt;&gt;""), HYPERLINK("#'" &amp; C2798 &amp; "'!" &amp; J2798, J2798), "")</f>
        <v/>
      </c>
    </row>
    <row r="2799">
      <c r="B2799" s="21">
        <f>IF(AND(C2799&lt;&gt;"", J2799&lt;&gt;""), HYPERLINK("#'" &amp; C2799 &amp; "'!" &amp; J2799, J2799), "")</f>
        <v/>
      </c>
    </row>
    <row r="2800">
      <c r="B2800" s="21">
        <f>IF(AND(C2800&lt;&gt;"", J2800&lt;&gt;""), HYPERLINK("#'" &amp; C2800 &amp; "'!" &amp; J2800, J2800), "")</f>
        <v/>
      </c>
    </row>
    <row r="2801">
      <c r="B2801" s="21">
        <f>IF(AND(C2801&lt;&gt;"", J2801&lt;&gt;""), HYPERLINK("#'" &amp; C2801 &amp; "'!" &amp; J2801, J2801), "")</f>
        <v/>
      </c>
    </row>
    <row r="2802">
      <c r="B2802" s="21">
        <f>IF(AND(C2802&lt;&gt;"", J2802&lt;&gt;""), HYPERLINK("#'" &amp; C2802 &amp; "'!" &amp; J2802, J2802), "")</f>
        <v/>
      </c>
    </row>
    <row r="2803">
      <c r="B2803" s="21">
        <f>IF(AND(C2803&lt;&gt;"", J2803&lt;&gt;""), HYPERLINK("#'" &amp; C2803 &amp; "'!" &amp; J2803, J2803), "")</f>
        <v/>
      </c>
    </row>
    <row r="2804">
      <c r="B2804" s="21">
        <f>IF(AND(C2804&lt;&gt;"", J2804&lt;&gt;""), HYPERLINK("#'" &amp; C2804 &amp; "'!" &amp; J2804, J2804), "")</f>
        <v/>
      </c>
    </row>
    <row r="2805">
      <c r="B2805" s="21">
        <f>IF(AND(C2805&lt;&gt;"", J2805&lt;&gt;""), HYPERLINK("#'" &amp; C2805 &amp; "'!" &amp; J2805, J2805), "")</f>
        <v/>
      </c>
    </row>
    <row r="2806">
      <c r="B2806" s="21">
        <f>IF(AND(C2806&lt;&gt;"", J2806&lt;&gt;""), HYPERLINK("#'" &amp; C2806 &amp; "'!" &amp; J2806, J2806), "")</f>
        <v/>
      </c>
    </row>
    <row r="2807">
      <c r="B2807" s="21">
        <f>IF(AND(C2807&lt;&gt;"", J2807&lt;&gt;""), HYPERLINK("#'" &amp; C2807 &amp; "'!" &amp; J2807, J2807), "")</f>
        <v/>
      </c>
    </row>
    <row r="2808">
      <c r="B2808" s="21">
        <f>IF(AND(C2808&lt;&gt;"", J2808&lt;&gt;""), HYPERLINK("#'" &amp; C2808 &amp; "'!" &amp; J2808, J2808), "")</f>
        <v/>
      </c>
    </row>
    <row r="2809">
      <c r="B2809" s="21">
        <f>IF(AND(C2809&lt;&gt;"", J2809&lt;&gt;""), HYPERLINK("#'" &amp; C2809 &amp; "'!" &amp; J2809, J2809), "")</f>
        <v/>
      </c>
    </row>
    <row r="2810">
      <c r="B2810" s="21">
        <f>IF(AND(C2810&lt;&gt;"", J2810&lt;&gt;""), HYPERLINK("#'" &amp; C2810 &amp; "'!" &amp; J2810, J2810), "")</f>
        <v/>
      </c>
    </row>
    <row r="2811">
      <c r="B2811" s="21">
        <f>IF(AND(C2811&lt;&gt;"", J2811&lt;&gt;""), HYPERLINK("#'" &amp; C2811 &amp; "'!" &amp; J2811, J2811), "")</f>
        <v/>
      </c>
    </row>
    <row r="2812">
      <c r="B2812" s="21">
        <f>IF(AND(C2812&lt;&gt;"", J2812&lt;&gt;""), HYPERLINK("#'" &amp; C2812 &amp; "'!" &amp; J2812, J2812), "")</f>
        <v/>
      </c>
    </row>
    <row r="2813">
      <c r="B2813" s="21">
        <f>IF(AND(C2813&lt;&gt;"", J2813&lt;&gt;""), HYPERLINK("#'" &amp; C2813 &amp; "'!" &amp; J2813, J2813), "")</f>
        <v/>
      </c>
    </row>
    <row r="2814">
      <c r="B2814" s="21">
        <f>IF(AND(C2814&lt;&gt;"", J2814&lt;&gt;""), HYPERLINK("#'" &amp; C2814 &amp; "'!" &amp; J2814, J2814), "")</f>
        <v/>
      </c>
    </row>
    <row r="2815">
      <c r="B2815" s="21">
        <f>IF(AND(C2815&lt;&gt;"", J2815&lt;&gt;""), HYPERLINK("#'" &amp; C2815 &amp; "'!" &amp; J2815, J2815), "")</f>
        <v/>
      </c>
    </row>
    <row r="2816">
      <c r="B2816" s="21">
        <f>IF(AND(C2816&lt;&gt;"", J2816&lt;&gt;""), HYPERLINK("#'" &amp; C2816 &amp; "'!" &amp; J2816, J2816), "")</f>
        <v/>
      </c>
    </row>
    <row r="2817">
      <c r="B2817" s="21">
        <f>IF(AND(C2817&lt;&gt;"", J2817&lt;&gt;""), HYPERLINK("#'" &amp; C2817 &amp; "'!" &amp; J2817, J2817), "")</f>
        <v/>
      </c>
    </row>
    <row r="2818">
      <c r="B2818" s="21">
        <f>IF(AND(C2818&lt;&gt;"", J2818&lt;&gt;""), HYPERLINK("#'" &amp; C2818 &amp; "'!" &amp; J2818, J2818), "")</f>
        <v/>
      </c>
    </row>
    <row r="2819">
      <c r="B2819" s="21">
        <f>IF(AND(C2819&lt;&gt;"", J2819&lt;&gt;""), HYPERLINK("#'" &amp; C2819 &amp; "'!" &amp; J2819, J2819), "")</f>
        <v/>
      </c>
    </row>
    <row r="2820">
      <c r="B2820" s="21">
        <f>IF(AND(C2820&lt;&gt;"", J2820&lt;&gt;""), HYPERLINK("#'" &amp; C2820 &amp; "'!" &amp; J2820, J2820), "")</f>
        <v/>
      </c>
    </row>
    <row r="2821">
      <c r="B2821" s="21">
        <f>IF(AND(C2821&lt;&gt;"", J2821&lt;&gt;""), HYPERLINK("#'" &amp; C2821 &amp; "'!" &amp; J2821, J2821), "")</f>
        <v/>
      </c>
    </row>
    <row r="2822">
      <c r="B2822" s="21">
        <f>IF(AND(C2822&lt;&gt;"", J2822&lt;&gt;""), HYPERLINK("#'" &amp; C2822 &amp; "'!" &amp; J2822, J2822), "")</f>
        <v/>
      </c>
    </row>
    <row r="2823">
      <c r="B2823" s="21">
        <f>IF(AND(C2823&lt;&gt;"", J2823&lt;&gt;""), HYPERLINK("#'" &amp; C2823 &amp; "'!" &amp; J2823, J2823), "")</f>
        <v/>
      </c>
    </row>
    <row r="2824">
      <c r="B2824" s="21">
        <f>IF(AND(C2824&lt;&gt;"", J2824&lt;&gt;""), HYPERLINK("#'" &amp; C2824 &amp; "'!" &amp; J2824, J2824), "")</f>
        <v/>
      </c>
    </row>
    <row r="2825">
      <c r="B2825" s="21">
        <f>IF(AND(C2825&lt;&gt;"", J2825&lt;&gt;""), HYPERLINK("#'" &amp; C2825 &amp; "'!" &amp; J2825, J2825), "")</f>
        <v/>
      </c>
    </row>
    <row r="2826">
      <c r="B2826" s="21">
        <f>IF(AND(C2826&lt;&gt;"", J2826&lt;&gt;""), HYPERLINK("#'" &amp; C2826 &amp; "'!" &amp; J2826, J2826), "")</f>
        <v/>
      </c>
    </row>
    <row r="2827">
      <c r="B2827" s="21">
        <f>IF(AND(C2827&lt;&gt;"", J2827&lt;&gt;""), HYPERLINK("#'" &amp; C2827 &amp; "'!" &amp; J2827, J2827), "")</f>
        <v/>
      </c>
    </row>
    <row r="2828">
      <c r="B2828" s="21">
        <f>IF(AND(C2828&lt;&gt;"", J2828&lt;&gt;""), HYPERLINK("#'" &amp; C2828 &amp; "'!" &amp; J2828, J2828), "")</f>
        <v/>
      </c>
    </row>
    <row r="2829">
      <c r="B2829" s="21">
        <f>IF(AND(C2829&lt;&gt;"", J2829&lt;&gt;""), HYPERLINK("#'" &amp; C2829 &amp; "'!" &amp; J2829, J2829), "")</f>
        <v/>
      </c>
    </row>
    <row r="2830">
      <c r="B2830" s="21">
        <f>IF(AND(C2830&lt;&gt;"", J2830&lt;&gt;""), HYPERLINK("#'" &amp; C2830 &amp; "'!" &amp; J2830, J2830), "")</f>
        <v/>
      </c>
    </row>
    <row r="2831">
      <c r="B2831" s="21">
        <f>IF(AND(C2831&lt;&gt;"", J2831&lt;&gt;""), HYPERLINK("#'" &amp; C2831 &amp; "'!" &amp; J2831, J2831), "")</f>
        <v/>
      </c>
    </row>
    <row r="2832">
      <c r="B2832" s="21">
        <f>IF(AND(C2832&lt;&gt;"", J2832&lt;&gt;""), HYPERLINK("#'" &amp; C2832 &amp; "'!" &amp; J2832, J2832), "")</f>
        <v/>
      </c>
    </row>
    <row r="2833">
      <c r="B2833" s="21">
        <f>IF(AND(C2833&lt;&gt;"", J2833&lt;&gt;""), HYPERLINK("#'" &amp; C2833 &amp; "'!" &amp; J2833, J2833), "")</f>
        <v/>
      </c>
    </row>
    <row r="2834">
      <c r="B2834" s="21">
        <f>IF(AND(C2834&lt;&gt;"", J2834&lt;&gt;""), HYPERLINK("#'" &amp; C2834 &amp; "'!" &amp; J2834, J2834), "")</f>
        <v/>
      </c>
    </row>
    <row r="2835">
      <c r="B2835" s="21">
        <f>IF(AND(C2835&lt;&gt;"", J2835&lt;&gt;""), HYPERLINK("#'" &amp; C2835 &amp; "'!" &amp; J2835, J2835), "")</f>
        <v/>
      </c>
    </row>
    <row r="2836">
      <c r="B2836" s="21">
        <f>IF(AND(C2836&lt;&gt;"", J2836&lt;&gt;""), HYPERLINK("#'" &amp; C2836 &amp; "'!" &amp; J2836, J2836), "")</f>
        <v/>
      </c>
    </row>
    <row r="2837">
      <c r="B2837" s="21">
        <f>IF(AND(C2837&lt;&gt;"", J2837&lt;&gt;""), HYPERLINK("#'" &amp; C2837 &amp; "'!" &amp; J2837, J2837), "")</f>
        <v/>
      </c>
    </row>
    <row r="2838">
      <c r="B2838" s="21">
        <f>IF(AND(C2838&lt;&gt;"", J2838&lt;&gt;""), HYPERLINK("#'" &amp; C2838 &amp; "'!" &amp; J2838, J2838), "")</f>
        <v/>
      </c>
    </row>
    <row r="2839">
      <c r="B2839" s="21">
        <f>IF(AND(C2839&lt;&gt;"", J2839&lt;&gt;""), HYPERLINK("#'" &amp; C2839 &amp; "'!" &amp; J2839, J2839), "")</f>
        <v/>
      </c>
    </row>
    <row r="2840">
      <c r="B2840" s="21">
        <f>IF(AND(C2840&lt;&gt;"", J2840&lt;&gt;""), HYPERLINK("#'" &amp; C2840 &amp; "'!" &amp; J2840, J2840), "")</f>
        <v/>
      </c>
    </row>
    <row r="2841">
      <c r="B2841" s="21">
        <f>IF(AND(C2841&lt;&gt;"", J2841&lt;&gt;""), HYPERLINK("#'" &amp; C2841 &amp; "'!" &amp; J2841, J2841), "")</f>
        <v/>
      </c>
    </row>
    <row r="2842">
      <c r="B2842" s="21">
        <f>IF(AND(C2842&lt;&gt;"", J2842&lt;&gt;""), HYPERLINK("#'" &amp; C2842 &amp; "'!" &amp; J2842, J2842), "")</f>
        <v/>
      </c>
    </row>
    <row r="2843">
      <c r="B2843" s="21">
        <f>IF(AND(C2843&lt;&gt;"", J2843&lt;&gt;""), HYPERLINK("#'" &amp; C2843 &amp; "'!" &amp; J2843, J2843), "")</f>
        <v/>
      </c>
    </row>
    <row r="2844">
      <c r="B2844" s="21">
        <f>IF(AND(C2844&lt;&gt;"", J2844&lt;&gt;""), HYPERLINK("#'" &amp; C2844 &amp; "'!" &amp; J2844, J2844), "")</f>
        <v/>
      </c>
    </row>
    <row r="2845">
      <c r="B2845" s="21">
        <f>IF(AND(C2845&lt;&gt;"", J2845&lt;&gt;""), HYPERLINK("#'" &amp; C2845 &amp; "'!" &amp; J2845, J2845), "")</f>
        <v/>
      </c>
    </row>
    <row r="2846">
      <c r="B2846" s="21">
        <f>IF(AND(C2846&lt;&gt;"", J2846&lt;&gt;""), HYPERLINK("#'" &amp; C2846 &amp; "'!" &amp; J2846, J2846), "")</f>
        <v/>
      </c>
    </row>
    <row r="2847">
      <c r="B2847" s="21">
        <f>IF(AND(C2847&lt;&gt;"", J2847&lt;&gt;""), HYPERLINK("#'" &amp; C2847 &amp; "'!" &amp; J2847, J2847), "")</f>
        <v/>
      </c>
    </row>
    <row r="2848">
      <c r="B2848" s="21">
        <f>IF(AND(C2848&lt;&gt;"", J2848&lt;&gt;""), HYPERLINK("#'" &amp; C2848 &amp; "'!" &amp; J2848, J2848), "")</f>
        <v/>
      </c>
    </row>
    <row r="2849">
      <c r="B2849" s="21">
        <f>IF(AND(C2849&lt;&gt;"", J2849&lt;&gt;""), HYPERLINK("#'" &amp; C2849 &amp; "'!" &amp; J2849, J2849), "")</f>
        <v/>
      </c>
    </row>
    <row r="2850">
      <c r="B2850" s="21">
        <f>IF(AND(C2850&lt;&gt;"", J2850&lt;&gt;""), HYPERLINK("#'" &amp; C2850 &amp; "'!" &amp; J2850, J2850), "")</f>
        <v/>
      </c>
    </row>
    <row r="2851">
      <c r="B2851" s="21">
        <f>IF(AND(C2851&lt;&gt;"", J2851&lt;&gt;""), HYPERLINK("#'" &amp; C2851 &amp; "'!" &amp; J2851, J2851), "")</f>
        <v/>
      </c>
    </row>
    <row r="2852">
      <c r="B2852" s="21">
        <f>IF(AND(C2852&lt;&gt;"", J2852&lt;&gt;""), HYPERLINK("#'" &amp; C2852 &amp; "'!" &amp; J2852, J2852), "")</f>
        <v/>
      </c>
    </row>
    <row r="2853">
      <c r="B2853" s="21">
        <f>IF(AND(C2853&lt;&gt;"", J2853&lt;&gt;""), HYPERLINK("#'" &amp; C2853 &amp; "'!" &amp; J2853, J2853), "")</f>
        <v/>
      </c>
    </row>
    <row r="2854">
      <c r="B2854" s="21">
        <f>IF(AND(C2854&lt;&gt;"", J2854&lt;&gt;""), HYPERLINK("#'" &amp; C2854 &amp; "'!" &amp; J2854, J2854), "")</f>
        <v/>
      </c>
    </row>
    <row r="2855">
      <c r="B2855" s="21">
        <f>IF(AND(C2855&lt;&gt;"", J2855&lt;&gt;""), HYPERLINK("#'" &amp; C2855 &amp; "'!" &amp; J2855, J2855), "")</f>
        <v/>
      </c>
    </row>
    <row r="2856">
      <c r="B2856" s="21">
        <f>IF(AND(C2856&lt;&gt;"", J2856&lt;&gt;""), HYPERLINK("#'" &amp; C2856 &amp; "'!" &amp; J2856, J2856), "")</f>
        <v/>
      </c>
    </row>
    <row r="2857">
      <c r="B2857" s="21">
        <f>IF(AND(C2857&lt;&gt;"", J2857&lt;&gt;""), HYPERLINK("#'" &amp; C2857 &amp; "'!" &amp; J2857, J2857), "")</f>
        <v/>
      </c>
    </row>
    <row r="2858">
      <c r="B2858" s="21">
        <f>IF(AND(C2858&lt;&gt;"", J2858&lt;&gt;""), HYPERLINK("#'" &amp; C2858 &amp; "'!" &amp; J2858, J2858), "")</f>
        <v/>
      </c>
    </row>
    <row r="2859">
      <c r="B2859" s="21">
        <f>IF(AND(C2859&lt;&gt;"", J2859&lt;&gt;""), HYPERLINK("#'" &amp; C2859 &amp; "'!" &amp; J2859, J2859), "")</f>
        <v/>
      </c>
    </row>
    <row r="2860">
      <c r="B2860" s="21">
        <f>IF(AND(C2860&lt;&gt;"", J2860&lt;&gt;""), HYPERLINK("#'" &amp; C2860 &amp; "'!" &amp; J2860, J2860), "")</f>
        <v/>
      </c>
    </row>
    <row r="2861">
      <c r="B2861" s="21">
        <f>IF(AND(C2861&lt;&gt;"", J2861&lt;&gt;""), HYPERLINK("#'" &amp; C2861 &amp; "'!" &amp; J2861, J2861), "")</f>
        <v/>
      </c>
    </row>
    <row r="2862">
      <c r="B2862" s="21">
        <f>IF(AND(C2862&lt;&gt;"", J2862&lt;&gt;""), HYPERLINK("#'" &amp; C2862 &amp; "'!" &amp; J2862, J2862), "")</f>
        <v/>
      </c>
    </row>
    <row r="2863">
      <c r="B2863" s="21">
        <f>IF(AND(C2863&lt;&gt;"", J2863&lt;&gt;""), HYPERLINK("#'" &amp; C2863 &amp; "'!" &amp; J2863, J2863), "")</f>
        <v/>
      </c>
    </row>
    <row r="2864">
      <c r="B2864" s="21">
        <f>IF(AND(C2864&lt;&gt;"", J2864&lt;&gt;""), HYPERLINK("#'" &amp; C2864 &amp; "'!" &amp; J2864, J2864), "")</f>
        <v/>
      </c>
    </row>
    <row r="2865">
      <c r="B2865" s="21">
        <f>IF(AND(C2865&lt;&gt;"", J2865&lt;&gt;""), HYPERLINK("#'" &amp; C2865 &amp; "'!" &amp; J2865, J2865), "")</f>
        <v/>
      </c>
    </row>
    <row r="2866">
      <c r="B2866" s="21">
        <f>IF(AND(C2866&lt;&gt;"", J2866&lt;&gt;""), HYPERLINK("#'" &amp; C2866 &amp; "'!" &amp; J2866, J2866), "")</f>
        <v/>
      </c>
    </row>
    <row r="2867">
      <c r="B2867" s="21">
        <f>IF(AND(C2867&lt;&gt;"", J2867&lt;&gt;""), HYPERLINK("#'" &amp; C2867 &amp; "'!" &amp; J2867, J2867), "")</f>
        <v/>
      </c>
    </row>
    <row r="2868">
      <c r="B2868" s="21">
        <f>IF(AND(C2868&lt;&gt;"", J2868&lt;&gt;""), HYPERLINK("#'" &amp; C2868 &amp; "'!" &amp; J2868, J2868), "")</f>
        <v/>
      </c>
    </row>
    <row r="2869">
      <c r="B2869" s="21">
        <f>IF(AND(C2869&lt;&gt;"", J2869&lt;&gt;""), HYPERLINK("#'" &amp; C2869 &amp; "'!" &amp; J2869, J2869), "")</f>
        <v/>
      </c>
    </row>
    <row r="2870">
      <c r="B2870" s="21">
        <f>IF(AND(C2870&lt;&gt;"", J2870&lt;&gt;""), HYPERLINK("#'" &amp; C2870 &amp; "'!" &amp; J2870, J2870), "")</f>
        <v/>
      </c>
    </row>
    <row r="2871">
      <c r="B2871" s="21">
        <f>IF(AND(C2871&lt;&gt;"", J2871&lt;&gt;""), HYPERLINK("#'" &amp; C2871 &amp; "'!" &amp; J2871, J2871), "")</f>
        <v/>
      </c>
    </row>
    <row r="2872">
      <c r="B2872" s="21">
        <f>IF(AND(C2872&lt;&gt;"", J2872&lt;&gt;""), HYPERLINK("#'" &amp; C2872 &amp; "'!" &amp; J2872, J2872), "")</f>
        <v/>
      </c>
    </row>
    <row r="2873">
      <c r="B2873" s="21">
        <f>IF(AND(C2873&lt;&gt;"", J2873&lt;&gt;""), HYPERLINK("#'" &amp; C2873 &amp; "'!" &amp; J2873, J2873), "")</f>
        <v/>
      </c>
    </row>
    <row r="2874">
      <c r="B2874" s="21">
        <f>IF(AND(C2874&lt;&gt;"", J2874&lt;&gt;""), HYPERLINK("#'" &amp; C2874 &amp; "'!" &amp; J2874, J2874), "")</f>
        <v/>
      </c>
    </row>
    <row r="2875">
      <c r="B2875" s="21">
        <f>IF(AND(C2875&lt;&gt;"", J2875&lt;&gt;""), HYPERLINK("#'" &amp; C2875 &amp; "'!" &amp; J2875, J2875), "")</f>
        <v/>
      </c>
    </row>
    <row r="2876">
      <c r="B2876" s="21">
        <f>IF(AND(C2876&lt;&gt;"", J2876&lt;&gt;""), HYPERLINK("#'" &amp; C2876 &amp; "'!" &amp; J2876, J2876), "")</f>
        <v/>
      </c>
    </row>
    <row r="2877">
      <c r="B2877" s="21">
        <f>IF(AND(C2877&lt;&gt;"", J2877&lt;&gt;""), HYPERLINK("#'" &amp; C2877 &amp; "'!" &amp; J2877, J2877), "")</f>
        <v/>
      </c>
    </row>
    <row r="2878">
      <c r="B2878" s="21">
        <f>IF(AND(C2878&lt;&gt;"", J2878&lt;&gt;""), HYPERLINK("#'" &amp; C2878 &amp; "'!" &amp; J2878, J2878), "")</f>
        <v/>
      </c>
    </row>
    <row r="2879">
      <c r="B2879" s="21">
        <f>IF(AND(C2879&lt;&gt;"", J2879&lt;&gt;""), HYPERLINK("#'" &amp; C2879 &amp; "'!" &amp; J2879, J2879), "")</f>
        <v/>
      </c>
    </row>
    <row r="2880">
      <c r="B2880" s="21">
        <f>IF(AND(C2880&lt;&gt;"", J2880&lt;&gt;""), HYPERLINK("#'" &amp; C2880 &amp; "'!" &amp; J2880, J2880), "")</f>
        <v/>
      </c>
    </row>
    <row r="2881">
      <c r="B2881" s="21">
        <f>IF(AND(C2881&lt;&gt;"", J2881&lt;&gt;""), HYPERLINK("#'" &amp; C2881 &amp; "'!" &amp; J2881, J2881), "")</f>
        <v/>
      </c>
    </row>
    <row r="2882">
      <c r="B2882" s="21">
        <f>IF(AND(C2882&lt;&gt;"", J2882&lt;&gt;""), HYPERLINK("#'" &amp; C2882 &amp; "'!" &amp; J2882, J2882), "")</f>
        <v/>
      </c>
    </row>
    <row r="2883">
      <c r="B2883" s="21">
        <f>IF(AND(C2883&lt;&gt;"", J2883&lt;&gt;""), HYPERLINK("#'" &amp; C2883 &amp; "'!" &amp; J2883, J2883), "")</f>
        <v/>
      </c>
    </row>
    <row r="2884">
      <c r="B2884" s="21">
        <f>IF(AND(C2884&lt;&gt;"", J2884&lt;&gt;""), HYPERLINK("#'" &amp; C2884 &amp; "'!" &amp; J2884, J2884), "")</f>
        <v/>
      </c>
    </row>
    <row r="2885">
      <c r="B2885" s="21">
        <f>IF(AND(C2885&lt;&gt;"", J2885&lt;&gt;""), HYPERLINK("#'" &amp; C2885 &amp; "'!" &amp; J2885, J2885), "")</f>
        <v/>
      </c>
    </row>
    <row r="2886">
      <c r="B2886" s="21">
        <f>IF(AND(C2886&lt;&gt;"", J2886&lt;&gt;""), HYPERLINK("#'" &amp; C2886 &amp; "'!" &amp; J2886, J2886), "")</f>
        <v/>
      </c>
    </row>
    <row r="2887">
      <c r="B2887" s="21">
        <f>IF(AND(C2887&lt;&gt;"", J2887&lt;&gt;""), HYPERLINK("#'" &amp; C2887 &amp; "'!" &amp; J2887, J2887), "")</f>
        <v/>
      </c>
    </row>
    <row r="2888">
      <c r="B2888" s="21">
        <f>IF(AND(C2888&lt;&gt;"", J2888&lt;&gt;""), HYPERLINK("#'" &amp; C2888 &amp; "'!" &amp; J2888, J2888), "")</f>
        <v/>
      </c>
    </row>
    <row r="2889">
      <c r="B2889" s="21">
        <f>IF(AND(C2889&lt;&gt;"", J2889&lt;&gt;""), HYPERLINK("#'" &amp; C2889 &amp; "'!" &amp; J2889, J2889), "")</f>
        <v/>
      </c>
    </row>
    <row r="2890">
      <c r="B2890" s="21">
        <f>IF(AND(C2890&lt;&gt;"", J2890&lt;&gt;""), HYPERLINK("#'" &amp; C2890 &amp; "'!" &amp; J2890, J2890), "")</f>
        <v/>
      </c>
    </row>
    <row r="2891">
      <c r="B2891" s="21">
        <f>IF(AND(C2891&lt;&gt;"", J2891&lt;&gt;""), HYPERLINK("#'" &amp; C2891 &amp; "'!" &amp; J2891, J2891), "")</f>
        <v/>
      </c>
    </row>
    <row r="2892">
      <c r="B2892" s="21">
        <f>IF(AND(C2892&lt;&gt;"", J2892&lt;&gt;""), HYPERLINK("#'" &amp; C2892 &amp; "'!" &amp; J2892, J2892), "")</f>
        <v/>
      </c>
    </row>
    <row r="2893">
      <c r="B2893" s="21">
        <f>IF(AND(C2893&lt;&gt;"", J2893&lt;&gt;""), HYPERLINK("#'" &amp; C2893 &amp; "'!" &amp; J2893, J2893), "")</f>
        <v/>
      </c>
    </row>
    <row r="2894">
      <c r="B2894" s="21">
        <f>IF(AND(C2894&lt;&gt;"", J2894&lt;&gt;""), HYPERLINK("#'" &amp; C2894 &amp; "'!" &amp; J2894, J2894), "")</f>
        <v/>
      </c>
    </row>
    <row r="2895">
      <c r="B2895" s="21">
        <f>IF(AND(C2895&lt;&gt;"", J2895&lt;&gt;""), HYPERLINK("#'" &amp; C2895 &amp; "'!" &amp; J2895, J2895), "")</f>
        <v/>
      </c>
    </row>
    <row r="2896">
      <c r="B2896" s="21">
        <f>IF(AND(C2896&lt;&gt;"", J2896&lt;&gt;""), HYPERLINK("#'" &amp; C2896 &amp; "'!" &amp; J2896, J2896), "")</f>
        <v/>
      </c>
    </row>
    <row r="2897">
      <c r="B2897" s="21">
        <f>IF(AND(C2897&lt;&gt;"", J2897&lt;&gt;""), HYPERLINK("#'" &amp; C2897 &amp; "'!" &amp; J2897, J2897), "")</f>
        <v/>
      </c>
    </row>
    <row r="2898">
      <c r="B2898" s="21">
        <f>IF(AND(C2898&lt;&gt;"", J2898&lt;&gt;""), HYPERLINK("#'" &amp; C2898 &amp; "'!" &amp; J2898, J2898), "")</f>
        <v/>
      </c>
    </row>
    <row r="2899">
      <c r="B2899" s="21">
        <f>IF(AND(C2899&lt;&gt;"", J2899&lt;&gt;""), HYPERLINK("#'" &amp; C2899 &amp; "'!" &amp; J2899, J2899), "")</f>
        <v/>
      </c>
    </row>
    <row r="2900">
      <c r="B2900" s="21">
        <f>IF(AND(C2900&lt;&gt;"", J2900&lt;&gt;""), HYPERLINK("#'" &amp; C2900 &amp; "'!" &amp; J2900, J2900), "")</f>
        <v/>
      </c>
    </row>
    <row r="2901">
      <c r="B2901" s="21">
        <f>IF(AND(C2901&lt;&gt;"", J2901&lt;&gt;""), HYPERLINK("#'" &amp; C2901 &amp; "'!" &amp; J2901, J2901), "")</f>
        <v/>
      </c>
    </row>
    <row r="2902">
      <c r="B2902" s="21">
        <f>IF(AND(C2902&lt;&gt;"", J2902&lt;&gt;""), HYPERLINK("#'" &amp; C2902 &amp; "'!" &amp; J2902, J2902), "")</f>
        <v/>
      </c>
    </row>
    <row r="2903">
      <c r="B2903" s="21">
        <f>IF(AND(C2903&lt;&gt;"", J2903&lt;&gt;""), HYPERLINK("#'" &amp; C2903 &amp; "'!" &amp; J2903, J2903), "")</f>
        <v/>
      </c>
    </row>
    <row r="2904">
      <c r="B2904" s="21">
        <f>IF(AND(C2904&lt;&gt;"", J2904&lt;&gt;""), HYPERLINK("#'" &amp; C2904 &amp; "'!" &amp; J2904, J2904), "")</f>
        <v/>
      </c>
    </row>
    <row r="2905">
      <c r="B2905" s="21">
        <f>IF(AND(C2905&lt;&gt;"", J2905&lt;&gt;""), HYPERLINK("#'" &amp; C2905 &amp; "'!" &amp; J2905, J2905), "")</f>
        <v/>
      </c>
    </row>
    <row r="2906">
      <c r="B2906" s="21">
        <f>IF(AND(C2906&lt;&gt;"", J2906&lt;&gt;""), HYPERLINK("#'" &amp; C2906 &amp; "'!" &amp; J2906, J2906), "")</f>
        <v/>
      </c>
    </row>
    <row r="2907">
      <c r="B2907" s="21">
        <f>IF(AND(C2907&lt;&gt;"", J2907&lt;&gt;""), HYPERLINK("#'" &amp; C2907 &amp; "'!" &amp; J2907, J2907), "")</f>
        <v/>
      </c>
    </row>
    <row r="2908">
      <c r="B2908" s="21">
        <f>IF(AND(C2908&lt;&gt;"", J2908&lt;&gt;""), HYPERLINK("#'" &amp; C2908 &amp; "'!" &amp; J2908, J2908), "")</f>
        <v/>
      </c>
    </row>
    <row r="2909">
      <c r="B2909" s="21">
        <f>IF(AND(C2909&lt;&gt;"", J2909&lt;&gt;""), HYPERLINK("#'" &amp; C2909 &amp; "'!" &amp; J2909, J2909), "")</f>
        <v/>
      </c>
    </row>
    <row r="2910">
      <c r="B2910" s="21">
        <f>IF(AND(C2910&lt;&gt;"", J2910&lt;&gt;""), HYPERLINK("#'" &amp; C2910 &amp; "'!" &amp; J2910, J2910), "")</f>
        <v/>
      </c>
    </row>
    <row r="2911">
      <c r="B2911" s="21">
        <f>IF(AND(C2911&lt;&gt;"", J2911&lt;&gt;""), HYPERLINK("#'" &amp; C2911 &amp; "'!" &amp; J2911, J2911), "")</f>
        <v/>
      </c>
    </row>
    <row r="2912">
      <c r="B2912" s="21">
        <f>IF(AND(C2912&lt;&gt;"", J2912&lt;&gt;""), HYPERLINK("#'" &amp; C2912 &amp; "'!" &amp; J2912, J2912), "")</f>
        <v/>
      </c>
    </row>
    <row r="2913">
      <c r="B2913" s="21">
        <f>IF(AND(C2913&lt;&gt;"", J2913&lt;&gt;""), HYPERLINK("#'" &amp; C2913 &amp; "'!" &amp; J2913, J2913), "")</f>
        <v/>
      </c>
    </row>
    <row r="2914">
      <c r="B2914" s="21">
        <f>IF(AND(C2914&lt;&gt;"", J2914&lt;&gt;""), HYPERLINK("#'" &amp; C2914 &amp; "'!" &amp; J2914, J2914), "")</f>
        <v/>
      </c>
    </row>
    <row r="2915">
      <c r="B2915" s="21">
        <f>IF(AND(C2915&lt;&gt;"", J2915&lt;&gt;""), HYPERLINK("#'" &amp; C2915 &amp; "'!" &amp; J2915, J2915), "")</f>
        <v/>
      </c>
    </row>
    <row r="2916">
      <c r="B2916" s="21">
        <f>IF(AND(C2916&lt;&gt;"", J2916&lt;&gt;""), HYPERLINK("#'" &amp; C2916 &amp; "'!" &amp; J2916, J2916), "")</f>
        <v/>
      </c>
    </row>
    <row r="2917">
      <c r="B2917" s="21">
        <f>IF(AND(C2917&lt;&gt;"", J2917&lt;&gt;""), HYPERLINK("#'" &amp; C2917 &amp; "'!" &amp; J2917, J2917), "")</f>
        <v/>
      </c>
    </row>
    <row r="2918">
      <c r="B2918" s="21">
        <f>IF(AND(C2918&lt;&gt;"", J2918&lt;&gt;""), HYPERLINK("#'" &amp; C2918 &amp; "'!" &amp; J2918, J2918), "")</f>
        <v/>
      </c>
    </row>
    <row r="2919">
      <c r="B2919" s="21">
        <f>IF(AND(C2919&lt;&gt;"", J2919&lt;&gt;""), HYPERLINK("#'" &amp; C2919 &amp; "'!" &amp; J2919, J2919), "")</f>
        <v/>
      </c>
    </row>
    <row r="2920">
      <c r="B2920" s="21">
        <f>IF(AND(C2920&lt;&gt;"", J2920&lt;&gt;""), HYPERLINK("#'" &amp; C2920 &amp; "'!" &amp; J2920, J2920), "")</f>
        <v/>
      </c>
    </row>
    <row r="2921">
      <c r="B2921" s="21">
        <f>IF(AND(C2921&lt;&gt;"", J2921&lt;&gt;""), HYPERLINK("#'" &amp; C2921 &amp; "'!" &amp; J2921, J2921), "")</f>
        <v/>
      </c>
    </row>
    <row r="2922">
      <c r="B2922" s="21">
        <f>IF(AND(C2922&lt;&gt;"", J2922&lt;&gt;""), HYPERLINK("#'" &amp; C2922 &amp; "'!" &amp; J2922, J2922), "")</f>
        <v/>
      </c>
    </row>
    <row r="2923">
      <c r="B2923" s="21">
        <f>IF(AND(C2923&lt;&gt;"", J2923&lt;&gt;""), HYPERLINK("#'" &amp; C2923 &amp; "'!" &amp; J2923, J2923), "")</f>
        <v/>
      </c>
    </row>
    <row r="2924">
      <c r="B2924" s="21">
        <f>IF(AND(C2924&lt;&gt;"", J2924&lt;&gt;""), HYPERLINK("#'" &amp; C2924 &amp; "'!" &amp; J2924, J2924), "")</f>
        <v/>
      </c>
    </row>
    <row r="2925">
      <c r="B2925" s="21">
        <f>IF(AND(C2925&lt;&gt;"", J2925&lt;&gt;""), HYPERLINK("#'" &amp; C2925 &amp; "'!" &amp; J2925, J2925), "")</f>
        <v/>
      </c>
    </row>
    <row r="2926">
      <c r="B2926" s="21">
        <f>IF(AND(C2926&lt;&gt;"", J2926&lt;&gt;""), HYPERLINK("#'" &amp; C2926 &amp; "'!" &amp; J2926, J2926), "")</f>
        <v/>
      </c>
    </row>
    <row r="2927">
      <c r="B2927" s="21">
        <f>IF(AND(C2927&lt;&gt;"", J2927&lt;&gt;""), HYPERLINK("#'" &amp; C2927 &amp; "'!" &amp; J2927, J2927), "")</f>
        <v/>
      </c>
    </row>
    <row r="2928">
      <c r="B2928" s="21">
        <f>IF(AND(C2928&lt;&gt;"", J2928&lt;&gt;""), HYPERLINK("#'" &amp; C2928 &amp; "'!" &amp; J2928, J2928), "")</f>
        <v/>
      </c>
    </row>
    <row r="2929">
      <c r="B2929" s="21">
        <f>IF(AND(C2929&lt;&gt;"", J2929&lt;&gt;""), HYPERLINK("#'" &amp; C2929 &amp; "'!" &amp; J2929, J2929), "")</f>
        <v/>
      </c>
    </row>
    <row r="2930">
      <c r="B2930" s="21">
        <f>IF(AND(C2930&lt;&gt;"", J2930&lt;&gt;""), HYPERLINK("#'" &amp; C2930 &amp; "'!" &amp; J2930, J2930), "")</f>
        <v/>
      </c>
    </row>
    <row r="2931">
      <c r="B2931" s="21">
        <f>IF(AND(C2931&lt;&gt;"", J2931&lt;&gt;""), HYPERLINK("#'" &amp; C2931 &amp; "'!" &amp; J2931, J2931), "")</f>
        <v/>
      </c>
    </row>
    <row r="2932">
      <c r="B2932" s="21">
        <f>IF(AND(C2932&lt;&gt;"", J2932&lt;&gt;""), HYPERLINK("#'" &amp; C2932 &amp; "'!" &amp; J2932, J2932), "")</f>
        <v/>
      </c>
    </row>
    <row r="2933">
      <c r="B2933" s="21">
        <f>IF(AND(C2933&lt;&gt;"", J2933&lt;&gt;""), HYPERLINK("#'" &amp; C2933 &amp; "'!" &amp; J2933, J2933), "")</f>
        <v/>
      </c>
    </row>
    <row r="2934">
      <c r="B2934" s="21">
        <f>IF(AND(C2934&lt;&gt;"", J2934&lt;&gt;""), HYPERLINK("#'" &amp; C2934 &amp; "'!" &amp; J2934, J2934), "")</f>
        <v/>
      </c>
    </row>
    <row r="2935">
      <c r="B2935" s="21">
        <f>IF(AND(C2935&lt;&gt;"", J2935&lt;&gt;""), HYPERLINK("#'" &amp; C2935 &amp; "'!" &amp; J2935, J2935), "")</f>
        <v/>
      </c>
    </row>
    <row r="2936">
      <c r="B2936" s="21">
        <f>IF(AND(C2936&lt;&gt;"", J2936&lt;&gt;""), HYPERLINK("#'" &amp; C2936 &amp; "'!" &amp; J2936, J2936), "")</f>
        <v/>
      </c>
    </row>
    <row r="2937">
      <c r="B2937" s="21">
        <f>IF(AND(C2937&lt;&gt;"", J2937&lt;&gt;""), HYPERLINK("#'" &amp; C2937 &amp; "'!" &amp; J2937, J2937), "")</f>
        <v/>
      </c>
    </row>
    <row r="2938">
      <c r="B2938" s="21">
        <f>IF(AND(C2938&lt;&gt;"", J2938&lt;&gt;""), HYPERLINK("#'" &amp; C2938 &amp; "'!" &amp; J2938, J2938), "")</f>
        <v/>
      </c>
    </row>
    <row r="2939">
      <c r="B2939" s="21">
        <f>IF(AND(C2939&lt;&gt;"", J2939&lt;&gt;""), HYPERLINK("#'" &amp; C2939 &amp; "'!" &amp; J2939, J2939), "")</f>
        <v/>
      </c>
    </row>
    <row r="2940">
      <c r="B2940" s="21">
        <f>IF(AND(C2940&lt;&gt;"", J2940&lt;&gt;""), HYPERLINK("#'" &amp; C2940 &amp; "'!" &amp; J2940, J2940), "")</f>
        <v/>
      </c>
    </row>
    <row r="2941">
      <c r="B2941" s="21">
        <f>IF(AND(C2941&lt;&gt;"", J2941&lt;&gt;""), HYPERLINK("#'" &amp; C2941 &amp; "'!" &amp; J2941, J2941), "")</f>
        <v/>
      </c>
    </row>
    <row r="2942">
      <c r="B2942" s="21">
        <f>IF(AND(C2942&lt;&gt;"", J2942&lt;&gt;""), HYPERLINK("#'" &amp; C2942 &amp; "'!" &amp; J2942, J2942), "")</f>
        <v/>
      </c>
    </row>
    <row r="2943">
      <c r="B2943" s="21">
        <f>IF(AND(C2943&lt;&gt;"", J2943&lt;&gt;""), HYPERLINK("#'" &amp; C2943 &amp; "'!" &amp; J2943, J2943), "")</f>
        <v/>
      </c>
    </row>
    <row r="2944">
      <c r="B2944" s="21">
        <f>IF(AND(C2944&lt;&gt;"", J2944&lt;&gt;""), HYPERLINK("#'" &amp; C2944 &amp; "'!" &amp; J2944, J2944), "")</f>
        <v/>
      </c>
    </row>
    <row r="2945">
      <c r="B2945" s="21">
        <f>IF(AND(C2945&lt;&gt;"", J2945&lt;&gt;""), HYPERLINK("#'" &amp; C2945 &amp; "'!" &amp; J2945, J2945), "")</f>
        <v/>
      </c>
    </row>
    <row r="2946">
      <c r="B2946" s="21">
        <f>IF(AND(C2946&lt;&gt;"", J2946&lt;&gt;""), HYPERLINK("#'" &amp; C2946 &amp; "'!" &amp; J2946, J2946), "")</f>
        <v/>
      </c>
    </row>
    <row r="2947">
      <c r="B2947" s="21">
        <f>IF(AND(C2947&lt;&gt;"", J2947&lt;&gt;""), HYPERLINK("#'" &amp; C2947 &amp; "'!" &amp; J2947, J2947), "")</f>
        <v/>
      </c>
    </row>
    <row r="2948">
      <c r="B2948" s="21">
        <f>IF(AND(C2948&lt;&gt;"", J2948&lt;&gt;""), HYPERLINK("#'" &amp; C2948 &amp; "'!" &amp; J2948, J2948), "")</f>
        <v/>
      </c>
    </row>
    <row r="2949">
      <c r="B2949" s="21">
        <f>IF(AND(C2949&lt;&gt;"", J2949&lt;&gt;""), HYPERLINK("#'" &amp; C2949 &amp; "'!" &amp; J2949, J2949), "")</f>
        <v/>
      </c>
    </row>
    <row r="2950">
      <c r="B2950" s="21">
        <f>IF(AND(C2950&lt;&gt;"", J2950&lt;&gt;""), HYPERLINK("#'" &amp; C2950 &amp; "'!" &amp; J2950, J2950), "")</f>
        <v/>
      </c>
    </row>
    <row r="2951">
      <c r="B2951" s="21">
        <f>IF(AND(C2951&lt;&gt;"", J2951&lt;&gt;""), HYPERLINK("#'" &amp; C2951 &amp; "'!" &amp; J2951, J2951), "")</f>
        <v/>
      </c>
    </row>
    <row r="2952">
      <c r="B2952" s="21">
        <f>IF(AND(C2952&lt;&gt;"", J2952&lt;&gt;""), HYPERLINK("#'" &amp; C2952 &amp; "'!" &amp; J2952, J2952), "")</f>
        <v/>
      </c>
    </row>
    <row r="2953">
      <c r="B2953" s="21">
        <f>IF(AND(C2953&lt;&gt;"", J2953&lt;&gt;""), HYPERLINK("#'" &amp; C2953 &amp; "'!" &amp; J2953, J2953), "")</f>
        <v/>
      </c>
    </row>
    <row r="2954">
      <c r="B2954" s="21">
        <f>IF(AND(C2954&lt;&gt;"", J2954&lt;&gt;""), HYPERLINK("#'" &amp; C2954 &amp; "'!" &amp; J2954, J2954), "")</f>
        <v/>
      </c>
    </row>
    <row r="2955">
      <c r="B2955" s="21">
        <f>IF(AND(C2955&lt;&gt;"", J2955&lt;&gt;""), HYPERLINK("#'" &amp; C2955 &amp; "'!" &amp; J2955, J2955), "")</f>
        <v/>
      </c>
    </row>
    <row r="2956">
      <c r="B2956" s="21">
        <f>IF(AND(C2956&lt;&gt;"", J2956&lt;&gt;""), HYPERLINK("#'" &amp; C2956 &amp; "'!" &amp; J2956, J2956), "")</f>
        <v/>
      </c>
    </row>
    <row r="2957">
      <c r="B2957" s="21">
        <f>IF(AND(C2957&lt;&gt;"", J2957&lt;&gt;""), HYPERLINK("#'" &amp; C2957 &amp; "'!" &amp; J2957, J2957), "")</f>
        <v/>
      </c>
    </row>
    <row r="2958">
      <c r="B2958" s="21">
        <f>IF(AND(C2958&lt;&gt;"", J2958&lt;&gt;""), HYPERLINK("#'" &amp; C2958 &amp; "'!" &amp; J2958, J2958), "")</f>
        <v/>
      </c>
    </row>
    <row r="2959">
      <c r="B2959" s="21">
        <f>IF(AND(C2959&lt;&gt;"", J2959&lt;&gt;""), HYPERLINK("#'" &amp; C2959 &amp; "'!" &amp; J2959, J2959), "")</f>
        <v/>
      </c>
    </row>
    <row r="2960">
      <c r="B2960" s="21">
        <f>IF(AND(C2960&lt;&gt;"", J2960&lt;&gt;""), HYPERLINK("#'" &amp; C2960 &amp; "'!" &amp; J2960, J2960), "")</f>
        <v/>
      </c>
    </row>
    <row r="2961">
      <c r="B2961" s="21">
        <f>IF(AND(C2961&lt;&gt;"", J2961&lt;&gt;""), HYPERLINK("#'" &amp; C2961 &amp; "'!" &amp; J2961, J2961), "")</f>
        <v/>
      </c>
    </row>
    <row r="2962">
      <c r="B2962" s="21">
        <f>IF(AND(C2962&lt;&gt;"", J2962&lt;&gt;""), HYPERLINK("#'" &amp; C2962 &amp; "'!" &amp; J2962, J2962), "")</f>
        <v/>
      </c>
    </row>
    <row r="2963">
      <c r="B2963" s="21">
        <f>IF(AND(C2963&lt;&gt;"", J2963&lt;&gt;""), HYPERLINK("#'" &amp; C2963 &amp; "'!" &amp; J2963, J2963), "")</f>
        <v/>
      </c>
    </row>
    <row r="2964">
      <c r="B2964" s="21">
        <f>IF(AND(C2964&lt;&gt;"", J2964&lt;&gt;""), HYPERLINK("#'" &amp; C2964 &amp; "'!" &amp; J2964, J2964), "")</f>
        <v/>
      </c>
    </row>
    <row r="2965">
      <c r="B2965" s="21">
        <f>IF(AND(C2965&lt;&gt;"", J2965&lt;&gt;""), HYPERLINK("#'" &amp; C2965 &amp; "'!" &amp; J2965, J2965), "")</f>
        <v/>
      </c>
    </row>
    <row r="2966">
      <c r="B2966" s="21">
        <f>IF(AND(C2966&lt;&gt;"", J2966&lt;&gt;""), HYPERLINK("#'" &amp; C2966 &amp; "'!" &amp; J2966, J2966), "")</f>
        <v/>
      </c>
    </row>
    <row r="2967">
      <c r="B2967" s="21">
        <f>IF(AND(C2967&lt;&gt;"", J2967&lt;&gt;""), HYPERLINK("#'" &amp; C2967 &amp; "'!" &amp; J2967, J2967), "")</f>
        <v/>
      </c>
    </row>
    <row r="2968">
      <c r="B2968" s="21">
        <f>IF(AND(C2968&lt;&gt;"", J2968&lt;&gt;""), HYPERLINK("#'" &amp; C2968 &amp; "'!" &amp; J2968, J2968), "")</f>
        <v/>
      </c>
    </row>
    <row r="2969">
      <c r="B2969" s="21">
        <f>IF(AND(C2969&lt;&gt;"", J2969&lt;&gt;""), HYPERLINK("#'" &amp; C2969 &amp; "'!" &amp; J2969, J2969), "")</f>
        <v/>
      </c>
    </row>
    <row r="2970">
      <c r="B2970" s="21">
        <f>IF(AND(C2970&lt;&gt;"", J2970&lt;&gt;""), HYPERLINK("#'" &amp; C2970 &amp; "'!" &amp; J2970, J2970), "")</f>
        <v/>
      </c>
    </row>
    <row r="2971">
      <c r="B2971" s="21">
        <f>IF(AND(C2971&lt;&gt;"", J2971&lt;&gt;""), HYPERLINK("#'" &amp; C2971 &amp; "'!" &amp; J2971, J2971), "")</f>
        <v/>
      </c>
    </row>
    <row r="2972">
      <c r="B2972" s="21">
        <f>IF(AND(C2972&lt;&gt;"", J2972&lt;&gt;""), HYPERLINK("#'" &amp; C2972 &amp; "'!" &amp; J2972, J2972), "")</f>
        <v/>
      </c>
    </row>
    <row r="2973">
      <c r="B2973" s="21">
        <f>IF(AND(C2973&lt;&gt;"", J2973&lt;&gt;""), HYPERLINK("#'" &amp; C2973 &amp; "'!" &amp; J2973, J2973), "")</f>
        <v/>
      </c>
    </row>
    <row r="2974">
      <c r="B2974" s="21">
        <f>IF(AND(C2974&lt;&gt;"", J2974&lt;&gt;""), HYPERLINK("#'" &amp; C2974 &amp; "'!" &amp; J2974, J2974), "")</f>
        <v/>
      </c>
    </row>
    <row r="2975">
      <c r="B2975" s="21">
        <f>IF(AND(C2975&lt;&gt;"", J2975&lt;&gt;""), HYPERLINK("#'" &amp; C2975 &amp; "'!" &amp; J2975, J2975), "")</f>
        <v/>
      </c>
    </row>
    <row r="2976">
      <c r="B2976" s="21">
        <f>IF(AND(C2976&lt;&gt;"", J2976&lt;&gt;""), HYPERLINK("#'" &amp; C2976 &amp; "'!" &amp; J2976, J2976), "")</f>
        <v/>
      </c>
    </row>
    <row r="2977">
      <c r="B2977" s="21">
        <f>IF(AND(C2977&lt;&gt;"", J2977&lt;&gt;""), HYPERLINK("#'" &amp; C2977 &amp; "'!" &amp; J2977, J2977), "")</f>
        <v/>
      </c>
    </row>
    <row r="2978">
      <c r="B2978" s="21">
        <f>IF(AND(C2978&lt;&gt;"", J2978&lt;&gt;""), HYPERLINK("#'" &amp; C2978 &amp; "'!" &amp; J2978, J2978), "")</f>
        <v/>
      </c>
    </row>
    <row r="2979">
      <c r="B2979" s="21">
        <f>IF(AND(C2979&lt;&gt;"", J2979&lt;&gt;""), HYPERLINK("#'" &amp; C2979 &amp; "'!" &amp; J2979, J2979), "")</f>
        <v/>
      </c>
    </row>
    <row r="2980">
      <c r="B2980" s="21">
        <f>IF(AND(C2980&lt;&gt;"", J2980&lt;&gt;""), HYPERLINK("#'" &amp; C2980 &amp; "'!" &amp; J2980, J2980), "")</f>
        <v/>
      </c>
    </row>
    <row r="2981">
      <c r="B2981" s="21">
        <f>IF(AND(C2981&lt;&gt;"", J2981&lt;&gt;""), HYPERLINK("#'" &amp; C2981 &amp; "'!" &amp; J2981, J2981), "")</f>
        <v/>
      </c>
    </row>
    <row r="2982">
      <c r="B2982" s="21">
        <f>IF(AND(C2982&lt;&gt;"", J2982&lt;&gt;""), HYPERLINK("#'" &amp; C2982 &amp; "'!" &amp; J2982, J2982), "")</f>
        <v/>
      </c>
    </row>
    <row r="2983">
      <c r="B2983" s="21">
        <f>IF(AND(C2983&lt;&gt;"", J2983&lt;&gt;""), HYPERLINK("#'" &amp; C2983 &amp; "'!" &amp; J2983, J2983), "")</f>
        <v/>
      </c>
    </row>
    <row r="2984">
      <c r="B2984" s="21">
        <f>IF(AND(C2984&lt;&gt;"", J2984&lt;&gt;""), HYPERLINK("#'" &amp; C2984 &amp; "'!" &amp; J2984, J2984), "")</f>
        <v/>
      </c>
    </row>
    <row r="2985">
      <c r="B2985" s="21">
        <f>IF(AND(C2985&lt;&gt;"", J2985&lt;&gt;""), HYPERLINK("#'" &amp; C2985 &amp; "'!" &amp; J2985, J2985), "")</f>
        <v/>
      </c>
    </row>
    <row r="2986">
      <c r="B2986" s="21">
        <f>IF(AND(C2986&lt;&gt;"", J2986&lt;&gt;""), HYPERLINK("#'" &amp; C2986 &amp; "'!" &amp; J2986, J2986), "")</f>
        <v/>
      </c>
    </row>
    <row r="2987">
      <c r="B2987" s="21">
        <f>IF(AND(C2987&lt;&gt;"", J2987&lt;&gt;""), HYPERLINK("#'" &amp; C2987 &amp; "'!" &amp; J2987, J2987), "")</f>
        <v/>
      </c>
    </row>
    <row r="2988">
      <c r="B2988" s="21">
        <f>IF(AND(C2988&lt;&gt;"", J2988&lt;&gt;""), HYPERLINK("#'" &amp; C2988 &amp; "'!" &amp; J2988, J2988), "")</f>
        <v/>
      </c>
    </row>
    <row r="2989">
      <c r="B2989" s="21">
        <f>IF(AND(C2989&lt;&gt;"", J2989&lt;&gt;""), HYPERLINK("#'" &amp; C2989 &amp; "'!" &amp; J2989, J2989), "")</f>
        <v/>
      </c>
    </row>
    <row r="2990">
      <c r="B2990" s="21">
        <f>IF(AND(C2990&lt;&gt;"", J2990&lt;&gt;""), HYPERLINK("#'" &amp; C2990 &amp; "'!" &amp; J2990, J2990), "")</f>
        <v/>
      </c>
    </row>
    <row r="2991">
      <c r="B2991" s="21">
        <f>IF(AND(C2991&lt;&gt;"", J2991&lt;&gt;""), HYPERLINK("#'" &amp; C2991 &amp; "'!" &amp; J2991, J2991), "")</f>
        <v/>
      </c>
    </row>
    <row r="2992">
      <c r="B2992" s="21">
        <f>IF(AND(C2992&lt;&gt;"", J2992&lt;&gt;""), HYPERLINK("#'" &amp; C2992 &amp; "'!" &amp; J2992, J2992), "")</f>
        <v/>
      </c>
    </row>
    <row r="2993">
      <c r="B2993" s="21">
        <f>IF(AND(C2993&lt;&gt;"", J2993&lt;&gt;""), HYPERLINK("#'" &amp; C2993 &amp; "'!" &amp; J2993, J2993), "")</f>
        <v/>
      </c>
    </row>
    <row r="2994">
      <c r="B2994" s="21">
        <f>IF(AND(C2994&lt;&gt;"", J2994&lt;&gt;""), HYPERLINK("#'" &amp; C2994 &amp; "'!" &amp; J2994, J2994), "")</f>
        <v/>
      </c>
    </row>
    <row r="2995">
      <c r="B2995" s="21">
        <f>IF(AND(C2995&lt;&gt;"", J2995&lt;&gt;""), HYPERLINK("#'" &amp; C2995 &amp; "'!" &amp; J2995, J2995), "")</f>
        <v/>
      </c>
    </row>
    <row r="2996">
      <c r="B2996" s="21">
        <f>IF(AND(C2996&lt;&gt;"", J2996&lt;&gt;""), HYPERLINK("#'" &amp; C2996 &amp; "'!" &amp; J2996, J2996), "")</f>
        <v/>
      </c>
    </row>
    <row r="2997">
      <c r="B2997" s="21">
        <f>IF(AND(C2997&lt;&gt;"", J2997&lt;&gt;""), HYPERLINK("#'" &amp; C2997 &amp; "'!" &amp; J2997, J2997), "")</f>
        <v/>
      </c>
    </row>
    <row r="2998">
      <c r="B2998" s="21">
        <f>IF(AND(C2998&lt;&gt;"", J2998&lt;&gt;""), HYPERLINK("#'" &amp; C2998 &amp; "'!" &amp; J2998, J2998), "")</f>
        <v/>
      </c>
    </row>
    <row r="2999">
      <c r="B2999" s="21">
        <f>IF(AND(C2999&lt;&gt;"", J2999&lt;&gt;""), HYPERLINK("#'" &amp; C2999 &amp; "'!" &amp; J2999, J2999), "")</f>
        <v/>
      </c>
    </row>
    <row r="3000">
      <c r="B3000" s="21">
        <f>IF(AND(C3000&lt;&gt;"", J3000&lt;&gt;""), HYPERLINK("#'" &amp; C3000 &amp; "'!" &amp; J3000, J3000), "")</f>
        <v/>
      </c>
    </row>
    <row r="3001">
      <c r="B3001" s="21">
        <f>IF(AND(C3001&lt;&gt;"", J3001&lt;&gt;""), HYPERLINK("#'" &amp; C3001 &amp; "'!" &amp; J3001, J3001), "")</f>
        <v/>
      </c>
    </row>
    <row r="3002">
      <c r="B3002" s="21">
        <f>IF(AND(C3002&lt;&gt;"", J3002&lt;&gt;""), HYPERLINK("#'" &amp; C3002 &amp; "'!" &amp; J3002, J3002), "")</f>
        <v/>
      </c>
    </row>
    <row r="3003">
      <c r="B3003" s="21">
        <f>IF(AND(C3003&lt;&gt;"", J3003&lt;&gt;""), HYPERLINK("#'" &amp; C3003 &amp; "'!" &amp; J3003, J3003), "")</f>
        <v/>
      </c>
    </row>
    <row r="3004">
      <c r="B3004" s="21">
        <f>IF(AND(C3004&lt;&gt;"", J3004&lt;&gt;""), HYPERLINK("#'" &amp; C3004 &amp; "'!" &amp; J3004, J3004), "")</f>
        <v/>
      </c>
    </row>
    <row r="3005">
      <c r="B3005" s="21">
        <f>IF(AND(C3005&lt;&gt;"", J3005&lt;&gt;""), HYPERLINK("#'" &amp; C3005 &amp; "'!" &amp; J3005, J3005), "")</f>
        <v/>
      </c>
    </row>
    <row r="3006">
      <c r="B3006" s="21">
        <f>IF(AND(C3006&lt;&gt;"", J3006&lt;&gt;""), HYPERLINK("#'" &amp; C3006 &amp; "'!" &amp; J3006, J3006), "")</f>
        <v/>
      </c>
    </row>
    <row r="3007">
      <c r="B3007" s="21">
        <f>IF(AND(C3007&lt;&gt;"", J3007&lt;&gt;""), HYPERLINK("#'" &amp; C3007 &amp; "'!" &amp; J3007, J3007), "")</f>
        <v/>
      </c>
    </row>
    <row r="3008">
      <c r="B3008" s="21">
        <f>IF(AND(C3008&lt;&gt;"", J3008&lt;&gt;""), HYPERLINK("#'" &amp; C3008 &amp; "'!" &amp; J3008, J3008), "")</f>
        <v/>
      </c>
    </row>
    <row r="3009">
      <c r="B3009" s="21">
        <f>IF(AND(C3009&lt;&gt;"", J3009&lt;&gt;""), HYPERLINK("#'" &amp; C3009 &amp; "'!" &amp; J3009, J3009), "")</f>
        <v/>
      </c>
    </row>
    <row r="3010">
      <c r="B3010" s="21">
        <f>IF(AND(C3010&lt;&gt;"", J3010&lt;&gt;""), HYPERLINK("#'" &amp; C3010 &amp; "'!" &amp; J3010, J3010), "")</f>
        <v/>
      </c>
    </row>
    <row r="3011">
      <c r="B3011" s="21">
        <f>IF(AND(C3011&lt;&gt;"", J3011&lt;&gt;""), HYPERLINK("#'" &amp; C3011 &amp; "'!" &amp; J3011, J3011), "")</f>
        <v/>
      </c>
    </row>
    <row r="3012">
      <c r="B3012" s="21">
        <f>IF(AND(C3012&lt;&gt;"", J3012&lt;&gt;""), HYPERLINK("#'" &amp; C3012 &amp; "'!" &amp; J3012, J3012), "")</f>
        <v/>
      </c>
    </row>
    <row r="3013">
      <c r="B3013" s="21">
        <f>IF(AND(C3013&lt;&gt;"", J3013&lt;&gt;""), HYPERLINK("#'" &amp; C3013 &amp; "'!" &amp; J3013, J3013), "")</f>
        <v/>
      </c>
    </row>
    <row r="3014">
      <c r="B3014" s="21">
        <f>IF(AND(C3014&lt;&gt;"", J3014&lt;&gt;""), HYPERLINK("#'" &amp; C3014 &amp; "'!" &amp; J3014, J3014), "")</f>
        <v/>
      </c>
    </row>
    <row r="3015">
      <c r="B3015" s="21">
        <f>IF(AND(C3015&lt;&gt;"", J3015&lt;&gt;""), HYPERLINK("#'" &amp; C3015 &amp; "'!" &amp; J3015, J3015), "")</f>
        <v/>
      </c>
    </row>
    <row r="3016">
      <c r="B3016" s="21">
        <f>IF(AND(C3016&lt;&gt;"", J3016&lt;&gt;""), HYPERLINK("#'" &amp; C3016 &amp; "'!" &amp; J3016, J3016), "")</f>
        <v/>
      </c>
    </row>
    <row r="3017">
      <c r="B3017" s="21">
        <f>IF(AND(C3017&lt;&gt;"", J3017&lt;&gt;""), HYPERLINK("#'" &amp; C3017 &amp; "'!" &amp; J3017, J3017), "")</f>
        <v/>
      </c>
    </row>
    <row r="3018">
      <c r="B3018" s="21">
        <f>IF(AND(C3018&lt;&gt;"", J3018&lt;&gt;""), HYPERLINK("#'" &amp; C3018 &amp; "'!" &amp; J3018, J3018), "")</f>
        <v/>
      </c>
    </row>
    <row r="3019">
      <c r="B3019" s="21">
        <f>IF(AND(C3019&lt;&gt;"", J3019&lt;&gt;""), HYPERLINK("#'" &amp; C3019 &amp; "'!" &amp; J3019, J3019), "")</f>
        <v/>
      </c>
    </row>
    <row r="3020">
      <c r="B3020" s="21">
        <f>IF(AND(C3020&lt;&gt;"", J3020&lt;&gt;""), HYPERLINK("#'" &amp; C3020 &amp; "'!" &amp; J3020, J3020), "")</f>
        <v/>
      </c>
    </row>
    <row r="3021">
      <c r="B3021" s="21">
        <f>IF(AND(C3021&lt;&gt;"", J3021&lt;&gt;""), HYPERLINK("#'" &amp; C3021 &amp; "'!" &amp; J3021, J3021), "")</f>
        <v/>
      </c>
    </row>
    <row r="3022">
      <c r="B3022" s="21">
        <f>IF(AND(C3022&lt;&gt;"", J3022&lt;&gt;""), HYPERLINK("#'" &amp; C3022 &amp; "'!" &amp; J3022, J3022), "")</f>
        <v/>
      </c>
    </row>
    <row r="3023">
      <c r="B3023" s="21">
        <f>IF(AND(C3023&lt;&gt;"", J3023&lt;&gt;""), HYPERLINK("#'" &amp; C3023 &amp; "'!" &amp; J3023, J3023), "")</f>
        <v/>
      </c>
    </row>
    <row r="3024">
      <c r="B3024" s="21">
        <f>IF(AND(C3024&lt;&gt;"", J3024&lt;&gt;""), HYPERLINK("#'" &amp; C3024 &amp; "'!" &amp; J3024, J3024), "")</f>
        <v/>
      </c>
    </row>
    <row r="3025">
      <c r="B3025" s="21">
        <f>IF(AND(C3025&lt;&gt;"", J3025&lt;&gt;""), HYPERLINK("#'" &amp; C3025 &amp; "'!" &amp; J3025, J3025), "")</f>
        <v/>
      </c>
    </row>
    <row r="3026">
      <c r="B3026" s="21">
        <f>IF(AND(C3026&lt;&gt;"", J3026&lt;&gt;""), HYPERLINK("#'" &amp; C3026 &amp; "'!" &amp; J3026, J3026), "")</f>
        <v/>
      </c>
    </row>
    <row r="3027">
      <c r="B3027" s="21">
        <f>IF(AND(C3027&lt;&gt;"", J3027&lt;&gt;""), HYPERLINK("#'" &amp; C3027 &amp; "'!" &amp; J3027, J3027), "")</f>
        <v/>
      </c>
    </row>
    <row r="3028">
      <c r="B3028" s="21">
        <f>IF(AND(C3028&lt;&gt;"", J3028&lt;&gt;""), HYPERLINK("#'" &amp; C3028 &amp; "'!" &amp; J3028, J3028), "")</f>
        <v/>
      </c>
    </row>
    <row r="3029">
      <c r="B3029" s="21">
        <f>IF(AND(C3029&lt;&gt;"", J3029&lt;&gt;""), HYPERLINK("#'" &amp; C3029 &amp; "'!" &amp; J3029, J3029), "")</f>
        <v/>
      </c>
    </row>
    <row r="3030">
      <c r="B3030" s="21">
        <f>IF(AND(C3030&lt;&gt;"", J3030&lt;&gt;""), HYPERLINK("#'" &amp; C3030 &amp; "'!" &amp; J3030, J3030), "")</f>
        <v/>
      </c>
    </row>
    <row r="3031">
      <c r="B3031" s="21">
        <f>IF(AND(C3031&lt;&gt;"", J3031&lt;&gt;""), HYPERLINK("#'" &amp; C3031 &amp; "'!" &amp; J3031, J3031), "")</f>
        <v/>
      </c>
    </row>
    <row r="3032">
      <c r="B3032" s="21">
        <f>IF(AND(C3032&lt;&gt;"", J3032&lt;&gt;""), HYPERLINK("#'" &amp; C3032 &amp; "'!" &amp; J3032, J3032), "")</f>
        <v/>
      </c>
    </row>
    <row r="3033">
      <c r="B3033" s="21">
        <f>IF(AND(C3033&lt;&gt;"", J3033&lt;&gt;""), HYPERLINK("#'" &amp; C3033 &amp; "'!" &amp; J3033, J3033), "")</f>
        <v/>
      </c>
    </row>
    <row r="3034">
      <c r="B3034" s="21">
        <f>IF(AND(C3034&lt;&gt;"", J3034&lt;&gt;""), HYPERLINK("#'" &amp; C3034 &amp; "'!" &amp; J3034, J3034), "")</f>
        <v/>
      </c>
    </row>
    <row r="3035">
      <c r="B3035" s="21">
        <f>IF(AND(C3035&lt;&gt;"", J3035&lt;&gt;""), HYPERLINK("#'" &amp; C3035 &amp; "'!" &amp; J3035, J3035), "")</f>
        <v/>
      </c>
    </row>
    <row r="3036">
      <c r="B3036" s="21">
        <f>IF(AND(C3036&lt;&gt;"", J3036&lt;&gt;""), HYPERLINK("#'" &amp; C3036 &amp; "'!" &amp; J3036, J3036), "")</f>
        <v/>
      </c>
    </row>
    <row r="3037">
      <c r="B3037" s="21">
        <f>IF(AND(C3037&lt;&gt;"", J3037&lt;&gt;""), HYPERLINK("#'" &amp; C3037 &amp; "'!" &amp; J3037, J3037), "")</f>
        <v/>
      </c>
    </row>
    <row r="3038">
      <c r="B3038" s="21">
        <f>IF(AND(C3038&lt;&gt;"", J3038&lt;&gt;""), HYPERLINK("#'" &amp; C3038 &amp; "'!" &amp; J3038, J3038), "")</f>
        <v/>
      </c>
    </row>
    <row r="3039">
      <c r="B3039" s="21">
        <f>IF(AND(C3039&lt;&gt;"", J3039&lt;&gt;""), HYPERLINK("#'" &amp; C3039 &amp; "'!" &amp; J3039, J3039), "")</f>
        <v/>
      </c>
    </row>
    <row r="3040">
      <c r="B3040" s="21">
        <f>IF(AND(C3040&lt;&gt;"", J3040&lt;&gt;""), HYPERLINK("#'" &amp; C3040 &amp; "'!" &amp; J3040, J3040), "")</f>
        <v/>
      </c>
    </row>
    <row r="3041">
      <c r="B3041" s="21">
        <f>IF(AND(C3041&lt;&gt;"", J3041&lt;&gt;""), HYPERLINK("#'" &amp; C3041 &amp; "'!" &amp; J3041, J3041), "")</f>
        <v/>
      </c>
    </row>
    <row r="3042">
      <c r="B3042" s="21">
        <f>IF(AND(C3042&lt;&gt;"", J3042&lt;&gt;""), HYPERLINK("#'" &amp; C3042 &amp; "'!" &amp; J3042, J3042), "")</f>
        <v/>
      </c>
    </row>
    <row r="3043">
      <c r="B3043" s="21">
        <f>IF(AND(C3043&lt;&gt;"", J3043&lt;&gt;""), HYPERLINK("#'" &amp; C3043 &amp; "'!" &amp; J3043, J3043), "")</f>
        <v/>
      </c>
    </row>
    <row r="3044">
      <c r="B3044" s="21">
        <f>IF(AND(C3044&lt;&gt;"", J3044&lt;&gt;""), HYPERLINK("#'" &amp; C3044 &amp; "'!" &amp; J3044, J3044), "")</f>
        <v/>
      </c>
    </row>
    <row r="3045">
      <c r="B3045" s="21">
        <f>IF(AND(C3045&lt;&gt;"", J3045&lt;&gt;""), HYPERLINK("#'" &amp; C3045 &amp; "'!" &amp; J3045, J3045), "")</f>
        <v/>
      </c>
    </row>
    <row r="3046">
      <c r="B3046" s="21">
        <f>IF(AND(C3046&lt;&gt;"", J3046&lt;&gt;""), HYPERLINK("#'" &amp; C3046 &amp; "'!" &amp; J3046, J3046), "")</f>
        <v/>
      </c>
    </row>
    <row r="3047">
      <c r="B3047" s="21">
        <f>IF(AND(C3047&lt;&gt;"", J3047&lt;&gt;""), HYPERLINK("#'" &amp; C3047 &amp; "'!" &amp; J3047, J3047), "")</f>
        <v/>
      </c>
    </row>
    <row r="3048">
      <c r="B3048" s="21">
        <f>IF(AND(C3048&lt;&gt;"", J3048&lt;&gt;""), HYPERLINK("#'" &amp; C3048 &amp; "'!" &amp; J3048, J3048), "")</f>
        <v/>
      </c>
    </row>
    <row r="3049">
      <c r="B3049" s="21">
        <f>IF(AND(C3049&lt;&gt;"", J3049&lt;&gt;""), HYPERLINK("#'" &amp; C3049 &amp; "'!" &amp; J3049, J3049), "")</f>
        <v/>
      </c>
    </row>
    <row r="3050">
      <c r="B3050" s="21">
        <f>IF(AND(C3050&lt;&gt;"", J3050&lt;&gt;""), HYPERLINK("#'" &amp; C3050 &amp; "'!" &amp; J3050, J3050), "")</f>
        <v/>
      </c>
    </row>
    <row r="3051">
      <c r="B3051" s="21">
        <f>IF(AND(C3051&lt;&gt;"", J3051&lt;&gt;""), HYPERLINK("#'" &amp; C3051 &amp; "'!" &amp; J3051, J3051), "")</f>
        <v/>
      </c>
    </row>
    <row r="3052">
      <c r="B3052" s="21">
        <f>IF(AND(C3052&lt;&gt;"", J3052&lt;&gt;""), HYPERLINK("#'" &amp; C3052 &amp; "'!" &amp; J3052, J3052), "")</f>
        <v/>
      </c>
    </row>
    <row r="3053">
      <c r="B3053" s="21">
        <f>IF(AND(C3053&lt;&gt;"", J3053&lt;&gt;""), HYPERLINK("#'" &amp; C3053 &amp; "'!" &amp; J3053, J3053), "")</f>
        <v/>
      </c>
    </row>
    <row r="3054">
      <c r="B3054" s="21">
        <f>IF(AND(C3054&lt;&gt;"", J3054&lt;&gt;""), HYPERLINK("#'" &amp; C3054 &amp; "'!" &amp; J3054, J3054), "")</f>
        <v/>
      </c>
    </row>
    <row r="3055">
      <c r="B3055" s="21">
        <f>IF(AND(C3055&lt;&gt;"", J3055&lt;&gt;""), HYPERLINK("#'" &amp; C3055 &amp; "'!" &amp; J3055, J3055), "")</f>
        <v/>
      </c>
    </row>
    <row r="3056">
      <c r="B3056" s="21">
        <f>IF(AND(C3056&lt;&gt;"", J3056&lt;&gt;""), HYPERLINK("#'" &amp; C3056 &amp; "'!" &amp; J3056, J3056), "")</f>
        <v/>
      </c>
    </row>
    <row r="3057">
      <c r="B3057" s="21">
        <f>IF(AND(C3057&lt;&gt;"", J3057&lt;&gt;""), HYPERLINK("#'" &amp; C3057 &amp; "'!" &amp; J3057, J3057), "")</f>
        <v/>
      </c>
    </row>
    <row r="3058">
      <c r="B3058" s="21">
        <f>IF(AND(C3058&lt;&gt;"", J3058&lt;&gt;""), HYPERLINK("#'" &amp; C3058 &amp; "'!" &amp; J3058, J3058), "")</f>
        <v/>
      </c>
    </row>
    <row r="3059">
      <c r="B3059" s="21">
        <f>IF(AND(C3059&lt;&gt;"", J3059&lt;&gt;""), HYPERLINK("#'" &amp; C3059 &amp; "'!" &amp; J3059, J3059), "")</f>
        <v/>
      </c>
    </row>
    <row r="3060">
      <c r="B3060" s="21">
        <f>IF(AND(C3060&lt;&gt;"", J3060&lt;&gt;""), HYPERLINK("#'" &amp; C3060 &amp; "'!" &amp; J3060, J3060), "")</f>
        <v/>
      </c>
    </row>
    <row r="3061">
      <c r="B3061" s="21">
        <f>IF(AND(C3061&lt;&gt;"", J3061&lt;&gt;""), HYPERLINK("#'" &amp; C3061 &amp; "'!" &amp; J3061, J3061), "")</f>
        <v/>
      </c>
    </row>
    <row r="3062">
      <c r="B3062" s="21">
        <f>IF(AND(C3062&lt;&gt;"", J3062&lt;&gt;""), HYPERLINK("#'" &amp; C3062 &amp; "'!" &amp; J3062, J3062), "")</f>
        <v/>
      </c>
    </row>
    <row r="3063">
      <c r="B3063" s="21">
        <f>IF(AND(C3063&lt;&gt;"", J3063&lt;&gt;""), HYPERLINK("#'" &amp; C3063 &amp; "'!" &amp; J3063, J3063), "")</f>
        <v/>
      </c>
    </row>
    <row r="3064">
      <c r="B3064" s="21">
        <f>IF(AND(C3064&lt;&gt;"", J3064&lt;&gt;""), HYPERLINK("#'" &amp; C3064 &amp; "'!" &amp; J3064, J3064), "")</f>
        <v/>
      </c>
    </row>
    <row r="3065">
      <c r="B3065" s="21">
        <f>IF(AND(C3065&lt;&gt;"", J3065&lt;&gt;""), HYPERLINK("#'" &amp; C3065 &amp; "'!" &amp; J3065, J3065), "")</f>
        <v/>
      </c>
    </row>
    <row r="3066">
      <c r="B3066" s="21">
        <f>IF(AND(C3066&lt;&gt;"", J3066&lt;&gt;""), HYPERLINK("#'" &amp; C3066 &amp; "'!" &amp; J3066, J3066), "")</f>
        <v/>
      </c>
    </row>
    <row r="3067">
      <c r="B3067" s="21">
        <f>IF(AND(C3067&lt;&gt;"", J3067&lt;&gt;""), HYPERLINK("#'" &amp; C3067 &amp; "'!" &amp; J3067, J3067), "")</f>
        <v/>
      </c>
    </row>
    <row r="3068">
      <c r="B3068" s="21">
        <f>IF(AND(C3068&lt;&gt;"", J3068&lt;&gt;""), HYPERLINK("#'" &amp; C3068 &amp; "'!" &amp; J3068, J3068), "")</f>
        <v/>
      </c>
    </row>
    <row r="3069">
      <c r="B3069" s="21">
        <f>IF(AND(C3069&lt;&gt;"", J3069&lt;&gt;""), HYPERLINK("#'" &amp; C3069 &amp; "'!" &amp; J3069, J3069), "")</f>
        <v/>
      </c>
    </row>
    <row r="3070">
      <c r="B3070" s="21">
        <f>IF(AND(C3070&lt;&gt;"", J3070&lt;&gt;""), HYPERLINK("#'" &amp; C3070 &amp; "'!" &amp; J3070, J3070), "")</f>
        <v/>
      </c>
    </row>
    <row r="3071">
      <c r="B3071" s="21">
        <f>IF(AND(C3071&lt;&gt;"", J3071&lt;&gt;""), HYPERLINK("#'" &amp; C3071 &amp; "'!" &amp; J3071, J3071), "")</f>
        <v/>
      </c>
    </row>
    <row r="3072">
      <c r="B3072" s="21">
        <f>IF(AND(C3072&lt;&gt;"", J3072&lt;&gt;""), HYPERLINK("#'" &amp; C3072 &amp; "'!" &amp; J3072, J3072), "")</f>
        <v/>
      </c>
    </row>
    <row r="3073">
      <c r="B3073" s="21">
        <f>IF(AND(C3073&lt;&gt;"", J3073&lt;&gt;""), HYPERLINK("#'" &amp; C3073 &amp; "'!" &amp; J3073, J3073), "")</f>
        <v/>
      </c>
    </row>
    <row r="3074">
      <c r="B3074" s="21">
        <f>IF(AND(C3074&lt;&gt;"", J3074&lt;&gt;""), HYPERLINK("#'" &amp; C3074 &amp; "'!" &amp; J3074, J3074), "")</f>
        <v/>
      </c>
    </row>
    <row r="3075">
      <c r="B3075" s="21">
        <f>IF(AND(C3075&lt;&gt;"", J3075&lt;&gt;""), HYPERLINK("#'" &amp; C3075 &amp; "'!" &amp; J3075, J3075), "")</f>
        <v/>
      </c>
    </row>
    <row r="3076">
      <c r="B3076" s="21">
        <f>IF(AND(C3076&lt;&gt;"", J3076&lt;&gt;""), HYPERLINK("#'" &amp; C3076 &amp; "'!" &amp; J3076, J3076), "")</f>
        <v/>
      </c>
    </row>
    <row r="3077">
      <c r="B3077" s="21">
        <f>IF(AND(C3077&lt;&gt;"", J3077&lt;&gt;""), HYPERLINK("#'" &amp; C3077 &amp; "'!" &amp; J3077, J3077), "")</f>
        <v/>
      </c>
    </row>
    <row r="3078">
      <c r="B3078" s="21">
        <f>IF(AND(C3078&lt;&gt;"", J3078&lt;&gt;""), HYPERLINK("#'" &amp; C3078 &amp; "'!" &amp; J3078, J3078), "")</f>
        <v/>
      </c>
    </row>
    <row r="3079">
      <c r="B3079" s="21">
        <f>IF(AND(C3079&lt;&gt;"", J3079&lt;&gt;""), HYPERLINK("#'" &amp; C3079 &amp; "'!" &amp; J3079, J3079), "")</f>
        <v/>
      </c>
    </row>
    <row r="3080">
      <c r="B3080" s="21">
        <f>IF(AND(C3080&lt;&gt;"", J3080&lt;&gt;""), HYPERLINK("#'" &amp; C3080 &amp; "'!" &amp; J3080, J3080), "")</f>
        <v/>
      </c>
    </row>
    <row r="3081">
      <c r="B3081" s="21">
        <f>IF(AND(C3081&lt;&gt;"", J3081&lt;&gt;""), HYPERLINK("#'" &amp; C3081 &amp; "'!" &amp; J3081, J3081), "")</f>
        <v/>
      </c>
    </row>
    <row r="3082">
      <c r="B3082" s="21">
        <f>IF(AND(C3082&lt;&gt;"", J3082&lt;&gt;""), HYPERLINK("#'" &amp; C3082 &amp; "'!" &amp; J3082, J3082), "")</f>
        <v/>
      </c>
    </row>
    <row r="3083">
      <c r="B3083" s="21">
        <f>IF(AND(C3083&lt;&gt;"", J3083&lt;&gt;""), HYPERLINK("#'" &amp; C3083 &amp; "'!" &amp; J3083, J3083), "")</f>
        <v/>
      </c>
    </row>
    <row r="3084">
      <c r="B3084" s="21">
        <f>IF(AND(C3084&lt;&gt;"", J3084&lt;&gt;""), HYPERLINK("#'" &amp; C3084 &amp; "'!" &amp; J3084, J3084), "")</f>
        <v/>
      </c>
    </row>
    <row r="3085">
      <c r="B3085" s="21">
        <f>IF(AND(C3085&lt;&gt;"", J3085&lt;&gt;""), HYPERLINK("#'" &amp; C3085 &amp; "'!" &amp; J3085, J3085), "")</f>
        <v/>
      </c>
    </row>
    <row r="3086">
      <c r="B3086" s="21">
        <f>IF(AND(C3086&lt;&gt;"", J3086&lt;&gt;""), HYPERLINK("#'" &amp; C3086 &amp; "'!" &amp; J3086, J3086), "")</f>
        <v/>
      </c>
    </row>
    <row r="3087">
      <c r="B3087" s="21">
        <f>IF(AND(C3087&lt;&gt;"", J3087&lt;&gt;""), HYPERLINK("#'" &amp; C3087 &amp; "'!" &amp; J3087, J3087), "")</f>
        <v/>
      </c>
    </row>
    <row r="3088">
      <c r="B3088" s="21">
        <f>IF(AND(C3088&lt;&gt;"", J3088&lt;&gt;""), HYPERLINK("#'" &amp; C3088 &amp; "'!" &amp; J3088, J3088), "")</f>
        <v/>
      </c>
    </row>
    <row r="3089">
      <c r="B3089" s="21">
        <f>IF(AND(C3089&lt;&gt;"", J3089&lt;&gt;""), HYPERLINK("#'" &amp; C3089 &amp; "'!" &amp; J3089, J3089), "")</f>
        <v/>
      </c>
    </row>
    <row r="3090">
      <c r="B3090" s="21">
        <f>IF(AND(C3090&lt;&gt;"", J3090&lt;&gt;""), HYPERLINK("#'" &amp; C3090 &amp; "'!" &amp; J3090, J3090), "")</f>
        <v/>
      </c>
    </row>
    <row r="3091">
      <c r="B3091" s="21">
        <f>IF(AND(C3091&lt;&gt;"", J3091&lt;&gt;""), HYPERLINK("#'" &amp; C3091 &amp; "'!" &amp; J3091, J3091), "")</f>
        <v/>
      </c>
    </row>
    <row r="3092">
      <c r="B3092" s="21">
        <f>IF(AND(C3092&lt;&gt;"", J3092&lt;&gt;""), HYPERLINK("#'" &amp; C3092 &amp; "'!" &amp; J3092, J3092), "")</f>
        <v/>
      </c>
    </row>
    <row r="3093">
      <c r="B3093" s="21">
        <f>IF(AND(C3093&lt;&gt;"", J3093&lt;&gt;""), HYPERLINK("#'" &amp; C3093 &amp; "'!" &amp; J3093, J3093), "")</f>
        <v/>
      </c>
    </row>
    <row r="3094">
      <c r="B3094" s="21">
        <f>IF(AND(C3094&lt;&gt;"", J3094&lt;&gt;""), HYPERLINK("#'" &amp; C3094 &amp; "'!" &amp; J3094, J3094), "")</f>
        <v/>
      </c>
    </row>
    <row r="3095">
      <c r="B3095" s="21">
        <f>IF(AND(C3095&lt;&gt;"", J3095&lt;&gt;""), HYPERLINK("#'" &amp; C3095 &amp; "'!" &amp; J3095, J3095), "")</f>
        <v/>
      </c>
    </row>
    <row r="3096">
      <c r="B3096" s="21">
        <f>IF(AND(C3096&lt;&gt;"", J3096&lt;&gt;""), HYPERLINK("#'" &amp; C3096 &amp; "'!" &amp; J3096, J3096), "")</f>
        <v/>
      </c>
    </row>
    <row r="3097">
      <c r="B3097" s="21">
        <f>IF(AND(C3097&lt;&gt;"", J3097&lt;&gt;""), HYPERLINK("#'" &amp; C3097 &amp; "'!" &amp; J3097, J3097), "")</f>
        <v/>
      </c>
    </row>
    <row r="3098">
      <c r="B3098" s="21">
        <f>IF(AND(C3098&lt;&gt;"", J3098&lt;&gt;""), HYPERLINK("#'" &amp; C3098 &amp; "'!" &amp; J3098, J3098), "")</f>
        <v/>
      </c>
    </row>
    <row r="3099">
      <c r="B3099" s="21">
        <f>IF(AND(C3099&lt;&gt;"", J3099&lt;&gt;""), HYPERLINK("#'" &amp; C3099 &amp; "'!" &amp; J3099, J3099), "")</f>
        <v/>
      </c>
    </row>
    <row r="3100">
      <c r="B3100" s="21">
        <f>IF(AND(C3100&lt;&gt;"", J3100&lt;&gt;""), HYPERLINK("#'" &amp; C3100 &amp; "'!" &amp; J3100, J3100), "")</f>
        <v/>
      </c>
    </row>
    <row r="3101">
      <c r="B3101" s="21">
        <f>IF(AND(C3101&lt;&gt;"", J3101&lt;&gt;""), HYPERLINK("#'" &amp; C3101 &amp; "'!" &amp; J3101, J3101), "")</f>
        <v/>
      </c>
    </row>
    <row r="3102">
      <c r="B3102" s="21">
        <f>IF(AND(C3102&lt;&gt;"", J3102&lt;&gt;""), HYPERLINK("#'" &amp; C3102 &amp; "'!" &amp; J3102, J3102), "")</f>
        <v/>
      </c>
    </row>
    <row r="3103">
      <c r="B3103" s="21">
        <f>IF(AND(C3103&lt;&gt;"", J3103&lt;&gt;""), HYPERLINK("#'" &amp; C3103 &amp; "'!" &amp; J3103, J3103), "")</f>
        <v/>
      </c>
    </row>
    <row r="3104">
      <c r="B3104" s="21">
        <f>IF(AND(C3104&lt;&gt;"", J3104&lt;&gt;""), HYPERLINK("#'" &amp; C3104 &amp; "'!" &amp; J3104, J3104), "")</f>
        <v/>
      </c>
    </row>
    <row r="3105">
      <c r="B3105" s="21">
        <f>IF(AND(C3105&lt;&gt;"", J3105&lt;&gt;""), HYPERLINK("#'" &amp; C3105 &amp; "'!" &amp; J3105, J3105), "")</f>
        <v/>
      </c>
    </row>
    <row r="3106">
      <c r="B3106" s="21">
        <f>IF(AND(C3106&lt;&gt;"", J3106&lt;&gt;""), HYPERLINK("#'" &amp; C3106 &amp; "'!" &amp; J3106, J3106), "")</f>
        <v/>
      </c>
    </row>
    <row r="3107">
      <c r="B3107" s="21">
        <f>IF(AND(C3107&lt;&gt;"", J3107&lt;&gt;""), HYPERLINK("#'" &amp; C3107 &amp; "'!" &amp; J3107, J3107), "")</f>
        <v/>
      </c>
    </row>
    <row r="3108">
      <c r="B3108" s="21">
        <f>IF(AND(C3108&lt;&gt;"", J3108&lt;&gt;""), HYPERLINK("#'" &amp; C3108 &amp; "'!" &amp; J3108, J3108), "")</f>
        <v/>
      </c>
    </row>
    <row r="3109">
      <c r="B3109" s="21">
        <f>IF(AND(C3109&lt;&gt;"", J3109&lt;&gt;""), HYPERLINK("#'" &amp; C3109 &amp; "'!" &amp; J3109, J3109), "")</f>
        <v/>
      </c>
    </row>
    <row r="3110">
      <c r="B3110" s="21">
        <f>IF(AND(C3110&lt;&gt;"", J3110&lt;&gt;""), HYPERLINK("#'" &amp; C3110 &amp; "'!" &amp; J3110, J3110), "")</f>
        <v/>
      </c>
    </row>
    <row r="3111">
      <c r="B3111" s="21">
        <f>IF(AND(C3111&lt;&gt;"", J3111&lt;&gt;""), HYPERLINK("#'" &amp; C3111 &amp; "'!" &amp; J3111, J3111), "")</f>
        <v/>
      </c>
    </row>
    <row r="3112">
      <c r="B3112" s="21">
        <f>IF(AND(C3112&lt;&gt;"", J3112&lt;&gt;""), HYPERLINK("#'" &amp; C3112 &amp; "'!" &amp; J3112, J3112), "")</f>
        <v/>
      </c>
    </row>
    <row r="3113">
      <c r="B3113" s="21">
        <f>IF(AND(C3113&lt;&gt;"", J3113&lt;&gt;""), HYPERLINK("#'" &amp; C3113 &amp; "'!" &amp; J3113, J3113), "")</f>
        <v/>
      </c>
    </row>
    <row r="3114">
      <c r="B3114" s="21">
        <f>IF(AND(C3114&lt;&gt;"", J3114&lt;&gt;""), HYPERLINK("#'" &amp; C3114 &amp; "'!" &amp; J3114, J3114), "")</f>
        <v/>
      </c>
    </row>
    <row r="3115">
      <c r="B3115" s="21">
        <f>IF(AND(C3115&lt;&gt;"", J3115&lt;&gt;""), HYPERLINK("#'" &amp; C3115 &amp; "'!" &amp; J3115, J3115), "")</f>
        <v/>
      </c>
    </row>
    <row r="3116">
      <c r="B3116" s="21">
        <f>IF(AND(C3116&lt;&gt;"", J3116&lt;&gt;""), HYPERLINK("#'" &amp; C3116 &amp; "'!" &amp; J3116, J3116), "")</f>
        <v/>
      </c>
    </row>
    <row r="3117">
      <c r="B3117" s="21">
        <f>IF(AND(C3117&lt;&gt;"", J3117&lt;&gt;""), HYPERLINK("#'" &amp; C3117 &amp; "'!" &amp; J3117, J3117), "")</f>
        <v/>
      </c>
    </row>
    <row r="3118">
      <c r="B3118" s="21">
        <f>IF(AND(C3118&lt;&gt;"", J3118&lt;&gt;""), HYPERLINK("#'" &amp; C3118 &amp; "'!" &amp; J3118, J3118), "")</f>
        <v/>
      </c>
    </row>
    <row r="3119">
      <c r="B3119" s="21">
        <f>IF(AND(C3119&lt;&gt;"", J3119&lt;&gt;""), HYPERLINK("#'" &amp; C3119 &amp; "'!" &amp; J3119, J3119), "")</f>
        <v/>
      </c>
    </row>
    <row r="3120">
      <c r="B3120" s="21">
        <f>IF(AND(C3120&lt;&gt;"", J3120&lt;&gt;""), HYPERLINK("#'" &amp; C3120 &amp; "'!" &amp; J3120, J3120), "")</f>
        <v/>
      </c>
    </row>
    <row r="3121">
      <c r="B3121" s="21">
        <f>IF(AND(C3121&lt;&gt;"", J3121&lt;&gt;""), HYPERLINK("#'" &amp; C3121 &amp; "'!" &amp; J3121, J3121), "")</f>
        <v/>
      </c>
    </row>
    <row r="3122">
      <c r="B3122" s="21">
        <f>IF(AND(C3122&lt;&gt;"", J3122&lt;&gt;""), HYPERLINK("#'" &amp; C3122 &amp; "'!" &amp; J3122, J3122), "")</f>
        <v/>
      </c>
    </row>
    <row r="3123">
      <c r="B3123" s="21">
        <f>IF(AND(C3123&lt;&gt;"", J3123&lt;&gt;""), HYPERLINK("#'" &amp; C3123 &amp; "'!" &amp; J3123, J3123), "")</f>
        <v/>
      </c>
    </row>
    <row r="3124">
      <c r="B3124" s="21">
        <f>IF(AND(C3124&lt;&gt;"", J3124&lt;&gt;""), HYPERLINK("#'" &amp; C3124 &amp; "'!" &amp; J3124, J3124), "")</f>
        <v/>
      </c>
    </row>
    <row r="3125">
      <c r="B3125" s="21">
        <f>IF(AND(C3125&lt;&gt;"", J3125&lt;&gt;""), HYPERLINK("#'" &amp; C3125 &amp; "'!" &amp; J3125, J3125), "")</f>
        <v/>
      </c>
    </row>
    <row r="3126">
      <c r="B3126" s="21">
        <f>IF(AND(C3126&lt;&gt;"", J3126&lt;&gt;""), HYPERLINK("#'" &amp; C3126 &amp; "'!" &amp; J3126, J3126), "")</f>
        <v/>
      </c>
    </row>
    <row r="3127">
      <c r="B3127" s="21">
        <f>IF(AND(C3127&lt;&gt;"", J3127&lt;&gt;""), HYPERLINK("#'" &amp; C3127 &amp; "'!" &amp; J3127, J3127), "")</f>
        <v/>
      </c>
    </row>
    <row r="3128">
      <c r="B3128" s="21">
        <f>IF(AND(C3128&lt;&gt;"", J3128&lt;&gt;""), HYPERLINK("#'" &amp; C3128 &amp; "'!" &amp; J3128, J3128), "")</f>
        <v/>
      </c>
    </row>
    <row r="3129">
      <c r="B3129" s="21">
        <f>IF(AND(C3129&lt;&gt;"", J3129&lt;&gt;""), HYPERLINK("#'" &amp; C3129 &amp; "'!" &amp; J3129, J3129), "")</f>
        <v/>
      </c>
    </row>
    <row r="3130">
      <c r="B3130" s="21">
        <f>IF(AND(C3130&lt;&gt;"", J3130&lt;&gt;""), HYPERLINK("#'" &amp; C3130 &amp; "'!" &amp; J3130, J3130), "")</f>
        <v/>
      </c>
    </row>
    <row r="3131">
      <c r="B3131" s="21">
        <f>IF(AND(C3131&lt;&gt;"", J3131&lt;&gt;""), HYPERLINK("#'" &amp; C3131 &amp; "'!" &amp; J3131, J3131), "")</f>
        <v/>
      </c>
    </row>
    <row r="3132">
      <c r="B3132" s="21">
        <f>IF(AND(C3132&lt;&gt;"", J3132&lt;&gt;""), HYPERLINK("#'" &amp; C3132 &amp; "'!" &amp; J3132, J3132), "")</f>
        <v/>
      </c>
    </row>
    <row r="3133">
      <c r="B3133" s="21">
        <f>IF(AND(C3133&lt;&gt;"", J3133&lt;&gt;""), HYPERLINK("#'" &amp; C3133 &amp; "'!" &amp; J3133, J3133), "")</f>
        <v/>
      </c>
    </row>
    <row r="3134">
      <c r="B3134" s="21">
        <f>IF(AND(C3134&lt;&gt;"", J3134&lt;&gt;""), HYPERLINK("#'" &amp; C3134 &amp; "'!" &amp; J3134, J3134), "")</f>
        <v/>
      </c>
    </row>
    <row r="3135">
      <c r="B3135" s="21">
        <f>IF(AND(C3135&lt;&gt;"", J3135&lt;&gt;""), HYPERLINK("#'" &amp; C3135 &amp; "'!" &amp; J3135, J3135), "")</f>
        <v/>
      </c>
    </row>
    <row r="3136">
      <c r="B3136" s="21">
        <f>IF(AND(C3136&lt;&gt;"", J3136&lt;&gt;""), HYPERLINK("#'" &amp; C3136 &amp; "'!" &amp; J3136, J3136), "")</f>
        <v/>
      </c>
    </row>
    <row r="3137">
      <c r="B3137" s="21">
        <f>IF(AND(C3137&lt;&gt;"", J3137&lt;&gt;""), HYPERLINK("#'" &amp; C3137 &amp; "'!" &amp; J3137, J3137), "")</f>
        <v/>
      </c>
    </row>
    <row r="3138">
      <c r="B3138" s="21">
        <f>IF(AND(C3138&lt;&gt;"", J3138&lt;&gt;""), HYPERLINK("#'" &amp; C3138 &amp; "'!" &amp; J3138, J3138), "")</f>
        <v/>
      </c>
    </row>
    <row r="3139">
      <c r="B3139" s="21">
        <f>IF(AND(C3139&lt;&gt;"", J3139&lt;&gt;""), HYPERLINK("#'" &amp; C3139 &amp; "'!" &amp; J3139, J3139), "")</f>
        <v/>
      </c>
    </row>
    <row r="3140">
      <c r="B3140" s="21">
        <f>IF(AND(C3140&lt;&gt;"", J3140&lt;&gt;""), HYPERLINK("#'" &amp; C3140 &amp; "'!" &amp; J3140, J3140), "")</f>
        <v/>
      </c>
    </row>
    <row r="3141">
      <c r="B3141" s="21">
        <f>IF(AND(C3141&lt;&gt;"", J3141&lt;&gt;""), HYPERLINK("#'" &amp; C3141 &amp; "'!" &amp; J3141, J3141), "")</f>
        <v/>
      </c>
    </row>
    <row r="3142">
      <c r="B3142" s="21">
        <f>IF(AND(C3142&lt;&gt;"", J3142&lt;&gt;""), HYPERLINK("#'" &amp; C3142 &amp; "'!" &amp; J3142, J3142), "")</f>
        <v/>
      </c>
    </row>
    <row r="3143">
      <c r="B3143" s="21">
        <f>IF(AND(C3143&lt;&gt;"", J3143&lt;&gt;""), HYPERLINK("#'" &amp; C3143 &amp; "'!" &amp; J3143, J3143), "")</f>
        <v/>
      </c>
    </row>
    <row r="3144">
      <c r="B3144" s="21">
        <f>IF(AND(C3144&lt;&gt;"", J3144&lt;&gt;""), HYPERLINK("#'" &amp; C3144 &amp; "'!" &amp; J3144, J3144), "")</f>
        <v/>
      </c>
    </row>
    <row r="3145">
      <c r="B3145" s="21">
        <f>IF(AND(C3145&lt;&gt;"", J3145&lt;&gt;""), HYPERLINK("#'" &amp; C3145 &amp; "'!" &amp; J3145, J3145), "")</f>
        <v/>
      </c>
    </row>
    <row r="3146">
      <c r="B3146" s="21">
        <f>IF(AND(C3146&lt;&gt;"", J3146&lt;&gt;""), HYPERLINK("#'" &amp; C3146 &amp; "'!" &amp; J3146, J3146), "")</f>
        <v/>
      </c>
    </row>
    <row r="3147">
      <c r="B3147" s="21">
        <f>IF(AND(C3147&lt;&gt;"", J3147&lt;&gt;""), HYPERLINK("#'" &amp; C3147 &amp; "'!" &amp; J3147, J3147), "")</f>
        <v/>
      </c>
    </row>
    <row r="3148">
      <c r="B3148" s="21">
        <f>IF(AND(C3148&lt;&gt;"", J3148&lt;&gt;""), HYPERLINK("#'" &amp; C3148 &amp; "'!" &amp; J3148, J3148), "")</f>
        <v/>
      </c>
    </row>
    <row r="3149">
      <c r="B3149" s="21">
        <f>IF(AND(C3149&lt;&gt;"", J3149&lt;&gt;""), HYPERLINK("#'" &amp; C3149 &amp; "'!" &amp; J3149, J3149), "")</f>
        <v/>
      </c>
    </row>
    <row r="3150">
      <c r="B3150" s="21">
        <f>IF(AND(C3150&lt;&gt;"", J3150&lt;&gt;""), HYPERLINK("#'" &amp; C3150 &amp; "'!" &amp; J3150, J3150), "")</f>
        <v/>
      </c>
    </row>
    <row r="3151">
      <c r="B3151" s="21">
        <f>IF(AND(C3151&lt;&gt;"", J3151&lt;&gt;""), HYPERLINK("#'" &amp; C3151 &amp; "'!" &amp; J3151, J3151), "")</f>
        <v/>
      </c>
    </row>
    <row r="3152">
      <c r="B3152" s="21">
        <f>IF(AND(C3152&lt;&gt;"", J3152&lt;&gt;""), HYPERLINK("#'" &amp; C3152 &amp; "'!" &amp; J3152, J3152), "")</f>
        <v/>
      </c>
    </row>
    <row r="3153">
      <c r="B3153" s="21">
        <f>IF(AND(C3153&lt;&gt;"", J3153&lt;&gt;""), HYPERLINK("#'" &amp; C3153 &amp; "'!" &amp; J3153, J3153), "")</f>
        <v/>
      </c>
    </row>
    <row r="3154">
      <c r="B3154" s="21">
        <f>IF(AND(C3154&lt;&gt;"", J3154&lt;&gt;""), HYPERLINK("#'" &amp; C3154 &amp; "'!" &amp; J3154, J3154), "")</f>
        <v/>
      </c>
    </row>
    <row r="3155">
      <c r="B3155" s="21">
        <f>IF(AND(C3155&lt;&gt;"", J3155&lt;&gt;""), HYPERLINK("#'" &amp; C3155 &amp; "'!" &amp; J3155, J3155), "")</f>
        <v/>
      </c>
    </row>
    <row r="3156">
      <c r="B3156" s="21">
        <f>IF(AND(C3156&lt;&gt;"", J3156&lt;&gt;""), HYPERLINK("#'" &amp; C3156 &amp; "'!" &amp; J3156, J3156), "")</f>
        <v/>
      </c>
    </row>
    <row r="3157">
      <c r="B3157" s="21">
        <f>IF(AND(C3157&lt;&gt;"", J3157&lt;&gt;""), HYPERLINK("#'" &amp; C3157 &amp; "'!" &amp; J3157, J3157), "")</f>
        <v/>
      </c>
    </row>
    <row r="3158">
      <c r="B3158" s="21">
        <f>IF(AND(C3158&lt;&gt;"", J3158&lt;&gt;""), HYPERLINK("#'" &amp; C3158 &amp; "'!" &amp; J3158, J3158), "")</f>
        <v/>
      </c>
    </row>
    <row r="3159">
      <c r="B3159" s="21">
        <f>IF(AND(C3159&lt;&gt;"", J3159&lt;&gt;""), HYPERLINK("#'" &amp; C3159 &amp; "'!" &amp; J3159, J3159), "")</f>
        <v/>
      </c>
    </row>
    <row r="3160">
      <c r="B3160" s="21">
        <f>IF(AND(C3160&lt;&gt;"", J3160&lt;&gt;""), HYPERLINK("#'" &amp; C3160 &amp; "'!" &amp; J3160, J3160), "")</f>
        <v/>
      </c>
    </row>
    <row r="3161">
      <c r="B3161" s="21">
        <f>IF(AND(C3161&lt;&gt;"", J3161&lt;&gt;""), HYPERLINK("#'" &amp; C3161 &amp; "'!" &amp; J3161, J3161), "")</f>
        <v/>
      </c>
    </row>
    <row r="3162">
      <c r="B3162" s="21">
        <f>IF(AND(C3162&lt;&gt;"", J3162&lt;&gt;""), HYPERLINK("#'" &amp; C3162 &amp; "'!" &amp; J3162, J3162), "")</f>
        <v/>
      </c>
    </row>
    <row r="3163">
      <c r="B3163" s="21">
        <f>IF(AND(C3163&lt;&gt;"", J3163&lt;&gt;""), HYPERLINK("#'" &amp; C3163 &amp; "'!" &amp; J3163, J3163), "")</f>
        <v/>
      </c>
    </row>
    <row r="3164">
      <c r="B3164" s="21">
        <f>IF(AND(C3164&lt;&gt;"", J3164&lt;&gt;""), HYPERLINK("#'" &amp; C3164 &amp; "'!" &amp; J3164, J3164), "")</f>
        <v/>
      </c>
    </row>
    <row r="3165">
      <c r="B3165" s="21">
        <f>IF(AND(C3165&lt;&gt;"", J3165&lt;&gt;""), HYPERLINK("#'" &amp; C3165 &amp; "'!" &amp; J3165, J3165), "")</f>
        <v/>
      </c>
    </row>
    <row r="3166">
      <c r="B3166" s="21">
        <f>IF(AND(C3166&lt;&gt;"", J3166&lt;&gt;""), HYPERLINK("#'" &amp; C3166 &amp; "'!" &amp; J3166, J3166), "")</f>
        <v/>
      </c>
    </row>
    <row r="3167">
      <c r="B3167" s="21">
        <f>IF(AND(C3167&lt;&gt;"", J3167&lt;&gt;""), HYPERLINK("#'" &amp; C3167 &amp; "'!" &amp; J3167, J3167), "")</f>
        <v/>
      </c>
    </row>
    <row r="3168">
      <c r="B3168" s="21">
        <f>IF(AND(C3168&lt;&gt;"", J3168&lt;&gt;""), HYPERLINK("#'" &amp; C3168 &amp; "'!" &amp; J3168, J3168), "")</f>
        <v/>
      </c>
    </row>
    <row r="3169">
      <c r="B3169" s="21">
        <f>IF(AND(C3169&lt;&gt;"", J3169&lt;&gt;""), HYPERLINK("#'" &amp; C3169 &amp; "'!" &amp; J3169, J3169), "")</f>
        <v/>
      </c>
    </row>
    <row r="3170">
      <c r="B3170" s="21">
        <f>IF(AND(C3170&lt;&gt;"", J3170&lt;&gt;""), HYPERLINK("#'" &amp; C3170 &amp; "'!" &amp; J3170, J3170), "")</f>
        <v/>
      </c>
    </row>
    <row r="3171">
      <c r="B3171" s="21">
        <f>IF(AND(C3171&lt;&gt;"", J3171&lt;&gt;""), HYPERLINK("#'" &amp; C3171 &amp; "'!" &amp; J3171, J3171), "")</f>
        <v/>
      </c>
    </row>
    <row r="3172">
      <c r="B3172" s="21">
        <f>IF(AND(C3172&lt;&gt;"", J3172&lt;&gt;""), HYPERLINK("#'" &amp; C3172 &amp; "'!" &amp; J3172, J3172), "")</f>
        <v/>
      </c>
    </row>
    <row r="3173">
      <c r="B3173" s="21">
        <f>IF(AND(C3173&lt;&gt;"", J3173&lt;&gt;""), HYPERLINK("#'" &amp; C3173 &amp; "'!" &amp; J3173, J3173), "")</f>
        <v/>
      </c>
    </row>
    <row r="3174">
      <c r="B3174" s="21">
        <f>IF(AND(C3174&lt;&gt;"", J3174&lt;&gt;""), HYPERLINK("#'" &amp; C3174 &amp; "'!" &amp; J3174, J3174), "")</f>
        <v/>
      </c>
    </row>
    <row r="3175">
      <c r="B3175" s="21">
        <f>IF(AND(C3175&lt;&gt;"", J3175&lt;&gt;""), HYPERLINK("#'" &amp; C3175 &amp; "'!" &amp; J3175, J3175), "")</f>
        <v/>
      </c>
    </row>
    <row r="3176">
      <c r="B3176" s="21">
        <f>IF(AND(C3176&lt;&gt;"", J3176&lt;&gt;""), HYPERLINK("#'" &amp; C3176 &amp; "'!" &amp; J3176, J3176), "")</f>
        <v/>
      </c>
    </row>
    <row r="3177">
      <c r="B3177" s="21">
        <f>IF(AND(C3177&lt;&gt;"", J3177&lt;&gt;""), HYPERLINK("#'" &amp; C3177 &amp; "'!" &amp; J3177, J3177), "")</f>
        <v/>
      </c>
    </row>
    <row r="3178">
      <c r="B3178" s="21">
        <f>IF(AND(C3178&lt;&gt;"", J3178&lt;&gt;""), HYPERLINK("#'" &amp; C3178 &amp; "'!" &amp; J3178, J3178), "")</f>
        <v/>
      </c>
    </row>
    <row r="3179">
      <c r="B3179" s="21">
        <f>IF(AND(C3179&lt;&gt;"", J3179&lt;&gt;""), HYPERLINK("#'" &amp; C3179 &amp; "'!" &amp; J3179, J3179), "")</f>
        <v/>
      </c>
    </row>
    <row r="3180">
      <c r="B3180" s="21">
        <f>IF(AND(C3180&lt;&gt;"", J3180&lt;&gt;""), HYPERLINK("#'" &amp; C3180 &amp; "'!" &amp; J3180, J3180), "")</f>
        <v/>
      </c>
    </row>
    <row r="3181">
      <c r="B3181" s="21">
        <f>IF(AND(C3181&lt;&gt;"", J3181&lt;&gt;""), HYPERLINK("#'" &amp; C3181 &amp; "'!" &amp; J3181, J3181), "")</f>
        <v/>
      </c>
    </row>
    <row r="3182">
      <c r="B3182" s="21">
        <f>IF(AND(C3182&lt;&gt;"", J3182&lt;&gt;""), HYPERLINK("#'" &amp; C3182 &amp; "'!" &amp; J3182, J3182), "")</f>
        <v/>
      </c>
    </row>
    <row r="3183">
      <c r="B3183" s="21">
        <f>IF(AND(C3183&lt;&gt;"", J3183&lt;&gt;""), HYPERLINK("#'" &amp; C3183 &amp; "'!" &amp; J3183, J3183), "")</f>
        <v/>
      </c>
    </row>
    <row r="3184">
      <c r="B3184" s="21">
        <f>IF(AND(C3184&lt;&gt;"", J3184&lt;&gt;""), HYPERLINK("#'" &amp; C3184 &amp; "'!" &amp; J3184, J3184), "")</f>
        <v/>
      </c>
    </row>
    <row r="3185">
      <c r="B3185" s="21">
        <f>IF(AND(C3185&lt;&gt;"", J3185&lt;&gt;""), HYPERLINK("#'" &amp; C3185 &amp; "'!" &amp; J3185, J3185), "")</f>
        <v/>
      </c>
    </row>
    <row r="3186">
      <c r="B3186" s="21">
        <f>IF(AND(C3186&lt;&gt;"", J3186&lt;&gt;""), HYPERLINK("#'" &amp; C3186 &amp; "'!" &amp; J3186, J3186), "")</f>
        <v/>
      </c>
    </row>
    <row r="3187">
      <c r="B3187" s="21">
        <f>IF(AND(C3187&lt;&gt;"", J3187&lt;&gt;""), HYPERLINK("#'" &amp; C3187 &amp; "'!" &amp; J3187, J3187), "")</f>
        <v/>
      </c>
    </row>
    <row r="3188">
      <c r="B3188" s="21">
        <f>IF(AND(C3188&lt;&gt;"", J3188&lt;&gt;""), HYPERLINK("#'" &amp; C3188 &amp; "'!" &amp; J3188, J3188), "")</f>
        <v/>
      </c>
    </row>
    <row r="3189">
      <c r="B3189" s="21">
        <f>IF(AND(C3189&lt;&gt;"", J3189&lt;&gt;""), HYPERLINK("#'" &amp; C3189 &amp; "'!" &amp; J3189, J3189), "")</f>
        <v/>
      </c>
    </row>
    <row r="3190">
      <c r="B3190" s="21">
        <f>IF(AND(C3190&lt;&gt;"", J3190&lt;&gt;""), HYPERLINK("#'" &amp; C3190 &amp; "'!" &amp; J3190, J3190), "")</f>
        <v/>
      </c>
    </row>
    <row r="3191">
      <c r="B3191" s="21">
        <f>IF(AND(C3191&lt;&gt;"", J3191&lt;&gt;""), HYPERLINK("#'" &amp; C3191 &amp; "'!" &amp; J3191, J3191), "")</f>
        <v/>
      </c>
    </row>
    <row r="3192">
      <c r="B3192" s="21">
        <f>IF(AND(C3192&lt;&gt;"", J3192&lt;&gt;""), HYPERLINK("#'" &amp; C3192 &amp; "'!" &amp; J3192, J3192), "")</f>
        <v/>
      </c>
    </row>
    <row r="3193">
      <c r="B3193" s="21">
        <f>IF(AND(C3193&lt;&gt;"", J3193&lt;&gt;""), HYPERLINK("#'" &amp; C3193 &amp; "'!" &amp; J3193, J3193), "")</f>
        <v/>
      </c>
    </row>
    <row r="3194">
      <c r="B3194" s="21">
        <f>IF(AND(C3194&lt;&gt;"", J3194&lt;&gt;""), HYPERLINK("#'" &amp; C3194 &amp; "'!" &amp; J3194, J3194), "")</f>
        <v/>
      </c>
    </row>
    <row r="3195">
      <c r="B3195" s="21">
        <f>IF(AND(C3195&lt;&gt;"", J3195&lt;&gt;""), HYPERLINK("#'" &amp; C3195 &amp; "'!" &amp; J3195, J3195), "")</f>
        <v/>
      </c>
    </row>
    <row r="3196">
      <c r="B3196" s="21">
        <f>IF(AND(C3196&lt;&gt;"", J3196&lt;&gt;""), HYPERLINK("#'" &amp; C3196 &amp; "'!" &amp; J3196, J3196), "")</f>
        <v/>
      </c>
    </row>
    <row r="3197">
      <c r="B3197" s="21">
        <f>IF(AND(C3197&lt;&gt;"", J3197&lt;&gt;""), HYPERLINK("#'" &amp; C3197 &amp; "'!" &amp; J3197, J3197), "")</f>
        <v/>
      </c>
    </row>
    <row r="3198">
      <c r="B3198" s="21">
        <f>IF(AND(C3198&lt;&gt;"", J3198&lt;&gt;""), HYPERLINK("#'" &amp; C3198 &amp; "'!" &amp; J3198, J3198), "")</f>
        <v/>
      </c>
    </row>
    <row r="3199">
      <c r="B3199" s="21">
        <f>IF(AND(C3199&lt;&gt;"", J3199&lt;&gt;""), HYPERLINK("#'" &amp; C3199 &amp; "'!" &amp; J3199, J3199), "")</f>
        <v/>
      </c>
    </row>
    <row r="3200">
      <c r="B3200" s="21">
        <f>IF(AND(C3200&lt;&gt;"", J3200&lt;&gt;""), HYPERLINK("#'" &amp; C3200 &amp; "'!" &amp; J3200, J3200), "")</f>
        <v/>
      </c>
    </row>
    <row r="3201">
      <c r="B3201" s="21">
        <f>IF(AND(C3201&lt;&gt;"", J3201&lt;&gt;""), HYPERLINK("#'" &amp; C3201 &amp; "'!" &amp; J3201, J3201), "")</f>
        <v/>
      </c>
    </row>
    <row r="3202">
      <c r="B3202" s="21">
        <f>IF(AND(C3202&lt;&gt;"", J3202&lt;&gt;""), HYPERLINK("#'" &amp; C3202 &amp; "'!" &amp; J3202, J3202), "")</f>
        <v/>
      </c>
    </row>
    <row r="3203">
      <c r="B3203" s="21">
        <f>IF(AND(C3203&lt;&gt;"", J3203&lt;&gt;""), HYPERLINK("#'" &amp; C3203 &amp; "'!" &amp; J3203, J3203), "")</f>
        <v/>
      </c>
    </row>
    <row r="3204">
      <c r="B3204" s="21">
        <f>IF(AND(C3204&lt;&gt;"", J3204&lt;&gt;""), HYPERLINK("#'" &amp; C3204 &amp; "'!" &amp; J3204, J3204), "")</f>
        <v/>
      </c>
    </row>
    <row r="3205">
      <c r="B3205" s="21">
        <f>IF(AND(C3205&lt;&gt;"", J3205&lt;&gt;""), HYPERLINK("#'" &amp; C3205 &amp; "'!" &amp; J3205, J3205), "")</f>
        <v/>
      </c>
    </row>
    <row r="3206">
      <c r="B3206" s="21">
        <f>IF(AND(C3206&lt;&gt;"", J3206&lt;&gt;""), HYPERLINK("#'" &amp; C3206 &amp; "'!" &amp; J3206, J3206), "")</f>
        <v/>
      </c>
    </row>
    <row r="3207">
      <c r="B3207" s="21">
        <f>IF(AND(C3207&lt;&gt;"", J3207&lt;&gt;""), HYPERLINK("#'" &amp; C3207 &amp; "'!" &amp; J3207, J3207), "")</f>
        <v/>
      </c>
    </row>
    <row r="3208">
      <c r="B3208" s="21">
        <f>IF(AND(C3208&lt;&gt;"", J3208&lt;&gt;""), HYPERLINK("#'" &amp; C3208 &amp; "'!" &amp; J3208, J3208), "")</f>
        <v/>
      </c>
    </row>
    <row r="3209">
      <c r="B3209" s="21">
        <f>IF(AND(C3209&lt;&gt;"", J3209&lt;&gt;""), HYPERLINK("#'" &amp; C3209 &amp; "'!" &amp; J3209, J3209), "")</f>
        <v/>
      </c>
    </row>
    <row r="3210">
      <c r="B3210" s="21">
        <f>IF(AND(C3210&lt;&gt;"", J3210&lt;&gt;""), HYPERLINK("#'" &amp; C3210 &amp; "'!" &amp; J3210, J3210), "")</f>
        <v/>
      </c>
    </row>
    <row r="3211">
      <c r="B3211" s="21">
        <f>IF(AND(C3211&lt;&gt;"", J3211&lt;&gt;""), HYPERLINK("#'" &amp; C3211 &amp; "'!" &amp; J3211, J3211), "")</f>
        <v/>
      </c>
    </row>
    <row r="3212">
      <c r="B3212" s="21">
        <f>IF(AND(C3212&lt;&gt;"", J3212&lt;&gt;""), HYPERLINK("#'" &amp; C3212 &amp; "'!" &amp; J3212, J3212), "")</f>
        <v/>
      </c>
    </row>
    <row r="3213">
      <c r="B3213" s="21">
        <f>IF(AND(C3213&lt;&gt;"", J3213&lt;&gt;""), HYPERLINK("#'" &amp; C3213 &amp; "'!" &amp; J3213, J3213), "")</f>
        <v/>
      </c>
    </row>
    <row r="3214">
      <c r="B3214" s="21">
        <f>IF(AND(C3214&lt;&gt;"", J3214&lt;&gt;""), HYPERLINK("#'" &amp; C3214 &amp; "'!" &amp; J3214, J3214), "")</f>
        <v/>
      </c>
    </row>
    <row r="3215">
      <c r="B3215" s="21">
        <f>IF(AND(C3215&lt;&gt;"", J3215&lt;&gt;""), HYPERLINK("#'" &amp; C3215 &amp; "'!" &amp; J3215, J3215), "")</f>
        <v/>
      </c>
    </row>
    <row r="3216">
      <c r="B3216" s="21">
        <f>IF(AND(C3216&lt;&gt;"", J3216&lt;&gt;""), HYPERLINK("#'" &amp; C3216 &amp; "'!" &amp; J3216, J3216), "")</f>
        <v/>
      </c>
    </row>
    <row r="3217">
      <c r="B3217" s="21">
        <f>IF(AND(C3217&lt;&gt;"", J3217&lt;&gt;""), HYPERLINK("#'" &amp; C3217 &amp; "'!" &amp; J3217, J3217), "")</f>
        <v/>
      </c>
    </row>
    <row r="3218">
      <c r="B3218" s="21">
        <f>IF(AND(C3218&lt;&gt;"", J3218&lt;&gt;""), HYPERLINK("#'" &amp; C3218 &amp; "'!" &amp; J3218, J3218), "")</f>
        <v/>
      </c>
    </row>
    <row r="3219">
      <c r="B3219" s="21">
        <f>IF(AND(C3219&lt;&gt;"", J3219&lt;&gt;""), HYPERLINK("#'" &amp; C3219 &amp; "'!" &amp; J3219, J3219), "")</f>
        <v/>
      </c>
    </row>
    <row r="3220">
      <c r="B3220" s="21">
        <f>IF(AND(C3220&lt;&gt;"", J3220&lt;&gt;""), HYPERLINK("#'" &amp; C3220 &amp; "'!" &amp; J3220, J3220), "")</f>
        <v/>
      </c>
    </row>
    <row r="3221">
      <c r="B3221" s="21">
        <f>IF(AND(C3221&lt;&gt;"", J3221&lt;&gt;""), HYPERLINK("#'" &amp; C3221 &amp; "'!" &amp; J3221, J3221), "")</f>
        <v/>
      </c>
    </row>
    <row r="3222">
      <c r="B3222" s="21">
        <f>IF(AND(C3222&lt;&gt;"", J3222&lt;&gt;""), HYPERLINK("#'" &amp; C3222 &amp; "'!" &amp; J3222, J3222), "")</f>
        <v/>
      </c>
    </row>
    <row r="3223">
      <c r="B3223" s="21">
        <f>IF(AND(C3223&lt;&gt;"", J3223&lt;&gt;""), HYPERLINK("#'" &amp; C3223 &amp; "'!" &amp; J3223, J3223), "")</f>
        <v/>
      </c>
    </row>
    <row r="3224">
      <c r="B3224" s="21">
        <f>IF(AND(C3224&lt;&gt;"", J3224&lt;&gt;""), HYPERLINK("#'" &amp; C3224 &amp; "'!" &amp; J3224, J3224), "")</f>
        <v/>
      </c>
    </row>
    <row r="3225">
      <c r="B3225" s="21">
        <f>IF(AND(C3225&lt;&gt;"", J3225&lt;&gt;""), HYPERLINK("#'" &amp; C3225 &amp; "'!" &amp; J3225, J3225), "")</f>
        <v/>
      </c>
    </row>
    <row r="3226">
      <c r="B3226" s="21">
        <f>IF(AND(C3226&lt;&gt;"", J3226&lt;&gt;""), HYPERLINK("#'" &amp; C3226 &amp; "'!" &amp; J3226, J3226), "")</f>
        <v/>
      </c>
    </row>
    <row r="3227">
      <c r="B3227" s="21">
        <f>IF(AND(C3227&lt;&gt;"", J3227&lt;&gt;""), HYPERLINK("#'" &amp; C3227 &amp; "'!" &amp; J3227, J3227), "")</f>
        <v/>
      </c>
    </row>
    <row r="3228">
      <c r="B3228" s="21">
        <f>IF(AND(C3228&lt;&gt;"", J3228&lt;&gt;""), HYPERLINK("#'" &amp; C3228 &amp; "'!" &amp; J3228, J3228), "")</f>
        <v/>
      </c>
    </row>
    <row r="3229">
      <c r="B3229" s="21">
        <f>IF(AND(C3229&lt;&gt;"", J3229&lt;&gt;""), HYPERLINK("#'" &amp; C3229 &amp; "'!" &amp; J3229, J3229), "")</f>
        <v/>
      </c>
    </row>
    <row r="3230">
      <c r="B3230" s="21">
        <f>IF(AND(C3230&lt;&gt;"", J3230&lt;&gt;""), HYPERLINK("#'" &amp; C3230 &amp; "'!" &amp; J3230, J3230), "")</f>
        <v/>
      </c>
    </row>
    <row r="3231">
      <c r="B3231" s="21">
        <f>IF(AND(C3231&lt;&gt;"", J3231&lt;&gt;""), HYPERLINK("#'" &amp; C3231 &amp; "'!" &amp; J3231, J3231), "")</f>
        <v/>
      </c>
    </row>
    <row r="3232">
      <c r="B3232" s="21">
        <f>IF(AND(C3232&lt;&gt;"", J3232&lt;&gt;""), HYPERLINK("#'" &amp; C3232 &amp; "'!" &amp; J3232, J3232), "")</f>
        <v/>
      </c>
    </row>
    <row r="3233">
      <c r="B3233" s="21">
        <f>IF(AND(C3233&lt;&gt;"", J3233&lt;&gt;""), HYPERLINK("#'" &amp; C3233 &amp; "'!" &amp; J3233, J3233), "")</f>
        <v/>
      </c>
    </row>
    <row r="3234">
      <c r="B3234" s="21">
        <f>IF(AND(C3234&lt;&gt;"", J3234&lt;&gt;""), HYPERLINK("#'" &amp; C3234 &amp; "'!" &amp; J3234, J3234), "")</f>
        <v/>
      </c>
    </row>
    <row r="3235">
      <c r="B3235" s="21">
        <f>IF(AND(C3235&lt;&gt;"", J3235&lt;&gt;""), HYPERLINK("#'" &amp; C3235 &amp; "'!" &amp; J3235, J3235), "")</f>
        <v/>
      </c>
    </row>
    <row r="3236">
      <c r="B3236" s="21">
        <f>IF(AND(C3236&lt;&gt;"", J3236&lt;&gt;""), HYPERLINK("#'" &amp; C3236 &amp; "'!" &amp; J3236, J3236), "")</f>
        <v/>
      </c>
    </row>
    <row r="3237">
      <c r="B3237" s="21">
        <f>IF(AND(C3237&lt;&gt;"", J3237&lt;&gt;""), HYPERLINK("#'" &amp; C3237 &amp; "'!" &amp; J3237, J3237), "")</f>
        <v/>
      </c>
    </row>
    <row r="3238">
      <c r="B3238" s="21">
        <f>IF(AND(C3238&lt;&gt;"", J3238&lt;&gt;""), HYPERLINK("#'" &amp; C3238 &amp; "'!" &amp; J3238, J3238), "")</f>
        <v/>
      </c>
    </row>
    <row r="3239">
      <c r="B3239" s="21">
        <f>IF(AND(C3239&lt;&gt;"", J3239&lt;&gt;""), HYPERLINK("#'" &amp; C3239 &amp; "'!" &amp; J3239, J3239), "")</f>
        <v/>
      </c>
    </row>
    <row r="3240">
      <c r="B3240" s="21">
        <f>IF(AND(C3240&lt;&gt;"", J3240&lt;&gt;""), HYPERLINK("#'" &amp; C3240 &amp; "'!" &amp; J3240, J3240), "")</f>
        <v/>
      </c>
    </row>
    <row r="3241">
      <c r="B3241" s="21">
        <f>IF(AND(C3241&lt;&gt;"", J3241&lt;&gt;""), HYPERLINK("#'" &amp; C3241 &amp; "'!" &amp; J3241, J3241), "")</f>
        <v/>
      </c>
    </row>
    <row r="3242">
      <c r="B3242" s="21">
        <f>IF(AND(C3242&lt;&gt;"", J3242&lt;&gt;""), HYPERLINK("#'" &amp; C3242 &amp; "'!" &amp; J3242, J3242), "")</f>
        <v/>
      </c>
    </row>
    <row r="3243">
      <c r="B3243" s="21">
        <f>IF(AND(C3243&lt;&gt;"", J3243&lt;&gt;""), HYPERLINK("#'" &amp; C3243 &amp; "'!" &amp; J3243, J3243), "")</f>
        <v/>
      </c>
    </row>
    <row r="3244">
      <c r="B3244" s="21">
        <f>IF(AND(C3244&lt;&gt;"", J3244&lt;&gt;""), HYPERLINK("#'" &amp; C3244 &amp; "'!" &amp; J3244, J3244), "")</f>
        <v/>
      </c>
    </row>
    <row r="3245">
      <c r="B3245" s="21">
        <f>IF(AND(C3245&lt;&gt;"", J3245&lt;&gt;""), HYPERLINK("#'" &amp; C3245 &amp; "'!" &amp; J3245, J3245), "")</f>
        <v/>
      </c>
    </row>
    <row r="3246">
      <c r="B3246" s="21">
        <f>IF(AND(C3246&lt;&gt;"", J3246&lt;&gt;""), HYPERLINK("#'" &amp; C3246 &amp; "'!" &amp; J3246, J3246), "")</f>
        <v/>
      </c>
    </row>
    <row r="3247">
      <c r="B3247" s="21">
        <f>IF(AND(C3247&lt;&gt;"", J3247&lt;&gt;""), HYPERLINK("#'" &amp; C3247 &amp; "'!" &amp; J3247, J3247), "")</f>
        <v/>
      </c>
    </row>
    <row r="3248">
      <c r="B3248" s="21">
        <f>IF(AND(C3248&lt;&gt;"", J3248&lt;&gt;""), HYPERLINK("#'" &amp; C3248 &amp; "'!" &amp; J3248, J3248), "")</f>
        <v/>
      </c>
    </row>
    <row r="3249">
      <c r="B3249" s="21">
        <f>IF(AND(C3249&lt;&gt;"", J3249&lt;&gt;""), HYPERLINK("#'" &amp; C3249 &amp; "'!" &amp; J3249, J3249), "")</f>
        <v/>
      </c>
    </row>
    <row r="3250">
      <c r="B3250" s="21">
        <f>IF(AND(C3250&lt;&gt;"", J3250&lt;&gt;""), HYPERLINK("#'" &amp; C3250 &amp; "'!" &amp; J3250, J3250), "")</f>
        <v/>
      </c>
    </row>
    <row r="3251">
      <c r="B3251" s="21">
        <f>IF(AND(C3251&lt;&gt;"", J3251&lt;&gt;""), HYPERLINK("#'" &amp; C3251 &amp; "'!" &amp; J3251, J3251), "")</f>
        <v/>
      </c>
    </row>
    <row r="3252">
      <c r="B3252" s="21">
        <f>IF(AND(C3252&lt;&gt;"", J3252&lt;&gt;""), HYPERLINK("#'" &amp; C3252 &amp; "'!" &amp; J3252, J3252), "")</f>
        <v/>
      </c>
    </row>
    <row r="3253">
      <c r="B3253" s="21">
        <f>IF(AND(C3253&lt;&gt;"", J3253&lt;&gt;""), HYPERLINK("#'" &amp; C3253 &amp; "'!" &amp; J3253, J3253), "")</f>
        <v/>
      </c>
    </row>
    <row r="3254">
      <c r="B3254" s="21">
        <f>IF(AND(C3254&lt;&gt;"", J3254&lt;&gt;""), HYPERLINK("#'" &amp; C3254 &amp; "'!" &amp; J3254, J3254), "")</f>
        <v/>
      </c>
    </row>
    <row r="3255">
      <c r="B3255" s="21">
        <f>IF(AND(C3255&lt;&gt;"", J3255&lt;&gt;""), HYPERLINK("#'" &amp; C3255 &amp; "'!" &amp; J3255, J3255), "")</f>
        <v/>
      </c>
    </row>
    <row r="3256">
      <c r="B3256" s="21">
        <f>IF(AND(C3256&lt;&gt;"", J3256&lt;&gt;""), HYPERLINK("#'" &amp; C3256 &amp; "'!" &amp; J3256, J3256), "")</f>
        <v/>
      </c>
    </row>
    <row r="3257">
      <c r="B3257" s="21">
        <f>IF(AND(C3257&lt;&gt;"", J3257&lt;&gt;""), HYPERLINK("#'" &amp; C3257 &amp; "'!" &amp; J3257, J3257), "")</f>
        <v/>
      </c>
    </row>
    <row r="3258">
      <c r="B3258" s="21">
        <f>IF(AND(C3258&lt;&gt;"", J3258&lt;&gt;""), HYPERLINK("#'" &amp; C3258 &amp; "'!" &amp; J3258, J3258), "")</f>
        <v/>
      </c>
    </row>
    <row r="3259">
      <c r="B3259" s="21">
        <f>IF(AND(C3259&lt;&gt;"", J3259&lt;&gt;""), HYPERLINK("#'" &amp; C3259 &amp; "'!" &amp; J3259, J3259), "")</f>
        <v/>
      </c>
    </row>
    <row r="3260">
      <c r="B3260" s="21">
        <f>IF(AND(C3260&lt;&gt;"", J3260&lt;&gt;""), HYPERLINK("#'" &amp; C3260 &amp; "'!" &amp; J3260, J3260), "")</f>
        <v/>
      </c>
    </row>
    <row r="3261">
      <c r="B3261" s="21">
        <f>IF(AND(C3261&lt;&gt;"", J3261&lt;&gt;""), HYPERLINK("#'" &amp; C3261 &amp; "'!" &amp; J3261, J3261), "")</f>
        <v/>
      </c>
    </row>
    <row r="3262">
      <c r="B3262" s="21">
        <f>IF(AND(C3262&lt;&gt;"", J3262&lt;&gt;""), HYPERLINK("#'" &amp; C3262 &amp; "'!" &amp; J3262, J3262), "")</f>
        <v/>
      </c>
    </row>
    <row r="3263">
      <c r="B3263" s="21">
        <f>IF(AND(C3263&lt;&gt;"", J3263&lt;&gt;""), HYPERLINK("#'" &amp; C3263 &amp; "'!" &amp; J3263, J3263), "")</f>
        <v/>
      </c>
    </row>
    <row r="3264">
      <c r="B3264" s="21">
        <f>IF(AND(C3264&lt;&gt;"", J3264&lt;&gt;""), HYPERLINK("#'" &amp; C3264 &amp; "'!" &amp; J3264, J3264), "")</f>
        <v/>
      </c>
    </row>
    <row r="3265">
      <c r="B3265" s="21">
        <f>IF(AND(C3265&lt;&gt;"", J3265&lt;&gt;""), HYPERLINK("#'" &amp; C3265 &amp; "'!" &amp; J3265, J3265), "")</f>
        <v/>
      </c>
    </row>
    <row r="3266">
      <c r="B3266" s="21">
        <f>IF(AND(C3266&lt;&gt;"", J3266&lt;&gt;""), HYPERLINK("#'" &amp; C3266 &amp; "'!" &amp; J3266, J3266), "")</f>
        <v/>
      </c>
    </row>
    <row r="3267">
      <c r="B3267" s="21">
        <f>IF(AND(C3267&lt;&gt;"", J3267&lt;&gt;""), HYPERLINK("#'" &amp; C3267 &amp; "'!" &amp; J3267, J3267), "")</f>
        <v/>
      </c>
    </row>
    <row r="3268">
      <c r="B3268" s="21">
        <f>IF(AND(C3268&lt;&gt;"", J3268&lt;&gt;""), HYPERLINK("#'" &amp; C3268 &amp; "'!" &amp; J3268, J3268), "")</f>
        <v/>
      </c>
    </row>
    <row r="3269">
      <c r="B3269" s="21">
        <f>IF(AND(C3269&lt;&gt;"", J3269&lt;&gt;""), HYPERLINK("#'" &amp; C3269 &amp; "'!" &amp; J3269, J3269), "")</f>
        <v/>
      </c>
    </row>
    <row r="3270">
      <c r="B3270" s="21">
        <f>IF(AND(C3270&lt;&gt;"", J3270&lt;&gt;""), HYPERLINK("#'" &amp; C3270 &amp; "'!" &amp; J3270, J3270), "")</f>
        <v/>
      </c>
    </row>
    <row r="3271">
      <c r="B3271" s="21">
        <f>IF(AND(C3271&lt;&gt;"", J3271&lt;&gt;""), HYPERLINK("#'" &amp; C3271 &amp; "'!" &amp; J3271, J3271), "")</f>
        <v/>
      </c>
    </row>
    <row r="3272">
      <c r="B3272" s="21">
        <f>IF(AND(C3272&lt;&gt;"", J3272&lt;&gt;""), HYPERLINK("#'" &amp; C3272 &amp; "'!" &amp; J3272, J3272), "")</f>
        <v/>
      </c>
    </row>
    <row r="3273">
      <c r="B3273" s="21">
        <f>IF(AND(C3273&lt;&gt;"", J3273&lt;&gt;""), HYPERLINK("#'" &amp; C3273 &amp; "'!" &amp; J3273, J3273), "")</f>
        <v/>
      </c>
    </row>
    <row r="3274">
      <c r="B3274" s="21">
        <f>IF(AND(C3274&lt;&gt;"", J3274&lt;&gt;""), HYPERLINK("#'" &amp; C3274 &amp; "'!" &amp; J3274, J3274), "")</f>
        <v/>
      </c>
    </row>
    <row r="3275">
      <c r="B3275" s="21">
        <f>IF(AND(C3275&lt;&gt;"", J3275&lt;&gt;""), HYPERLINK("#'" &amp; C3275 &amp; "'!" &amp; J3275, J3275), "")</f>
        <v/>
      </c>
    </row>
    <row r="3276">
      <c r="B3276" s="21">
        <f>IF(AND(C3276&lt;&gt;"", J3276&lt;&gt;""), HYPERLINK("#'" &amp; C3276 &amp; "'!" &amp; J3276, J3276), "")</f>
        <v/>
      </c>
    </row>
    <row r="3277">
      <c r="B3277" s="21">
        <f>IF(AND(C3277&lt;&gt;"", J3277&lt;&gt;""), HYPERLINK("#'" &amp; C3277 &amp; "'!" &amp; J3277, J3277), "")</f>
        <v/>
      </c>
    </row>
    <row r="3278">
      <c r="B3278" s="21">
        <f>IF(AND(C3278&lt;&gt;"", J3278&lt;&gt;""), HYPERLINK("#'" &amp; C3278 &amp; "'!" &amp; J3278, J3278), "")</f>
        <v/>
      </c>
    </row>
    <row r="3279">
      <c r="B3279" s="21">
        <f>IF(AND(C3279&lt;&gt;"", J3279&lt;&gt;""), HYPERLINK("#'" &amp; C3279 &amp; "'!" &amp; J3279, J3279), "")</f>
        <v/>
      </c>
    </row>
    <row r="3280">
      <c r="B3280" s="21">
        <f>IF(AND(C3280&lt;&gt;"", J3280&lt;&gt;""), HYPERLINK("#'" &amp; C3280 &amp; "'!" &amp; J3280, J3280), "")</f>
        <v/>
      </c>
    </row>
    <row r="3281">
      <c r="B3281" s="21">
        <f>IF(AND(C3281&lt;&gt;"", J3281&lt;&gt;""), HYPERLINK("#'" &amp; C3281 &amp; "'!" &amp; J3281, J3281), "")</f>
        <v/>
      </c>
    </row>
    <row r="3282">
      <c r="B3282" s="21">
        <f>IF(AND(C3282&lt;&gt;"", J3282&lt;&gt;""), HYPERLINK("#'" &amp; C3282 &amp; "'!" &amp; J3282, J3282), "")</f>
        <v/>
      </c>
    </row>
    <row r="3283">
      <c r="B3283" s="21">
        <f>IF(AND(C3283&lt;&gt;"", J3283&lt;&gt;""), HYPERLINK("#'" &amp; C3283 &amp; "'!" &amp; J3283, J3283), "")</f>
        <v/>
      </c>
    </row>
    <row r="3284">
      <c r="B3284" s="21">
        <f>IF(AND(C3284&lt;&gt;"", J3284&lt;&gt;""), HYPERLINK("#'" &amp; C3284 &amp; "'!" &amp; J3284, J3284), "")</f>
        <v/>
      </c>
    </row>
    <row r="3285">
      <c r="B3285" s="21">
        <f>IF(AND(C3285&lt;&gt;"", J3285&lt;&gt;""), HYPERLINK("#'" &amp; C3285 &amp; "'!" &amp; J3285, J3285), "")</f>
        <v/>
      </c>
    </row>
    <row r="3286">
      <c r="B3286" s="21">
        <f>IF(AND(C3286&lt;&gt;"", J3286&lt;&gt;""), HYPERLINK("#'" &amp; C3286 &amp; "'!" &amp; J3286, J3286), "")</f>
        <v/>
      </c>
    </row>
    <row r="3287">
      <c r="B3287" s="21">
        <f>IF(AND(C3287&lt;&gt;"", J3287&lt;&gt;""), HYPERLINK("#'" &amp; C3287 &amp; "'!" &amp; J3287, J3287), "")</f>
        <v/>
      </c>
    </row>
    <row r="3288">
      <c r="B3288" s="21">
        <f>IF(AND(C3288&lt;&gt;"", J3288&lt;&gt;""), HYPERLINK("#'" &amp; C3288 &amp; "'!" &amp; J3288, J3288), "")</f>
        <v/>
      </c>
    </row>
    <row r="3289">
      <c r="B3289" s="21">
        <f>IF(AND(C3289&lt;&gt;"", J3289&lt;&gt;""), HYPERLINK("#'" &amp; C3289 &amp; "'!" &amp; J3289, J3289), "")</f>
        <v/>
      </c>
    </row>
    <row r="3290">
      <c r="B3290" s="21">
        <f>IF(AND(C3290&lt;&gt;"", J3290&lt;&gt;""), HYPERLINK("#'" &amp; C3290 &amp; "'!" &amp; J3290, J3290), "")</f>
        <v/>
      </c>
    </row>
    <row r="3291">
      <c r="B3291" s="21">
        <f>IF(AND(C3291&lt;&gt;"", J3291&lt;&gt;""), HYPERLINK("#'" &amp; C3291 &amp; "'!" &amp; J3291, J3291), "")</f>
        <v/>
      </c>
    </row>
    <row r="3292">
      <c r="B3292" s="21">
        <f>IF(AND(C3292&lt;&gt;"", J3292&lt;&gt;""), HYPERLINK("#'" &amp; C3292 &amp; "'!" &amp; J3292, J3292), "")</f>
        <v/>
      </c>
    </row>
    <row r="3293">
      <c r="B3293" s="21">
        <f>IF(AND(C3293&lt;&gt;"", J3293&lt;&gt;""), HYPERLINK("#'" &amp; C3293 &amp; "'!" &amp; J3293, J3293), "")</f>
        <v/>
      </c>
    </row>
    <row r="3294">
      <c r="B3294" s="21">
        <f>IF(AND(C3294&lt;&gt;"", J3294&lt;&gt;""), HYPERLINK("#'" &amp; C3294 &amp; "'!" &amp; J3294, J3294), "")</f>
        <v/>
      </c>
    </row>
    <row r="3295">
      <c r="B3295" s="21">
        <f>IF(AND(C3295&lt;&gt;"", J3295&lt;&gt;""), HYPERLINK("#'" &amp; C3295 &amp; "'!" &amp; J3295, J3295), "")</f>
        <v/>
      </c>
    </row>
    <row r="3296">
      <c r="B3296" s="21">
        <f>IF(AND(C3296&lt;&gt;"", J3296&lt;&gt;""), HYPERLINK("#'" &amp; C3296 &amp; "'!" &amp; J3296, J3296), "")</f>
        <v/>
      </c>
    </row>
    <row r="3297">
      <c r="B3297" s="21">
        <f>IF(AND(C3297&lt;&gt;"", J3297&lt;&gt;""), HYPERLINK("#'" &amp; C3297 &amp; "'!" &amp; J3297, J3297), "")</f>
        <v/>
      </c>
    </row>
    <row r="3298">
      <c r="B3298" s="21">
        <f>IF(AND(C3298&lt;&gt;"", J3298&lt;&gt;""), HYPERLINK("#'" &amp; C3298 &amp; "'!" &amp; J3298, J3298), "")</f>
        <v/>
      </c>
    </row>
    <row r="3299">
      <c r="B3299" s="21">
        <f>IF(AND(C3299&lt;&gt;"", J3299&lt;&gt;""), HYPERLINK("#'" &amp; C3299 &amp; "'!" &amp; J3299, J3299), "")</f>
        <v/>
      </c>
    </row>
    <row r="3300">
      <c r="B3300" s="21">
        <f>IF(AND(C3300&lt;&gt;"", J3300&lt;&gt;""), HYPERLINK("#'" &amp; C3300 &amp; "'!" &amp; J3300, J3300), "")</f>
        <v/>
      </c>
    </row>
    <row r="3301">
      <c r="B3301" s="21">
        <f>IF(AND(C3301&lt;&gt;"", J3301&lt;&gt;""), HYPERLINK("#'" &amp; C3301 &amp; "'!" &amp; J3301, J3301), "")</f>
        <v/>
      </c>
    </row>
    <row r="3302">
      <c r="B3302" s="21">
        <f>IF(AND(C3302&lt;&gt;"", J3302&lt;&gt;""), HYPERLINK("#'" &amp; C3302 &amp; "'!" &amp; J3302, J3302), "")</f>
        <v/>
      </c>
    </row>
    <row r="3303">
      <c r="B3303" s="21">
        <f>IF(AND(C3303&lt;&gt;"", J3303&lt;&gt;""), HYPERLINK("#'" &amp; C3303 &amp; "'!" &amp; J3303, J3303), "")</f>
        <v/>
      </c>
    </row>
    <row r="3304">
      <c r="B3304" s="21">
        <f>IF(AND(C3304&lt;&gt;"", J3304&lt;&gt;""), HYPERLINK("#'" &amp; C3304 &amp; "'!" &amp; J3304, J3304), "")</f>
        <v/>
      </c>
    </row>
    <row r="3305">
      <c r="B3305" s="21">
        <f>IF(AND(C3305&lt;&gt;"", J3305&lt;&gt;""), HYPERLINK("#'" &amp; C3305 &amp; "'!" &amp; J3305, J3305), "")</f>
        <v/>
      </c>
    </row>
    <row r="3306">
      <c r="B3306" s="21">
        <f>IF(AND(C3306&lt;&gt;"", J3306&lt;&gt;""), HYPERLINK("#'" &amp; C3306 &amp; "'!" &amp; J3306, J3306), "")</f>
        <v/>
      </c>
    </row>
    <row r="3307">
      <c r="B3307" s="21">
        <f>IF(AND(C3307&lt;&gt;"", J3307&lt;&gt;""), HYPERLINK("#'" &amp; C3307 &amp; "'!" &amp; J3307, J3307), "")</f>
        <v/>
      </c>
    </row>
    <row r="3308">
      <c r="B3308" s="21">
        <f>IF(AND(C3308&lt;&gt;"", J3308&lt;&gt;""), HYPERLINK("#'" &amp; C3308 &amp; "'!" &amp; J3308, J3308), "")</f>
        <v/>
      </c>
    </row>
    <row r="3309">
      <c r="B3309" s="21">
        <f>IF(AND(C3309&lt;&gt;"", J3309&lt;&gt;""), HYPERLINK("#'" &amp; C3309 &amp; "'!" &amp; J3309, J3309), "")</f>
        <v/>
      </c>
    </row>
    <row r="3310">
      <c r="B3310" s="21">
        <f>IF(AND(C3310&lt;&gt;"", J3310&lt;&gt;""), HYPERLINK("#'" &amp; C3310 &amp; "'!" &amp; J3310, J3310), "")</f>
        <v/>
      </c>
    </row>
    <row r="3311">
      <c r="B3311" s="21">
        <f>IF(AND(C3311&lt;&gt;"", J3311&lt;&gt;""), HYPERLINK("#'" &amp; C3311 &amp; "'!" &amp; J3311, J3311), "")</f>
        <v/>
      </c>
    </row>
    <row r="3312">
      <c r="B3312" s="21">
        <f>IF(AND(C3312&lt;&gt;"", J3312&lt;&gt;""), HYPERLINK("#'" &amp; C3312 &amp; "'!" &amp; J3312, J3312), "")</f>
        <v/>
      </c>
    </row>
    <row r="3313">
      <c r="B3313" s="21">
        <f>IF(AND(C3313&lt;&gt;"", J3313&lt;&gt;""), HYPERLINK("#'" &amp; C3313 &amp; "'!" &amp; J3313, J3313), "")</f>
        <v/>
      </c>
    </row>
    <row r="3314">
      <c r="B3314" s="21">
        <f>IF(AND(C3314&lt;&gt;"", J3314&lt;&gt;""), HYPERLINK("#'" &amp; C3314 &amp; "'!" &amp; J3314, J3314), "")</f>
        <v/>
      </c>
    </row>
    <row r="3315">
      <c r="B3315" s="21">
        <f>IF(AND(C3315&lt;&gt;"", J3315&lt;&gt;""), HYPERLINK("#'" &amp; C3315 &amp; "'!" &amp; J3315, J3315), "")</f>
        <v/>
      </c>
    </row>
    <row r="3316">
      <c r="B3316" s="21">
        <f>IF(AND(C3316&lt;&gt;"", J3316&lt;&gt;""), HYPERLINK("#'" &amp; C3316 &amp; "'!" &amp; J3316, J3316), "")</f>
        <v/>
      </c>
    </row>
    <row r="3317">
      <c r="B3317" s="21">
        <f>IF(AND(C3317&lt;&gt;"", J3317&lt;&gt;""), HYPERLINK("#'" &amp; C3317 &amp; "'!" &amp; J3317, J3317), "")</f>
        <v/>
      </c>
    </row>
    <row r="3318">
      <c r="B3318" s="21">
        <f>IF(AND(C3318&lt;&gt;"", J3318&lt;&gt;""), HYPERLINK("#'" &amp; C3318 &amp; "'!" &amp; J3318, J3318), "")</f>
        <v/>
      </c>
    </row>
    <row r="3319">
      <c r="B3319" s="21">
        <f>IF(AND(C3319&lt;&gt;"", J3319&lt;&gt;""), HYPERLINK("#'" &amp; C3319 &amp; "'!" &amp; J3319, J3319), "")</f>
        <v/>
      </c>
    </row>
    <row r="3320">
      <c r="B3320" s="21">
        <f>IF(AND(C3320&lt;&gt;"", J3320&lt;&gt;""), HYPERLINK("#'" &amp; C3320 &amp; "'!" &amp; J3320, J3320), "")</f>
        <v/>
      </c>
    </row>
    <row r="3321">
      <c r="B3321" s="21">
        <f>IF(AND(C3321&lt;&gt;"", J3321&lt;&gt;""), HYPERLINK("#'" &amp; C3321 &amp; "'!" &amp; J3321, J3321), "")</f>
        <v/>
      </c>
    </row>
    <row r="3322">
      <c r="B3322" s="21">
        <f>IF(AND(C3322&lt;&gt;"", J3322&lt;&gt;""), HYPERLINK("#'" &amp; C3322 &amp; "'!" &amp; J3322, J3322), "")</f>
        <v/>
      </c>
    </row>
    <row r="3323">
      <c r="B3323" s="21">
        <f>IF(AND(C3323&lt;&gt;"", J3323&lt;&gt;""), HYPERLINK("#'" &amp; C3323 &amp; "'!" &amp; J3323, J3323), "")</f>
        <v/>
      </c>
    </row>
    <row r="3324">
      <c r="B3324" s="21">
        <f>IF(AND(C3324&lt;&gt;"", J3324&lt;&gt;""), HYPERLINK("#'" &amp; C3324 &amp; "'!" &amp; J3324, J3324), "")</f>
        <v/>
      </c>
    </row>
    <row r="3325">
      <c r="B3325" s="21">
        <f>IF(AND(C3325&lt;&gt;"", J3325&lt;&gt;""), HYPERLINK("#'" &amp; C3325 &amp; "'!" &amp; J3325, J3325), "")</f>
        <v/>
      </c>
    </row>
    <row r="3326">
      <c r="B3326" s="21">
        <f>IF(AND(C3326&lt;&gt;"", J3326&lt;&gt;""), HYPERLINK("#'" &amp; C3326 &amp; "'!" &amp; J3326, J3326), "")</f>
        <v/>
      </c>
    </row>
    <row r="3327">
      <c r="B3327" s="21">
        <f>IF(AND(C3327&lt;&gt;"", J3327&lt;&gt;""), HYPERLINK("#'" &amp; C3327 &amp; "'!" &amp; J3327, J3327), "")</f>
        <v/>
      </c>
    </row>
    <row r="3328">
      <c r="B3328" s="21">
        <f>IF(AND(C3328&lt;&gt;"", J3328&lt;&gt;""), HYPERLINK("#'" &amp; C3328 &amp; "'!" &amp; J3328, J3328), "")</f>
        <v/>
      </c>
    </row>
    <row r="3329">
      <c r="B3329" s="21">
        <f>IF(AND(C3329&lt;&gt;"", J3329&lt;&gt;""), HYPERLINK("#'" &amp; C3329 &amp; "'!" &amp; J3329, J3329), "")</f>
        <v/>
      </c>
    </row>
    <row r="3330">
      <c r="B3330" s="21">
        <f>IF(AND(C3330&lt;&gt;"", J3330&lt;&gt;""), HYPERLINK("#'" &amp; C3330 &amp; "'!" &amp; J3330, J3330), "")</f>
        <v/>
      </c>
    </row>
    <row r="3331">
      <c r="B3331" s="21">
        <f>IF(AND(C3331&lt;&gt;"", J3331&lt;&gt;""), HYPERLINK("#'" &amp; C3331 &amp; "'!" &amp; J3331, J3331), "")</f>
        <v/>
      </c>
    </row>
    <row r="3332">
      <c r="B3332" s="21">
        <f>IF(AND(C3332&lt;&gt;"", J3332&lt;&gt;""), HYPERLINK("#'" &amp; C3332 &amp; "'!" &amp; J3332, J3332), "")</f>
        <v/>
      </c>
    </row>
    <row r="3333">
      <c r="B3333" s="21">
        <f>IF(AND(C3333&lt;&gt;"", J3333&lt;&gt;""), HYPERLINK("#'" &amp; C3333 &amp; "'!" &amp; J3333, J3333), "")</f>
        <v/>
      </c>
    </row>
    <row r="3334">
      <c r="B3334" s="21">
        <f>IF(AND(C3334&lt;&gt;"", J3334&lt;&gt;""), HYPERLINK("#'" &amp; C3334 &amp; "'!" &amp; J3334, J3334), "")</f>
        <v/>
      </c>
    </row>
    <row r="3335">
      <c r="B3335" s="21">
        <f>IF(AND(C3335&lt;&gt;"", J3335&lt;&gt;""), HYPERLINK("#'" &amp; C3335 &amp; "'!" &amp; J3335, J3335), "")</f>
        <v/>
      </c>
    </row>
    <row r="3336">
      <c r="B3336" s="21">
        <f>IF(AND(C3336&lt;&gt;"", J3336&lt;&gt;""), HYPERLINK("#'" &amp; C3336 &amp; "'!" &amp; J3336, J3336), "")</f>
        <v/>
      </c>
    </row>
    <row r="3337">
      <c r="B3337" s="21">
        <f>IF(AND(C3337&lt;&gt;"", J3337&lt;&gt;""), HYPERLINK("#'" &amp; C3337 &amp; "'!" &amp; J3337, J3337), "")</f>
        <v/>
      </c>
    </row>
    <row r="3338">
      <c r="B3338" s="21">
        <f>IF(AND(C3338&lt;&gt;"", J3338&lt;&gt;""), HYPERLINK("#'" &amp; C3338 &amp; "'!" &amp; J3338, J3338), "")</f>
        <v/>
      </c>
    </row>
    <row r="3339">
      <c r="B3339" s="21">
        <f>IF(AND(C3339&lt;&gt;"", J3339&lt;&gt;""), HYPERLINK("#'" &amp; C3339 &amp; "'!" &amp; J3339, J3339), "")</f>
        <v/>
      </c>
    </row>
    <row r="3340">
      <c r="B3340" s="21">
        <f>IF(AND(C3340&lt;&gt;"", J3340&lt;&gt;""), HYPERLINK("#'" &amp; C3340 &amp; "'!" &amp; J3340, J3340), "")</f>
        <v/>
      </c>
    </row>
    <row r="3341">
      <c r="B3341" s="21">
        <f>IF(AND(C3341&lt;&gt;"", J3341&lt;&gt;""), HYPERLINK("#'" &amp; C3341 &amp; "'!" &amp; J3341, J3341), "")</f>
        <v/>
      </c>
    </row>
    <row r="3342">
      <c r="B3342" s="21">
        <f>IF(AND(C3342&lt;&gt;"", J3342&lt;&gt;""), HYPERLINK("#'" &amp; C3342 &amp; "'!" &amp; J3342, J3342), "")</f>
        <v/>
      </c>
    </row>
    <row r="3343">
      <c r="B3343" s="21">
        <f>IF(AND(C3343&lt;&gt;"", J3343&lt;&gt;""), HYPERLINK("#'" &amp; C3343 &amp; "'!" &amp; J3343, J3343), "")</f>
        <v/>
      </c>
    </row>
    <row r="3344">
      <c r="B3344" s="21">
        <f>IF(AND(C3344&lt;&gt;"", J3344&lt;&gt;""), HYPERLINK("#'" &amp; C3344 &amp; "'!" &amp; J3344, J3344), "")</f>
        <v/>
      </c>
    </row>
    <row r="3345">
      <c r="B3345" s="21">
        <f>IF(AND(C3345&lt;&gt;"", J3345&lt;&gt;""), HYPERLINK("#'" &amp; C3345 &amp; "'!" &amp; J3345, J3345), "")</f>
        <v/>
      </c>
    </row>
    <row r="3346">
      <c r="B3346" s="21">
        <f>IF(AND(C3346&lt;&gt;"", J3346&lt;&gt;""), HYPERLINK("#'" &amp; C3346 &amp; "'!" &amp; J3346, J3346), "")</f>
        <v/>
      </c>
    </row>
    <row r="3347">
      <c r="B3347" s="21">
        <f>IF(AND(C3347&lt;&gt;"", J3347&lt;&gt;""), HYPERLINK("#'" &amp; C3347 &amp; "'!" &amp; J3347, J3347), "")</f>
        <v/>
      </c>
    </row>
    <row r="3348">
      <c r="B3348" s="21">
        <f>IF(AND(C3348&lt;&gt;"", J3348&lt;&gt;""), HYPERLINK("#'" &amp; C3348 &amp; "'!" &amp; J3348, J3348), "")</f>
        <v/>
      </c>
    </row>
    <row r="3349">
      <c r="B3349" s="21">
        <f>IF(AND(C3349&lt;&gt;"", J3349&lt;&gt;""), HYPERLINK("#'" &amp; C3349 &amp; "'!" &amp; J3349, J3349), "")</f>
        <v/>
      </c>
    </row>
    <row r="3350">
      <c r="B3350" s="21">
        <f>IF(AND(C3350&lt;&gt;"", J3350&lt;&gt;""), HYPERLINK("#'" &amp; C3350 &amp; "'!" &amp; J3350, J3350), "")</f>
        <v/>
      </c>
    </row>
    <row r="3351">
      <c r="B3351" s="21">
        <f>IF(AND(C3351&lt;&gt;"", J3351&lt;&gt;""), HYPERLINK("#'" &amp; C3351 &amp; "'!" &amp; J3351, J3351), "")</f>
        <v/>
      </c>
    </row>
    <row r="3352">
      <c r="B3352" s="21">
        <f>IF(AND(C3352&lt;&gt;"", J3352&lt;&gt;""), HYPERLINK("#'" &amp; C3352 &amp; "'!" &amp; J3352, J3352), "")</f>
        <v/>
      </c>
    </row>
    <row r="3353">
      <c r="B3353" s="21">
        <f>IF(AND(C3353&lt;&gt;"", J3353&lt;&gt;""), HYPERLINK("#'" &amp; C3353 &amp; "'!" &amp; J3353, J3353), "")</f>
        <v/>
      </c>
    </row>
    <row r="3354">
      <c r="B3354" s="21">
        <f>IF(AND(C3354&lt;&gt;"", J3354&lt;&gt;""), HYPERLINK("#'" &amp; C3354 &amp; "'!" &amp; J3354, J3354), "")</f>
        <v/>
      </c>
    </row>
    <row r="3355">
      <c r="B3355" s="21">
        <f>IF(AND(C3355&lt;&gt;"", J3355&lt;&gt;""), HYPERLINK("#'" &amp; C3355 &amp; "'!" &amp; J3355, J3355), "")</f>
        <v/>
      </c>
    </row>
    <row r="3356">
      <c r="B3356" s="21">
        <f>IF(AND(C3356&lt;&gt;"", J3356&lt;&gt;""), HYPERLINK("#'" &amp; C3356 &amp; "'!" &amp; J3356, J3356), "")</f>
        <v/>
      </c>
    </row>
    <row r="3357">
      <c r="B3357" s="21">
        <f>IF(AND(C3357&lt;&gt;"", J3357&lt;&gt;""), HYPERLINK("#'" &amp; C3357 &amp; "'!" &amp; J3357, J3357), "")</f>
        <v/>
      </c>
    </row>
    <row r="3358">
      <c r="B3358" s="21">
        <f>IF(AND(C3358&lt;&gt;"", J3358&lt;&gt;""), HYPERLINK("#'" &amp; C3358 &amp; "'!" &amp; J3358, J3358), "")</f>
        <v/>
      </c>
    </row>
    <row r="3359">
      <c r="B3359" s="21">
        <f>IF(AND(C3359&lt;&gt;"", J3359&lt;&gt;""), HYPERLINK("#'" &amp; C3359 &amp; "'!" &amp; J3359, J3359), "")</f>
        <v/>
      </c>
    </row>
    <row r="3360">
      <c r="B3360" s="21">
        <f>IF(AND(C3360&lt;&gt;"", J3360&lt;&gt;""), HYPERLINK("#'" &amp; C3360 &amp; "'!" &amp; J3360, J3360), "")</f>
        <v/>
      </c>
    </row>
    <row r="3361">
      <c r="B3361" s="21">
        <f>IF(AND(C3361&lt;&gt;"", J3361&lt;&gt;""), HYPERLINK("#'" &amp; C3361 &amp; "'!" &amp; J3361, J3361), "")</f>
        <v/>
      </c>
    </row>
    <row r="3362">
      <c r="B3362" s="21">
        <f>IF(AND(C3362&lt;&gt;"", J3362&lt;&gt;""), HYPERLINK("#'" &amp; C3362 &amp; "'!" &amp; J3362, J3362), "")</f>
        <v/>
      </c>
    </row>
    <row r="3363">
      <c r="B3363" s="21">
        <f>IF(AND(C3363&lt;&gt;"", J3363&lt;&gt;""), HYPERLINK("#'" &amp; C3363 &amp; "'!" &amp; J3363, J3363), "")</f>
        <v/>
      </c>
    </row>
    <row r="3364">
      <c r="B3364" s="21">
        <f>IF(AND(C3364&lt;&gt;"", J3364&lt;&gt;""), HYPERLINK("#'" &amp; C3364 &amp; "'!" &amp; J3364, J3364), "")</f>
        <v/>
      </c>
    </row>
    <row r="3365">
      <c r="B3365" s="21">
        <f>IF(AND(C3365&lt;&gt;"", J3365&lt;&gt;""), HYPERLINK("#'" &amp; C3365 &amp; "'!" &amp; J3365, J3365), "")</f>
        <v/>
      </c>
    </row>
    <row r="3366">
      <c r="B3366" s="21">
        <f>IF(AND(C3366&lt;&gt;"", J3366&lt;&gt;""), HYPERLINK("#'" &amp; C3366 &amp; "'!" &amp; J3366, J3366), "")</f>
        <v/>
      </c>
    </row>
    <row r="3367">
      <c r="B3367" s="21">
        <f>IF(AND(C3367&lt;&gt;"", J3367&lt;&gt;""), HYPERLINK("#'" &amp; C3367 &amp; "'!" &amp; J3367, J3367), "")</f>
        <v/>
      </c>
    </row>
    <row r="3368">
      <c r="B3368" s="21">
        <f>IF(AND(C3368&lt;&gt;"", J3368&lt;&gt;""), HYPERLINK("#'" &amp; C3368 &amp; "'!" &amp; J3368, J3368), "")</f>
        <v/>
      </c>
    </row>
    <row r="3369">
      <c r="B3369" s="21">
        <f>IF(AND(C3369&lt;&gt;"", J3369&lt;&gt;""), HYPERLINK("#'" &amp; C3369 &amp; "'!" &amp; J3369, J3369), "")</f>
        <v/>
      </c>
    </row>
    <row r="3370">
      <c r="B3370" s="21">
        <f>IF(AND(C3370&lt;&gt;"", J3370&lt;&gt;""), HYPERLINK("#'" &amp; C3370 &amp; "'!" &amp; J3370, J3370), "")</f>
        <v/>
      </c>
    </row>
    <row r="3371">
      <c r="B3371" s="21">
        <f>IF(AND(C3371&lt;&gt;"", J3371&lt;&gt;""), HYPERLINK("#'" &amp; C3371 &amp; "'!" &amp; J3371, J3371), "")</f>
        <v/>
      </c>
    </row>
    <row r="3372">
      <c r="B3372" s="21">
        <f>IF(AND(C3372&lt;&gt;"", J3372&lt;&gt;""), HYPERLINK("#'" &amp; C3372 &amp; "'!" &amp; J3372, J3372), "")</f>
        <v/>
      </c>
    </row>
    <row r="3373">
      <c r="B3373" s="21">
        <f>IF(AND(C3373&lt;&gt;"", J3373&lt;&gt;""), HYPERLINK("#'" &amp; C3373 &amp; "'!" &amp; J3373, J3373), "")</f>
        <v/>
      </c>
    </row>
    <row r="3374">
      <c r="B3374" s="21">
        <f>IF(AND(C3374&lt;&gt;"", J3374&lt;&gt;""), HYPERLINK("#'" &amp; C3374 &amp; "'!" &amp; J3374, J3374), "")</f>
        <v/>
      </c>
    </row>
    <row r="3375">
      <c r="B3375" s="21">
        <f>IF(AND(C3375&lt;&gt;"", J3375&lt;&gt;""), HYPERLINK("#'" &amp; C3375 &amp; "'!" &amp; J3375, J3375), "")</f>
        <v/>
      </c>
    </row>
    <row r="3376">
      <c r="B3376" s="21">
        <f>IF(AND(C3376&lt;&gt;"", J3376&lt;&gt;""), HYPERLINK("#'" &amp; C3376 &amp; "'!" &amp; J3376, J3376), "")</f>
        <v/>
      </c>
    </row>
    <row r="3377">
      <c r="B3377" s="21">
        <f>IF(AND(C3377&lt;&gt;"", J3377&lt;&gt;""), HYPERLINK("#'" &amp; C3377 &amp; "'!" &amp; J3377, J3377), "")</f>
        <v/>
      </c>
    </row>
    <row r="3378">
      <c r="B3378" s="21">
        <f>IF(AND(C3378&lt;&gt;"", J3378&lt;&gt;""), HYPERLINK("#'" &amp; C3378 &amp; "'!" &amp; J3378, J3378), "")</f>
        <v/>
      </c>
    </row>
    <row r="3379">
      <c r="B3379" s="21">
        <f>IF(AND(C3379&lt;&gt;"", J3379&lt;&gt;""), HYPERLINK("#'" &amp; C3379 &amp; "'!" &amp; J3379, J3379), "")</f>
        <v/>
      </c>
    </row>
    <row r="3380">
      <c r="B3380" s="21">
        <f>IF(AND(C3380&lt;&gt;"", J3380&lt;&gt;""), HYPERLINK("#'" &amp; C3380 &amp; "'!" &amp; J3380, J3380), "")</f>
        <v/>
      </c>
    </row>
    <row r="3381">
      <c r="B3381" s="21">
        <f>IF(AND(C3381&lt;&gt;"", J3381&lt;&gt;""), HYPERLINK("#'" &amp; C3381 &amp; "'!" &amp; J3381, J3381), "")</f>
        <v/>
      </c>
    </row>
    <row r="3382">
      <c r="B3382" s="21">
        <f>IF(AND(C3382&lt;&gt;"", J3382&lt;&gt;""), HYPERLINK("#'" &amp; C3382 &amp; "'!" &amp; J3382, J3382), "")</f>
        <v/>
      </c>
    </row>
    <row r="3383">
      <c r="B3383" s="21">
        <f>IF(AND(C3383&lt;&gt;"", J3383&lt;&gt;""), HYPERLINK("#'" &amp; C3383 &amp; "'!" &amp; J3383, J3383), "")</f>
        <v/>
      </c>
    </row>
    <row r="3384">
      <c r="B3384" s="21">
        <f>IF(AND(C3384&lt;&gt;"", J3384&lt;&gt;""), HYPERLINK("#'" &amp; C3384 &amp; "'!" &amp; J3384, J3384), "")</f>
        <v/>
      </c>
    </row>
    <row r="3385">
      <c r="B3385" s="21">
        <f>IF(AND(C3385&lt;&gt;"", J3385&lt;&gt;""), HYPERLINK("#'" &amp; C3385 &amp; "'!" &amp; J3385, J3385), "")</f>
        <v/>
      </c>
    </row>
    <row r="3386">
      <c r="B3386" s="21">
        <f>IF(AND(C3386&lt;&gt;"", J3386&lt;&gt;""), HYPERLINK("#'" &amp; C3386 &amp; "'!" &amp; J3386, J3386), "")</f>
        <v/>
      </c>
    </row>
    <row r="3387">
      <c r="B3387" s="21">
        <f>IF(AND(C3387&lt;&gt;"", J3387&lt;&gt;""), HYPERLINK("#'" &amp; C3387 &amp; "'!" &amp; J3387, J3387), "")</f>
        <v/>
      </c>
    </row>
    <row r="3388">
      <c r="B3388" s="21">
        <f>IF(AND(C3388&lt;&gt;"", J3388&lt;&gt;""), HYPERLINK("#'" &amp; C3388 &amp; "'!" &amp; J3388, J3388), "")</f>
        <v/>
      </c>
    </row>
    <row r="3389">
      <c r="B3389" s="21">
        <f>IF(AND(C3389&lt;&gt;"", J3389&lt;&gt;""), HYPERLINK("#'" &amp; C3389 &amp; "'!" &amp; J3389, J3389), "")</f>
        <v/>
      </c>
    </row>
    <row r="3390">
      <c r="B3390" s="21">
        <f>IF(AND(C3390&lt;&gt;"", J3390&lt;&gt;""), HYPERLINK("#'" &amp; C3390 &amp; "'!" &amp; J3390, J3390), "")</f>
        <v/>
      </c>
    </row>
    <row r="3391">
      <c r="B3391" s="21">
        <f>IF(AND(C3391&lt;&gt;"", J3391&lt;&gt;""), HYPERLINK("#'" &amp; C3391 &amp; "'!" &amp; J3391, J3391), "")</f>
        <v/>
      </c>
    </row>
    <row r="3392">
      <c r="B3392" s="21">
        <f>IF(AND(C3392&lt;&gt;"", J3392&lt;&gt;""), HYPERLINK("#'" &amp; C3392 &amp; "'!" &amp; J3392, J3392), "")</f>
        <v/>
      </c>
    </row>
    <row r="3393">
      <c r="B3393" s="21">
        <f>IF(AND(C3393&lt;&gt;"", J3393&lt;&gt;""), HYPERLINK("#'" &amp; C3393 &amp; "'!" &amp; J3393, J3393), "")</f>
        <v/>
      </c>
    </row>
    <row r="3394">
      <c r="B3394" s="21">
        <f>IF(AND(C3394&lt;&gt;"", J3394&lt;&gt;""), HYPERLINK("#'" &amp; C3394 &amp; "'!" &amp; J3394, J3394), "")</f>
        <v/>
      </c>
    </row>
    <row r="3395">
      <c r="B3395" s="21">
        <f>IF(AND(C3395&lt;&gt;"", J3395&lt;&gt;""), HYPERLINK("#'" &amp; C3395 &amp; "'!" &amp; J3395, J3395), "")</f>
        <v/>
      </c>
    </row>
    <row r="3396">
      <c r="B3396" s="21">
        <f>IF(AND(C3396&lt;&gt;"", J3396&lt;&gt;""), HYPERLINK("#'" &amp; C3396 &amp; "'!" &amp; J3396, J3396), "")</f>
        <v/>
      </c>
    </row>
    <row r="3397">
      <c r="B3397" s="21">
        <f>IF(AND(C3397&lt;&gt;"", J3397&lt;&gt;""), HYPERLINK("#'" &amp; C3397 &amp; "'!" &amp; J3397, J3397), "")</f>
        <v/>
      </c>
    </row>
    <row r="3398">
      <c r="B3398" s="21">
        <f>IF(AND(C3398&lt;&gt;"", J3398&lt;&gt;""), HYPERLINK("#'" &amp; C3398 &amp; "'!" &amp; J3398, J3398), "")</f>
        <v/>
      </c>
    </row>
    <row r="3399">
      <c r="B3399" s="21">
        <f>IF(AND(C3399&lt;&gt;"", J3399&lt;&gt;""), HYPERLINK("#'" &amp; C3399 &amp; "'!" &amp; J3399, J3399), "")</f>
        <v/>
      </c>
    </row>
    <row r="3400">
      <c r="B3400" s="21">
        <f>IF(AND(C3400&lt;&gt;"", J3400&lt;&gt;""), HYPERLINK("#'" &amp; C3400 &amp; "'!" &amp; J3400, J3400), "")</f>
        <v/>
      </c>
    </row>
    <row r="3401">
      <c r="B3401" s="21">
        <f>IF(AND(C3401&lt;&gt;"", J3401&lt;&gt;""), HYPERLINK("#'" &amp; C3401 &amp; "'!" &amp; J3401, J3401), "")</f>
        <v/>
      </c>
    </row>
    <row r="3402">
      <c r="B3402" s="21">
        <f>IF(AND(C3402&lt;&gt;"", J3402&lt;&gt;""), HYPERLINK("#'" &amp; C3402 &amp; "'!" &amp; J3402, J3402), "")</f>
        <v/>
      </c>
    </row>
    <row r="3403">
      <c r="B3403" s="21">
        <f>IF(AND(C3403&lt;&gt;"", J3403&lt;&gt;""), HYPERLINK("#'" &amp; C3403 &amp; "'!" &amp; J3403, J3403), "")</f>
        <v/>
      </c>
    </row>
    <row r="3404">
      <c r="B3404" s="21">
        <f>IF(AND(C3404&lt;&gt;"", J3404&lt;&gt;""), HYPERLINK("#'" &amp; C3404 &amp; "'!" &amp; J3404, J3404), "")</f>
        <v/>
      </c>
    </row>
    <row r="3405">
      <c r="B3405" s="21">
        <f>IF(AND(C3405&lt;&gt;"", J3405&lt;&gt;""), HYPERLINK("#'" &amp; C3405 &amp; "'!" &amp; J3405, J3405), "")</f>
        <v/>
      </c>
    </row>
    <row r="3406">
      <c r="B3406" s="21">
        <f>IF(AND(C3406&lt;&gt;"", J3406&lt;&gt;""), HYPERLINK("#'" &amp; C3406 &amp; "'!" &amp; J3406, J3406), "")</f>
        <v/>
      </c>
    </row>
    <row r="3407">
      <c r="B3407" s="21">
        <f>IF(AND(C3407&lt;&gt;"", J3407&lt;&gt;""), HYPERLINK("#'" &amp; C3407 &amp; "'!" &amp; J3407, J3407), "")</f>
        <v/>
      </c>
    </row>
    <row r="3408">
      <c r="B3408" s="21">
        <f>IF(AND(C3408&lt;&gt;"", J3408&lt;&gt;""), HYPERLINK("#'" &amp; C3408 &amp; "'!" &amp; J3408, J3408), "")</f>
        <v/>
      </c>
    </row>
    <row r="3409">
      <c r="B3409" s="21">
        <f>IF(AND(C3409&lt;&gt;"", J3409&lt;&gt;""), HYPERLINK("#'" &amp; C3409 &amp; "'!" &amp; J3409, J3409), "")</f>
        <v/>
      </c>
    </row>
    <row r="3410">
      <c r="B3410" s="21">
        <f>IF(AND(C3410&lt;&gt;"", J3410&lt;&gt;""), HYPERLINK("#'" &amp; C3410 &amp; "'!" &amp; J3410, J3410), "")</f>
        <v/>
      </c>
    </row>
    <row r="3411">
      <c r="B3411" s="21">
        <f>IF(AND(C3411&lt;&gt;"", J3411&lt;&gt;""), HYPERLINK("#'" &amp; C3411 &amp; "'!" &amp; J3411, J3411), "")</f>
        <v/>
      </c>
    </row>
    <row r="3412">
      <c r="B3412" s="21">
        <f>IF(AND(C3412&lt;&gt;"", J3412&lt;&gt;""), HYPERLINK("#'" &amp; C3412 &amp; "'!" &amp; J3412, J3412), "")</f>
        <v/>
      </c>
    </row>
    <row r="3413">
      <c r="B3413" s="21">
        <f>IF(AND(C3413&lt;&gt;"", J3413&lt;&gt;""), HYPERLINK("#'" &amp; C3413 &amp; "'!" &amp; J3413, J3413), "")</f>
        <v/>
      </c>
    </row>
    <row r="3414">
      <c r="B3414" s="21">
        <f>IF(AND(C3414&lt;&gt;"", J3414&lt;&gt;""), HYPERLINK("#'" &amp; C3414 &amp; "'!" &amp; J3414, J3414), "")</f>
        <v/>
      </c>
    </row>
    <row r="3415">
      <c r="B3415" s="21">
        <f>IF(AND(C3415&lt;&gt;"", J3415&lt;&gt;""), HYPERLINK("#'" &amp; C3415 &amp; "'!" &amp; J3415, J3415), "")</f>
        <v/>
      </c>
    </row>
    <row r="3416">
      <c r="B3416" s="21">
        <f>IF(AND(C3416&lt;&gt;"", J3416&lt;&gt;""), HYPERLINK("#'" &amp; C3416 &amp; "'!" &amp; J3416, J3416), "")</f>
        <v/>
      </c>
    </row>
    <row r="3417">
      <c r="B3417" s="21">
        <f>IF(AND(C3417&lt;&gt;"", J3417&lt;&gt;""), HYPERLINK("#'" &amp; C3417 &amp; "'!" &amp; J3417, J3417), "")</f>
        <v/>
      </c>
    </row>
    <row r="3418">
      <c r="B3418" s="21">
        <f>IF(AND(C3418&lt;&gt;"", J3418&lt;&gt;""), HYPERLINK("#'" &amp; C3418 &amp; "'!" &amp; J3418, J3418), "")</f>
        <v/>
      </c>
    </row>
    <row r="3419">
      <c r="B3419" s="21">
        <f>IF(AND(C3419&lt;&gt;"", J3419&lt;&gt;""), HYPERLINK("#'" &amp; C3419 &amp; "'!" &amp; J3419, J3419), "")</f>
        <v/>
      </c>
    </row>
    <row r="3420">
      <c r="B3420" s="21">
        <f>IF(AND(C3420&lt;&gt;"", J3420&lt;&gt;""), HYPERLINK("#'" &amp; C3420 &amp; "'!" &amp; J3420, J3420), "")</f>
        <v/>
      </c>
    </row>
    <row r="3421">
      <c r="B3421" s="21">
        <f>IF(AND(C3421&lt;&gt;"", J3421&lt;&gt;""), HYPERLINK("#'" &amp; C3421 &amp; "'!" &amp; J3421, J3421), "")</f>
        <v/>
      </c>
    </row>
    <row r="3422">
      <c r="B3422" s="21">
        <f>IF(AND(C3422&lt;&gt;"", J3422&lt;&gt;""), HYPERLINK("#'" &amp; C3422 &amp; "'!" &amp; J3422, J3422), "")</f>
        <v/>
      </c>
    </row>
    <row r="3423">
      <c r="B3423" s="21">
        <f>IF(AND(C3423&lt;&gt;"", J3423&lt;&gt;""), HYPERLINK("#'" &amp; C3423 &amp; "'!" &amp; J3423, J3423), "")</f>
        <v/>
      </c>
    </row>
    <row r="3424">
      <c r="B3424" s="21">
        <f>IF(AND(C3424&lt;&gt;"", J3424&lt;&gt;""), HYPERLINK("#'" &amp; C3424 &amp; "'!" &amp; J3424, J3424), "")</f>
        <v/>
      </c>
    </row>
    <row r="3425">
      <c r="B3425" s="21">
        <f>IF(AND(C3425&lt;&gt;"", J3425&lt;&gt;""), HYPERLINK("#'" &amp; C3425 &amp; "'!" &amp; J3425, J3425), "")</f>
        <v/>
      </c>
    </row>
    <row r="3426">
      <c r="B3426" s="21">
        <f>IF(AND(C3426&lt;&gt;"", J3426&lt;&gt;""), HYPERLINK("#'" &amp; C3426 &amp; "'!" &amp; J3426, J3426), "")</f>
        <v/>
      </c>
    </row>
    <row r="3427">
      <c r="B3427" s="21">
        <f>IF(AND(C3427&lt;&gt;"", J3427&lt;&gt;""), HYPERLINK("#'" &amp; C3427 &amp; "'!" &amp; J3427, J3427), "")</f>
        <v/>
      </c>
    </row>
    <row r="3428">
      <c r="B3428" s="21">
        <f>IF(AND(C3428&lt;&gt;"", J3428&lt;&gt;""), HYPERLINK("#'" &amp; C3428 &amp; "'!" &amp; J3428, J3428), "")</f>
        <v/>
      </c>
    </row>
    <row r="3429">
      <c r="B3429" s="21">
        <f>IF(AND(C3429&lt;&gt;"", J3429&lt;&gt;""), HYPERLINK("#'" &amp; C3429 &amp; "'!" &amp; J3429, J3429), "")</f>
        <v/>
      </c>
    </row>
    <row r="3430">
      <c r="B3430" s="21">
        <f>IF(AND(C3430&lt;&gt;"", J3430&lt;&gt;""), HYPERLINK("#'" &amp; C3430 &amp; "'!" &amp; J3430, J3430), "")</f>
        <v/>
      </c>
    </row>
    <row r="3431">
      <c r="B3431" s="21">
        <f>IF(AND(C3431&lt;&gt;"", J3431&lt;&gt;""), HYPERLINK("#'" &amp; C3431 &amp; "'!" &amp; J3431, J3431), "")</f>
        <v/>
      </c>
    </row>
    <row r="3432">
      <c r="B3432" s="21">
        <f>IF(AND(C3432&lt;&gt;"", J3432&lt;&gt;""), HYPERLINK("#'" &amp; C3432 &amp; "'!" &amp; J3432, J3432), "")</f>
        <v/>
      </c>
    </row>
    <row r="3433">
      <c r="B3433" s="21">
        <f>IF(AND(C3433&lt;&gt;"", J3433&lt;&gt;""), HYPERLINK("#'" &amp; C3433 &amp; "'!" &amp; J3433, J3433), "")</f>
        <v/>
      </c>
    </row>
    <row r="3434">
      <c r="B3434" s="21">
        <f>IF(AND(C3434&lt;&gt;"", J3434&lt;&gt;""), HYPERLINK("#'" &amp; C3434 &amp; "'!" &amp; J3434, J3434), "")</f>
        <v/>
      </c>
    </row>
    <row r="3435">
      <c r="B3435" s="21">
        <f>IF(AND(C3435&lt;&gt;"", J3435&lt;&gt;""), HYPERLINK("#'" &amp; C3435 &amp; "'!" &amp; J3435, J3435), "")</f>
        <v/>
      </c>
    </row>
    <row r="3436">
      <c r="B3436" s="21">
        <f>IF(AND(C3436&lt;&gt;"", J3436&lt;&gt;""), HYPERLINK("#'" &amp; C3436 &amp; "'!" &amp; J3436, J3436), "")</f>
        <v/>
      </c>
    </row>
    <row r="3437">
      <c r="B3437" s="21">
        <f>IF(AND(C3437&lt;&gt;"", J3437&lt;&gt;""), HYPERLINK("#'" &amp; C3437 &amp; "'!" &amp; J3437, J3437), "")</f>
        <v/>
      </c>
    </row>
    <row r="3438">
      <c r="B3438" s="21">
        <f>IF(AND(C3438&lt;&gt;"", J3438&lt;&gt;""), HYPERLINK("#'" &amp; C3438 &amp; "'!" &amp; J3438, J3438), "")</f>
        <v/>
      </c>
    </row>
    <row r="3439">
      <c r="B3439" s="21">
        <f>IF(AND(C3439&lt;&gt;"", J3439&lt;&gt;""), HYPERLINK("#'" &amp; C3439 &amp; "'!" &amp; J3439, J3439), "")</f>
        <v/>
      </c>
    </row>
    <row r="3440">
      <c r="B3440" s="21">
        <f>IF(AND(C3440&lt;&gt;"", J3440&lt;&gt;""), HYPERLINK("#'" &amp; C3440 &amp; "'!" &amp; J3440, J3440), "")</f>
        <v/>
      </c>
    </row>
    <row r="3441">
      <c r="B3441" s="21">
        <f>IF(AND(C3441&lt;&gt;"", J3441&lt;&gt;""), HYPERLINK("#'" &amp; C3441 &amp; "'!" &amp; J3441, J3441), "")</f>
        <v/>
      </c>
    </row>
    <row r="3442">
      <c r="B3442" s="21">
        <f>IF(AND(C3442&lt;&gt;"", J3442&lt;&gt;""), HYPERLINK("#'" &amp; C3442 &amp; "'!" &amp; J3442, J3442), "")</f>
        <v/>
      </c>
    </row>
    <row r="3443">
      <c r="B3443" s="21">
        <f>IF(AND(C3443&lt;&gt;"", J3443&lt;&gt;""), HYPERLINK("#'" &amp; C3443 &amp; "'!" &amp; J3443, J3443), "")</f>
        <v/>
      </c>
    </row>
    <row r="3444">
      <c r="B3444" s="21">
        <f>IF(AND(C3444&lt;&gt;"", J3444&lt;&gt;""), HYPERLINK("#'" &amp; C3444 &amp; "'!" &amp; J3444, J3444), "")</f>
        <v/>
      </c>
    </row>
    <row r="3445">
      <c r="B3445" s="21">
        <f>IF(AND(C3445&lt;&gt;"", J3445&lt;&gt;""), HYPERLINK("#'" &amp; C3445 &amp; "'!" &amp; J3445, J3445), "")</f>
        <v/>
      </c>
    </row>
    <row r="3446">
      <c r="B3446" s="21">
        <f>IF(AND(C3446&lt;&gt;"", J3446&lt;&gt;""), HYPERLINK("#'" &amp; C3446 &amp; "'!" &amp; J3446, J3446), "")</f>
        <v/>
      </c>
    </row>
    <row r="3447">
      <c r="B3447" s="21">
        <f>IF(AND(C3447&lt;&gt;"", J3447&lt;&gt;""), HYPERLINK("#'" &amp; C3447 &amp; "'!" &amp; J3447, J3447), "")</f>
        <v/>
      </c>
    </row>
    <row r="3448">
      <c r="B3448" s="21">
        <f>IF(AND(C3448&lt;&gt;"", J3448&lt;&gt;""), HYPERLINK("#'" &amp; C3448 &amp; "'!" &amp; J3448, J3448), "")</f>
        <v/>
      </c>
    </row>
    <row r="3449">
      <c r="B3449" s="21">
        <f>IF(AND(C3449&lt;&gt;"", J3449&lt;&gt;""), HYPERLINK("#'" &amp; C3449 &amp; "'!" &amp; J3449, J3449), "")</f>
        <v/>
      </c>
    </row>
    <row r="3450">
      <c r="B3450" s="21">
        <f>IF(AND(C3450&lt;&gt;"", J3450&lt;&gt;""), HYPERLINK("#'" &amp; C3450 &amp; "'!" &amp; J3450, J3450), "")</f>
        <v/>
      </c>
    </row>
    <row r="3451">
      <c r="B3451" s="21">
        <f>IF(AND(C3451&lt;&gt;"", J3451&lt;&gt;""), HYPERLINK("#'" &amp; C3451 &amp; "'!" &amp; J3451, J3451), "")</f>
        <v/>
      </c>
    </row>
    <row r="3452">
      <c r="B3452" s="21">
        <f>IF(AND(C3452&lt;&gt;"", J3452&lt;&gt;""), HYPERLINK("#'" &amp; C3452 &amp; "'!" &amp; J3452, J3452), "")</f>
        <v/>
      </c>
    </row>
    <row r="3453">
      <c r="B3453" s="21">
        <f>IF(AND(C3453&lt;&gt;"", J3453&lt;&gt;""), HYPERLINK("#'" &amp; C3453 &amp; "'!" &amp; J3453, J3453), "")</f>
        <v/>
      </c>
    </row>
    <row r="3454">
      <c r="B3454" s="21">
        <f>IF(AND(C3454&lt;&gt;"", J3454&lt;&gt;""), HYPERLINK("#'" &amp; C3454 &amp; "'!" &amp; J3454, J3454), "")</f>
        <v/>
      </c>
    </row>
    <row r="3455">
      <c r="B3455" s="21">
        <f>IF(AND(C3455&lt;&gt;"", J3455&lt;&gt;""), HYPERLINK("#'" &amp; C3455 &amp; "'!" &amp; J3455, J3455), "")</f>
        <v/>
      </c>
    </row>
    <row r="3456">
      <c r="B3456" s="21">
        <f>IF(AND(C3456&lt;&gt;"", J3456&lt;&gt;""), HYPERLINK("#'" &amp; C3456 &amp; "'!" &amp; J3456, J3456), "")</f>
        <v/>
      </c>
    </row>
    <row r="3457">
      <c r="B3457" s="21">
        <f>IF(AND(C3457&lt;&gt;"", J3457&lt;&gt;""), HYPERLINK("#'" &amp; C3457 &amp; "'!" &amp; J3457, J3457), "")</f>
        <v/>
      </c>
    </row>
    <row r="3458">
      <c r="B3458" s="21">
        <f>IF(AND(C3458&lt;&gt;"", J3458&lt;&gt;""), HYPERLINK("#'" &amp; C3458 &amp; "'!" &amp; J3458, J3458), "")</f>
        <v/>
      </c>
    </row>
    <row r="3459">
      <c r="B3459" s="21">
        <f>IF(AND(C3459&lt;&gt;"", J3459&lt;&gt;""), HYPERLINK("#'" &amp; C3459 &amp; "'!" &amp; J3459, J3459), "")</f>
        <v/>
      </c>
    </row>
    <row r="3460">
      <c r="B3460" s="21">
        <f>IF(AND(C3460&lt;&gt;"", J3460&lt;&gt;""), HYPERLINK("#'" &amp; C3460 &amp; "'!" &amp; J3460, J3460), "")</f>
        <v/>
      </c>
    </row>
    <row r="3461">
      <c r="B3461" s="21">
        <f>IF(AND(C3461&lt;&gt;"", J3461&lt;&gt;""), HYPERLINK("#'" &amp; C3461 &amp; "'!" &amp; J3461, J3461), "")</f>
        <v/>
      </c>
    </row>
    <row r="3462">
      <c r="B3462" s="21">
        <f>IF(AND(C3462&lt;&gt;"", J3462&lt;&gt;""), HYPERLINK("#'" &amp; C3462 &amp; "'!" &amp; J3462, J3462), "")</f>
        <v/>
      </c>
    </row>
    <row r="3463">
      <c r="B3463" s="21">
        <f>IF(AND(C3463&lt;&gt;"", J3463&lt;&gt;""), HYPERLINK("#'" &amp; C3463 &amp; "'!" &amp; J3463, J3463), "")</f>
        <v/>
      </c>
    </row>
    <row r="3464">
      <c r="B3464" s="21">
        <f>IF(AND(C3464&lt;&gt;"", J3464&lt;&gt;""), HYPERLINK("#'" &amp; C3464 &amp; "'!" &amp; J3464, J3464), "")</f>
        <v/>
      </c>
    </row>
    <row r="3465">
      <c r="B3465" s="21">
        <f>IF(AND(C3465&lt;&gt;"", J3465&lt;&gt;""), HYPERLINK("#'" &amp; C3465 &amp; "'!" &amp; J3465, J3465), "")</f>
        <v/>
      </c>
    </row>
    <row r="3466">
      <c r="B3466" s="21">
        <f>IF(AND(C3466&lt;&gt;"", J3466&lt;&gt;""), HYPERLINK("#'" &amp; C3466 &amp; "'!" &amp; J3466, J3466), "")</f>
        <v/>
      </c>
    </row>
    <row r="3467">
      <c r="B3467" s="21">
        <f>IF(AND(C3467&lt;&gt;"", J3467&lt;&gt;""), HYPERLINK("#'" &amp; C3467 &amp; "'!" &amp; J3467, J3467), "")</f>
        <v/>
      </c>
    </row>
    <row r="3468">
      <c r="B3468" s="21">
        <f>IF(AND(C3468&lt;&gt;"", J3468&lt;&gt;""), HYPERLINK("#'" &amp; C3468 &amp; "'!" &amp; J3468, J3468), "")</f>
        <v/>
      </c>
    </row>
    <row r="3469">
      <c r="B3469" s="21">
        <f>IF(AND(C3469&lt;&gt;"", J3469&lt;&gt;""), HYPERLINK("#'" &amp; C3469 &amp; "'!" &amp; J3469, J3469), "")</f>
        <v/>
      </c>
    </row>
    <row r="3470">
      <c r="B3470" s="21">
        <f>IF(AND(C3470&lt;&gt;"", J3470&lt;&gt;""), HYPERLINK("#'" &amp; C3470 &amp; "'!" &amp; J3470, J3470), "")</f>
        <v/>
      </c>
    </row>
    <row r="3471">
      <c r="B3471" s="21">
        <f>IF(AND(C3471&lt;&gt;"", J3471&lt;&gt;""), HYPERLINK("#'" &amp; C3471 &amp; "'!" &amp; J3471, J3471), "")</f>
        <v/>
      </c>
    </row>
    <row r="3472">
      <c r="B3472" s="21">
        <f>IF(AND(C3472&lt;&gt;"", J3472&lt;&gt;""), HYPERLINK("#'" &amp; C3472 &amp; "'!" &amp; J3472, J3472), "")</f>
        <v/>
      </c>
    </row>
    <row r="3473">
      <c r="B3473" s="21">
        <f>IF(AND(C3473&lt;&gt;"", J3473&lt;&gt;""), HYPERLINK("#'" &amp; C3473 &amp; "'!" &amp; J3473, J3473), "")</f>
        <v/>
      </c>
    </row>
    <row r="3474">
      <c r="B3474" s="21">
        <f>IF(AND(C3474&lt;&gt;"", J3474&lt;&gt;""), HYPERLINK("#'" &amp; C3474 &amp; "'!" &amp; J3474, J3474), "")</f>
        <v/>
      </c>
    </row>
    <row r="3475">
      <c r="B3475" s="21">
        <f>IF(AND(C3475&lt;&gt;"", J3475&lt;&gt;""), HYPERLINK("#'" &amp; C3475 &amp; "'!" &amp; J3475, J3475), "")</f>
        <v/>
      </c>
    </row>
    <row r="3476">
      <c r="B3476" s="21">
        <f>IF(AND(C3476&lt;&gt;"", J3476&lt;&gt;""), HYPERLINK("#'" &amp; C3476 &amp; "'!" &amp; J3476, J3476), "")</f>
        <v/>
      </c>
    </row>
    <row r="3477">
      <c r="B3477" s="21">
        <f>IF(AND(C3477&lt;&gt;"", J3477&lt;&gt;""), HYPERLINK("#'" &amp; C3477 &amp; "'!" &amp; J3477, J3477), "")</f>
        <v/>
      </c>
    </row>
    <row r="3478">
      <c r="B3478" s="21">
        <f>IF(AND(C3478&lt;&gt;"", J3478&lt;&gt;""), HYPERLINK("#'" &amp; C3478 &amp; "'!" &amp; J3478, J3478), "")</f>
        <v/>
      </c>
    </row>
    <row r="3479">
      <c r="B3479" s="21">
        <f>IF(AND(C3479&lt;&gt;"", J3479&lt;&gt;""), HYPERLINK("#'" &amp; C3479 &amp; "'!" &amp; J3479, J3479), "")</f>
        <v/>
      </c>
    </row>
    <row r="3480">
      <c r="B3480" s="21">
        <f>IF(AND(C3480&lt;&gt;"", J3480&lt;&gt;""), HYPERLINK("#'" &amp; C3480 &amp; "'!" &amp; J3480, J3480), "")</f>
        <v/>
      </c>
    </row>
    <row r="3481">
      <c r="B3481" s="21">
        <f>IF(AND(C3481&lt;&gt;"", J3481&lt;&gt;""), HYPERLINK("#'" &amp; C3481 &amp; "'!" &amp; J3481, J3481), "")</f>
        <v/>
      </c>
    </row>
    <row r="3482">
      <c r="B3482" s="21">
        <f>IF(AND(C3482&lt;&gt;"", J3482&lt;&gt;""), HYPERLINK("#'" &amp; C3482 &amp; "'!" &amp; J3482, J3482), "")</f>
        <v/>
      </c>
    </row>
    <row r="3483">
      <c r="B3483" s="21">
        <f>IF(AND(C3483&lt;&gt;"", J3483&lt;&gt;""), HYPERLINK("#'" &amp; C3483 &amp; "'!" &amp; J3483, J3483), "")</f>
        <v/>
      </c>
    </row>
    <row r="3484">
      <c r="B3484" s="21">
        <f>IF(AND(C3484&lt;&gt;"", J3484&lt;&gt;""), HYPERLINK("#'" &amp; C3484 &amp; "'!" &amp; J3484, J3484), "")</f>
        <v/>
      </c>
    </row>
    <row r="3485">
      <c r="B3485" s="21">
        <f>IF(AND(C3485&lt;&gt;"", J3485&lt;&gt;""), HYPERLINK("#'" &amp; C3485 &amp; "'!" &amp; J3485, J3485), "")</f>
        <v/>
      </c>
    </row>
    <row r="3486">
      <c r="B3486" s="21">
        <f>IF(AND(C3486&lt;&gt;"", J3486&lt;&gt;""), HYPERLINK("#'" &amp; C3486 &amp; "'!" &amp; J3486, J3486), "")</f>
        <v/>
      </c>
    </row>
    <row r="3487">
      <c r="B3487" s="21">
        <f>IF(AND(C3487&lt;&gt;"", J3487&lt;&gt;""), HYPERLINK("#'" &amp; C3487 &amp; "'!" &amp; J3487, J3487), "")</f>
        <v/>
      </c>
    </row>
    <row r="3488">
      <c r="B3488" s="21">
        <f>IF(AND(C3488&lt;&gt;"", J3488&lt;&gt;""), HYPERLINK("#'" &amp; C3488 &amp; "'!" &amp; J3488, J3488), "")</f>
        <v/>
      </c>
    </row>
    <row r="3489">
      <c r="B3489" s="21">
        <f>IF(AND(C3489&lt;&gt;"", J3489&lt;&gt;""), HYPERLINK("#'" &amp; C3489 &amp; "'!" &amp; J3489, J3489), "")</f>
        <v/>
      </c>
    </row>
    <row r="3490">
      <c r="B3490" s="21">
        <f>IF(AND(C3490&lt;&gt;"", J3490&lt;&gt;""), HYPERLINK("#'" &amp; C3490 &amp; "'!" &amp; J3490, J3490), "")</f>
        <v/>
      </c>
    </row>
    <row r="3491">
      <c r="B3491" s="21">
        <f>IF(AND(C3491&lt;&gt;"", J3491&lt;&gt;""), HYPERLINK("#'" &amp; C3491 &amp; "'!" &amp; J3491, J3491), "")</f>
        <v/>
      </c>
    </row>
    <row r="3492">
      <c r="B3492" s="21">
        <f>IF(AND(C3492&lt;&gt;"", J3492&lt;&gt;""), HYPERLINK("#'" &amp; C3492 &amp; "'!" &amp; J3492, J3492), "")</f>
        <v/>
      </c>
    </row>
    <row r="3493">
      <c r="B3493" s="21">
        <f>IF(AND(C3493&lt;&gt;"", J3493&lt;&gt;""), HYPERLINK("#'" &amp; C3493 &amp; "'!" &amp; J3493, J3493), "")</f>
        <v/>
      </c>
    </row>
    <row r="3494">
      <c r="B3494" s="21">
        <f>IF(AND(C3494&lt;&gt;"", J3494&lt;&gt;""), HYPERLINK("#'" &amp; C3494 &amp; "'!" &amp; J3494, J3494), "")</f>
        <v/>
      </c>
    </row>
    <row r="3495">
      <c r="B3495" s="21">
        <f>IF(AND(C3495&lt;&gt;"", J3495&lt;&gt;""), HYPERLINK("#'" &amp; C3495 &amp; "'!" &amp; J3495, J3495), "")</f>
        <v/>
      </c>
    </row>
    <row r="3496">
      <c r="B3496" s="21">
        <f>IF(AND(C3496&lt;&gt;"", J3496&lt;&gt;""), HYPERLINK("#'" &amp; C3496 &amp; "'!" &amp; J3496, J3496), "")</f>
        <v/>
      </c>
    </row>
    <row r="3497">
      <c r="B3497" s="21">
        <f>IF(AND(C3497&lt;&gt;"", J3497&lt;&gt;""), HYPERLINK("#'" &amp; C3497 &amp; "'!" &amp; J3497, J3497), "")</f>
        <v/>
      </c>
    </row>
    <row r="3498">
      <c r="B3498" s="21">
        <f>IF(AND(C3498&lt;&gt;"", J3498&lt;&gt;""), HYPERLINK("#'" &amp; C3498 &amp; "'!" &amp; J3498, J3498), "")</f>
        <v/>
      </c>
    </row>
    <row r="3499">
      <c r="B3499" s="21">
        <f>IF(AND(C3499&lt;&gt;"", J3499&lt;&gt;""), HYPERLINK("#'" &amp; C3499 &amp; "'!" &amp; J3499, J3499), "")</f>
        <v/>
      </c>
    </row>
    <row r="3500">
      <c r="B3500" s="21">
        <f>IF(AND(C3500&lt;&gt;"", J3500&lt;&gt;""), HYPERLINK("#'" &amp; C3500 &amp; "'!" &amp; J3500, J3500), "")</f>
        <v/>
      </c>
    </row>
    <row r="3501">
      <c r="B3501" s="21">
        <f>IF(AND(C3501&lt;&gt;"", J3501&lt;&gt;""), HYPERLINK("#'" &amp; C3501 &amp; "'!" &amp; J3501, J3501), "")</f>
        <v/>
      </c>
    </row>
    <row r="3502">
      <c r="B3502" s="21">
        <f>IF(AND(C3502&lt;&gt;"", J3502&lt;&gt;""), HYPERLINK("#'" &amp; C3502 &amp; "'!" &amp; J3502, J3502), "")</f>
        <v/>
      </c>
    </row>
    <row r="3503">
      <c r="B3503" s="21">
        <f>IF(AND(C3503&lt;&gt;"", J3503&lt;&gt;""), HYPERLINK("#'" &amp; C3503 &amp; "'!" &amp; J3503, J3503), "")</f>
        <v/>
      </c>
    </row>
    <row r="3504">
      <c r="B3504" s="21">
        <f>IF(AND(C3504&lt;&gt;"", J3504&lt;&gt;""), HYPERLINK("#'" &amp; C3504 &amp; "'!" &amp; J3504, J3504), "")</f>
        <v/>
      </c>
    </row>
    <row r="3505">
      <c r="B3505" s="21">
        <f>IF(AND(C3505&lt;&gt;"", J3505&lt;&gt;""), HYPERLINK("#'" &amp; C3505 &amp; "'!" &amp; J3505, J3505), "")</f>
        <v/>
      </c>
    </row>
    <row r="3506">
      <c r="B3506" s="21">
        <f>IF(AND(C3506&lt;&gt;"", J3506&lt;&gt;""), HYPERLINK("#'" &amp; C3506 &amp; "'!" &amp; J3506, J3506), "")</f>
        <v/>
      </c>
    </row>
    <row r="3507">
      <c r="B3507" s="21">
        <f>IF(AND(C3507&lt;&gt;"", J3507&lt;&gt;""), HYPERLINK("#'" &amp; C3507 &amp; "'!" &amp; J3507, J3507), "")</f>
        <v/>
      </c>
    </row>
    <row r="3508">
      <c r="B3508" s="21">
        <f>IF(AND(C3508&lt;&gt;"", J3508&lt;&gt;""), HYPERLINK("#'" &amp; C3508 &amp; "'!" &amp; J3508, J3508), "")</f>
        <v/>
      </c>
    </row>
    <row r="3509">
      <c r="B3509" s="21">
        <f>IF(AND(C3509&lt;&gt;"", J3509&lt;&gt;""), HYPERLINK("#'" &amp; C3509 &amp; "'!" &amp; J3509, J3509), "")</f>
        <v/>
      </c>
    </row>
    <row r="3510">
      <c r="B3510" s="21">
        <f>IF(AND(C3510&lt;&gt;"", J3510&lt;&gt;""), HYPERLINK("#'" &amp; C3510 &amp; "'!" &amp; J3510, J3510), "")</f>
        <v/>
      </c>
    </row>
    <row r="3511">
      <c r="B3511" s="21">
        <f>IF(AND(C3511&lt;&gt;"", J3511&lt;&gt;""), HYPERLINK("#'" &amp; C3511 &amp; "'!" &amp; J3511, J3511), "")</f>
        <v/>
      </c>
    </row>
    <row r="3512">
      <c r="B3512" s="21">
        <f>IF(AND(C3512&lt;&gt;"", J3512&lt;&gt;""), HYPERLINK("#'" &amp; C3512 &amp; "'!" &amp; J3512, J3512), "")</f>
        <v/>
      </c>
    </row>
    <row r="3513">
      <c r="B3513" s="21">
        <f>IF(AND(C3513&lt;&gt;"", J3513&lt;&gt;""), HYPERLINK("#'" &amp; C3513 &amp; "'!" &amp; J3513, J3513), "")</f>
        <v/>
      </c>
    </row>
    <row r="3514">
      <c r="B3514" s="21">
        <f>IF(AND(C3514&lt;&gt;"", J3514&lt;&gt;""), HYPERLINK("#'" &amp; C3514 &amp; "'!" &amp; J3514, J3514), "")</f>
        <v/>
      </c>
    </row>
    <row r="3515">
      <c r="B3515" s="21">
        <f>IF(AND(C3515&lt;&gt;"", J3515&lt;&gt;""), HYPERLINK("#'" &amp; C3515 &amp; "'!" &amp; J3515, J3515), "")</f>
        <v/>
      </c>
    </row>
    <row r="3516">
      <c r="B3516" s="21">
        <f>IF(AND(C3516&lt;&gt;"", J3516&lt;&gt;""), HYPERLINK("#'" &amp; C3516 &amp; "'!" &amp; J3516, J3516), "")</f>
        <v/>
      </c>
    </row>
    <row r="3517">
      <c r="B3517" s="21">
        <f>IF(AND(C3517&lt;&gt;"", J3517&lt;&gt;""), HYPERLINK("#'" &amp; C3517 &amp; "'!" &amp; J3517, J3517), "")</f>
        <v/>
      </c>
    </row>
    <row r="3518">
      <c r="B3518" s="21">
        <f>IF(AND(C3518&lt;&gt;"", J3518&lt;&gt;""), HYPERLINK("#'" &amp; C3518 &amp; "'!" &amp; J3518, J3518), "")</f>
        <v/>
      </c>
    </row>
    <row r="3519">
      <c r="B3519" s="21">
        <f>IF(AND(C3519&lt;&gt;"", J3519&lt;&gt;""), HYPERLINK("#'" &amp; C3519 &amp; "'!" &amp; J3519, J3519), "")</f>
        <v/>
      </c>
    </row>
    <row r="3520">
      <c r="B3520" s="21">
        <f>IF(AND(C3520&lt;&gt;"", J3520&lt;&gt;""), HYPERLINK("#'" &amp; C3520 &amp; "'!" &amp; J3520, J3520), "")</f>
        <v/>
      </c>
    </row>
    <row r="3521">
      <c r="B3521" s="21">
        <f>IF(AND(C3521&lt;&gt;"", J3521&lt;&gt;""), HYPERLINK("#'" &amp; C3521 &amp; "'!" &amp; J3521, J3521), "")</f>
        <v/>
      </c>
    </row>
    <row r="3522">
      <c r="B3522" s="21">
        <f>IF(AND(C3522&lt;&gt;"", J3522&lt;&gt;""), HYPERLINK("#'" &amp; C3522 &amp; "'!" &amp; J3522, J3522), "")</f>
        <v/>
      </c>
    </row>
    <row r="3523">
      <c r="B3523" s="21">
        <f>IF(AND(C3523&lt;&gt;"", J3523&lt;&gt;""), HYPERLINK("#'" &amp; C3523 &amp; "'!" &amp; J3523, J3523), "")</f>
        <v/>
      </c>
    </row>
    <row r="3524">
      <c r="B3524" s="21">
        <f>IF(AND(C3524&lt;&gt;"", J3524&lt;&gt;""), HYPERLINK("#'" &amp; C3524 &amp; "'!" &amp; J3524, J3524), "")</f>
        <v/>
      </c>
    </row>
    <row r="3525">
      <c r="B3525" s="21">
        <f>IF(AND(C3525&lt;&gt;"", J3525&lt;&gt;""), HYPERLINK("#'" &amp; C3525 &amp; "'!" &amp; J3525, J3525), "")</f>
        <v/>
      </c>
    </row>
    <row r="3526">
      <c r="B3526" s="21">
        <f>IF(AND(C3526&lt;&gt;"", J3526&lt;&gt;""), HYPERLINK("#'" &amp; C3526 &amp; "'!" &amp; J3526, J3526), "")</f>
        <v/>
      </c>
    </row>
    <row r="3527">
      <c r="B3527" s="21">
        <f>IF(AND(C3527&lt;&gt;"", J3527&lt;&gt;""), HYPERLINK("#'" &amp; C3527 &amp; "'!" &amp; J3527, J3527), "")</f>
        <v/>
      </c>
    </row>
    <row r="3528">
      <c r="B3528" s="21">
        <f>IF(AND(C3528&lt;&gt;"", J3528&lt;&gt;""), HYPERLINK("#'" &amp; C3528 &amp; "'!" &amp; J3528, J3528), "")</f>
        <v/>
      </c>
    </row>
    <row r="3529">
      <c r="B3529" s="21">
        <f>IF(AND(C3529&lt;&gt;"", J3529&lt;&gt;""), HYPERLINK("#'" &amp; C3529 &amp; "'!" &amp; J3529, J3529), "")</f>
        <v/>
      </c>
    </row>
    <row r="3530">
      <c r="B3530" s="21">
        <f>IF(AND(C3530&lt;&gt;"", J3530&lt;&gt;""), HYPERLINK("#'" &amp; C3530 &amp; "'!" &amp; J3530, J3530), "")</f>
        <v/>
      </c>
    </row>
    <row r="3531">
      <c r="B3531" s="21">
        <f>IF(AND(C3531&lt;&gt;"", J3531&lt;&gt;""), HYPERLINK("#'" &amp; C3531 &amp; "'!" &amp; J3531, J3531), "")</f>
        <v/>
      </c>
    </row>
    <row r="3532">
      <c r="B3532" s="21">
        <f>IF(AND(C3532&lt;&gt;"", J3532&lt;&gt;""), HYPERLINK("#'" &amp; C3532 &amp; "'!" &amp; J3532, J3532), "")</f>
        <v/>
      </c>
    </row>
    <row r="3533">
      <c r="B3533" s="21">
        <f>IF(AND(C3533&lt;&gt;"", J3533&lt;&gt;""), HYPERLINK("#'" &amp; C3533 &amp; "'!" &amp; J3533, J3533), "")</f>
        <v/>
      </c>
    </row>
    <row r="3534">
      <c r="B3534" s="21">
        <f>IF(AND(C3534&lt;&gt;"", J3534&lt;&gt;""), HYPERLINK("#'" &amp; C3534 &amp; "'!" &amp; J3534, J3534), "")</f>
        <v/>
      </c>
    </row>
    <row r="3535">
      <c r="B3535" s="21">
        <f>IF(AND(C3535&lt;&gt;"", J3535&lt;&gt;""), HYPERLINK("#'" &amp; C3535 &amp; "'!" &amp; J3535, J3535), "")</f>
        <v/>
      </c>
    </row>
    <row r="3536">
      <c r="B3536" s="21">
        <f>IF(AND(C3536&lt;&gt;"", J3536&lt;&gt;""), HYPERLINK("#'" &amp; C3536 &amp; "'!" &amp; J3536, J3536), "")</f>
        <v/>
      </c>
    </row>
    <row r="3537">
      <c r="B3537" s="21">
        <f>IF(AND(C3537&lt;&gt;"", J3537&lt;&gt;""), HYPERLINK("#'" &amp; C3537 &amp; "'!" &amp; J3537, J3537), "")</f>
        <v/>
      </c>
    </row>
    <row r="3538">
      <c r="B3538" s="21">
        <f>IF(AND(C3538&lt;&gt;"", J3538&lt;&gt;""), HYPERLINK("#'" &amp; C3538 &amp; "'!" &amp; J3538, J3538), "")</f>
        <v/>
      </c>
    </row>
    <row r="3539">
      <c r="B3539" s="21">
        <f>IF(AND(C3539&lt;&gt;"", J3539&lt;&gt;""), HYPERLINK("#'" &amp; C3539 &amp; "'!" &amp; J3539, J3539), "")</f>
        <v/>
      </c>
    </row>
    <row r="3540">
      <c r="B3540" s="21">
        <f>IF(AND(C3540&lt;&gt;"", J3540&lt;&gt;""), HYPERLINK("#'" &amp; C3540 &amp; "'!" &amp; J3540, J3540), "")</f>
        <v/>
      </c>
    </row>
    <row r="3541">
      <c r="B3541" s="21">
        <f>IF(AND(C3541&lt;&gt;"", J3541&lt;&gt;""), HYPERLINK("#'" &amp; C3541 &amp; "'!" &amp; J3541, J3541), "")</f>
        <v/>
      </c>
    </row>
    <row r="3542">
      <c r="B3542" s="21">
        <f>IF(AND(C3542&lt;&gt;"", J3542&lt;&gt;""), HYPERLINK("#'" &amp; C3542 &amp; "'!" &amp; J3542, J3542), "")</f>
        <v/>
      </c>
    </row>
    <row r="3543">
      <c r="B3543" s="21">
        <f>IF(AND(C3543&lt;&gt;"", J3543&lt;&gt;""), HYPERLINK("#'" &amp; C3543 &amp; "'!" &amp; J3543, J3543), "")</f>
        <v/>
      </c>
    </row>
    <row r="3544">
      <c r="B3544" s="21">
        <f>IF(AND(C3544&lt;&gt;"", J3544&lt;&gt;""), HYPERLINK("#'" &amp; C3544 &amp; "'!" &amp; J3544, J3544), "")</f>
        <v/>
      </c>
    </row>
    <row r="3545">
      <c r="B3545" s="21">
        <f>IF(AND(C3545&lt;&gt;"", J3545&lt;&gt;""), HYPERLINK("#'" &amp; C3545 &amp; "'!" &amp; J3545, J3545), "")</f>
        <v/>
      </c>
    </row>
    <row r="3546">
      <c r="B3546" s="21">
        <f>IF(AND(C3546&lt;&gt;"", J3546&lt;&gt;""), HYPERLINK("#'" &amp; C3546 &amp; "'!" &amp; J3546, J3546), "")</f>
        <v/>
      </c>
    </row>
    <row r="3547">
      <c r="B3547" s="21">
        <f>IF(AND(C3547&lt;&gt;"", J3547&lt;&gt;""), HYPERLINK("#'" &amp; C3547 &amp; "'!" &amp; J3547, J3547), "")</f>
        <v/>
      </c>
    </row>
    <row r="3548">
      <c r="B3548" s="21">
        <f>IF(AND(C3548&lt;&gt;"", J3548&lt;&gt;""), HYPERLINK("#'" &amp; C3548 &amp; "'!" &amp; J3548, J3548), "")</f>
        <v/>
      </c>
    </row>
    <row r="3549">
      <c r="B3549" s="21">
        <f>IF(AND(C3549&lt;&gt;"", J3549&lt;&gt;""), HYPERLINK("#'" &amp; C3549 &amp; "'!" &amp; J3549, J3549), "")</f>
        <v/>
      </c>
    </row>
    <row r="3550">
      <c r="B3550" s="21">
        <f>IF(AND(C3550&lt;&gt;"", J3550&lt;&gt;""), HYPERLINK("#'" &amp; C3550 &amp; "'!" &amp; J3550, J3550), "")</f>
        <v/>
      </c>
    </row>
    <row r="3551">
      <c r="B3551" s="21">
        <f>IF(AND(C3551&lt;&gt;"", J3551&lt;&gt;""), HYPERLINK("#'" &amp; C3551 &amp; "'!" &amp; J3551, J3551), "")</f>
        <v/>
      </c>
    </row>
    <row r="3552">
      <c r="B3552" s="21">
        <f>IF(AND(C3552&lt;&gt;"", J3552&lt;&gt;""), HYPERLINK("#'" &amp; C3552 &amp; "'!" &amp; J3552, J3552), "")</f>
        <v/>
      </c>
    </row>
    <row r="3553">
      <c r="B3553" s="21">
        <f>IF(AND(C3553&lt;&gt;"", J3553&lt;&gt;""), HYPERLINK("#'" &amp; C3553 &amp; "'!" &amp; J3553, J3553), "")</f>
        <v/>
      </c>
    </row>
    <row r="3554">
      <c r="B3554" s="21">
        <f>IF(AND(C3554&lt;&gt;"", J3554&lt;&gt;""), HYPERLINK("#'" &amp; C3554 &amp; "'!" &amp; J3554, J3554), "")</f>
        <v/>
      </c>
    </row>
    <row r="3555">
      <c r="B3555" s="21">
        <f>IF(AND(C3555&lt;&gt;"", J3555&lt;&gt;""), HYPERLINK("#'" &amp; C3555 &amp; "'!" &amp; J3555, J3555), "")</f>
        <v/>
      </c>
    </row>
    <row r="3556">
      <c r="B3556" s="21">
        <f>IF(AND(C3556&lt;&gt;"", J3556&lt;&gt;""), HYPERLINK("#'" &amp; C3556 &amp; "'!" &amp; J3556, J3556), "")</f>
        <v/>
      </c>
    </row>
    <row r="3557">
      <c r="B3557" s="21">
        <f>IF(AND(C3557&lt;&gt;"", J3557&lt;&gt;""), HYPERLINK("#'" &amp; C3557 &amp; "'!" &amp; J3557, J3557), "")</f>
        <v/>
      </c>
    </row>
    <row r="3558">
      <c r="B3558" s="21">
        <f>IF(AND(C3558&lt;&gt;"", J3558&lt;&gt;""), HYPERLINK("#'" &amp; C3558 &amp; "'!" &amp; J3558, J3558), "")</f>
        <v/>
      </c>
    </row>
    <row r="3559">
      <c r="B3559" s="21">
        <f>IF(AND(C3559&lt;&gt;"", J3559&lt;&gt;""), HYPERLINK("#'" &amp; C3559 &amp; "'!" &amp; J3559, J3559), "")</f>
        <v/>
      </c>
    </row>
    <row r="3560">
      <c r="B3560" s="21">
        <f>IF(AND(C3560&lt;&gt;"", J3560&lt;&gt;""), HYPERLINK("#'" &amp; C3560 &amp; "'!" &amp; J3560, J3560), "")</f>
        <v/>
      </c>
    </row>
    <row r="3561">
      <c r="B3561" s="21">
        <f>IF(AND(C3561&lt;&gt;"", J3561&lt;&gt;""), HYPERLINK("#'" &amp; C3561 &amp; "'!" &amp; J3561, J3561), "")</f>
        <v/>
      </c>
    </row>
    <row r="3562">
      <c r="B3562" s="21">
        <f>IF(AND(C3562&lt;&gt;"", J3562&lt;&gt;""), HYPERLINK("#'" &amp; C3562 &amp; "'!" &amp; J3562, J3562), "")</f>
        <v/>
      </c>
    </row>
    <row r="3563">
      <c r="B3563" s="21">
        <f>IF(AND(C3563&lt;&gt;"", J3563&lt;&gt;""), HYPERLINK("#'" &amp; C3563 &amp; "'!" &amp; J3563, J3563), "")</f>
        <v/>
      </c>
    </row>
    <row r="3564">
      <c r="B3564" s="21">
        <f>IF(AND(C3564&lt;&gt;"", J3564&lt;&gt;""), HYPERLINK("#'" &amp; C3564 &amp; "'!" &amp; J3564, J3564), "")</f>
        <v/>
      </c>
    </row>
    <row r="3565">
      <c r="B3565" s="21">
        <f>IF(AND(C3565&lt;&gt;"", J3565&lt;&gt;""), HYPERLINK("#'" &amp; C3565 &amp; "'!" &amp; J3565, J3565), "")</f>
        <v/>
      </c>
    </row>
    <row r="3566">
      <c r="B3566" s="21">
        <f>IF(AND(C3566&lt;&gt;"", J3566&lt;&gt;""), HYPERLINK("#'" &amp; C3566 &amp; "'!" &amp; J3566, J3566), "")</f>
        <v/>
      </c>
    </row>
    <row r="3567">
      <c r="B3567" s="21">
        <f>IF(AND(C3567&lt;&gt;"", J3567&lt;&gt;""), HYPERLINK("#'" &amp; C3567 &amp; "'!" &amp; J3567, J3567), "")</f>
        <v/>
      </c>
    </row>
    <row r="3568">
      <c r="B3568" s="21">
        <f>IF(AND(C3568&lt;&gt;"", J3568&lt;&gt;""), HYPERLINK("#'" &amp; C3568 &amp; "'!" &amp; J3568, J3568), "")</f>
        <v/>
      </c>
    </row>
    <row r="3569">
      <c r="B3569" s="21">
        <f>IF(AND(C3569&lt;&gt;"", J3569&lt;&gt;""), HYPERLINK("#'" &amp; C3569 &amp; "'!" &amp; J3569, J3569), "")</f>
        <v/>
      </c>
    </row>
    <row r="3570">
      <c r="B3570" s="21">
        <f>IF(AND(C3570&lt;&gt;"", J3570&lt;&gt;""), HYPERLINK("#'" &amp; C3570 &amp; "'!" &amp; J3570, J3570), "")</f>
        <v/>
      </c>
    </row>
    <row r="3571">
      <c r="B3571" s="21">
        <f>IF(AND(C3571&lt;&gt;"", J3571&lt;&gt;""), HYPERLINK("#'" &amp; C3571 &amp; "'!" &amp; J3571, J3571), "")</f>
        <v/>
      </c>
    </row>
    <row r="3572">
      <c r="B3572" s="21">
        <f>IF(AND(C3572&lt;&gt;"", J3572&lt;&gt;""), HYPERLINK("#'" &amp; C3572 &amp; "'!" &amp; J3572, J3572), "")</f>
        <v/>
      </c>
    </row>
    <row r="3573">
      <c r="B3573" s="21">
        <f>IF(AND(C3573&lt;&gt;"", J3573&lt;&gt;""), HYPERLINK("#'" &amp; C3573 &amp; "'!" &amp; J3573, J3573), "")</f>
        <v/>
      </c>
    </row>
    <row r="3574">
      <c r="B3574" s="21">
        <f>IF(AND(C3574&lt;&gt;"", J3574&lt;&gt;""), HYPERLINK("#'" &amp; C3574 &amp; "'!" &amp; J3574, J3574), "")</f>
        <v/>
      </c>
    </row>
    <row r="3575">
      <c r="B3575" s="21">
        <f>IF(AND(C3575&lt;&gt;"", J3575&lt;&gt;""), HYPERLINK("#'" &amp; C3575 &amp; "'!" &amp; J3575, J3575), "")</f>
        <v/>
      </c>
    </row>
    <row r="3576">
      <c r="B3576" s="21">
        <f>IF(AND(C3576&lt;&gt;"", J3576&lt;&gt;""), HYPERLINK("#'" &amp; C3576 &amp; "'!" &amp; J3576, J3576), "")</f>
        <v/>
      </c>
    </row>
    <row r="3577">
      <c r="B3577" s="21">
        <f>IF(AND(C3577&lt;&gt;"", J3577&lt;&gt;""), HYPERLINK("#'" &amp; C3577 &amp; "'!" &amp; J3577, J3577), "")</f>
        <v/>
      </c>
    </row>
    <row r="3578">
      <c r="B3578" s="21">
        <f>IF(AND(C3578&lt;&gt;"", J3578&lt;&gt;""), HYPERLINK("#'" &amp; C3578 &amp; "'!" &amp; J3578, J3578), "")</f>
        <v/>
      </c>
    </row>
    <row r="3579">
      <c r="B3579" s="21">
        <f>IF(AND(C3579&lt;&gt;"", J3579&lt;&gt;""), HYPERLINK("#'" &amp; C3579 &amp; "'!" &amp; J3579, J3579), "")</f>
        <v/>
      </c>
    </row>
    <row r="3580">
      <c r="B3580" s="21">
        <f>IF(AND(C3580&lt;&gt;"", J3580&lt;&gt;""), HYPERLINK("#'" &amp; C3580 &amp; "'!" &amp; J3580, J3580), "")</f>
        <v/>
      </c>
    </row>
    <row r="3581">
      <c r="B3581" s="21">
        <f>IF(AND(C3581&lt;&gt;"", J3581&lt;&gt;""), HYPERLINK("#'" &amp; C3581 &amp; "'!" &amp; J3581, J3581), "")</f>
        <v/>
      </c>
    </row>
    <row r="3582">
      <c r="B3582" s="21">
        <f>IF(AND(C3582&lt;&gt;"", J3582&lt;&gt;""), HYPERLINK("#'" &amp; C3582 &amp; "'!" &amp; J3582, J3582), "")</f>
        <v/>
      </c>
    </row>
    <row r="3583">
      <c r="B3583" s="21">
        <f>IF(AND(C3583&lt;&gt;"", J3583&lt;&gt;""), HYPERLINK("#'" &amp; C3583 &amp; "'!" &amp; J3583, J3583), "")</f>
        <v/>
      </c>
    </row>
    <row r="3584">
      <c r="B3584" s="21">
        <f>IF(AND(C3584&lt;&gt;"", J3584&lt;&gt;""), HYPERLINK("#'" &amp; C3584 &amp; "'!" &amp; J3584, J3584), "")</f>
        <v/>
      </c>
    </row>
    <row r="3585">
      <c r="B3585" s="21">
        <f>IF(AND(C3585&lt;&gt;"", J3585&lt;&gt;""), HYPERLINK("#'" &amp; C3585 &amp; "'!" &amp; J3585, J3585), "")</f>
        <v/>
      </c>
    </row>
    <row r="3586">
      <c r="B3586" s="21">
        <f>IF(AND(C3586&lt;&gt;"", J3586&lt;&gt;""), HYPERLINK("#'" &amp; C3586 &amp; "'!" &amp; J3586, J3586), "")</f>
        <v/>
      </c>
    </row>
    <row r="3587">
      <c r="B3587" s="21">
        <f>IF(AND(C3587&lt;&gt;"", J3587&lt;&gt;""), HYPERLINK("#'" &amp; C3587 &amp; "'!" &amp; J3587, J3587), "")</f>
        <v/>
      </c>
    </row>
    <row r="3588">
      <c r="B3588" s="21">
        <f>IF(AND(C3588&lt;&gt;"", J3588&lt;&gt;""), HYPERLINK("#'" &amp; C3588 &amp; "'!" &amp; J3588, J3588), "")</f>
        <v/>
      </c>
    </row>
    <row r="3589">
      <c r="B3589" s="21">
        <f>IF(AND(C3589&lt;&gt;"", J3589&lt;&gt;""), HYPERLINK("#'" &amp; C3589 &amp; "'!" &amp; J3589, J3589), "")</f>
        <v/>
      </c>
    </row>
    <row r="3590">
      <c r="B3590" s="21">
        <f>IF(AND(C3590&lt;&gt;"", J3590&lt;&gt;""), HYPERLINK("#'" &amp; C3590 &amp; "'!" &amp; J3590, J3590), "")</f>
        <v/>
      </c>
    </row>
    <row r="3591">
      <c r="B3591" s="21">
        <f>IF(AND(C3591&lt;&gt;"", J3591&lt;&gt;""), HYPERLINK("#'" &amp; C3591 &amp; "'!" &amp; J3591, J3591), "")</f>
        <v/>
      </c>
    </row>
    <row r="3592">
      <c r="B3592" s="21">
        <f>IF(AND(C3592&lt;&gt;"", J3592&lt;&gt;""), HYPERLINK("#'" &amp; C3592 &amp; "'!" &amp; J3592, J3592), "")</f>
        <v/>
      </c>
    </row>
    <row r="3593">
      <c r="B3593" s="21">
        <f>IF(AND(C3593&lt;&gt;"", J3593&lt;&gt;""), HYPERLINK("#'" &amp; C3593 &amp; "'!" &amp; J3593, J3593), "")</f>
        <v/>
      </c>
    </row>
    <row r="3594">
      <c r="B3594" s="21">
        <f>IF(AND(C3594&lt;&gt;"", J3594&lt;&gt;""), HYPERLINK("#'" &amp; C3594 &amp; "'!" &amp; J3594, J3594), "")</f>
        <v/>
      </c>
    </row>
    <row r="3595">
      <c r="B3595" s="21">
        <f>IF(AND(C3595&lt;&gt;"", J3595&lt;&gt;""), HYPERLINK("#'" &amp; C3595 &amp; "'!" &amp; J3595, J3595), "")</f>
        <v/>
      </c>
    </row>
    <row r="3596">
      <c r="B3596" s="21">
        <f>IF(AND(C3596&lt;&gt;"", J3596&lt;&gt;""), HYPERLINK("#'" &amp; C3596 &amp; "'!" &amp; J3596, J3596), "")</f>
        <v/>
      </c>
    </row>
    <row r="3597">
      <c r="B3597" s="21">
        <f>IF(AND(C3597&lt;&gt;"", J3597&lt;&gt;""), HYPERLINK("#'" &amp; C3597 &amp; "'!" &amp; J3597, J3597), "")</f>
        <v/>
      </c>
    </row>
    <row r="3598">
      <c r="B3598" s="21">
        <f>IF(AND(C3598&lt;&gt;"", J3598&lt;&gt;""), HYPERLINK("#'" &amp; C3598 &amp; "'!" &amp; J3598, J3598), "")</f>
        <v/>
      </c>
    </row>
    <row r="3599">
      <c r="B3599" s="21">
        <f>IF(AND(C3599&lt;&gt;"", J3599&lt;&gt;""), HYPERLINK("#'" &amp; C3599 &amp; "'!" &amp; J3599, J3599), "")</f>
        <v/>
      </c>
    </row>
    <row r="3600">
      <c r="B3600" s="21">
        <f>IF(AND(C3600&lt;&gt;"", J3600&lt;&gt;""), HYPERLINK("#'" &amp; C3600 &amp; "'!" &amp; J3600, J3600), "")</f>
        <v/>
      </c>
    </row>
    <row r="3601">
      <c r="B3601" s="21">
        <f>IF(AND(C3601&lt;&gt;"", J3601&lt;&gt;""), HYPERLINK("#'" &amp; C3601 &amp; "'!" &amp; J3601, J3601), "")</f>
        <v/>
      </c>
    </row>
    <row r="3602">
      <c r="B3602" s="21">
        <f>IF(AND(C3602&lt;&gt;"", J3602&lt;&gt;""), HYPERLINK("#'" &amp; C3602 &amp; "'!" &amp; J3602, J3602), "")</f>
        <v/>
      </c>
    </row>
    <row r="3603">
      <c r="B3603" s="21">
        <f>IF(AND(C3603&lt;&gt;"", J3603&lt;&gt;""), HYPERLINK("#'" &amp; C3603 &amp; "'!" &amp; J3603, J3603), "")</f>
        <v/>
      </c>
    </row>
    <row r="3604">
      <c r="B3604" s="21">
        <f>IF(AND(C3604&lt;&gt;"", J3604&lt;&gt;""), HYPERLINK("#'" &amp; C3604 &amp; "'!" &amp; J3604, J3604), "")</f>
        <v/>
      </c>
    </row>
    <row r="3605">
      <c r="B3605" s="21">
        <f>IF(AND(C3605&lt;&gt;"", J3605&lt;&gt;""), HYPERLINK("#'" &amp; C3605 &amp; "'!" &amp; J3605, J3605), "")</f>
        <v/>
      </c>
    </row>
    <row r="3606">
      <c r="B3606" s="21">
        <f>IF(AND(C3606&lt;&gt;"", J3606&lt;&gt;""), HYPERLINK("#'" &amp; C3606 &amp; "'!" &amp; J3606, J3606), "")</f>
        <v/>
      </c>
    </row>
    <row r="3607">
      <c r="B3607" s="21">
        <f>IF(AND(C3607&lt;&gt;"", J3607&lt;&gt;""), HYPERLINK("#'" &amp; C3607 &amp; "'!" &amp; J3607, J3607), "")</f>
        <v/>
      </c>
    </row>
    <row r="3608">
      <c r="B3608" s="21">
        <f>IF(AND(C3608&lt;&gt;"", J3608&lt;&gt;""), HYPERLINK("#'" &amp; C3608 &amp; "'!" &amp; J3608, J3608), "")</f>
        <v/>
      </c>
    </row>
    <row r="3609">
      <c r="B3609" s="21">
        <f>IF(AND(C3609&lt;&gt;"", J3609&lt;&gt;""), HYPERLINK("#'" &amp; C3609 &amp; "'!" &amp; J3609, J3609), "")</f>
        <v/>
      </c>
    </row>
    <row r="3610">
      <c r="B3610" s="21">
        <f>IF(AND(C3610&lt;&gt;"", J3610&lt;&gt;""), HYPERLINK("#'" &amp; C3610 &amp; "'!" &amp; J3610, J3610), "")</f>
        <v/>
      </c>
    </row>
    <row r="3611">
      <c r="B3611" s="21">
        <f>IF(AND(C3611&lt;&gt;"", J3611&lt;&gt;""), HYPERLINK("#'" &amp; C3611 &amp; "'!" &amp; J3611, J3611), "")</f>
        <v/>
      </c>
    </row>
    <row r="3612">
      <c r="B3612" s="21">
        <f>IF(AND(C3612&lt;&gt;"", J3612&lt;&gt;""), HYPERLINK("#'" &amp; C3612 &amp; "'!" &amp; J3612, J3612), "")</f>
        <v/>
      </c>
    </row>
    <row r="3613">
      <c r="B3613" s="21">
        <f>IF(AND(C3613&lt;&gt;"", J3613&lt;&gt;""), HYPERLINK("#'" &amp; C3613 &amp; "'!" &amp; J3613, J3613), "")</f>
        <v/>
      </c>
    </row>
    <row r="3614">
      <c r="B3614" s="21">
        <f>IF(AND(C3614&lt;&gt;"", J3614&lt;&gt;""), HYPERLINK("#'" &amp; C3614 &amp; "'!" &amp; J3614, J3614), "")</f>
        <v/>
      </c>
    </row>
    <row r="3615">
      <c r="B3615" s="21">
        <f>IF(AND(C3615&lt;&gt;"", J3615&lt;&gt;""), HYPERLINK("#'" &amp; C3615 &amp; "'!" &amp; J3615, J3615), "")</f>
        <v/>
      </c>
    </row>
    <row r="3616">
      <c r="B3616" s="21">
        <f>IF(AND(C3616&lt;&gt;"", J3616&lt;&gt;""), HYPERLINK("#'" &amp; C3616 &amp; "'!" &amp; J3616, J3616), "")</f>
        <v/>
      </c>
    </row>
    <row r="3617">
      <c r="B3617" s="21">
        <f>IF(AND(C3617&lt;&gt;"", J3617&lt;&gt;""), HYPERLINK("#'" &amp; C3617 &amp; "'!" &amp; J3617, J3617), "")</f>
        <v/>
      </c>
    </row>
    <row r="3618">
      <c r="B3618" s="21">
        <f>IF(AND(C3618&lt;&gt;"", J3618&lt;&gt;""), HYPERLINK("#'" &amp; C3618 &amp; "'!" &amp; J3618, J3618), "")</f>
        <v/>
      </c>
    </row>
    <row r="3619">
      <c r="B3619" s="21">
        <f>IF(AND(C3619&lt;&gt;"", J3619&lt;&gt;""), HYPERLINK("#'" &amp; C3619 &amp; "'!" &amp; J3619, J3619), "")</f>
        <v/>
      </c>
    </row>
    <row r="3620">
      <c r="B3620" s="21">
        <f>IF(AND(C3620&lt;&gt;"", J3620&lt;&gt;""), HYPERLINK("#'" &amp; C3620 &amp; "'!" &amp; J3620, J3620), "")</f>
        <v/>
      </c>
    </row>
    <row r="3621">
      <c r="B3621" s="21">
        <f>IF(AND(C3621&lt;&gt;"", J3621&lt;&gt;""), HYPERLINK("#'" &amp; C3621 &amp; "'!" &amp; J3621, J3621), "")</f>
        <v/>
      </c>
    </row>
    <row r="3622">
      <c r="B3622" s="21">
        <f>IF(AND(C3622&lt;&gt;"", J3622&lt;&gt;""), HYPERLINK("#'" &amp; C3622 &amp; "'!" &amp; J3622, J3622), "")</f>
        <v/>
      </c>
    </row>
    <row r="3623">
      <c r="B3623" s="21">
        <f>IF(AND(C3623&lt;&gt;"", J3623&lt;&gt;""), HYPERLINK("#'" &amp; C3623 &amp; "'!" &amp; J3623, J3623), "")</f>
        <v/>
      </c>
    </row>
    <row r="3624">
      <c r="B3624" s="21">
        <f>IF(AND(C3624&lt;&gt;"", J3624&lt;&gt;""), HYPERLINK("#'" &amp; C3624 &amp; "'!" &amp; J3624, J3624), "")</f>
        <v/>
      </c>
    </row>
    <row r="3625">
      <c r="B3625" s="21">
        <f>IF(AND(C3625&lt;&gt;"", J3625&lt;&gt;""), HYPERLINK("#'" &amp; C3625 &amp; "'!" &amp; J3625, J3625), "")</f>
        <v/>
      </c>
    </row>
    <row r="3626">
      <c r="B3626" s="21">
        <f>IF(AND(C3626&lt;&gt;"", J3626&lt;&gt;""), HYPERLINK("#'" &amp; C3626 &amp; "'!" &amp; J3626, J3626), "")</f>
        <v/>
      </c>
    </row>
    <row r="3627">
      <c r="B3627" s="21">
        <f>IF(AND(C3627&lt;&gt;"", J3627&lt;&gt;""), HYPERLINK("#'" &amp; C3627 &amp; "'!" &amp; J3627, J3627), "")</f>
        <v/>
      </c>
    </row>
    <row r="3628">
      <c r="B3628" s="21">
        <f>IF(AND(C3628&lt;&gt;"", J3628&lt;&gt;""), HYPERLINK("#'" &amp; C3628 &amp; "'!" &amp; J3628, J3628), "")</f>
        <v/>
      </c>
    </row>
    <row r="3629">
      <c r="B3629" s="21">
        <f>IF(AND(C3629&lt;&gt;"", J3629&lt;&gt;""), HYPERLINK("#'" &amp; C3629 &amp; "'!" &amp; J3629, J3629), "")</f>
        <v/>
      </c>
    </row>
    <row r="3630">
      <c r="B3630" s="21">
        <f>IF(AND(C3630&lt;&gt;"", J3630&lt;&gt;""), HYPERLINK("#'" &amp; C3630 &amp; "'!" &amp; J3630, J3630), "")</f>
        <v/>
      </c>
    </row>
    <row r="3631">
      <c r="B3631" s="21">
        <f>IF(AND(C3631&lt;&gt;"", J3631&lt;&gt;""), HYPERLINK("#'" &amp; C3631 &amp; "'!" &amp; J3631, J3631), "")</f>
        <v/>
      </c>
    </row>
    <row r="3632">
      <c r="B3632" s="21">
        <f>IF(AND(C3632&lt;&gt;"", J3632&lt;&gt;""), HYPERLINK("#'" &amp; C3632 &amp; "'!" &amp; J3632, J3632), "")</f>
        <v/>
      </c>
    </row>
    <row r="3633">
      <c r="B3633" s="21">
        <f>IF(AND(C3633&lt;&gt;"", J3633&lt;&gt;""), HYPERLINK("#'" &amp; C3633 &amp; "'!" &amp; J3633, J3633), "")</f>
        <v/>
      </c>
    </row>
    <row r="3634">
      <c r="B3634" s="21">
        <f>IF(AND(C3634&lt;&gt;"", J3634&lt;&gt;""), HYPERLINK("#'" &amp; C3634 &amp; "'!" &amp; J3634, J3634), "")</f>
        <v/>
      </c>
    </row>
    <row r="3635">
      <c r="B3635" s="21">
        <f>IF(AND(C3635&lt;&gt;"", J3635&lt;&gt;""), HYPERLINK("#'" &amp; C3635 &amp; "'!" &amp; J3635, J3635), "")</f>
        <v/>
      </c>
    </row>
    <row r="3636">
      <c r="B3636" s="21">
        <f>IF(AND(C3636&lt;&gt;"", J3636&lt;&gt;""), HYPERLINK("#'" &amp; C3636 &amp; "'!" &amp; J3636, J3636), "")</f>
        <v/>
      </c>
    </row>
    <row r="3637">
      <c r="B3637" s="21">
        <f>IF(AND(C3637&lt;&gt;"", J3637&lt;&gt;""), HYPERLINK("#'" &amp; C3637 &amp; "'!" &amp; J3637, J3637), "")</f>
        <v/>
      </c>
    </row>
    <row r="3638">
      <c r="B3638" s="21">
        <f>IF(AND(C3638&lt;&gt;"", J3638&lt;&gt;""), HYPERLINK("#'" &amp; C3638 &amp; "'!" &amp; J3638, J3638), "")</f>
        <v/>
      </c>
    </row>
    <row r="3639">
      <c r="B3639" s="21">
        <f>IF(AND(C3639&lt;&gt;"", J3639&lt;&gt;""), HYPERLINK("#'" &amp; C3639 &amp; "'!" &amp; J3639, J3639), "")</f>
        <v/>
      </c>
    </row>
    <row r="3640">
      <c r="B3640" s="21">
        <f>IF(AND(C3640&lt;&gt;"", J3640&lt;&gt;""), HYPERLINK("#'" &amp; C3640 &amp; "'!" &amp; J3640, J3640), "")</f>
        <v/>
      </c>
    </row>
    <row r="3641">
      <c r="B3641" s="21">
        <f>IF(AND(C3641&lt;&gt;"", J3641&lt;&gt;""), HYPERLINK("#'" &amp; C3641 &amp; "'!" &amp; J3641, J3641), "")</f>
        <v/>
      </c>
    </row>
    <row r="3642">
      <c r="B3642" s="21">
        <f>IF(AND(C3642&lt;&gt;"", J3642&lt;&gt;""), HYPERLINK("#'" &amp; C3642 &amp; "'!" &amp; J3642, J3642), "")</f>
        <v/>
      </c>
    </row>
    <row r="3643">
      <c r="B3643" s="21">
        <f>IF(AND(C3643&lt;&gt;"", J3643&lt;&gt;""), HYPERLINK("#'" &amp; C3643 &amp; "'!" &amp; J3643, J3643), "")</f>
        <v/>
      </c>
    </row>
    <row r="3644">
      <c r="B3644" s="21">
        <f>IF(AND(C3644&lt;&gt;"", J3644&lt;&gt;""), HYPERLINK("#'" &amp; C3644 &amp; "'!" &amp; J3644, J3644), "")</f>
        <v/>
      </c>
    </row>
    <row r="3645">
      <c r="B3645" s="21">
        <f>IF(AND(C3645&lt;&gt;"", J3645&lt;&gt;""), HYPERLINK("#'" &amp; C3645 &amp; "'!" &amp; J3645, J3645), "")</f>
        <v/>
      </c>
    </row>
    <row r="3646">
      <c r="B3646" s="21">
        <f>IF(AND(C3646&lt;&gt;"", J3646&lt;&gt;""), HYPERLINK("#'" &amp; C3646 &amp; "'!" &amp; J3646, J3646), "")</f>
        <v/>
      </c>
    </row>
    <row r="3647">
      <c r="B3647" s="21">
        <f>IF(AND(C3647&lt;&gt;"", J3647&lt;&gt;""), HYPERLINK("#'" &amp; C3647 &amp; "'!" &amp; J3647, J3647), "")</f>
        <v/>
      </c>
    </row>
    <row r="3648">
      <c r="B3648" s="21">
        <f>IF(AND(C3648&lt;&gt;"", J3648&lt;&gt;""), HYPERLINK("#'" &amp; C3648 &amp; "'!" &amp; J3648, J3648), "")</f>
        <v/>
      </c>
    </row>
    <row r="3649">
      <c r="B3649" s="21">
        <f>IF(AND(C3649&lt;&gt;"", J3649&lt;&gt;""), HYPERLINK("#'" &amp; C3649 &amp; "'!" &amp; J3649, J3649), "")</f>
        <v/>
      </c>
    </row>
    <row r="3650">
      <c r="B3650" s="21">
        <f>IF(AND(C3650&lt;&gt;"", J3650&lt;&gt;""), HYPERLINK("#'" &amp; C3650 &amp; "'!" &amp; J3650, J3650), "")</f>
        <v/>
      </c>
    </row>
    <row r="3651">
      <c r="B3651" s="21">
        <f>IF(AND(C3651&lt;&gt;"", J3651&lt;&gt;""), HYPERLINK("#'" &amp; C3651 &amp; "'!" &amp; J3651, J3651), "")</f>
        <v/>
      </c>
    </row>
    <row r="3652">
      <c r="B3652" s="21">
        <f>IF(AND(C3652&lt;&gt;"", J3652&lt;&gt;""), HYPERLINK("#'" &amp; C3652 &amp; "'!" &amp; J3652, J3652), "")</f>
        <v/>
      </c>
    </row>
    <row r="3653">
      <c r="B3653" s="21">
        <f>IF(AND(C3653&lt;&gt;"", J3653&lt;&gt;""), HYPERLINK("#'" &amp; C3653 &amp; "'!" &amp; J3653, J3653), "")</f>
        <v/>
      </c>
    </row>
    <row r="3654">
      <c r="B3654" s="21">
        <f>IF(AND(C3654&lt;&gt;"", J3654&lt;&gt;""), HYPERLINK("#'" &amp; C3654 &amp; "'!" &amp; J3654, J3654), "")</f>
        <v/>
      </c>
    </row>
    <row r="3655">
      <c r="B3655" s="21">
        <f>IF(AND(C3655&lt;&gt;"", J3655&lt;&gt;""), HYPERLINK("#'" &amp; C3655 &amp; "'!" &amp; J3655, J3655), "")</f>
        <v/>
      </c>
    </row>
    <row r="3656">
      <c r="B3656" s="21">
        <f>IF(AND(C3656&lt;&gt;"", J3656&lt;&gt;""), HYPERLINK("#'" &amp; C3656 &amp; "'!" &amp; J3656, J3656), "")</f>
        <v/>
      </c>
    </row>
    <row r="3657">
      <c r="B3657" s="21">
        <f>IF(AND(C3657&lt;&gt;"", J3657&lt;&gt;""), HYPERLINK("#'" &amp; C3657 &amp; "'!" &amp; J3657, J3657), "")</f>
        <v/>
      </c>
    </row>
    <row r="3658">
      <c r="B3658" s="21">
        <f>IF(AND(C3658&lt;&gt;"", J3658&lt;&gt;""), HYPERLINK("#'" &amp; C3658 &amp; "'!" &amp; J3658, J3658), "")</f>
        <v/>
      </c>
    </row>
    <row r="3659">
      <c r="B3659" s="21">
        <f>IF(AND(C3659&lt;&gt;"", J3659&lt;&gt;""), HYPERLINK("#'" &amp; C3659 &amp; "'!" &amp; J3659, J3659), "")</f>
        <v/>
      </c>
    </row>
    <row r="3660">
      <c r="B3660" s="21">
        <f>IF(AND(C3660&lt;&gt;"", J3660&lt;&gt;""), HYPERLINK("#'" &amp; C3660 &amp; "'!" &amp; J3660, J3660), "")</f>
        <v/>
      </c>
    </row>
    <row r="3661">
      <c r="B3661" s="21">
        <f>IF(AND(C3661&lt;&gt;"", J3661&lt;&gt;""), HYPERLINK("#'" &amp; C3661 &amp; "'!" &amp; J3661, J3661), "")</f>
        <v/>
      </c>
    </row>
    <row r="3662">
      <c r="B3662" s="21">
        <f>IF(AND(C3662&lt;&gt;"", J3662&lt;&gt;""), HYPERLINK("#'" &amp; C3662 &amp; "'!" &amp; J3662, J3662), "")</f>
        <v/>
      </c>
    </row>
    <row r="3663">
      <c r="B3663" s="21">
        <f>IF(AND(C3663&lt;&gt;"", J3663&lt;&gt;""), HYPERLINK("#'" &amp; C3663 &amp; "'!" &amp; J3663, J3663), "")</f>
        <v/>
      </c>
    </row>
    <row r="3664">
      <c r="B3664" s="21">
        <f>IF(AND(C3664&lt;&gt;"", J3664&lt;&gt;""), HYPERLINK("#'" &amp; C3664 &amp; "'!" &amp; J3664, J3664), "")</f>
        <v/>
      </c>
    </row>
    <row r="3665">
      <c r="B3665" s="21">
        <f>IF(AND(C3665&lt;&gt;"", J3665&lt;&gt;""), HYPERLINK("#'" &amp; C3665 &amp; "'!" &amp; J3665, J3665), "")</f>
        <v/>
      </c>
    </row>
    <row r="3666">
      <c r="B3666" s="21">
        <f>IF(AND(C3666&lt;&gt;"", J3666&lt;&gt;""), HYPERLINK("#'" &amp; C3666 &amp; "'!" &amp; J3666, J3666), "")</f>
        <v/>
      </c>
    </row>
    <row r="3667">
      <c r="B3667" s="21">
        <f>IF(AND(C3667&lt;&gt;"", J3667&lt;&gt;""), HYPERLINK("#'" &amp; C3667 &amp; "'!" &amp; J3667, J3667), "")</f>
        <v/>
      </c>
    </row>
    <row r="3668">
      <c r="B3668" s="21">
        <f>IF(AND(C3668&lt;&gt;"", J3668&lt;&gt;""), HYPERLINK("#'" &amp; C3668 &amp; "'!" &amp; J3668, J3668), "")</f>
        <v/>
      </c>
    </row>
    <row r="3669">
      <c r="B3669" s="21">
        <f>IF(AND(C3669&lt;&gt;"", J3669&lt;&gt;""), HYPERLINK("#'" &amp; C3669 &amp; "'!" &amp; J3669, J3669), "")</f>
        <v/>
      </c>
    </row>
    <row r="3670">
      <c r="B3670" s="21">
        <f>IF(AND(C3670&lt;&gt;"", J3670&lt;&gt;""), HYPERLINK("#'" &amp; C3670 &amp; "'!" &amp; J3670, J3670), "")</f>
        <v/>
      </c>
    </row>
    <row r="3671">
      <c r="B3671" s="21">
        <f>IF(AND(C3671&lt;&gt;"", J3671&lt;&gt;""), HYPERLINK("#'" &amp; C3671 &amp; "'!" &amp; J3671, J3671), "")</f>
        <v/>
      </c>
    </row>
    <row r="3672">
      <c r="B3672" s="21">
        <f>IF(AND(C3672&lt;&gt;"", J3672&lt;&gt;""), HYPERLINK("#'" &amp; C3672 &amp; "'!" &amp; J3672, J3672), "")</f>
        <v/>
      </c>
    </row>
    <row r="3673">
      <c r="B3673" s="21">
        <f>IF(AND(C3673&lt;&gt;"", J3673&lt;&gt;""), HYPERLINK("#'" &amp; C3673 &amp; "'!" &amp; J3673, J3673), "")</f>
        <v/>
      </c>
    </row>
    <row r="3674">
      <c r="B3674" s="21">
        <f>IF(AND(C3674&lt;&gt;"", J3674&lt;&gt;""), HYPERLINK("#'" &amp; C3674 &amp; "'!" &amp; J3674, J3674), "")</f>
        <v/>
      </c>
    </row>
    <row r="3675">
      <c r="B3675" s="21">
        <f>IF(AND(C3675&lt;&gt;"", J3675&lt;&gt;""), HYPERLINK("#'" &amp; C3675 &amp; "'!" &amp; J3675, J3675), "")</f>
        <v/>
      </c>
    </row>
    <row r="3676">
      <c r="B3676" s="21">
        <f>IF(AND(C3676&lt;&gt;"", J3676&lt;&gt;""), HYPERLINK("#'" &amp; C3676 &amp; "'!" &amp; J3676, J3676), "")</f>
        <v/>
      </c>
    </row>
    <row r="3677">
      <c r="B3677" s="21">
        <f>IF(AND(C3677&lt;&gt;"", J3677&lt;&gt;""), HYPERLINK("#'" &amp; C3677 &amp; "'!" &amp; J3677, J3677), "")</f>
        <v/>
      </c>
    </row>
    <row r="3678">
      <c r="B3678" s="21">
        <f>IF(AND(C3678&lt;&gt;"", J3678&lt;&gt;""), HYPERLINK("#'" &amp; C3678 &amp; "'!" &amp; J3678, J3678), "")</f>
        <v/>
      </c>
    </row>
    <row r="3679">
      <c r="B3679" s="21">
        <f>IF(AND(C3679&lt;&gt;"", J3679&lt;&gt;""), HYPERLINK("#'" &amp; C3679 &amp; "'!" &amp; J3679, J3679), "")</f>
        <v/>
      </c>
    </row>
    <row r="3680">
      <c r="B3680" s="21">
        <f>IF(AND(C3680&lt;&gt;"", J3680&lt;&gt;""), HYPERLINK("#'" &amp; C3680 &amp; "'!" &amp; J3680, J3680), "")</f>
        <v/>
      </c>
    </row>
    <row r="3681">
      <c r="B3681" s="21">
        <f>IF(AND(C3681&lt;&gt;"", J3681&lt;&gt;""), HYPERLINK("#'" &amp; C3681 &amp; "'!" &amp; J3681, J3681), "")</f>
        <v/>
      </c>
    </row>
    <row r="3682">
      <c r="B3682" s="21">
        <f>IF(AND(C3682&lt;&gt;"", J3682&lt;&gt;""), HYPERLINK("#'" &amp; C3682 &amp; "'!" &amp; J3682, J3682), "")</f>
        <v/>
      </c>
    </row>
    <row r="3683">
      <c r="B3683" s="21">
        <f>IF(AND(C3683&lt;&gt;"", J3683&lt;&gt;""), HYPERLINK("#'" &amp; C3683 &amp; "'!" &amp; J3683, J3683), "")</f>
        <v/>
      </c>
    </row>
    <row r="3684">
      <c r="B3684" s="21">
        <f>IF(AND(C3684&lt;&gt;"", J3684&lt;&gt;""), HYPERLINK("#'" &amp; C3684 &amp; "'!" &amp; J3684, J3684), "")</f>
        <v/>
      </c>
    </row>
    <row r="3685">
      <c r="B3685" s="21">
        <f>IF(AND(C3685&lt;&gt;"", J3685&lt;&gt;""), HYPERLINK("#'" &amp; C3685 &amp; "'!" &amp; J3685, J3685), "")</f>
        <v/>
      </c>
    </row>
    <row r="3686">
      <c r="B3686" s="21">
        <f>IF(AND(C3686&lt;&gt;"", J3686&lt;&gt;""), HYPERLINK("#'" &amp; C3686 &amp; "'!" &amp; J3686, J3686), "")</f>
        <v/>
      </c>
    </row>
    <row r="3687">
      <c r="B3687" s="21">
        <f>IF(AND(C3687&lt;&gt;"", J3687&lt;&gt;""), HYPERLINK("#'" &amp; C3687 &amp; "'!" &amp; J3687, J3687), "")</f>
        <v/>
      </c>
    </row>
    <row r="3688">
      <c r="B3688" s="21">
        <f>IF(AND(C3688&lt;&gt;"", J3688&lt;&gt;""), HYPERLINK("#'" &amp; C3688 &amp; "'!" &amp; J3688, J3688), "")</f>
        <v/>
      </c>
    </row>
    <row r="3689">
      <c r="B3689" s="21">
        <f>IF(AND(C3689&lt;&gt;"", J3689&lt;&gt;""), HYPERLINK("#'" &amp; C3689 &amp; "'!" &amp; J3689, J3689), "")</f>
        <v/>
      </c>
    </row>
    <row r="3690">
      <c r="B3690" s="21">
        <f>IF(AND(C3690&lt;&gt;"", J3690&lt;&gt;""), HYPERLINK("#'" &amp; C3690 &amp; "'!" &amp; J3690, J3690), "")</f>
        <v/>
      </c>
    </row>
    <row r="3691">
      <c r="B3691" s="21">
        <f>IF(AND(C3691&lt;&gt;"", J3691&lt;&gt;""), HYPERLINK("#'" &amp; C3691 &amp; "'!" &amp; J3691, J3691), "")</f>
        <v/>
      </c>
    </row>
    <row r="3692">
      <c r="B3692" s="21">
        <f>IF(AND(C3692&lt;&gt;"", J3692&lt;&gt;""), HYPERLINK("#'" &amp; C3692 &amp; "'!" &amp; J3692, J3692), "")</f>
        <v/>
      </c>
    </row>
    <row r="3693">
      <c r="B3693" s="21">
        <f>IF(AND(C3693&lt;&gt;"", J3693&lt;&gt;""), HYPERLINK("#'" &amp; C3693 &amp; "'!" &amp; J3693, J3693), "")</f>
        <v/>
      </c>
    </row>
    <row r="3694">
      <c r="B3694" s="21">
        <f>IF(AND(C3694&lt;&gt;"", J3694&lt;&gt;""), HYPERLINK("#'" &amp; C3694 &amp; "'!" &amp; J3694, J3694), "")</f>
        <v/>
      </c>
    </row>
    <row r="3695">
      <c r="B3695" s="21">
        <f>IF(AND(C3695&lt;&gt;"", J3695&lt;&gt;""), HYPERLINK("#'" &amp; C3695 &amp; "'!" &amp; J3695, J3695), "")</f>
        <v/>
      </c>
    </row>
    <row r="3696">
      <c r="B3696" s="21">
        <f>IF(AND(C3696&lt;&gt;"", J3696&lt;&gt;""), HYPERLINK("#'" &amp; C3696 &amp; "'!" &amp; J3696, J3696), "")</f>
        <v/>
      </c>
    </row>
    <row r="3697">
      <c r="B3697" s="21">
        <f>IF(AND(C3697&lt;&gt;"", J3697&lt;&gt;""), HYPERLINK("#'" &amp; C3697 &amp; "'!" &amp; J3697, J3697), "")</f>
        <v/>
      </c>
    </row>
    <row r="3698">
      <c r="B3698" s="21">
        <f>IF(AND(C3698&lt;&gt;"", J3698&lt;&gt;""), HYPERLINK("#'" &amp; C3698 &amp; "'!" &amp; J3698, J3698), "")</f>
        <v/>
      </c>
    </row>
    <row r="3699">
      <c r="B3699" s="21">
        <f>IF(AND(C3699&lt;&gt;"", J3699&lt;&gt;""), HYPERLINK("#'" &amp; C3699 &amp; "'!" &amp; J3699, J3699), "")</f>
        <v/>
      </c>
    </row>
    <row r="3700">
      <c r="B3700" s="21">
        <f>IF(AND(C3700&lt;&gt;"", J3700&lt;&gt;""), HYPERLINK("#'" &amp; C3700 &amp; "'!" &amp; J3700, J3700), "")</f>
        <v/>
      </c>
    </row>
    <row r="3701">
      <c r="B3701" s="21">
        <f>IF(AND(C3701&lt;&gt;"", J3701&lt;&gt;""), HYPERLINK("#'" &amp; C3701 &amp; "'!" &amp; J3701, J3701), "")</f>
        <v/>
      </c>
    </row>
    <row r="3702">
      <c r="B3702" s="21">
        <f>IF(AND(C3702&lt;&gt;"", J3702&lt;&gt;""), HYPERLINK("#'" &amp; C3702 &amp; "'!" &amp; J3702, J3702), "")</f>
        <v/>
      </c>
    </row>
    <row r="3703">
      <c r="B3703" s="21">
        <f>IF(AND(C3703&lt;&gt;"", J3703&lt;&gt;""), HYPERLINK("#'" &amp; C3703 &amp; "'!" &amp; J3703, J3703), "")</f>
        <v/>
      </c>
    </row>
    <row r="3704">
      <c r="B3704" s="21">
        <f>IF(AND(C3704&lt;&gt;"", J3704&lt;&gt;""), HYPERLINK("#'" &amp; C3704 &amp; "'!" &amp; J3704, J3704), "")</f>
        <v/>
      </c>
    </row>
    <row r="3705">
      <c r="B3705" s="21">
        <f>IF(AND(C3705&lt;&gt;"", J3705&lt;&gt;""), HYPERLINK("#'" &amp; C3705 &amp; "'!" &amp; J3705, J3705), "")</f>
        <v/>
      </c>
    </row>
    <row r="3706">
      <c r="B3706" s="21">
        <f>IF(AND(C3706&lt;&gt;"", J3706&lt;&gt;""), HYPERLINK("#'" &amp; C3706 &amp; "'!" &amp; J3706, J3706), "")</f>
        <v/>
      </c>
    </row>
    <row r="3707">
      <c r="B3707" s="21">
        <f>IF(AND(C3707&lt;&gt;"", J3707&lt;&gt;""), HYPERLINK("#'" &amp; C3707 &amp; "'!" &amp; J3707, J3707), "")</f>
        <v/>
      </c>
    </row>
    <row r="3708">
      <c r="B3708" s="21">
        <f>IF(AND(C3708&lt;&gt;"", J3708&lt;&gt;""), HYPERLINK("#'" &amp; C3708 &amp; "'!" &amp; J3708, J3708), "")</f>
        <v/>
      </c>
    </row>
    <row r="3709">
      <c r="B3709" s="21">
        <f>IF(AND(C3709&lt;&gt;"", J3709&lt;&gt;""), HYPERLINK("#'" &amp; C3709 &amp; "'!" &amp; J3709, J3709), "")</f>
        <v/>
      </c>
    </row>
    <row r="3710">
      <c r="B3710" s="21">
        <f>IF(AND(C3710&lt;&gt;"", J3710&lt;&gt;""), HYPERLINK("#'" &amp; C3710 &amp; "'!" &amp; J3710, J3710), "")</f>
        <v/>
      </c>
    </row>
    <row r="3711">
      <c r="B3711" s="21">
        <f>IF(AND(C3711&lt;&gt;"", J3711&lt;&gt;""), HYPERLINK("#'" &amp; C3711 &amp; "'!" &amp; J3711, J3711), "")</f>
        <v/>
      </c>
    </row>
    <row r="3712">
      <c r="B3712" s="21">
        <f>IF(AND(C3712&lt;&gt;"", J3712&lt;&gt;""), HYPERLINK("#'" &amp; C3712 &amp; "'!" &amp; J3712, J3712), "")</f>
        <v/>
      </c>
    </row>
    <row r="3713">
      <c r="B3713" s="21">
        <f>IF(AND(C3713&lt;&gt;"", J3713&lt;&gt;""), HYPERLINK("#'" &amp; C3713 &amp; "'!" &amp; J3713, J3713), "")</f>
        <v/>
      </c>
    </row>
    <row r="3714">
      <c r="B3714" s="21">
        <f>IF(AND(C3714&lt;&gt;"", J3714&lt;&gt;""), HYPERLINK("#'" &amp; C3714 &amp; "'!" &amp; J3714, J3714), "")</f>
        <v/>
      </c>
    </row>
    <row r="3715">
      <c r="B3715" s="21">
        <f>IF(AND(C3715&lt;&gt;"", J3715&lt;&gt;""), HYPERLINK("#'" &amp; C3715 &amp; "'!" &amp; J3715, J3715), "")</f>
        <v/>
      </c>
    </row>
    <row r="3716">
      <c r="B3716" s="21">
        <f>IF(AND(C3716&lt;&gt;"", J3716&lt;&gt;""), HYPERLINK("#'" &amp; C3716 &amp; "'!" &amp; J3716, J3716), "")</f>
        <v/>
      </c>
    </row>
    <row r="3717">
      <c r="B3717" s="21">
        <f>IF(AND(C3717&lt;&gt;"", J3717&lt;&gt;""), HYPERLINK("#'" &amp; C3717 &amp; "'!" &amp; J3717, J3717), "")</f>
        <v/>
      </c>
    </row>
    <row r="3718">
      <c r="B3718" s="21">
        <f>IF(AND(C3718&lt;&gt;"", J3718&lt;&gt;""), HYPERLINK("#'" &amp; C3718 &amp; "'!" &amp; J3718, J3718), "")</f>
        <v/>
      </c>
    </row>
    <row r="3719">
      <c r="B3719" s="21">
        <f>IF(AND(C3719&lt;&gt;"", J3719&lt;&gt;""), HYPERLINK("#'" &amp; C3719 &amp; "'!" &amp; J3719, J3719), "")</f>
        <v/>
      </c>
    </row>
    <row r="3720">
      <c r="B3720" s="21">
        <f>IF(AND(C3720&lt;&gt;"", J3720&lt;&gt;""), HYPERLINK("#'" &amp; C3720 &amp; "'!" &amp; J3720, J3720), "")</f>
        <v/>
      </c>
    </row>
    <row r="3721">
      <c r="B3721" s="21">
        <f>IF(AND(C3721&lt;&gt;"", J3721&lt;&gt;""), HYPERLINK("#'" &amp; C3721 &amp; "'!" &amp; J3721, J3721), "")</f>
        <v/>
      </c>
    </row>
    <row r="3722">
      <c r="B3722" s="21">
        <f>IF(AND(C3722&lt;&gt;"", J3722&lt;&gt;""), HYPERLINK("#'" &amp; C3722 &amp; "'!" &amp; J3722, J3722), "")</f>
        <v/>
      </c>
    </row>
    <row r="3723">
      <c r="B3723" s="21">
        <f>IF(AND(C3723&lt;&gt;"", J3723&lt;&gt;""), HYPERLINK("#'" &amp; C3723 &amp; "'!" &amp; J3723, J3723), "")</f>
        <v/>
      </c>
    </row>
    <row r="3724">
      <c r="B3724" s="21">
        <f>IF(AND(C3724&lt;&gt;"", J3724&lt;&gt;""), HYPERLINK("#'" &amp; C3724 &amp; "'!" &amp; J3724, J3724), "")</f>
        <v/>
      </c>
    </row>
    <row r="3725">
      <c r="B3725" s="21">
        <f>IF(AND(C3725&lt;&gt;"", J3725&lt;&gt;""), HYPERLINK("#'" &amp; C3725 &amp; "'!" &amp; J3725, J3725), "")</f>
        <v/>
      </c>
    </row>
    <row r="3726">
      <c r="B3726" s="21">
        <f>IF(AND(C3726&lt;&gt;"", J3726&lt;&gt;""), HYPERLINK("#'" &amp; C3726 &amp; "'!" &amp; J3726, J3726), "")</f>
        <v/>
      </c>
    </row>
    <row r="3727">
      <c r="B3727" s="21">
        <f>IF(AND(C3727&lt;&gt;"", J3727&lt;&gt;""), HYPERLINK("#'" &amp; C3727 &amp; "'!" &amp; J3727, J3727), "")</f>
        <v/>
      </c>
    </row>
    <row r="3728">
      <c r="B3728" s="21">
        <f>IF(AND(C3728&lt;&gt;"", J3728&lt;&gt;""), HYPERLINK("#'" &amp; C3728 &amp; "'!" &amp; J3728, J3728), "")</f>
        <v/>
      </c>
    </row>
    <row r="3729">
      <c r="B3729" s="21">
        <f>IF(AND(C3729&lt;&gt;"", J3729&lt;&gt;""), HYPERLINK("#'" &amp; C3729 &amp; "'!" &amp; J3729, J3729), "")</f>
        <v/>
      </c>
    </row>
    <row r="3730">
      <c r="B3730" s="21">
        <f>IF(AND(C3730&lt;&gt;"", J3730&lt;&gt;""), HYPERLINK("#'" &amp; C3730 &amp; "'!" &amp; J3730, J3730), "")</f>
        <v/>
      </c>
    </row>
    <row r="3731">
      <c r="B3731" s="21">
        <f>IF(AND(C3731&lt;&gt;"", J3731&lt;&gt;""), HYPERLINK("#'" &amp; C3731 &amp; "'!" &amp; J3731, J3731), "")</f>
        <v/>
      </c>
    </row>
    <row r="3732">
      <c r="B3732" s="21">
        <f>IF(AND(C3732&lt;&gt;"", J3732&lt;&gt;""), HYPERLINK("#'" &amp; C3732 &amp; "'!" &amp; J3732, J3732), "")</f>
        <v/>
      </c>
    </row>
    <row r="3733">
      <c r="B3733" s="21">
        <f>IF(AND(C3733&lt;&gt;"", J3733&lt;&gt;""), HYPERLINK("#'" &amp; C3733 &amp; "'!" &amp; J3733, J3733), "")</f>
        <v/>
      </c>
    </row>
    <row r="3734">
      <c r="B3734" s="21">
        <f>IF(AND(C3734&lt;&gt;"", J3734&lt;&gt;""), HYPERLINK("#'" &amp; C3734 &amp; "'!" &amp; J3734, J3734), "")</f>
        <v/>
      </c>
    </row>
    <row r="3735">
      <c r="B3735" s="21">
        <f>IF(AND(C3735&lt;&gt;"", J3735&lt;&gt;""), HYPERLINK("#'" &amp; C3735 &amp; "'!" &amp; J3735, J3735), "")</f>
        <v/>
      </c>
    </row>
    <row r="3736">
      <c r="B3736" s="21">
        <f>IF(AND(C3736&lt;&gt;"", J3736&lt;&gt;""), HYPERLINK("#'" &amp; C3736 &amp; "'!" &amp; J3736, J3736), "")</f>
        <v/>
      </c>
    </row>
    <row r="3737">
      <c r="B3737" s="21">
        <f>IF(AND(C3737&lt;&gt;"", J3737&lt;&gt;""), HYPERLINK("#'" &amp; C3737 &amp; "'!" &amp; J3737, J3737), "")</f>
        <v/>
      </c>
    </row>
    <row r="3738">
      <c r="B3738" s="21">
        <f>IF(AND(C3738&lt;&gt;"", J3738&lt;&gt;""), HYPERLINK("#'" &amp; C3738 &amp; "'!" &amp; J3738, J3738), "")</f>
        <v/>
      </c>
    </row>
    <row r="3739">
      <c r="B3739" s="21">
        <f>IF(AND(C3739&lt;&gt;"", J3739&lt;&gt;""), HYPERLINK("#'" &amp; C3739 &amp; "'!" &amp; J3739, J3739), "")</f>
        <v/>
      </c>
    </row>
    <row r="3740">
      <c r="B3740" s="21">
        <f>IF(AND(C3740&lt;&gt;"", J3740&lt;&gt;""), HYPERLINK("#'" &amp; C3740 &amp; "'!" &amp; J3740, J3740), "")</f>
        <v/>
      </c>
    </row>
    <row r="3741">
      <c r="B3741" s="21">
        <f>IF(AND(C3741&lt;&gt;"", J3741&lt;&gt;""), HYPERLINK("#'" &amp; C3741 &amp; "'!" &amp; J3741, J3741), "")</f>
        <v/>
      </c>
    </row>
    <row r="3742">
      <c r="B3742" s="21">
        <f>IF(AND(C3742&lt;&gt;"", J3742&lt;&gt;""), HYPERLINK("#'" &amp; C3742 &amp; "'!" &amp; J3742, J3742), "")</f>
        <v/>
      </c>
    </row>
    <row r="3743">
      <c r="B3743" s="21">
        <f>IF(AND(C3743&lt;&gt;"", J3743&lt;&gt;""), HYPERLINK("#'" &amp; C3743 &amp; "'!" &amp; J3743, J3743), "")</f>
        <v/>
      </c>
    </row>
    <row r="3744">
      <c r="B3744" s="21">
        <f>IF(AND(C3744&lt;&gt;"", J3744&lt;&gt;""), HYPERLINK("#'" &amp; C3744 &amp; "'!" &amp; J3744, J3744), "")</f>
        <v/>
      </c>
    </row>
    <row r="3745">
      <c r="B3745" s="21">
        <f>IF(AND(C3745&lt;&gt;"", J3745&lt;&gt;""), HYPERLINK("#'" &amp; C3745 &amp; "'!" &amp; J3745, J3745), "")</f>
        <v/>
      </c>
    </row>
    <row r="3746">
      <c r="B3746" s="21">
        <f>IF(AND(C3746&lt;&gt;"", J3746&lt;&gt;""), HYPERLINK("#'" &amp; C3746 &amp; "'!" &amp; J3746, J3746), "")</f>
        <v/>
      </c>
    </row>
    <row r="3747">
      <c r="B3747" s="21">
        <f>IF(AND(C3747&lt;&gt;"", J3747&lt;&gt;""), HYPERLINK("#'" &amp; C3747 &amp; "'!" &amp; J3747, J3747), "")</f>
        <v/>
      </c>
    </row>
    <row r="3748">
      <c r="B3748" s="21">
        <f>IF(AND(C3748&lt;&gt;"", J3748&lt;&gt;""), HYPERLINK("#'" &amp; C3748 &amp; "'!" &amp; J3748, J3748), "")</f>
        <v/>
      </c>
    </row>
    <row r="3749">
      <c r="B3749" s="21">
        <f>IF(AND(C3749&lt;&gt;"", J3749&lt;&gt;""), HYPERLINK("#'" &amp; C3749 &amp; "'!" &amp; J3749, J3749), "")</f>
        <v/>
      </c>
    </row>
    <row r="3750">
      <c r="B3750" s="21">
        <f>IF(AND(C3750&lt;&gt;"", J3750&lt;&gt;""), HYPERLINK("#'" &amp; C3750 &amp; "'!" &amp; J3750, J3750), "")</f>
        <v/>
      </c>
    </row>
    <row r="3751">
      <c r="B3751" s="21">
        <f>IF(AND(C3751&lt;&gt;"", J3751&lt;&gt;""), HYPERLINK("#'" &amp; C3751 &amp; "'!" &amp; J3751, J3751), "")</f>
        <v/>
      </c>
    </row>
    <row r="3752">
      <c r="B3752" s="21">
        <f>IF(AND(C3752&lt;&gt;"", J3752&lt;&gt;""), HYPERLINK("#'" &amp; C3752 &amp; "'!" &amp; J3752, J3752), "")</f>
        <v/>
      </c>
    </row>
    <row r="3753">
      <c r="B3753" s="21">
        <f>IF(AND(C3753&lt;&gt;"", J3753&lt;&gt;""), HYPERLINK("#'" &amp; C3753 &amp; "'!" &amp; J3753, J3753), "")</f>
        <v/>
      </c>
    </row>
    <row r="3754">
      <c r="B3754" s="21">
        <f>IF(AND(C3754&lt;&gt;"", J3754&lt;&gt;""), HYPERLINK("#'" &amp; C3754 &amp; "'!" &amp; J3754, J3754), "")</f>
        <v/>
      </c>
    </row>
    <row r="3755">
      <c r="B3755" s="21">
        <f>IF(AND(C3755&lt;&gt;"", J3755&lt;&gt;""), HYPERLINK("#'" &amp; C3755 &amp; "'!" &amp; J3755, J3755), "")</f>
        <v/>
      </c>
    </row>
    <row r="3756">
      <c r="B3756" s="21">
        <f>IF(AND(C3756&lt;&gt;"", J3756&lt;&gt;""), HYPERLINK("#'" &amp; C3756 &amp; "'!" &amp; J3756, J3756), "")</f>
        <v/>
      </c>
    </row>
    <row r="3757">
      <c r="B3757" s="21">
        <f>IF(AND(C3757&lt;&gt;"", J3757&lt;&gt;""), HYPERLINK("#'" &amp; C3757 &amp; "'!" &amp; J3757, J3757), "")</f>
        <v/>
      </c>
    </row>
    <row r="3758">
      <c r="B3758" s="21">
        <f>IF(AND(C3758&lt;&gt;"", J3758&lt;&gt;""), HYPERLINK("#'" &amp; C3758 &amp; "'!" &amp; J3758, J3758), "")</f>
        <v/>
      </c>
    </row>
    <row r="3759">
      <c r="B3759" s="21">
        <f>IF(AND(C3759&lt;&gt;"", J3759&lt;&gt;""), HYPERLINK("#'" &amp; C3759 &amp; "'!" &amp; J3759, J3759), "")</f>
        <v/>
      </c>
    </row>
    <row r="3760">
      <c r="B3760" s="21">
        <f>IF(AND(C3760&lt;&gt;"", J3760&lt;&gt;""), HYPERLINK("#'" &amp; C3760 &amp; "'!" &amp; J3760, J3760), "")</f>
        <v/>
      </c>
    </row>
    <row r="3761">
      <c r="B3761" s="21">
        <f>IF(AND(C3761&lt;&gt;"", J3761&lt;&gt;""), HYPERLINK("#'" &amp; C3761 &amp; "'!" &amp; J3761, J3761), "")</f>
        <v/>
      </c>
    </row>
    <row r="3762">
      <c r="B3762" s="21">
        <f>IF(AND(C3762&lt;&gt;"", J3762&lt;&gt;""), HYPERLINK("#'" &amp; C3762 &amp; "'!" &amp; J3762, J3762), "")</f>
        <v/>
      </c>
    </row>
    <row r="3763">
      <c r="B3763" s="21">
        <f>IF(AND(C3763&lt;&gt;"", J3763&lt;&gt;""), HYPERLINK("#'" &amp; C3763 &amp; "'!" &amp; J3763, J3763), "")</f>
        <v/>
      </c>
    </row>
    <row r="3764">
      <c r="B3764" s="21">
        <f>IF(AND(C3764&lt;&gt;"", J3764&lt;&gt;""), HYPERLINK("#'" &amp; C3764 &amp; "'!" &amp; J3764, J3764), "")</f>
        <v/>
      </c>
    </row>
    <row r="3765">
      <c r="B3765" s="21">
        <f>IF(AND(C3765&lt;&gt;"", J3765&lt;&gt;""), HYPERLINK("#'" &amp; C3765 &amp; "'!" &amp; J3765, J3765), "")</f>
        <v/>
      </c>
    </row>
    <row r="3766">
      <c r="B3766" s="21">
        <f>IF(AND(C3766&lt;&gt;"", J3766&lt;&gt;""), HYPERLINK("#'" &amp; C3766 &amp; "'!" &amp; J3766, J3766), "")</f>
        <v/>
      </c>
    </row>
    <row r="3767">
      <c r="B3767" s="21">
        <f>IF(AND(C3767&lt;&gt;"", J3767&lt;&gt;""), HYPERLINK("#'" &amp; C3767 &amp; "'!" &amp; J3767, J3767), "")</f>
        <v/>
      </c>
    </row>
    <row r="3768">
      <c r="B3768" s="21">
        <f>IF(AND(C3768&lt;&gt;"", J3768&lt;&gt;""), HYPERLINK("#'" &amp; C3768 &amp; "'!" &amp; J3768, J3768), "")</f>
        <v/>
      </c>
    </row>
    <row r="3769">
      <c r="B3769" s="21">
        <f>IF(AND(C3769&lt;&gt;"", J3769&lt;&gt;""), HYPERLINK("#'" &amp; C3769 &amp; "'!" &amp; J3769, J3769), "")</f>
        <v/>
      </c>
    </row>
    <row r="3770">
      <c r="B3770" s="21">
        <f>IF(AND(C3770&lt;&gt;"", J3770&lt;&gt;""), HYPERLINK("#'" &amp; C3770 &amp; "'!" &amp; J3770, J3770), "")</f>
        <v/>
      </c>
    </row>
    <row r="3771">
      <c r="B3771" s="21">
        <f>IF(AND(C3771&lt;&gt;"", J3771&lt;&gt;""), HYPERLINK("#'" &amp; C3771 &amp; "'!" &amp; J3771, J3771), "")</f>
        <v/>
      </c>
    </row>
    <row r="3772">
      <c r="B3772" s="21">
        <f>IF(AND(C3772&lt;&gt;"", J3772&lt;&gt;""), HYPERLINK("#'" &amp; C3772 &amp; "'!" &amp; J3772, J3772), "")</f>
        <v/>
      </c>
    </row>
    <row r="3773">
      <c r="B3773" s="21">
        <f>IF(AND(C3773&lt;&gt;"", J3773&lt;&gt;""), HYPERLINK("#'" &amp; C3773 &amp; "'!" &amp; J3773, J3773), "")</f>
        <v/>
      </c>
    </row>
    <row r="3774">
      <c r="B3774" s="21">
        <f>IF(AND(C3774&lt;&gt;"", J3774&lt;&gt;""), HYPERLINK("#'" &amp; C3774 &amp; "'!" &amp; J3774, J3774), "")</f>
        <v/>
      </c>
    </row>
    <row r="3775">
      <c r="B3775" s="21">
        <f>IF(AND(C3775&lt;&gt;"", J3775&lt;&gt;""), HYPERLINK("#'" &amp; C3775 &amp; "'!" &amp; J3775, J3775), "")</f>
        <v/>
      </c>
    </row>
    <row r="3776">
      <c r="B3776" s="21">
        <f>IF(AND(C3776&lt;&gt;"", J3776&lt;&gt;""), HYPERLINK("#'" &amp; C3776 &amp; "'!" &amp; J3776, J3776), "")</f>
        <v/>
      </c>
    </row>
    <row r="3777">
      <c r="B3777" s="21">
        <f>IF(AND(C3777&lt;&gt;"", J3777&lt;&gt;""), HYPERLINK("#'" &amp; C3777 &amp; "'!" &amp; J3777, J3777), "")</f>
        <v/>
      </c>
    </row>
    <row r="3778">
      <c r="B3778" s="21">
        <f>IF(AND(C3778&lt;&gt;"", J3778&lt;&gt;""), HYPERLINK("#'" &amp; C3778 &amp; "'!" &amp; J3778, J3778), "")</f>
        <v/>
      </c>
    </row>
    <row r="3779">
      <c r="B3779" s="21">
        <f>IF(AND(C3779&lt;&gt;"", J3779&lt;&gt;""), HYPERLINK("#'" &amp; C3779 &amp; "'!" &amp; J3779, J3779), "")</f>
        <v/>
      </c>
    </row>
    <row r="3780">
      <c r="B3780" s="21">
        <f>IF(AND(C3780&lt;&gt;"", J3780&lt;&gt;""), HYPERLINK("#'" &amp; C3780 &amp; "'!" &amp; J3780, J3780), "")</f>
        <v/>
      </c>
    </row>
    <row r="3781">
      <c r="B3781" s="21">
        <f>IF(AND(C3781&lt;&gt;"", J3781&lt;&gt;""), HYPERLINK("#'" &amp; C3781 &amp; "'!" &amp; J3781, J3781), "")</f>
        <v/>
      </c>
    </row>
    <row r="3782">
      <c r="B3782" s="21">
        <f>IF(AND(C3782&lt;&gt;"", J3782&lt;&gt;""), HYPERLINK("#'" &amp; C3782 &amp; "'!" &amp; J3782, J3782), "")</f>
        <v/>
      </c>
    </row>
    <row r="3783">
      <c r="B3783" s="21">
        <f>IF(AND(C3783&lt;&gt;"", J3783&lt;&gt;""), HYPERLINK("#'" &amp; C3783 &amp; "'!" &amp; J3783, J3783), "")</f>
        <v/>
      </c>
    </row>
    <row r="3784">
      <c r="B3784" s="21">
        <f>IF(AND(C3784&lt;&gt;"", J3784&lt;&gt;""), HYPERLINK("#'" &amp; C3784 &amp; "'!" &amp; J3784, J3784), "")</f>
        <v/>
      </c>
    </row>
    <row r="3785">
      <c r="B3785" s="21">
        <f>IF(AND(C3785&lt;&gt;"", J3785&lt;&gt;""), HYPERLINK("#'" &amp; C3785 &amp; "'!" &amp; J3785, J3785), "")</f>
        <v/>
      </c>
    </row>
    <row r="3786">
      <c r="B3786" s="21">
        <f>IF(AND(C3786&lt;&gt;"", J3786&lt;&gt;""), HYPERLINK("#'" &amp; C3786 &amp; "'!" &amp; J3786, J3786), "")</f>
        <v/>
      </c>
    </row>
    <row r="3787">
      <c r="B3787" s="21">
        <f>IF(AND(C3787&lt;&gt;"", J3787&lt;&gt;""), HYPERLINK("#'" &amp; C3787 &amp; "'!" &amp; J3787, J3787), "")</f>
        <v/>
      </c>
    </row>
    <row r="3788">
      <c r="B3788" s="21">
        <f>IF(AND(C3788&lt;&gt;"", J3788&lt;&gt;""), HYPERLINK("#'" &amp; C3788 &amp; "'!" &amp; J3788, J3788), "")</f>
        <v/>
      </c>
    </row>
    <row r="3789">
      <c r="B3789" s="21">
        <f>IF(AND(C3789&lt;&gt;"", J3789&lt;&gt;""), HYPERLINK("#'" &amp; C3789 &amp; "'!" &amp; J3789, J3789), "")</f>
        <v/>
      </c>
    </row>
    <row r="3790">
      <c r="B3790" s="21">
        <f>IF(AND(C3790&lt;&gt;"", J3790&lt;&gt;""), HYPERLINK("#'" &amp; C3790 &amp; "'!" &amp; J3790, J3790), "")</f>
        <v/>
      </c>
    </row>
    <row r="3791">
      <c r="B3791" s="21">
        <f>IF(AND(C3791&lt;&gt;"", J3791&lt;&gt;""), HYPERLINK("#'" &amp; C3791 &amp; "'!" &amp; J3791, J3791), "")</f>
        <v/>
      </c>
    </row>
    <row r="3792">
      <c r="B3792" s="21">
        <f>IF(AND(C3792&lt;&gt;"", J3792&lt;&gt;""), HYPERLINK("#'" &amp; C3792 &amp; "'!" &amp; J3792, J3792), "")</f>
        <v/>
      </c>
    </row>
    <row r="3793">
      <c r="B3793" s="21">
        <f>IF(AND(C3793&lt;&gt;"", J3793&lt;&gt;""), HYPERLINK("#'" &amp; C3793 &amp; "'!" &amp; J3793, J3793), "")</f>
        <v/>
      </c>
    </row>
    <row r="3794">
      <c r="B3794" s="21">
        <f>IF(AND(C3794&lt;&gt;"", J3794&lt;&gt;""), HYPERLINK("#'" &amp; C3794 &amp; "'!" &amp; J3794, J3794), "")</f>
        <v/>
      </c>
    </row>
    <row r="3795">
      <c r="B3795" s="21">
        <f>IF(AND(C3795&lt;&gt;"", J3795&lt;&gt;""), HYPERLINK("#'" &amp; C3795 &amp; "'!" &amp; J3795, J3795), "")</f>
        <v/>
      </c>
    </row>
    <row r="3796">
      <c r="B3796" s="21">
        <f>IF(AND(C3796&lt;&gt;"", J3796&lt;&gt;""), HYPERLINK("#'" &amp; C3796 &amp; "'!" &amp; J3796, J3796), "")</f>
        <v/>
      </c>
    </row>
    <row r="3797">
      <c r="B3797" s="21">
        <f>IF(AND(C3797&lt;&gt;"", J3797&lt;&gt;""), HYPERLINK("#'" &amp; C3797 &amp; "'!" &amp; J3797, J3797), "")</f>
        <v/>
      </c>
    </row>
    <row r="3798">
      <c r="B3798" s="21">
        <f>IF(AND(C3798&lt;&gt;"", J3798&lt;&gt;""), HYPERLINK("#'" &amp; C3798 &amp; "'!" &amp; J3798, J3798), "")</f>
        <v/>
      </c>
    </row>
    <row r="3799">
      <c r="B3799" s="21">
        <f>IF(AND(C3799&lt;&gt;"", J3799&lt;&gt;""), HYPERLINK("#'" &amp; C3799 &amp; "'!" &amp; J3799, J3799), "")</f>
        <v/>
      </c>
    </row>
    <row r="3800">
      <c r="B3800" s="21">
        <f>IF(AND(C3800&lt;&gt;"", J3800&lt;&gt;""), HYPERLINK("#'" &amp; C3800 &amp; "'!" &amp; J3800, J3800), "")</f>
        <v/>
      </c>
    </row>
    <row r="3801">
      <c r="B3801" s="21">
        <f>IF(AND(C3801&lt;&gt;"", J3801&lt;&gt;""), HYPERLINK("#'" &amp; C3801 &amp; "'!" &amp; J3801, J3801), "")</f>
        <v/>
      </c>
    </row>
    <row r="3802">
      <c r="B3802" s="21">
        <f>IF(AND(C3802&lt;&gt;"", J3802&lt;&gt;""), HYPERLINK("#'" &amp; C3802 &amp; "'!" &amp; J3802, J3802), "")</f>
        <v/>
      </c>
    </row>
    <row r="3803">
      <c r="B3803" s="21">
        <f>IF(AND(C3803&lt;&gt;"", J3803&lt;&gt;""), HYPERLINK("#'" &amp; C3803 &amp; "'!" &amp; J3803, J3803), "")</f>
        <v/>
      </c>
    </row>
    <row r="3804">
      <c r="B3804" s="21">
        <f>IF(AND(C3804&lt;&gt;"", J3804&lt;&gt;""), HYPERLINK("#'" &amp; C3804 &amp; "'!" &amp; J3804, J3804), "")</f>
        <v/>
      </c>
    </row>
    <row r="3805">
      <c r="B3805" s="21">
        <f>IF(AND(C3805&lt;&gt;"", J3805&lt;&gt;""), HYPERLINK("#'" &amp; C3805 &amp; "'!" &amp; J3805, J3805), "")</f>
        <v/>
      </c>
    </row>
    <row r="3806">
      <c r="B3806" s="21">
        <f>IF(AND(C3806&lt;&gt;"", J3806&lt;&gt;""), HYPERLINK("#'" &amp; C3806 &amp; "'!" &amp; J3806, J3806), "")</f>
        <v/>
      </c>
    </row>
    <row r="3807">
      <c r="B3807" s="21">
        <f>IF(AND(C3807&lt;&gt;"", J3807&lt;&gt;""), HYPERLINK("#'" &amp; C3807 &amp; "'!" &amp; J3807, J3807), "")</f>
        <v/>
      </c>
    </row>
    <row r="3808">
      <c r="B3808" s="21">
        <f>IF(AND(C3808&lt;&gt;"", J3808&lt;&gt;""), HYPERLINK("#'" &amp; C3808 &amp; "'!" &amp; J3808, J3808), "")</f>
        <v/>
      </c>
    </row>
    <row r="3809">
      <c r="B3809" s="21">
        <f>IF(AND(C3809&lt;&gt;"", J3809&lt;&gt;""), HYPERLINK("#'" &amp; C3809 &amp; "'!" &amp; J3809, J3809), "")</f>
        <v/>
      </c>
    </row>
    <row r="3810">
      <c r="B3810" s="21">
        <f>IF(AND(C3810&lt;&gt;"", J3810&lt;&gt;""), HYPERLINK("#'" &amp; C3810 &amp; "'!" &amp; J3810, J3810), "")</f>
        <v/>
      </c>
    </row>
    <row r="3811">
      <c r="B3811" s="21">
        <f>IF(AND(C3811&lt;&gt;"", J3811&lt;&gt;""), HYPERLINK("#'" &amp; C3811 &amp; "'!" &amp; J3811, J3811), "")</f>
        <v/>
      </c>
    </row>
    <row r="3812">
      <c r="B3812" s="21">
        <f>IF(AND(C3812&lt;&gt;"", J3812&lt;&gt;""), HYPERLINK("#'" &amp; C3812 &amp; "'!" &amp; J3812, J3812), "")</f>
        <v/>
      </c>
    </row>
    <row r="3813">
      <c r="B3813" s="21">
        <f>IF(AND(C3813&lt;&gt;"", J3813&lt;&gt;""), HYPERLINK("#'" &amp; C3813 &amp; "'!" &amp; J3813, J3813), "")</f>
        <v/>
      </c>
    </row>
    <row r="3814">
      <c r="B3814" s="21">
        <f>IF(AND(C3814&lt;&gt;"", J3814&lt;&gt;""), HYPERLINK("#'" &amp; C3814 &amp; "'!" &amp; J3814, J3814), "")</f>
        <v/>
      </c>
    </row>
    <row r="3815">
      <c r="B3815" s="21">
        <f>IF(AND(C3815&lt;&gt;"", J3815&lt;&gt;""), HYPERLINK("#'" &amp; C3815 &amp; "'!" &amp; J3815, J3815), "")</f>
        <v/>
      </c>
    </row>
    <row r="3816">
      <c r="B3816" s="21">
        <f>IF(AND(C3816&lt;&gt;"", J3816&lt;&gt;""), HYPERLINK("#'" &amp; C3816 &amp; "'!" &amp; J3816, J3816), "")</f>
        <v/>
      </c>
    </row>
    <row r="3817">
      <c r="B3817" s="21">
        <f>IF(AND(C3817&lt;&gt;"", J3817&lt;&gt;""), HYPERLINK("#'" &amp; C3817 &amp; "'!" &amp; J3817, J3817), "")</f>
        <v/>
      </c>
    </row>
    <row r="3818">
      <c r="B3818" s="21">
        <f>IF(AND(C3818&lt;&gt;"", J3818&lt;&gt;""), HYPERLINK("#'" &amp; C3818 &amp; "'!" &amp; J3818, J3818), "")</f>
        <v/>
      </c>
    </row>
    <row r="3819">
      <c r="B3819" s="21">
        <f>IF(AND(C3819&lt;&gt;"", J3819&lt;&gt;""), HYPERLINK("#'" &amp; C3819 &amp; "'!" &amp; J3819, J3819), "")</f>
        <v/>
      </c>
    </row>
    <row r="3820">
      <c r="B3820" s="21">
        <f>IF(AND(C3820&lt;&gt;"", J3820&lt;&gt;""), HYPERLINK("#'" &amp; C3820 &amp; "'!" &amp; J3820, J3820), "")</f>
        <v/>
      </c>
    </row>
    <row r="3821">
      <c r="B3821" s="21">
        <f>IF(AND(C3821&lt;&gt;"", J3821&lt;&gt;""), HYPERLINK("#'" &amp; C3821 &amp; "'!" &amp; J3821, J3821), "")</f>
        <v/>
      </c>
    </row>
    <row r="3822">
      <c r="B3822" s="21">
        <f>IF(AND(C3822&lt;&gt;"", J3822&lt;&gt;""), HYPERLINK("#'" &amp; C3822 &amp; "'!" &amp; J3822, J3822), "")</f>
        <v/>
      </c>
    </row>
    <row r="3823">
      <c r="B3823" s="21">
        <f>IF(AND(C3823&lt;&gt;"", J3823&lt;&gt;""), HYPERLINK("#'" &amp; C3823 &amp; "'!" &amp; J3823, J3823), "")</f>
        <v/>
      </c>
    </row>
    <row r="3824">
      <c r="B3824" s="21">
        <f>IF(AND(C3824&lt;&gt;"", J3824&lt;&gt;""), HYPERLINK("#'" &amp; C3824 &amp; "'!" &amp; J3824, J3824), "")</f>
        <v/>
      </c>
    </row>
    <row r="3825">
      <c r="B3825" s="21">
        <f>IF(AND(C3825&lt;&gt;"", J3825&lt;&gt;""), HYPERLINK("#'" &amp; C3825 &amp; "'!" &amp; J3825, J3825), "")</f>
        <v/>
      </c>
    </row>
    <row r="3826">
      <c r="B3826" s="21">
        <f>IF(AND(C3826&lt;&gt;"", J3826&lt;&gt;""), HYPERLINK("#'" &amp; C3826 &amp; "'!" &amp; J3826, J3826), "")</f>
        <v/>
      </c>
    </row>
    <row r="3827">
      <c r="B3827" s="21">
        <f>IF(AND(C3827&lt;&gt;"", J3827&lt;&gt;""), HYPERLINK("#'" &amp; C3827 &amp; "'!" &amp; J3827, J3827), "")</f>
        <v/>
      </c>
    </row>
    <row r="3828">
      <c r="B3828" s="21">
        <f>IF(AND(C3828&lt;&gt;"", J3828&lt;&gt;""), HYPERLINK("#'" &amp; C3828 &amp; "'!" &amp; J3828, J3828), "")</f>
        <v/>
      </c>
    </row>
    <row r="3829">
      <c r="B3829" s="21">
        <f>IF(AND(C3829&lt;&gt;"", J3829&lt;&gt;""), HYPERLINK("#'" &amp; C3829 &amp; "'!" &amp; J3829, J3829), "")</f>
        <v/>
      </c>
    </row>
    <row r="3830">
      <c r="B3830" s="21">
        <f>IF(AND(C3830&lt;&gt;"", J3830&lt;&gt;""), HYPERLINK("#'" &amp; C3830 &amp; "'!" &amp; J3830, J3830), "")</f>
        <v/>
      </c>
    </row>
    <row r="3831">
      <c r="B3831" s="21">
        <f>IF(AND(C3831&lt;&gt;"", J3831&lt;&gt;""), HYPERLINK("#'" &amp; C3831 &amp; "'!" &amp; J3831, J3831), "")</f>
        <v/>
      </c>
    </row>
    <row r="3832">
      <c r="B3832" s="21">
        <f>IF(AND(C3832&lt;&gt;"", J3832&lt;&gt;""), HYPERLINK("#'" &amp; C3832 &amp; "'!" &amp; J3832, J3832), "")</f>
        <v/>
      </c>
    </row>
    <row r="3833">
      <c r="B3833" s="21">
        <f>IF(AND(C3833&lt;&gt;"", J3833&lt;&gt;""), HYPERLINK("#'" &amp; C3833 &amp; "'!" &amp; J3833, J3833), "")</f>
        <v/>
      </c>
    </row>
    <row r="3834">
      <c r="B3834" s="21">
        <f>IF(AND(C3834&lt;&gt;"", J3834&lt;&gt;""), HYPERLINK("#'" &amp; C3834 &amp; "'!" &amp; J3834, J3834), "")</f>
        <v/>
      </c>
    </row>
    <row r="3835">
      <c r="B3835" s="21">
        <f>IF(AND(C3835&lt;&gt;"", J3835&lt;&gt;""), HYPERLINK("#'" &amp; C3835 &amp; "'!" &amp; J3835, J3835), "")</f>
        <v/>
      </c>
    </row>
    <row r="3836">
      <c r="B3836" s="21">
        <f>IF(AND(C3836&lt;&gt;"", J3836&lt;&gt;""), HYPERLINK("#'" &amp; C3836 &amp; "'!" &amp; J3836, J3836), "")</f>
        <v/>
      </c>
    </row>
    <row r="3837">
      <c r="B3837" s="21">
        <f>IF(AND(C3837&lt;&gt;"", J3837&lt;&gt;""), HYPERLINK("#'" &amp; C3837 &amp; "'!" &amp; J3837, J3837), "")</f>
        <v/>
      </c>
    </row>
    <row r="3838">
      <c r="B3838" s="21">
        <f>IF(AND(C3838&lt;&gt;"", J3838&lt;&gt;""), HYPERLINK("#'" &amp; C3838 &amp; "'!" &amp; J3838, J3838), "")</f>
        <v/>
      </c>
    </row>
    <row r="3839">
      <c r="B3839" s="21">
        <f>IF(AND(C3839&lt;&gt;"", J3839&lt;&gt;""), HYPERLINK("#'" &amp; C3839 &amp; "'!" &amp; J3839, J3839), "")</f>
        <v/>
      </c>
    </row>
    <row r="3840">
      <c r="B3840" s="21">
        <f>IF(AND(C3840&lt;&gt;"", J3840&lt;&gt;""), HYPERLINK("#'" &amp; C3840 &amp; "'!" &amp; J3840, J3840), "")</f>
        <v/>
      </c>
    </row>
    <row r="3841">
      <c r="B3841" s="21">
        <f>IF(AND(C3841&lt;&gt;"", J3841&lt;&gt;""), HYPERLINK("#'" &amp; C3841 &amp; "'!" &amp; J3841, J3841), "")</f>
        <v/>
      </c>
    </row>
    <row r="3842">
      <c r="B3842" s="21">
        <f>IF(AND(C3842&lt;&gt;"", J3842&lt;&gt;""), HYPERLINK("#'" &amp; C3842 &amp; "'!" &amp; J3842, J3842), "")</f>
        <v/>
      </c>
    </row>
    <row r="3843">
      <c r="B3843" s="21">
        <f>IF(AND(C3843&lt;&gt;"", J3843&lt;&gt;""), HYPERLINK("#'" &amp; C3843 &amp; "'!" &amp; J3843, J3843), "")</f>
        <v/>
      </c>
    </row>
    <row r="3844">
      <c r="B3844" s="21">
        <f>IF(AND(C3844&lt;&gt;"", J3844&lt;&gt;""), HYPERLINK("#'" &amp; C3844 &amp; "'!" &amp; J3844, J3844), "")</f>
        <v/>
      </c>
    </row>
    <row r="3845">
      <c r="B3845" s="21">
        <f>IF(AND(C3845&lt;&gt;"", J3845&lt;&gt;""), HYPERLINK("#'" &amp; C3845 &amp; "'!" &amp; J3845, J3845), "")</f>
        <v/>
      </c>
    </row>
    <row r="3846">
      <c r="B3846" s="21">
        <f>IF(AND(C3846&lt;&gt;"", J3846&lt;&gt;""), HYPERLINK("#'" &amp; C3846 &amp; "'!" &amp; J3846, J3846), "")</f>
        <v/>
      </c>
    </row>
    <row r="3847">
      <c r="B3847" s="21">
        <f>IF(AND(C3847&lt;&gt;"", J3847&lt;&gt;""), HYPERLINK("#'" &amp; C3847 &amp; "'!" &amp; J3847, J3847), "")</f>
        <v/>
      </c>
    </row>
    <row r="3848">
      <c r="B3848" s="21">
        <f>IF(AND(C3848&lt;&gt;"", J3848&lt;&gt;""), HYPERLINK("#'" &amp; C3848 &amp; "'!" &amp; J3848, J3848), "")</f>
        <v/>
      </c>
    </row>
    <row r="3849">
      <c r="B3849" s="21">
        <f>IF(AND(C3849&lt;&gt;"", J3849&lt;&gt;""), HYPERLINK("#'" &amp; C3849 &amp; "'!" &amp; J3849, J3849), "")</f>
        <v/>
      </c>
    </row>
    <row r="3850">
      <c r="B3850" s="21">
        <f>IF(AND(C3850&lt;&gt;"", J3850&lt;&gt;""), HYPERLINK("#'" &amp; C3850 &amp; "'!" &amp; J3850, J3850), "")</f>
        <v/>
      </c>
    </row>
    <row r="3851">
      <c r="B3851" s="21">
        <f>IF(AND(C3851&lt;&gt;"", J3851&lt;&gt;""), HYPERLINK("#'" &amp; C3851 &amp; "'!" &amp; J3851, J3851), "")</f>
        <v/>
      </c>
    </row>
    <row r="3852">
      <c r="B3852" s="21">
        <f>IF(AND(C3852&lt;&gt;"", J3852&lt;&gt;""), HYPERLINK("#'" &amp; C3852 &amp; "'!" &amp; J3852, J3852), "")</f>
        <v/>
      </c>
    </row>
    <row r="3853">
      <c r="B3853" s="21">
        <f>IF(AND(C3853&lt;&gt;"", J3853&lt;&gt;""), HYPERLINK("#'" &amp; C3853 &amp; "'!" &amp; J3853, J3853), "")</f>
        <v/>
      </c>
    </row>
    <row r="3854">
      <c r="B3854" s="21">
        <f>IF(AND(C3854&lt;&gt;"", J3854&lt;&gt;""), HYPERLINK("#'" &amp; C3854 &amp; "'!" &amp; J3854, J3854), "")</f>
        <v/>
      </c>
    </row>
    <row r="3855">
      <c r="B3855" s="21">
        <f>IF(AND(C3855&lt;&gt;"", J3855&lt;&gt;""), HYPERLINK("#'" &amp; C3855 &amp; "'!" &amp; J3855, J3855), "")</f>
        <v/>
      </c>
    </row>
    <row r="3856">
      <c r="B3856" s="21">
        <f>IF(AND(C3856&lt;&gt;"", J3856&lt;&gt;""), HYPERLINK("#'" &amp; C3856 &amp; "'!" &amp; J3856, J3856), "")</f>
        <v/>
      </c>
    </row>
    <row r="3857">
      <c r="B3857" s="21">
        <f>IF(AND(C3857&lt;&gt;"", J3857&lt;&gt;""), HYPERLINK("#'" &amp; C3857 &amp; "'!" &amp; J3857, J3857), "")</f>
        <v/>
      </c>
    </row>
    <row r="3858">
      <c r="B3858" s="21">
        <f>IF(AND(C3858&lt;&gt;"", J3858&lt;&gt;""), HYPERLINK("#'" &amp; C3858 &amp; "'!" &amp; J3858, J3858), "")</f>
        <v/>
      </c>
    </row>
    <row r="3859">
      <c r="B3859" s="21">
        <f>IF(AND(C3859&lt;&gt;"", J3859&lt;&gt;""), HYPERLINK("#'" &amp; C3859 &amp; "'!" &amp; J3859, J3859), "")</f>
        <v/>
      </c>
    </row>
    <row r="3860">
      <c r="B3860" s="21">
        <f>IF(AND(C3860&lt;&gt;"", J3860&lt;&gt;""), HYPERLINK("#'" &amp; C3860 &amp; "'!" &amp; J3860, J3860), "")</f>
        <v/>
      </c>
    </row>
    <row r="3861">
      <c r="B3861" s="21">
        <f>IF(AND(C3861&lt;&gt;"", J3861&lt;&gt;""), HYPERLINK("#'" &amp; C3861 &amp; "'!" &amp; J3861, J3861), "")</f>
        <v/>
      </c>
    </row>
    <row r="3862">
      <c r="B3862" s="21">
        <f>IF(AND(C3862&lt;&gt;"", J3862&lt;&gt;""), HYPERLINK("#'" &amp; C3862 &amp; "'!" &amp; J3862, J3862), "")</f>
        <v/>
      </c>
    </row>
    <row r="3863">
      <c r="B3863" s="21">
        <f>IF(AND(C3863&lt;&gt;"", J3863&lt;&gt;""), HYPERLINK("#'" &amp; C3863 &amp; "'!" &amp; J3863, J3863), "")</f>
        <v/>
      </c>
    </row>
    <row r="3864">
      <c r="B3864" s="21">
        <f>IF(AND(C3864&lt;&gt;"", J3864&lt;&gt;""), HYPERLINK("#'" &amp; C3864 &amp; "'!" &amp; J3864, J3864), "")</f>
        <v/>
      </c>
    </row>
    <row r="3865">
      <c r="B3865" s="21">
        <f>IF(AND(C3865&lt;&gt;"", J3865&lt;&gt;""), HYPERLINK("#'" &amp; C3865 &amp; "'!" &amp; J3865, J3865), "")</f>
        <v/>
      </c>
    </row>
    <row r="3866">
      <c r="B3866" s="21">
        <f>IF(AND(C3866&lt;&gt;"", J3866&lt;&gt;""), HYPERLINK("#'" &amp; C3866 &amp; "'!" &amp; J3866, J3866), "")</f>
        <v/>
      </c>
    </row>
    <row r="3867">
      <c r="B3867" s="21">
        <f>IF(AND(C3867&lt;&gt;"", J3867&lt;&gt;""), HYPERLINK("#'" &amp; C3867 &amp; "'!" &amp; J3867, J3867), "")</f>
        <v/>
      </c>
    </row>
    <row r="3868">
      <c r="B3868" s="21">
        <f>IF(AND(C3868&lt;&gt;"", J3868&lt;&gt;""), HYPERLINK("#'" &amp; C3868 &amp; "'!" &amp; J3868, J3868), "")</f>
        <v/>
      </c>
    </row>
    <row r="3869">
      <c r="B3869" s="21">
        <f>IF(AND(C3869&lt;&gt;"", J3869&lt;&gt;""), HYPERLINK("#'" &amp; C3869 &amp; "'!" &amp; J3869, J3869), "")</f>
        <v/>
      </c>
    </row>
    <row r="3870">
      <c r="B3870" s="21">
        <f>IF(AND(C3870&lt;&gt;"", J3870&lt;&gt;""), HYPERLINK("#'" &amp; C3870 &amp; "'!" &amp; J3870, J3870), "")</f>
        <v/>
      </c>
    </row>
    <row r="3871">
      <c r="B3871" s="21">
        <f>IF(AND(C3871&lt;&gt;"", J3871&lt;&gt;""), HYPERLINK("#'" &amp; C3871 &amp; "'!" &amp; J3871, J3871), "")</f>
        <v/>
      </c>
    </row>
    <row r="3872">
      <c r="B3872" s="21">
        <f>IF(AND(C3872&lt;&gt;"", J3872&lt;&gt;""), HYPERLINK("#'" &amp; C3872 &amp; "'!" &amp; J3872, J3872), "")</f>
        <v/>
      </c>
    </row>
    <row r="3873">
      <c r="B3873" s="21">
        <f>IF(AND(C3873&lt;&gt;"", J3873&lt;&gt;""), HYPERLINK("#'" &amp; C3873 &amp; "'!" &amp; J3873, J3873), "")</f>
        <v/>
      </c>
    </row>
    <row r="3874">
      <c r="B3874" s="21">
        <f>IF(AND(C3874&lt;&gt;"", J3874&lt;&gt;""), HYPERLINK("#'" &amp; C3874 &amp; "'!" &amp; J3874, J3874), "")</f>
        <v/>
      </c>
    </row>
    <row r="3875">
      <c r="B3875" s="21">
        <f>IF(AND(C3875&lt;&gt;"", J3875&lt;&gt;""), HYPERLINK("#'" &amp; C3875 &amp; "'!" &amp; J3875, J3875), "")</f>
        <v/>
      </c>
    </row>
    <row r="3876">
      <c r="B3876" s="21">
        <f>IF(AND(C3876&lt;&gt;"", J3876&lt;&gt;""), HYPERLINK("#'" &amp; C3876 &amp; "'!" &amp; J3876, J3876), "")</f>
        <v/>
      </c>
    </row>
    <row r="3877">
      <c r="B3877" s="21">
        <f>IF(AND(C3877&lt;&gt;"", J3877&lt;&gt;""), HYPERLINK("#'" &amp; C3877 &amp; "'!" &amp; J3877, J3877), "")</f>
        <v/>
      </c>
    </row>
    <row r="3878">
      <c r="B3878" s="21">
        <f>IF(AND(C3878&lt;&gt;"", J3878&lt;&gt;""), HYPERLINK("#'" &amp; C3878 &amp; "'!" &amp; J3878, J3878), "")</f>
        <v/>
      </c>
    </row>
    <row r="3879">
      <c r="B3879" s="21">
        <f>IF(AND(C3879&lt;&gt;"", J3879&lt;&gt;""), HYPERLINK("#'" &amp; C3879 &amp; "'!" &amp; J3879, J3879), "")</f>
        <v/>
      </c>
    </row>
    <row r="3880">
      <c r="B3880" s="21">
        <f>IF(AND(C3880&lt;&gt;"", J3880&lt;&gt;""), HYPERLINK("#'" &amp; C3880 &amp; "'!" &amp; J3880, J3880), "")</f>
        <v/>
      </c>
    </row>
    <row r="3881">
      <c r="B3881" s="21">
        <f>IF(AND(C3881&lt;&gt;"", J3881&lt;&gt;""), HYPERLINK("#'" &amp; C3881 &amp; "'!" &amp; J3881, J3881), "")</f>
        <v/>
      </c>
    </row>
    <row r="3882">
      <c r="B3882" s="21">
        <f>IF(AND(C3882&lt;&gt;"", J3882&lt;&gt;""), HYPERLINK("#'" &amp; C3882 &amp; "'!" &amp; J3882, J3882), "")</f>
        <v/>
      </c>
    </row>
    <row r="3883">
      <c r="B3883" s="21">
        <f>IF(AND(C3883&lt;&gt;"", J3883&lt;&gt;""), HYPERLINK("#'" &amp; C3883 &amp; "'!" &amp; J3883, J3883), "")</f>
        <v/>
      </c>
    </row>
    <row r="3884">
      <c r="B3884" s="21">
        <f>IF(AND(C3884&lt;&gt;"", J3884&lt;&gt;""), HYPERLINK("#'" &amp; C3884 &amp; "'!" &amp; J3884, J3884), "")</f>
        <v/>
      </c>
    </row>
    <row r="3885">
      <c r="B3885" s="21">
        <f>IF(AND(C3885&lt;&gt;"", J3885&lt;&gt;""), HYPERLINK("#'" &amp; C3885 &amp; "'!" &amp; J3885, J3885), "")</f>
        <v/>
      </c>
    </row>
    <row r="3886">
      <c r="B3886" s="21">
        <f>IF(AND(C3886&lt;&gt;"", J3886&lt;&gt;""), HYPERLINK("#'" &amp; C3886 &amp; "'!" &amp; J3886, J3886), "")</f>
        <v/>
      </c>
    </row>
    <row r="3887">
      <c r="B3887" s="21">
        <f>IF(AND(C3887&lt;&gt;"", J3887&lt;&gt;""), HYPERLINK("#'" &amp; C3887 &amp; "'!" &amp; J3887, J3887), "")</f>
        <v/>
      </c>
    </row>
    <row r="3888">
      <c r="B3888" s="21">
        <f>IF(AND(C3888&lt;&gt;"", J3888&lt;&gt;""), HYPERLINK("#'" &amp; C3888 &amp; "'!" &amp; J3888, J3888), "")</f>
        <v/>
      </c>
    </row>
    <row r="3889">
      <c r="B3889" s="21">
        <f>IF(AND(C3889&lt;&gt;"", J3889&lt;&gt;""), HYPERLINK("#'" &amp; C3889 &amp; "'!" &amp; J3889, J3889), "")</f>
        <v/>
      </c>
    </row>
    <row r="3890">
      <c r="B3890" s="21">
        <f>IF(AND(C3890&lt;&gt;"", J3890&lt;&gt;""), HYPERLINK("#'" &amp; C3890 &amp; "'!" &amp; J3890, J3890), "")</f>
        <v/>
      </c>
    </row>
    <row r="3891">
      <c r="B3891" s="21">
        <f>IF(AND(C3891&lt;&gt;"", J3891&lt;&gt;""), HYPERLINK("#'" &amp; C3891 &amp; "'!" &amp; J3891, J3891), "")</f>
        <v/>
      </c>
    </row>
    <row r="3892">
      <c r="B3892" s="21">
        <f>IF(AND(C3892&lt;&gt;"", J3892&lt;&gt;""), HYPERLINK("#'" &amp; C3892 &amp; "'!" &amp; J3892, J3892), "")</f>
        <v/>
      </c>
    </row>
    <row r="3893">
      <c r="B3893" s="21">
        <f>IF(AND(C3893&lt;&gt;"", J3893&lt;&gt;""), HYPERLINK("#'" &amp; C3893 &amp; "'!" &amp; J3893, J3893), "")</f>
        <v/>
      </c>
    </row>
    <row r="3894">
      <c r="B3894" s="21">
        <f>IF(AND(C3894&lt;&gt;"", J3894&lt;&gt;""), HYPERLINK("#'" &amp; C3894 &amp; "'!" &amp; J3894, J3894), "")</f>
        <v/>
      </c>
    </row>
    <row r="3895">
      <c r="B3895" s="21">
        <f>IF(AND(C3895&lt;&gt;"", J3895&lt;&gt;""), HYPERLINK("#'" &amp; C3895 &amp; "'!" &amp; J3895, J3895), "")</f>
        <v/>
      </c>
    </row>
    <row r="3896">
      <c r="B3896" s="21">
        <f>IF(AND(C3896&lt;&gt;"", J3896&lt;&gt;""), HYPERLINK("#'" &amp; C3896 &amp; "'!" &amp; J3896, J3896), "")</f>
        <v/>
      </c>
    </row>
    <row r="3897">
      <c r="B3897" s="21">
        <f>IF(AND(C3897&lt;&gt;"", J3897&lt;&gt;""), HYPERLINK("#'" &amp; C3897 &amp; "'!" &amp; J3897, J3897), "")</f>
        <v/>
      </c>
    </row>
    <row r="3898">
      <c r="B3898" s="21">
        <f>IF(AND(C3898&lt;&gt;"", J3898&lt;&gt;""), HYPERLINK("#'" &amp; C3898 &amp; "'!" &amp; J3898, J3898), "")</f>
        <v/>
      </c>
    </row>
    <row r="3899">
      <c r="B3899" s="21">
        <f>IF(AND(C3899&lt;&gt;"", J3899&lt;&gt;""), HYPERLINK("#'" &amp; C3899 &amp; "'!" &amp; J3899, J3899), "")</f>
        <v/>
      </c>
    </row>
    <row r="3900">
      <c r="B3900" s="21">
        <f>IF(AND(C3900&lt;&gt;"", J3900&lt;&gt;""), HYPERLINK("#'" &amp; C3900 &amp; "'!" &amp; J3900, J3900), "")</f>
        <v/>
      </c>
    </row>
    <row r="3901">
      <c r="B3901" s="21">
        <f>IF(AND(C3901&lt;&gt;"", J3901&lt;&gt;""), HYPERLINK("#'" &amp; C3901 &amp; "'!" &amp; J3901, J3901), "")</f>
        <v/>
      </c>
    </row>
    <row r="3902">
      <c r="B3902" s="21">
        <f>IF(AND(C3902&lt;&gt;"", J3902&lt;&gt;""), HYPERLINK("#'" &amp; C3902 &amp; "'!" &amp; J3902, J3902), "")</f>
        <v/>
      </c>
    </row>
    <row r="3903">
      <c r="B3903" s="21">
        <f>IF(AND(C3903&lt;&gt;"", J3903&lt;&gt;""), HYPERLINK("#'" &amp; C3903 &amp; "'!" &amp; J3903, J3903), "")</f>
        <v/>
      </c>
    </row>
    <row r="3904">
      <c r="B3904" s="21">
        <f>IF(AND(C3904&lt;&gt;"", J3904&lt;&gt;""), HYPERLINK("#'" &amp; C3904 &amp; "'!" &amp; J3904, J3904), "")</f>
        <v/>
      </c>
    </row>
    <row r="3905">
      <c r="B3905" s="21">
        <f>IF(AND(C3905&lt;&gt;"", J3905&lt;&gt;""), HYPERLINK("#'" &amp; C3905 &amp; "'!" &amp; J3905, J3905), "")</f>
        <v/>
      </c>
    </row>
    <row r="3906">
      <c r="B3906" s="21">
        <f>IF(AND(C3906&lt;&gt;"", J3906&lt;&gt;""), HYPERLINK("#'" &amp; C3906 &amp; "'!" &amp; J3906, J3906), "")</f>
        <v/>
      </c>
    </row>
    <row r="3907">
      <c r="B3907" s="21">
        <f>IF(AND(C3907&lt;&gt;"", J3907&lt;&gt;""), HYPERLINK("#'" &amp; C3907 &amp; "'!" &amp; J3907, J3907), "")</f>
        <v/>
      </c>
    </row>
    <row r="3908">
      <c r="B3908" s="21">
        <f>IF(AND(C3908&lt;&gt;"", J3908&lt;&gt;""), HYPERLINK("#'" &amp; C3908 &amp; "'!" &amp; J3908, J3908), "")</f>
        <v/>
      </c>
    </row>
    <row r="3909">
      <c r="B3909" s="21">
        <f>IF(AND(C3909&lt;&gt;"", J3909&lt;&gt;""), HYPERLINK("#'" &amp; C3909 &amp; "'!" &amp; J3909, J3909), "")</f>
        <v/>
      </c>
    </row>
    <row r="3910">
      <c r="B3910" s="21">
        <f>IF(AND(C3910&lt;&gt;"", J3910&lt;&gt;""), HYPERLINK("#'" &amp; C3910 &amp; "'!" &amp; J3910, J3910), "")</f>
        <v/>
      </c>
    </row>
    <row r="3911">
      <c r="B3911" s="21">
        <f>IF(AND(C3911&lt;&gt;"", J3911&lt;&gt;""), HYPERLINK("#'" &amp; C3911 &amp; "'!" &amp; J3911, J3911), "")</f>
        <v/>
      </c>
    </row>
    <row r="3912">
      <c r="B3912" s="21">
        <f>IF(AND(C3912&lt;&gt;"", J3912&lt;&gt;""), HYPERLINK("#'" &amp; C3912 &amp; "'!" &amp; J3912, J3912), "")</f>
        <v/>
      </c>
    </row>
    <row r="3913">
      <c r="B3913" s="21">
        <f>IF(AND(C3913&lt;&gt;"", J3913&lt;&gt;""), HYPERLINK("#'" &amp; C3913 &amp; "'!" &amp; J3913, J3913), "")</f>
        <v/>
      </c>
    </row>
    <row r="3914">
      <c r="B3914" s="21">
        <f>IF(AND(C3914&lt;&gt;"", J3914&lt;&gt;""), HYPERLINK("#'" &amp; C3914 &amp; "'!" &amp; J3914, J3914), "")</f>
        <v/>
      </c>
    </row>
    <row r="3915">
      <c r="B3915" s="21">
        <f>IF(AND(C3915&lt;&gt;"", J3915&lt;&gt;""), HYPERLINK("#'" &amp; C3915 &amp; "'!" &amp; J3915, J3915), "")</f>
        <v/>
      </c>
    </row>
    <row r="3916">
      <c r="B3916" s="21">
        <f>IF(AND(C3916&lt;&gt;"", J3916&lt;&gt;""), HYPERLINK("#'" &amp; C3916 &amp; "'!" &amp; J3916, J3916), "")</f>
        <v/>
      </c>
    </row>
    <row r="3917">
      <c r="B3917" s="21">
        <f>IF(AND(C3917&lt;&gt;"", J3917&lt;&gt;""), HYPERLINK("#'" &amp; C3917 &amp; "'!" &amp; J3917, J3917), "")</f>
        <v/>
      </c>
    </row>
    <row r="3918">
      <c r="B3918" s="21">
        <f>IF(AND(C3918&lt;&gt;"", J3918&lt;&gt;""), HYPERLINK("#'" &amp; C3918 &amp; "'!" &amp; J3918, J3918), "")</f>
        <v/>
      </c>
    </row>
    <row r="3919">
      <c r="B3919" s="21">
        <f>IF(AND(C3919&lt;&gt;"", J3919&lt;&gt;""), HYPERLINK("#'" &amp; C3919 &amp; "'!" &amp; J3919, J3919), "")</f>
        <v/>
      </c>
    </row>
    <row r="3920">
      <c r="B3920" s="21">
        <f>IF(AND(C3920&lt;&gt;"", J3920&lt;&gt;""), HYPERLINK("#'" &amp; C3920 &amp; "'!" &amp; J3920, J3920), "")</f>
        <v/>
      </c>
    </row>
    <row r="3921">
      <c r="B3921" s="21">
        <f>IF(AND(C3921&lt;&gt;"", J3921&lt;&gt;""), HYPERLINK("#'" &amp; C3921 &amp; "'!" &amp; J3921, J3921), "")</f>
        <v/>
      </c>
    </row>
    <row r="3922">
      <c r="B3922" s="21">
        <f>IF(AND(C3922&lt;&gt;"", J3922&lt;&gt;""), HYPERLINK("#'" &amp; C3922 &amp; "'!" &amp; J3922, J3922), "")</f>
        <v/>
      </c>
    </row>
    <row r="3923">
      <c r="B3923" s="21">
        <f>IF(AND(C3923&lt;&gt;"", J3923&lt;&gt;""), HYPERLINK("#'" &amp; C3923 &amp; "'!" &amp; J3923, J3923), "")</f>
        <v/>
      </c>
    </row>
    <row r="3924">
      <c r="B3924" s="21">
        <f>IF(AND(C3924&lt;&gt;"", J3924&lt;&gt;""), HYPERLINK("#'" &amp; C3924 &amp; "'!" &amp; J3924, J3924), "")</f>
        <v/>
      </c>
    </row>
    <row r="3925">
      <c r="B3925" s="21">
        <f>IF(AND(C3925&lt;&gt;"", J3925&lt;&gt;""), HYPERLINK("#'" &amp; C3925 &amp; "'!" &amp; J3925, J3925), "")</f>
        <v/>
      </c>
    </row>
    <row r="3926">
      <c r="B3926" s="21">
        <f>IF(AND(C3926&lt;&gt;"", J3926&lt;&gt;""), HYPERLINK("#'" &amp; C3926 &amp; "'!" &amp; J3926, J3926), "")</f>
        <v/>
      </c>
    </row>
    <row r="3927">
      <c r="B3927" s="21">
        <f>IF(AND(C3927&lt;&gt;"", J3927&lt;&gt;""), HYPERLINK("#'" &amp; C3927 &amp; "'!" &amp; J3927, J3927), "")</f>
        <v/>
      </c>
    </row>
    <row r="3928">
      <c r="B3928" s="21">
        <f>IF(AND(C3928&lt;&gt;"", J3928&lt;&gt;""), HYPERLINK("#'" &amp; C3928 &amp; "'!" &amp; J3928, J3928), "")</f>
        <v/>
      </c>
    </row>
    <row r="3929">
      <c r="B3929" s="21">
        <f>IF(AND(C3929&lt;&gt;"", J3929&lt;&gt;""), HYPERLINK("#'" &amp; C3929 &amp; "'!" &amp; J3929, J3929), "")</f>
        <v/>
      </c>
    </row>
    <row r="3930">
      <c r="B3930" s="21">
        <f>IF(AND(C3930&lt;&gt;"", J3930&lt;&gt;""), HYPERLINK("#'" &amp; C3930 &amp; "'!" &amp; J3930, J3930), "")</f>
        <v/>
      </c>
    </row>
    <row r="3931">
      <c r="B3931" s="21">
        <f>IF(AND(C3931&lt;&gt;"", J3931&lt;&gt;""), HYPERLINK("#'" &amp; C3931 &amp; "'!" &amp; J3931, J3931), "")</f>
        <v/>
      </c>
    </row>
    <row r="3932">
      <c r="B3932" s="21">
        <f>IF(AND(C3932&lt;&gt;"", J3932&lt;&gt;""), HYPERLINK("#'" &amp; C3932 &amp; "'!" &amp; J3932, J3932), "")</f>
        <v/>
      </c>
    </row>
    <row r="3933">
      <c r="B3933" s="21">
        <f>IF(AND(C3933&lt;&gt;"", J3933&lt;&gt;""), HYPERLINK("#'" &amp; C3933 &amp; "'!" &amp; J3933, J3933), "")</f>
        <v/>
      </c>
    </row>
    <row r="3934">
      <c r="B3934" s="21">
        <f>IF(AND(C3934&lt;&gt;"", J3934&lt;&gt;""), HYPERLINK("#'" &amp; C3934 &amp; "'!" &amp; J3934, J3934), "")</f>
        <v/>
      </c>
    </row>
    <row r="3935">
      <c r="B3935" s="21">
        <f>IF(AND(C3935&lt;&gt;"", J3935&lt;&gt;""), HYPERLINK("#'" &amp; C3935 &amp; "'!" &amp; J3935, J3935), "")</f>
        <v/>
      </c>
    </row>
    <row r="3936">
      <c r="B3936" s="21">
        <f>IF(AND(C3936&lt;&gt;"", J3936&lt;&gt;""), HYPERLINK("#'" &amp; C3936 &amp; "'!" &amp; J3936, J3936), "")</f>
        <v/>
      </c>
    </row>
    <row r="3937">
      <c r="B3937" s="21">
        <f>IF(AND(C3937&lt;&gt;"", J3937&lt;&gt;""), HYPERLINK("#'" &amp; C3937 &amp; "'!" &amp; J3937, J3937), "")</f>
        <v/>
      </c>
    </row>
    <row r="3938">
      <c r="B3938" s="21">
        <f>IF(AND(C3938&lt;&gt;"", J3938&lt;&gt;""), HYPERLINK("#'" &amp; C3938 &amp; "'!" &amp; J3938, J3938), "")</f>
        <v/>
      </c>
    </row>
    <row r="3939">
      <c r="B3939" s="21">
        <f>IF(AND(C3939&lt;&gt;"", J3939&lt;&gt;""), HYPERLINK("#'" &amp; C3939 &amp; "'!" &amp; J3939, J3939), "")</f>
        <v/>
      </c>
    </row>
    <row r="3940">
      <c r="B3940" s="21">
        <f>IF(AND(C3940&lt;&gt;"", J3940&lt;&gt;""), HYPERLINK("#'" &amp; C3940 &amp; "'!" &amp; J3940, J3940), "")</f>
        <v/>
      </c>
    </row>
    <row r="3941">
      <c r="B3941" s="21">
        <f>IF(AND(C3941&lt;&gt;"", J3941&lt;&gt;""), HYPERLINK("#'" &amp; C3941 &amp; "'!" &amp; J3941, J3941), "")</f>
        <v/>
      </c>
    </row>
    <row r="3942">
      <c r="B3942" s="21">
        <f>IF(AND(C3942&lt;&gt;"", J3942&lt;&gt;""), HYPERLINK("#'" &amp; C3942 &amp; "'!" &amp; J3942, J3942), "")</f>
        <v/>
      </c>
    </row>
    <row r="3943">
      <c r="B3943" s="21">
        <f>IF(AND(C3943&lt;&gt;"", J3943&lt;&gt;""), HYPERLINK("#'" &amp; C3943 &amp; "'!" &amp; J3943, J3943), "")</f>
        <v/>
      </c>
    </row>
    <row r="3944">
      <c r="B3944" s="21">
        <f>IF(AND(C3944&lt;&gt;"", J3944&lt;&gt;""), HYPERLINK("#'" &amp; C3944 &amp; "'!" &amp; J3944, J3944), "")</f>
        <v/>
      </c>
    </row>
    <row r="3945">
      <c r="B3945" s="21">
        <f>IF(AND(C3945&lt;&gt;"", J3945&lt;&gt;""), HYPERLINK("#'" &amp; C3945 &amp; "'!" &amp; J3945, J3945), "")</f>
        <v/>
      </c>
    </row>
    <row r="3946">
      <c r="B3946" s="21">
        <f>IF(AND(C3946&lt;&gt;"", J3946&lt;&gt;""), HYPERLINK("#'" &amp; C3946 &amp; "'!" &amp; J3946, J3946), "")</f>
        <v/>
      </c>
    </row>
    <row r="3947">
      <c r="B3947" s="21">
        <f>IF(AND(C3947&lt;&gt;"", J3947&lt;&gt;""), HYPERLINK("#'" &amp; C3947 &amp; "'!" &amp; J3947, J3947), "")</f>
        <v/>
      </c>
    </row>
    <row r="3948">
      <c r="B3948" s="21">
        <f>IF(AND(C3948&lt;&gt;"", J3948&lt;&gt;""), HYPERLINK("#'" &amp; C3948 &amp; "'!" &amp; J3948, J3948), "")</f>
        <v/>
      </c>
    </row>
    <row r="3949">
      <c r="B3949" s="21">
        <f>IF(AND(C3949&lt;&gt;"", J3949&lt;&gt;""), HYPERLINK("#'" &amp; C3949 &amp; "'!" &amp; J3949, J3949), "")</f>
        <v/>
      </c>
    </row>
    <row r="3950">
      <c r="B3950" s="21">
        <f>IF(AND(C3950&lt;&gt;"", J3950&lt;&gt;""), HYPERLINK("#'" &amp; C3950 &amp; "'!" &amp; J3950, J3950), "")</f>
        <v/>
      </c>
    </row>
    <row r="3951">
      <c r="B3951" s="21">
        <f>IF(AND(C3951&lt;&gt;"", J3951&lt;&gt;""), HYPERLINK("#'" &amp; C3951 &amp; "'!" &amp; J3951, J3951), "")</f>
        <v/>
      </c>
    </row>
    <row r="3952">
      <c r="B3952" s="21">
        <f>IF(AND(C3952&lt;&gt;"", J3952&lt;&gt;""), HYPERLINK("#'" &amp; C3952 &amp; "'!" &amp; J3952, J3952), "")</f>
        <v/>
      </c>
    </row>
    <row r="3953">
      <c r="B3953" s="21">
        <f>IF(AND(C3953&lt;&gt;"", J3953&lt;&gt;""), HYPERLINK("#'" &amp; C3953 &amp; "'!" &amp; J3953, J3953), "")</f>
        <v/>
      </c>
    </row>
    <row r="3954">
      <c r="B3954" s="21">
        <f>IF(AND(C3954&lt;&gt;"", J3954&lt;&gt;""), HYPERLINK("#'" &amp; C3954 &amp; "'!" &amp; J3954, J3954), "")</f>
        <v/>
      </c>
    </row>
    <row r="3955">
      <c r="B3955" s="21">
        <f>IF(AND(C3955&lt;&gt;"", J3955&lt;&gt;""), HYPERLINK("#'" &amp; C3955 &amp; "'!" &amp; J3955, J3955), "")</f>
        <v/>
      </c>
    </row>
    <row r="3956">
      <c r="B3956" s="21">
        <f>IF(AND(C3956&lt;&gt;"", J3956&lt;&gt;""), HYPERLINK("#'" &amp; C3956 &amp; "'!" &amp; J3956, J3956), "")</f>
        <v/>
      </c>
    </row>
    <row r="3957">
      <c r="B3957" s="21">
        <f>IF(AND(C3957&lt;&gt;"", J3957&lt;&gt;""), HYPERLINK("#'" &amp; C3957 &amp; "'!" &amp; J3957, J3957), "")</f>
        <v/>
      </c>
    </row>
    <row r="3958">
      <c r="B3958" s="21">
        <f>IF(AND(C3958&lt;&gt;"", J3958&lt;&gt;""), HYPERLINK("#'" &amp; C3958 &amp; "'!" &amp; J3958, J3958), "")</f>
        <v/>
      </c>
    </row>
    <row r="3959">
      <c r="B3959" s="21">
        <f>IF(AND(C3959&lt;&gt;"", J3959&lt;&gt;""), HYPERLINK("#'" &amp; C3959 &amp; "'!" &amp; J3959, J3959), "")</f>
        <v/>
      </c>
    </row>
    <row r="3960">
      <c r="B3960" s="21">
        <f>IF(AND(C3960&lt;&gt;"", J3960&lt;&gt;""), HYPERLINK("#'" &amp; C3960 &amp; "'!" &amp; J3960, J3960), "")</f>
        <v/>
      </c>
    </row>
    <row r="3961">
      <c r="B3961" s="21">
        <f>IF(AND(C3961&lt;&gt;"", J3961&lt;&gt;""), HYPERLINK("#'" &amp; C3961 &amp; "'!" &amp; J3961, J3961), "")</f>
        <v/>
      </c>
    </row>
    <row r="3962">
      <c r="B3962" s="21">
        <f>IF(AND(C3962&lt;&gt;"", J3962&lt;&gt;""), HYPERLINK("#'" &amp; C3962 &amp; "'!" &amp; J3962, J3962), "")</f>
        <v/>
      </c>
    </row>
    <row r="3963">
      <c r="B3963" s="21">
        <f>IF(AND(C3963&lt;&gt;"", J3963&lt;&gt;""), HYPERLINK("#'" &amp; C3963 &amp; "'!" &amp; J3963, J3963), "")</f>
        <v/>
      </c>
    </row>
    <row r="3964">
      <c r="B3964" s="21">
        <f>IF(AND(C3964&lt;&gt;"", J3964&lt;&gt;""), HYPERLINK("#'" &amp; C3964 &amp; "'!" &amp; J3964, J3964), "")</f>
        <v/>
      </c>
    </row>
    <row r="3965">
      <c r="B3965" s="21">
        <f>IF(AND(C3965&lt;&gt;"", J3965&lt;&gt;""), HYPERLINK("#'" &amp; C3965 &amp; "'!" &amp; J3965, J3965), "")</f>
        <v/>
      </c>
    </row>
    <row r="3966">
      <c r="B3966" s="21">
        <f>IF(AND(C3966&lt;&gt;"", J3966&lt;&gt;""), HYPERLINK("#'" &amp; C3966 &amp; "'!" &amp; J3966, J3966), "")</f>
        <v/>
      </c>
    </row>
    <row r="3967">
      <c r="B3967" s="21">
        <f>IF(AND(C3967&lt;&gt;"", J3967&lt;&gt;""), HYPERLINK("#'" &amp; C3967 &amp; "'!" &amp; J3967, J3967), "")</f>
        <v/>
      </c>
    </row>
    <row r="3968">
      <c r="B3968" s="21">
        <f>IF(AND(C3968&lt;&gt;"", J3968&lt;&gt;""), HYPERLINK("#'" &amp; C3968 &amp; "'!" &amp; J3968, J3968), "")</f>
        <v/>
      </c>
    </row>
    <row r="3969">
      <c r="B3969" s="21">
        <f>IF(AND(C3969&lt;&gt;"", J3969&lt;&gt;""), HYPERLINK("#'" &amp; C3969 &amp; "'!" &amp; J3969, J3969), "")</f>
        <v/>
      </c>
    </row>
    <row r="3970">
      <c r="B3970" s="21">
        <f>IF(AND(C3970&lt;&gt;"", J3970&lt;&gt;""), HYPERLINK("#'" &amp; C3970 &amp; "'!" &amp; J3970, J3970), "")</f>
        <v/>
      </c>
    </row>
    <row r="3971">
      <c r="B3971" s="21">
        <f>IF(AND(C3971&lt;&gt;"", J3971&lt;&gt;""), HYPERLINK("#'" &amp; C3971 &amp; "'!" &amp; J3971, J3971), "")</f>
        <v/>
      </c>
    </row>
    <row r="3972">
      <c r="B3972" s="21">
        <f>IF(AND(C3972&lt;&gt;"", J3972&lt;&gt;""), HYPERLINK("#'" &amp; C3972 &amp; "'!" &amp; J3972, J3972), "")</f>
        <v/>
      </c>
    </row>
    <row r="3973">
      <c r="B3973" s="21">
        <f>IF(AND(C3973&lt;&gt;"", J3973&lt;&gt;""), HYPERLINK("#'" &amp; C3973 &amp; "'!" &amp; J3973, J3973), "")</f>
        <v/>
      </c>
    </row>
    <row r="3974">
      <c r="B3974" s="21">
        <f>IF(AND(C3974&lt;&gt;"", J3974&lt;&gt;""), HYPERLINK("#'" &amp; C3974 &amp; "'!" &amp; J3974, J3974), "")</f>
        <v/>
      </c>
    </row>
    <row r="3975">
      <c r="B3975" s="21">
        <f>IF(AND(C3975&lt;&gt;"", J3975&lt;&gt;""), HYPERLINK("#'" &amp; C3975 &amp; "'!" &amp; J3975, J3975), "")</f>
        <v/>
      </c>
    </row>
    <row r="3976">
      <c r="B3976" s="21">
        <f>IF(AND(C3976&lt;&gt;"", J3976&lt;&gt;""), HYPERLINK("#'" &amp; C3976 &amp; "'!" &amp; J3976, J3976), "")</f>
        <v/>
      </c>
    </row>
    <row r="3977">
      <c r="B3977" s="21">
        <f>IF(AND(C3977&lt;&gt;"", J3977&lt;&gt;""), HYPERLINK("#'" &amp; C3977 &amp; "'!" &amp; J3977, J3977), "")</f>
        <v/>
      </c>
    </row>
    <row r="3978">
      <c r="B3978" s="21">
        <f>IF(AND(C3978&lt;&gt;"", J3978&lt;&gt;""), HYPERLINK("#'" &amp; C3978 &amp; "'!" &amp; J3978, J3978), "")</f>
        <v/>
      </c>
    </row>
    <row r="3979">
      <c r="B3979" s="21">
        <f>IF(AND(C3979&lt;&gt;"", J3979&lt;&gt;""), HYPERLINK("#'" &amp; C3979 &amp; "'!" &amp; J3979, J3979), "")</f>
        <v/>
      </c>
    </row>
    <row r="3980">
      <c r="B3980" s="21">
        <f>IF(AND(C3980&lt;&gt;"", J3980&lt;&gt;""), HYPERLINK("#'" &amp; C3980 &amp; "'!" &amp; J3980, J3980), "")</f>
        <v/>
      </c>
    </row>
    <row r="3981">
      <c r="B3981" s="21">
        <f>IF(AND(C3981&lt;&gt;"", J3981&lt;&gt;""), HYPERLINK("#'" &amp; C3981 &amp; "'!" &amp; J3981, J3981), "")</f>
        <v/>
      </c>
    </row>
    <row r="3982">
      <c r="B3982" s="21">
        <f>IF(AND(C3982&lt;&gt;"", J3982&lt;&gt;""), HYPERLINK("#'" &amp; C3982 &amp; "'!" &amp; J3982, J3982), "")</f>
        <v/>
      </c>
    </row>
    <row r="3983">
      <c r="B3983" s="21">
        <f>IF(AND(C3983&lt;&gt;"", J3983&lt;&gt;""), HYPERLINK("#'" &amp; C3983 &amp; "'!" &amp; J3983, J3983), "")</f>
        <v/>
      </c>
    </row>
    <row r="3984">
      <c r="B3984" s="21">
        <f>IF(AND(C3984&lt;&gt;"", J3984&lt;&gt;""), HYPERLINK("#'" &amp; C3984 &amp; "'!" &amp; J3984, J3984), "")</f>
        <v/>
      </c>
    </row>
    <row r="3985">
      <c r="B3985" s="21">
        <f>IF(AND(C3985&lt;&gt;"", J3985&lt;&gt;""), HYPERLINK("#'" &amp; C3985 &amp; "'!" &amp; J3985, J3985), "")</f>
        <v/>
      </c>
    </row>
    <row r="3986">
      <c r="B3986" s="21">
        <f>IF(AND(C3986&lt;&gt;"", J3986&lt;&gt;""), HYPERLINK("#'" &amp; C3986 &amp; "'!" &amp; J3986, J3986), "")</f>
        <v/>
      </c>
    </row>
    <row r="3987">
      <c r="B3987" s="21">
        <f>IF(AND(C3987&lt;&gt;"", J3987&lt;&gt;""), HYPERLINK("#'" &amp; C3987 &amp; "'!" &amp; J3987, J3987), "")</f>
        <v/>
      </c>
    </row>
    <row r="3988">
      <c r="B3988" s="21">
        <f>IF(AND(C3988&lt;&gt;"", J3988&lt;&gt;""), HYPERLINK("#'" &amp; C3988 &amp; "'!" &amp; J3988, J3988), "")</f>
        <v/>
      </c>
    </row>
    <row r="3989">
      <c r="B3989" s="21">
        <f>IF(AND(C3989&lt;&gt;"", J3989&lt;&gt;""), HYPERLINK("#'" &amp; C3989 &amp; "'!" &amp; J3989, J3989), "")</f>
        <v/>
      </c>
    </row>
    <row r="3990">
      <c r="B3990" s="21">
        <f>IF(AND(C3990&lt;&gt;"", J3990&lt;&gt;""), HYPERLINK("#'" &amp; C3990 &amp; "'!" &amp; J3990, J3990), "")</f>
        <v/>
      </c>
    </row>
    <row r="3991">
      <c r="B3991" s="21">
        <f>IF(AND(C3991&lt;&gt;"", J3991&lt;&gt;""), HYPERLINK("#'" &amp; C3991 &amp; "'!" &amp; J3991, J3991), "")</f>
        <v/>
      </c>
    </row>
    <row r="3992">
      <c r="B3992" s="21">
        <f>IF(AND(C3992&lt;&gt;"", J3992&lt;&gt;""), HYPERLINK("#'" &amp; C3992 &amp; "'!" &amp; J3992, J3992), "")</f>
        <v/>
      </c>
    </row>
    <row r="3993">
      <c r="B3993" s="21">
        <f>IF(AND(C3993&lt;&gt;"", J3993&lt;&gt;""), HYPERLINK("#'" &amp; C3993 &amp; "'!" &amp; J3993, J3993), "")</f>
        <v/>
      </c>
    </row>
    <row r="3994">
      <c r="B3994" s="21">
        <f>IF(AND(C3994&lt;&gt;"", J3994&lt;&gt;""), HYPERLINK("#'" &amp; C3994 &amp; "'!" &amp; J3994, J3994), "")</f>
        <v/>
      </c>
    </row>
    <row r="3995">
      <c r="B3995" s="21">
        <f>IF(AND(C3995&lt;&gt;"", J3995&lt;&gt;""), HYPERLINK("#'" &amp; C3995 &amp; "'!" &amp; J3995, J3995), "")</f>
        <v/>
      </c>
    </row>
    <row r="3996">
      <c r="B3996" s="21">
        <f>IF(AND(C3996&lt;&gt;"", J3996&lt;&gt;""), HYPERLINK("#'" &amp; C3996 &amp; "'!" &amp; J3996, J3996), "")</f>
        <v/>
      </c>
    </row>
    <row r="3997">
      <c r="B3997" s="21">
        <f>IF(AND(C3997&lt;&gt;"", J3997&lt;&gt;""), HYPERLINK("#'" &amp; C3997 &amp; "'!" &amp; J3997, J3997), "")</f>
        <v/>
      </c>
    </row>
    <row r="3998">
      <c r="B3998" s="21">
        <f>IF(AND(C3998&lt;&gt;"", J3998&lt;&gt;""), HYPERLINK("#'" &amp; C3998 &amp; "'!" &amp; J3998, J3998), "")</f>
        <v/>
      </c>
    </row>
    <row r="3999">
      <c r="B3999" s="21">
        <f>IF(AND(C3999&lt;&gt;"", J3999&lt;&gt;""), HYPERLINK("#'" &amp; C3999 &amp; "'!" &amp; J3999, J3999), "")</f>
        <v/>
      </c>
    </row>
    <row r="4000">
      <c r="B4000" s="21">
        <f>IF(AND(C4000&lt;&gt;"", J4000&lt;&gt;""), HYPERLINK("#'" &amp; C4000 &amp; "'!" &amp; J4000, J4000), "")</f>
        <v/>
      </c>
    </row>
    <row r="4001">
      <c r="B4001" s="21">
        <f>IF(AND(C4001&lt;&gt;"", J4001&lt;&gt;""), HYPERLINK("#'" &amp; C4001 &amp; "'!" &amp; J4001, J4001), "")</f>
        <v/>
      </c>
    </row>
    <row r="4002">
      <c r="B4002" s="21">
        <f>IF(AND(C4002&lt;&gt;"", J4002&lt;&gt;""), HYPERLINK("#'" &amp; C4002 &amp; "'!" &amp; J4002, J4002), "")</f>
        <v/>
      </c>
    </row>
    <row r="4003">
      <c r="B4003" s="21">
        <f>IF(AND(C4003&lt;&gt;"", J4003&lt;&gt;""), HYPERLINK("#'" &amp; C4003 &amp; "'!" &amp; J4003, J4003), "")</f>
        <v/>
      </c>
    </row>
    <row r="4004">
      <c r="B4004" s="21">
        <f>IF(AND(C4004&lt;&gt;"", J4004&lt;&gt;""), HYPERLINK("#'" &amp; C4004 &amp; "'!" &amp; J4004, J4004), "")</f>
        <v/>
      </c>
    </row>
    <row r="4005">
      <c r="B4005" s="21">
        <f>IF(AND(C4005&lt;&gt;"", J4005&lt;&gt;""), HYPERLINK("#'" &amp; C4005 &amp; "'!" &amp; J4005, J4005), "")</f>
        <v/>
      </c>
    </row>
    <row r="4006">
      <c r="B4006" s="21">
        <f>IF(AND(C4006&lt;&gt;"", J4006&lt;&gt;""), HYPERLINK("#'" &amp; C4006 &amp; "'!" &amp; J4006, J4006), "")</f>
        <v/>
      </c>
    </row>
    <row r="4007">
      <c r="B4007" s="21">
        <f>IF(AND(C4007&lt;&gt;"", J4007&lt;&gt;""), HYPERLINK("#'" &amp; C4007 &amp; "'!" &amp; J4007, J4007), "")</f>
        <v/>
      </c>
    </row>
    <row r="4008">
      <c r="B4008" s="21">
        <f>IF(AND(C4008&lt;&gt;"", J4008&lt;&gt;""), HYPERLINK("#'" &amp; C4008 &amp; "'!" &amp; J4008, J4008), "")</f>
        <v/>
      </c>
    </row>
    <row r="4009">
      <c r="B4009" s="21">
        <f>IF(AND(C4009&lt;&gt;"", J4009&lt;&gt;""), HYPERLINK("#'" &amp; C4009 &amp; "'!" &amp; J4009, J4009), "")</f>
        <v/>
      </c>
    </row>
    <row r="4010">
      <c r="B4010" s="21">
        <f>IF(AND(C4010&lt;&gt;"", J4010&lt;&gt;""), HYPERLINK("#'" &amp; C4010 &amp; "'!" &amp; J4010, J4010), "")</f>
        <v/>
      </c>
    </row>
    <row r="4011">
      <c r="B4011" s="21">
        <f>IF(AND(C4011&lt;&gt;"", J4011&lt;&gt;""), HYPERLINK("#'" &amp; C4011 &amp; "'!" &amp; J4011, J4011), "")</f>
        <v/>
      </c>
    </row>
    <row r="4012">
      <c r="B4012" s="21">
        <f>IF(AND(C4012&lt;&gt;"", J4012&lt;&gt;""), HYPERLINK("#'" &amp; C4012 &amp; "'!" &amp; J4012, J4012), "")</f>
        <v/>
      </c>
    </row>
    <row r="4013">
      <c r="B4013" s="21">
        <f>IF(AND(C4013&lt;&gt;"", J4013&lt;&gt;""), HYPERLINK("#'" &amp; C4013 &amp; "'!" &amp; J4013, J4013), "")</f>
        <v/>
      </c>
    </row>
    <row r="4014">
      <c r="B4014" s="21">
        <f>IF(AND(C4014&lt;&gt;"", J4014&lt;&gt;""), HYPERLINK("#'" &amp; C4014 &amp; "'!" &amp; J4014, J4014), "")</f>
        <v/>
      </c>
    </row>
    <row r="4015">
      <c r="B4015" s="21">
        <f>IF(AND(C4015&lt;&gt;"", J4015&lt;&gt;""), HYPERLINK("#'" &amp; C4015 &amp; "'!" &amp; J4015, J4015), "")</f>
        <v/>
      </c>
    </row>
    <row r="4016">
      <c r="B4016" s="21">
        <f>IF(AND(C4016&lt;&gt;"", J4016&lt;&gt;""), HYPERLINK("#'" &amp; C4016 &amp; "'!" &amp; J4016, J4016), "")</f>
        <v/>
      </c>
    </row>
    <row r="4017">
      <c r="B4017" s="21">
        <f>IF(AND(C4017&lt;&gt;"", J4017&lt;&gt;""), HYPERLINK("#'" &amp; C4017 &amp; "'!" &amp; J4017, J4017), "")</f>
        <v/>
      </c>
    </row>
    <row r="4018">
      <c r="B4018" s="21">
        <f>IF(AND(C4018&lt;&gt;"", J4018&lt;&gt;""), HYPERLINK("#'" &amp; C4018 &amp; "'!" &amp; J4018, J4018), "")</f>
        <v/>
      </c>
    </row>
    <row r="4019">
      <c r="B4019" s="21">
        <f>IF(AND(C4019&lt;&gt;"", J4019&lt;&gt;""), HYPERLINK("#'" &amp; C4019 &amp; "'!" &amp; J4019, J4019), "")</f>
        <v/>
      </c>
    </row>
    <row r="4020">
      <c r="B4020" s="21">
        <f>IF(AND(C4020&lt;&gt;"", J4020&lt;&gt;""), HYPERLINK("#'" &amp; C4020 &amp; "'!" &amp; J4020, J4020), "")</f>
        <v/>
      </c>
    </row>
    <row r="4021">
      <c r="B4021" s="21">
        <f>IF(AND(C4021&lt;&gt;"", J4021&lt;&gt;""), HYPERLINK("#'" &amp; C4021 &amp; "'!" &amp; J4021, J4021), "")</f>
        <v/>
      </c>
    </row>
    <row r="4022">
      <c r="B4022" s="21">
        <f>IF(AND(C4022&lt;&gt;"", J4022&lt;&gt;""), HYPERLINK("#'" &amp; C4022 &amp; "'!" &amp; J4022, J4022), "")</f>
        <v/>
      </c>
    </row>
    <row r="4023">
      <c r="B4023" s="21">
        <f>IF(AND(C4023&lt;&gt;"", J4023&lt;&gt;""), HYPERLINK("#'" &amp; C4023 &amp; "'!" &amp; J4023, J4023), "")</f>
        <v/>
      </c>
    </row>
    <row r="4024">
      <c r="B4024" s="21">
        <f>IF(AND(C4024&lt;&gt;"", J4024&lt;&gt;""), HYPERLINK("#'" &amp; C4024 &amp; "'!" &amp; J4024, J4024), "")</f>
        <v/>
      </c>
    </row>
    <row r="4025">
      <c r="B4025" s="21">
        <f>IF(AND(C4025&lt;&gt;"", J4025&lt;&gt;""), HYPERLINK("#'" &amp; C4025 &amp; "'!" &amp; J4025, J4025), "")</f>
        <v/>
      </c>
    </row>
    <row r="4026">
      <c r="B4026" s="21">
        <f>IF(AND(C4026&lt;&gt;"", J4026&lt;&gt;""), HYPERLINK("#'" &amp; C4026 &amp; "'!" &amp; J4026, J4026), "")</f>
        <v/>
      </c>
    </row>
    <row r="4027">
      <c r="B4027" s="21">
        <f>IF(AND(C4027&lt;&gt;"", J4027&lt;&gt;""), HYPERLINK("#'" &amp; C4027 &amp; "'!" &amp; J4027, J4027), "")</f>
        <v/>
      </c>
    </row>
    <row r="4028">
      <c r="B4028" s="21">
        <f>IF(AND(C4028&lt;&gt;"", J4028&lt;&gt;""), HYPERLINK("#'" &amp; C4028 &amp; "'!" &amp; J4028, J4028), "")</f>
        <v/>
      </c>
    </row>
    <row r="4029">
      <c r="B4029" s="21">
        <f>IF(AND(C4029&lt;&gt;"", J4029&lt;&gt;""), HYPERLINK("#'" &amp; C4029 &amp; "'!" &amp; J4029, J4029), "")</f>
        <v/>
      </c>
    </row>
    <row r="4030">
      <c r="B4030" s="21">
        <f>IF(AND(C4030&lt;&gt;"", J4030&lt;&gt;""), HYPERLINK("#'" &amp; C4030 &amp; "'!" &amp; J4030, J4030), "")</f>
        <v/>
      </c>
    </row>
    <row r="4031">
      <c r="B4031" s="21">
        <f>IF(AND(C4031&lt;&gt;"", J4031&lt;&gt;""), HYPERLINK("#'" &amp; C4031 &amp; "'!" &amp; J4031, J4031), "")</f>
        <v/>
      </c>
    </row>
    <row r="4032">
      <c r="B4032" s="21">
        <f>IF(AND(C4032&lt;&gt;"", J4032&lt;&gt;""), HYPERLINK("#'" &amp; C4032 &amp; "'!" &amp; J4032, J4032), "")</f>
        <v/>
      </c>
    </row>
    <row r="4033">
      <c r="B4033" s="21">
        <f>IF(AND(C4033&lt;&gt;"", J4033&lt;&gt;""), HYPERLINK("#'" &amp; C4033 &amp; "'!" &amp; J4033, J4033), "")</f>
        <v/>
      </c>
    </row>
    <row r="4034">
      <c r="B4034" s="21">
        <f>IF(AND(C4034&lt;&gt;"", J4034&lt;&gt;""), HYPERLINK("#'" &amp; C4034 &amp; "'!" &amp; J4034, J4034), "")</f>
        <v/>
      </c>
    </row>
    <row r="4035">
      <c r="B4035" s="21">
        <f>IF(AND(C4035&lt;&gt;"", J4035&lt;&gt;""), HYPERLINK("#'" &amp; C4035 &amp; "'!" &amp; J4035, J4035), "")</f>
        <v/>
      </c>
    </row>
    <row r="4036">
      <c r="B4036" s="21">
        <f>IF(AND(C4036&lt;&gt;"", J4036&lt;&gt;""), HYPERLINK("#'" &amp; C4036 &amp; "'!" &amp; J4036, J4036), "")</f>
        <v/>
      </c>
    </row>
    <row r="4037">
      <c r="B4037" s="21">
        <f>IF(AND(C4037&lt;&gt;"", J4037&lt;&gt;""), HYPERLINK("#'" &amp; C4037 &amp; "'!" &amp; J4037, J4037), "")</f>
        <v/>
      </c>
    </row>
    <row r="4038">
      <c r="B4038" s="21">
        <f>IF(AND(C4038&lt;&gt;"", J4038&lt;&gt;""), HYPERLINK("#'" &amp; C4038 &amp; "'!" &amp; J4038, J4038), "")</f>
        <v/>
      </c>
    </row>
    <row r="4039">
      <c r="B4039" s="21">
        <f>IF(AND(C4039&lt;&gt;"", J4039&lt;&gt;""), HYPERLINK("#'" &amp; C4039 &amp; "'!" &amp; J4039, J4039), "")</f>
        <v/>
      </c>
    </row>
    <row r="4040">
      <c r="B4040" s="21">
        <f>IF(AND(C4040&lt;&gt;"", J4040&lt;&gt;""), HYPERLINK("#'" &amp; C4040 &amp; "'!" &amp; J4040, J4040), "")</f>
        <v/>
      </c>
    </row>
    <row r="4041">
      <c r="B4041" s="21">
        <f>IF(AND(C4041&lt;&gt;"", J4041&lt;&gt;""), HYPERLINK("#'" &amp; C4041 &amp; "'!" &amp; J4041, J4041), "")</f>
        <v/>
      </c>
    </row>
    <row r="4042">
      <c r="B4042" s="21">
        <f>IF(AND(C4042&lt;&gt;"", J4042&lt;&gt;""), HYPERLINK("#'" &amp; C4042 &amp; "'!" &amp; J4042, J4042), "")</f>
        <v/>
      </c>
    </row>
    <row r="4043">
      <c r="B4043" s="21">
        <f>IF(AND(C4043&lt;&gt;"", J4043&lt;&gt;""), HYPERLINK("#'" &amp; C4043 &amp; "'!" &amp; J4043, J4043), "")</f>
        <v/>
      </c>
    </row>
    <row r="4044">
      <c r="B4044" s="21">
        <f>IF(AND(C4044&lt;&gt;"", J4044&lt;&gt;""), HYPERLINK("#'" &amp; C4044 &amp; "'!" &amp; J4044, J4044), "")</f>
        <v/>
      </c>
    </row>
    <row r="4045">
      <c r="B4045" s="21">
        <f>IF(AND(C4045&lt;&gt;"", J4045&lt;&gt;""), HYPERLINK("#'" &amp; C4045 &amp; "'!" &amp; J4045, J4045), "")</f>
        <v/>
      </c>
    </row>
    <row r="4046">
      <c r="B4046" s="21">
        <f>IF(AND(C4046&lt;&gt;"", J4046&lt;&gt;""), HYPERLINK("#'" &amp; C4046 &amp; "'!" &amp; J4046, J4046), "")</f>
        <v/>
      </c>
    </row>
    <row r="4047">
      <c r="B4047" s="21">
        <f>IF(AND(C4047&lt;&gt;"", J4047&lt;&gt;""), HYPERLINK("#'" &amp; C4047 &amp; "'!" &amp; J4047, J4047), "")</f>
        <v/>
      </c>
    </row>
    <row r="4048">
      <c r="B4048" s="21">
        <f>IF(AND(C4048&lt;&gt;"", J4048&lt;&gt;""), HYPERLINK("#'" &amp; C4048 &amp; "'!" &amp; J4048, J4048), "")</f>
        <v/>
      </c>
    </row>
    <row r="4049">
      <c r="B4049" s="21">
        <f>IF(AND(C4049&lt;&gt;"", J4049&lt;&gt;""), HYPERLINK("#'" &amp; C4049 &amp; "'!" &amp; J4049, J4049), "")</f>
        <v/>
      </c>
    </row>
    <row r="4050">
      <c r="B4050" s="21">
        <f>IF(AND(C4050&lt;&gt;"", J4050&lt;&gt;""), HYPERLINK("#'" &amp; C4050 &amp; "'!" &amp; J4050, J4050), "")</f>
        <v/>
      </c>
    </row>
    <row r="4051">
      <c r="B4051" s="21">
        <f>IF(AND(C4051&lt;&gt;"", J4051&lt;&gt;""), HYPERLINK("#'" &amp; C4051 &amp; "'!" &amp; J4051, J4051), "")</f>
        <v/>
      </c>
    </row>
    <row r="4052">
      <c r="B4052" s="21">
        <f>IF(AND(C4052&lt;&gt;"", J4052&lt;&gt;""), HYPERLINK("#'" &amp; C4052 &amp; "'!" &amp; J4052, J4052), "")</f>
        <v/>
      </c>
    </row>
    <row r="4053">
      <c r="B4053" s="21">
        <f>IF(AND(C4053&lt;&gt;"", J4053&lt;&gt;""), HYPERLINK("#'" &amp; C4053 &amp; "'!" &amp; J4053, J4053), "")</f>
        <v/>
      </c>
    </row>
    <row r="4054">
      <c r="B4054" s="21">
        <f>IF(AND(C4054&lt;&gt;"", J4054&lt;&gt;""), HYPERLINK("#'" &amp; C4054 &amp; "'!" &amp; J4054, J4054), "")</f>
        <v/>
      </c>
    </row>
    <row r="4055">
      <c r="B4055" s="21">
        <f>IF(AND(C4055&lt;&gt;"", J4055&lt;&gt;""), HYPERLINK("#'" &amp; C4055 &amp; "'!" &amp; J4055, J4055), "")</f>
        <v/>
      </c>
    </row>
    <row r="4056">
      <c r="B4056" s="21">
        <f>IF(AND(C4056&lt;&gt;"", J4056&lt;&gt;""), HYPERLINK("#'" &amp; C4056 &amp; "'!" &amp; J4056, J4056), "")</f>
        <v/>
      </c>
    </row>
    <row r="4057">
      <c r="B4057" s="21">
        <f>IF(AND(C4057&lt;&gt;"", J4057&lt;&gt;""), HYPERLINK("#'" &amp; C4057 &amp; "'!" &amp; J4057, J4057), "")</f>
        <v/>
      </c>
    </row>
    <row r="4058">
      <c r="B4058" s="21">
        <f>IF(AND(C4058&lt;&gt;"", J4058&lt;&gt;""), HYPERLINK("#'" &amp; C4058 &amp; "'!" &amp; J4058, J4058), "")</f>
        <v/>
      </c>
    </row>
    <row r="4059">
      <c r="B4059" s="21">
        <f>IF(AND(C4059&lt;&gt;"", J4059&lt;&gt;""), HYPERLINK("#'" &amp; C4059 &amp; "'!" &amp; J4059, J4059), "")</f>
        <v/>
      </c>
    </row>
    <row r="4060">
      <c r="B4060" s="21">
        <f>IF(AND(C4060&lt;&gt;"", J4060&lt;&gt;""), HYPERLINK("#'" &amp; C4060 &amp; "'!" &amp; J4060, J4060), "")</f>
        <v/>
      </c>
    </row>
    <row r="4061">
      <c r="B4061" s="21">
        <f>IF(AND(C4061&lt;&gt;"", J4061&lt;&gt;""), HYPERLINK("#'" &amp; C4061 &amp; "'!" &amp; J4061, J4061), "")</f>
        <v/>
      </c>
    </row>
    <row r="4062">
      <c r="B4062" s="21">
        <f>IF(AND(C4062&lt;&gt;"", J4062&lt;&gt;""), HYPERLINK("#'" &amp; C4062 &amp; "'!" &amp; J4062, J4062), "")</f>
        <v/>
      </c>
    </row>
    <row r="4063">
      <c r="B4063" s="21">
        <f>IF(AND(C4063&lt;&gt;"", J4063&lt;&gt;""), HYPERLINK("#'" &amp; C4063 &amp; "'!" &amp; J4063, J4063), "")</f>
        <v/>
      </c>
    </row>
    <row r="4064">
      <c r="B4064" s="21">
        <f>IF(AND(C4064&lt;&gt;"", J4064&lt;&gt;""), HYPERLINK("#'" &amp; C4064 &amp; "'!" &amp; J4064, J4064), "")</f>
        <v/>
      </c>
    </row>
    <row r="4065">
      <c r="B4065" s="21">
        <f>IF(AND(C4065&lt;&gt;"", J4065&lt;&gt;""), HYPERLINK("#'" &amp; C4065 &amp; "'!" &amp; J4065, J4065), "")</f>
        <v/>
      </c>
    </row>
    <row r="4066">
      <c r="B4066" s="21">
        <f>IF(AND(C4066&lt;&gt;"", J4066&lt;&gt;""), HYPERLINK("#'" &amp; C4066 &amp; "'!" &amp; J4066, J4066), "")</f>
        <v/>
      </c>
    </row>
    <row r="4067">
      <c r="B4067" s="21">
        <f>IF(AND(C4067&lt;&gt;"", J4067&lt;&gt;""), HYPERLINK("#'" &amp; C4067 &amp; "'!" &amp; J4067, J4067), "")</f>
        <v/>
      </c>
    </row>
    <row r="4068">
      <c r="B4068" s="21">
        <f>IF(AND(C4068&lt;&gt;"", J4068&lt;&gt;""), HYPERLINK("#'" &amp; C4068 &amp; "'!" &amp; J4068, J4068), "")</f>
        <v/>
      </c>
    </row>
    <row r="4069">
      <c r="B4069" s="21">
        <f>IF(AND(C4069&lt;&gt;"", J4069&lt;&gt;""), HYPERLINK("#'" &amp; C4069 &amp; "'!" &amp; J4069, J4069), "")</f>
        <v/>
      </c>
    </row>
    <row r="4070">
      <c r="B4070" s="21">
        <f>IF(AND(C4070&lt;&gt;"", J4070&lt;&gt;""), HYPERLINK("#'" &amp; C4070 &amp; "'!" &amp; J4070, J4070), "")</f>
        <v/>
      </c>
    </row>
    <row r="4071">
      <c r="B4071" s="21">
        <f>IF(AND(C4071&lt;&gt;"", J4071&lt;&gt;""), HYPERLINK("#'" &amp; C4071 &amp; "'!" &amp; J4071, J4071), "")</f>
        <v/>
      </c>
    </row>
    <row r="4072">
      <c r="B4072" s="21">
        <f>IF(AND(C4072&lt;&gt;"", J4072&lt;&gt;""), HYPERLINK("#'" &amp; C4072 &amp; "'!" &amp; J4072, J4072), "")</f>
        <v/>
      </c>
    </row>
    <row r="4073">
      <c r="B4073" s="21">
        <f>IF(AND(C4073&lt;&gt;"", J4073&lt;&gt;""), HYPERLINK("#'" &amp; C4073 &amp; "'!" &amp; J4073, J4073), "")</f>
        <v/>
      </c>
    </row>
    <row r="4074">
      <c r="B4074" s="21">
        <f>IF(AND(C4074&lt;&gt;"", J4074&lt;&gt;""), HYPERLINK("#'" &amp; C4074 &amp; "'!" &amp; J4074, J4074), "")</f>
        <v/>
      </c>
    </row>
    <row r="4075">
      <c r="B4075" s="21">
        <f>IF(AND(C4075&lt;&gt;"", J4075&lt;&gt;""), HYPERLINK("#'" &amp; C4075 &amp; "'!" &amp; J4075, J4075), "")</f>
        <v/>
      </c>
    </row>
    <row r="4076">
      <c r="B4076" s="21">
        <f>IF(AND(C4076&lt;&gt;"", J4076&lt;&gt;""), HYPERLINK("#'" &amp; C4076 &amp; "'!" &amp; J4076, J4076), "")</f>
        <v/>
      </c>
    </row>
    <row r="4077">
      <c r="B4077" s="21">
        <f>IF(AND(C4077&lt;&gt;"", J4077&lt;&gt;""), HYPERLINK("#'" &amp; C4077 &amp; "'!" &amp; J4077, J4077), "")</f>
        <v/>
      </c>
    </row>
    <row r="4078">
      <c r="B4078" s="21">
        <f>IF(AND(C4078&lt;&gt;"", J4078&lt;&gt;""), HYPERLINK("#'" &amp; C4078 &amp; "'!" &amp; J4078, J4078), "")</f>
        <v/>
      </c>
    </row>
    <row r="4079">
      <c r="B4079" s="21">
        <f>IF(AND(C4079&lt;&gt;"", J4079&lt;&gt;""), HYPERLINK("#'" &amp; C4079 &amp; "'!" &amp; J4079, J4079), "")</f>
        <v/>
      </c>
    </row>
    <row r="4080">
      <c r="B4080" s="21">
        <f>IF(AND(C4080&lt;&gt;"", J4080&lt;&gt;""), HYPERLINK("#'" &amp; C4080 &amp; "'!" &amp; J4080, J4080), "")</f>
        <v/>
      </c>
    </row>
    <row r="4081">
      <c r="B4081" s="21">
        <f>IF(AND(C4081&lt;&gt;"", J4081&lt;&gt;""), HYPERLINK("#'" &amp; C4081 &amp; "'!" &amp; J4081, J4081), "")</f>
        <v/>
      </c>
    </row>
    <row r="4082">
      <c r="B4082" s="21">
        <f>IF(AND(C4082&lt;&gt;"", J4082&lt;&gt;""), HYPERLINK("#'" &amp; C4082 &amp; "'!" &amp; J4082, J4082), "")</f>
        <v/>
      </c>
    </row>
    <row r="4083">
      <c r="B4083" s="21">
        <f>IF(AND(C4083&lt;&gt;"", J4083&lt;&gt;""), HYPERLINK("#'" &amp; C4083 &amp; "'!" &amp; J4083, J4083), "")</f>
        <v/>
      </c>
    </row>
    <row r="4084">
      <c r="B4084" s="21">
        <f>IF(AND(C4084&lt;&gt;"", J4084&lt;&gt;""), HYPERLINK("#'" &amp; C4084 &amp; "'!" &amp; J4084, J4084), "")</f>
        <v/>
      </c>
    </row>
    <row r="4085">
      <c r="B4085" s="21">
        <f>IF(AND(C4085&lt;&gt;"", J4085&lt;&gt;""), HYPERLINK("#'" &amp; C4085 &amp; "'!" &amp; J4085, J4085), "")</f>
        <v/>
      </c>
    </row>
    <row r="4086">
      <c r="B4086" s="21">
        <f>IF(AND(C4086&lt;&gt;"", J4086&lt;&gt;""), HYPERLINK("#'" &amp; C4086 &amp; "'!" &amp; J4086, J4086), "")</f>
        <v/>
      </c>
    </row>
    <row r="4087">
      <c r="B4087" s="21">
        <f>IF(AND(C4087&lt;&gt;"", J4087&lt;&gt;""), HYPERLINK("#'" &amp; C4087 &amp; "'!" &amp; J4087, J4087), "")</f>
        <v/>
      </c>
    </row>
    <row r="4088">
      <c r="B4088" s="21">
        <f>IF(AND(C4088&lt;&gt;"", J4088&lt;&gt;""), HYPERLINK("#'" &amp; C4088 &amp; "'!" &amp; J4088, J4088), "")</f>
        <v/>
      </c>
    </row>
    <row r="4089">
      <c r="B4089" s="21">
        <f>IF(AND(C4089&lt;&gt;"", J4089&lt;&gt;""), HYPERLINK("#'" &amp; C4089 &amp; "'!" &amp; J4089, J4089), "")</f>
        <v/>
      </c>
    </row>
    <row r="4090">
      <c r="B4090" s="21">
        <f>IF(AND(C4090&lt;&gt;"", J4090&lt;&gt;""), HYPERLINK("#'" &amp; C4090 &amp; "'!" &amp; J4090, J4090), "")</f>
        <v/>
      </c>
    </row>
    <row r="4091">
      <c r="B4091" s="21">
        <f>IF(AND(C4091&lt;&gt;"", J4091&lt;&gt;""), HYPERLINK("#'" &amp; C4091 &amp; "'!" &amp; J4091, J4091), "")</f>
        <v/>
      </c>
    </row>
    <row r="4092">
      <c r="B4092" s="21">
        <f>IF(AND(C4092&lt;&gt;"", J4092&lt;&gt;""), HYPERLINK("#'" &amp; C4092 &amp; "'!" &amp; J4092, J4092), "")</f>
        <v/>
      </c>
    </row>
    <row r="4093">
      <c r="B4093" s="21">
        <f>IF(AND(C4093&lt;&gt;"", J4093&lt;&gt;""), HYPERLINK("#'" &amp; C4093 &amp; "'!" &amp; J4093, J4093), "")</f>
        <v/>
      </c>
    </row>
    <row r="4094">
      <c r="B4094" s="21">
        <f>IF(AND(C4094&lt;&gt;"", J4094&lt;&gt;""), HYPERLINK("#'" &amp; C4094 &amp; "'!" &amp; J4094, J4094), "")</f>
        <v/>
      </c>
    </row>
    <row r="4095">
      <c r="B4095" s="21">
        <f>IF(AND(C4095&lt;&gt;"", J4095&lt;&gt;""), HYPERLINK("#'" &amp; C4095 &amp; "'!" &amp; J4095, J4095), "")</f>
        <v/>
      </c>
    </row>
    <row r="4096">
      <c r="B4096" s="21">
        <f>IF(AND(C4096&lt;&gt;"", J4096&lt;&gt;""), HYPERLINK("#'" &amp; C4096 &amp; "'!" &amp; J4096, J4096), "")</f>
        <v/>
      </c>
    </row>
    <row r="4097">
      <c r="B4097" s="21">
        <f>IF(AND(C4097&lt;&gt;"", J4097&lt;&gt;""), HYPERLINK("#'" &amp; C4097 &amp; "'!" &amp; J4097, J4097), "")</f>
        <v/>
      </c>
    </row>
    <row r="4098">
      <c r="B4098" s="21">
        <f>IF(AND(C4098&lt;&gt;"", J4098&lt;&gt;""), HYPERLINK("#'" &amp; C4098 &amp; "'!" &amp; J4098, J4098), "")</f>
        <v/>
      </c>
    </row>
    <row r="4099">
      <c r="B4099" s="21">
        <f>IF(AND(C4099&lt;&gt;"", J4099&lt;&gt;""), HYPERLINK("#'" &amp; C4099 &amp; "'!" &amp; J4099, J4099), "")</f>
        <v/>
      </c>
    </row>
    <row r="4100">
      <c r="B4100" s="21">
        <f>IF(AND(C4100&lt;&gt;"", J4100&lt;&gt;""), HYPERLINK("#'" &amp; C4100 &amp; "'!" &amp; J4100, J4100), "")</f>
        <v/>
      </c>
    </row>
    <row r="4101">
      <c r="B4101" s="21">
        <f>IF(AND(C4101&lt;&gt;"", J4101&lt;&gt;""), HYPERLINK("#'" &amp; C4101 &amp; "'!" &amp; J4101, J4101), "")</f>
        <v/>
      </c>
    </row>
    <row r="4102">
      <c r="B4102" s="21">
        <f>IF(AND(C4102&lt;&gt;"", J4102&lt;&gt;""), HYPERLINK("#'" &amp; C4102 &amp; "'!" &amp; J4102, J4102), "")</f>
        <v/>
      </c>
    </row>
    <row r="4103">
      <c r="B4103" s="21">
        <f>IF(AND(C4103&lt;&gt;"", J4103&lt;&gt;""), HYPERLINK("#'" &amp; C4103 &amp; "'!" &amp; J4103, J4103), "")</f>
        <v/>
      </c>
    </row>
    <row r="4104">
      <c r="B4104" s="21">
        <f>IF(AND(C4104&lt;&gt;"", J4104&lt;&gt;""), HYPERLINK("#'" &amp; C4104 &amp; "'!" &amp; J4104, J4104), "")</f>
        <v/>
      </c>
    </row>
    <row r="4105">
      <c r="B4105" s="21">
        <f>IF(AND(C4105&lt;&gt;"", J4105&lt;&gt;""), HYPERLINK("#'" &amp; C4105 &amp; "'!" &amp; J4105, J4105), "")</f>
        <v/>
      </c>
    </row>
    <row r="4106">
      <c r="B4106" s="21">
        <f>IF(AND(C4106&lt;&gt;"", J4106&lt;&gt;""), HYPERLINK("#'" &amp; C4106 &amp; "'!" &amp; J4106, J4106), "")</f>
        <v/>
      </c>
    </row>
    <row r="4107">
      <c r="B4107" s="21">
        <f>IF(AND(C4107&lt;&gt;"", J4107&lt;&gt;""), HYPERLINK("#'" &amp; C4107 &amp; "'!" &amp; J4107, J4107), "")</f>
        <v/>
      </c>
    </row>
    <row r="4108">
      <c r="B4108" s="21">
        <f>IF(AND(C4108&lt;&gt;"", J4108&lt;&gt;""), HYPERLINK("#'" &amp; C4108 &amp; "'!" &amp; J4108, J4108), "")</f>
        <v/>
      </c>
    </row>
    <row r="4109">
      <c r="B4109" s="21">
        <f>IF(AND(C4109&lt;&gt;"", J4109&lt;&gt;""), HYPERLINK("#'" &amp; C4109 &amp; "'!" &amp; J4109, J4109), "")</f>
        <v/>
      </c>
    </row>
    <row r="4110">
      <c r="B4110" s="21">
        <f>IF(AND(C4110&lt;&gt;"", J4110&lt;&gt;""), HYPERLINK("#'" &amp; C4110 &amp; "'!" &amp; J4110, J4110), "")</f>
        <v/>
      </c>
    </row>
    <row r="4111">
      <c r="B4111" s="21">
        <f>IF(AND(C4111&lt;&gt;"", J4111&lt;&gt;""), HYPERLINK("#'" &amp; C4111 &amp; "'!" &amp; J4111, J4111), "")</f>
        <v/>
      </c>
    </row>
    <row r="4112">
      <c r="B4112" s="21">
        <f>IF(AND(C4112&lt;&gt;"", J4112&lt;&gt;""), HYPERLINK("#'" &amp; C4112 &amp; "'!" &amp; J4112, J4112), "")</f>
        <v/>
      </c>
    </row>
    <row r="4113">
      <c r="B4113" s="21">
        <f>IF(AND(C4113&lt;&gt;"", J4113&lt;&gt;""), HYPERLINK("#'" &amp; C4113 &amp; "'!" &amp; J4113, J4113), "")</f>
        <v/>
      </c>
    </row>
    <row r="4114">
      <c r="B4114" s="21">
        <f>IF(AND(C4114&lt;&gt;"", J4114&lt;&gt;""), HYPERLINK("#'" &amp; C4114 &amp; "'!" &amp; J4114, J4114), "")</f>
        <v/>
      </c>
    </row>
    <row r="4115">
      <c r="B4115" s="21">
        <f>IF(AND(C4115&lt;&gt;"", J4115&lt;&gt;""), HYPERLINK("#'" &amp; C4115 &amp; "'!" &amp; J4115, J4115), "")</f>
        <v/>
      </c>
    </row>
    <row r="4116">
      <c r="B4116" s="21">
        <f>IF(AND(C4116&lt;&gt;"", J4116&lt;&gt;""), HYPERLINK("#'" &amp; C4116 &amp; "'!" &amp; J4116, J4116), "")</f>
        <v/>
      </c>
    </row>
    <row r="4117">
      <c r="B4117" s="21">
        <f>IF(AND(C4117&lt;&gt;"", J4117&lt;&gt;""), HYPERLINK("#'" &amp; C4117 &amp; "'!" &amp; J4117, J4117), "")</f>
        <v/>
      </c>
    </row>
    <row r="4118">
      <c r="B4118" s="21">
        <f>IF(AND(C4118&lt;&gt;"", J4118&lt;&gt;""), HYPERLINK("#'" &amp; C4118 &amp; "'!" &amp; J4118, J4118), "")</f>
        <v/>
      </c>
    </row>
    <row r="4119">
      <c r="B4119" s="21">
        <f>IF(AND(C4119&lt;&gt;"", J4119&lt;&gt;""), HYPERLINK("#'" &amp; C4119 &amp; "'!" &amp; J4119, J4119), "")</f>
        <v/>
      </c>
    </row>
    <row r="4120">
      <c r="B4120" s="21">
        <f>IF(AND(C4120&lt;&gt;"", J4120&lt;&gt;""), HYPERLINK("#'" &amp; C4120 &amp; "'!" &amp; J4120, J4120), "")</f>
        <v/>
      </c>
    </row>
    <row r="4121">
      <c r="B4121" s="21">
        <f>IF(AND(C4121&lt;&gt;"", J4121&lt;&gt;""), HYPERLINK("#'" &amp; C4121 &amp; "'!" &amp; J4121, J4121), "")</f>
        <v/>
      </c>
    </row>
    <row r="4122">
      <c r="B4122" s="21">
        <f>IF(AND(C4122&lt;&gt;"", J4122&lt;&gt;""), HYPERLINK("#'" &amp; C4122 &amp; "'!" &amp; J4122, J4122), "")</f>
        <v/>
      </c>
    </row>
    <row r="4123">
      <c r="B4123" s="21">
        <f>IF(AND(C4123&lt;&gt;"", J4123&lt;&gt;""), HYPERLINK("#'" &amp; C4123 &amp; "'!" &amp; J4123, J4123), "")</f>
        <v/>
      </c>
    </row>
    <row r="4124">
      <c r="B4124" s="21">
        <f>IF(AND(C4124&lt;&gt;"", J4124&lt;&gt;""), HYPERLINK("#'" &amp; C4124 &amp; "'!" &amp; J4124, J4124), "")</f>
        <v/>
      </c>
    </row>
    <row r="4125">
      <c r="B4125" s="21">
        <f>IF(AND(C4125&lt;&gt;"", J4125&lt;&gt;""), HYPERLINK("#'" &amp; C4125 &amp; "'!" &amp; J4125, J4125), "")</f>
        <v/>
      </c>
    </row>
    <row r="4126">
      <c r="B4126" s="21">
        <f>IF(AND(C4126&lt;&gt;"", J4126&lt;&gt;""), HYPERLINK("#'" &amp; C4126 &amp; "'!" &amp; J4126, J4126), "")</f>
        <v/>
      </c>
    </row>
    <row r="4127">
      <c r="B4127" s="21">
        <f>IF(AND(C4127&lt;&gt;"", J4127&lt;&gt;""), HYPERLINK("#'" &amp; C4127 &amp; "'!" &amp; J4127, J4127), "")</f>
        <v/>
      </c>
    </row>
    <row r="4128">
      <c r="B4128" s="21">
        <f>IF(AND(C4128&lt;&gt;"", J4128&lt;&gt;""), HYPERLINK("#'" &amp; C4128 &amp; "'!" &amp; J4128, J4128), "")</f>
        <v/>
      </c>
    </row>
    <row r="4129">
      <c r="B4129" s="21">
        <f>IF(AND(C4129&lt;&gt;"", J4129&lt;&gt;""), HYPERLINK("#'" &amp; C4129 &amp; "'!" &amp; J4129, J4129), "")</f>
        <v/>
      </c>
    </row>
    <row r="4130">
      <c r="B4130" s="21">
        <f>IF(AND(C4130&lt;&gt;"", J4130&lt;&gt;""), HYPERLINK("#'" &amp; C4130 &amp; "'!" &amp; J4130, J4130), "")</f>
        <v/>
      </c>
    </row>
    <row r="4131">
      <c r="B4131" s="21">
        <f>IF(AND(C4131&lt;&gt;"", J4131&lt;&gt;""), HYPERLINK("#'" &amp; C4131 &amp; "'!" &amp; J4131, J4131), "")</f>
        <v/>
      </c>
    </row>
    <row r="4132">
      <c r="B4132" s="21">
        <f>IF(AND(C4132&lt;&gt;"", J4132&lt;&gt;""), HYPERLINK("#'" &amp; C4132 &amp; "'!" &amp; J4132, J4132), "")</f>
        <v/>
      </c>
    </row>
    <row r="4133">
      <c r="B4133" s="21">
        <f>IF(AND(C4133&lt;&gt;"", J4133&lt;&gt;""), HYPERLINK("#'" &amp; C4133 &amp; "'!" &amp; J4133, J4133), "")</f>
        <v/>
      </c>
    </row>
    <row r="4134">
      <c r="B4134" s="21">
        <f>IF(AND(C4134&lt;&gt;"", J4134&lt;&gt;""), HYPERLINK("#'" &amp; C4134 &amp; "'!" &amp; J4134, J4134), "")</f>
        <v/>
      </c>
    </row>
    <row r="4135">
      <c r="B4135" s="21">
        <f>IF(AND(C4135&lt;&gt;"", J4135&lt;&gt;""), HYPERLINK("#'" &amp; C4135 &amp; "'!" &amp; J4135, J4135), "")</f>
        <v/>
      </c>
    </row>
    <row r="4136">
      <c r="B4136" s="21">
        <f>IF(AND(C4136&lt;&gt;"", J4136&lt;&gt;""), HYPERLINK("#'" &amp; C4136 &amp; "'!" &amp; J4136, J4136), "")</f>
        <v/>
      </c>
    </row>
    <row r="4137">
      <c r="B4137" s="21">
        <f>IF(AND(C4137&lt;&gt;"", J4137&lt;&gt;""), HYPERLINK("#'" &amp; C4137 &amp; "'!" &amp; J4137, J4137), "")</f>
        <v/>
      </c>
    </row>
    <row r="4138">
      <c r="B4138" s="21">
        <f>IF(AND(C4138&lt;&gt;"", J4138&lt;&gt;""), HYPERLINK("#'" &amp; C4138 &amp; "'!" &amp; J4138, J4138), "")</f>
        <v/>
      </c>
    </row>
    <row r="4139">
      <c r="B4139" s="21">
        <f>IF(AND(C4139&lt;&gt;"", J4139&lt;&gt;""), HYPERLINK("#'" &amp; C4139 &amp; "'!" &amp; J4139, J4139), "")</f>
        <v/>
      </c>
    </row>
    <row r="4140">
      <c r="B4140" s="21">
        <f>IF(AND(C4140&lt;&gt;"", J4140&lt;&gt;""), HYPERLINK("#'" &amp; C4140 &amp; "'!" &amp; J4140, J4140), "")</f>
        <v/>
      </c>
    </row>
    <row r="4141">
      <c r="B4141" s="21">
        <f>IF(AND(C4141&lt;&gt;"", J4141&lt;&gt;""), HYPERLINK("#'" &amp; C4141 &amp; "'!" &amp; J4141, J4141), "")</f>
        <v/>
      </c>
    </row>
    <row r="4142">
      <c r="B4142" s="21">
        <f>IF(AND(C4142&lt;&gt;"", J4142&lt;&gt;""), HYPERLINK("#'" &amp; C4142 &amp; "'!" &amp; J4142, J4142), "")</f>
        <v/>
      </c>
    </row>
    <row r="4143">
      <c r="B4143" s="21">
        <f>IF(AND(C4143&lt;&gt;"", J4143&lt;&gt;""), HYPERLINK("#'" &amp; C4143 &amp; "'!" &amp; J4143, J4143), "")</f>
        <v/>
      </c>
    </row>
    <row r="4144">
      <c r="B4144" s="21">
        <f>IF(AND(C4144&lt;&gt;"", J4144&lt;&gt;""), HYPERLINK("#'" &amp; C4144 &amp; "'!" &amp; J4144, J4144), "")</f>
        <v/>
      </c>
    </row>
    <row r="4145">
      <c r="B4145" s="21">
        <f>IF(AND(C4145&lt;&gt;"", J4145&lt;&gt;""), HYPERLINK("#'" &amp; C4145 &amp; "'!" &amp; J4145, J4145), "")</f>
        <v/>
      </c>
    </row>
    <row r="4146">
      <c r="B4146" s="21">
        <f>IF(AND(C4146&lt;&gt;"", J4146&lt;&gt;""), HYPERLINK("#'" &amp; C4146 &amp; "'!" &amp; J4146, J4146), "")</f>
        <v/>
      </c>
    </row>
    <row r="4147">
      <c r="B4147" s="21">
        <f>IF(AND(C4147&lt;&gt;"", J4147&lt;&gt;""), HYPERLINK("#'" &amp; C4147 &amp; "'!" &amp; J4147, J4147), "")</f>
        <v/>
      </c>
    </row>
    <row r="4148">
      <c r="B4148" s="21">
        <f>IF(AND(C4148&lt;&gt;"", J4148&lt;&gt;""), HYPERLINK("#'" &amp; C4148 &amp; "'!" &amp; J4148, J4148), "")</f>
        <v/>
      </c>
    </row>
    <row r="4149">
      <c r="B4149" s="21">
        <f>IF(AND(C4149&lt;&gt;"", J4149&lt;&gt;""), HYPERLINK("#'" &amp; C4149 &amp; "'!" &amp; J4149, J4149), "")</f>
        <v/>
      </c>
    </row>
    <row r="4150">
      <c r="B4150" s="21">
        <f>IF(AND(C4150&lt;&gt;"", J4150&lt;&gt;""), HYPERLINK("#'" &amp; C4150 &amp; "'!" &amp; J4150, J4150), "")</f>
        <v/>
      </c>
    </row>
    <row r="4151">
      <c r="B4151" s="21">
        <f>IF(AND(C4151&lt;&gt;"", J4151&lt;&gt;""), HYPERLINK("#'" &amp; C4151 &amp; "'!" &amp; J4151, J4151), "")</f>
        <v/>
      </c>
    </row>
    <row r="4152">
      <c r="B4152" s="21">
        <f>IF(AND(C4152&lt;&gt;"", J4152&lt;&gt;""), HYPERLINK("#'" &amp; C4152 &amp; "'!" &amp; J4152, J4152), "")</f>
        <v/>
      </c>
    </row>
    <row r="4153">
      <c r="B4153" s="21">
        <f>IF(AND(C4153&lt;&gt;"", J4153&lt;&gt;""), HYPERLINK("#'" &amp; C4153 &amp; "'!" &amp; J4153, J4153), "")</f>
        <v/>
      </c>
    </row>
    <row r="4154">
      <c r="B4154" s="21">
        <f>IF(AND(C4154&lt;&gt;"", J4154&lt;&gt;""), HYPERLINK("#'" &amp; C4154 &amp; "'!" &amp; J4154, J4154), "")</f>
        <v/>
      </c>
    </row>
    <row r="4155">
      <c r="B4155" s="21">
        <f>IF(AND(C4155&lt;&gt;"", J4155&lt;&gt;""), HYPERLINK("#'" &amp; C4155 &amp; "'!" &amp; J4155, J4155), "")</f>
        <v/>
      </c>
    </row>
    <row r="4156">
      <c r="B4156" s="21">
        <f>IF(AND(C4156&lt;&gt;"", J4156&lt;&gt;""), HYPERLINK("#'" &amp; C4156 &amp; "'!" &amp; J4156, J4156), "")</f>
        <v/>
      </c>
    </row>
    <row r="4157">
      <c r="B4157" s="21">
        <f>IF(AND(C4157&lt;&gt;"", J4157&lt;&gt;""), HYPERLINK("#'" &amp; C4157 &amp; "'!" &amp; J4157, J4157), "")</f>
        <v/>
      </c>
    </row>
    <row r="4158">
      <c r="B4158" s="21">
        <f>IF(AND(C4158&lt;&gt;"", J4158&lt;&gt;""), HYPERLINK("#'" &amp; C4158 &amp; "'!" &amp; J4158, J4158), "")</f>
        <v/>
      </c>
    </row>
    <row r="4159">
      <c r="B4159" s="21">
        <f>IF(AND(C4159&lt;&gt;"", J4159&lt;&gt;""), HYPERLINK("#'" &amp; C4159 &amp; "'!" &amp; J4159, J4159), "")</f>
        <v/>
      </c>
    </row>
    <row r="4160">
      <c r="B4160" s="21">
        <f>IF(AND(C4160&lt;&gt;"", J4160&lt;&gt;""), HYPERLINK("#'" &amp; C4160 &amp; "'!" &amp; J4160, J4160), "")</f>
        <v/>
      </c>
    </row>
    <row r="4161">
      <c r="B4161" s="21">
        <f>IF(AND(C4161&lt;&gt;"", J4161&lt;&gt;""), HYPERLINK("#'" &amp; C4161 &amp; "'!" &amp; J4161, J4161), "")</f>
        <v/>
      </c>
    </row>
    <row r="4162">
      <c r="B4162" s="21">
        <f>IF(AND(C4162&lt;&gt;"", J4162&lt;&gt;""), HYPERLINK("#'" &amp; C4162 &amp; "'!" &amp; J4162, J4162), "")</f>
        <v/>
      </c>
    </row>
    <row r="4163">
      <c r="B4163" s="21">
        <f>IF(AND(C4163&lt;&gt;"", J4163&lt;&gt;""), HYPERLINK("#'" &amp; C4163 &amp; "'!" &amp; J4163, J4163), "")</f>
        <v/>
      </c>
    </row>
    <row r="4164">
      <c r="B4164" s="21">
        <f>IF(AND(C4164&lt;&gt;"", J4164&lt;&gt;""), HYPERLINK("#'" &amp; C4164 &amp; "'!" &amp; J4164, J4164), "")</f>
        <v/>
      </c>
    </row>
    <row r="4165">
      <c r="B4165" s="21">
        <f>IF(AND(C4165&lt;&gt;"", J4165&lt;&gt;""), HYPERLINK("#'" &amp; C4165 &amp; "'!" &amp; J4165, J4165), "")</f>
        <v/>
      </c>
    </row>
    <row r="4166">
      <c r="B4166" s="21">
        <f>IF(AND(C4166&lt;&gt;"", J4166&lt;&gt;""), HYPERLINK("#'" &amp; C4166 &amp; "'!" &amp; J4166, J4166), "")</f>
        <v/>
      </c>
    </row>
    <row r="4167">
      <c r="B4167" s="21">
        <f>IF(AND(C4167&lt;&gt;"", J4167&lt;&gt;""), HYPERLINK("#'" &amp; C4167 &amp; "'!" &amp; J4167, J4167), "")</f>
        <v/>
      </c>
    </row>
    <row r="4168">
      <c r="B4168" s="21">
        <f>IF(AND(C4168&lt;&gt;"", J4168&lt;&gt;""), HYPERLINK("#'" &amp; C4168 &amp; "'!" &amp; J4168, J4168), "")</f>
        <v/>
      </c>
    </row>
    <row r="4169">
      <c r="B4169" s="21">
        <f>IF(AND(C4169&lt;&gt;"", J4169&lt;&gt;""), HYPERLINK("#'" &amp; C4169 &amp; "'!" &amp; J4169, J4169), "")</f>
        <v/>
      </c>
    </row>
    <row r="4170">
      <c r="B4170" s="21">
        <f>IF(AND(C4170&lt;&gt;"", J4170&lt;&gt;""), HYPERLINK("#'" &amp; C4170 &amp; "'!" &amp; J4170, J4170), "")</f>
        <v/>
      </c>
    </row>
    <row r="4171">
      <c r="B4171" s="21">
        <f>IF(AND(C4171&lt;&gt;"", J4171&lt;&gt;""), HYPERLINK("#'" &amp; C4171 &amp; "'!" &amp; J4171, J4171), "")</f>
        <v/>
      </c>
    </row>
    <row r="4172">
      <c r="B4172" s="21">
        <f>IF(AND(C4172&lt;&gt;"", J4172&lt;&gt;""), HYPERLINK("#'" &amp; C4172 &amp; "'!" &amp; J4172, J4172), "")</f>
        <v/>
      </c>
    </row>
    <row r="4173">
      <c r="B4173" s="21">
        <f>IF(AND(C4173&lt;&gt;"", J4173&lt;&gt;""), HYPERLINK("#'" &amp; C4173 &amp; "'!" &amp; J4173, J4173), "")</f>
        <v/>
      </c>
    </row>
    <row r="4174">
      <c r="B4174" s="21">
        <f>IF(AND(C4174&lt;&gt;"", J4174&lt;&gt;""), HYPERLINK("#'" &amp; C4174 &amp; "'!" &amp; J4174, J4174), "")</f>
        <v/>
      </c>
    </row>
    <row r="4175">
      <c r="B4175" s="21">
        <f>IF(AND(C4175&lt;&gt;"", J4175&lt;&gt;""), HYPERLINK("#'" &amp; C4175 &amp; "'!" &amp; J4175, J4175), "")</f>
        <v/>
      </c>
    </row>
    <row r="4176">
      <c r="B4176" s="21">
        <f>IF(AND(C4176&lt;&gt;"", J4176&lt;&gt;""), HYPERLINK("#'" &amp; C4176 &amp; "'!" &amp; J4176, J4176), "")</f>
        <v/>
      </c>
    </row>
    <row r="4177">
      <c r="B4177" s="21">
        <f>IF(AND(C4177&lt;&gt;"", J4177&lt;&gt;""), HYPERLINK("#'" &amp; C4177 &amp; "'!" &amp; J4177, J4177), "")</f>
        <v/>
      </c>
    </row>
    <row r="4178">
      <c r="B4178" s="21">
        <f>IF(AND(C4178&lt;&gt;"", J4178&lt;&gt;""), HYPERLINK("#'" &amp; C4178 &amp; "'!" &amp; J4178, J4178), "")</f>
        <v/>
      </c>
    </row>
    <row r="4179">
      <c r="B4179" s="21">
        <f>IF(AND(C4179&lt;&gt;"", J4179&lt;&gt;""), HYPERLINK("#'" &amp; C4179 &amp; "'!" &amp; J4179, J4179), "")</f>
        <v/>
      </c>
    </row>
    <row r="4180">
      <c r="B4180" s="21">
        <f>IF(AND(C4180&lt;&gt;"", J4180&lt;&gt;""), HYPERLINK("#'" &amp; C4180 &amp; "'!" &amp; J4180, J4180), "")</f>
        <v/>
      </c>
    </row>
    <row r="4181">
      <c r="B4181" s="21">
        <f>IF(AND(C4181&lt;&gt;"", J4181&lt;&gt;""), HYPERLINK("#'" &amp; C4181 &amp; "'!" &amp; J4181, J4181), "")</f>
        <v/>
      </c>
    </row>
    <row r="4182">
      <c r="B4182" s="21">
        <f>IF(AND(C4182&lt;&gt;"", J4182&lt;&gt;""), HYPERLINK("#'" &amp; C4182 &amp; "'!" &amp; J4182, J4182), "")</f>
        <v/>
      </c>
    </row>
    <row r="4183">
      <c r="B4183" s="21">
        <f>IF(AND(C4183&lt;&gt;"", J4183&lt;&gt;""), HYPERLINK("#'" &amp; C4183 &amp; "'!" &amp; J4183, J4183), "")</f>
        <v/>
      </c>
    </row>
    <row r="4184">
      <c r="B4184" s="21">
        <f>IF(AND(C4184&lt;&gt;"", J4184&lt;&gt;""), HYPERLINK("#'" &amp; C4184 &amp; "'!" &amp; J4184, J4184), "")</f>
        <v/>
      </c>
    </row>
    <row r="4185">
      <c r="B4185" s="21">
        <f>IF(AND(C4185&lt;&gt;"", J4185&lt;&gt;""), HYPERLINK("#'" &amp; C4185 &amp; "'!" &amp; J4185, J4185), "")</f>
        <v/>
      </c>
    </row>
    <row r="4186">
      <c r="B4186" s="21">
        <f>IF(AND(C4186&lt;&gt;"", J4186&lt;&gt;""), HYPERLINK("#'" &amp; C4186 &amp; "'!" &amp; J4186, J4186), "")</f>
        <v/>
      </c>
    </row>
    <row r="4187">
      <c r="B4187" s="21">
        <f>IF(AND(C4187&lt;&gt;"", J4187&lt;&gt;""), HYPERLINK("#'" &amp; C4187 &amp; "'!" &amp; J4187, J4187), "")</f>
        <v/>
      </c>
    </row>
    <row r="4188">
      <c r="B4188" s="21">
        <f>IF(AND(C4188&lt;&gt;"", J4188&lt;&gt;""), HYPERLINK("#'" &amp; C4188 &amp; "'!" &amp; J4188, J4188), "")</f>
        <v/>
      </c>
    </row>
    <row r="4189">
      <c r="B4189" s="21">
        <f>IF(AND(C4189&lt;&gt;"", J4189&lt;&gt;""), HYPERLINK("#'" &amp; C4189 &amp; "'!" &amp; J4189, J4189), "")</f>
        <v/>
      </c>
    </row>
    <row r="4190">
      <c r="B4190" s="21">
        <f>IF(AND(C4190&lt;&gt;"", J4190&lt;&gt;""), HYPERLINK("#'" &amp; C4190 &amp; "'!" &amp; J4190, J4190), "")</f>
        <v/>
      </c>
    </row>
    <row r="4191">
      <c r="B4191" s="21">
        <f>IF(AND(C4191&lt;&gt;"", J4191&lt;&gt;""), HYPERLINK("#'" &amp; C4191 &amp; "'!" &amp; J4191, J4191), "")</f>
        <v/>
      </c>
    </row>
    <row r="4192">
      <c r="B4192" s="21">
        <f>IF(AND(C4192&lt;&gt;"", J4192&lt;&gt;""), HYPERLINK("#'" &amp; C4192 &amp; "'!" &amp; J4192, J4192), "")</f>
        <v/>
      </c>
    </row>
    <row r="4193">
      <c r="B4193" s="21">
        <f>IF(AND(C4193&lt;&gt;"", J4193&lt;&gt;""), HYPERLINK("#'" &amp; C4193 &amp; "'!" &amp; J4193, J4193), "")</f>
        <v/>
      </c>
    </row>
    <row r="4194">
      <c r="B4194" s="21">
        <f>IF(AND(C4194&lt;&gt;"", J4194&lt;&gt;""), HYPERLINK("#'" &amp; C4194 &amp; "'!" &amp; J4194, J4194), "")</f>
        <v/>
      </c>
    </row>
    <row r="4195">
      <c r="B4195" s="21">
        <f>IF(AND(C4195&lt;&gt;"", J4195&lt;&gt;""), HYPERLINK("#'" &amp; C4195 &amp; "'!" &amp; J4195, J4195), "")</f>
        <v/>
      </c>
    </row>
    <row r="4196">
      <c r="B4196" s="21">
        <f>IF(AND(C4196&lt;&gt;"", J4196&lt;&gt;""), HYPERLINK("#'" &amp; C4196 &amp; "'!" &amp; J4196, J4196), "")</f>
        <v/>
      </c>
    </row>
    <row r="4197">
      <c r="B4197" s="21">
        <f>IF(AND(C4197&lt;&gt;"", J4197&lt;&gt;""), HYPERLINK("#'" &amp; C4197 &amp; "'!" &amp; J4197, J4197), "")</f>
        <v/>
      </c>
    </row>
    <row r="4198">
      <c r="B4198" s="21">
        <f>IF(AND(C4198&lt;&gt;"", J4198&lt;&gt;""), HYPERLINK("#'" &amp; C4198 &amp; "'!" &amp; J4198, J4198), "")</f>
        <v/>
      </c>
    </row>
    <row r="4199">
      <c r="B4199" s="21">
        <f>IF(AND(C4199&lt;&gt;"", J4199&lt;&gt;""), HYPERLINK("#'" &amp; C4199 &amp; "'!" &amp; J4199, J4199), "")</f>
        <v/>
      </c>
    </row>
    <row r="4200">
      <c r="B4200" s="21">
        <f>IF(AND(C4200&lt;&gt;"", J4200&lt;&gt;""), HYPERLINK("#'" &amp; C4200 &amp; "'!" &amp; J4200, J4200), "")</f>
        <v/>
      </c>
    </row>
    <row r="4201">
      <c r="B4201" s="21">
        <f>IF(AND(C4201&lt;&gt;"", J4201&lt;&gt;""), HYPERLINK("#'" &amp; C4201 &amp; "'!" &amp; J4201, J4201), "")</f>
        <v/>
      </c>
    </row>
    <row r="4202">
      <c r="B4202" s="21">
        <f>IF(AND(C4202&lt;&gt;"", J4202&lt;&gt;""), HYPERLINK("#'" &amp; C4202 &amp; "'!" &amp; J4202, J4202), "")</f>
        <v/>
      </c>
    </row>
    <row r="4203">
      <c r="B4203" s="21">
        <f>IF(AND(C4203&lt;&gt;"", J4203&lt;&gt;""), HYPERLINK("#'" &amp; C4203 &amp; "'!" &amp; J4203, J4203), "")</f>
        <v/>
      </c>
    </row>
    <row r="4204">
      <c r="B4204" s="21">
        <f>IF(AND(C4204&lt;&gt;"", J4204&lt;&gt;""), HYPERLINK("#'" &amp; C4204 &amp; "'!" &amp; J4204, J4204), "")</f>
        <v/>
      </c>
    </row>
    <row r="4205">
      <c r="B4205" s="21">
        <f>IF(AND(C4205&lt;&gt;"", J4205&lt;&gt;""), HYPERLINK("#'" &amp; C4205 &amp; "'!" &amp; J4205, J4205), "")</f>
        <v/>
      </c>
    </row>
    <row r="4206">
      <c r="B4206" s="21">
        <f>IF(AND(C4206&lt;&gt;"", J4206&lt;&gt;""), HYPERLINK("#'" &amp; C4206 &amp; "'!" &amp; J4206, J4206), "")</f>
        <v/>
      </c>
    </row>
    <row r="4207">
      <c r="B4207" s="21">
        <f>IF(AND(C4207&lt;&gt;"", J4207&lt;&gt;""), HYPERLINK("#'" &amp; C4207 &amp; "'!" &amp; J4207, J4207), "")</f>
        <v/>
      </c>
    </row>
    <row r="4208">
      <c r="B4208" s="21">
        <f>IF(AND(C4208&lt;&gt;"", J4208&lt;&gt;""), HYPERLINK("#'" &amp; C4208 &amp; "'!" &amp; J4208, J4208), "")</f>
        <v/>
      </c>
    </row>
    <row r="4209">
      <c r="B4209" s="21">
        <f>IF(AND(C4209&lt;&gt;"", J4209&lt;&gt;""), HYPERLINK("#'" &amp; C4209 &amp; "'!" &amp; J4209, J4209), "")</f>
        <v/>
      </c>
    </row>
    <row r="4210">
      <c r="B4210" s="21">
        <f>IF(AND(C4210&lt;&gt;"", J4210&lt;&gt;""), HYPERLINK("#'" &amp; C4210 &amp; "'!" &amp; J4210, J4210), "")</f>
        <v/>
      </c>
    </row>
    <row r="4211">
      <c r="B4211" s="21">
        <f>IF(AND(C4211&lt;&gt;"", J4211&lt;&gt;""), HYPERLINK("#'" &amp; C4211 &amp; "'!" &amp; J4211, J4211), "")</f>
        <v/>
      </c>
    </row>
    <row r="4212">
      <c r="B4212" s="21">
        <f>IF(AND(C4212&lt;&gt;"", J4212&lt;&gt;""), HYPERLINK("#'" &amp; C4212 &amp; "'!" &amp; J4212, J4212), "")</f>
        <v/>
      </c>
    </row>
    <row r="4213">
      <c r="B4213" s="21">
        <f>IF(AND(C4213&lt;&gt;"", J4213&lt;&gt;""), HYPERLINK("#'" &amp; C4213 &amp; "'!" &amp; J4213, J4213), "")</f>
        <v/>
      </c>
    </row>
    <row r="4214">
      <c r="B4214" s="21">
        <f>IF(AND(C4214&lt;&gt;"", J4214&lt;&gt;""), HYPERLINK("#'" &amp; C4214 &amp; "'!" &amp; J4214, J4214), "")</f>
        <v/>
      </c>
    </row>
    <row r="4215">
      <c r="B4215" s="21">
        <f>IF(AND(C4215&lt;&gt;"", J4215&lt;&gt;""), HYPERLINK("#'" &amp; C4215 &amp; "'!" &amp; J4215, J4215), "")</f>
        <v/>
      </c>
    </row>
    <row r="4216">
      <c r="B4216" s="21">
        <f>IF(AND(C4216&lt;&gt;"", J4216&lt;&gt;""), HYPERLINK("#'" &amp; C4216 &amp; "'!" &amp; J4216, J4216), "")</f>
        <v/>
      </c>
    </row>
    <row r="4217">
      <c r="B4217" s="21">
        <f>IF(AND(C4217&lt;&gt;"", J4217&lt;&gt;""), HYPERLINK("#'" &amp; C4217 &amp; "'!" &amp; J4217, J4217), "")</f>
        <v/>
      </c>
    </row>
    <row r="4218">
      <c r="B4218" s="21">
        <f>IF(AND(C4218&lt;&gt;"", J4218&lt;&gt;""), HYPERLINK("#'" &amp; C4218 &amp; "'!" &amp; J4218, J4218), "")</f>
        <v/>
      </c>
    </row>
    <row r="4219">
      <c r="B4219" s="21">
        <f>IF(AND(C4219&lt;&gt;"", J4219&lt;&gt;""), HYPERLINK("#'" &amp; C4219 &amp; "'!" &amp; J4219, J4219), "")</f>
        <v/>
      </c>
    </row>
    <row r="4220">
      <c r="B4220" s="21">
        <f>IF(AND(C4220&lt;&gt;"", J4220&lt;&gt;""), HYPERLINK("#'" &amp; C4220 &amp; "'!" &amp; J4220, J4220), "")</f>
        <v/>
      </c>
    </row>
    <row r="4221">
      <c r="B4221" s="21">
        <f>IF(AND(C4221&lt;&gt;"", J4221&lt;&gt;""), HYPERLINK("#'" &amp; C4221 &amp; "'!" &amp; J4221, J4221), "")</f>
        <v/>
      </c>
    </row>
    <row r="4222">
      <c r="B4222" s="21">
        <f>IF(AND(C4222&lt;&gt;"", J4222&lt;&gt;""), HYPERLINK("#'" &amp; C4222 &amp; "'!" &amp; J4222, J4222), "")</f>
        <v/>
      </c>
    </row>
    <row r="4223">
      <c r="B4223" s="21">
        <f>IF(AND(C4223&lt;&gt;"", J4223&lt;&gt;""), HYPERLINK("#'" &amp; C4223 &amp; "'!" &amp; J4223, J4223), "")</f>
        <v/>
      </c>
    </row>
    <row r="4224">
      <c r="B4224" s="21">
        <f>IF(AND(C4224&lt;&gt;"", J4224&lt;&gt;""), HYPERLINK("#'" &amp; C4224 &amp; "'!" &amp; J4224, J4224), "")</f>
        <v/>
      </c>
    </row>
    <row r="4225">
      <c r="B4225" s="21">
        <f>IF(AND(C4225&lt;&gt;"", J4225&lt;&gt;""), HYPERLINK("#'" &amp; C4225 &amp; "'!" &amp; J4225, J4225), "")</f>
        <v/>
      </c>
    </row>
    <row r="4226">
      <c r="B4226" s="21">
        <f>IF(AND(C4226&lt;&gt;"", J4226&lt;&gt;""), HYPERLINK("#'" &amp; C4226 &amp; "'!" &amp; J4226, J4226), "")</f>
        <v/>
      </c>
    </row>
    <row r="4227">
      <c r="B4227" s="21">
        <f>IF(AND(C4227&lt;&gt;"", J4227&lt;&gt;""), HYPERLINK("#'" &amp; C4227 &amp; "'!" &amp; J4227, J4227), "")</f>
        <v/>
      </c>
    </row>
    <row r="4228">
      <c r="B4228" s="21">
        <f>IF(AND(C4228&lt;&gt;"", J4228&lt;&gt;""), HYPERLINK("#'" &amp; C4228 &amp; "'!" &amp; J4228, J4228), "")</f>
        <v/>
      </c>
    </row>
    <row r="4229">
      <c r="B4229" s="21">
        <f>IF(AND(C4229&lt;&gt;"", J4229&lt;&gt;""), HYPERLINK("#'" &amp; C4229 &amp; "'!" &amp; J4229, J4229), "")</f>
        <v/>
      </c>
    </row>
    <row r="4230">
      <c r="B4230" s="21">
        <f>IF(AND(C4230&lt;&gt;"", J4230&lt;&gt;""), HYPERLINK("#'" &amp; C4230 &amp; "'!" &amp; J4230, J4230), "")</f>
        <v/>
      </c>
    </row>
    <row r="4231">
      <c r="B4231" s="21">
        <f>IF(AND(C4231&lt;&gt;"", J4231&lt;&gt;""), HYPERLINK("#'" &amp; C4231 &amp; "'!" &amp; J4231, J4231), "")</f>
        <v/>
      </c>
    </row>
    <row r="4232">
      <c r="B4232" s="21">
        <f>IF(AND(C4232&lt;&gt;"", J4232&lt;&gt;""), HYPERLINK("#'" &amp; C4232 &amp; "'!" &amp; J4232, J4232), "")</f>
        <v/>
      </c>
    </row>
    <row r="4233">
      <c r="B4233" s="21">
        <f>IF(AND(C4233&lt;&gt;"", J4233&lt;&gt;""), HYPERLINK("#'" &amp; C4233 &amp; "'!" &amp; J4233, J4233), "")</f>
        <v/>
      </c>
    </row>
    <row r="4234">
      <c r="B4234" s="21">
        <f>IF(AND(C4234&lt;&gt;"", J4234&lt;&gt;""), HYPERLINK("#'" &amp; C4234 &amp; "'!" &amp; J4234, J4234), "")</f>
        <v/>
      </c>
    </row>
    <row r="4235">
      <c r="B4235" s="21">
        <f>IF(AND(C4235&lt;&gt;"", J4235&lt;&gt;""), HYPERLINK("#'" &amp; C4235 &amp; "'!" &amp; J4235, J4235), "")</f>
        <v/>
      </c>
    </row>
    <row r="4236">
      <c r="B4236" s="21">
        <f>IF(AND(C4236&lt;&gt;"", J4236&lt;&gt;""), HYPERLINK("#'" &amp; C4236 &amp; "'!" &amp; J4236, J4236), "")</f>
        <v/>
      </c>
    </row>
    <row r="4237">
      <c r="B4237" s="21">
        <f>IF(AND(C4237&lt;&gt;"", J4237&lt;&gt;""), HYPERLINK("#'" &amp; C4237 &amp; "'!" &amp; J4237, J4237), "")</f>
        <v/>
      </c>
    </row>
    <row r="4238">
      <c r="B4238" s="21">
        <f>IF(AND(C4238&lt;&gt;"", J4238&lt;&gt;""), HYPERLINK("#'" &amp; C4238 &amp; "'!" &amp; J4238, J4238), "")</f>
        <v/>
      </c>
    </row>
    <row r="4239">
      <c r="B4239" s="21">
        <f>IF(AND(C4239&lt;&gt;"", J4239&lt;&gt;""), HYPERLINK("#'" &amp; C4239 &amp; "'!" &amp; J4239, J4239), "")</f>
        <v/>
      </c>
    </row>
    <row r="4240">
      <c r="B4240" s="21">
        <f>IF(AND(C4240&lt;&gt;"", J4240&lt;&gt;""), HYPERLINK("#'" &amp; C4240 &amp; "'!" &amp; J4240, J4240), "")</f>
        <v/>
      </c>
    </row>
    <row r="4241">
      <c r="B4241" s="21">
        <f>IF(AND(C4241&lt;&gt;"", J4241&lt;&gt;""), HYPERLINK("#'" &amp; C4241 &amp; "'!" &amp; J4241, J4241), "")</f>
        <v/>
      </c>
    </row>
    <row r="4242">
      <c r="B4242" s="21">
        <f>IF(AND(C4242&lt;&gt;"", J4242&lt;&gt;""), HYPERLINK("#'" &amp; C4242 &amp; "'!" &amp; J4242, J4242), "")</f>
        <v/>
      </c>
    </row>
    <row r="4243">
      <c r="B4243" s="21">
        <f>IF(AND(C4243&lt;&gt;"", J4243&lt;&gt;""), HYPERLINK("#'" &amp; C4243 &amp; "'!" &amp; J4243, J4243), "")</f>
        <v/>
      </c>
    </row>
    <row r="4244">
      <c r="B4244" s="21">
        <f>IF(AND(C4244&lt;&gt;"", J4244&lt;&gt;""), HYPERLINK("#'" &amp; C4244 &amp; "'!" &amp; J4244, J4244), "")</f>
        <v/>
      </c>
    </row>
    <row r="4245">
      <c r="B4245" s="21">
        <f>IF(AND(C4245&lt;&gt;"", J4245&lt;&gt;""), HYPERLINK("#'" &amp; C4245 &amp; "'!" &amp; J4245, J4245), "")</f>
        <v/>
      </c>
    </row>
    <row r="4246">
      <c r="B4246" s="21">
        <f>IF(AND(C4246&lt;&gt;"", J4246&lt;&gt;""), HYPERLINK("#'" &amp; C4246 &amp; "'!" &amp; J4246, J4246), "")</f>
        <v/>
      </c>
    </row>
    <row r="4247">
      <c r="B4247" s="21">
        <f>IF(AND(C4247&lt;&gt;"", J4247&lt;&gt;""), HYPERLINK("#'" &amp; C4247 &amp; "'!" &amp; J4247, J4247), "")</f>
        <v/>
      </c>
    </row>
    <row r="4248">
      <c r="B4248" s="21">
        <f>IF(AND(C4248&lt;&gt;"", J4248&lt;&gt;""), HYPERLINK("#'" &amp; C4248 &amp; "'!" &amp; J4248, J4248), "")</f>
        <v/>
      </c>
    </row>
    <row r="4249">
      <c r="B4249" s="21">
        <f>IF(AND(C4249&lt;&gt;"", J4249&lt;&gt;""), HYPERLINK("#'" &amp; C4249 &amp; "'!" &amp; J4249, J4249), "")</f>
        <v/>
      </c>
    </row>
    <row r="4250">
      <c r="B4250" s="21">
        <f>IF(AND(C4250&lt;&gt;"", J4250&lt;&gt;""), HYPERLINK("#'" &amp; C4250 &amp; "'!" &amp; J4250, J4250), "")</f>
        <v/>
      </c>
    </row>
    <row r="4251">
      <c r="B4251" s="21">
        <f>IF(AND(C4251&lt;&gt;"", J4251&lt;&gt;""), HYPERLINK("#'" &amp; C4251 &amp; "'!" &amp; J4251, J4251), "")</f>
        <v/>
      </c>
    </row>
    <row r="4252">
      <c r="B4252" s="21">
        <f>IF(AND(C4252&lt;&gt;"", J4252&lt;&gt;""), HYPERLINK("#'" &amp; C4252 &amp; "'!" &amp; J4252, J4252), "")</f>
        <v/>
      </c>
    </row>
    <row r="4253">
      <c r="B4253" s="21">
        <f>IF(AND(C4253&lt;&gt;"", J4253&lt;&gt;""), HYPERLINK("#'" &amp; C4253 &amp; "'!" &amp; J4253, J4253), "")</f>
        <v/>
      </c>
    </row>
    <row r="4254">
      <c r="B4254" s="21">
        <f>IF(AND(C4254&lt;&gt;"", J4254&lt;&gt;""), HYPERLINK("#'" &amp; C4254 &amp; "'!" &amp; J4254, J4254), "")</f>
        <v/>
      </c>
    </row>
    <row r="4255">
      <c r="B4255" s="21">
        <f>IF(AND(C4255&lt;&gt;"", J4255&lt;&gt;""), HYPERLINK("#'" &amp; C4255 &amp; "'!" &amp; J4255, J4255), "")</f>
        <v/>
      </c>
    </row>
    <row r="4256">
      <c r="B4256" s="21">
        <f>IF(AND(C4256&lt;&gt;"", J4256&lt;&gt;""), HYPERLINK("#'" &amp; C4256 &amp; "'!" &amp; J4256, J4256), "")</f>
        <v/>
      </c>
    </row>
    <row r="4257">
      <c r="B4257" s="21">
        <f>IF(AND(C4257&lt;&gt;"", J4257&lt;&gt;""), HYPERLINK("#'" &amp; C4257 &amp; "'!" &amp; J4257, J4257), "")</f>
        <v/>
      </c>
    </row>
    <row r="4258">
      <c r="B4258" s="21">
        <f>IF(AND(C4258&lt;&gt;"", J4258&lt;&gt;""), HYPERLINK("#'" &amp; C4258 &amp; "'!" &amp; J4258, J4258), "")</f>
        <v/>
      </c>
    </row>
    <row r="4259">
      <c r="B4259" s="21">
        <f>IF(AND(C4259&lt;&gt;"", J4259&lt;&gt;""), HYPERLINK("#'" &amp; C4259 &amp; "'!" &amp; J4259, J4259), "")</f>
        <v/>
      </c>
    </row>
    <row r="4260">
      <c r="B4260" s="21">
        <f>IF(AND(C4260&lt;&gt;"", J4260&lt;&gt;""), HYPERLINK("#'" &amp; C4260 &amp; "'!" &amp; J4260, J4260), "")</f>
        <v/>
      </c>
    </row>
    <row r="4261">
      <c r="B4261" s="21">
        <f>IF(AND(C4261&lt;&gt;"", J4261&lt;&gt;""), HYPERLINK("#'" &amp; C4261 &amp; "'!" &amp; J4261, J4261), "")</f>
        <v/>
      </c>
    </row>
    <row r="4262">
      <c r="B4262" s="21">
        <f>IF(AND(C4262&lt;&gt;"", J4262&lt;&gt;""), HYPERLINK("#'" &amp; C4262 &amp; "'!" &amp; J4262, J4262), "")</f>
        <v/>
      </c>
    </row>
    <row r="4263">
      <c r="B4263" s="21">
        <f>IF(AND(C4263&lt;&gt;"", J4263&lt;&gt;""), HYPERLINK("#'" &amp; C4263 &amp; "'!" &amp; J4263, J4263), "")</f>
        <v/>
      </c>
    </row>
    <row r="4264">
      <c r="B4264" s="21">
        <f>IF(AND(C4264&lt;&gt;"", J4264&lt;&gt;""), HYPERLINK("#'" &amp; C4264 &amp; "'!" &amp; J4264, J4264), "")</f>
        <v/>
      </c>
    </row>
    <row r="4265">
      <c r="B4265" s="21">
        <f>IF(AND(C4265&lt;&gt;"", J4265&lt;&gt;""), HYPERLINK("#'" &amp; C4265 &amp; "'!" &amp; J4265, J4265), "")</f>
        <v/>
      </c>
    </row>
    <row r="4266">
      <c r="B4266" s="21">
        <f>IF(AND(C4266&lt;&gt;"", J4266&lt;&gt;""), HYPERLINK("#'" &amp; C4266 &amp; "'!" &amp; J4266, J4266), "")</f>
        <v/>
      </c>
    </row>
    <row r="4267">
      <c r="B4267" s="21">
        <f>IF(AND(C4267&lt;&gt;"", J4267&lt;&gt;""), HYPERLINK("#'" &amp; C4267 &amp; "'!" &amp; J4267, J4267), "")</f>
        <v/>
      </c>
    </row>
    <row r="4268">
      <c r="B4268" s="21">
        <f>IF(AND(C4268&lt;&gt;"", J4268&lt;&gt;""), HYPERLINK("#'" &amp; C4268 &amp; "'!" &amp; J4268, J4268), "")</f>
        <v/>
      </c>
    </row>
    <row r="4269">
      <c r="B4269" s="21">
        <f>IF(AND(C4269&lt;&gt;"", J4269&lt;&gt;""), HYPERLINK("#'" &amp; C4269 &amp; "'!" &amp; J4269, J4269), "")</f>
        <v/>
      </c>
    </row>
    <row r="4270">
      <c r="B4270" s="21">
        <f>IF(AND(C4270&lt;&gt;"", J4270&lt;&gt;""), HYPERLINK("#'" &amp; C4270 &amp; "'!" &amp; J4270, J4270), "")</f>
        <v/>
      </c>
    </row>
    <row r="4271">
      <c r="B4271" s="21">
        <f>IF(AND(C4271&lt;&gt;"", J4271&lt;&gt;""), HYPERLINK("#'" &amp; C4271 &amp; "'!" &amp; J4271, J4271), "")</f>
        <v/>
      </c>
    </row>
    <row r="4272">
      <c r="B4272" s="21">
        <f>IF(AND(C4272&lt;&gt;"", J4272&lt;&gt;""), HYPERLINK("#'" &amp; C4272 &amp; "'!" &amp; J4272, J4272), "")</f>
        <v/>
      </c>
    </row>
    <row r="4273">
      <c r="B4273" s="21">
        <f>IF(AND(C4273&lt;&gt;"", J4273&lt;&gt;""), HYPERLINK("#'" &amp; C4273 &amp; "'!" &amp; J4273, J4273), "")</f>
        <v/>
      </c>
    </row>
    <row r="4274">
      <c r="B4274" s="21">
        <f>IF(AND(C4274&lt;&gt;"", J4274&lt;&gt;""), HYPERLINK("#'" &amp; C4274 &amp; "'!" &amp; J4274, J4274), "")</f>
        <v/>
      </c>
    </row>
    <row r="4275">
      <c r="B4275" s="21">
        <f>IF(AND(C4275&lt;&gt;"", J4275&lt;&gt;""), HYPERLINK("#'" &amp; C4275 &amp; "'!" &amp; J4275, J4275), "")</f>
        <v/>
      </c>
    </row>
    <row r="4276">
      <c r="B4276" s="21">
        <f>IF(AND(C4276&lt;&gt;"", J4276&lt;&gt;""), HYPERLINK("#'" &amp; C4276 &amp; "'!" &amp; J4276, J4276), "")</f>
        <v/>
      </c>
    </row>
    <row r="4277">
      <c r="B4277" s="21">
        <f>IF(AND(C4277&lt;&gt;"", J4277&lt;&gt;""), HYPERLINK("#'" &amp; C4277 &amp; "'!" &amp; J4277, J4277), "")</f>
        <v/>
      </c>
    </row>
    <row r="4278">
      <c r="B4278" s="21">
        <f>IF(AND(C4278&lt;&gt;"", J4278&lt;&gt;""), HYPERLINK("#'" &amp; C4278 &amp; "'!" &amp; J4278, J4278), "")</f>
        <v/>
      </c>
    </row>
    <row r="4279">
      <c r="B4279" s="21">
        <f>IF(AND(C4279&lt;&gt;"", J4279&lt;&gt;""), HYPERLINK("#'" &amp; C4279 &amp; "'!" &amp; J4279, J4279), "")</f>
        <v/>
      </c>
    </row>
    <row r="4280">
      <c r="B4280" s="21">
        <f>IF(AND(C4280&lt;&gt;"", J4280&lt;&gt;""), HYPERLINK("#'" &amp; C4280 &amp; "'!" &amp; J4280, J4280), "")</f>
        <v/>
      </c>
    </row>
    <row r="4281">
      <c r="B4281" s="21">
        <f>IF(AND(C4281&lt;&gt;"", J4281&lt;&gt;""), HYPERLINK("#'" &amp; C4281 &amp; "'!" &amp; J4281, J4281), "")</f>
        <v/>
      </c>
    </row>
    <row r="4282">
      <c r="B4282" s="21">
        <f>IF(AND(C4282&lt;&gt;"", J4282&lt;&gt;""), HYPERLINK("#'" &amp; C4282 &amp; "'!" &amp; J4282, J4282), "")</f>
        <v/>
      </c>
    </row>
    <row r="4283">
      <c r="B4283" s="21">
        <f>IF(AND(C4283&lt;&gt;"", J4283&lt;&gt;""), HYPERLINK("#'" &amp; C4283 &amp; "'!" &amp; J4283, J4283), "")</f>
        <v/>
      </c>
    </row>
    <row r="4284">
      <c r="B4284" s="21">
        <f>IF(AND(C4284&lt;&gt;"", J4284&lt;&gt;""), HYPERLINK("#'" &amp; C4284 &amp; "'!" &amp; J4284, J4284), "")</f>
        <v/>
      </c>
    </row>
    <row r="4285">
      <c r="B4285" s="21">
        <f>IF(AND(C4285&lt;&gt;"", J4285&lt;&gt;""), HYPERLINK("#'" &amp; C4285 &amp; "'!" &amp; J4285, J4285), "")</f>
        <v/>
      </c>
    </row>
    <row r="4286">
      <c r="B4286" s="21">
        <f>IF(AND(C4286&lt;&gt;"", J4286&lt;&gt;""), HYPERLINK("#'" &amp; C4286 &amp; "'!" &amp; J4286, J4286), "")</f>
        <v/>
      </c>
    </row>
    <row r="4287">
      <c r="B4287" s="21">
        <f>IF(AND(C4287&lt;&gt;"", J4287&lt;&gt;""), HYPERLINK("#'" &amp; C4287 &amp; "'!" &amp; J4287, J4287), "")</f>
        <v/>
      </c>
    </row>
    <row r="4288">
      <c r="B4288" s="21">
        <f>IF(AND(C4288&lt;&gt;"", J4288&lt;&gt;""), HYPERLINK("#'" &amp; C4288 &amp; "'!" &amp; J4288, J4288), "")</f>
        <v/>
      </c>
    </row>
    <row r="4289">
      <c r="B4289" s="21">
        <f>IF(AND(C4289&lt;&gt;"", J4289&lt;&gt;""), HYPERLINK("#'" &amp; C4289 &amp; "'!" &amp; J4289, J4289), "")</f>
        <v/>
      </c>
    </row>
    <row r="4290">
      <c r="B4290" s="21">
        <f>IF(AND(C4290&lt;&gt;"", J4290&lt;&gt;""), HYPERLINK("#'" &amp; C4290 &amp; "'!" &amp; J4290, J4290), "")</f>
        <v/>
      </c>
    </row>
    <row r="4291">
      <c r="B4291" s="21">
        <f>IF(AND(C4291&lt;&gt;"", J4291&lt;&gt;""), HYPERLINK("#'" &amp; C4291 &amp; "'!" &amp; J4291, J4291), "")</f>
        <v/>
      </c>
    </row>
    <row r="4292">
      <c r="B4292" s="21">
        <f>IF(AND(C4292&lt;&gt;"", J4292&lt;&gt;""), HYPERLINK("#'" &amp; C4292 &amp; "'!" &amp; J4292, J4292), "")</f>
        <v/>
      </c>
    </row>
    <row r="4293">
      <c r="B4293" s="21">
        <f>IF(AND(C4293&lt;&gt;"", J4293&lt;&gt;""), HYPERLINK("#'" &amp; C4293 &amp; "'!" &amp; J4293, J4293), "")</f>
        <v/>
      </c>
    </row>
    <row r="4294">
      <c r="B4294" s="21">
        <f>IF(AND(C4294&lt;&gt;"", J4294&lt;&gt;""), HYPERLINK("#'" &amp; C4294 &amp; "'!" &amp; J4294, J4294), "")</f>
        <v/>
      </c>
    </row>
    <row r="4295">
      <c r="B4295" s="21">
        <f>IF(AND(C4295&lt;&gt;"", J4295&lt;&gt;""), HYPERLINK("#'" &amp; C4295 &amp; "'!" &amp; J4295, J4295), "")</f>
        <v/>
      </c>
    </row>
    <row r="4296">
      <c r="B4296" s="21">
        <f>IF(AND(C4296&lt;&gt;"", J4296&lt;&gt;""), HYPERLINK("#'" &amp; C4296 &amp; "'!" &amp; J4296, J4296), "")</f>
        <v/>
      </c>
    </row>
    <row r="4297">
      <c r="B4297" s="21">
        <f>IF(AND(C4297&lt;&gt;"", J4297&lt;&gt;""), HYPERLINK("#'" &amp; C4297 &amp; "'!" &amp; J4297, J4297), "")</f>
        <v/>
      </c>
    </row>
    <row r="4298">
      <c r="B4298" s="21">
        <f>IF(AND(C4298&lt;&gt;"", J4298&lt;&gt;""), HYPERLINK("#'" &amp; C4298 &amp; "'!" &amp; J4298, J4298), "")</f>
        <v/>
      </c>
    </row>
    <row r="4299">
      <c r="B4299" s="21">
        <f>IF(AND(C4299&lt;&gt;"", J4299&lt;&gt;""), HYPERLINK("#'" &amp; C4299 &amp; "'!" &amp; J4299, J4299), "")</f>
        <v/>
      </c>
    </row>
    <row r="4300">
      <c r="B4300" s="21">
        <f>IF(AND(C4300&lt;&gt;"", J4300&lt;&gt;""), HYPERLINK("#'" &amp; C4300 &amp; "'!" &amp; J4300, J4300), "")</f>
        <v/>
      </c>
    </row>
    <row r="4301">
      <c r="B4301" s="21">
        <f>IF(AND(C4301&lt;&gt;"", J4301&lt;&gt;""), HYPERLINK("#'" &amp; C4301 &amp; "'!" &amp; J4301, J4301), "")</f>
        <v/>
      </c>
    </row>
    <row r="4302">
      <c r="B4302" s="21">
        <f>IF(AND(C4302&lt;&gt;"", J4302&lt;&gt;""), HYPERLINK("#'" &amp; C4302 &amp; "'!" &amp; J4302, J4302), "")</f>
        <v/>
      </c>
    </row>
    <row r="4303">
      <c r="B4303" s="21">
        <f>IF(AND(C4303&lt;&gt;"", J4303&lt;&gt;""), HYPERLINK("#'" &amp; C4303 &amp; "'!" &amp; J4303, J4303), "")</f>
        <v/>
      </c>
    </row>
    <row r="4304">
      <c r="B4304" s="21">
        <f>IF(AND(C4304&lt;&gt;"", J4304&lt;&gt;""), HYPERLINK("#'" &amp; C4304 &amp; "'!" &amp; J4304, J4304), "")</f>
        <v/>
      </c>
    </row>
    <row r="4305">
      <c r="B4305" s="21">
        <f>IF(AND(C4305&lt;&gt;"", J4305&lt;&gt;""), HYPERLINK("#'" &amp; C4305 &amp; "'!" &amp; J4305, J4305), "")</f>
        <v/>
      </c>
    </row>
    <row r="4306">
      <c r="B4306" s="21">
        <f>IF(AND(C4306&lt;&gt;"", J4306&lt;&gt;""), HYPERLINK("#'" &amp; C4306 &amp; "'!" &amp; J4306, J4306), "")</f>
        <v/>
      </c>
    </row>
    <row r="4307">
      <c r="B4307" s="21">
        <f>IF(AND(C4307&lt;&gt;"", J4307&lt;&gt;""), HYPERLINK("#'" &amp; C4307 &amp; "'!" &amp; J4307, J4307), "")</f>
        <v/>
      </c>
    </row>
    <row r="4308">
      <c r="B4308" s="21">
        <f>IF(AND(C4308&lt;&gt;"", J4308&lt;&gt;""), HYPERLINK("#'" &amp; C4308 &amp; "'!" &amp; J4308, J4308), "")</f>
        <v/>
      </c>
    </row>
    <row r="4309">
      <c r="B4309" s="21">
        <f>IF(AND(C4309&lt;&gt;"", J4309&lt;&gt;""), HYPERLINK("#'" &amp; C4309 &amp; "'!" &amp; J4309, J4309), "")</f>
        <v/>
      </c>
    </row>
    <row r="4310">
      <c r="B4310" s="21">
        <f>IF(AND(C4310&lt;&gt;"", J4310&lt;&gt;""), HYPERLINK("#'" &amp; C4310 &amp; "'!" &amp; J4310, J4310), "")</f>
        <v/>
      </c>
    </row>
    <row r="4311">
      <c r="B4311" s="21">
        <f>IF(AND(C4311&lt;&gt;"", J4311&lt;&gt;""), HYPERLINK("#'" &amp; C4311 &amp; "'!" &amp; J4311, J4311), "")</f>
        <v/>
      </c>
    </row>
    <row r="4312">
      <c r="B4312" s="21">
        <f>IF(AND(C4312&lt;&gt;"", J4312&lt;&gt;""), HYPERLINK("#'" &amp; C4312 &amp; "'!" &amp; J4312, J4312), "")</f>
        <v/>
      </c>
    </row>
    <row r="4313">
      <c r="B4313" s="21">
        <f>IF(AND(C4313&lt;&gt;"", J4313&lt;&gt;""), HYPERLINK("#'" &amp; C4313 &amp; "'!" &amp; J4313, J4313), "")</f>
        <v/>
      </c>
    </row>
    <row r="4314">
      <c r="B4314" s="21">
        <f>IF(AND(C4314&lt;&gt;"", J4314&lt;&gt;""), HYPERLINK("#'" &amp; C4314 &amp; "'!" &amp; J4314, J4314), "")</f>
        <v/>
      </c>
    </row>
    <row r="4315">
      <c r="B4315" s="21">
        <f>IF(AND(C4315&lt;&gt;"", J4315&lt;&gt;""), HYPERLINK("#'" &amp; C4315 &amp; "'!" &amp; J4315, J4315), "")</f>
        <v/>
      </c>
    </row>
    <row r="4316">
      <c r="B4316" s="21">
        <f>IF(AND(C4316&lt;&gt;"", J4316&lt;&gt;""), HYPERLINK("#'" &amp; C4316 &amp; "'!" &amp; J4316, J4316), "")</f>
        <v/>
      </c>
    </row>
    <row r="4317">
      <c r="B4317" s="21">
        <f>IF(AND(C4317&lt;&gt;"", J4317&lt;&gt;""), HYPERLINK("#'" &amp; C4317 &amp; "'!" &amp; J4317, J4317), "")</f>
        <v/>
      </c>
    </row>
    <row r="4318">
      <c r="B4318" s="21">
        <f>IF(AND(C4318&lt;&gt;"", J4318&lt;&gt;""), HYPERLINK("#'" &amp; C4318 &amp; "'!" &amp; J4318, J4318), "")</f>
        <v/>
      </c>
    </row>
    <row r="4319">
      <c r="B4319" s="21">
        <f>IF(AND(C4319&lt;&gt;"", J4319&lt;&gt;""), HYPERLINK("#'" &amp; C4319 &amp; "'!" &amp; J4319, J4319), "")</f>
        <v/>
      </c>
    </row>
    <row r="4320">
      <c r="B4320" s="21">
        <f>IF(AND(C4320&lt;&gt;"", J4320&lt;&gt;""), HYPERLINK("#'" &amp; C4320 &amp; "'!" &amp; J4320, J4320), "")</f>
        <v/>
      </c>
    </row>
    <row r="4321">
      <c r="B4321" s="21">
        <f>IF(AND(C4321&lt;&gt;"", J4321&lt;&gt;""), HYPERLINK("#'" &amp; C4321 &amp; "'!" &amp; J4321, J4321), "")</f>
        <v/>
      </c>
    </row>
    <row r="4322">
      <c r="B4322" s="21">
        <f>IF(AND(C4322&lt;&gt;"", J4322&lt;&gt;""), HYPERLINK("#'" &amp; C4322 &amp; "'!" &amp; J4322, J4322), "")</f>
        <v/>
      </c>
    </row>
    <row r="4323">
      <c r="B4323" s="21">
        <f>IF(AND(C4323&lt;&gt;"", J4323&lt;&gt;""), HYPERLINK("#'" &amp; C4323 &amp; "'!" &amp; J4323, J4323), "")</f>
        <v/>
      </c>
    </row>
    <row r="4324">
      <c r="B4324" s="21">
        <f>IF(AND(C4324&lt;&gt;"", J4324&lt;&gt;""), HYPERLINK("#'" &amp; C4324 &amp; "'!" &amp; J4324, J4324), "")</f>
        <v/>
      </c>
    </row>
    <row r="4325">
      <c r="B4325" s="21">
        <f>IF(AND(C4325&lt;&gt;"", J4325&lt;&gt;""), HYPERLINK("#'" &amp; C4325 &amp; "'!" &amp; J4325, J4325), "")</f>
        <v/>
      </c>
    </row>
    <row r="4326">
      <c r="B4326" s="21">
        <f>IF(AND(C4326&lt;&gt;"", J4326&lt;&gt;""), HYPERLINK("#'" &amp; C4326 &amp; "'!" &amp; J4326, J4326), "")</f>
        <v/>
      </c>
    </row>
    <row r="4327">
      <c r="B4327" s="21">
        <f>IF(AND(C4327&lt;&gt;"", J4327&lt;&gt;""), HYPERLINK("#'" &amp; C4327 &amp; "'!" &amp; J4327, J4327), "")</f>
        <v/>
      </c>
    </row>
    <row r="4328">
      <c r="B4328" s="21">
        <f>IF(AND(C4328&lt;&gt;"", J4328&lt;&gt;""), HYPERLINK("#'" &amp; C4328 &amp; "'!" &amp; J4328, J4328), "")</f>
        <v/>
      </c>
    </row>
    <row r="4329">
      <c r="B4329" s="21">
        <f>IF(AND(C4329&lt;&gt;"", J4329&lt;&gt;""), HYPERLINK("#'" &amp; C4329 &amp; "'!" &amp; J4329, J4329), "")</f>
        <v/>
      </c>
    </row>
    <row r="4330">
      <c r="B4330" s="21">
        <f>IF(AND(C4330&lt;&gt;"", J4330&lt;&gt;""), HYPERLINK("#'" &amp; C4330 &amp; "'!" &amp; J4330, J4330), "")</f>
        <v/>
      </c>
    </row>
    <row r="4331">
      <c r="B4331" s="21">
        <f>IF(AND(C4331&lt;&gt;"", J4331&lt;&gt;""), HYPERLINK("#'" &amp; C4331 &amp; "'!" &amp; J4331, J4331), "")</f>
        <v/>
      </c>
    </row>
    <row r="4332">
      <c r="B4332" s="21">
        <f>IF(AND(C4332&lt;&gt;"", J4332&lt;&gt;""), HYPERLINK("#'" &amp; C4332 &amp; "'!" &amp; J4332, J4332), "")</f>
        <v/>
      </c>
    </row>
    <row r="4333">
      <c r="B4333" s="21">
        <f>IF(AND(C4333&lt;&gt;"", J4333&lt;&gt;""), HYPERLINK("#'" &amp; C4333 &amp; "'!" &amp; J4333, J4333), "")</f>
        <v/>
      </c>
    </row>
    <row r="4334">
      <c r="B4334" s="21">
        <f>IF(AND(C4334&lt;&gt;"", J4334&lt;&gt;""), HYPERLINK("#'" &amp; C4334 &amp; "'!" &amp; J4334, J4334), "")</f>
        <v/>
      </c>
    </row>
    <row r="4335">
      <c r="B4335" s="21">
        <f>IF(AND(C4335&lt;&gt;"", J4335&lt;&gt;""), HYPERLINK("#'" &amp; C4335 &amp; "'!" &amp; J4335, J4335), "")</f>
        <v/>
      </c>
    </row>
    <row r="4336">
      <c r="B4336" s="21">
        <f>IF(AND(C4336&lt;&gt;"", J4336&lt;&gt;""), HYPERLINK("#'" &amp; C4336 &amp; "'!" &amp; J4336, J4336), "")</f>
        <v/>
      </c>
    </row>
    <row r="4337">
      <c r="B4337" s="21">
        <f>IF(AND(C4337&lt;&gt;"", J4337&lt;&gt;""), HYPERLINK("#'" &amp; C4337 &amp; "'!" &amp; J4337, J4337), "")</f>
        <v/>
      </c>
    </row>
    <row r="4338">
      <c r="B4338" s="21">
        <f>IF(AND(C4338&lt;&gt;"", J4338&lt;&gt;""), HYPERLINK("#'" &amp; C4338 &amp; "'!" &amp; J4338, J4338), "")</f>
        <v/>
      </c>
    </row>
    <row r="4339">
      <c r="B4339" s="21">
        <f>IF(AND(C4339&lt;&gt;"", J4339&lt;&gt;""), HYPERLINK("#'" &amp; C4339 &amp; "'!" &amp; J4339, J4339), "")</f>
        <v/>
      </c>
    </row>
    <row r="4340">
      <c r="B4340" s="21">
        <f>IF(AND(C4340&lt;&gt;"", J4340&lt;&gt;""), HYPERLINK("#'" &amp; C4340 &amp; "'!" &amp; J4340, J4340), "")</f>
        <v/>
      </c>
    </row>
    <row r="4341">
      <c r="B4341" s="21">
        <f>IF(AND(C4341&lt;&gt;"", J4341&lt;&gt;""), HYPERLINK("#'" &amp; C4341 &amp; "'!" &amp; J4341, J4341), "")</f>
        <v/>
      </c>
    </row>
    <row r="4342">
      <c r="B4342" s="21">
        <f>IF(AND(C4342&lt;&gt;"", J4342&lt;&gt;""), HYPERLINK("#'" &amp; C4342 &amp; "'!" &amp; J4342, J4342), "")</f>
        <v/>
      </c>
    </row>
    <row r="4343">
      <c r="B4343" s="21">
        <f>IF(AND(C4343&lt;&gt;"", J4343&lt;&gt;""), HYPERLINK("#'" &amp; C4343 &amp; "'!" &amp; J4343, J4343), "")</f>
        <v/>
      </c>
    </row>
    <row r="4344">
      <c r="B4344" s="21">
        <f>IF(AND(C4344&lt;&gt;"", J4344&lt;&gt;""), HYPERLINK("#'" &amp; C4344 &amp; "'!" &amp; J4344, J4344), "")</f>
        <v/>
      </c>
    </row>
    <row r="4345">
      <c r="B4345" s="21">
        <f>IF(AND(C4345&lt;&gt;"", J4345&lt;&gt;""), HYPERLINK("#'" &amp; C4345 &amp; "'!" &amp; J4345, J4345), "")</f>
        <v/>
      </c>
    </row>
    <row r="4346">
      <c r="B4346" s="21">
        <f>IF(AND(C4346&lt;&gt;"", J4346&lt;&gt;""), HYPERLINK("#'" &amp; C4346 &amp; "'!" &amp; J4346, J4346), "")</f>
        <v/>
      </c>
    </row>
    <row r="4347">
      <c r="B4347" s="21">
        <f>IF(AND(C4347&lt;&gt;"", J4347&lt;&gt;""), HYPERLINK("#'" &amp; C4347 &amp; "'!" &amp; J4347, J4347), "")</f>
        <v/>
      </c>
    </row>
    <row r="4348">
      <c r="B4348" s="21">
        <f>IF(AND(C4348&lt;&gt;"", J4348&lt;&gt;""), HYPERLINK("#'" &amp; C4348 &amp; "'!" &amp; J4348, J4348), "")</f>
        <v/>
      </c>
    </row>
    <row r="4349">
      <c r="B4349" s="21">
        <f>IF(AND(C4349&lt;&gt;"", J4349&lt;&gt;""), HYPERLINK("#'" &amp; C4349 &amp; "'!" &amp; J4349, J4349), "")</f>
        <v/>
      </c>
    </row>
    <row r="4350">
      <c r="B4350" s="21">
        <f>IF(AND(C4350&lt;&gt;"", J4350&lt;&gt;""), HYPERLINK("#'" &amp; C4350 &amp; "'!" &amp; J4350, J4350), "")</f>
        <v/>
      </c>
    </row>
    <row r="4351">
      <c r="B4351" s="21">
        <f>IF(AND(C4351&lt;&gt;"", J4351&lt;&gt;""), HYPERLINK("#'" &amp; C4351 &amp; "'!" &amp; J4351, J4351), "")</f>
        <v/>
      </c>
    </row>
    <row r="4352">
      <c r="B4352" s="21">
        <f>IF(AND(C4352&lt;&gt;"", J4352&lt;&gt;""), HYPERLINK("#'" &amp; C4352 &amp; "'!" &amp; J4352, J4352), "")</f>
        <v/>
      </c>
    </row>
    <row r="4353">
      <c r="B4353" s="21">
        <f>IF(AND(C4353&lt;&gt;"", J4353&lt;&gt;""), HYPERLINK("#'" &amp; C4353 &amp; "'!" &amp; J4353, J4353), "")</f>
        <v/>
      </c>
    </row>
    <row r="4354">
      <c r="B4354" s="21">
        <f>IF(AND(C4354&lt;&gt;"", J4354&lt;&gt;""), HYPERLINK("#'" &amp; C4354 &amp; "'!" &amp; J4354, J4354), "")</f>
        <v/>
      </c>
    </row>
    <row r="4355">
      <c r="B4355" s="21">
        <f>IF(AND(C4355&lt;&gt;"", J4355&lt;&gt;""), HYPERLINK("#'" &amp; C4355 &amp; "'!" &amp; J4355, J4355), "")</f>
        <v/>
      </c>
    </row>
    <row r="4356">
      <c r="B4356" s="21">
        <f>IF(AND(C4356&lt;&gt;"", J4356&lt;&gt;""), HYPERLINK("#'" &amp; C4356 &amp; "'!" &amp; J4356, J4356), "")</f>
        <v/>
      </c>
    </row>
    <row r="4357">
      <c r="B4357" s="21">
        <f>IF(AND(C4357&lt;&gt;"", J4357&lt;&gt;""), HYPERLINK("#'" &amp; C4357 &amp; "'!" &amp; J4357, J4357), "")</f>
        <v/>
      </c>
    </row>
    <row r="4358">
      <c r="B4358" s="21">
        <f>IF(AND(C4358&lt;&gt;"", J4358&lt;&gt;""), HYPERLINK("#'" &amp; C4358 &amp; "'!" &amp; J4358, J4358), "")</f>
        <v/>
      </c>
    </row>
    <row r="4359">
      <c r="B4359" s="21">
        <f>IF(AND(C4359&lt;&gt;"", J4359&lt;&gt;""), HYPERLINK("#'" &amp; C4359 &amp; "'!" &amp; J4359, J4359), "")</f>
        <v/>
      </c>
    </row>
    <row r="4360">
      <c r="B4360" s="21">
        <f>IF(AND(C4360&lt;&gt;"", J4360&lt;&gt;""), HYPERLINK("#'" &amp; C4360 &amp; "'!" &amp; J4360, J4360), "")</f>
        <v/>
      </c>
    </row>
    <row r="4361">
      <c r="B4361" s="21">
        <f>IF(AND(C4361&lt;&gt;"", J4361&lt;&gt;""), HYPERLINK("#'" &amp; C4361 &amp; "'!" &amp; J4361, J4361), "")</f>
        <v/>
      </c>
    </row>
    <row r="4362">
      <c r="B4362" s="21">
        <f>IF(AND(C4362&lt;&gt;"", J4362&lt;&gt;""), HYPERLINK("#'" &amp; C4362 &amp; "'!" &amp; J4362, J4362), "")</f>
        <v/>
      </c>
    </row>
    <row r="4363">
      <c r="B4363" s="21">
        <f>IF(AND(C4363&lt;&gt;"", J4363&lt;&gt;""), HYPERLINK("#'" &amp; C4363 &amp; "'!" &amp; J4363, J4363), "")</f>
        <v/>
      </c>
    </row>
    <row r="4364">
      <c r="B4364" s="21">
        <f>IF(AND(C4364&lt;&gt;"", J4364&lt;&gt;""), HYPERLINK("#'" &amp; C4364 &amp; "'!" &amp; J4364, J4364), "")</f>
        <v/>
      </c>
    </row>
    <row r="4365">
      <c r="B4365" s="21">
        <f>IF(AND(C4365&lt;&gt;"", J4365&lt;&gt;""), HYPERLINK("#'" &amp; C4365 &amp; "'!" &amp; J4365, J4365), "")</f>
        <v/>
      </c>
    </row>
    <row r="4366">
      <c r="B4366" s="21">
        <f>IF(AND(C4366&lt;&gt;"", J4366&lt;&gt;""), HYPERLINK("#'" &amp; C4366 &amp; "'!" &amp; J4366, J4366), "")</f>
        <v/>
      </c>
    </row>
    <row r="4367">
      <c r="B4367" s="21">
        <f>IF(AND(C4367&lt;&gt;"", J4367&lt;&gt;""), HYPERLINK("#'" &amp; C4367 &amp; "'!" &amp; J4367, J4367), "")</f>
        <v/>
      </c>
    </row>
    <row r="4368">
      <c r="B4368" s="21">
        <f>IF(AND(C4368&lt;&gt;"", J4368&lt;&gt;""), HYPERLINK("#'" &amp; C4368 &amp; "'!" &amp; J4368, J4368), "")</f>
        <v/>
      </c>
    </row>
    <row r="4369">
      <c r="B4369" s="21">
        <f>IF(AND(C4369&lt;&gt;"", J4369&lt;&gt;""), HYPERLINK("#'" &amp; C4369 &amp; "'!" &amp; J4369, J4369), "")</f>
        <v/>
      </c>
    </row>
    <row r="4370">
      <c r="B4370" s="21">
        <f>IF(AND(C4370&lt;&gt;"", J4370&lt;&gt;""), HYPERLINK("#'" &amp; C4370 &amp; "'!" &amp; J4370, J4370), "")</f>
        <v/>
      </c>
    </row>
    <row r="4371">
      <c r="B4371" s="21">
        <f>IF(AND(C4371&lt;&gt;"", J4371&lt;&gt;""), HYPERLINK("#'" &amp; C4371 &amp; "'!" &amp; J4371, J4371), "")</f>
        <v/>
      </c>
    </row>
    <row r="4372">
      <c r="B4372" s="21">
        <f>IF(AND(C4372&lt;&gt;"", J4372&lt;&gt;""), HYPERLINK("#'" &amp; C4372 &amp; "'!" &amp; J4372, J4372), "")</f>
        <v/>
      </c>
    </row>
    <row r="4373">
      <c r="B4373" s="21">
        <f>IF(AND(C4373&lt;&gt;"", J4373&lt;&gt;""), HYPERLINK("#'" &amp; C4373 &amp; "'!" &amp; J4373, J4373), "")</f>
        <v/>
      </c>
    </row>
    <row r="4374">
      <c r="B4374" s="21">
        <f>IF(AND(C4374&lt;&gt;"", J4374&lt;&gt;""), HYPERLINK("#'" &amp; C4374 &amp; "'!" &amp; J4374, J4374), "")</f>
        <v/>
      </c>
    </row>
    <row r="4375">
      <c r="B4375" s="21">
        <f>IF(AND(C4375&lt;&gt;"", J4375&lt;&gt;""), HYPERLINK("#'" &amp; C4375 &amp; "'!" &amp; J4375, J4375), "")</f>
        <v/>
      </c>
    </row>
    <row r="4376">
      <c r="B4376" s="21">
        <f>IF(AND(C4376&lt;&gt;"", J4376&lt;&gt;""), HYPERLINK("#'" &amp; C4376 &amp; "'!" &amp; J4376, J4376), "")</f>
        <v/>
      </c>
    </row>
    <row r="4377">
      <c r="B4377" s="21">
        <f>IF(AND(C4377&lt;&gt;"", J4377&lt;&gt;""), HYPERLINK("#'" &amp; C4377 &amp; "'!" &amp; J4377, J4377), "")</f>
        <v/>
      </c>
    </row>
    <row r="4378">
      <c r="B4378" s="21">
        <f>IF(AND(C4378&lt;&gt;"", J4378&lt;&gt;""), HYPERLINK("#'" &amp; C4378 &amp; "'!" &amp; J4378, J4378), "")</f>
        <v/>
      </c>
    </row>
    <row r="4379">
      <c r="B4379" s="21">
        <f>IF(AND(C4379&lt;&gt;"", J4379&lt;&gt;""), HYPERLINK("#'" &amp; C4379 &amp; "'!" &amp; J4379, J4379), "")</f>
        <v/>
      </c>
    </row>
    <row r="4380">
      <c r="B4380" s="21">
        <f>IF(AND(C4380&lt;&gt;"", J4380&lt;&gt;""), HYPERLINK("#'" &amp; C4380 &amp; "'!" &amp; J4380, J4380), "")</f>
        <v/>
      </c>
    </row>
    <row r="4381">
      <c r="B4381" s="21">
        <f>IF(AND(C4381&lt;&gt;"", J4381&lt;&gt;""), HYPERLINK("#'" &amp; C4381 &amp; "'!" &amp; J4381, J4381), "")</f>
        <v/>
      </c>
    </row>
    <row r="4382">
      <c r="B4382" s="21">
        <f>IF(AND(C4382&lt;&gt;"", J4382&lt;&gt;""), HYPERLINK("#'" &amp; C4382 &amp; "'!" &amp; J4382, J4382), "")</f>
        <v/>
      </c>
    </row>
    <row r="4383">
      <c r="B4383" s="21">
        <f>IF(AND(C4383&lt;&gt;"", J4383&lt;&gt;""), HYPERLINK("#'" &amp; C4383 &amp; "'!" &amp; J4383, J4383), "")</f>
        <v/>
      </c>
    </row>
    <row r="4384">
      <c r="B4384" s="21">
        <f>IF(AND(C4384&lt;&gt;"", J4384&lt;&gt;""), HYPERLINK("#'" &amp; C4384 &amp; "'!" &amp; J4384, J4384), "")</f>
        <v/>
      </c>
    </row>
    <row r="4385">
      <c r="B4385" s="21">
        <f>IF(AND(C4385&lt;&gt;"", J4385&lt;&gt;""), HYPERLINK("#'" &amp; C4385 &amp; "'!" &amp; J4385, J4385), "")</f>
        <v/>
      </c>
    </row>
    <row r="4386">
      <c r="B4386" s="21">
        <f>IF(AND(C4386&lt;&gt;"", J4386&lt;&gt;""), HYPERLINK("#'" &amp; C4386 &amp; "'!" &amp; J4386, J4386), "")</f>
        <v/>
      </c>
    </row>
    <row r="4387">
      <c r="B4387" s="21">
        <f>IF(AND(C4387&lt;&gt;"", J4387&lt;&gt;""), HYPERLINK("#'" &amp; C4387 &amp; "'!" &amp; J4387, J4387), "")</f>
        <v/>
      </c>
    </row>
    <row r="4388">
      <c r="B4388" s="21">
        <f>IF(AND(C4388&lt;&gt;"", J4388&lt;&gt;""), HYPERLINK("#'" &amp; C4388 &amp; "'!" &amp; J4388, J4388), "")</f>
        <v/>
      </c>
    </row>
    <row r="4389">
      <c r="B4389" s="21">
        <f>IF(AND(C4389&lt;&gt;"", J4389&lt;&gt;""), HYPERLINK("#'" &amp; C4389 &amp; "'!" &amp; J4389, J4389), "")</f>
        <v/>
      </c>
    </row>
    <row r="4390">
      <c r="B4390" s="21">
        <f>IF(AND(C4390&lt;&gt;"", J4390&lt;&gt;""), HYPERLINK("#'" &amp; C4390 &amp; "'!" &amp; J4390, J4390), "")</f>
        <v/>
      </c>
    </row>
    <row r="4391">
      <c r="B4391" s="21">
        <f>IF(AND(C4391&lt;&gt;"", J4391&lt;&gt;""), HYPERLINK("#'" &amp; C4391 &amp; "'!" &amp; J4391, J4391), "")</f>
        <v/>
      </c>
    </row>
    <row r="4392">
      <c r="B4392" s="21">
        <f>IF(AND(C4392&lt;&gt;"", J4392&lt;&gt;""), HYPERLINK("#'" &amp; C4392 &amp; "'!" &amp; J4392, J4392), "")</f>
        <v/>
      </c>
    </row>
    <row r="4393">
      <c r="B4393" s="21">
        <f>IF(AND(C4393&lt;&gt;"", J4393&lt;&gt;""), HYPERLINK("#'" &amp; C4393 &amp; "'!" &amp; J4393, J4393), "")</f>
        <v/>
      </c>
    </row>
    <row r="4394">
      <c r="B4394" s="21">
        <f>IF(AND(C4394&lt;&gt;"", J4394&lt;&gt;""), HYPERLINK("#'" &amp; C4394 &amp; "'!" &amp; J4394, J4394), "")</f>
        <v/>
      </c>
    </row>
    <row r="4395">
      <c r="B4395" s="21">
        <f>IF(AND(C4395&lt;&gt;"", J4395&lt;&gt;""), HYPERLINK("#'" &amp; C4395 &amp; "'!" &amp; J4395, J4395), "")</f>
        <v/>
      </c>
    </row>
    <row r="4396">
      <c r="B4396" s="21">
        <f>IF(AND(C4396&lt;&gt;"", J4396&lt;&gt;""), HYPERLINK("#'" &amp; C4396 &amp; "'!" &amp; J4396, J4396), "")</f>
        <v/>
      </c>
    </row>
    <row r="4397">
      <c r="B4397" s="21">
        <f>IF(AND(C4397&lt;&gt;"", J4397&lt;&gt;""), HYPERLINK("#'" &amp; C4397 &amp; "'!" &amp; J4397, J4397), "")</f>
        <v/>
      </c>
    </row>
    <row r="4398">
      <c r="B4398" s="21">
        <f>IF(AND(C4398&lt;&gt;"", J4398&lt;&gt;""), HYPERLINK("#'" &amp; C4398 &amp; "'!" &amp; J4398, J4398), "")</f>
        <v/>
      </c>
    </row>
    <row r="4399">
      <c r="B4399" s="21">
        <f>IF(AND(C4399&lt;&gt;"", J4399&lt;&gt;""), HYPERLINK("#'" &amp; C4399 &amp; "'!" &amp; J4399, J4399), "")</f>
        <v/>
      </c>
    </row>
    <row r="4400">
      <c r="B4400" s="21">
        <f>IF(AND(C4400&lt;&gt;"", J4400&lt;&gt;""), HYPERLINK("#'" &amp; C4400 &amp; "'!" &amp; J4400, J4400), "")</f>
        <v/>
      </c>
    </row>
    <row r="4401">
      <c r="B4401" s="21">
        <f>IF(AND(C4401&lt;&gt;"", J4401&lt;&gt;""), HYPERLINK("#'" &amp; C4401 &amp; "'!" &amp; J4401, J4401), "")</f>
        <v/>
      </c>
    </row>
    <row r="4402">
      <c r="B4402" s="21">
        <f>IF(AND(C4402&lt;&gt;"", J4402&lt;&gt;""), HYPERLINK("#'" &amp; C4402 &amp; "'!" &amp; J4402, J4402), "")</f>
        <v/>
      </c>
    </row>
    <row r="4403">
      <c r="B4403" s="21">
        <f>IF(AND(C4403&lt;&gt;"", J4403&lt;&gt;""), HYPERLINK("#'" &amp; C4403 &amp; "'!" &amp; J4403, J4403), "")</f>
        <v/>
      </c>
    </row>
    <row r="4404">
      <c r="B4404" s="21">
        <f>IF(AND(C4404&lt;&gt;"", J4404&lt;&gt;""), HYPERLINK("#'" &amp; C4404 &amp; "'!" &amp; J4404, J4404), "")</f>
        <v/>
      </c>
    </row>
    <row r="4405">
      <c r="B4405" s="21">
        <f>IF(AND(C4405&lt;&gt;"", J4405&lt;&gt;""), HYPERLINK("#'" &amp; C4405 &amp; "'!" &amp; J4405, J4405), "")</f>
        <v/>
      </c>
    </row>
    <row r="4406">
      <c r="B4406" s="21">
        <f>IF(AND(C4406&lt;&gt;"", J4406&lt;&gt;""), HYPERLINK("#'" &amp; C4406 &amp; "'!" &amp; J4406, J4406), "")</f>
        <v/>
      </c>
    </row>
    <row r="4407">
      <c r="B4407" s="21">
        <f>IF(AND(C4407&lt;&gt;"", J4407&lt;&gt;""), HYPERLINK("#'" &amp; C4407 &amp; "'!" &amp; J4407, J4407), "")</f>
        <v/>
      </c>
    </row>
    <row r="4408">
      <c r="B4408" s="21">
        <f>IF(AND(C4408&lt;&gt;"", J4408&lt;&gt;""), HYPERLINK("#'" &amp; C4408 &amp; "'!" &amp; J4408, J4408), "")</f>
        <v/>
      </c>
    </row>
    <row r="4409">
      <c r="B4409" s="21">
        <f>IF(AND(C4409&lt;&gt;"", J4409&lt;&gt;""), HYPERLINK("#'" &amp; C4409 &amp; "'!" &amp; J4409, J4409), "")</f>
        <v/>
      </c>
    </row>
    <row r="4410">
      <c r="B4410" s="21">
        <f>IF(AND(C4410&lt;&gt;"", J4410&lt;&gt;""), HYPERLINK("#'" &amp; C4410 &amp; "'!" &amp; J4410, J4410), "")</f>
        <v/>
      </c>
    </row>
    <row r="4411">
      <c r="B4411" s="21">
        <f>IF(AND(C4411&lt;&gt;"", J4411&lt;&gt;""), HYPERLINK("#'" &amp; C4411 &amp; "'!" &amp; J4411, J4411), "")</f>
        <v/>
      </c>
    </row>
    <row r="4412">
      <c r="B4412" s="21">
        <f>IF(AND(C4412&lt;&gt;"", J4412&lt;&gt;""), HYPERLINK("#'" &amp; C4412 &amp; "'!" &amp; J4412, J4412), "")</f>
        <v/>
      </c>
    </row>
    <row r="4413">
      <c r="B4413" s="21">
        <f>IF(AND(C4413&lt;&gt;"", J4413&lt;&gt;""), HYPERLINK("#'" &amp; C4413 &amp; "'!" &amp; J4413, J4413), "")</f>
        <v/>
      </c>
    </row>
    <row r="4414">
      <c r="B4414" s="21">
        <f>IF(AND(C4414&lt;&gt;"", J4414&lt;&gt;""), HYPERLINK("#'" &amp; C4414 &amp; "'!" &amp; J4414, J4414), "")</f>
        <v/>
      </c>
    </row>
    <row r="4415">
      <c r="B4415" s="21">
        <f>IF(AND(C4415&lt;&gt;"", J4415&lt;&gt;""), HYPERLINK("#'" &amp; C4415 &amp; "'!" &amp; J4415, J4415), "")</f>
        <v/>
      </c>
    </row>
    <row r="4416">
      <c r="B4416" s="21">
        <f>IF(AND(C4416&lt;&gt;"", J4416&lt;&gt;""), HYPERLINK("#'" &amp; C4416 &amp; "'!" &amp; J4416, J4416), "")</f>
        <v/>
      </c>
    </row>
    <row r="4417">
      <c r="B4417" s="21">
        <f>IF(AND(C4417&lt;&gt;"", J4417&lt;&gt;""), HYPERLINK("#'" &amp; C4417 &amp; "'!" &amp; J4417, J4417), "")</f>
        <v/>
      </c>
    </row>
    <row r="4418">
      <c r="B4418" s="21">
        <f>IF(AND(C4418&lt;&gt;"", J4418&lt;&gt;""), HYPERLINK("#'" &amp; C4418 &amp; "'!" &amp; J4418, J4418), "")</f>
        <v/>
      </c>
    </row>
    <row r="4419">
      <c r="B4419" s="21">
        <f>IF(AND(C4419&lt;&gt;"", J4419&lt;&gt;""), HYPERLINK("#'" &amp; C4419 &amp; "'!" &amp; J4419, J4419), "")</f>
        <v/>
      </c>
    </row>
    <row r="4420">
      <c r="B4420" s="21">
        <f>IF(AND(C4420&lt;&gt;"", J4420&lt;&gt;""), HYPERLINK("#'" &amp; C4420 &amp; "'!" &amp; J4420, J4420), "")</f>
        <v/>
      </c>
    </row>
    <row r="4421">
      <c r="B4421" s="21">
        <f>IF(AND(C4421&lt;&gt;"", J4421&lt;&gt;""), HYPERLINK("#'" &amp; C4421 &amp; "'!" &amp; J4421, J4421), "")</f>
        <v/>
      </c>
    </row>
    <row r="4422">
      <c r="B4422" s="21">
        <f>IF(AND(C4422&lt;&gt;"", J4422&lt;&gt;""), HYPERLINK("#'" &amp; C4422 &amp; "'!" &amp; J4422, J4422), "")</f>
        <v/>
      </c>
    </row>
    <row r="4423">
      <c r="B4423" s="21">
        <f>IF(AND(C4423&lt;&gt;"", J4423&lt;&gt;""), HYPERLINK("#'" &amp; C4423 &amp; "'!" &amp; J4423, J4423), "")</f>
        <v/>
      </c>
    </row>
    <row r="4424">
      <c r="B4424" s="21">
        <f>IF(AND(C4424&lt;&gt;"", J4424&lt;&gt;""), HYPERLINK("#'" &amp; C4424 &amp; "'!" &amp; J4424, J4424), "")</f>
        <v/>
      </c>
    </row>
    <row r="4425">
      <c r="B4425" s="21">
        <f>IF(AND(C4425&lt;&gt;"", J4425&lt;&gt;""), HYPERLINK("#'" &amp; C4425 &amp; "'!" &amp; J4425, J4425), "")</f>
        <v/>
      </c>
    </row>
    <row r="4426">
      <c r="B4426" s="21">
        <f>IF(AND(C4426&lt;&gt;"", J4426&lt;&gt;""), HYPERLINK("#'" &amp; C4426 &amp; "'!" &amp; J4426, J4426), "")</f>
        <v/>
      </c>
    </row>
    <row r="4427">
      <c r="B4427" s="21">
        <f>IF(AND(C4427&lt;&gt;"", J4427&lt;&gt;""), HYPERLINK("#'" &amp; C4427 &amp; "'!" &amp; J4427, J4427), "")</f>
        <v/>
      </c>
    </row>
    <row r="4428">
      <c r="B4428" s="21">
        <f>IF(AND(C4428&lt;&gt;"", J4428&lt;&gt;""), HYPERLINK("#'" &amp; C4428 &amp; "'!" &amp; J4428, J4428), "")</f>
        <v/>
      </c>
    </row>
    <row r="4429">
      <c r="B4429" s="21">
        <f>IF(AND(C4429&lt;&gt;"", J4429&lt;&gt;""), HYPERLINK("#'" &amp; C4429 &amp; "'!" &amp; J4429, J4429), "")</f>
        <v/>
      </c>
    </row>
    <row r="4430">
      <c r="B4430" s="21">
        <f>IF(AND(C4430&lt;&gt;"", J4430&lt;&gt;""), HYPERLINK("#'" &amp; C4430 &amp; "'!" &amp; J4430, J4430), "")</f>
        <v/>
      </c>
    </row>
    <row r="4431">
      <c r="B4431" s="21">
        <f>IF(AND(C4431&lt;&gt;"", J4431&lt;&gt;""), HYPERLINK("#'" &amp; C4431 &amp; "'!" &amp; J4431, J4431), "")</f>
        <v/>
      </c>
    </row>
    <row r="4432">
      <c r="B4432" s="21">
        <f>IF(AND(C4432&lt;&gt;"", J4432&lt;&gt;""), HYPERLINK("#'" &amp; C4432 &amp; "'!" &amp; J4432, J4432), "")</f>
        <v/>
      </c>
    </row>
    <row r="4433">
      <c r="B4433" s="21">
        <f>IF(AND(C4433&lt;&gt;"", J4433&lt;&gt;""), HYPERLINK("#'" &amp; C4433 &amp; "'!" &amp; J4433, J4433), "")</f>
        <v/>
      </c>
    </row>
    <row r="4434">
      <c r="B4434" s="21">
        <f>IF(AND(C4434&lt;&gt;"", J4434&lt;&gt;""), HYPERLINK("#'" &amp; C4434 &amp; "'!" &amp; J4434, J4434), "")</f>
        <v/>
      </c>
    </row>
    <row r="4435">
      <c r="B4435" s="21">
        <f>IF(AND(C4435&lt;&gt;"", J4435&lt;&gt;""), HYPERLINK("#'" &amp; C4435 &amp; "'!" &amp; J4435, J4435), "")</f>
        <v/>
      </c>
    </row>
    <row r="4436">
      <c r="B4436" s="21">
        <f>IF(AND(C4436&lt;&gt;"", J4436&lt;&gt;""), HYPERLINK("#'" &amp; C4436 &amp; "'!" &amp; J4436, J4436), "")</f>
        <v/>
      </c>
    </row>
    <row r="4437">
      <c r="B4437" s="21">
        <f>IF(AND(C4437&lt;&gt;"", J4437&lt;&gt;""), HYPERLINK("#'" &amp; C4437 &amp; "'!" &amp; J4437, J4437), "")</f>
        <v/>
      </c>
    </row>
    <row r="4438">
      <c r="B4438" s="21">
        <f>IF(AND(C4438&lt;&gt;"", J4438&lt;&gt;""), HYPERLINK("#'" &amp; C4438 &amp; "'!" &amp; J4438, J4438), "")</f>
        <v/>
      </c>
    </row>
    <row r="4439">
      <c r="B4439" s="21">
        <f>IF(AND(C4439&lt;&gt;"", J4439&lt;&gt;""), HYPERLINK("#'" &amp; C4439 &amp; "'!" &amp; J4439, J4439), "")</f>
        <v/>
      </c>
    </row>
    <row r="4440">
      <c r="B4440" s="21">
        <f>IF(AND(C4440&lt;&gt;"", J4440&lt;&gt;""), HYPERLINK("#'" &amp; C4440 &amp; "'!" &amp; J4440, J4440), "")</f>
        <v/>
      </c>
    </row>
    <row r="4441">
      <c r="B4441" s="21">
        <f>IF(AND(C4441&lt;&gt;"", J4441&lt;&gt;""), HYPERLINK("#'" &amp; C4441 &amp; "'!" &amp; J4441, J4441), "")</f>
        <v/>
      </c>
    </row>
    <row r="4442">
      <c r="B4442" s="21">
        <f>IF(AND(C4442&lt;&gt;"", J4442&lt;&gt;""), HYPERLINK("#'" &amp; C4442 &amp; "'!" &amp; J4442, J4442), "")</f>
        <v/>
      </c>
    </row>
    <row r="4443">
      <c r="B4443" s="21">
        <f>IF(AND(C4443&lt;&gt;"", J4443&lt;&gt;""), HYPERLINK("#'" &amp; C4443 &amp; "'!" &amp; J4443, J4443), "")</f>
        <v/>
      </c>
    </row>
    <row r="4444">
      <c r="B4444" s="21">
        <f>IF(AND(C4444&lt;&gt;"", J4444&lt;&gt;""), HYPERLINK("#'" &amp; C4444 &amp; "'!" &amp; J4444, J4444), "")</f>
        <v/>
      </c>
    </row>
    <row r="4445">
      <c r="B4445" s="21">
        <f>IF(AND(C4445&lt;&gt;"", J4445&lt;&gt;""), HYPERLINK("#'" &amp; C4445 &amp; "'!" &amp; J4445, J4445), "")</f>
        <v/>
      </c>
    </row>
    <row r="4446">
      <c r="B4446" s="21">
        <f>IF(AND(C4446&lt;&gt;"", J4446&lt;&gt;""), HYPERLINK("#'" &amp; C4446 &amp; "'!" &amp; J4446, J4446), "")</f>
        <v/>
      </c>
    </row>
    <row r="4447">
      <c r="B4447" s="21">
        <f>IF(AND(C4447&lt;&gt;"", J4447&lt;&gt;""), HYPERLINK("#'" &amp; C4447 &amp; "'!" &amp; J4447, J4447), "")</f>
        <v/>
      </c>
    </row>
    <row r="4448">
      <c r="B4448" s="21">
        <f>IF(AND(C4448&lt;&gt;"", J4448&lt;&gt;""), HYPERLINK("#'" &amp; C4448 &amp; "'!" &amp; J4448, J4448), "")</f>
        <v/>
      </c>
    </row>
    <row r="4449">
      <c r="B4449" s="21">
        <f>IF(AND(C4449&lt;&gt;"", J4449&lt;&gt;""), HYPERLINK("#'" &amp; C4449 &amp; "'!" &amp; J4449, J4449), "")</f>
        <v/>
      </c>
    </row>
    <row r="4450">
      <c r="B4450" s="21">
        <f>IF(AND(C4450&lt;&gt;"", J4450&lt;&gt;""), HYPERLINK("#'" &amp; C4450 &amp; "'!" &amp; J4450, J4450), "")</f>
        <v/>
      </c>
    </row>
    <row r="4451">
      <c r="B4451" s="21">
        <f>IF(AND(C4451&lt;&gt;"", J4451&lt;&gt;""), HYPERLINK("#'" &amp; C4451 &amp; "'!" &amp; J4451, J4451), "")</f>
        <v/>
      </c>
    </row>
    <row r="4452">
      <c r="B4452" s="21">
        <f>IF(AND(C4452&lt;&gt;"", J4452&lt;&gt;""), HYPERLINK("#'" &amp; C4452 &amp; "'!" &amp; J4452, J4452), "")</f>
        <v/>
      </c>
    </row>
    <row r="4453">
      <c r="B4453" s="21">
        <f>IF(AND(C4453&lt;&gt;"", J4453&lt;&gt;""), HYPERLINK("#'" &amp; C4453 &amp; "'!" &amp; J4453, J4453), "")</f>
        <v/>
      </c>
    </row>
    <row r="4454">
      <c r="B4454" s="21">
        <f>IF(AND(C4454&lt;&gt;"", J4454&lt;&gt;""), HYPERLINK("#'" &amp; C4454 &amp; "'!" &amp; J4454, J4454), "")</f>
        <v/>
      </c>
    </row>
    <row r="4455">
      <c r="B4455" s="21">
        <f>IF(AND(C4455&lt;&gt;"", J4455&lt;&gt;""), HYPERLINK("#'" &amp; C4455 &amp; "'!" &amp; J4455, J4455), "")</f>
        <v/>
      </c>
    </row>
    <row r="4456">
      <c r="B4456" s="21">
        <f>IF(AND(C4456&lt;&gt;"", J4456&lt;&gt;""), HYPERLINK("#'" &amp; C4456 &amp; "'!" &amp; J4456, J4456), "")</f>
        <v/>
      </c>
    </row>
    <row r="4457">
      <c r="B4457" s="21">
        <f>IF(AND(C4457&lt;&gt;"", J4457&lt;&gt;""), HYPERLINK("#'" &amp; C4457 &amp; "'!" &amp; J4457, J4457), "")</f>
        <v/>
      </c>
    </row>
    <row r="4458">
      <c r="B4458" s="21">
        <f>IF(AND(C4458&lt;&gt;"", J4458&lt;&gt;""), HYPERLINK("#'" &amp; C4458 &amp; "'!" &amp; J4458, J4458), "")</f>
        <v/>
      </c>
    </row>
    <row r="4459">
      <c r="B4459" s="21">
        <f>IF(AND(C4459&lt;&gt;"", J4459&lt;&gt;""), HYPERLINK("#'" &amp; C4459 &amp; "'!" &amp; J4459, J4459), "")</f>
        <v/>
      </c>
    </row>
    <row r="4460">
      <c r="B4460" s="21">
        <f>IF(AND(C4460&lt;&gt;"", J4460&lt;&gt;""), HYPERLINK("#'" &amp; C4460 &amp; "'!" &amp; J4460, J4460), "")</f>
        <v/>
      </c>
    </row>
    <row r="4461">
      <c r="B4461" s="21">
        <f>IF(AND(C4461&lt;&gt;"", J4461&lt;&gt;""), HYPERLINK("#'" &amp; C4461 &amp; "'!" &amp; J4461, J4461), "")</f>
        <v/>
      </c>
    </row>
    <row r="4462">
      <c r="B4462" s="21">
        <f>IF(AND(C4462&lt;&gt;"", J4462&lt;&gt;""), HYPERLINK("#'" &amp; C4462 &amp; "'!" &amp; J4462, J4462), "")</f>
        <v/>
      </c>
    </row>
    <row r="4463">
      <c r="B4463" s="21">
        <f>IF(AND(C4463&lt;&gt;"", J4463&lt;&gt;""), HYPERLINK("#'" &amp; C4463 &amp; "'!" &amp; J4463, J4463), "")</f>
        <v/>
      </c>
    </row>
    <row r="4464">
      <c r="B4464" s="21">
        <f>IF(AND(C4464&lt;&gt;"", J4464&lt;&gt;""), HYPERLINK("#'" &amp; C4464 &amp; "'!" &amp; J4464, J4464), "")</f>
        <v/>
      </c>
    </row>
    <row r="4465">
      <c r="B4465" s="21">
        <f>IF(AND(C4465&lt;&gt;"", J4465&lt;&gt;""), HYPERLINK("#'" &amp; C4465 &amp; "'!" &amp; J4465, J4465), "")</f>
        <v/>
      </c>
    </row>
    <row r="4466">
      <c r="B4466" s="21">
        <f>IF(AND(C4466&lt;&gt;"", J4466&lt;&gt;""), HYPERLINK("#'" &amp; C4466 &amp; "'!" &amp; J4466, J4466), "")</f>
        <v/>
      </c>
    </row>
    <row r="4467">
      <c r="B4467" s="21">
        <f>IF(AND(C4467&lt;&gt;"", J4467&lt;&gt;""), HYPERLINK("#'" &amp; C4467 &amp; "'!" &amp; J4467, J4467), "")</f>
        <v/>
      </c>
    </row>
    <row r="4468">
      <c r="B4468" s="21">
        <f>IF(AND(C4468&lt;&gt;"", J4468&lt;&gt;""), HYPERLINK("#'" &amp; C4468 &amp; "'!" &amp; J4468, J4468), "")</f>
        <v/>
      </c>
    </row>
    <row r="4469">
      <c r="B4469" s="21">
        <f>IF(AND(C4469&lt;&gt;"", J4469&lt;&gt;""), HYPERLINK("#'" &amp; C4469 &amp; "'!" &amp; J4469, J4469), "")</f>
        <v/>
      </c>
    </row>
    <row r="4470">
      <c r="B4470" s="21">
        <f>IF(AND(C4470&lt;&gt;"", J4470&lt;&gt;""), HYPERLINK("#'" &amp; C4470 &amp; "'!" &amp; J4470, J4470), "")</f>
        <v/>
      </c>
    </row>
    <row r="4471">
      <c r="B4471" s="21">
        <f>IF(AND(C4471&lt;&gt;"", J4471&lt;&gt;""), HYPERLINK("#'" &amp; C4471 &amp; "'!" &amp; J4471, J4471), "")</f>
        <v/>
      </c>
    </row>
    <row r="4472">
      <c r="B4472" s="21">
        <f>IF(AND(C4472&lt;&gt;"", J4472&lt;&gt;""), HYPERLINK("#'" &amp; C4472 &amp; "'!" &amp; J4472, J4472), "")</f>
        <v/>
      </c>
    </row>
    <row r="4473">
      <c r="B4473" s="21">
        <f>IF(AND(C4473&lt;&gt;"", J4473&lt;&gt;""), HYPERLINK("#'" &amp; C4473 &amp; "'!" &amp; J4473, J4473), "")</f>
        <v/>
      </c>
    </row>
    <row r="4474">
      <c r="B4474" s="21">
        <f>IF(AND(C4474&lt;&gt;"", J4474&lt;&gt;""), HYPERLINK("#'" &amp; C4474 &amp; "'!" &amp; J4474, J4474), "")</f>
        <v/>
      </c>
    </row>
    <row r="4475">
      <c r="B4475" s="21">
        <f>IF(AND(C4475&lt;&gt;"", J4475&lt;&gt;""), HYPERLINK("#'" &amp; C4475 &amp; "'!" &amp; J4475, J4475), "")</f>
        <v/>
      </c>
    </row>
    <row r="4476">
      <c r="B4476" s="21">
        <f>IF(AND(C4476&lt;&gt;"", J4476&lt;&gt;""), HYPERLINK("#'" &amp; C4476 &amp; "'!" &amp; J4476, J4476), "")</f>
        <v/>
      </c>
    </row>
    <row r="4477">
      <c r="B4477" s="21">
        <f>IF(AND(C4477&lt;&gt;"", J4477&lt;&gt;""), HYPERLINK("#'" &amp; C4477 &amp; "'!" &amp; J4477, J4477), "")</f>
        <v/>
      </c>
    </row>
    <row r="4478">
      <c r="B4478" s="21">
        <f>IF(AND(C4478&lt;&gt;"", J4478&lt;&gt;""), HYPERLINK("#'" &amp; C4478 &amp; "'!" &amp; J4478, J4478), "")</f>
        <v/>
      </c>
    </row>
    <row r="4479">
      <c r="B4479" s="21">
        <f>IF(AND(C4479&lt;&gt;"", J4479&lt;&gt;""), HYPERLINK("#'" &amp; C4479 &amp; "'!" &amp; J4479, J4479), "")</f>
        <v/>
      </c>
    </row>
    <row r="4480">
      <c r="B4480" s="21">
        <f>IF(AND(C4480&lt;&gt;"", J4480&lt;&gt;""), HYPERLINK("#'" &amp; C4480 &amp; "'!" &amp; J4480, J4480), "")</f>
        <v/>
      </c>
    </row>
    <row r="4481">
      <c r="B4481" s="21">
        <f>IF(AND(C4481&lt;&gt;"", J4481&lt;&gt;""), HYPERLINK("#'" &amp; C4481 &amp; "'!" &amp; J4481, J4481), "")</f>
        <v/>
      </c>
    </row>
    <row r="4482">
      <c r="B4482" s="21">
        <f>IF(AND(C4482&lt;&gt;"", J4482&lt;&gt;""), HYPERLINK("#'" &amp; C4482 &amp; "'!" &amp; J4482, J4482), "")</f>
        <v/>
      </c>
    </row>
    <row r="4483">
      <c r="B4483" s="21">
        <f>IF(AND(C4483&lt;&gt;"", J4483&lt;&gt;""), HYPERLINK("#'" &amp; C4483 &amp; "'!" &amp; J4483, J4483), "")</f>
        <v/>
      </c>
    </row>
    <row r="4484">
      <c r="B4484" s="21">
        <f>IF(AND(C4484&lt;&gt;"", J4484&lt;&gt;""), HYPERLINK("#'" &amp; C4484 &amp; "'!" &amp; J4484, J4484), "")</f>
        <v/>
      </c>
    </row>
    <row r="4485">
      <c r="B4485" s="21">
        <f>IF(AND(C4485&lt;&gt;"", J4485&lt;&gt;""), HYPERLINK("#'" &amp; C4485 &amp; "'!" &amp; J4485, J4485), "")</f>
        <v/>
      </c>
    </row>
    <row r="4486">
      <c r="B4486" s="21">
        <f>IF(AND(C4486&lt;&gt;"", J4486&lt;&gt;""), HYPERLINK("#'" &amp; C4486 &amp; "'!" &amp; J4486, J4486), "")</f>
        <v/>
      </c>
    </row>
    <row r="4487">
      <c r="B4487" s="21">
        <f>IF(AND(C4487&lt;&gt;"", J4487&lt;&gt;""), HYPERLINK("#'" &amp; C4487 &amp; "'!" &amp; J4487, J4487), "")</f>
        <v/>
      </c>
    </row>
    <row r="4488">
      <c r="B4488" s="21">
        <f>IF(AND(C4488&lt;&gt;"", J4488&lt;&gt;""), HYPERLINK("#'" &amp; C4488 &amp; "'!" &amp; J4488, J4488), "")</f>
        <v/>
      </c>
    </row>
    <row r="4489">
      <c r="B4489" s="21">
        <f>IF(AND(C4489&lt;&gt;"", J4489&lt;&gt;""), HYPERLINK("#'" &amp; C4489 &amp; "'!" &amp; J4489, J4489), "")</f>
        <v/>
      </c>
    </row>
    <row r="4490">
      <c r="B4490" s="21">
        <f>IF(AND(C4490&lt;&gt;"", J4490&lt;&gt;""), HYPERLINK("#'" &amp; C4490 &amp; "'!" &amp; J4490, J4490), "")</f>
        <v/>
      </c>
    </row>
    <row r="4491">
      <c r="B4491" s="21">
        <f>IF(AND(C4491&lt;&gt;"", J4491&lt;&gt;""), HYPERLINK("#'" &amp; C4491 &amp; "'!" &amp; J4491, J4491), "")</f>
        <v/>
      </c>
    </row>
    <row r="4492">
      <c r="B4492" s="21">
        <f>IF(AND(C4492&lt;&gt;"", J4492&lt;&gt;""), HYPERLINK("#'" &amp; C4492 &amp; "'!" &amp; J4492, J4492), "")</f>
        <v/>
      </c>
    </row>
    <row r="4493">
      <c r="B4493" s="21">
        <f>IF(AND(C4493&lt;&gt;"", J4493&lt;&gt;""), HYPERLINK("#'" &amp; C4493 &amp; "'!" &amp; J4493, J4493), "")</f>
        <v/>
      </c>
    </row>
    <row r="4494">
      <c r="B4494" s="21">
        <f>IF(AND(C4494&lt;&gt;"", J4494&lt;&gt;""), HYPERLINK("#'" &amp; C4494 &amp; "'!" &amp; J4494, J4494), "")</f>
        <v/>
      </c>
    </row>
    <row r="4495">
      <c r="B4495" s="21">
        <f>IF(AND(C4495&lt;&gt;"", J4495&lt;&gt;""), HYPERLINK("#'" &amp; C4495 &amp; "'!" &amp; J4495, J4495), "")</f>
        <v/>
      </c>
    </row>
    <row r="4496">
      <c r="B4496" s="21">
        <f>IF(AND(C4496&lt;&gt;"", J4496&lt;&gt;""), HYPERLINK("#'" &amp; C4496 &amp; "'!" &amp; J4496, J4496), "")</f>
        <v/>
      </c>
    </row>
    <row r="4497">
      <c r="B4497" s="21">
        <f>IF(AND(C4497&lt;&gt;"", J4497&lt;&gt;""), HYPERLINK("#'" &amp; C4497 &amp; "'!" &amp; J4497, J4497), "")</f>
        <v/>
      </c>
    </row>
    <row r="4498">
      <c r="B4498" s="21">
        <f>IF(AND(C4498&lt;&gt;"", J4498&lt;&gt;""), HYPERLINK("#'" &amp; C4498 &amp; "'!" &amp; J4498, J4498), "")</f>
        <v/>
      </c>
    </row>
    <row r="4499">
      <c r="B4499" s="21">
        <f>IF(AND(C4499&lt;&gt;"", J4499&lt;&gt;""), HYPERLINK("#'" &amp; C4499 &amp; "'!" &amp; J4499, J4499), "")</f>
        <v/>
      </c>
    </row>
    <row r="4500">
      <c r="B4500" s="21">
        <f>IF(AND(C4500&lt;&gt;"", J4500&lt;&gt;""), HYPERLINK("#'" &amp; C4500 &amp; "'!" &amp; J4500, J4500), "")</f>
        <v/>
      </c>
    </row>
    <row r="4501">
      <c r="B4501" s="21">
        <f>IF(AND(C4501&lt;&gt;"", J4501&lt;&gt;""), HYPERLINK("#'" &amp; C4501 &amp; "'!" &amp; J4501, J4501), "")</f>
        <v/>
      </c>
    </row>
    <row r="4502">
      <c r="B4502" s="21">
        <f>IF(AND(C4502&lt;&gt;"", J4502&lt;&gt;""), HYPERLINK("#'" &amp; C4502 &amp; "'!" &amp; J4502, J4502), "")</f>
        <v/>
      </c>
    </row>
    <row r="4503">
      <c r="B4503" s="21">
        <f>IF(AND(C4503&lt;&gt;"", J4503&lt;&gt;""), HYPERLINK("#'" &amp; C4503 &amp; "'!" &amp; J4503, J4503), "")</f>
        <v/>
      </c>
    </row>
    <row r="4504">
      <c r="B4504" s="21">
        <f>IF(AND(C4504&lt;&gt;"", J4504&lt;&gt;""), HYPERLINK("#'" &amp; C4504 &amp; "'!" &amp; J4504, J4504), "")</f>
        <v/>
      </c>
    </row>
    <row r="4505">
      <c r="B4505" s="21">
        <f>IF(AND(C4505&lt;&gt;"", J4505&lt;&gt;""), HYPERLINK("#'" &amp; C4505 &amp; "'!" &amp; J4505, J4505), "")</f>
        <v/>
      </c>
    </row>
    <row r="4506">
      <c r="B4506" s="21">
        <f>IF(AND(C4506&lt;&gt;"", J4506&lt;&gt;""), HYPERLINK("#'" &amp; C4506 &amp; "'!" &amp; J4506, J4506), "")</f>
        <v/>
      </c>
    </row>
    <row r="4507">
      <c r="B4507" s="21">
        <f>IF(AND(C4507&lt;&gt;"", J4507&lt;&gt;""), HYPERLINK("#'" &amp; C4507 &amp; "'!" &amp; J4507, J4507), "")</f>
        <v/>
      </c>
    </row>
    <row r="4508">
      <c r="B4508" s="21">
        <f>IF(AND(C4508&lt;&gt;"", J4508&lt;&gt;""), HYPERLINK("#'" &amp; C4508 &amp; "'!" &amp; J4508, J4508), "")</f>
        <v/>
      </c>
    </row>
    <row r="4509">
      <c r="B4509" s="21">
        <f>IF(AND(C4509&lt;&gt;"", J4509&lt;&gt;""), HYPERLINK("#'" &amp; C4509 &amp; "'!" &amp; J4509, J4509), "")</f>
        <v/>
      </c>
    </row>
    <row r="4510">
      <c r="B4510" s="21">
        <f>IF(AND(C4510&lt;&gt;"", J4510&lt;&gt;""), HYPERLINK("#'" &amp; C4510 &amp; "'!" &amp; J4510, J4510), "")</f>
        <v/>
      </c>
    </row>
    <row r="4511">
      <c r="B4511" s="21">
        <f>IF(AND(C4511&lt;&gt;"", J4511&lt;&gt;""), HYPERLINK("#'" &amp; C4511 &amp; "'!" &amp; J4511, J4511), "")</f>
        <v/>
      </c>
    </row>
    <row r="4512">
      <c r="B4512" s="21">
        <f>IF(AND(C4512&lt;&gt;"", J4512&lt;&gt;""), HYPERLINK("#'" &amp; C4512 &amp; "'!" &amp; J4512, J4512), "")</f>
        <v/>
      </c>
    </row>
    <row r="4513">
      <c r="B4513" s="21">
        <f>IF(AND(C4513&lt;&gt;"", J4513&lt;&gt;""), HYPERLINK("#'" &amp; C4513 &amp; "'!" &amp; J4513, J4513), "")</f>
        <v/>
      </c>
    </row>
    <row r="4514">
      <c r="B4514" s="21">
        <f>IF(AND(C4514&lt;&gt;"", J4514&lt;&gt;""), HYPERLINK("#'" &amp; C4514 &amp; "'!" &amp; J4514, J4514), "")</f>
        <v/>
      </c>
    </row>
    <row r="4515">
      <c r="B4515" s="21">
        <f>IF(AND(C4515&lt;&gt;"", J4515&lt;&gt;""), HYPERLINK("#'" &amp; C4515 &amp; "'!" &amp; J4515, J4515), "")</f>
        <v/>
      </c>
    </row>
    <row r="4516">
      <c r="B4516" s="21">
        <f>IF(AND(C4516&lt;&gt;"", J4516&lt;&gt;""), HYPERLINK("#'" &amp; C4516 &amp; "'!" &amp; J4516, J4516), "")</f>
        <v/>
      </c>
    </row>
    <row r="4517">
      <c r="B4517" s="21">
        <f>IF(AND(C4517&lt;&gt;"", J4517&lt;&gt;""), HYPERLINK("#'" &amp; C4517 &amp; "'!" &amp; J4517, J4517), "")</f>
        <v/>
      </c>
    </row>
    <row r="4518">
      <c r="B4518" s="21">
        <f>IF(AND(C4518&lt;&gt;"", J4518&lt;&gt;""), HYPERLINK("#'" &amp; C4518 &amp; "'!" &amp; J4518, J4518), "")</f>
        <v/>
      </c>
    </row>
    <row r="4519">
      <c r="B4519" s="21">
        <f>IF(AND(C4519&lt;&gt;"", J4519&lt;&gt;""), HYPERLINK("#'" &amp; C4519 &amp; "'!" &amp; J4519, J4519), "")</f>
        <v/>
      </c>
    </row>
    <row r="4520">
      <c r="B4520" s="21">
        <f>IF(AND(C4520&lt;&gt;"", J4520&lt;&gt;""), HYPERLINK("#'" &amp; C4520 &amp; "'!" &amp; J4520, J4520), "")</f>
        <v/>
      </c>
    </row>
    <row r="4521">
      <c r="B4521" s="21">
        <f>IF(AND(C4521&lt;&gt;"", J4521&lt;&gt;""), HYPERLINK("#'" &amp; C4521 &amp; "'!" &amp; J4521, J4521), "")</f>
        <v/>
      </c>
    </row>
    <row r="4522">
      <c r="B4522" s="21">
        <f>IF(AND(C4522&lt;&gt;"", J4522&lt;&gt;""), HYPERLINK("#'" &amp; C4522 &amp; "'!" &amp; J4522, J4522), "")</f>
        <v/>
      </c>
    </row>
    <row r="4523">
      <c r="B4523" s="21">
        <f>IF(AND(C4523&lt;&gt;"", J4523&lt;&gt;""), HYPERLINK("#'" &amp; C4523 &amp; "'!" &amp; J4523, J4523), "")</f>
        <v/>
      </c>
    </row>
    <row r="4524">
      <c r="B4524" s="21">
        <f>IF(AND(C4524&lt;&gt;"", J4524&lt;&gt;""), HYPERLINK("#'" &amp; C4524 &amp; "'!" &amp; J4524, J4524), "")</f>
        <v/>
      </c>
    </row>
    <row r="4525">
      <c r="B4525" s="21">
        <f>IF(AND(C4525&lt;&gt;"", J4525&lt;&gt;""), HYPERLINK("#'" &amp; C4525 &amp; "'!" &amp; J4525, J4525), "")</f>
        <v/>
      </c>
    </row>
    <row r="4526">
      <c r="B4526" s="21">
        <f>IF(AND(C4526&lt;&gt;"", J4526&lt;&gt;""), HYPERLINK("#'" &amp; C4526 &amp; "'!" &amp; J4526, J4526), "")</f>
        <v/>
      </c>
    </row>
    <row r="4527">
      <c r="B4527" s="21">
        <f>IF(AND(C4527&lt;&gt;"", J4527&lt;&gt;""), HYPERLINK("#'" &amp; C4527 &amp; "'!" &amp; J4527, J4527), "")</f>
        <v/>
      </c>
    </row>
    <row r="4528">
      <c r="B4528" s="21">
        <f>IF(AND(C4528&lt;&gt;"", J4528&lt;&gt;""), HYPERLINK("#'" &amp; C4528 &amp; "'!" &amp; J4528, J4528), "")</f>
        <v/>
      </c>
    </row>
    <row r="4529">
      <c r="B4529" s="21">
        <f>IF(AND(C4529&lt;&gt;"", J4529&lt;&gt;""), HYPERLINK("#'" &amp; C4529 &amp; "'!" &amp; J4529, J4529), "")</f>
        <v/>
      </c>
    </row>
    <row r="4530">
      <c r="B4530" s="21">
        <f>IF(AND(C4530&lt;&gt;"", J4530&lt;&gt;""), HYPERLINK("#'" &amp; C4530 &amp; "'!" &amp; J4530, J4530), "")</f>
        <v/>
      </c>
    </row>
    <row r="4531">
      <c r="B4531" s="21">
        <f>IF(AND(C4531&lt;&gt;"", J4531&lt;&gt;""), HYPERLINK("#'" &amp; C4531 &amp; "'!" &amp; J4531, J4531), "")</f>
        <v/>
      </c>
    </row>
    <row r="4532">
      <c r="B4532" s="21">
        <f>IF(AND(C4532&lt;&gt;"", J4532&lt;&gt;""), HYPERLINK("#'" &amp; C4532 &amp; "'!" &amp; J4532, J4532), "")</f>
        <v/>
      </c>
    </row>
    <row r="4533">
      <c r="B4533" s="21">
        <f>IF(AND(C4533&lt;&gt;"", J4533&lt;&gt;""), HYPERLINK("#'" &amp; C4533 &amp; "'!" &amp; J4533, J4533), "")</f>
        <v/>
      </c>
    </row>
    <row r="4534">
      <c r="B4534" s="21">
        <f>IF(AND(C4534&lt;&gt;"", J4534&lt;&gt;""), HYPERLINK("#'" &amp; C4534 &amp; "'!" &amp; J4534, J4534), "")</f>
        <v/>
      </c>
    </row>
    <row r="4535">
      <c r="B4535" s="21">
        <f>IF(AND(C4535&lt;&gt;"", J4535&lt;&gt;""), HYPERLINK("#'" &amp; C4535 &amp; "'!" &amp; J4535, J4535), "")</f>
        <v/>
      </c>
    </row>
    <row r="4536">
      <c r="B4536" s="21">
        <f>IF(AND(C4536&lt;&gt;"", J4536&lt;&gt;""), HYPERLINK("#'" &amp; C4536 &amp; "'!" &amp; J4536, J4536), "")</f>
        <v/>
      </c>
    </row>
    <row r="4537">
      <c r="B4537" s="21">
        <f>IF(AND(C4537&lt;&gt;"", J4537&lt;&gt;""), HYPERLINK("#'" &amp; C4537 &amp; "'!" &amp; J4537, J4537), "")</f>
        <v/>
      </c>
    </row>
    <row r="4538">
      <c r="B4538" s="21">
        <f>IF(AND(C4538&lt;&gt;"", J4538&lt;&gt;""), HYPERLINK("#'" &amp; C4538 &amp; "'!" &amp; J4538, J4538), "")</f>
        <v/>
      </c>
    </row>
    <row r="4539">
      <c r="B4539" s="21">
        <f>IF(AND(C4539&lt;&gt;"", J4539&lt;&gt;""), HYPERLINK("#'" &amp; C4539 &amp; "'!" &amp; J4539, J4539), "")</f>
        <v/>
      </c>
    </row>
    <row r="4540">
      <c r="B4540" s="21">
        <f>IF(AND(C4540&lt;&gt;"", J4540&lt;&gt;""), HYPERLINK("#'" &amp; C4540 &amp; "'!" &amp; J4540, J4540), "")</f>
        <v/>
      </c>
    </row>
    <row r="4541">
      <c r="B4541" s="21">
        <f>IF(AND(C4541&lt;&gt;"", J4541&lt;&gt;""), HYPERLINK("#'" &amp; C4541 &amp; "'!" &amp; J4541, J4541), "")</f>
        <v/>
      </c>
    </row>
    <row r="4542">
      <c r="B4542" s="21">
        <f>IF(AND(C4542&lt;&gt;"", J4542&lt;&gt;""), HYPERLINK("#'" &amp; C4542 &amp; "'!" &amp; J4542, J4542), "")</f>
        <v/>
      </c>
    </row>
    <row r="4543">
      <c r="B4543" s="21">
        <f>IF(AND(C4543&lt;&gt;"", J4543&lt;&gt;""), HYPERLINK("#'" &amp; C4543 &amp; "'!" &amp; J4543, J4543), "")</f>
        <v/>
      </c>
    </row>
    <row r="4544">
      <c r="B4544" s="21">
        <f>IF(AND(C4544&lt;&gt;"", J4544&lt;&gt;""), HYPERLINK("#'" &amp; C4544 &amp; "'!" &amp; J4544, J4544), "")</f>
        <v/>
      </c>
    </row>
    <row r="4545">
      <c r="B4545" s="21">
        <f>IF(AND(C4545&lt;&gt;"", J4545&lt;&gt;""), HYPERLINK("#'" &amp; C4545 &amp; "'!" &amp; J4545, J4545), "")</f>
        <v/>
      </c>
    </row>
    <row r="4546">
      <c r="B4546" s="21">
        <f>IF(AND(C4546&lt;&gt;"", J4546&lt;&gt;""), HYPERLINK("#'" &amp; C4546 &amp; "'!" &amp; J4546, J4546), "")</f>
        <v/>
      </c>
    </row>
    <row r="4547">
      <c r="B4547" s="21">
        <f>IF(AND(C4547&lt;&gt;"", J4547&lt;&gt;""), HYPERLINK("#'" &amp; C4547 &amp; "'!" &amp; J4547, J4547), "")</f>
        <v/>
      </c>
    </row>
    <row r="4548">
      <c r="B4548" s="21">
        <f>IF(AND(C4548&lt;&gt;"", J4548&lt;&gt;""), HYPERLINK("#'" &amp; C4548 &amp; "'!" &amp; J4548, J4548), "")</f>
        <v/>
      </c>
    </row>
    <row r="4549">
      <c r="B4549" s="21">
        <f>IF(AND(C4549&lt;&gt;"", J4549&lt;&gt;""), HYPERLINK("#'" &amp; C4549 &amp; "'!" &amp; J4549, J4549), "")</f>
        <v/>
      </c>
    </row>
    <row r="4550">
      <c r="B4550" s="21">
        <f>IF(AND(C4550&lt;&gt;"", J4550&lt;&gt;""), HYPERLINK("#'" &amp; C4550 &amp; "'!" &amp; J4550, J4550), "")</f>
        <v/>
      </c>
    </row>
    <row r="4551">
      <c r="B4551" s="21">
        <f>IF(AND(C4551&lt;&gt;"", J4551&lt;&gt;""), HYPERLINK("#'" &amp; C4551 &amp; "'!" &amp; J4551, J4551), "")</f>
        <v/>
      </c>
    </row>
    <row r="4552">
      <c r="B4552" s="21">
        <f>IF(AND(C4552&lt;&gt;"", J4552&lt;&gt;""), HYPERLINK("#'" &amp; C4552 &amp; "'!" &amp; J4552, J4552), "")</f>
        <v/>
      </c>
    </row>
    <row r="4553">
      <c r="B4553" s="21">
        <f>IF(AND(C4553&lt;&gt;"", J4553&lt;&gt;""), HYPERLINK("#'" &amp; C4553 &amp; "'!" &amp; J4553, J4553), "")</f>
        <v/>
      </c>
    </row>
    <row r="4554">
      <c r="B4554" s="21">
        <f>IF(AND(C4554&lt;&gt;"", J4554&lt;&gt;""), HYPERLINK("#'" &amp; C4554 &amp; "'!" &amp; J4554, J4554), "")</f>
        <v/>
      </c>
    </row>
    <row r="4555">
      <c r="B4555" s="21">
        <f>IF(AND(C4555&lt;&gt;"", J4555&lt;&gt;""), HYPERLINK("#'" &amp; C4555 &amp; "'!" &amp; J4555, J4555), "")</f>
        <v/>
      </c>
    </row>
    <row r="4556">
      <c r="B4556" s="21">
        <f>IF(AND(C4556&lt;&gt;"", J4556&lt;&gt;""), HYPERLINK("#'" &amp; C4556 &amp; "'!" &amp; J4556, J4556), "")</f>
        <v/>
      </c>
    </row>
    <row r="4557">
      <c r="B4557" s="21">
        <f>IF(AND(C4557&lt;&gt;"", J4557&lt;&gt;""), HYPERLINK("#'" &amp; C4557 &amp; "'!" &amp; J4557, J4557), "")</f>
        <v/>
      </c>
    </row>
    <row r="4558">
      <c r="B4558" s="21">
        <f>IF(AND(C4558&lt;&gt;"", J4558&lt;&gt;""), HYPERLINK("#'" &amp; C4558 &amp; "'!" &amp; J4558, J4558), "")</f>
        <v/>
      </c>
    </row>
    <row r="4559">
      <c r="B4559" s="21">
        <f>IF(AND(C4559&lt;&gt;"", J4559&lt;&gt;""), HYPERLINK("#'" &amp; C4559 &amp; "'!" &amp; J4559, J4559), "")</f>
        <v/>
      </c>
    </row>
    <row r="4560">
      <c r="B4560" s="21">
        <f>IF(AND(C4560&lt;&gt;"", J4560&lt;&gt;""), HYPERLINK("#'" &amp; C4560 &amp; "'!" &amp; J4560, J4560), "")</f>
        <v/>
      </c>
    </row>
    <row r="4561">
      <c r="B4561" s="21">
        <f>IF(AND(C4561&lt;&gt;"", J4561&lt;&gt;""), HYPERLINK("#'" &amp; C4561 &amp; "'!" &amp; J4561, J4561), "")</f>
        <v/>
      </c>
    </row>
    <row r="4562">
      <c r="B4562" s="21">
        <f>IF(AND(C4562&lt;&gt;"", J4562&lt;&gt;""), HYPERLINK("#'" &amp; C4562 &amp; "'!" &amp; J4562, J4562), "")</f>
        <v/>
      </c>
    </row>
    <row r="4563">
      <c r="B4563" s="21">
        <f>IF(AND(C4563&lt;&gt;"", J4563&lt;&gt;""), HYPERLINK("#'" &amp; C4563 &amp; "'!" &amp; J4563, J4563), "")</f>
        <v/>
      </c>
    </row>
    <row r="4564">
      <c r="B4564" s="21">
        <f>IF(AND(C4564&lt;&gt;"", J4564&lt;&gt;""), HYPERLINK("#'" &amp; C4564 &amp; "'!" &amp; J4564, J4564), "")</f>
        <v/>
      </c>
    </row>
    <row r="4565">
      <c r="B4565" s="21">
        <f>IF(AND(C4565&lt;&gt;"", J4565&lt;&gt;""), HYPERLINK("#'" &amp; C4565 &amp; "'!" &amp; J4565, J4565), "")</f>
        <v/>
      </c>
    </row>
    <row r="4566">
      <c r="B4566" s="21">
        <f>IF(AND(C4566&lt;&gt;"", J4566&lt;&gt;""), HYPERLINK("#'" &amp; C4566 &amp; "'!" &amp; J4566, J4566), "")</f>
        <v/>
      </c>
    </row>
    <row r="4567">
      <c r="B4567" s="21">
        <f>IF(AND(C4567&lt;&gt;"", J4567&lt;&gt;""), HYPERLINK("#'" &amp; C4567 &amp; "'!" &amp; J4567, J4567), "")</f>
        <v/>
      </c>
    </row>
    <row r="4568">
      <c r="B4568" s="21">
        <f>IF(AND(C4568&lt;&gt;"", J4568&lt;&gt;""), HYPERLINK("#'" &amp; C4568 &amp; "'!" &amp; J4568, J4568), "")</f>
        <v/>
      </c>
    </row>
    <row r="4569">
      <c r="B4569" s="21">
        <f>IF(AND(C4569&lt;&gt;"", J4569&lt;&gt;""), HYPERLINK("#'" &amp; C4569 &amp; "'!" &amp; J4569, J4569), "")</f>
        <v/>
      </c>
    </row>
    <row r="4570">
      <c r="B4570" s="21">
        <f>IF(AND(C4570&lt;&gt;"", J4570&lt;&gt;""), HYPERLINK("#'" &amp; C4570 &amp; "'!" &amp; J4570, J4570), "")</f>
        <v/>
      </c>
    </row>
    <row r="4571">
      <c r="B4571" s="21">
        <f>IF(AND(C4571&lt;&gt;"", J4571&lt;&gt;""), HYPERLINK("#'" &amp; C4571 &amp; "'!" &amp; J4571, J4571), "")</f>
        <v/>
      </c>
    </row>
    <row r="4572">
      <c r="B4572" s="21">
        <f>IF(AND(C4572&lt;&gt;"", J4572&lt;&gt;""), HYPERLINK("#'" &amp; C4572 &amp; "'!" &amp; J4572, J4572), "")</f>
        <v/>
      </c>
    </row>
    <row r="4573">
      <c r="B4573" s="21">
        <f>IF(AND(C4573&lt;&gt;"", J4573&lt;&gt;""), HYPERLINK("#'" &amp; C4573 &amp; "'!" &amp; J4573, J4573), "")</f>
        <v/>
      </c>
    </row>
    <row r="4574">
      <c r="B4574" s="21">
        <f>IF(AND(C4574&lt;&gt;"", J4574&lt;&gt;""), HYPERLINK("#'" &amp; C4574 &amp; "'!" &amp; J4574, J4574), "")</f>
        <v/>
      </c>
    </row>
    <row r="4575">
      <c r="B4575" s="21">
        <f>IF(AND(C4575&lt;&gt;"", J4575&lt;&gt;""), HYPERLINK("#'" &amp; C4575 &amp; "'!" &amp; J4575, J4575), "")</f>
        <v/>
      </c>
    </row>
    <row r="4576">
      <c r="B4576" s="21">
        <f>IF(AND(C4576&lt;&gt;"", J4576&lt;&gt;""), HYPERLINK("#'" &amp; C4576 &amp; "'!" &amp; J4576, J4576), "")</f>
        <v/>
      </c>
    </row>
    <row r="4577">
      <c r="B4577" s="21">
        <f>IF(AND(C4577&lt;&gt;"", J4577&lt;&gt;""), HYPERLINK("#'" &amp; C4577 &amp; "'!" &amp; J4577, J4577), "")</f>
        <v/>
      </c>
    </row>
    <row r="4578">
      <c r="B4578" s="21">
        <f>IF(AND(C4578&lt;&gt;"", J4578&lt;&gt;""), HYPERLINK("#'" &amp; C4578 &amp; "'!" &amp; J4578, J4578), "")</f>
        <v/>
      </c>
    </row>
    <row r="4579">
      <c r="B4579" s="21">
        <f>IF(AND(C4579&lt;&gt;"", J4579&lt;&gt;""), HYPERLINK("#'" &amp; C4579 &amp; "'!" &amp; J4579, J4579), "")</f>
        <v/>
      </c>
    </row>
    <row r="4580">
      <c r="B4580" s="21">
        <f>IF(AND(C4580&lt;&gt;"", J4580&lt;&gt;""), HYPERLINK("#'" &amp; C4580 &amp; "'!" &amp; J4580, J4580), "")</f>
        <v/>
      </c>
    </row>
    <row r="4581">
      <c r="B4581" s="21">
        <f>IF(AND(C4581&lt;&gt;"", J4581&lt;&gt;""), HYPERLINK("#'" &amp; C4581 &amp; "'!" &amp; J4581, J4581), "")</f>
        <v/>
      </c>
    </row>
    <row r="4582">
      <c r="B4582" s="21">
        <f>IF(AND(C4582&lt;&gt;"", J4582&lt;&gt;""), HYPERLINK("#'" &amp; C4582 &amp; "'!" &amp; J4582, J4582), "")</f>
        <v/>
      </c>
    </row>
    <row r="4583">
      <c r="B4583" s="21">
        <f>IF(AND(C4583&lt;&gt;"", J4583&lt;&gt;""), HYPERLINK("#'" &amp; C4583 &amp; "'!" &amp; J4583, J4583), "")</f>
        <v/>
      </c>
    </row>
    <row r="4584">
      <c r="B4584" s="21">
        <f>IF(AND(C4584&lt;&gt;"", J4584&lt;&gt;""), HYPERLINK("#'" &amp; C4584 &amp; "'!" &amp; J4584, J4584), "")</f>
        <v/>
      </c>
    </row>
    <row r="4585">
      <c r="B4585" s="21">
        <f>IF(AND(C4585&lt;&gt;"", J4585&lt;&gt;""), HYPERLINK("#'" &amp; C4585 &amp; "'!" &amp; J4585, J4585), "")</f>
        <v/>
      </c>
    </row>
    <row r="4586">
      <c r="B4586" s="21">
        <f>IF(AND(C4586&lt;&gt;"", J4586&lt;&gt;""), HYPERLINK("#'" &amp; C4586 &amp; "'!" &amp; J4586, J4586), "")</f>
        <v/>
      </c>
    </row>
    <row r="4587">
      <c r="B4587" s="21">
        <f>IF(AND(C4587&lt;&gt;"", J4587&lt;&gt;""), HYPERLINK("#'" &amp; C4587 &amp; "'!" &amp; J4587, J4587), "")</f>
        <v/>
      </c>
    </row>
    <row r="4588">
      <c r="B4588" s="21">
        <f>IF(AND(C4588&lt;&gt;"", J4588&lt;&gt;""), HYPERLINK("#'" &amp; C4588 &amp; "'!" &amp; J4588, J4588), "")</f>
        <v/>
      </c>
    </row>
    <row r="4589">
      <c r="B4589" s="21">
        <f>IF(AND(C4589&lt;&gt;"", J4589&lt;&gt;""), HYPERLINK("#'" &amp; C4589 &amp; "'!" &amp; J4589, J4589), "")</f>
        <v/>
      </c>
    </row>
    <row r="4590">
      <c r="B4590" s="21">
        <f>IF(AND(C4590&lt;&gt;"", J4590&lt;&gt;""), HYPERLINK("#'" &amp; C4590 &amp; "'!" &amp; J4590, J4590), "")</f>
        <v/>
      </c>
    </row>
    <row r="4591">
      <c r="B4591" s="21">
        <f>IF(AND(C4591&lt;&gt;"", J4591&lt;&gt;""), HYPERLINK("#'" &amp; C4591 &amp; "'!" &amp; J4591, J4591), "")</f>
        <v/>
      </c>
    </row>
    <row r="4592">
      <c r="B4592" s="21">
        <f>IF(AND(C4592&lt;&gt;"", J4592&lt;&gt;""), HYPERLINK("#'" &amp; C4592 &amp; "'!" &amp; J4592, J4592), "")</f>
        <v/>
      </c>
    </row>
    <row r="4593">
      <c r="B4593" s="21">
        <f>IF(AND(C4593&lt;&gt;"", J4593&lt;&gt;""), HYPERLINK("#'" &amp; C4593 &amp; "'!" &amp; J4593, J4593), "")</f>
        <v/>
      </c>
    </row>
    <row r="4594">
      <c r="B4594" s="21">
        <f>IF(AND(C4594&lt;&gt;"", J4594&lt;&gt;""), HYPERLINK("#'" &amp; C4594 &amp; "'!" &amp; J4594, J4594), "")</f>
        <v/>
      </c>
    </row>
    <row r="4595">
      <c r="B4595" s="21">
        <f>IF(AND(C4595&lt;&gt;"", J4595&lt;&gt;""), HYPERLINK("#'" &amp; C4595 &amp; "'!" &amp; J4595, J4595), "")</f>
        <v/>
      </c>
    </row>
    <row r="4596">
      <c r="B4596" s="21">
        <f>IF(AND(C4596&lt;&gt;"", J4596&lt;&gt;""), HYPERLINK("#'" &amp; C4596 &amp; "'!" &amp; J4596, J4596), "")</f>
        <v/>
      </c>
    </row>
    <row r="4597">
      <c r="B4597" s="21">
        <f>IF(AND(C4597&lt;&gt;"", J4597&lt;&gt;""), HYPERLINK("#'" &amp; C4597 &amp; "'!" &amp; J4597, J4597), "")</f>
        <v/>
      </c>
    </row>
    <row r="4598">
      <c r="B4598" s="21">
        <f>IF(AND(C4598&lt;&gt;"", J4598&lt;&gt;""), HYPERLINK("#'" &amp; C4598 &amp; "'!" &amp; J4598, J4598), "")</f>
        <v/>
      </c>
    </row>
    <row r="4599">
      <c r="B4599" s="21">
        <f>IF(AND(C4599&lt;&gt;"", J4599&lt;&gt;""), HYPERLINK("#'" &amp; C4599 &amp; "'!" &amp; J4599, J4599), "")</f>
        <v/>
      </c>
    </row>
    <row r="4600">
      <c r="B4600" s="21">
        <f>IF(AND(C4600&lt;&gt;"", J4600&lt;&gt;""), HYPERLINK("#'" &amp; C4600 &amp; "'!" &amp; J4600, J4600), "")</f>
        <v/>
      </c>
    </row>
    <row r="4601">
      <c r="B4601" s="21">
        <f>IF(AND(C4601&lt;&gt;"", J4601&lt;&gt;""), HYPERLINK("#'" &amp; C4601 &amp; "'!" &amp; J4601, J4601), "")</f>
        <v/>
      </c>
    </row>
    <row r="4602">
      <c r="B4602" s="21">
        <f>IF(AND(C4602&lt;&gt;"", J4602&lt;&gt;""), HYPERLINK("#'" &amp; C4602 &amp; "'!" &amp; J4602, J4602), "")</f>
        <v/>
      </c>
    </row>
    <row r="4603">
      <c r="B4603" s="21">
        <f>IF(AND(C4603&lt;&gt;"", J4603&lt;&gt;""), HYPERLINK("#'" &amp; C4603 &amp; "'!" &amp; J4603, J4603), "")</f>
        <v/>
      </c>
    </row>
    <row r="4604">
      <c r="B4604" s="21">
        <f>IF(AND(C4604&lt;&gt;"", J4604&lt;&gt;""), HYPERLINK("#'" &amp; C4604 &amp; "'!" &amp; J4604, J4604), "")</f>
        <v/>
      </c>
    </row>
    <row r="4605">
      <c r="B4605" s="21">
        <f>IF(AND(C4605&lt;&gt;"", J4605&lt;&gt;""), HYPERLINK("#'" &amp; C4605 &amp; "'!" &amp; J4605, J4605), "")</f>
        <v/>
      </c>
    </row>
    <row r="4606">
      <c r="B4606" s="21">
        <f>IF(AND(C4606&lt;&gt;"", J4606&lt;&gt;""), HYPERLINK("#'" &amp; C4606 &amp; "'!" &amp; J4606, J4606), "")</f>
        <v/>
      </c>
    </row>
    <row r="4607">
      <c r="B4607" s="21">
        <f>IF(AND(C4607&lt;&gt;"", J4607&lt;&gt;""), HYPERLINK("#'" &amp; C4607 &amp; "'!" &amp; J4607, J4607), "")</f>
        <v/>
      </c>
    </row>
    <row r="4608">
      <c r="B4608" s="21">
        <f>IF(AND(C4608&lt;&gt;"", J4608&lt;&gt;""), HYPERLINK("#'" &amp; C4608 &amp; "'!" &amp; J4608, J4608), "")</f>
        <v/>
      </c>
    </row>
    <row r="4609">
      <c r="B4609" s="21">
        <f>IF(AND(C4609&lt;&gt;"", J4609&lt;&gt;""), HYPERLINK("#'" &amp; C4609 &amp; "'!" &amp; J4609, J4609), "")</f>
        <v/>
      </c>
    </row>
    <row r="4610">
      <c r="B4610" s="21">
        <f>IF(AND(C4610&lt;&gt;"", J4610&lt;&gt;""), HYPERLINK("#'" &amp; C4610 &amp; "'!" &amp; J4610, J4610), "")</f>
        <v/>
      </c>
    </row>
    <row r="4611">
      <c r="B4611" s="21">
        <f>IF(AND(C4611&lt;&gt;"", J4611&lt;&gt;""), HYPERLINK("#'" &amp; C4611 &amp; "'!" &amp; J4611, J4611), "")</f>
        <v/>
      </c>
    </row>
    <row r="4612">
      <c r="B4612" s="21">
        <f>IF(AND(C4612&lt;&gt;"", J4612&lt;&gt;""), HYPERLINK("#'" &amp; C4612 &amp; "'!" &amp; J4612, J4612), "")</f>
        <v/>
      </c>
    </row>
    <row r="4613">
      <c r="B4613" s="21">
        <f>IF(AND(C4613&lt;&gt;"", J4613&lt;&gt;""), HYPERLINK("#'" &amp; C4613 &amp; "'!" &amp; J4613, J4613), "")</f>
        <v/>
      </c>
    </row>
    <row r="4614">
      <c r="B4614" s="21">
        <f>IF(AND(C4614&lt;&gt;"", J4614&lt;&gt;""), HYPERLINK("#'" &amp; C4614 &amp; "'!" &amp; J4614, J4614), "")</f>
        <v/>
      </c>
    </row>
    <row r="4615">
      <c r="B4615" s="21">
        <f>IF(AND(C4615&lt;&gt;"", J4615&lt;&gt;""), HYPERLINK("#'" &amp; C4615 &amp; "'!" &amp; J4615, J4615), "")</f>
        <v/>
      </c>
    </row>
    <row r="4616">
      <c r="B4616" s="21">
        <f>IF(AND(C4616&lt;&gt;"", J4616&lt;&gt;""), HYPERLINK("#'" &amp; C4616 &amp; "'!" &amp; J4616, J4616), "")</f>
        <v/>
      </c>
    </row>
    <row r="4617">
      <c r="B4617" s="21">
        <f>IF(AND(C4617&lt;&gt;"", J4617&lt;&gt;""), HYPERLINK("#'" &amp; C4617 &amp; "'!" &amp; J4617, J4617), "")</f>
        <v/>
      </c>
    </row>
    <row r="4618">
      <c r="B4618" s="21">
        <f>IF(AND(C4618&lt;&gt;"", J4618&lt;&gt;""), HYPERLINK("#'" &amp; C4618 &amp; "'!" &amp; J4618, J4618), "")</f>
        <v/>
      </c>
    </row>
    <row r="4619">
      <c r="B4619" s="21">
        <f>IF(AND(C4619&lt;&gt;"", J4619&lt;&gt;""), HYPERLINK("#'" &amp; C4619 &amp; "'!" &amp; J4619, J4619), "")</f>
        <v/>
      </c>
    </row>
    <row r="4620">
      <c r="B4620" s="21">
        <f>IF(AND(C4620&lt;&gt;"", J4620&lt;&gt;""), HYPERLINK("#'" &amp; C4620 &amp; "'!" &amp; J4620, J4620), "")</f>
        <v/>
      </c>
    </row>
    <row r="4621">
      <c r="B4621" s="21">
        <f>IF(AND(C4621&lt;&gt;"", J4621&lt;&gt;""), HYPERLINK("#'" &amp; C4621 &amp; "'!" &amp; J4621, J4621), "")</f>
        <v/>
      </c>
    </row>
    <row r="4622">
      <c r="B4622" s="21">
        <f>IF(AND(C4622&lt;&gt;"", J4622&lt;&gt;""), HYPERLINK("#'" &amp; C4622 &amp; "'!" &amp; J4622, J4622), "")</f>
        <v/>
      </c>
    </row>
    <row r="4623">
      <c r="B4623" s="21">
        <f>IF(AND(C4623&lt;&gt;"", J4623&lt;&gt;""), HYPERLINK("#'" &amp; C4623 &amp; "'!" &amp; J4623, J4623), "")</f>
        <v/>
      </c>
    </row>
    <row r="4624">
      <c r="B4624" s="21">
        <f>IF(AND(C4624&lt;&gt;"", J4624&lt;&gt;""), HYPERLINK("#'" &amp; C4624 &amp; "'!" &amp; J4624, J4624), "")</f>
        <v/>
      </c>
    </row>
    <row r="4625">
      <c r="B4625" s="21">
        <f>IF(AND(C4625&lt;&gt;"", J4625&lt;&gt;""), HYPERLINK("#'" &amp; C4625 &amp; "'!" &amp; J4625, J4625), "")</f>
        <v/>
      </c>
    </row>
    <row r="4626">
      <c r="B4626" s="21">
        <f>IF(AND(C4626&lt;&gt;"", J4626&lt;&gt;""), HYPERLINK("#'" &amp; C4626 &amp; "'!" &amp; J4626, J4626), "")</f>
        <v/>
      </c>
    </row>
    <row r="4627">
      <c r="B4627" s="21">
        <f>IF(AND(C4627&lt;&gt;"", J4627&lt;&gt;""), HYPERLINK("#'" &amp; C4627 &amp; "'!" &amp; J4627, J4627), "")</f>
        <v/>
      </c>
    </row>
    <row r="4628">
      <c r="B4628" s="21">
        <f>IF(AND(C4628&lt;&gt;"", J4628&lt;&gt;""), HYPERLINK("#'" &amp; C4628 &amp; "'!" &amp; J4628, J4628), "")</f>
        <v/>
      </c>
    </row>
    <row r="4629">
      <c r="B4629" s="21">
        <f>IF(AND(C4629&lt;&gt;"", J4629&lt;&gt;""), HYPERLINK("#'" &amp; C4629 &amp; "'!" &amp; J4629, J4629), "")</f>
        <v/>
      </c>
    </row>
    <row r="4630">
      <c r="B4630" s="21">
        <f>IF(AND(C4630&lt;&gt;"", J4630&lt;&gt;""), HYPERLINK("#'" &amp; C4630 &amp; "'!" &amp; J4630, J4630), "")</f>
        <v/>
      </c>
    </row>
    <row r="4631">
      <c r="B4631" s="21">
        <f>IF(AND(C4631&lt;&gt;"", J4631&lt;&gt;""), HYPERLINK("#'" &amp; C4631 &amp; "'!" &amp; J4631, J4631), "")</f>
        <v/>
      </c>
    </row>
    <row r="4632">
      <c r="B4632" s="21">
        <f>IF(AND(C4632&lt;&gt;"", J4632&lt;&gt;""), HYPERLINK("#'" &amp; C4632 &amp; "'!" &amp; J4632, J4632), "")</f>
        <v/>
      </c>
    </row>
    <row r="4633">
      <c r="B4633" s="21">
        <f>IF(AND(C4633&lt;&gt;"", J4633&lt;&gt;""), HYPERLINK("#'" &amp; C4633 &amp; "'!" &amp; J4633, J4633), "")</f>
        <v/>
      </c>
    </row>
    <row r="4634">
      <c r="B4634" s="21">
        <f>IF(AND(C4634&lt;&gt;"", J4634&lt;&gt;""), HYPERLINK("#'" &amp; C4634 &amp; "'!" &amp; J4634, J4634), "")</f>
        <v/>
      </c>
    </row>
    <row r="4635">
      <c r="B4635" s="21">
        <f>IF(AND(C4635&lt;&gt;"", J4635&lt;&gt;""), HYPERLINK("#'" &amp; C4635 &amp; "'!" &amp; J4635, J4635), "")</f>
        <v/>
      </c>
    </row>
    <row r="4636">
      <c r="B4636" s="21">
        <f>IF(AND(C4636&lt;&gt;"", J4636&lt;&gt;""), HYPERLINK("#'" &amp; C4636 &amp; "'!" &amp; J4636, J4636), "")</f>
        <v/>
      </c>
    </row>
    <row r="4637">
      <c r="B4637" s="21">
        <f>IF(AND(C4637&lt;&gt;"", J4637&lt;&gt;""), HYPERLINK("#'" &amp; C4637 &amp; "'!" &amp; J4637, J4637), "")</f>
        <v/>
      </c>
    </row>
    <row r="4638">
      <c r="B4638" s="21">
        <f>IF(AND(C4638&lt;&gt;"", J4638&lt;&gt;""), HYPERLINK("#'" &amp; C4638 &amp; "'!" &amp; J4638, J4638), "")</f>
        <v/>
      </c>
    </row>
    <row r="4639">
      <c r="B4639" s="21">
        <f>IF(AND(C4639&lt;&gt;"", J4639&lt;&gt;""), HYPERLINK("#'" &amp; C4639 &amp; "'!" &amp; J4639, J4639), "")</f>
        <v/>
      </c>
    </row>
    <row r="4640">
      <c r="B4640" s="21">
        <f>IF(AND(C4640&lt;&gt;"", J4640&lt;&gt;""), HYPERLINK("#'" &amp; C4640 &amp; "'!" &amp; J4640, J4640), "")</f>
        <v/>
      </c>
    </row>
    <row r="4641">
      <c r="B4641" s="21">
        <f>IF(AND(C4641&lt;&gt;"", J4641&lt;&gt;""), HYPERLINK("#'" &amp; C4641 &amp; "'!" &amp; J4641, J4641), "")</f>
        <v/>
      </c>
    </row>
    <row r="4642">
      <c r="B4642" s="21">
        <f>IF(AND(C4642&lt;&gt;"", J4642&lt;&gt;""), HYPERLINK("#'" &amp; C4642 &amp; "'!" &amp; J4642, J4642), "")</f>
        <v/>
      </c>
    </row>
    <row r="4643">
      <c r="B4643" s="21">
        <f>IF(AND(C4643&lt;&gt;"", J4643&lt;&gt;""), HYPERLINK("#'" &amp; C4643 &amp; "'!" &amp; J4643, J4643), "")</f>
        <v/>
      </c>
    </row>
    <row r="4644">
      <c r="B4644" s="21">
        <f>IF(AND(C4644&lt;&gt;"", J4644&lt;&gt;""), HYPERLINK("#'" &amp; C4644 &amp; "'!" &amp; J4644, J4644), "")</f>
        <v/>
      </c>
    </row>
    <row r="4645">
      <c r="B4645" s="21">
        <f>IF(AND(C4645&lt;&gt;"", J4645&lt;&gt;""), HYPERLINK("#'" &amp; C4645 &amp; "'!" &amp; J4645, J4645), "")</f>
        <v/>
      </c>
    </row>
    <row r="4646">
      <c r="B4646" s="21">
        <f>IF(AND(C4646&lt;&gt;"", J4646&lt;&gt;""), HYPERLINK("#'" &amp; C4646 &amp; "'!" &amp; J4646, J4646), "")</f>
        <v/>
      </c>
    </row>
    <row r="4647">
      <c r="B4647" s="21">
        <f>IF(AND(C4647&lt;&gt;"", J4647&lt;&gt;""), HYPERLINK("#'" &amp; C4647 &amp; "'!" &amp; J4647, J4647), "")</f>
        <v/>
      </c>
    </row>
    <row r="4648">
      <c r="B4648" s="21">
        <f>IF(AND(C4648&lt;&gt;"", J4648&lt;&gt;""), HYPERLINK("#'" &amp; C4648 &amp; "'!" &amp; J4648, J4648), "")</f>
        <v/>
      </c>
    </row>
    <row r="4649">
      <c r="B4649" s="21">
        <f>IF(AND(C4649&lt;&gt;"", J4649&lt;&gt;""), HYPERLINK("#'" &amp; C4649 &amp; "'!" &amp; J4649, J4649), "")</f>
        <v/>
      </c>
    </row>
    <row r="4650">
      <c r="B4650" s="21">
        <f>IF(AND(C4650&lt;&gt;"", J4650&lt;&gt;""), HYPERLINK("#'" &amp; C4650 &amp; "'!" &amp; J4650, J4650), "")</f>
        <v/>
      </c>
    </row>
    <row r="4651">
      <c r="B4651" s="21">
        <f>IF(AND(C4651&lt;&gt;"", J4651&lt;&gt;""), HYPERLINK("#'" &amp; C4651 &amp; "'!" &amp; J4651, J4651), "")</f>
        <v/>
      </c>
    </row>
    <row r="4652">
      <c r="B4652" s="21">
        <f>IF(AND(C4652&lt;&gt;"", J4652&lt;&gt;""), HYPERLINK("#'" &amp; C4652 &amp; "'!" &amp; J4652, J4652), "")</f>
        <v/>
      </c>
    </row>
    <row r="4653">
      <c r="B4653" s="21">
        <f>IF(AND(C4653&lt;&gt;"", J4653&lt;&gt;""), HYPERLINK("#'" &amp; C4653 &amp; "'!" &amp; J4653, J4653), "")</f>
        <v/>
      </c>
    </row>
    <row r="4654">
      <c r="B4654" s="21">
        <f>IF(AND(C4654&lt;&gt;"", J4654&lt;&gt;""), HYPERLINK("#'" &amp; C4654 &amp; "'!" &amp; J4654, J4654), "")</f>
        <v/>
      </c>
    </row>
    <row r="4655">
      <c r="B4655" s="21">
        <f>IF(AND(C4655&lt;&gt;"", J4655&lt;&gt;""), HYPERLINK("#'" &amp; C4655 &amp; "'!" &amp; J4655, J4655), "")</f>
        <v/>
      </c>
    </row>
    <row r="4656">
      <c r="B4656" s="21">
        <f>IF(AND(C4656&lt;&gt;"", J4656&lt;&gt;""), HYPERLINK("#'" &amp; C4656 &amp; "'!" &amp; J4656, J4656), "")</f>
        <v/>
      </c>
    </row>
    <row r="4657">
      <c r="B4657" s="21">
        <f>IF(AND(C4657&lt;&gt;"", J4657&lt;&gt;""), HYPERLINK("#'" &amp; C4657 &amp; "'!" &amp; J4657, J4657), "")</f>
        <v/>
      </c>
    </row>
    <row r="4658">
      <c r="B4658" s="21">
        <f>IF(AND(C4658&lt;&gt;"", J4658&lt;&gt;""), HYPERLINK("#'" &amp; C4658 &amp; "'!" &amp; J4658, J4658), "")</f>
        <v/>
      </c>
    </row>
    <row r="4659">
      <c r="B4659" s="21">
        <f>IF(AND(C4659&lt;&gt;"", J4659&lt;&gt;""), HYPERLINK("#'" &amp; C4659 &amp; "'!" &amp; J4659, J4659), "")</f>
        <v/>
      </c>
    </row>
    <row r="4660">
      <c r="B4660" s="21">
        <f>IF(AND(C4660&lt;&gt;"", J4660&lt;&gt;""), HYPERLINK("#'" &amp; C4660 &amp; "'!" &amp; J4660, J4660), "")</f>
        <v/>
      </c>
    </row>
    <row r="4661">
      <c r="B4661" s="21">
        <f>IF(AND(C4661&lt;&gt;"", J4661&lt;&gt;""), HYPERLINK("#'" &amp; C4661 &amp; "'!" &amp; J4661, J4661), "")</f>
        <v/>
      </c>
    </row>
    <row r="4662">
      <c r="B4662" s="21">
        <f>IF(AND(C4662&lt;&gt;"", J4662&lt;&gt;""), HYPERLINK("#'" &amp; C4662 &amp; "'!" &amp; J4662, J4662), "")</f>
        <v/>
      </c>
    </row>
    <row r="4663">
      <c r="B4663" s="21">
        <f>IF(AND(C4663&lt;&gt;"", J4663&lt;&gt;""), HYPERLINK("#'" &amp; C4663 &amp; "'!" &amp; J4663, J4663), "")</f>
        <v/>
      </c>
    </row>
    <row r="4664">
      <c r="B4664" s="21">
        <f>IF(AND(C4664&lt;&gt;"", J4664&lt;&gt;""), HYPERLINK("#'" &amp; C4664 &amp; "'!" &amp; J4664, J4664), "")</f>
        <v/>
      </c>
    </row>
    <row r="4665">
      <c r="B4665" s="21">
        <f>IF(AND(C4665&lt;&gt;"", J4665&lt;&gt;""), HYPERLINK("#'" &amp; C4665 &amp; "'!" &amp; J4665, J4665), "")</f>
        <v/>
      </c>
    </row>
    <row r="4666">
      <c r="B4666" s="21">
        <f>IF(AND(C4666&lt;&gt;"", J4666&lt;&gt;""), HYPERLINK("#'" &amp; C4666 &amp; "'!" &amp; J4666, J4666), "")</f>
        <v/>
      </c>
    </row>
    <row r="4667">
      <c r="B4667" s="21">
        <f>IF(AND(C4667&lt;&gt;"", J4667&lt;&gt;""), HYPERLINK("#'" &amp; C4667 &amp; "'!" &amp; J4667, J4667), "")</f>
        <v/>
      </c>
    </row>
    <row r="4668">
      <c r="B4668" s="21">
        <f>IF(AND(C4668&lt;&gt;"", J4668&lt;&gt;""), HYPERLINK("#'" &amp; C4668 &amp; "'!" &amp; J4668, J4668), "")</f>
        <v/>
      </c>
    </row>
    <row r="4669">
      <c r="B4669" s="21">
        <f>IF(AND(C4669&lt;&gt;"", J4669&lt;&gt;""), HYPERLINK("#'" &amp; C4669 &amp; "'!" &amp; J4669, J4669), "")</f>
        <v/>
      </c>
    </row>
    <row r="4670">
      <c r="B4670" s="21">
        <f>IF(AND(C4670&lt;&gt;"", J4670&lt;&gt;""), HYPERLINK("#'" &amp; C4670 &amp; "'!" &amp; J4670, J4670), "")</f>
        <v/>
      </c>
    </row>
    <row r="4671">
      <c r="B4671" s="21">
        <f>IF(AND(C4671&lt;&gt;"", J4671&lt;&gt;""), HYPERLINK("#'" &amp; C4671 &amp; "'!" &amp; J4671, J4671), "")</f>
        <v/>
      </c>
    </row>
    <row r="4672">
      <c r="B4672" s="21">
        <f>IF(AND(C4672&lt;&gt;"", J4672&lt;&gt;""), HYPERLINK("#'" &amp; C4672 &amp; "'!" &amp; J4672, J4672), "")</f>
        <v/>
      </c>
    </row>
    <row r="4673">
      <c r="B4673" s="21">
        <f>IF(AND(C4673&lt;&gt;"", J4673&lt;&gt;""), HYPERLINK("#'" &amp; C4673 &amp; "'!" &amp; J4673, J4673), "")</f>
        <v/>
      </c>
    </row>
    <row r="4674">
      <c r="B4674" s="21">
        <f>IF(AND(C4674&lt;&gt;"", J4674&lt;&gt;""), HYPERLINK("#'" &amp; C4674 &amp; "'!" &amp; J4674, J4674), "")</f>
        <v/>
      </c>
    </row>
    <row r="4675">
      <c r="B4675" s="21">
        <f>IF(AND(C4675&lt;&gt;"", J4675&lt;&gt;""), HYPERLINK("#'" &amp; C4675 &amp; "'!" &amp; J4675, J4675), "")</f>
        <v/>
      </c>
    </row>
    <row r="4676">
      <c r="B4676" s="21">
        <f>IF(AND(C4676&lt;&gt;"", J4676&lt;&gt;""), HYPERLINK("#'" &amp; C4676 &amp; "'!" &amp; J4676, J4676), "")</f>
        <v/>
      </c>
    </row>
    <row r="4677">
      <c r="B4677" s="21">
        <f>IF(AND(C4677&lt;&gt;"", J4677&lt;&gt;""), HYPERLINK("#'" &amp; C4677 &amp; "'!" &amp; J4677, J4677), "")</f>
        <v/>
      </c>
    </row>
    <row r="4678">
      <c r="B4678" s="21">
        <f>IF(AND(C4678&lt;&gt;"", J4678&lt;&gt;""), HYPERLINK("#'" &amp; C4678 &amp; "'!" &amp; J4678, J4678), "")</f>
        <v/>
      </c>
    </row>
    <row r="4679">
      <c r="B4679" s="21">
        <f>IF(AND(C4679&lt;&gt;"", J4679&lt;&gt;""), HYPERLINK("#'" &amp; C4679 &amp; "'!" &amp; J4679, J4679), "")</f>
        <v/>
      </c>
    </row>
    <row r="4680">
      <c r="B4680" s="21">
        <f>IF(AND(C4680&lt;&gt;"", J4680&lt;&gt;""), HYPERLINK("#'" &amp; C4680 &amp; "'!" &amp; J4680, J4680), "")</f>
        <v/>
      </c>
    </row>
    <row r="4681">
      <c r="B4681" s="21">
        <f>IF(AND(C4681&lt;&gt;"", J4681&lt;&gt;""), HYPERLINK("#'" &amp; C4681 &amp; "'!" &amp; J4681, J4681), "")</f>
        <v/>
      </c>
    </row>
    <row r="4682">
      <c r="B4682" s="21">
        <f>IF(AND(C4682&lt;&gt;"", J4682&lt;&gt;""), HYPERLINK("#'" &amp; C4682 &amp; "'!" &amp; J4682, J4682), "")</f>
        <v/>
      </c>
    </row>
    <row r="4683">
      <c r="B4683" s="21">
        <f>IF(AND(C4683&lt;&gt;"", J4683&lt;&gt;""), HYPERLINK("#'" &amp; C4683 &amp; "'!" &amp; J4683, J4683), "")</f>
        <v/>
      </c>
    </row>
    <row r="4684">
      <c r="B4684" s="21">
        <f>IF(AND(C4684&lt;&gt;"", J4684&lt;&gt;""), HYPERLINK("#'" &amp; C4684 &amp; "'!" &amp; J4684, J4684), "")</f>
        <v/>
      </c>
    </row>
    <row r="4685">
      <c r="B4685" s="21">
        <f>IF(AND(C4685&lt;&gt;"", J4685&lt;&gt;""), HYPERLINK("#'" &amp; C4685 &amp; "'!" &amp; J4685, J4685), "")</f>
        <v/>
      </c>
    </row>
    <row r="4686">
      <c r="B4686" s="21">
        <f>IF(AND(C4686&lt;&gt;"", J4686&lt;&gt;""), HYPERLINK("#'" &amp; C4686 &amp; "'!" &amp; J4686, J4686), "")</f>
        <v/>
      </c>
    </row>
    <row r="4687">
      <c r="B4687" s="21">
        <f>IF(AND(C4687&lt;&gt;"", J4687&lt;&gt;""), HYPERLINK("#'" &amp; C4687 &amp; "'!" &amp; J4687, J4687), "")</f>
        <v/>
      </c>
    </row>
    <row r="4688">
      <c r="B4688" s="21">
        <f>IF(AND(C4688&lt;&gt;"", J4688&lt;&gt;""), HYPERLINK("#'" &amp; C4688 &amp; "'!" &amp; J4688, J4688), "")</f>
        <v/>
      </c>
    </row>
    <row r="4689">
      <c r="B4689" s="21">
        <f>IF(AND(C4689&lt;&gt;"", J4689&lt;&gt;""), HYPERLINK("#'" &amp; C4689 &amp; "'!" &amp; J4689, J4689), "")</f>
        <v/>
      </c>
    </row>
    <row r="4690">
      <c r="B4690" s="21">
        <f>IF(AND(C4690&lt;&gt;"", J4690&lt;&gt;""), HYPERLINK("#'" &amp; C4690 &amp; "'!" &amp; J4690, J4690), "")</f>
        <v/>
      </c>
    </row>
    <row r="4691">
      <c r="B4691" s="21">
        <f>IF(AND(C4691&lt;&gt;"", J4691&lt;&gt;""), HYPERLINK("#'" &amp; C4691 &amp; "'!" &amp; J4691, J4691), "")</f>
        <v/>
      </c>
    </row>
    <row r="4692">
      <c r="B4692" s="21">
        <f>IF(AND(C4692&lt;&gt;"", J4692&lt;&gt;""), HYPERLINK("#'" &amp; C4692 &amp; "'!" &amp; J4692, J4692), "")</f>
        <v/>
      </c>
    </row>
    <row r="4693">
      <c r="B4693" s="21">
        <f>IF(AND(C4693&lt;&gt;"", J4693&lt;&gt;""), HYPERLINK("#'" &amp; C4693 &amp; "'!" &amp; J4693, J4693), "")</f>
        <v/>
      </c>
    </row>
    <row r="4694">
      <c r="B4694" s="21">
        <f>IF(AND(C4694&lt;&gt;"", J4694&lt;&gt;""), HYPERLINK("#'" &amp; C4694 &amp; "'!" &amp; J4694, J4694), "")</f>
        <v/>
      </c>
    </row>
    <row r="4695">
      <c r="B4695" s="21">
        <f>IF(AND(C4695&lt;&gt;"", J4695&lt;&gt;""), HYPERLINK("#'" &amp; C4695 &amp; "'!" &amp; J4695, J4695), "")</f>
        <v/>
      </c>
    </row>
    <row r="4696">
      <c r="B4696" s="21">
        <f>IF(AND(C4696&lt;&gt;"", J4696&lt;&gt;""), HYPERLINK("#'" &amp; C4696 &amp; "'!" &amp; J4696, J4696), "")</f>
        <v/>
      </c>
    </row>
    <row r="4697">
      <c r="B4697" s="21">
        <f>IF(AND(C4697&lt;&gt;"", J4697&lt;&gt;""), HYPERLINK("#'" &amp; C4697 &amp; "'!" &amp; J4697, J4697), "")</f>
        <v/>
      </c>
    </row>
    <row r="4698">
      <c r="B4698" s="21">
        <f>IF(AND(C4698&lt;&gt;"", J4698&lt;&gt;""), HYPERLINK("#'" &amp; C4698 &amp; "'!" &amp; J4698, J4698), "")</f>
        <v/>
      </c>
    </row>
    <row r="4699">
      <c r="B4699" s="21">
        <f>IF(AND(C4699&lt;&gt;"", J4699&lt;&gt;""), HYPERLINK("#'" &amp; C4699 &amp; "'!" &amp; J4699, J4699), "")</f>
        <v/>
      </c>
    </row>
    <row r="4700">
      <c r="B4700" s="21">
        <f>IF(AND(C4700&lt;&gt;"", J4700&lt;&gt;""), HYPERLINK("#'" &amp; C4700 &amp; "'!" &amp; J4700, J4700), "")</f>
        <v/>
      </c>
    </row>
    <row r="4701">
      <c r="B4701" s="21">
        <f>IF(AND(C4701&lt;&gt;"", J4701&lt;&gt;""), HYPERLINK("#'" &amp; C4701 &amp; "'!" &amp; J4701, J4701), "")</f>
        <v/>
      </c>
    </row>
    <row r="4702">
      <c r="B4702" s="21">
        <f>IF(AND(C4702&lt;&gt;"", J4702&lt;&gt;""), HYPERLINK("#'" &amp; C4702 &amp; "'!" &amp; J4702, J4702), "")</f>
        <v/>
      </c>
    </row>
    <row r="4703">
      <c r="B4703" s="21">
        <f>IF(AND(C4703&lt;&gt;"", J4703&lt;&gt;""), HYPERLINK("#'" &amp; C4703 &amp; "'!" &amp; J4703, J4703), "")</f>
        <v/>
      </c>
    </row>
    <row r="4704">
      <c r="B4704" s="21">
        <f>IF(AND(C4704&lt;&gt;"", J4704&lt;&gt;""), HYPERLINK("#'" &amp; C4704 &amp; "'!" &amp; J4704, J4704), "")</f>
        <v/>
      </c>
    </row>
    <row r="4705">
      <c r="B4705" s="21">
        <f>IF(AND(C4705&lt;&gt;"", J4705&lt;&gt;""), HYPERLINK("#'" &amp; C4705 &amp; "'!" &amp; J4705, J4705), "")</f>
        <v/>
      </c>
    </row>
    <row r="4706">
      <c r="B4706" s="21">
        <f>IF(AND(C4706&lt;&gt;"", J4706&lt;&gt;""), HYPERLINK("#'" &amp; C4706 &amp; "'!" &amp; J4706, J4706), "")</f>
        <v/>
      </c>
    </row>
    <row r="4707">
      <c r="B4707" s="21">
        <f>IF(AND(C4707&lt;&gt;"", J4707&lt;&gt;""), HYPERLINK("#'" &amp; C4707 &amp; "'!" &amp; J4707, J4707), "")</f>
        <v/>
      </c>
    </row>
    <row r="4708">
      <c r="B4708" s="21">
        <f>IF(AND(C4708&lt;&gt;"", J4708&lt;&gt;""), HYPERLINK("#'" &amp; C4708 &amp; "'!" &amp; J4708, J4708), "")</f>
        <v/>
      </c>
    </row>
    <row r="4709">
      <c r="B4709" s="21">
        <f>IF(AND(C4709&lt;&gt;"", J4709&lt;&gt;""), HYPERLINK("#'" &amp; C4709 &amp; "'!" &amp; J4709, J4709), "")</f>
        <v/>
      </c>
    </row>
    <row r="4710">
      <c r="B4710" s="21">
        <f>IF(AND(C4710&lt;&gt;"", J4710&lt;&gt;""), HYPERLINK("#'" &amp; C4710 &amp; "'!" &amp; J4710, J4710), "")</f>
        <v/>
      </c>
    </row>
    <row r="4711">
      <c r="B4711" s="21">
        <f>IF(AND(C4711&lt;&gt;"", J4711&lt;&gt;""), HYPERLINK("#'" &amp; C4711 &amp; "'!" &amp; J4711, J4711), "")</f>
        <v/>
      </c>
    </row>
    <row r="4712">
      <c r="B4712" s="21">
        <f>IF(AND(C4712&lt;&gt;"", J4712&lt;&gt;""), HYPERLINK("#'" &amp; C4712 &amp; "'!" &amp; J4712, J4712), "")</f>
        <v/>
      </c>
    </row>
    <row r="4713">
      <c r="B4713" s="21">
        <f>IF(AND(C4713&lt;&gt;"", J4713&lt;&gt;""), HYPERLINK("#'" &amp; C4713 &amp; "'!" &amp; J4713, J4713), "")</f>
        <v/>
      </c>
    </row>
    <row r="4714">
      <c r="B4714" s="21">
        <f>IF(AND(C4714&lt;&gt;"", J4714&lt;&gt;""), HYPERLINK("#'" &amp; C4714 &amp; "'!" &amp; J4714, J4714), "")</f>
        <v/>
      </c>
    </row>
    <row r="4715">
      <c r="B4715" s="21">
        <f>IF(AND(C4715&lt;&gt;"", J4715&lt;&gt;""), HYPERLINK("#'" &amp; C4715 &amp; "'!" &amp; J4715, J4715), "")</f>
        <v/>
      </c>
    </row>
    <row r="4716">
      <c r="B4716" s="21">
        <f>IF(AND(C4716&lt;&gt;"", J4716&lt;&gt;""), HYPERLINK("#'" &amp; C4716 &amp; "'!" &amp; J4716, J4716), "")</f>
        <v/>
      </c>
    </row>
    <row r="4717">
      <c r="B4717" s="21">
        <f>IF(AND(C4717&lt;&gt;"", J4717&lt;&gt;""), HYPERLINK("#'" &amp; C4717 &amp; "'!" &amp; J4717, J4717), "")</f>
        <v/>
      </c>
    </row>
    <row r="4718">
      <c r="B4718" s="21">
        <f>IF(AND(C4718&lt;&gt;"", J4718&lt;&gt;""), HYPERLINK("#'" &amp; C4718 &amp; "'!" &amp; J4718, J4718), "")</f>
        <v/>
      </c>
    </row>
    <row r="4719">
      <c r="B4719" s="21">
        <f>IF(AND(C4719&lt;&gt;"", J4719&lt;&gt;""), HYPERLINK("#'" &amp; C4719 &amp; "'!" &amp; J4719, J4719), "")</f>
        <v/>
      </c>
    </row>
    <row r="4720">
      <c r="B4720" s="21">
        <f>IF(AND(C4720&lt;&gt;"", J4720&lt;&gt;""), HYPERLINK("#'" &amp; C4720 &amp; "'!" &amp; J4720, J4720), "")</f>
        <v/>
      </c>
    </row>
    <row r="4721">
      <c r="B4721" s="21">
        <f>IF(AND(C4721&lt;&gt;"", J4721&lt;&gt;""), HYPERLINK("#'" &amp; C4721 &amp; "'!" &amp; J4721, J4721), "")</f>
        <v/>
      </c>
    </row>
    <row r="4722">
      <c r="B4722" s="21">
        <f>IF(AND(C4722&lt;&gt;"", J4722&lt;&gt;""), HYPERLINK("#'" &amp; C4722 &amp; "'!" &amp; J4722, J4722), "")</f>
        <v/>
      </c>
    </row>
    <row r="4723">
      <c r="B4723" s="21">
        <f>IF(AND(C4723&lt;&gt;"", J4723&lt;&gt;""), HYPERLINK("#'" &amp; C4723 &amp; "'!" &amp; J4723, J4723), "")</f>
        <v/>
      </c>
    </row>
    <row r="4724">
      <c r="B4724" s="21">
        <f>IF(AND(C4724&lt;&gt;"", J4724&lt;&gt;""), HYPERLINK("#'" &amp; C4724 &amp; "'!" &amp; J4724, J4724), "")</f>
        <v/>
      </c>
    </row>
    <row r="4725">
      <c r="B4725" s="21">
        <f>IF(AND(C4725&lt;&gt;"", J4725&lt;&gt;""), HYPERLINK("#'" &amp; C4725 &amp; "'!" &amp; J4725, J4725), "")</f>
        <v/>
      </c>
    </row>
    <row r="4726">
      <c r="B4726" s="21">
        <f>IF(AND(C4726&lt;&gt;"", J4726&lt;&gt;""), HYPERLINK("#'" &amp; C4726 &amp; "'!" &amp; J4726, J4726), "")</f>
        <v/>
      </c>
    </row>
    <row r="4727">
      <c r="B4727" s="21">
        <f>IF(AND(C4727&lt;&gt;"", J4727&lt;&gt;""), HYPERLINK("#'" &amp; C4727 &amp; "'!" &amp; J4727, J4727), "")</f>
        <v/>
      </c>
    </row>
    <row r="4728">
      <c r="B4728" s="21">
        <f>IF(AND(C4728&lt;&gt;"", J4728&lt;&gt;""), HYPERLINK("#'" &amp; C4728 &amp; "'!" &amp; J4728, J4728), "")</f>
        <v/>
      </c>
    </row>
    <row r="4729">
      <c r="B4729" s="21">
        <f>IF(AND(C4729&lt;&gt;"", J4729&lt;&gt;""), HYPERLINK("#'" &amp; C4729 &amp; "'!" &amp; J4729, J4729), "")</f>
        <v/>
      </c>
    </row>
    <row r="4730">
      <c r="B4730" s="21">
        <f>IF(AND(C4730&lt;&gt;"", J4730&lt;&gt;""), HYPERLINK("#'" &amp; C4730 &amp; "'!" &amp; J4730, J4730), "")</f>
        <v/>
      </c>
    </row>
    <row r="4731">
      <c r="B4731" s="21">
        <f>IF(AND(C4731&lt;&gt;"", J4731&lt;&gt;""), HYPERLINK("#'" &amp; C4731 &amp; "'!" &amp; J4731, J4731), "")</f>
        <v/>
      </c>
    </row>
    <row r="4732">
      <c r="B4732" s="21">
        <f>IF(AND(C4732&lt;&gt;"", J4732&lt;&gt;""), HYPERLINK("#'" &amp; C4732 &amp; "'!" &amp; J4732, J4732), "")</f>
        <v/>
      </c>
    </row>
    <row r="4733">
      <c r="B4733" s="21">
        <f>IF(AND(C4733&lt;&gt;"", J4733&lt;&gt;""), HYPERLINK("#'" &amp; C4733 &amp; "'!" &amp; J4733, J4733), "")</f>
        <v/>
      </c>
    </row>
    <row r="4734">
      <c r="B4734" s="21">
        <f>IF(AND(C4734&lt;&gt;"", J4734&lt;&gt;""), HYPERLINK("#'" &amp; C4734 &amp; "'!" &amp; J4734, J4734), "")</f>
        <v/>
      </c>
    </row>
    <row r="4735">
      <c r="B4735" s="21">
        <f>IF(AND(C4735&lt;&gt;"", J4735&lt;&gt;""), HYPERLINK("#'" &amp; C4735 &amp; "'!" &amp; J4735, J4735), "")</f>
        <v/>
      </c>
    </row>
    <row r="4736">
      <c r="B4736" s="21">
        <f>IF(AND(C4736&lt;&gt;"", J4736&lt;&gt;""), HYPERLINK("#'" &amp; C4736 &amp; "'!" &amp; J4736, J4736), "")</f>
        <v/>
      </c>
    </row>
    <row r="4737">
      <c r="B4737" s="21">
        <f>IF(AND(C4737&lt;&gt;"", J4737&lt;&gt;""), HYPERLINK("#'" &amp; C4737 &amp; "'!" &amp; J4737, J4737), "")</f>
        <v/>
      </c>
    </row>
    <row r="4738">
      <c r="B4738" s="21">
        <f>IF(AND(C4738&lt;&gt;"", J4738&lt;&gt;""), HYPERLINK("#'" &amp; C4738 &amp; "'!" &amp; J4738, J4738), "")</f>
        <v/>
      </c>
    </row>
    <row r="4739">
      <c r="B4739" s="21">
        <f>IF(AND(C4739&lt;&gt;"", J4739&lt;&gt;""), HYPERLINK("#'" &amp; C4739 &amp; "'!" &amp; J4739, J4739), "")</f>
        <v/>
      </c>
    </row>
    <row r="4740">
      <c r="B4740" s="21">
        <f>IF(AND(C4740&lt;&gt;"", J4740&lt;&gt;""), HYPERLINK("#'" &amp; C4740 &amp; "'!" &amp; J4740, J4740), "")</f>
        <v/>
      </c>
    </row>
    <row r="4741">
      <c r="B4741" s="21">
        <f>IF(AND(C4741&lt;&gt;"", J4741&lt;&gt;""), HYPERLINK("#'" &amp; C4741 &amp; "'!" &amp; J4741, J4741), "")</f>
        <v/>
      </c>
    </row>
    <row r="4742">
      <c r="B4742" s="21">
        <f>IF(AND(C4742&lt;&gt;"", J4742&lt;&gt;""), HYPERLINK("#'" &amp; C4742 &amp; "'!" &amp; J4742, J4742), "")</f>
        <v/>
      </c>
    </row>
    <row r="4743">
      <c r="B4743" s="21">
        <f>IF(AND(C4743&lt;&gt;"", J4743&lt;&gt;""), HYPERLINK("#'" &amp; C4743 &amp; "'!" &amp; J4743, J4743), "")</f>
        <v/>
      </c>
    </row>
    <row r="4744">
      <c r="B4744" s="21">
        <f>IF(AND(C4744&lt;&gt;"", J4744&lt;&gt;""), HYPERLINK("#'" &amp; C4744 &amp; "'!" &amp; J4744, J4744), "")</f>
        <v/>
      </c>
    </row>
    <row r="4745">
      <c r="B4745" s="21">
        <f>IF(AND(C4745&lt;&gt;"", J4745&lt;&gt;""), HYPERLINK("#'" &amp; C4745 &amp; "'!" &amp; J4745, J4745), "")</f>
        <v/>
      </c>
    </row>
    <row r="4746">
      <c r="B4746" s="21">
        <f>IF(AND(C4746&lt;&gt;"", J4746&lt;&gt;""), HYPERLINK("#'" &amp; C4746 &amp; "'!" &amp; J4746, J4746), "")</f>
        <v/>
      </c>
    </row>
    <row r="4747">
      <c r="B4747" s="21">
        <f>IF(AND(C4747&lt;&gt;"", J4747&lt;&gt;""), HYPERLINK("#'" &amp; C4747 &amp; "'!" &amp; J4747, J4747), "")</f>
        <v/>
      </c>
    </row>
    <row r="4748">
      <c r="B4748" s="21">
        <f>IF(AND(C4748&lt;&gt;"", J4748&lt;&gt;""), HYPERLINK("#'" &amp; C4748 &amp; "'!" &amp; J4748, J4748), "")</f>
        <v/>
      </c>
    </row>
    <row r="4749">
      <c r="B4749" s="21">
        <f>IF(AND(C4749&lt;&gt;"", J4749&lt;&gt;""), HYPERLINK("#'" &amp; C4749 &amp; "'!" &amp; J4749, J4749), "")</f>
        <v/>
      </c>
    </row>
    <row r="4750">
      <c r="B4750" s="21">
        <f>IF(AND(C4750&lt;&gt;"", J4750&lt;&gt;""), HYPERLINK("#'" &amp; C4750 &amp; "'!" &amp; J4750, J4750), "")</f>
        <v/>
      </c>
    </row>
    <row r="4751">
      <c r="B4751" s="21">
        <f>IF(AND(C4751&lt;&gt;"", J4751&lt;&gt;""), HYPERLINK("#'" &amp; C4751 &amp; "'!" &amp; J4751, J4751), "")</f>
        <v/>
      </c>
    </row>
    <row r="4752">
      <c r="B4752" s="21">
        <f>IF(AND(C4752&lt;&gt;"", J4752&lt;&gt;""), HYPERLINK("#'" &amp; C4752 &amp; "'!" &amp; J4752, J4752), "")</f>
        <v/>
      </c>
    </row>
    <row r="4753">
      <c r="B4753" s="21">
        <f>IF(AND(C4753&lt;&gt;"", J4753&lt;&gt;""), HYPERLINK("#'" &amp; C4753 &amp; "'!" &amp; J4753, J4753), "")</f>
        <v/>
      </c>
    </row>
    <row r="4754">
      <c r="B4754" s="21">
        <f>IF(AND(C4754&lt;&gt;"", J4754&lt;&gt;""), HYPERLINK("#'" &amp; C4754 &amp; "'!" &amp; J4754, J4754), "")</f>
        <v/>
      </c>
    </row>
    <row r="4755">
      <c r="B4755" s="21">
        <f>IF(AND(C4755&lt;&gt;"", J4755&lt;&gt;""), HYPERLINK("#'" &amp; C4755 &amp; "'!" &amp; J4755, J4755), "")</f>
        <v/>
      </c>
    </row>
    <row r="4756">
      <c r="B4756" s="21">
        <f>IF(AND(C4756&lt;&gt;"", J4756&lt;&gt;""), HYPERLINK("#'" &amp; C4756 &amp; "'!" &amp; J4756, J4756), "")</f>
        <v/>
      </c>
    </row>
    <row r="4757">
      <c r="B4757" s="21">
        <f>IF(AND(C4757&lt;&gt;"", J4757&lt;&gt;""), HYPERLINK("#'" &amp; C4757 &amp; "'!" &amp; J4757, J4757), "")</f>
        <v/>
      </c>
    </row>
    <row r="4758">
      <c r="B4758" s="21">
        <f>IF(AND(C4758&lt;&gt;"", J4758&lt;&gt;""), HYPERLINK("#'" &amp; C4758 &amp; "'!" &amp; J4758, J4758), "")</f>
        <v/>
      </c>
    </row>
    <row r="4759">
      <c r="B4759" s="21">
        <f>IF(AND(C4759&lt;&gt;"", J4759&lt;&gt;""), HYPERLINK("#'" &amp; C4759 &amp; "'!" &amp; J4759, J4759), "")</f>
        <v/>
      </c>
    </row>
    <row r="4760">
      <c r="B4760" s="21">
        <f>IF(AND(C4760&lt;&gt;"", J4760&lt;&gt;""), HYPERLINK("#'" &amp; C4760 &amp; "'!" &amp; J4760, J4760), "")</f>
        <v/>
      </c>
    </row>
    <row r="4761">
      <c r="B4761" s="21">
        <f>IF(AND(C4761&lt;&gt;"", J4761&lt;&gt;""), HYPERLINK("#'" &amp; C4761 &amp; "'!" &amp; J4761, J4761), "")</f>
        <v/>
      </c>
    </row>
    <row r="4762">
      <c r="B4762" s="21">
        <f>IF(AND(C4762&lt;&gt;"", J4762&lt;&gt;""), HYPERLINK("#'" &amp; C4762 &amp; "'!" &amp; J4762, J4762), "")</f>
        <v/>
      </c>
    </row>
    <row r="4763">
      <c r="B4763" s="21">
        <f>IF(AND(C4763&lt;&gt;"", J4763&lt;&gt;""), HYPERLINK("#'" &amp; C4763 &amp; "'!" &amp; J4763, J4763), "")</f>
        <v/>
      </c>
    </row>
    <row r="4764">
      <c r="B4764" s="21">
        <f>IF(AND(C4764&lt;&gt;"", J4764&lt;&gt;""), HYPERLINK("#'" &amp; C4764 &amp; "'!" &amp; J4764, J4764), "")</f>
        <v/>
      </c>
    </row>
    <row r="4765">
      <c r="B4765" s="21">
        <f>IF(AND(C4765&lt;&gt;"", J4765&lt;&gt;""), HYPERLINK("#'" &amp; C4765 &amp; "'!" &amp; J4765, J4765), "")</f>
        <v/>
      </c>
    </row>
    <row r="4766">
      <c r="B4766" s="21">
        <f>IF(AND(C4766&lt;&gt;"", J4766&lt;&gt;""), HYPERLINK("#'" &amp; C4766 &amp; "'!" &amp; J4766, J4766), "")</f>
        <v/>
      </c>
    </row>
    <row r="4767">
      <c r="B4767" s="21">
        <f>IF(AND(C4767&lt;&gt;"", J4767&lt;&gt;""), HYPERLINK("#'" &amp; C4767 &amp; "'!" &amp; J4767, J4767), "")</f>
        <v/>
      </c>
    </row>
    <row r="4768">
      <c r="B4768" s="21">
        <f>IF(AND(C4768&lt;&gt;"", J4768&lt;&gt;""), HYPERLINK("#'" &amp; C4768 &amp; "'!" &amp; J4768, J4768), "")</f>
        <v/>
      </c>
    </row>
    <row r="4769">
      <c r="B4769" s="21">
        <f>IF(AND(C4769&lt;&gt;"", J4769&lt;&gt;""), HYPERLINK("#'" &amp; C4769 &amp; "'!" &amp; J4769, J4769), "")</f>
        <v/>
      </c>
    </row>
    <row r="4770">
      <c r="B4770" s="21">
        <f>IF(AND(C4770&lt;&gt;"", J4770&lt;&gt;""), HYPERLINK("#'" &amp; C4770 &amp; "'!" &amp; J4770, J4770), "")</f>
        <v/>
      </c>
    </row>
    <row r="4771">
      <c r="B4771" s="21">
        <f>IF(AND(C4771&lt;&gt;"", J4771&lt;&gt;""), HYPERLINK("#'" &amp; C4771 &amp; "'!" &amp; J4771, J4771), "")</f>
        <v/>
      </c>
    </row>
    <row r="4772">
      <c r="B4772" s="21">
        <f>IF(AND(C4772&lt;&gt;"", J4772&lt;&gt;""), HYPERLINK("#'" &amp; C4772 &amp; "'!" &amp; J4772, J4772), "")</f>
        <v/>
      </c>
    </row>
    <row r="4773">
      <c r="B4773" s="21">
        <f>IF(AND(C4773&lt;&gt;"", J4773&lt;&gt;""), HYPERLINK("#'" &amp; C4773 &amp; "'!" &amp; J4773, J4773), "")</f>
        <v/>
      </c>
    </row>
    <row r="4774">
      <c r="B4774" s="21">
        <f>IF(AND(C4774&lt;&gt;"", J4774&lt;&gt;""), HYPERLINK("#'" &amp; C4774 &amp; "'!" &amp; J4774, J4774), "")</f>
        <v/>
      </c>
    </row>
    <row r="4775">
      <c r="B4775" s="21">
        <f>IF(AND(C4775&lt;&gt;"", J4775&lt;&gt;""), HYPERLINK("#'" &amp; C4775 &amp; "'!" &amp; J4775, J4775), "")</f>
        <v/>
      </c>
    </row>
    <row r="4776">
      <c r="B4776" s="21">
        <f>IF(AND(C4776&lt;&gt;"", J4776&lt;&gt;""), HYPERLINK("#'" &amp; C4776 &amp; "'!" &amp; J4776, J4776), "")</f>
        <v/>
      </c>
    </row>
    <row r="4777">
      <c r="B4777" s="21">
        <f>IF(AND(C4777&lt;&gt;"", J4777&lt;&gt;""), HYPERLINK("#'" &amp; C4777 &amp; "'!" &amp; J4777, J4777), "")</f>
        <v/>
      </c>
    </row>
    <row r="4778">
      <c r="B4778" s="21">
        <f>IF(AND(C4778&lt;&gt;"", J4778&lt;&gt;""), HYPERLINK("#'" &amp; C4778 &amp; "'!" &amp; J4778, J4778), "")</f>
        <v/>
      </c>
    </row>
    <row r="4779">
      <c r="B4779" s="21">
        <f>IF(AND(C4779&lt;&gt;"", J4779&lt;&gt;""), HYPERLINK("#'" &amp; C4779 &amp; "'!" &amp; J4779, J4779), "")</f>
        <v/>
      </c>
    </row>
    <row r="4780">
      <c r="B4780" s="21">
        <f>IF(AND(C4780&lt;&gt;"", J4780&lt;&gt;""), HYPERLINK("#'" &amp; C4780 &amp; "'!" &amp; J4780, J4780), "")</f>
        <v/>
      </c>
    </row>
    <row r="4781">
      <c r="B4781" s="21">
        <f>IF(AND(C4781&lt;&gt;"", J4781&lt;&gt;""), HYPERLINK("#'" &amp; C4781 &amp; "'!" &amp; J4781, J4781), "")</f>
        <v/>
      </c>
    </row>
    <row r="4782">
      <c r="B4782" s="21">
        <f>IF(AND(C4782&lt;&gt;"", J4782&lt;&gt;""), HYPERLINK("#'" &amp; C4782 &amp; "'!" &amp; J4782, J4782), "")</f>
        <v/>
      </c>
    </row>
    <row r="4783">
      <c r="B4783" s="21">
        <f>IF(AND(C4783&lt;&gt;"", J4783&lt;&gt;""), HYPERLINK("#'" &amp; C4783 &amp; "'!" &amp; J4783, J4783), "")</f>
        <v/>
      </c>
    </row>
    <row r="4784">
      <c r="B4784" s="21">
        <f>IF(AND(C4784&lt;&gt;"", J4784&lt;&gt;""), HYPERLINK("#'" &amp; C4784 &amp; "'!" &amp; J4784, J4784), "")</f>
        <v/>
      </c>
    </row>
    <row r="4785">
      <c r="B4785" s="21">
        <f>IF(AND(C4785&lt;&gt;"", J4785&lt;&gt;""), HYPERLINK("#'" &amp; C4785 &amp; "'!" &amp; J4785, J4785), "")</f>
        <v/>
      </c>
    </row>
    <row r="4786">
      <c r="B4786" s="21">
        <f>IF(AND(C4786&lt;&gt;"", J4786&lt;&gt;""), HYPERLINK("#'" &amp; C4786 &amp; "'!" &amp; J4786, J4786), "")</f>
        <v/>
      </c>
    </row>
    <row r="4787">
      <c r="B4787" s="21">
        <f>IF(AND(C4787&lt;&gt;"", J4787&lt;&gt;""), HYPERLINK("#'" &amp; C4787 &amp; "'!" &amp; J4787, J4787), "")</f>
        <v/>
      </c>
    </row>
    <row r="4788">
      <c r="B4788" s="21">
        <f>IF(AND(C4788&lt;&gt;"", J4788&lt;&gt;""), HYPERLINK("#'" &amp; C4788 &amp; "'!" &amp; J4788, J4788), "")</f>
        <v/>
      </c>
    </row>
    <row r="4789">
      <c r="B4789" s="21">
        <f>IF(AND(C4789&lt;&gt;"", J4789&lt;&gt;""), HYPERLINK("#'" &amp; C4789 &amp; "'!" &amp; J4789, J4789), "")</f>
        <v/>
      </c>
    </row>
    <row r="4790">
      <c r="B4790" s="21">
        <f>IF(AND(C4790&lt;&gt;"", J4790&lt;&gt;""), HYPERLINK("#'" &amp; C4790 &amp; "'!" &amp; J4790, J4790), "")</f>
        <v/>
      </c>
    </row>
    <row r="4791">
      <c r="B4791" s="21">
        <f>IF(AND(C4791&lt;&gt;"", J4791&lt;&gt;""), HYPERLINK("#'" &amp; C4791 &amp; "'!" &amp; J4791, J4791), "")</f>
        <v/>
      </c>
    </row>
    <row r="4792">
      <c r="B4792" s="21">
        <f>IF(AND(C4792&lt;&gt;"", J4792&lt;&gt;""), HYPERLINK("#'" &amp; C4792 &amp; "'!" &amp; J4792, J4792), "")</f>
        <v/>
      </c>
    </row>
    <row r="4793">
      <c r="B4793" s="21">
        <f>IF(AND(C4793&lt;&gt;"", J4793&lt;&gt;""), HYPERLINK("#'" &amp; C4793 &amp; "'!" &amp; J4793, J4793), "")</f>
        <v/>
      </c>
    </row>
    <row r="4794">
      <c r="B4794" s="21">
        <f>IF(AND(C4794&lt;&gt;"", J4794&lt;&gt;""), HYPERLINK("#'" &amp; C4794 &amp; "'!" &amp; J4794, J4794), "")</f>
        <v/>
      </c>
    </row>
    <row r="4795">
      <c r="B4795" s="21">
        <f>IF(AND(C4795&lt;&gt;"", J4795&lt;&gt;""), HYPERLINK("#'" &amp; C4795 &amp; "'!" &amp; J4795, J4795), "")</f>
        <v/>
      </c>
    </row>
    <row r="4796">
      <c r="B4796" s="21">
        <f>IF(AND(C4796&lt;&gt;"", J4796&lt;&gt;""), HYPERLINK("#'" &amp; C4796 &amp; "'!" &amp; J4796, J4796), "")</f>
        <v/>
      </c>
    </row>
    <row r="4797">
      <c r="B4797" s="21">
        <f>IF(AND(C4797&lt;&gt;"", J4797&lt;&gt;""), HYPERLINK("#'" &amp; C4797 &amp; "'!" &amp; J4797, J4797), "")</f>
        <v/>
      </c>
    </row>
    <row r="4798">
      <c r="B4798" s="21">
        <f>IF(AND(C4798&lt;&gt;"", J4798&lt;&gt;""), HYPERLINK("#'" &amp; C4798 &amp; "'!" &amp; J4798, J4798), "")</f>
        <v/>
      </c>
    </row>
    <row r="4799">
      <c r="B4799" s="21">
        <f>IF(AND(C4799&lt;&gt;"", J4799&lt;&gt;""), HYPERLINK("#'" &amp; C4799 &amp; "'!" &amp; J4799, J4799), "")</f>
        <v/>
      </c>
    </row>
    <row r="4800">
      <c r="B4800" s="21">
        <f>IF(AND(C4800&lt;&gt;"", J4800&lt;&gt;""), HYPERLINK("#'" &amp; C4800 &amp; "'!" &amp; J4800, J4800), "")</f>
        <v/>
      </c>
    </row>
    <row r="4801">
      <c r="B4801" s="21">
        <f>IF(AND(C4801&lt;&gt;"", J4801&lt;&gt;""), HYPERLINK("#'" &amp; C4801 &amp; "'!" &amp; J4801, J4801), "")</f>
        <v/>
      </c>
    </row>
    <row r="4802">
      <c r="B4802" s="21">
        <f>IF(AND(C4802&lt;&gt;"", J4802&lt;&gt;""), HYPERLINK("#'" &amp; C4802 &amp; "'!" &amp; J4802, J4802), "")</f>
        <v/>
      </c>
    </row>
    <row r="4803">
      <c r="B4803" s="21">
        <f>IF(AND(C4803&lt;&gt;"", J4803&lt;&gt;""), HYPERLINK("#'" &amp; C4803 &amp; "'!" &amp; J4803, J4803), "")</f>
        <v/>
      </c>
    </row>
    <row r="4804">
      <c r="B4804" s="21">
        <f>IF(AND(C4804&lt;&gt;"", J4804&lt;&gt;""), HYPERLINK("#'" &amp; C4804 &amp; "'!" &amp; J4804, J4804), "")</f>
        <v/>
      </c>
    </row>
    <row r="4805">
      <c r="B4805" s="21">
        <f>IF(AND(C4805&lt;&gt;"", J4805&lt;&gt;""), HYPERLINK("#'" &amp; C4805 &amp; "'!" &amp; J4805, J4805), "")</f>
        <v/>
      </c>
    </row>
    <row r="4806">
      <c r="B4806" s="21">
        <f>IF(AND(C4806&lt;&gt;"", J4806&lt;&gt;""), HYPERLINK("#'" &amp; C4806 &amp; "'!" &amp; J4806, J4806), "")</f>
        <v/>
      </c>
    </row>
    <row r="4807">
      <c r="B4807" s="21">
        <f>IF(AND(C4807&lt;&gt;"", J4807&lt;&gt;""), HYPERLINK("#'" &amp; C4807 &amp; "'!" &amp; J4807, J4807), "")</f>
        <v/>
      </c>
    </row>
    <row r="4808">
      <c r="B4808" s="21">
        <f>IF(AND(C4808&lt;&gt;"", J4808&lt;&gt;""), HYPERLINK("#'" &amp; C4808 &amp; "'!" &amp; J4808, J4808), "")</f>
        <v/>
      </c>
    </row>
    <row r="4809">
      <c r="B4809" s="21">
        <f>IF(AND(C4809&lt;&gt;"", J4809&lt;&gt;""), HYPERLINK("#'" &amp; C4809 &amp; "'!" &amp; J4809, J4809), "")</f>
        <v/>
      </c>
    </row>
    <row r="4810">
      <c r="B4810" s="21">
        <f>IF(AND(C4810&lt;&gt;"", J4810&lt;&gt;""), HYPERLINK("#'" &amp; C4810 &amp; "'!" &amp; J4810, J4810), "")</f>
        <v/>
      </c>
    </row>
    <row r="4811">
      <c r="B4811" s="21">
        <f>IF(AND(C4811&lt;&gt;"", J4811&lt;&gt;""), HYPERLINK("#'" &amp; C4811 &amp; "'!" &amp; J4811, J4811), "")</f>
        <v/>
      </c>
    </row>
    <row r="4812">
      <c r="B4812" s="21">
        <f>IF(AND(C4812&lt;&gt;"", J4812&lt;&gt;""), HYPERLINK("#'" &amp; C4812 &amp; "'!" &amp; J4812, J4812), "")</f>
        <v/>
      </c>
    </row>
    <row r="4813">
      <c r="B4813" s="21">
        <f>IF(AND(C4813&lt;&gt;"", J4813&lt;&gt;""), HYPERLINK("#'" &amp; C4813 &amp; "'!" &amp; J4813, J4813), "")</f>
        <v/>
      </c>
    </row>
    <row r="4814">
      <c r="B4814" s="21">
        <f>IF(AND(C4814&lt;&gt;"", J4814&lt;&gt;""), HYPERLINK("#'" &amp; C4814 &amp; "'!" &amp; J4814, J4814), "")</f>
        <v/>
      </c>
    </row>
    <row r="4815">
      <c r="B4815" s="21">
        <f>IF(AND(C4815&lt;&gt;"", J4815&lt;&gt;""), HYPERLINK("#'" &amp; C4815 &amp; "'!" &amp; J4815, J4815), "")</f>
        <v/>
      </c>
    </row>
    <row r="4816">
      <c r="B4816" s="21">
        <f>IF(AND(C4816&lt;&gt;"", J4816&lt;&gt;""), HYPERLINK("#'" &amp; C4816 &amp; "'!" &amp; J4816, J4816), "")</f>
        <v/>
      </c>
    </row>
    <row r="4817">
      <c r="B4817" s="21">
        <f>IF(AND(C4817&lt;&gt;"", J4817&lt;&gt;""), HYPERLINK("#'" &amp; C4817 &amp; "'!" &amp; J4817, J4817), "")</f>
        <v/>
      </c>
    </row>
    <row r="4818">
      <c r="B4818" s="21">
        <f>IF(AND(C4818&lt;&gt;"", J4818&lt;&gt;""), HYPERLINK("#'" &amp; C4818 &amp; "'!" &amp; J4818, J4818), "")</f>
        <v/>
      </c>
    </row>
    <row r="4819">
      <c r="B4819" s="21">
        <f>IF(AND(C4819&lt;&gt;"", J4819&lt;&gt;""), HYPERLINK("#'" &amp; C4819 &amp; "'!" &amp; J4819, J4819), "")</f>
        <v/>
      </c>
    </row>
    <row r="4820">
      <c r="B4820" s="21">
        <f>IF(AND(C4820&lt;&gt;"", J4820&lt;&gt;""), HYPERLINK("#'" &amp; C4820 &amp; "'!" &amp; J4820, J4820), "")</f>
        <v/>
      </c>
    </row>
    <row r="4821">
      <c r="B4821" s="21">
        <f>IF(AND(C4821&lt;&gt;"", J4821&lt;&gt;""), HYPERLINK("#'" &amp; C4821 &amp; "'!" &amp; J4821, J4821), "")</f>
        <v/>
      </c>
    </row>
    <row r="4822">
      <c r="B4822" s="21">
        <f>IF(AND(C4822&lt;&gt;"", J4822&lt;&gt;""), HYPERLINK("#'" &amp; C4822 &amp; "'!" &amp; J4822, J4822), "")</f>
        <v/>
      </c>
    </row>
    <row r="4823">
      <c r="B4823" s="21">
        <f>IF(AND(C4823&lt;&gt;"", J4823&lt;&gt;""), HYPERLINK("#'" &amp; C4823 &amp; "'!" &amp; J4823, J4823), "")</f>
        <v/>
      </c>
    </row>
    <row r="4824">
      <c r="B4824" s="21">
        <f>IF(AND(C4824&lt;&gt;"", J4824&lt;&gt;""), HYPERLINK("#'" &amp; C4824 &amp; "'!" &amp; J4824, J4824), "")</f>
        <v/>
      </c>
    </row>
    <row r="4825">
      <c r="B4825" s="21">
        <f>IF(AND(C4825&lt;&gt;"", J4825&lt;&gt;""), HYPERLINK("#'" &amp; C4825 &amp; "'!" &amp; J4825, J4825), "")</f>
        <v/>
      </c>
    </row>
    <row r="4826">
      <c r="B4826" s="21">
        <f>IF(AND(C4826&lt;&gt;"", J4826&lt;&gt;""), HYPERLINK("#'" &amp; C4826 &amp; "'!" &amp; J4826, J4826), "")</f>
        <v/>
      </c>
    </row>
    <row r="4827">
      <c r="B4827" s="21">
        <f>IF(AND(C4827&lt;&gt;"", J4827&lt;&gt;""), HYPERLINK("#'" &amp; C4827 &amp; "'!" &amp; J4827, J4827), "")</f>
        <v/>
      </c>
    </row>
    <row r="4828">
      <c r="B4828" s="21">
        <f>IF(AND(C4828&lt;&gt;"", J4828&lt;&gt;""), HYPERLINK("#'" &amp; C4828 &amp; "'!" &amp; J4828, J4828), "")</f>
        <v/>
      </c>
    </row>
    <row r="4829">
      <c r="B4829" s="21">
        <f>IF(AND(C4829&lt;&gt;"", J4829&lt;&gt;""), HYPERLINK("#'" &amp; C4829 &amp; "'!" &amp; J4829, J4829), "")</f>
        <v/>
      </c>
    </row>
    <row r="4830">
      <c r="B4830" s="21">
        <f>IF(AND(C4830&lt;&gt;"", J4830&lt;&gt;""), HYPERLINK("#'" &amp; C4830 &amp; "'!" &amp; J4830, J4830), "")</f>
        <v/>
      </c>
    </row>
    <row r="4831">
      <c r="B4831" s="21">
        <f>IF(AND(C4831&lt;&gt;"", J4831&lt;&gt;""), HYPERLINK("#'" &amp; C4831 &amp; "'!" &amp; J4831, J4831), "")</f>
        <v/>
      </c>
    </row>
    <row r="4832">
      <c r="B4832" s="21">
        <f>IF(AND(C4832&lt;&gt;"", J4832&lt;&gt;""), HYPERLINK("#'" &amp; C4832 &amp; "'!" &amp; J4832, J4832), "")</f>
        <v/>
      </c>
    </row>
    <row r="4833">
      <c r="B4833" s="21">
        <f>IF(AND(C4833&lt;&gt;"", J4833&lt;&gt;""), HYPERLINK("#'" &amp; C4833 &amp; "'!" &amp; J4833, J4833), "")</f>
        <v/>
      </c>
    </row>
    <row r="4834">
      <c r="B4834" s="21">
        <f>IF(AND(C4834&lt;&gt;"", J4834&lt;&gt;""), HYPERLINK("#'" &amp; C4834 &amp; "'!" &amp; J4834, J4834), "")</f>
        <v/>
      </c>
    </row>
    <row r="4835">
      <c r="B4835" s="21">
        <f>IF(AND(C4835&lt;&gt;"", J4835&lt;&gt;""), HYPERLINK("#'" &amp; C4835 &amp; "'!" &amp; J4835, J4835), "")</f>
        <v/>
      </c>
    </row>
    <row r="4836">
      <c r="B4836" s="21">
        <f>IF(AND(C4836&lt;&gt;"", J4836&lt;&gt;""), HYPERLINK("#'" &amp; C4836 &amp; "'!" &amp; J4836, J4836), "")</f>
        <v/>
      </c>
    </row>
    <row r="4837">
      <c r="B4837" s="21">
        <f>IF(AND(C4837&lt;&gt;"", J4837&lt;&gt;""), HYPERLINK("#'" &amp; C4837 &amp; "'!" &amp; J4837, J4837), "")</f>
        <v/>
      </c>
    </row>
    <row r="4838">
      <c r="B4838" s="21">
        <f>IF(AND(C4838&lt;&gt;"", J4838&lt;&gt;""), HYPERLINK("#'" &amp; C4838 &amp; "'!" &amp; J4838, J4838), "")</f>
        <v/>
      </c>
    </row>
    <row r="4839">
      <c r="B4839" s="21">
        <f>IF(AND(C4839&lt;&gt;"", J4839&lt;&gt;""), HYPERLINK("#'" &amp; C4839 &amp; "'!" &amp; J4839, J4839), "")</f>
        <v/>
      </c>
    </row>
    <row r="4840">
      <c r="B4840" s="21">
        <f>IF(AND(C4840&lt;&gt;"", J4840&lt;&gt;""), HYPERLINK("#'" &amp; C4840 &amp; "'!" &amp; J4840, J4840), "")</f>
        <v/>
      </c>
    </row>
    <row r="4841">
      <c r="B4841" s="21">
        <f>IF(AND(C4841&lt;&gt;"", J4841&lt;&gt;""), HYPERLINK("#'" &amp; C4841 &amp; "'!" &amp; J4841, J4841), "")</f>
        <v/>
      </c>
    </row>
    <row r="4842">
      <c r="B4842" s="21">
        <f>IF(AND(C4842&lt;&gt;"", J4842&lt;&gt;""), HYPERLINK("#'" &amp; C4842 &amp; "'!" &amp; J4842, J4842), "")</f>
        <v/>
      </c>
    </row>
    <row r="4843">
      <c r="B4843" s="21">
        <f>IF(AND(C4843&lt;&gt;"", J4843&lt;&gt;""), HYPERLINK("#'" &amp; C4843 &amp; "'!" &amp; J4843, J4843), "")</f>
        <v/>
      </c>
    </row>
    <row r="4844">
      <c r="B4844" s="21">
        <f>IF(AND(C4844&lt;&gt;"", J4844&lt;&gt;""), HYPERLINK("#'" &amp; C4844 &amp; "'!" &amp; J4844, J4844), "")</f>
        <v/>
      </c>
    </row>
    <row r="4845">
      <c r="B4845" s="21">
        <f>IF(AND(C4845&lt;&gt;"", J4845&lt;&gt;""), HYPERLINK("#'" &amp; C4845 &amp; "'!" &amp; J4845, J4845), "")</f>
        <v/>
      </c>
    </row>
    <row r="4846">
      <c r="B4846" s="21">
        <f>IF(AND(C4846&lt;&gt;"", J4846&lt;&gt;""), HYPERLINK("#'" &amp; C4846 &amp; "'!" &amp; J4846, J4846), "")</f>
        <v/>
      </c>
    </row>
    <row r="4847">
      <c r="B4847" s="21">
        <f>IF(AND(C4847&lt;&gt;"", J4847&lt;&gt;""), HYPERLINK("#'" &amp; C4847 &amp; "'!" &amp; J4847, J4847), "")</f>
        <v/>
      </c>
    </row>
    <row r="4848">
      <c r="B4848" s="21">
        <f>IF(AND(C4848&lt;&gt;"", J4848&lt;&gt;""), HYPERLINK("#'" &amp; C4848 &amp; "'!" &amp; J4848, J4848), "")</f>
        <v/>
      </c>
    </row>
    <row r="4849">
      <c r="B4849" s="21">
        <f>IF(AND(C4849&lt;&gt;"", J4849&lt;&gt;""), HYPERLINK("#'" &amp; C4849 &amp; "'!" &amp; J4849, J4849), "")</f>
        <v/>
      </c>
    </row>
    <row r="4850">
      <c r="B4850" s="21">
        <f>IF(AND(C4850&lt;&gt;"", J4850&lt;&gt;""), HYPERLINK("#'" &amp; C4850 &amp; "'!" &amp; J4850, J4850), "")</f>
        <v/>
      </c>
    </row>
    <row r="4851">
      <c r="B4851" s="21">
        <f>IF(AND(C4851&lt;&gt;"", J4851&lt;&gt;""), HYPERLINK("#'" &amp; C4851 &amp; "'!" &amp; J4851, J4851), "")</f>
        <v/>
      </c>
    </row>
    <row r="4852">
      <c r="B4852" s="21">
        <f>IF(AND(C4852&lt;&gt;"", J4852&lt;&gt;""), HYPERLINK("#'" &amp; C4852 &amp; "'!" &amp; J4852, J4852), "")</f>
        <v/>
      </c>
    </row>
    <row r="4853">
      <c r="B4853" s="21">
        <f>IF(AND(C4853&lt;&gt;"", J4853&lt;&gt;""), HYPERLINK("#'" &amp; C4853 &amp; "'!" &amp; J4853, J4853), "")</f>
        <v/>
      </c>
    </row>
    <row r="4854">
      <c r="B4854" s="21">
        <f>IF(AND(C4854&lt;&gt;"", J4854&lt;&gt;""), HYPERLINK("#'" &amp; C4854 &amp; "'!" &amp; J4854, J4854), "")</f>
        <v/>
      </c>
    </row>
    <row r="4855">
      <c r="B4855" s="21">
        <f>IF(AND(C4855&lt;&gt;"", J4855&lt;&gt;""), HYPERLINK("#'" &amp; C4855 &amp; "'!" &amp; J4855, J4855), "")</f>
        <v/>
      </c>
    </row>
    <row r="4856">
      <c r="B4856" s="21">
        <f>IF(AND(C4856&lt;&gt;"", J4856&lt;&gt;""), HYPERLINK("#'" &amp; C4856 &amp; "'!" &amp; J4856, J4856), "")</f>
        <v/>
      </c>
    </row>
    <row r="4857">
      <c r="B4857" s="21">
        <f>IF(AND(C4857&lt;&gt;"", J4857&lt;&gt;""), HYPERLINK("#'" &amp; C4857 &amp; "'!" &amp; J4857, J4857), "")</f>
        <v/>
      </c>
    </row>
    <row r="4858">
      <c r="B4858" s="21">
        <f>IF(AND(C4858&lt;&gt;"", J4858&lt;&gt;""), HYPERLINK("#'" &amp; C4858 &amp; "'!" &amp; J4858, J4858), "")</f>
        <v/>
      </c>
    </row>
    <row r="4859">
      <c r="B4859" s="21">
        <f>IF(AND(C4859&lt;&gt;"", J4859&lt;&gt;""), HYPERLINK("#'" &amp; C4859 &amp; "'!" &amp; J4859, J4859), "")</f>
        <v/>
      </c>
    </row>
    <row r="4860">
      <c r="B4860" s="21">
        <f>IF(AND(C4860&lt;&gt;"", J4860&lt;&gt;""), HYPERLINK("#'" &amp; C4860 &amp; "'!" &amp; J4860, J4860), "")</f>
        <v/>
      </c>
    </row>
    <row r="4861">
      <c r="B4861" s="21">
        <f>IF(AND(C4861&lt;&gt;"", J4861&lt;&gt;""), HYPERLINK("#'" &amp; C4861 &amp; "'!" &amp; J4861, J4861), "")</f>
        <v/>
      </c>
    </row>
    <row r="4862">
      <c r="B4862" s="21">
        <f>IF(AND(C4862&lt;&gt;"", J4862&lt;&gt;""), HYPERLINK("#'" &amp; C4862 &amp; "'!" &amp; J4862, J4862), "")</f>
        <v/>
      </c>
    </row>
    <row r="4863">
      <c r="B4863" s="21">
        <f>IF(AND(C4863&lt;&gt;"", J4863&lt;&gt;""), HYPERLINK("#'" &amp; C4863 &amp; "'!" &amp; J4863, J4863), "")</f>
        <v/>
      </c>
    </row>
    <row r="4864">
      <c r="B4864" s="21">
        <f>IF(AND(C4864&lt;&gt;"", J4864&lt;&gt;""), HYPERLINK("#'" &amp; C4864 &amp; "'!" &amp; J4864, J4864), "")</f>
        <v/>
      </c>
    </row>
    <row r="4865">
      <c r="B4865" s="21">
        <f>IF(AND(C4865&lt;&gt;"", J4865&lt;&gt;""), HYPERLINK("#'" &amp; C4865 &amp; "'!" &amp; J4865, J4865), "")</f>
        <v/>
      </c>
    </row>
    <row r="4866">
      <c r="B4866" s="21">
        <f>IF(AND(C4866&lt;&gt;"", J4866&lt;&gt;""), HYPERLINK("#'" &amp; C4866 &amp; "'!" &amp; J4866, J4866), "")</f>
        <v/>
      </c>
    </row>
    <row r="4867">
      <c r="B4867" s="21">
        <f>IF(AND(C4867&lt;&gt;"", J4867&lt;&gt;""), HYPERLINK("#'" &amp; C4867 &amp; "'!" &amp; J4867, J4867), "")</f>
        <v/>
      </c>
    </row>
    <row r="4868">
      <c r="B4868" s="21">
        <f>IF(AND(C4868&lt;&gt;"", J4868&lt;&gt;""), HYPERLINK("#'" &amp; C4868 &amp; "'!" &amp; J4868, J4868), "")</f>
        <v/>
      </c>
    </row>
    <row r="4869">
      <c r="B4869" s="21">
        <f>IF(AND(C4869&lt;&gt;"", J4869&lt;&gt;""), HYPERLINK("#'" &amp; C4869 &amp; "'!" &amp; J4869, J4869), "")</f>
        <v/>
      </c>
    </row>
    <row r="4870">
      <c r="B4870" s="21">
        <f>IF(AND(C4870&lt;&gt;"", J4870&lt;&gt;""), HYPERLINK("#'" &amp; C4870 &amp; "'!" &amp; J4870, J4870), "")</f>
        <v/>
      </c>
    </row>
    <row r="4871">
      <c r="B4871" s="21">
        <f>IF(AND(C4871&lt;&gt;"", J4871&lt;&gt;""), HYPERLINK("#'" &amp; C4871 &amp; "'!" &amp; J4871, J4871), "")</f>
        <v/>
      </c>
    </row>
    <row r="4872">
      <c r="B4872" s="21">
        <f>IF(AND(C4872&lt;&gt;"", J4872&lt;&gt;""), HYPERLINK("#'" &amp; C4872 &amp; "'!" &amp; J4872, J4872), "")</f>
        <v/>
      </c>
    </row>
    <row r="4873">
      <c r="B4873" s="21">
        <f>IF(AND(C4873&lt;&gt;"", J4873&lt;&gt;""), HYPERLINK("#'" &amp; C4873 &amp; "'!" &amp; J4873, J4873), "")</f>
        <v/>
      </c>
    </row>
    <row r="4874">
      <c r="B4874" s="21">
        <f>IF(AND(C4874&lt;&gt;"", J4874&lt;&gt;""), HYPERLINK("#'" &amp; C4874 &amp; "'!" &amp; J4874, J4874), "")</f>
        <v/>
      </c>
    </row>
    <row r="4875">
      <c r="B4875" s="21">
        <f>IF(AND(C4875&lt;&gt;"", J4875&lt;&gt;""), HYPERLINK("#'" &amp; C4875 &amp; "'!" &amp; J4875, J4875), "")</f>
        <v/>
      </c>
    </row>
    <row r="4876">
      <c r="B4876" s="21">
        <f>IF(AND(C4876&lt;&gt;"", J4876&lt;&gt;""), HYPERLINK("#'" &amp; C4876 &amp; "'!" &amp; J4876, J4876), "")</f>
        <v/>
      </c>
    </row>
    <row r="4877">
      <c r="B4877" s="21">
        <f>IF(AND(C4877&lt;&gt;"", J4877&lt;&gt;""), HYPERLINK("#'" &amp; C4877 &amp; "'!" &amp; J4877, J4877), "")</f>
        <v/>
      </c>
    </row>
    <row r="4878">
      <c r="B4878" s="21">
        <f>IF(AND(C4878&lt;&gt;"", J4878&lt;&gt;""), HYPERLINK("#'" &amp; C4878 &amp; "'!" &amp; J4878, J4878), "")</f>
        <v/>
      </c>
    </row>
    <row r="4879">
      <c r="B4879" s="21">
        <f>IF(AND(C4879&lt;&gt;"", J4879&lt;&gt;""), HYPERLINK("#'" &amp; C4879 &amp; "'!" &amp; J4879, J4879), "")</f>
        <v/>
      </c>
    </row>
    <row r="4880">
      <c r="B4880" s="21">
        <f>IF(AND(C4880&lt;&gt;"", J4880&lt;&gt;""), HYPERLINK("#'" &amp; C4880 &amp; "'!" &amp; J4880, J4880), "")</f>
        <v/>
      </c>
    </row>
    <row r="4881">
      <c r="B4881" s="21">
        <f>IF(AND(C4881&lt;&gt;"", J4881&lt;&gt;""), HYPERLINK("#'" &amp; C4881 &amp; "'!" &amp; J4881, J4881), "")</f>
        <v/>
      </c>
    </row>
    <row r="4882">
      <c r="B4882" s="21">
        <f>IF(AND(C4882&lt;&gt;"", J4882&lt;&gt;""), HYPERLINK("#'" &amp; C4882 &amp; "'!" &amp; J4882, J4882), "")</f>
        <v/>
      </c>
    </row>
    <row r="4883">
      <c r="B4883" s="21">
        <f>IF(AND(C4883&lt;&gt;"", J4883&lt;&gt;""), HYPERLINK("#'" &amp; C4883 &amp; "'!" &amp; J4883, J4883), "")</f>
        <v/>
      </c>
    </row>
    <row r="4884">
      <c r="B4884" s="21">
        <f>IF(AND(C4884&lt;&gt;"", J4884&lt;&gt;""), HYPERLINK("#'" &amp; C4884 &amp; "'!" &amp; J4884, J4884), "")</f>
        <v/>
      </c>
    </row>
    <row r="4885">
      <c r="B4885" s="21">
        <f>IF(AND(C4885&lt;&gt;"", J4885&lt;&gt;""), HYPERLINK("#'" &amp; C4885 &amp; "'!" &amp; J4885, J4885), "")</f>
        <v/>
      </c>
    </row>
    <row r="4886">
      <c r="B4886" s="21">
        <f>IF(AND(C4886&lt;&gt;"", J4886&lt;&gt;""), HYPERLINK("#'" &amp; C4886 &amp; "'!" &amp; J4886, J4886), "")</f>
        <v/>
      </c>
    </row>
    <row r="4887">
      <c r="B4887" s="21">
        <f>IF(AND(C4887&lt;&gt;"", J4887&lt;&gt;""), HYPERLINK("#'" &amp; C4887 &amp; "'!" &amp; J4887, J4887), "")</f>
        <v/>
      </c>
    </row>
    <row r="4888">
      <c r="B4888" s="21">
        <f>IF(AND(C4888&lt;&gt;"", J4888&lt;&gt;""), HYPERLINK("#'" &amp; C4888 &amp; "'!" &amp; J4888, J4888), "")</f>
        <v/>
      </c>
    </row>
    <row r="4889">
      <c r="B4889" s="21">
        <f>IF(AND(C4889&lt;&gt;"", J4889&lt;&gt;""), HYPERLINK("#'" &amp; C4889 &amp; "'!" &amp; J4889, J4889), "")</f>
        <v/>
      </c>
    </row>
    <row r="4890">
      <c r="B4890" s="21">
        <f>IF(AND(C4890&lt;&gt;"", J4890&lt;&gt;""), HYPERLINK("#'" &amp; C4890 &amp; "'!" &amp; J4890, J4890), "")</f>
        <v/>
      </c>
    </row>
    <row r="4891">
      <c r="B4891" s="21">
        <f>IF(AND(C4891&lt;&gt;"", J4891&lt;&gt;""), HYPERLINK("#'" &amp; C4891 &amp; "'!" &amp; J4891, J4891), "")</f>
        <v/>
      </c>
    </row>
    <row r="4892">
      <c r="B4892" s="21">
        <f>IF(AND(C4892&lt;&gt;"", J4892&lt;&gt;""), HYPERLINK("#'" &amp; C4892 &amp; "'!" &amp; J4892, J4892), "")</f>
        <v/>
      </c>
    </row>
    <row r="4893">
      <c r="B4893" s="21">
        <f>IF(AND(C4893&lt;&gt;"", J4893&lt;&gt;""), HYPERLINK("#'" &amp; C4893 &amp; "'!" &amp; J4893, J4893), "")</f>
        <v/>
      </c>
    </row>
    <row r="4894">
      <c r="B4894" s="21">
        <f>IF(AND(C4894&lt;&gt;"", J4894&lt;&gt;""), HYPERLINK("#'" &amp; C4894 &amp; "'!" &amp; J4894, J4894), "")</f>
        <v/>
      </c>
    </row>
    <row r="4895">
      <c r="B4895" s="21">
        <f>IF(AND(C4895&lt;&gt;"", J4895&lt;&gt;""), HYPERLINK("#'" &amp; C4895 &amp; "'!" &amp; J4895, J4895), "")</f>
        <v/>
      </c>
    </row>
    <row r="4896">
      <c r="B4896" s="21">
        <f>IF(AND(C4896&lt;&gt;"", J4896&lt;&gt;""), HYPERLINK("#'" &amp; C4896 &amp; "'!" &amp; J4896, J4896), "")</f>
        <v/>
      </c>
    </row>
    <row r="4897">
      <c r="B4897" s="21">
        <f>IF(AND(C4897&lt;&gt;"", J4897&lt;&gt;""), HYPERLINK("#'" &amp; C4897 &amp; "'!" &amp; J4897, J4897), "")</f>
        <v/>
      </c>
    </row>
    <row r="4898">
      <c r="B4898" s="21">
        <f>IF(AND(C4898&lt;&gt;"", J4898&lt;&gt;""), HYPERLINK("#'" &amp; C4898 &amp; "'!" &amp; J4898, J4898), "")</f>
        <v/>
      </c>
    </row>
    <row r="4899">
      <c r="B4899" s="21">
        <f>IF(AND(C4899&lt;&gt;"", J4899&lt;&gt;""), HYPERLINK("#'" &amp; C4899 &amp; "'!" &amp; J4899, J4899), "")</f>
        <v/>
      </c>
    </row>
    <row r="4900">
      <c r="B4900" s="21">
        <f>IF(AND(C4900&lt;&gt;"", J4900&lt;&gt;""), HYPERLINK("#'" &amp; C4900 &amp; "'!" &amp; J4900, J4900), "")</f>
        <v/>
      </c>
    </row>
    <row r="4901">
      <c r="B4901" s="21">
        <f>IF(AND(C4901&lt;&gt;"", J4901&lt;&gt;""), HYPERLINK("#'" &amp; C4901 &amp; "'!" &amp; J4901, J4901), "")</f>
        <v/>
      </c>
    </row>
    <row r="4902">
      <c r="B4902" s="21">
        <f>IF(AND(C4902&lt;&gt;"", J4902&lt;&gt;""), HYPERLINK("#'" &amp; C4902 &amp; "'!" &amp; J4902, J4902), "")</f>
        <v/>
      </c>
    </row>
    <row r="4903">
      <c r="B4903" s="21">
        <f>IF(AND(C4903&lt;&gt;"", J4903&lt;&gt;""), HYPERLINK("#'" &amp; C4903 &amp; "'!" &amp; J4903, J4903), "")</f>
        <v/>
      </c>
    </row>
    <row r="4904">
      <c r="B4904" s="21">
        <f>IF(AND(C4904&lt;&gt;"", J4904&lt;&gt;""), HYPERLINK("#'" &amp; C4904 &amp; "'!" &amp; J4904, J4904), "")</f>
        <v/>
      </c>
    </row>
    <row r="4905">
      <c r="B4905" s="21">
        <f>IF(AND(C4905&lt;&gt;"", J4905&lt;&gt;""), HYPERLINK("#'" &amp; C4905 &amp; "'!" &amp; J4905, J4905), "")</f>
        <v/>
      </c>
    </row>
    <row r="4906">
      <c r="B4906" s="21">
        <f>IF(AND(C4906&lt;&gt;"", J4906&lt;&gt;""), HYPERLINK("#'" &amp; C4906 &amp; "'!" &amp; J4906, J4906), "")</f>
        <v/>
      </c>
    </row>
    <row r="4907">
      <c r="B4907" s="21">
        <f>IF(AND(C4907&lt;&gt;"", J4907&lt;&gt;""), HYPERLINK("#'" &amp; C4907 &amp; "'!" &amp; J4907, J4907), "")</f>
        <v/>
      </c>
    </row>
    <row r="4908">
      <c r="B4908" s="21">
        <f>IF(AND(C4908&lt;&gt;"", J4908&lt;&gt;""), HYPERLINK("#'" &amp; C4908 &amp; "'!" &amp; J4908, J4908), "")</f>
        <v/>
      </c>
    </row>
    <row r="4909">
      <c r="B4909" s="21">
        <f>IF(AND(C4909&lt;&gt;"", J4909&lt;&gt;""), HYPERLINK("#'" &amp; C4909 &amp; "'!" &amp; J4909, J4909), "")</f>
        <v/>
      </c>
    </row>
    <row r="4910">
      <c r="B4910" s="21">
        <f>IF(AND(C4910&lt;&gt;"", J4910&lt;&gt;""), HYPERLINK("#'" &amp; C4910 &amp; "'!" &amp; J4910, J4910), "")</f>
        <v/>
      </c>
    </row>
    <row r="4911">
      <c r="B4911" s="21">
        <f>IF(AND(C4911&lt;&gt;"", J4911&lt;&gt;""), HYPERLINK("#'" &amp; C4911 &amp; "'!" &amp; J4911, J4911), "")</f>
        <v/>
      </c>
    </row>
    <row r="4912">
      <c r="B4912" s="21">
        <f>IF(AND(C4912&lt;&gt;"", J4912&lt;&gt;""), HYPERLINK("#'" &amp; C4912 &amp; "'!" &amp; J4912, J4912), "")</f>
        <v/>
      </c>
    </row>
    <row r="4913">
      <c r="B4913" s="21">
        <f>IF(AND(C4913&lt;&gt;"", J4913&lt;&gt;""), HYPERLINK("#'" &amp; C4913 &amp; "'!" &amp; J4913, J4913), "")</f>
        <v/>
      </c>
    </row>
    <row r="4914">
      <c r="B4914" s="21">
        <f>IF(AND(C4914&lt;&gt;"", J4914&lt;&gt;""), HYPERLINK("#'" &amp; C4914 &amp; "'!" &amp; J4914, J4914), "")</f>
        <v/>
      </c>
    </row>
    <row r="4915">
      <c r="B4915" s="21">
        <f>IF(AND(C4915&lt;&gt;"", J4915&lt;&gt;""), HYPERLINK("#'" &amp; C4915 &amp; "'!" &amp; J4915, J4915), "")</f>
        <v/>
      </c>
    </row>
    <row r="4916">
      <c r="B4916" s="21">
        <f>IF(AND(C4916&lt;&gt;"", J4916&lt;&gt;""), HYPERLINK("#'" &amp; C4916 &amp; "'!" &amp; J4916, J4916), "")</f>
        <v/>
      </c>
    </row>
    <row r="4917">
      <c r="B4917" s="21">
        <f>IF(AND(C4917&lt;&gt;"", J4917&lt;&gt;""), HYPERLINK("#'" &amp; C4917 &amp; "'!" &amp; J4917, J4917), "")</f>
        <v/>
      </c>
    </row>
    <row r="4918">
      <c r="B4918" s="21">
        <f>IF(AND(C4918&lt;&gt;"", J4918&lt;&gt;""), HYPERLINK("#'" &amp; C4918 &amp; "'!" &amp; J4918, J4918), "")</f>
        <v/>
      </c>
    </row>
    <row r="4919">
      <c r="B4919" s="21">
        <f>IF(AND(C4919&lt;&gt;"", J4919&lt;&gt;""), HYPERLINK("#'" &amp; C4919 &amp; "'!" &amp; J4919, J4919), "")</f>
        <v/>
      </c>
    </row>
    <row r="4920">
      <c r="B4920" s="21">
        <f>IF(AND(C4920&lt;&gt;"", J4920&lt;&gt;""), HYPERLINK("#'" &amp; C4920 &amp; "'!" &amp; J4920, J4920), "")</f>
        <v/>
      </c>
    </row>
    <row r="4921">
      <c r="B4921" s="21">
        <f>IF(AND(C4921&lt;&gt;"", J4921&lt;&gt;""), HYPERLINK("#'" &amp; C4921 &amp; "'!" &amp; J4921, J4921), "")</f>
        <v/>
      </c>
    </row>
    <row r="4922">
      <c r="B4922" s="21">
        <f>IF(AND(C4922&lt;&gt;"", J4922&lt;&gt;""), HYPERLINK("#'" &amp; C4922 &amp; "'!" &amp; J4922, J4922), "")</f>
        <v/>
      </c>
    </row>
    <row r="4923">
      <c r="B4923" s="21">
        <f>IF(AND(C4923&lt;&gt;"", J4923&lt;&gt;""), HYPERLINK("#'" &amp; C4923 &amp; "'!" &amp; J4923, J4923), "")</f>
        <v/>
      </c>
    </row>
    <row r="4924">
      <c r="B4924" s="21">
        <f>IF(AND(C4924&lt;&gt;"", J4924&lt;&gt;""), HYPERLINK("#'" &amp; C4924 &amp; "'!" &amp; J4924, J4924), "")</f>
        <v/>
      </c>
    </row>
    <row r="4925">
      <c r="B4925" s="21">
        <f>IF(AND(C4925&lt;&gt;"", J4925&lt;&gt;""), HYPERLINK("#'" &amp; C4925 &amp; "'!" &amp; J4925, J4925), "")</f>
        <v/>
      </c>
    </row>
    <row r="4926">
      <c r="B4926" s="21">
        <f>IF(AND(C4926&lt;&gt;"", J4926&lt;&gt;""), HYPERLINK("#'" &amp; C4926 &amp; "'!" &amp; J4926, J4926), "")</f>
        <v/>
      </c>
    </row>
    <row r="4927">
      <c r="B4927" s="21">
        <f>IF(AND(C4927&lt;&gt;"", J4927&lt;&gt;""), HYPERLINK("#'" &amp; C4927 &amp; "'!" &amp; J4927, J4927), "")</f>
        <v/>
      </c>
    </row>
    <row r="4928">
      <c r="B4928" s="21">
        <f>IF(AND(C4928&lt;&gt;"", J4928&lt;&gt;""), HYPERLINK("#'" &amp; C4928 &amp; "'!" &amp; J4928, J4928), "")</f>
        <v/>
      </c>
    </row>
    <row r="4929">
      <c r="B4929" s="21">
        <f>IF(AND(C4929&lt;&gt;"", J4929&lt;&gt;""), HYPERLINK("#'" &amp; C4929 &amp; "'!" &amp; J4929, J4929), "")</f>
        <v/>
      </c>
    </row>
    <row r="4930">
      <c r="B4930" s="21">
        <f>IF(AND(C4930&lt;&gt;"", J4930&lt;&gt;""), HYPERLINK("#'" &amp; C4930 &amp; "'!" &amp; J4930, J4930), "")</f>
        <v/>
      </c>
    </row>
    <row r="4931">
      <c r="B4931" s="21">
        <f>IF(AND(C4931&lt;&gt;"", J4931&lt;&gt;""), HYPERLINK("#'" &amp; C4931 &amp; "'!" &amp; J4931, J4931), "")</f>
        <v/>
      </c>
    </row>
    <row r="4932">
      <c r="B4932" s="21">
        <f>IF(AND(C4932&lt;&gt;"", J4932&lt;&gt;""), HYPERLINK("#'" &amp; C4932 &amp; "'!" &amp; J4932, J4932), "")</f>
        <v/>
      </c>
    </row>
    <row r="4933">
      <c r="B4933" s="21">
        <f>IF(AND(C4933&lt;&gt;"", J4933&lt;&gt;""), HYPERLINK("#'" &amp; C4933 &amp; "'!" &amp; J4933, J4933), "")</f>
        <v/>
      </c>
    </row>
    <row r="4934">
      <c r="B4934" s="21">
        <f>IF(AND(C4934&lt;&gt;"", J4934&lt;&gt;""), HYPERLINK("#'" &amp; C4934 &amp; "'!" &amp; J4934, J4934), "")</f>
        <v/>
      </c>
    </row>
    <row r="4935">
      <c r="B4935" s="21">
        <f>IF(AND(C4935&lt;&gt;"", J4935&lt;&gt;""), HYPERLINK("#'" &amp; C4935 &amp; "'!" &amp; J4935, J4935), "")</f>
        <v/>
      </c>
    </row>
    <row r="4936">
      <c r="B4936" s="21">
        <f>IF(AND(C4936&lt;&gt;"", J4936&lt;&gt;""), HYPERLINK("#'" &amp; C4936 &amp; "'!" &amp; J4936, J4936), "")</f>
        <v/>
      </c>
    </row>
    <row r="4937">
      <c r="B4937" s="21">
        <f>IF(AND(C4937&lt;&gt;"", J4937&lt;&gt;""), HYPERLINK("#'" &amp; C4937 &amp; "'!" &amp; J4937, J4937), "")</f>
        <v/>
      </c>
    </row>
    <row r="4938">
      <c r="B4938" s="21">
        <f>IF(AND(C4938&lt;&gt;"", J4938&lt;&gt;""), HYPERLINK("#'" &amp; C4938 &amp; "'!" &amp; J4938, J4938), "")</f>
        <v/>
      </c>
    </row>
    <row r="4939">
      <c r="B4939" s="21">
        <f>IF(AND(C4939&lt;&gt;"", J4939&lt;&gt;""), HYPERLINK("#'" &amp; C4939 &amp; "'!" &amp; J4939, J4939), "")</f>
        <v/>
      </c>
    </row>
    <row r="4940">
      <c r="B4940" s="21">
        <f>IF(AND(C4940&lt;&gt;"", J4940&lt;&gt;""), HYPERLINK("#'" &amp; C4940 &amp; "'!" &amp; J4940, J4940), "")</f>
        <v/>
      </c>
    </row>
    <row r="4941">
      <c r="B4941" s="21">
        <f>IF(AND(C4941&lt;&gt;"", J4941&lt;&gt;""), HYPERLINK("#'" &amp; C4941 &amp; "'!" &amp; J4941, J4941), "")</f>
        <v/>
      </c>
    </row>
    <row r="4942">
      <c r="B4942" s="21">
        <f>IF(AND(C4942&lt;&gt;"", J4942&lt;&gt;""), HYPERLINK("#'" &amp; C4942 &amp; "'!" &amp; J4942, J4942), "")</f>
        <v/>
      </c>
    </row>
    <row r="4943">
      <c r="B4943" s="21">
        <f>IF(AND(C4943&lt;&gt;"", J4943&lt;&gt;""), HYPERLINK("#'" &amp; C4943 &amp; "'!" &amp; J4943, J4943), "")</f>
        <v/>
      </c>
    </row>
    <row r="4944">
      <c r="B4944" s="21">
        <f>IF(AND(C4944&lt;&gt;"", J4944&lt;&gt;""), HYPERLINK("#'" &amp; C4944 &amp; "'!" &amp; J4944, J4944), "")</f>
        <v/>
      </c>
    </row>
    <row r="4945">
      <c r="B4945" s="21">
        <f>IF(AND(C4945&lt;&gt;"", J4945&lt;&gt;""), HYPERLINK("#'" &amp; C4945 &amp; "'!" &amp; J4945, J4945), "")</f>
        <v/>
      </c>
    </row>
    <row r="4946">
      <c r="B4946" s="21">
        <f>IF(AND(C4946&lt;&gt;"", J4946&lt;&gt;""), HYPERLINK("#'" &amp; C4946 &amp; "'!" &amp; J4946, J4946), "")</f>
        <v/>
      </c>
    </row>
    <row r="4947">
      <c r="B4947" s="21">
        <f>IF(AND(C4947&lt;&gt;"", J4947&lt;&gt;""), HYPERLINK("#'" &amp; C4947 &amp; "'!" &amp; J4947, J4947), "")</f>
        <v/>
      </c>
    </row>
    <row r="4948">
      <c r="B4948" s="21">
        <f>IF(AND(C4948&lt;&gt;"", J4948&lt;&gt;""), HYPERLINK("#'" &amp; C4948 &amp; "'!" &amp; J4948, J4948), "")</f>
        <v/>
      </c>
    </row>
    <row r="4949">
      <c r="B4949" s="21">
        <f>IF(AND(C4949&lt;&gt;"", J4949&lt;&gt;""), HYPERLINK("#'" &amp; C4949 &amp; "'!" &amp; J4949, J4949), "")</f>
        <v/>
      </c>
    </row>
    <row r="4950">
      <c r="B4950" s="21">
        <f>IF(AND(C4950&lt;&gt;"", J4950&lt;&gt;""), HYPERLINK("#'" &amp; C4950 &amp; "'!" &amp; J4950, J4950), "")</f>
        <v/>
      </c>
    </row>
    <row r="4951">
      <c r="B4951" s="21">
        <f>IF(AND(C4951&lt;&gt;"", J4951&lt;&gt;""), HYPERLINK("#'" &amp; C4951 &amp; "'!" &amp; J4951, J4951), "")</f>
        <v/>
      </c>
    </row>
    <row r="4952">
      <c r="B4952" s="21">
        <f>IF(AND(C4952&lt;&gt;"", J4952&lt;&gt;""), HYPERLINK("#'" &amp; C4952 &amp; "'!" &amp; J4952, J4952), "")</f>
        <v/>
      </c>
    </row>
    <row r="4953">
      <c r="B4953" s="21">
        <f>IF(AND(C4953&lt;&gt;"", J4953&lt;&gt;""), HYPERLINK("#'" &amp; C4953 &amp; "'!" &amp; J4953, J4953), "")</f>
        <v/>
      </c>
    </row>
    <row r="4954">
      <c r="B4954" s="21">
        <f>IF(AND(C4954&lt;&gt;"", J4954&lt;&gt;""), HYPERLINK("#'" &amp; C4954 &amp; "'!" &amp; J4954, J4954), "")</f>
        <v/>
      </c>
    </row>
    <row r="4955">
      <c r="B4955" s="21">
        <f>IF(AND(C4955&lt;&gt;"", J4955&lt;&gt;""), HYPERLINK("#'" &amp; C4955 &amp; "'!" &amp; J4955, J4955), "")</f>
        <v/>
      </c>
    </row>
    <row r="4956">
      <c r="B4956" s="21">
        <f>IF(AND(C4956&lt;&gt;"", J4956&lt;&gt;""), HYPERLINK("#'" &amp; C4956 &amp; "'!" &amp; J4956, J4956), "")</f>
        <v/>
      </c>
    </row>
    <row r="4957">
      <c r="B4957" s="21">
        <f>IF(AND(C4957&lt;&gt;"", J4957&lt;&gt;""), HYPERLINK("#'" &amp; C4957 &amp; "'!" &amp; J4957, J4957), "")</f>
        <v/>
      </c>
    </row>
    <row r="4958">
      <c r="B4958" s="21">
        <f>IF(AND(C4958&lt;&gt;"", J4958&lt;&gt;""), HYPERLINK("#'" &amp; C4958 &amp; "'!" &amp; J4958, J4958), "")</f>
        <v/>
      </c>
    </row>
    <row r="4959">
      <c r="B4959" s="21">
        <f>IF(AND(C4959&lt;&gt;"", J4959&lt;&gt;""), HYPERLINK("#'" &amp; C4959 &amp; "'!" &amp; J4959, J4959), "")</f>
        <v/>
      </c>
    </row>
    <row r="4960">
      <c r="B4960" s="21">
        <f>IF(AND(C4960&lt;&gt;"", J4960&lt;&gt;""), HYPERLINK("#'" &amp; C4960 &amp; "'!" &amp; J4960, J4960), "")</f>
        <v/>
      </c>
    </row>
    <row r="4961">
      <c r="B4961" s="21">
        <f>IF(AND(C4961&lt;&gt;"", J4961&lt;&gt;""), HYPERLINK("#'" &amp; C4961 &amp; "'!" &amp; J4961, J4961), "")</f>
        <v/>
      </c>
    </row>
    <row r="4962">
      <c r="B4962" s="21">
        <f>IF(AND(C4962&lt;&gt;"", J4962&lt;&gt;""), HYPERLINK("#'" &amp; C4962 &amp; "'!" &amp; J4962, J4962), "")</f>
        <v/>
      </c>
    </row>
    <row r="4963">
      <c r="B4963" s="21">
        <f>IF(AND(C4963&lt;&gt;"", J4963&lt;&gt;""), HYPERLINK("#'" &amp; C4963 &amp; "'!" &amp; J4963, J4963), "")</f>
        <v/>
      </c>
    </row>
    <row r="4964">
      <c r="B4964" s="21">
        <f>IF(AND(C4964&lt;&gt;"", J4964&lt;&gt;""), HYPERLINK("#'" &amp; C4964 &amp; "'!" &amp; J4964, J4964), "")</f>
        <v/>
      </c>
    </row>
    <row r="4965">
      <c r="B4965" s="21">
        <f>IF(AND(C4965&lt;&gt;"", J4965&lt;&gt;""), HYPERLINK("#'" &amp; C4965 &amp; "'!" &amp; J4965, J4965), "")</f>
        <v/>
      </c>
    </row>
    <row r="4966">
      <c r="B4966" s="21">
        <f>IF(AND(C4966&lt;&gt;"", J4966&lt;&gt;""), HYPERLINK("#'" &amp; C4966 &amp; "'!" &amp; J4966, J4966), "")</f>
        <v/>
      </c>
    </row>
    <row r="4967">
      <c r="B4967" s="21">
        <f>IF(AND(C4967&lt;&gt;"", J4967&lt;&gt;""), HYPERLINK("#'" &amp; C4967 &amp; "'!" &amp; J4967, J4967), "")</f>
        <v/>
      </c>
    </row>
    <row r="4968">
      <c r="B4968" s="21">
        <f>IF(AND(C4968&lt;&gt;"", J4968&lt;&gt;""), HYPERLINK("#'" &amp; C4968 &amp; "'!" &amp; J4968, J4968), "")</f>
        <v/>
      </c>
    </row>
    <row r="4969">
      <c r="B4969" s="21">
        <f>IF(AND(C4969&lt;&gt;"", J4969&lt;&gt;""), HYPERLINK("#'" &amp; C4969 &amp; "'!" &amp; J4969, J4969), "")</f>
        <v/>
      </c>
    </row>
    <row r="4970">
      <c r="B4970" s="21">
        <f>IF(AND(C4970&lt;&gt;"", J4970&lt;&gt;""), HYPERLINK("#'" &amp; C4970 &amp; "'!" &amp; J4970, J4970), "")</f>
        <v/>
      </c>
    </row>
    <row r="4971">
      <c r="B4971" s="21">
        <f>IF(AND(C4971&lt;&gt;"", J4971&lt;&gt;""), HYPERLINK("#'" &amp; C4971 &amp; "'!" &amp; J4971, J4971), "")</f>
        <v/>
      </c>
    </row>
    <row r="4972">
      <c r="B4972" s="21">
        <f>IF(AND(C4972&lt;&gt;"", J4972&lt;&gt;""), HYPERLINK("#'" &amp; C4972 &amp; "'!" &amp; J4972, J4972), "")</f>
        <v/>
      </c>
    </row>
    <row r="4973">
      <c r="B4973" s="21">
        <f>IF(AND(C4973&lt;&gt;"", J4973&lt;&gt;""), HYPERLINK("#'" &amp; C4973 &amp; "'!" &amp; J4973, J4973), "")</f>
        <v/>
      </c>
    </row>
    <row r="4974">
      <c r="B4974" s="21">
        <f>IF(AND(C4974&lt;&gt;"", J4974&lt;&gt;""), HYPERLINK("#'" &amp; C4974 &amp; "'!" &amp; J4974, J4974), "")</f>
        <v/>
      </c>
    </row>
    <row r="4975">
      <c r="B4975" s="21">
        <f>IF(AND(C4975&lt;&gt;"", J4975&lt;&gt;""), HYPERLINK("#'" &amp; C4975 &amp; "'!" &amp; J4975, J4975), "")</f>
        <v/>
      </c>
    </row>
    <row r="4976">
      <c r="B4976" s="21">
        <f>IF(AND(C4976&lt;&gt;"", J4976&lt;&gt;""), HYPERLINK("#'" &amp; C4976 &amp; "'!" &amp; J4976, J4976), "")</f>
        <v/>
      </c>
    </row>
    <row r="4977">
      <c r="B4977" s="21">
        <f>IF(AND(C4977&lt;&gt;"", J4977&lt;&gt;""), HYPERLINK("#'" &amp; C4977 &amp; "'!" &amp; J4977, J4977), "")</f>
        <v/>
      </c>
    </row>
    <row r="4978">
      <c r="B4978" s="21">
        <f>IF(AND(C4978&lt;&gt;"", J4978&lt;&gt;""), HYPERLINK("#'" &amp; C4978 &amp; "'!" &amp; J4978, J4978), "")</f>
        <v/>
      </c>
    </row>
    <row r="4979">
      <c r="B4979" s="21">
        <f>IF(AND(C4979&lt;&gt;"", J4979&lt;&gt;""), HYPERLINK("#'" &amp; C4979 &amp; "'!" &amp; J4979, J4979), "")</f>
        <v/>
      </c>
    </row>
    <row r="4980">
      <c r="B4980" s="21">
        <f>IF(AND(C4980&lt;&gt;"", J4980&lt;&gt;""), HYPERLINK("#'" &amp; C4980 &amp; "'!" &amp; J4980, J4980), "")</f>
        <v/>
      </c>
    </row>
    <row r="4981">
      <c r="B4981" s="21">
        <f>IF(AND(C4981&lt;&gt;"", J4981&lt;&gt;""), HYPERLINK("#'" &amp; C4981 &amp; "'!" &amp; J4981, J4981), "")</f>
        <v/>
      </c>
    </row>
    <row r="4982">
      <c r="B4982" s="21">
        <f>IF(AND(C4982&lt;&gt;"", J4982&lt;&gt;""), HYPERLINK("#'" &amp; C4982 &amp; "'!" &amp; J4982, J4982), "")</f>
        <v/>
      </c>
    </row>
    <row r="4983">
      <c r="B4983" s="21">
        <f>IF(AND(C4983&lt;&gt;"", J4983&lt;&gt;""), HYPERLINK("#'" &amp; C4983 &amp; "'!" &amp; J4983, J4983), "")</f>
        <v/>
      </c>
    </row>
    <row r="4984">
      <c r="B4984" s="21">
        <f>IF(AND(C4984&lt;&gt;"", J4984&lt;&gt;""), HYPERLINK("#'" &amp; C4984 &amp; "'!" &amp; J4984, J4984), "")</f>
        <v/>
      </c>
    </row>
    <row r="4985">
      <c r="B4985" s="21">
        <f>IF(AND(C4985&lt;&gt;"", J4985&lt;&gt;""), HYPERLINK("#'" &amp; C4985 &amp; "'!" &amp; J4985, J4985), "")</f>
        <v/>
      </c>
    </row>
    <row r="4986">
      <c r="B4986" s="21">
        <f>IF(AND(C4986&lt;&gt;"", J4986&lt;&gt;""), HYPERLINK("#'" &amp; C4986 &amp; "'!" &amp; J4986, J4986), "")</f>
        <v/>
      </c>
    </row>
    <row r="4987">
      <c r="B4987" s="21">
        <f>IF(AND(C4987&lt;&gt;"", J4987&lt;&gt;""), HYPERLINK("#'" &amp; C4987 &amp; "'!" &amp; J4987, J4987), "")</f>
        <v/>
      </c>
    </row>
    <row r="4988">
      <c r="B4988" s="21">
        <f>IF(AND(C4988&lt;&gt;"", J4988&lt;&gt;""), HYPERLINK("#'" &amp; C4988 &amp; "'!" &amp; J4988, J4988), "")</f>
        <v/>
      </c>
    </row>
    <row r="4989">
      <c r="B4989" s="21">
        <f>IF(AND(C4989&lt;&gt;"", J4989&lt;&gt;""), HYPERLINK("#'" &amp; C4989 &amp; "'!" &amp; J4989, J4989), "")</f>
        <v/>
      </c>
    </row>
    <row r="4990">
      <c r="B4990" s="21">
        <f>IF(AND(C4990&lt;&gt;"", J4990&lt;&gt;""), HYPERLINK("#'" &amp; C4990 &amp; "'!" &amp; J4990, J4990), "")</f>
        <v/>
      </c>
    </row>
    <row r="4991">
      <c r="B4991" s="21">
        <f>IF(AND(C4991&lt;&gt;"", J4991&lt;&gt;""), HYPERLINK("#'" &amp; C4991 &amp; "'!" &amp; J4991, J4991), "")</f>
        <v/>
      </c>
    </row>
    <row r="4992">
      <c r="B4992" s="21">
        <f>IF(AND(C4992&lt;&gt;"", J4992&lt;&gt;""), HYPERLINK("#'" &amp; C4992 &amp; "'!" &amp; J4992, J4992), "")</f>
        <v/>
      </c>
    </row>
    <row r="4993">
      <c r="B4993" s="21">
        <f>IF(AND(C4993&lt;&gt;"", J4993&lt;&gt;""), HYPERLINK("#'" &amp; C4993 &amp; "'!" &amp; J4993, J4993), "")</f>
        <v/>
      </c>
    </row>
    <row r="4994">
      <c r="B4994" s="21">
        <f>IF(AND(C4994&lt;&gt;"", J4994&lt;&gt;""), HYPERLINK("#'" &amp; C4994 &amp; "'!" &amp; J4994, J4994), "")</f>
        <v/>
      </c>
    </row>
    <row r="4995">
      <c r="B4995" s="21">
        <f>IF(AND(C4995&lt;&gt;"", J4995&lt;&gt;""), HYPERLINK("#'" &amp; C4995 &amp; "'!" &amp; J4995, J4995), "")</f>
        <v/>
      </c>
    </row>
    <row r="4996">
      <c r="B4996" s="21">
        <f>IF(AND(C4996&lt;&gt;"", J4996&lt;&gt;""), HYPERLINK("#'" &amp; C4996 &amp; "'!" &amp; J4996, J4996), "")</f>
        <v/>
      </c>
    </row>
    <row r="4997">
      <c r="B4997" s="21">
        <f>IF(AND(C4997&lt;&gt;"", J4997&lt;&gt;""), HYPERLINK("#'" &amp; C4997 &amp; "'!" &amp; J4997, J4997), "")</f>
        <v/>
      </c>
    </row>
    <row r="4998">
      <c r="B4998" s="21">
        <f>IF(AND(C4998&lt;&gt;"", J4998&lt;&gt;""), HYPERLINK("#'" &amp; C4998 &amp; "'!" &amp; J4998, J4998), "")</f>
        <v/>
      </c>
    </row>
    <row r="4999">
      <c r="B4999" s="21">
        <f>IF(AND(C4999&lt;&gt;"", J4999&lt;&gt;""), HYPERLINK("#'" &amp; C4999 &amp; "'!" &amp; J4999, J4999), "")</f>
        <v/>
      </c>
    </row>
    <row r="5000">
      <c r="B5000" s="21">
        <f>IF(AND(C5000&lt;&gt;"", J5000&lt;&gt;""), HYPERLINK("#'" &amp; C5000 &amp; "'!" &amp; J5000, J5000), "")</f>
        <v/>
      </c>
    </row>
    <row r="5001">
      <c r="B5001" s="21">
        <f>IF(AND(C5001&lt;&gt;"", J5001&lt;&gt;""), HYPERLINK("#'" &amp; C5001 &amp; "'!" &amp; J5001, J5001), "")</f>
        <v/>
      </c>
    </row>
    <row r="5002">
      <c r="B5002" s="21">
        <f>IF(AND(C5002&lt;&gt;"", J5002&lt;&gt;""), HYPERLINK("#'" &amp; C5002 &amp; "'!" &amp; J5002, J5002), "")</f>
        <v/>
      </c>
    </row>
    <row r="5003">
      <c r="B5003" s="21">
        <f>IF(AND(C5003&lt;&gt;"", J5003&lt;&gt;""), HYPERLINK("#'" &amp; C5003 &amp; "'!" &amp; J5003, J5003), "")</f>
        <v/>
      </c>
    </row>
    <row r="5004">
      <c r="B5004" s="21">
        <f>IF(AND(C5004&lt;&gt;"", J5004&lt;&gt;""), HYPERLINK("#'" &amp; C5004 &amp; "'!" &amp; J5004, J5004), "")</f>
        <v/>
      </c>
    </row>
    <row r="5005">
      <c r="B5005" s="21">
        <f>IF(AND(C5005&lt;&gt;"", J5005&lt;&gt;""), HYPERLINK("#'" &amp; C5005 &amp; "'!" &amp; J5005, J5005), "")</f>
        <v/>
      </c>
    </row>
    <row r="5006">
      <c r="B5006" s="21">
        <f>IF(AND(C5006&lt;&gt;"", J5006&lt;&gt;""), HYPERLINK("#'" &amp; C5006 &amp; "'!" &amp; J5006, J5006), "")</f>
        <v/>
      </c>
    </row>
    <row r="5007">
      <c r="B5007" s="21">
        <f>IF(AND(C5007&lt;&gt;"", J5007&lt;&gt;""), HYPERLINK("#'" &amp; C5007 &amp; "'!" &amp; J5007, J5007), "")</f>
        <v/>
      </c>
    </row>
    <row r="5008">
      <c r="B5008" s="21">
        <f>IF(AND(C5008&lt;&gt;"", J5008&lt;&gt;""), HYPERLINK("#'" &amp; C5008 &amp; "'!" &amp; J5008, J5008), "")</f>
        <v/>
      </c>
    </row>
    <row r="5009">
      <c r="B5009" s="21">
        <f>IF(AND(C5009&lt;&gt;"", J5009&lt;&gt;""), HYPERLINK("#'" &amp; C5009 &amp; "'!" &amp; J5009, J5009), "")</f>
        <v/>
      </c>
    </row>
    <row r="5010">
      <c r="B5010" s="21">
        <f>IF(AND(C5010&lt;&gt;"", J5010&lt;&gt;""), HYPERLINK("#'" &amp; C5010 &amp; "'!" &amp; J5010, J5010), "")</f>
        <v/>
      </c>
    </row>
    <row r="5011">
      <c r="B5011" s="21">
        <f>IF(AND(C5011&lt;&gt;"", J5011&lt;&gt;""), HYPERLINK("#'" &amp; C5011 &amp; "'!" &amp; J5011, J5011), "")</f>
        <v/>
      </c>
    </row>
    <row r="5012">
      <c r="B5012" s="21">
        <f>IF(AND(C5012&lt;&gt;"", J5012&lt;&gt;""), HYPERLINK("#'" &amp; C5012 &amp; "'!" &amp; J5012, J5012), "")</f>
        <v/>
      </c>
    </row>
    <row r="5013">
      <c r="B5013" s="21">
        <f>IF(AND(C5013&lt;&gt;"", J5013&lt;&gt;""), HYPERLINK("#'" &amp; C5013 &amp; "'!" &amp; J5013, J5013), "")</f>
        <v/>
      </c>
    </row>
    <row r="5014">
      <c r="B5014" s="21">
        <f>IF(AND(C5014&lt;&gt;"", J5014&lt;&gt;""), HYPERLINK("#'" &amp; C5014 &amp; "'!" &amp; J5014, J5014), "")</f>
        <v/>
      </c>
    </row>
    <row r="5015">
      <c r="B5015" s="21">
        <f>IF(AND(C5015&lt;&gt;"", J5015&lt;&gt;""), HYPERLINK("#'" &amp; C5015 &amp; "'!" &amp; J5015, J5015), "")</f>
        <v/>
      </c>
    </row>
    <row r="5016">
      <c r="B5016" s="21">
        <f>IF(AND(C5016&lt;&gt;"", J5016&lt;&gt;""), HYPERLINK("#'" &amp; C5016 &amp; "'!" &amp; J5016, J5016), "")</f>
        <v/>
      </c>
    </row>
    <row r="5017">
      <c r="B5017" s="21">
        <f>IF(AND(C5017&lt;&gt;"", J5017&lt;&gt;""), HYPERLINK("#'" &amp; C5017 &amp; "'!" &amp; J5017, J5017), "")</f>
        <v/>
      </c>
    </row>
    <row r="5018">
      <c r="B5018" s="21">
        <f>IF(AND(C5018&lt;&gt;"", J5018&lt;&gt;""), HYPERLINK("#'" &amp; C5018 &amp; "'!" &amp; J5018, J5018), "")</f>
        <v/>
      </c>
    </row>
    <row r="5019">
      <c r="B5019" s="21">
        <f>IF(AND(C5019&lt;&gt;"", J5019&lt;&gt;""), HYPERLINK("#'" &amp; C5019 &amp; "'!" &amp; J5019, J5019), "")</f>
        <v/>
      </c>
    </row>
    <row r="5020">
      <c r="B5020" s="21">
        <f>IF(AND(C5020&lt;&gt;"", J5020&lt;&gt;""), HYPERLINK("#'" &amp; C5020 &amp; "'!" &amp; J5020, J5020), "")</f>
        <v/>
      </c>
    </row>
    <row r="5021">
      <c r="B5021" s="21">
        <f>IF(AND(C5021&lt;&gt;"", J5021&lt;&gt;""), HYPERLINK("#'" &amp; C5021 &amp; "'!" &amp; J5021, J5021), "")</f>
        <v/>
      </c>
    </row>
    <row r="5022">
      <c r="B5022" s="21">
        <f>IF(AND(C5022&lt;&gt;"", J5022&lt;&gt;""), HYPERLINK("#'" &amp; C5022 &amp; "'!" &amp; J5022, J5022), "")</f>
        <v/>
      </c>
    </row>
    <row r="5023">
      <c r="B5023" s="21">
        <f>IF(AND(C5023&lt;&gt;"", J5023&lt;&gt;""), HYPERLINK("#'" &amp; C5023 &amp; "'!" &amp; J5023, J5023), "")</f>
        <v/>
      </c>
    </row>
    <row r="5024">
      <c r="B5024" s="21">
        <f>IF(AND(C5024&lt;&gt;"", J5024&lt;&gt;""), HYPERLINK("#'" &amp; C5024 &amp; "'!" &amp; J5024, J5024), "")</f>
        <v/>
      </c>
    </row>
    <row r="5025">
      <c r="B5025" s="21">
        <f>IF(AND(C5025&lt;&gt;"", J5025&lt;&gt;""), HYPERLINK("#'" &amp; C5025 &amp; "'!" &amp; J5025, J5025), "")</f>
        <v/>
      </c>
    </row>
    <row r="5026">
      <c r="B5026" s="21">
        <f>IF(AND(C5026&lt;&gt;"", J5026&lt;&gt;""), HYPERLINK("#'" &amp; C5026 &amp; "'!" &amp; J5026, J5026), "")</f>
        <v/>
      </c>
    </row>
    <row r="5027">
      <c r="B5027" s="21">
        <f>IF(AND(C5027&lt;&gt;"", J5027&lt;&gt;""), HYPERLINK("#'" &amp; C5027 &amp; "'!" &amp; J5027, J5027), "")</f>
        <v/>
      </c>
    </row>
    <row r="5028">
      <c r="B5028" s="21">
        <f>IF(AND(C5028&lt;&gt;"", J5028&lt;&gt;""), HYPERLINK("#'" &amp; C5028 &amp; "'!" &amp; J5028, J5028), "")</f>
        <v/>
      </c>
    </row>
    <row r="5029">
      <c r="B5029" s="21">
        <f>IF(AND(C5029&lt;&gt;"", J5029&lt;&gt;""), HYPERLINK("#'" &amp; C5029 &amp; "'!" &amp; J5029, J5029), "")</f>
        <v/>
      </c>
    </row>
    <row r="5030">
      <c r="B5030" s="21">
        <f>IF(AND(C5030&lt;&gt;"", J5030&lt;&gt;""), HYPERLINK("#'" &amp; C5030 &amp; "'!" &amp; J5030, J5030), "")</f>
        <v/>
      </c>
    </row>
    <row r="5031">
      <c r="B5031" s="21">
        <f>IF(AND(C5031&lt;&gt;"", J5031&lt;&gt;""), HYPERLINK("#'" &amp; C5031 &amp; "'!" &amp; J5031, J5031), "")</f>
        <v/>
      </c>
    </row>
    <row r="5032">
      <c r="B5032" s="21">
        <f>IF(AND(C5032&lt;&gt;"", J5032&lt;&gt;""), HYPERLINK("#'" &amp; C5032 &amp; "'!" &amp; J5032, J5032), "")</f>
        <v/>
      </c>
    </row>
    <row r="5033">
      <c r="B5033" s="21">
        <f>IF(AND(C5033&lt;&gt;"", J5033&lt;&gt;""), HYPERLINK("#'" &amp; C5033 &amp; "'!" &amp; J5033, J5033), "")</f>
        <v/>
      </c>
    </row>
    <row r="5034">
      <c r="B5034" s="21">
        <f>IF(AND(C5034&lt;&gt;"", J5034&lt;&gt;""), HYPERLINK("#'" &amp; C5034 &amp; "'!" &amp; J5034, J5034), "")</f>
        <v/>
      </c>
    </row>
    <row r="5035">
      <c r="B5035" s="21">
        <f>IF(AND(C5035&lt;&gt;"", J5035&lt;&gt;""), HYPERLINK("#'" &amp; C5035 &amp; "'!" &amp; J5035, J5035), "")</f>
        <v/>
      </c>
    </row>
    <row r="5036">
      <c r="B5036" s="21">
        <f>IF(AND(C5036&lt;&gt;"", J5036&lt;&gt;""), HYPERLINK("#'" &amp; C5036 &amp; "'!" &amp; J5036, J5036), "")</f>
        <v/>
      </c>
    </row>
    <row r="5037">
      <c r="B5037" s="21">
        <f>IF(AND(C5037&lt;&gt;"", J5037&lt;&gt;""), HYPERLINK("#'" &amp; C5037 &amp; "'!" &amp; J5037, J5037), "")</f>
        <v/>
      </c>
    </row>
    <row r="5038">
      <c r="B5038" s="21">
        <f>IF(AND(C5038&lt;&gt;"", J5038&lt;&gt;""), HYPERLINK("#'" &amp; C5038 &amp; "'!" &amp; J5038, J5038), "")</f>
        <v/>
      </c>
    </row>
    <row r="5039">
      <c r="B5039" s="21">
        <f>IF(AND(C5039&lt;&gt;"", J5039&lt;&gt;""), HYPERLINK("#'" &amp; C5039 &amp; "'!" &amp; J5039, J5039), "")</f>
        <v/>
      </c>
    </row>
    <row r="5040">
      <c r="B5040" s="21">
        <f>IF(AND(C5040&lt;&gt;"", J5040&lt;&gt;""), HYPERLINK("#'" &amp; C5040 &amp; "'!" &amp; J5040, J5040), "")</f>
        <v/>
      </c>
    </row>
    <row r="5041">
      <c r="B5041" s="21">
        <f>IF(AND(C5041&lt;&gt;"", J5041&lt;&gt;""), HYPERLINK("#'" &amp; C5041 &amp; "'!" &amp; J5041, J5041), "")</f>
        <v/>
      </c>
    </row>
    <row r="5042">
      <c r="B5042" s="21">
        <f>IF(AND(C5042&lt;&gt;"", J5042&lt;&gt;""), HYPERLINK("#'" &amp; C5042 &amp; "'!" &amp; J5042, J5042), "")</f>
        <v/>
      </c>
    </row>
    <row r="5043">
      <c r="B5043" s="21">
        <f>IF(AND(C5043&lt;&gt;"", J5043&lt;&gt;""), HYPERLINK("#'" &amp; C5043 &amp; "'!" &amp; J5043, J5043), "")</f>
        <v/>
      </c>
    </row>
    <row r="5044">
      <c r="B5044" s="21">
        <f>IF(AND(C5044&lt;&gt;"", J5044&lt;&gt;""), HYPERLINK("#'" &amp; C5044 &amp; "'!" &amp; J5044, J5044), "")</f>
        <v/>
      </c>
    </row>
    <row r="5045">
      <c r="B5045" s="21">
        <f>IF(AND(C5045&lt;&gt;"", J5045&lt;&gt;""), HYPERLINK("#'" &amp; C5045 &amp; "'!" &amp; J5045, J5045), "")</f>
        <v/>
      </c>
    </row>
    <row r="5046">
      <c r="B5046" s="21">
        <f>IF(AND(C5046&lt;&gt;"", J5046&lt;&gt;""), HYPERLINK("#'" &amp; C5046 &amp; "'!" &amp; J5046, J5046), "")</f>
        <v/>
      </c>
    </row>
    <row r="5047">
      <c r="B5047" s="21">
        <f>IF(AND(C5047&lt;&gt;"", J5047&lt;&gt;""), HYPERLINK("#'" &amp; C5047 &amp; "'!" &amp; J5047, J5047), "")</f>
        <v/>
      </c>
    </row>
    <row r="5048">
      <c r="B5048" s="21">
        <f>IF(AND(C5048&lt;&gt;"", J5048&lt;&gt;""), HYPERLINK("#'" &amp; C5048 &amp; "'!" &amp; J5048, J5048), "")</f>
        <v/>
      </c>
    </row>
    <row r="5049">
      <c r="B5049" s="21">
        <f>IF(AND(C5049&lt;&gt;"", J5049&lt;&gt;""), HYPERLINK("#'" &amp; C5049 &amp; "'!" &amp; J5049, J5049), "")</f>
        <v/>
      </c>
    </row>
    <row r="5050">
      <c r="B5050" s="21">
        <f>IF(AND(C5050&lt;&gt;"", J5050&lt;&gt;""), HYPERLINK("#'" &amp; C5050 &amp; "'!" &amp; J5050, J5050), "")</f>
        <v/>
      </c>
    </row>
    <row r="5051">
      <c r="B5051" s="21">
        <f>IF(AND(C5051&lt;&gt;"", J5051&lt;&gt;""), HYPERLINK("#'" &amp; C5051 &amp; "'!" &amp; J5051, J5051), "")</f>
        <v/>
      </c>
    </row>
    <row r="5052">
      <c r="B5052" s="21">
        <f>IF(AND(C5052&lt;&gt;"", J5052&lt;&gt;""), HYPERLINK("#'" &amp; C5052 &amp; "'!" &amp; J5052, J5052), "")</f>
        <v/>
      </c>
    </row>
    <row r="5053">
      <c r="B5053" s="21">
        <f>IF(AND(C5053&lt;&gt;"", J5053&lt;&gt;""), HYPERLINK("#'" &amp; C5053 &amp; "'!" &amp; J5053, J5053), "")</f>
        <v/>
      </c>
    </row>
    <row r="5054">
      <c r="B5054" s="21">
        <f>IF(AND(C5054&lt;&gt;"", J5054&lt;&gt;""), HYPERLINK("#'" &amp; C5054 &amp; "'!" &amp; J5054, J5054), "")</f>
        <v/>
      </c>
    </row>
    <row r="5055">
      <c r="B5055" s="21">
        <f>IF(AND(C5055&lt;&gt;"", J5055&lt;&gt;""), HYPERLINK("#'" &amp; C5055 &amp; "'!" &amp; J5055, J5055), "")</f>
        <v/>
      </c>
    </row>
    <row r="5056">
      <c r="B5056" s="21">
        <f>IF(AND(C5056&lt;&gt;"", J5056&lt;&gt;""), HYPERLINK("#'" &amp; C5056 &amp; "'!" &amp; J5056, J5056), "")</f>
        <v/>
      </c>
    </row>
    <row r="5057">
      <c r="B5057" s="21">
        <f>IF(AND(C5057&lt;&gt;"", J5057&lt;&gt;""), HYPERLINK("#'" &amp; C5057 &amp; "'!" &amp; J5057, J5057), "")</f>
        <v/>
      </c>
    </row>
    <row r="5058">
      <c r="B5058" s="21">
        <f>IF(AND(C5058&lt;&gt;"", J5058&lt;&gt;""), HYPERLINK("#'" &amp; C5058 &amp; "'!" &amp; J5058, J5058), "")</f>
        <v/>
      </c>
    </row>
    <row r="5059">
      <c r="B5059" s="21">
        <f>IF(AND(C5059&lt;&gt;"", J5059&lt;&gt;""), HYPERLINK("#'" &amp; C5059 &amp; "'!" &amp; J5059, J5059), "")</f>
        <v/>
      </c>
    </row>
    <row r="5060">
      <c r="B5060" s="21">
        <f>IF(AND(C5060&lt;&gt;"", J5060&lt;&gt;""), HYPERLINK("#'" &amp; C5060 &amp; "'!" &amp; J5060, J5060), "")</f>
        <v/>
      </c>
    </row>
    <row r="5061">
      <c r="B5061" s="21">
        <f>IF(AND(C5061&lt;&gt;"", J5061&lt;&gt;""), HYPERLINK("#'" &amp; C5061 &amp; "'!" &amp; J5061, J5061), "")</f>
        <v/>
      </c>
    </row>
    <row r="5062">
      <c r="B5062" s="21">
        <f>IF(AND(C5062&lt;&gt;"", J5062&lt;&gt;""), HYPERLINK("#'" &amp; C5062 &amp; "'!" &amp; J5062, J5062), "")</f>
        <v/>
      </c>
    </row>
    <row r="5063">
      <c r="B5063" s="21">
        <f>IF(AND(C5063&lt;&gt;"", J5063&lt;&gt;""), HYPERLINK("#'" &amp; C5063 &amp; "'!" &amp; J5063, J5063), "")</f>
        <v/>
      </c>
    </row>
    <row r="5064">
      <c r="B5064" s="21">
        <f>IF(AND(C5064&lt;&gt;"", J5064&lt;&gt;""), HYPERLINK("#'" &amp; C5064 &amp; "'!" &amp; J5064, J5064), "")</f>
        <v/>
      </c>
    </row>
    <row r="5065">
      <c r="B5065" s="21">
        <f>IF(AND(C5065&lt;&gt;"", J5065&lt;&gt;""), HYPERLINK("#'" &amp; C5065 &amp; "'!" &amp; J5065, J5065), "")</f>
        <v/>
      </c>
    </row>
    <row r="5066">
      <c r="B5066" s="21">
        <f>IF(AND(C5066&lt;&gt;"", J5066&lt;&gt;""), HYPERLINK("#'" &amp; C5066 &amp; "'!" &amp; J5066, J5066), "")</f>
        <v/>
      </c>
    </row>
    <row r="5067">
      <c r="B5067" s="21">
        <f>IF(AND(C5067&lt;&gt;"", J5067&lt;&gt;""), HYPERLINK("#'" &amp; C5067 &amp; "'!" &amp; J5067, J5067), "")</f>
        <v/>
      </c>
    </row>
    <row r="5068">
      <c r="B5068" s="21">
        <f>IF(AND(C5068&lt;&gt;"", J5068&lt;&gt;""), HYPERLINK("#'" &amp; C5068 &amp; "'!" &amp; J5068, J5068), "")</f>
        <v/>
      </c>
    </row>
    <row r="5069">
      <c r="B5069" s="21">
        <f>IF(AND(C5069&lt;&gt;"", J5069&lt;&gt;""), HYPERLINK("#'" &amp; C5069 &amp; "'!" &amp; J5069, J5069), "")</f>
        <v/>
      </c>
    </row>
    <row r="5070">
      <c r="B5070" s="21">
        <f>IF(AND(C5070&lt;&gt;"", J5070&lt;&gt;""), HYPERLINK("#'" &amp; C5070 &amp; "'!" &amp; J5070, J5070), "")</f>
        <v/>
      </c>
    </row>
    <row r="5071">
      <c r="B5071" s="21">
        <f>IF(AND(C5071&lt;&gt;"", J5071&lt;&gt;""), HYPERLINK("#'" &amp; C5071 &amp; "'!" &amp; J5071, J5071), "")</f>
        <v/>
      </c>
    </row>
    <row r="5072">
      <c r="B5072" s="21">
        <f>IF(AND(C5072&lt;&gt;"", J5072&lt;&gt;""), HYPERLINK("#'" &amp; C5072 &amp; "'!" &amp; J5072, J5072), "")</f>
        <v/>
      </c>
    </row>
    <row r="5073">
      <c r="B5073" s="21">
        <f>IF(AND(C5073&lt;&gt;"", J5073&lt;&gt;""), HYPERLINK("#'" &amp; C5073 &amp; "'!" &amp; J5073, J5073), "")</f>
        <v/>
      </c>
    </row>
    <row r="5074">
      <c r="B5074" s="21">
        <f>IF(AND(C5074&lt;&gt;"", J5074&lt;&gt;""), HYPERLINK("#'" &amp; C5074 &amp; "'!" &amp; J5074, J5074), "")</f>
        <v/>
      </c>
    </row>
    <row r="5075">
      <c r="B5075" s="21">
        <f>IF(AND(C5075&lt;&gt;"", J5075&lt;&gt;""), HYPERLINK("#'" &amp; C5075 &amp; "'!" &amp; J5075, J5075), "")</f>
        <v/>
      </c>
    </row>
    <row r="5076">
      <c r="B5076" s="21">
        <f>IF(AND(C5076&lt;&gt;"", J5076&lt;&gt;""), HYPERLINK("#'" &amp; C5076 &amp; "'!" &amp; J5076, J5076), "")</f>
        <v/>
      </c>
    </row>
    <row r="5077">
      <c r="B5077" s="21">
        <f>IF(AND(C5077&lt;&gt;"", J5077&lt;&gt;""), HYPERLINK("#'" &amp; C5077 &amp; "'!" &amp; J5077, J5077), "")</f>
        <v/>
      </c>
    </row>
    <row r="5078">
      <c r="B5078" s="21">
        <f>IF(AND(C5078&lt;&gt;"", J5078&lt;&gt;""), HYPERLINK("#'" &amp; C5078 &amp; "'!" &amp; J5078, J5078), "")</f>
        <v/>
      </c>
    </row>
    <row r="5079">
      <c r="B5079" s="21">
        <f>IF(AND(C5079&lt;&gt;"", J5079&lt;&gt;""), HYPERLINK("#'" &amp; C5079 &amp; "'!" &amp; J5079, J5079), "")</f>
        <v/>
      </c>
    </row>
    <row r="5080">
      <c r="B5080" s="21">
        <f>IF(AND(C5080&lt;&gt;"", J5080&lt;&gt;""), HYPERLINK("#'" &amp; C5080 &amp; "'!" &amp; J5080, J5080), "")</f>
        <v/>
      </c>
    </row>
    <row r="5081">
      <c r="B5081" s="21">
        <f>IF(AND(C5081&lt;&gt;"", J5081&lt;&gt;""), HYPERLINK("#'" &amp; C5081 &amp; "'!" &amp; J5081, J5081), "")</f>
        <v/>
      </c>
    </row>
    <row r="5082">
      <c r="B5082" s="21">
        <f>IF(AND(C5082&lt;&gt;"", J5082&lt;&gt;""), HYPERLINK("#'" &amp; C5082 &amp; "'!" &amp; J5082, J5082), "")</f>
        <v/>
      </c>
    </row>
    <row r="5083">
      <c r="B5083" s="21">
        <f>IF(AND(C5083&lt;&gt;"", J5083&lt;&gt;""), HYPERLINK("#'" &amp; C5083 &amp; "'!" &amp; J5083, J5083), "")</f>
        <v/>
      </c>
    </row>
    <row r="5084">
      <c r="B5084" s="21">
        <f>IF(AND(C5084&lt;&gt;"", J5084&lt;&gt;""), HYPERLINK("#'" &amp; C5084 &amp; "'!" &amp; J5084, J5084), "")</f>
        <v/>
      </c>
    </row>
    <row r="5085">
      <c r="B5085" s="21">
        <f>IF(AND(C5085&lt;&gt;"", J5085&lt;&gt;""), HYPERLINK("#'" &amp; C5085 &amp; "'!" &amp; J5085, J5085), "")</f>
        <v/>
      </c>
    </row>
    <row r="5086">
      <c r="B5086" s="21">
        <f>IF(AND(C5086&lt;&gt;"", J5086&lt;&gt;""), HYPERLINK("#'" &amp; C5086 &amp; "'!" &amp; J5086, J5086), "")</f>
        <v/>
      </c>
    </row>
    <row r="5087">
      <c r="B5087" s="21">
        <f>IF(AND(C5087&lt;&gt;"", J5087&lt;&gt;""), HYPERLINK("#'" &amp; C5087 &amp; "'!" &amp; J5087, J5087), "")</f>
        <v/>
      </c>
    </row>
    <row r="5088">
      <c r="B5088" s="21">
        <f>IF(AND(C5088&lt;&gt;"", J5088&lt;&gt;""), HYPERLINK("#'" &amp; C5088 &amp; "'!" &amp; J5088, J5088), "")</f>
        <v/>
      </c>
    </row>
    <row r="5089">
      <c r="B5089" s="21">
        <f>IF(AND(C5089&lt;&gt;"", J5089&lt;&gt;""), HYPERLINK("#'" &amp; C5089 &amp; "'!" &amp; J5089, J5089), "")</f>
        <v/>
      </c>
    </row>
    <row r="5090">
      <c r="B5090" s="21">
        <f>IF(AND(C5090&lt;&gt;"", J5090&lt;&gt;""), HYPERLINK("#'" &amp; C5090 &amp; "'!" &amp; J5090, J5090), "")</f>
        <v/>
      </c>
    </row>
    <row r="5091">
      <c r="B5091" s="21">
        <f>IF(AND(C5091&lt;&gt;"", J5091&lt;&gt;""), HYPERLINK("#'" &amp; C5091 &amp; "'!" &amp; J5091, J5091), "")</f>
        <v/>
      </c>
    </row>
    <row r="5092">
      <c r="B5092" s="21">
        <f>IF(AND(C5092&lt;&gt;"", J5092&lt;&gt;""), HYPERLINK("#'" &amp; C5092 &amp; "'!" &amp; J5092, J5092), "")</f>
        <v/>
      </c>
    </row>
    <row r="5093">
      <c r="B5093" s="21">
        <f>IF(AND(C5093&lt;&gt;"", J5093&lt;&gt;""), HYPERLINK("#'" &amp; C5093 &amp; "'!" &amp; J5093, J5093), "")</f>
        <v/>
      </c>
    </row>
    <row r="5094">
      <c r="B5094" s="21">
        <f>IF(AND(C5094&lt;&gt;"", J5094&lt;&gt;""), HYPERLINK("#'" &amp; C5094 &amp; "'!" &amp; J5094, J5094), "")</f>
        <v/>
      </c>
    </row>
    <row r="5095">
      <c r="B5095" s="21">
        <f>IF(AND(C5095&lt;&gt;"", J5095&lt;&gt;""), HYPERLINK("#'" &amp; C5095 &amp; "'!" &amp; J5095, J5095), "")</f>
        <v/>
      </c>
    </row>
    <row r="5096">
      <c r="B5096" s="21">
        <f>IF(AND(C5096&lt;&gt;"", J5096&lt;&gt;""), HYPERLINK("#'" &amp; C5096 &amp; "'!" &amp; J5096, J5096), "")</f>
        <v/>
      </c>
    </row>
    <row r="5097">
      <c r="B5097" s="21">
        <f>IF(AND(C5097&lt;&gt;"", J5097&lt;&gt;""), HYPERLINK("#'" &amp; C5097 &amp; "'!" &amp; J5097, J5097), "")</f>
        <v/>
      </c>
    </row>
    <row r="5098">
      <c r="B5098" s="21">
        <f>IF(AND(C5098&lt;&gt;"", J5098&lt;&gt;""), HYPERLINK("#'" &amp; C5098 &amp; "'!" &amp; J5098, J5098), "")</f>
        <v/>
      </c>
    </row>
    <row r="5099">
      <c r="B5099" s="21">
        <f>IF(AND(C5099&lt;&gt;"", J5099&lt;&gt;""), HYPERLINK("#'" &amp; C5099 &amp; "'!" &amp; J5099, J5099), "")</f>
        <v/>
      </c>
    </row>
    <row r="5100">
      <c r="B5100" s="21">
        <f>IF(AND(C5100&lt;&gt;"", J5100&lt;&gt;""), HYPERLINK("#'" &amp; C5100 &amp; "'!" &amp; J5100, J5100), "")</f>
        <v/>
      </c>
    </row>
    <row r="5101">
      <c r="B5101" s="21">
        <f>IF(AND(C5101&lt;&gt;"", J5101&lt;&gt;""), HYPERLINK("#'" &amp; C5101 &amp; "'!" &amp; J5101, J5101), "")</f>
        <v/>
      </c>
    </row>
    <row r="5102">
      <c r="B5102" s="21">
        <f>IF(AND(C5102&lt;&gt;"", J5102&lt;&gt;""), HYPERLINK("#'" &amp; C5102 &amp; "'!" &amp; J5102, J5102), "")</f>
        <v/>
      </c>
    </row>
    <row r="5103">
      <c r="B5103" s="21">
        <f>IF(AND(C5103&lt;&gt;"", J5103&lt;&gt;""), HYPERLINK("#'" &amp; C5103 &amp; "'!" &amp; J5103, J5103), "")</f>
        <v/>
      </c>
    </row>
    <row r="5104">
      <c r="B5104" s="21">
        <f>IF(AND(C5104&lt;&gt;"", J5104&lt;&gt;""), HYPERLINK("#'" &amp; C5104 &amp; "'!" &amp; J5104, J5104), "")</f>
        <v/>
      </c>
    </row>
    <row r="5105">
      <c r="B5105" s="21">
        <f>IF(AND(C5105&lt;&gt;"", J5105&lt;&gt;""), HYPERLINK("#'" &amp; C5105 &amp; "'!" &amp; J5105, J5105), "")</f>
        <v/>
      </c>
    </row>
    <row r="5106">
      <c r="B5106" s="21">
        <f>IF(AND(C5106&lt;&gt;"", J5106&lt;&gt;""), HYPERLINK("#'" &amp; C5106 &amp; "'!" &amp; J5106, J5106), "")</f>
        <v/>
      </c>
    </row>
    <row r="5107">
      <c r="B5107" s="21">
        <f>IF(AND(C5107&lt;&gt;"", J5107&lt;&gt;""), HYPERLINK("#'" &amp; C5107 &amp; "'!" &amp; J5107, J5107), "")</f>
        <v/>
      </c>
    </row>
    <row r="5108">
      <c r="B5108" s="21">
        <f>IF(AND(C5108&lt;&gt;"", J5108&lt;&gt;""), HYPERLINK("#'" &amp; C5108 &amp; "'!" &amp; J5108, J5108), "")</f>
        <v/>
      </c>
    </row>
    <row r="5109">
      <c r="B5109" s="21">
        <f>IF(AND(C5109&lt;&gt;"", J5109&lt;&gt;""), HYPERLINK("#'" &amp; C5109 &amp; "'!" &amp; J5109, J5109), "")</f>
        <v/>
      </c>
    </row>
    <row r="5110">
      <c r="B5110" s="21">
        <f>IF(AND(C5110&lt;&gt;"", J5110&lt;&gt;""), HYPERLINK("#'" &amp; C5110 &amp; "'!" &amp; J5110, J5110), "")</f>
        <v/>
      </c>
    </row>
    <row r="5111">
      <c r="B5111" s="21">
        <f>IF(AND(C5111&lt;&gt;"", J5111&lt;&gt;""), HYPERLINK("#'" &amp; C5111 &amp; "'!" &amp; J5111, J5111), "")</f>
        <v/>
      </c>
    </row>
    <row r="5112">
      <c r="B5112" s="21">
        <f>IF(AND(C5112&lt;&gt;"", J5112&lt;&gt;""), HYPERLINK("#'" &amp; C5112 &amp; "'!" &amp; J5112, J5112), "")</f>
        <v/>
      </c>
    </row>
    <row r="5113">
      <c r="B5113" s="21">
        <f>IF(AND(C5113&lt;&gt;"", J5113&lt;&gt;""), HYPERLINK("#'" &amp; C5113 &amp; "'!" &amp; J5113, J5113), "")</f>
        <v/>
      </c>
    </row>
    <row r="5114">
      <c r="B5114" s="21">
        <f>IF(AND(C5114&lt;&gt;"", J5114&lt;&gt;""), HYPERLINK("#'" &amp; C5114 &amp; "'!" &amp; J5114, J5114), "")</f>
        <v/>
      </c>
    </row>
    <row r="5115">
      <c r="B5115" s="21">
        <f>IF(AND(C5115&lt;&gt;"", J5115&lt;&gt;""), HYPERLINK("#'" &amp; C5115 &amp; "'!" &amp; J5115, J5115), "")</f>
        <v/>
      </c>
    </row>
    <row r="5116">
      <c r="B5116" s="21">
        <f>IF(AND(C5116&lt;&gt;"", J5116&lt;&gt;""), HYPERLINK("#'" &amp; C5116 &amp; "'!" &amp; J5116, J5116), "")</f>
        <v/>
      </c>
    </row>
    <row r="5117">
      <c r="B5117" s="21">
        <f>IF(AND(C5117&lt;&gt;"", J5117&lt;&gt;""), HYPERLINK("#'" &amp; C5117 &amp; "'!" &amp; J5117, J5117), "")</f>
        <v/>
      </c>
    </row>
    <row r="5118">
      <c r="B5118" s="21">
        <f>IF(AND(C5118&lt;&gt;"", J5118&lt;&gt;""), HYPERLINK("#'" &amp; C5118 &amp; "'!" &amp; J5118, J5118), "")</f>
        <v/>
      </c>
    </row>
    <row r="5119">
      <c r="B5119" s="21">
        <f>IF(AND(C5119&lt;&gt;"", J5119&lt;&gt;""), HYPERLINK("#'" &amp; C5119 &amp; "'!" &amp; J5119, J5119), "")</f>
        <v/>
      </c>
    </row>
    <row r="5120">
      <c r="B5120" s="21">
        <f>IF(AND(C5120&lt;&gt;"", J5120&lt;&gt;""), HYPERLINK("#'" &amp; C5120 &amp; "'!" &amp; J5120, J5120), "")</f>
        <v/>
      </c>
    </row>
    <row r="5121">
      <c r="B5121" s="21">
        <f>IF(AND(C5121&lt;&gt;"", J5121&lt;&gt;""), HYPERLINK("#'" &amp; C5121 &amp; "'!" &amp; J5121, J5121), "")</f>
        <v/>
      </c>
    </row>
    <row r="5122">
      <c r="B5122" s="21">
        <f>IF(AND(C5122&lt;&gt;"", J5122&lt;&gt;""), HYPERLINK("#'" &amp; C5122 &amp; "'!" &amp; J5122, J5122), "")</f>
        <v/>
      </c>
    </row>
    <row r="5123">
      <c r="B5123" s="21">
        <f>IF(AND(C5123&lt;&gt;"", J5123&lt;&gt;""), HYPERLINK("#'" &amp; C5123 &amp; "'!" &amp; J5123, J5123), "")</f>
        <v/>
      </c>
    </row>
    <row r="5124">
      <c r="B5124" s="21">
        <f>IF(AND(C5124&lt;&gt;"", J5124&lt;&gt;""), HYPERLINK("#'" &amp; C5124 &amp; "'!" &amp; J5124, J5124), "")</f>
        <v/>
      </c>
    </row>
    <row r="5125">
      <c r="B5125" s="21">
        <f>IF(AND(C5125&lt;&gt;"", J5125&lt;&gt;""), HYPERLINK("#'" &amp; C5125 &amp; "'!" &amp; J5125, J5125), "")</f>
        <v/>
      </c>
    </row>
    <row r="5126">
      <c r="B5126" s="21">
        <f>IF(AND(C5126&lt;&gt;"", J5126&lt;&gt;""), HYPERLINK("#'" &amp; C5126 &amp; "'!" &amp; J5126, J5126), "")</f>
        <v/>
      </c>
    </row>
    <row r="5127">
      <c r="B5127" s="21">
        <f>IF(AND(C5127&lt;&gt;"", J5127&lt;&gt;""), HYPERLINK("#'" &amp; C5127 &amp; "'!" &amp; J5127, J5127), "")</f>
        <v/>
      </c>
    </row>
    <row r="5128">
      <c r="B5128" s="21">
        <f>IF(AND(C5128&lt;&gt;"", J5128&lt;&gt;""), HYPERLINK("#'" &amp; C5128 &amp; "'!" &amp; J5128, J5128), "")</f>
        <v/>
      </c>
    </row>
    <row r="5129">
      <c r="B5129" s="21">
        <f>IF(AND(C5129&lt;&gt;"", J5129&lt;&gt;""), HYPERLINK("#'" &amp; C5129 &amp; "'!" &amp; J5129, J5129), "")</f>
        <v/>
      </c>
    </row>
    <row r="5130">
      <c r="B5130" s="21">
        <f>IF(AND(C5130&lt;&gt;"", J5130&lt;&gt;""), HYPERLINK("#'" &amp; C5130 &amp; "'!" &amp; J5130, J5130), "")</f>
        <v/>
      </c>
    </row>
    <row r="5131">
      <c r="B5131" s="21">
        <f>IF(AND(C5131&lt;&gt;"", J5131&lt;&gt;""), HYPERLINK("#'" &amp; C5131 &amp; "'!" &amp; J5131, J5131), "")</f>
        <v/>
      </c>
    </row>
    <row r="5132">
      <c r="B5132" s="21">
        <f>IF(AND(C5132&lt;&gt;"", J5132&lt;&gt;""), HYPERLINK("#'" &amp; C5132 &amp; "'!" &amp; J5132, J5132), "")</f>
        <v/>
      </c>
    </row>
    <row r="5133">
      <c r="B5133" s="21">
        <f>IF(AND(C5133&lt;&gt;"", J5133&lt;&gt;""), HYPERLINK("#'" &amp; C5133 &amp; "'!" &amp; J5133, J5133), "")</f>
        <v/>
      </c>
    </row>
    <row r="5134">
      <c r="B5134" s="21">
        <f>IF(AND(C5134&lt;&gt;"", J5134&lt;&gt;""), HYPERLINK("#'" &amp; C5134 &amp; "'!" &amp; J5134, J5134), "")</f>
        <v/>
      </c>
    </row>
    <row r="5135">
      <c r="B5135" s="21">
        <f>IF(AND(C5135&lt;&gt;"", J5135&lt;&gt;""), HYPERLINK("#'" &amp; C5135 &amp; "'!" &amp; J5135, J5135), "")</f>
        <v/>
      </c>
    </row>
    <row r="5136">
      <c r="B5136" s="21">
        <f>IF(AND(C5136&lt;&gt;"", J5136&lt;&gt;""), HYPERLINK("#'" &amp; C5136 &amp; "'!" &amp; J5136, J5136), "")</f>
        <v/>
      </c>
    </row>
    <row r="5137">
      <c r="B5137" s="21">
        <f>IF(AND(C5137&lt;&gt;"", J5137&lt;&gt;""), HYPERLINK("#'" &amp; C5137 &amp; "'!" &amp; J5137, J5137), "")</f>
        <v/>
      </c>
    </row>
    <row r="5138">
      <c r="B5138" s="21">
        <f>IF(AND(C5138&lt;&gt;"", J5138&lt;&gt;""), HYPERLINK("#'" &amp; C5138 &amp; "'!" &amp; J5138, J5138), "")</f>
        <v/>
      </c>
    </row>
    <row r="5139">
      <c r="B5139" s="21">
        <f>IF(AND(C5139&lt;&gt;"", J5139&lt;&gt;""), HYPERLINK("#'" &amp; C5139 &amp; "'!" &amp; J5139, J5139), "")</f>
        <v/>
      </c>
    </row>
    <row r="5140">
      <c r="B5140" s="21">
        <f>IF(AND(C5140&lt;&gt;"", J5140&lt;&gt;""), HYPERLINK("#'" &amp; C5140 &amp; "'!" &amp; J5140, J5140), "")</f>
        <v/>
      </c>
    </row>
    <row r="5141">
      <c r="B5141" s="21">
        <f>IF(AND(C5141&lt;&gt;"", J5141&lt;&gt;""), HYPERLINK("#'" &amp; C5141 &amp; "'!" &amp; J5141, J5141), "")</f>
        <v/>
      </c>
    </row>
    <row r="5142">
      <c r="B5142" s="21">
        <f>IF(AND(C5142&lt;&gt;"", J5142&lt;&gt;""), HYPERLINK("#'" &amp; C5142 &amp; "'!" &amp; J5142, J5142), "")</f>
        <v/>
      </c>
    </row>
    <row r="5143">
      <c r="B5143" s="21">
        <f>IF(AND(C5143&lt;&gt;"", J5143&lt;&gt;""), HYPERLINK("#'" &amp; C5143 &amp; "'!" &amp; J5143, J5143), "")</f>
        <v/>
      </c>
    </row>
    <row r="5144">
      <c r="B5144" s="21">
        <f>IF(AND(C5144&lt;&gt;"", J5144&lt;&gt;""), HYPERLINK("#'" &amp; C5144 &amp; "'!" &amp; J5144, J5144), "")</f>
        <v/>
      </c>
    </row>
    <row r="5145">
      <c r="B5145" s="21">
        <f>IF(AND(C5145&lt;&gt;"", J5145&lt;&gt;""), HYPERLINK("#'" &amp; C5145 &amp; "'!" &amp; J5145, J5145), "")</f>
        <v/>
      </c>
    </row>
    <row r="5146">
      <c r="B5146" s="21">
        <f>IF(AND(C5146&lt;&gt;"", J5146&lt;&gt;""), HYPERLINK("#'" &amp; C5146 &amp; "'!" &amp; J5146, J5146), "")</f>
        <v/>
      </c>
    </row>
    <row r="5147">
      <c r="B5147" s="21">
        <f>IF(AND(C5147&lt;&gt;"", J5147&lt;&gt;""), HYPERLINK("#'" &amp; C5147 &amp; "'!" &amp; J5147, J5147), "")</f>
        <v/>
      </c>
    </row>
    <row r="5148">
      <c r="B5148" s="21">
        <f>IF(AND(C5148&lt;&gt;"", J5148&lt;&gt;""), HYPERLINK("#'" &amp; C5148 &amp; "'!" &amp; J5148, J5148), "")</f>
        <v/>
      </c>
    </row>
    <row r="5149">
      <c r="B5149" s="21">
        <f>IF(AND(C5149&lt;&gt;"", J5149&lt;&gt;""), HYPERLINK("#'" &amp; C5149 &amp; "'!" &amp; J5149, J5149), "")</f>
        <v/>
      </c>
    </row>
    <row r="5150">
      <c r="B5150" s="21">
        <f>IF(AND(C5150&lt;&gt;"", J5150&lt;&gt;""), HYPERLINK("#'" &amp; C5150 &amp; "'!" &amp; J5150, J5150), "")</f>
        <v/>
      </c>
    </row>
    <row r="5151">
      <c r="B5151" s="21">
        <f>IF(AND(C5151&lt;&gt;"", J5151&lt;&gt;""), HYPERLINK("#'" &amp; C5151 &amp; "'!" &amp; J5151, J5151), "")</f>
        <v/>
      </c>
    </row>
    <row r="5152">
      <c r="B5152" s="21">
        <f>IF(AND(C5152&lt;&gt;"", J5152&lt;&gt;""), HYPERLINK("#'" &amp; C5152 &amp; "'!" &amp; J5152, J5152), "")</f>
        <v/>
      </c>
    </row>
    <row r="5153">
      <c r="B5153" s="21">
        <f>IF(AND(C5153&lt;&gt;"", J5153&lt;&gt;""), HYPERLINK("#'" &amp; C5153 &amp; "'!" &amp; J5153, J5153), "")</f>
        <v/>
      </c>
    </row>
    <row r="5154">
      <c r="B5154" s="21">
        <f>IF(AND(C5154&lt;&gt;"", J5154&lt;&gt;""), HYPERLINK("#'" &amp; C5154 &amp; "'!" &amp; J5154, J5154), "")</f>
        <v/>
      </c>
    </row>
    <row r="5155">
      <c r="B5155" s="21">
        <f>IF(AND(C5155&lt;&gt;"", J5155&lt;&gt;""), HYPERLINK("#'" &amp; C5155 &amp; "'!" &amp; J5155, J5155), "")</f>
        <v/>
      </c>
    </row>
    <row r="5156">
      <c r="B5156" s="21">
        <f>IF(AND(C5156&lt;&gt;"", J5156&lt;&gt;""), HYPERLINK("#'" &amp; C5156 &amp; "'!" &amp; J5156, J5156), "")</f>
        <v/>
      </c>
    </row>
    <row r="5157">
      <c r="B5157" s="21">
        <f>IF(AND(C5157&lt;&gt;"", J5157&lt;&gt;""), HYPERLINK("#'" &amp; C5157 &amp; "'!" &amp; J5157, J5157), "")</f>
        <v/>
      </c>
    </row>
    <row r="5158">
      <c r="B5158" s="21">
        <f>IF(AND(C5158&lt;&gt;"", J5158&lt;&gt;""), HYPERLINK("#'" &amp; C5158 &amp; "'!" &amp; J5158, J5158), "")</f>
        <v/>
      </c>
    </row>
    <row r="5159">
      <c r="B5159" s="21">
        <f>IF(AND(C5159&lt;&gt;"", J5159&lt;&gt;""), HYPERLINK("#'" &amp; C5159 &amp; "'!" &amp; J5159, J5159), "")</f>
        <v/>
      </c>
    </row>
    <row r="5160">
      <c r="B5160" s="21">
        <f>IF(AND(C5160&lt;&gt;"", J5160&lt;&gt;""), HYPERLINK("#'" &amp; C5160 &amp; "'!" &amp; J5160, J5160), "")</f>
        <v/>
      </c>
    </row>
    <row r="5161">
      <c r="B5161" s="21">
        <f>IF(AND(C5161&lt;&gt;"", J5161&lt;&gt;""), HYPERLINK("#'" &amp; C5161 &amp; "'!" &amp; J5161, J5161), "")</f>
        <v/>
      </c>
    </row>
    <row r="5162">
      <c r="B5162" s="21">
        <f>IF(AND(C5162&lt;&gt;"", J5162&lt;&gt;""), HYPERLINK("#'" &amp; C5162 &amp; "'!" &amp; J5162, J5162), "")</f>
        <v/>
      </c>
    </row>
    <row r="5163">
      <c r="B5163" s="21">
        <f>IF(AND(C5163&lt;&gt;"", J5163&lt;&gt;""), HYPERLINK("#'" &amp; C5163 &amp; "'!" &amp; J5163, J5163), "")</f>
        <v/>
      </c>
    </row>
    <row r="5164">
      <c r="B5164" s="21">
        <f>IF(AND(C5164&lt;&gt;"", J5164&lt;&gt;""), HYPERLINK("#'" &amp; C5164 &amp; "'!" &amp; J5164, J5164), "")</f>
        <v/>
      </c>
    </row>
    <row r="5165">
      <c r="B5165" s="21">
        <f>IF(AND(C5165&lt;&gt;"", J5165&lt;&gt;""), HYPERLINK("#'" &amp; C5165 &amp; "'!" &amp; J5165, J5165), "")</f>
        <v/>
      </c>
    </row>
    <row r="5166">
      <c r="B5166" s="21">
        <f>IF(AND(C5166&lt;&gt;"", J5166&lt;&gt;""), HYPERLINK("#'" &amp; C5166 &amp; "'!" &amp; J5166, J5166), "")</f>
        <v/>
      </c>
    </row>
    <row r="5167">
      <c r="B5167" s="21">
        <f>IF(AND(C5167&lt;&gt;"", J5167&lt;&gt;""), HYPERLINK("#'" &amp; C5167 &amp; "'!" &amp; J5167, J5167), "")</f>
        <v/>
      </c>
    </row>
    <row r="5168">
      <c r="B5168" s="21">
        <f>IF(AND(C5168&lt;&gt;"", J5168&lt;&gt;""), HYPERLINK("#'" &amp; C5168 &amp; "'!" &amp; J5168, J5168), "")</f>
        <v/>
      </c>
    </row>
    <row r="5169">
      <c r="B5169" s="21">
        <f>IF(AND(C5169&lt;&gt;"", J5169&lt;&gt;""), HYPERLINK("#'" &amp; C5169 &amp; "'!" &amp; J5169, J5169), "")</f>
        <v/>
      </c>
    </row>
    <row r="5170">
      <c r="B5170" s="21">
        <f>IF(AND(C5170&lt;&gt;"", J5170&lt;&gt;""), HYPERLINK("#'" &amp; C5170 &amp; "'!" &amp; J5170, J5170), "")</f>
        <v/>
      </c>
    </row>
    <row r="5171">
      <c r="B5171" s="21">
        <f>IF(AND(C5171&lt;&gt;"", J5171&lt;&gt;""), HYPERLINK("#'" &amp; C5171 &amp; "'!" &amp; J5171, J5171), "")</f>
        <v/>
      </c>
    </row>
    <row r="5172">
      <c r="B5172" s="21">
        <f>IF(AND(C5172&lt;&gt;"", J5172&lt;&gt;""), HYPERLINK("#'" &amp; C5172 &amp; "'!" &amp; J5172, J5172), "")</f>
        <v/>
      </c>
    </row>
    <row r="5173">
      <c r="B5173" s="21">
        <f>IF(AND(C5173&lt;&gt;"", J5173&lt;&gt;""), HYPERLINK("#'" &amp; C5173 &amp; "'!" &amp; J5173, J5173), "")</f>
        <v/>
      </c>
    </row>
    <row r="5174">
      <c r="B5174" s="21">
        <f>IF(AND(C5174&lt;&gt;"", J5174&lt;&gt;""), HYPERLINK("#'" &amp; C5174 &amp; "'!" &amp; J5174, J5174), "")</f>
        <v/>
      </c>
    </row>
    <row r="5175">
      <c r="B5175" s="21">
        <f>IF(AND(C5175&lt;&gt;"", J5175&lt;&gt;""), HYPERLINK("#'" &amp; C5175 &amp; "'!" &amp; J5175, J5175), "")</f>
        <v/>
      </c>
    </row>
    <row r="5176">
      <c r="B5176" s="21">
        <f>IF(AND(C5176&lt;&gt;"", J5176&lt;&gt;""), HYPERLINK("#'" &amp; C5176 &amp; "'!" &amp; J5176, J5176), "")</f>
        <v/>
      </c>
    </row>
    <row r="5177">
      <c r="B5177" s="21">
        <f>IF(AND(C5177&lt;&gt;"", J5177&lt;&gt;""), HYPERLINK("#'" &amp; C5177 &amp; "'!" &amp; J5177, J5177), "")</f>
        <v/>
      </c>
    </row>
    <row r="5178">
      <c r="B5178" s="21">
        <f>IF(AND(C5178&lt;&gt;"", J5178&lt;&gt;""), HYPERLINK("#'" &amp; C5178 &amp; "'!" &amp; J5178, J5178), "")</f>
        <v/>
      </c>
    </row>
    <row r="5179">
      <c r="B5179" s="21">
        <f>IF(AND(C5179&lt;&gt;"", J5179&lt;&gt;""), HYPERLINK("#'" &amp; C5179 &amp; "'!" &amp; J5179, J5179), "")</f>
        <v/>
      </c>
    </row>
    <row r="5180">
      <c r="B5180" s="21">
        <f>IF(AND(C5180&lt;&gt;"", J5180&lt;&gt;""), HYPERLINK("#'" &amp; C5180 &amp; "'!" &amp; J5180, J5180), "")</f>
        <v/>
      </c>
    </row>
    <row r="5181">
      <c r="B5181" s="21">
        <f>IF(AND(C5181&lt;&gt;"", J5181&lt;&gt;""), HYPERLINK("#'" &amp; C5181 &amp; "'!" &amp; J5181, J5181), "")</f>
        <v/>
      </c>
    </row>
    <row r="5182">
      <c r="B5182" s="21">
        <f>IF(AND(C5182&lt;&gt;"", J5182&lt;&gt;""), HYPERLINK("#'" &amp; C5182 &amp; "'!" &amp; J5182, J5182), "")</f>
        <v/>
      </c>
    </row>
    <row r="5183">
      <c r="B5183" s="21">
        <f>IF(AND(C5183&lt;&gt;"", J5183&lt;&gt;""), HYPERLINK("#'" &amp; C5183 &amp; "'!" &amp; J5183, J5183), "")</f>
        <v/>
      </c>
    </row>
    <row r="5184">
      <c r="B5184" s="21">
        <f>IF(AND(C5184&lt;&gt;"", J5184&lt;&gt;""), HYPERLINK("#'" &amp; C5184 &amp; "'!" &amp; J5184, J5184), "")</f>
        <v/>
      </c>
    </row>
    <row r="5185">
      <c r="B5185" s="21">
        <f>IF(AND(C5185&lt;&gt;"", J5185&lt;&gt;""), HYPERLINK("#'" &amp; C5185 &amp; "'!" &amp; J5185, J5185), "")</f>
        <v/>
      </c>
    </row>
    <row r="5186">
      <c r="B5186" s="21">
        <f>IF(AND(C5186&lt;&gt;"", J5186&lt;&gt;""), HYPERLINK("#'" &amp; C5186 &amp; "'!" &amp; J5186, J5186), "")</f>
        <v/>
      </c>
    </row>
    <row r="5187">
      <c r="B5187" s="21">
        <f>IF(AND(C5187&lt;&gt;"", J5187&lt;&gt;""), HYPERLINK("#'" &amp; C5187 &amp; "'!" &amp; J5187, J5187), "")</f>
        <v/>
      </c>
    </row>
    <row r="5188">
      <c r="B5188" s="21">
        <f>IF(AND(C5188&lt;&gt;"", J5188&lt;&gt;""), HYPERLINK("#'" &amp; C5188 &amp; "'!" &amp; J5188, J5188), "")</f>
        <v/>
      </c>
    </row>
    <row r="5189">
      <c r="B5189" s="21">
        <f>IF(AND(C5189&lt;&gt;"", J5189&lt;&gt;""), HYPERLINK("#'" &amp; C5189 &amp; "'!" &amp; J5189, J5189), "")</f>
        <v/>
      </c>
    </row>
    <row r="5190">
      <c r="B5190" s="21">
        <f>IF(AND(C5190&lt;&gt;"", J5190&lt;&gt;""), HYPERLINK("#'" &amp; C5190 &amp; "'!" &amp; J5190, J5190), "")</f>
        <v/>
      </c>
    </row>
    <row r="5191">
      <c r="B5191" s="21">
        <f>IF(AND(C5191&lt;&gt;"", J5191&lt;&gt;""), HYPERLINK("#'" &amp; C5191 &amp; "'!" &amp; J5191, J5191), "")</f>
        <v/>
      </c>
    </row>
    <row r="5192">
      <c r="B5192" s="21">
        <f>IF(AND(C5192&lt;&gt;"", J5192&lt;&gt;""), HYPERLINK("#'" &amp; C5192 &amp; "'!" &amp; J5192, J5192), "")</f>
        <v/>
      </c>
    </row>
    <row r="5193">
      <c r="B5193" s="21">
        <f>IF(AND(C5193&lt;&gt;"", J5193&lt;&gt;""), HYPERLINK("#'" &amp; C5193 &amp; "'!" &amp; J5193, J5193), "")</f>
        <v/>
      </c>
    </row>
    <row r="5194">
      <c r="B5194" s="21">
        <f>IF(AND(C5194&lt;&gt;"", J5194&lt;&gt;""), HYPERLINK("#'" &amp; C5194 &amp; "'!" &amp; J5194, J5194), "")</f>
        <v/>
      </c>
    </row>
    <row r="5195">
      <c r="B5195" s="21">
        <f>IF(AND(C5195&lt;&gt;"", J5195&lt;&gt;""), HYPERLINK("#'" &amp; C5195 &amp; "'!" &amp; J5195, J5195), "")</f>
        <v/>
      </c>
    </row>
    <row r="5196">
      <c r="B5196" s="21">
        <f>IF(AND(C5196&lt;&gt;"", J5196&lt;&gt;""), HYPERLINK("#'" &amp; C5196 &amp; "'!" &amp; J5196, J5196), "")</f>
        <v/>
      </c>
    </row>
    <row r="5197">
      <c r="B5197" s="21">
        <f>IF(AND(C5197&lt;&gt;"", J5197&lt;&gt;""), HYPERLINK("#'" &amp; C5197 &amp; "'!" &amp; J5197, J5197), "")</f>
        <v/>
      </c>
    </row>
    <row r="5198">
      <c r="B5198" s="21">
        <f>IF(AND(C5198&lt;&gt;"", J5198&lt;&gt;""), HYPERLINK("#'" &amp; C5198 &amp; "'!" &amp; J5198, J5198), "")</f>
        <v/>
      </c>
    </row>
    <row r="5199">
      <c r="B5199" s="21">
        <f>IF(AND(C5199&lt;&gt;"", J5199&lt;&gt;""), HYPERLINK("#'" &amp; C5199 &amp; "'!" &amp; J5199, J5199), "")</f>
        <v/>
      </c>
    </row>
    <row r="5200">
      <c r="B5200" s="21">
        <f>IF(AND(C5200&lt;&gt;"", J5200&lt;&gt;""), HYPERLINK("#'" &amp; C5200 &amp; "'!" &amp; J5200, J5200), "")</f>
        <v/>
      </c>
    </row>
    <row r="5201">
      <c r="B5201" s="21">
        <f>IF(AND(C5201&lt;&gt;"", J5201&lt;&gt;""), HYPERLINK("#'" &amp; C5201 &amp; "'!" &amp; J5201, J5201), "")</f>
        <v/>
      </c>
    </row>
    <row r="5202">
      <c r="B5202" s="21">
        <f>IF(AND(C5202&lt;&gt;"", J5202&lt;&gt;""), HYPERLINK("#'" &amp; C5202 &amp; "'!" &amp; J5202, J5202), "")</f>
        <v/>
      </c>
    </row>
    <row r="5203">
      <c r="B5203" s="21">
        <f>IF(AND(C5203&lt;&gt;"", J5203&lt;&gt;""), HYPERLINK("#'" &amp; C5203 &amp; "'!" &amp; J5203, J5203), "")</f>
        <v/>
      </c>
    </row>
    <row r="5204">
      <c r="B5204" s="21">
        <f>IF(AND(C5204&lt;&gt;"", J5204&lt;&gt;""), HYPERLINK("#'" &amp; C5204 &amp; "'!" &amp; J5204, J5204), "")</f>
        <v/>
      </c>
    </row>
    <row r="5205">
      <c r="B5205" s="21">
        <f>IF(AND(C5205&lt;&gt;"", J5205&lt;&gt;""), HYPERLINK("#'" &amp; C5205 &amp; "'!" &amp; J5205, J5205), "")</f>
        <v/>
      </c>
    </row>
    <row r="5206">
      <c r="B5206" s="21">
        <f>IF(AND(C5206&lt;&gt;"", J5206&lt;&gt;""), HYPERLINK("#'" &amp; C5206 &amp; "'!" &amp; J5206, J5206), "")</f>
        <v/>
      </c>
    </row>
    <row r="5207">
      <c r="B5207" s="21">
        <f>IF(AND(C5207&lt;&gt;"", J5207&lt;&gt;""), HYPERLINK("#'" &amp; C5207 &amp; "'!" &amp; J5207, J5207), "")</f>
        <v/>
      </c>
    </row>
    <row r="5208">
      <c r="B5208" s="21">
        <f>IF(AND(C5208&lt;&gt;"", J5208&lt;&gt;""), HYPERLINK("#'" &amp; C5208 &amp; "'!" &amp; J5208, J5208), "")</f>
        <v/>
      </c>
    </row>
    <row r="5209">
      <c r="B5209" s="21">
        <f>IF(AND(C5209&lt;&gt;"", J5209&lt;&gt;""), HYPERLINK("#'" &amp; C5209 &amp; "'!" &amp; J5209, J5209), "")</f>
        <v/>
      </c>
    </row>
    <row r="5210">
      <c r="B5210" s="21">
        <f>IF(AND(C5210&lt;&gt;"", J5210&lt;&gt;""), HYPERLINK("#'" &amp; C5210 &amp; "'!" &amp; J5210, J5210), "")</f>
        <v/>
      </c>
    </row>
    <row r="5211">
      <c r="B5211" s="21">
        <f>IF(AND(C5211&lt;&gt;"", J5211&lt;&gt;""), HYPERLINK("#'" &amp; C5211 &amp; "'!" &amp; J5211, J5211), "")</f>
        <v/>
      </c>
    </row>
    <row r="5212">
      <c r="B5212" s="21">
        <f>IF(AND(C5212&lt;&gt;"", J5212&lt;&gt;""), HYPERLINK("#'" &amp; C5212 &amp; "'!" &amp; J5212, J5212), "")</f>
        <v/>
      </c>
    </row>
    <row r="5213">
      <c r="B5213" s="21">
        <f>IF(AND(C5213&lt;&gt;"", J5213&lt;&gt;""), HYPERLINK("#'" &amp; C5213 &amp; "'!" &amp; J5213, J5213), "")</f>
        <v/>
      </c>
    </row>
    <row r="5214">
      <c r="B5214" s="21">
        <f>IF(AND(C5214&lt;&gt;"", J5214&lt;&gt;""), HYPERLINK("#'" &amp; C5214 &amp; "'!" &amp; J5214, J5214), "")</f>
        <v/>
      </c>
    </row>
    <row r="5215">
      <c r="B5215" s="21">
        <f>IF(AND(C5215&lt;&gt;"", J5215&lt;&gt;""), HYPERLINK("#'" &amp; C5215 &amp; "'!" &amp; J5215, J5215), "")</f>
        <v/>
      </c>
    </row>
    <row r="5216">
      <c r="B5216" s="21">
        <f>IF(AND(C5216&lt;&gt;"", J5216&lt;&gt;""), HYPERLINK("#'" &amp; C5216 &amp; "'!" &amp; J5216, J5216), "")</f>
        <v/>
      </c>
    </row>
    <row r="5217">
      <c r="B5217" s="21">
        <f>IF(AND(C5217&lt;&gt;"", J5217&lt;&gt;""), HYPERLINK("#'" &amp; C5217 &amp; "'!" &amp; J5217, J5217), "")</f>
        <v/>
      </c>
    </row>
    <row r="5218">
      <c r="B5218" s="21">
        <f>IF(AND(C5218&lt;&gt;"", J5218&lt;&gt;""), HYPERLINK("#'" &amp; C5218 &amp; "'!" &amp; J5218, J5218), "")</f>
        <v/>
      </c>
    </row>
    <row r="5219">
      <c r="B5219" s="21">
        <f>IF(AND(C5219&lt;&gt;"", J5219&lt;&gt;""), HYPERLINK("#'" &amp; C5219 &amp; "'!" &amp; J5219, J5219), "")</f>
        <v/>
      </c>
    </row>
    <row r="5220">
      <c r="B5220" s="21">
        <f>IF(AND(C5220&lt;&gt;"", J5220&lt;&gt;""), HYPERLINK("#'" &amp; C5220 &amp; "'!" &amp; J5220, J5220), "")</f>
        <v/>
      </c>
    </row>
    <row r="5221">
      <c r="B5221" s="21">
        <f>IF(AND(C5221&lt;&gt;"", J5221&lt;&gt;""), HYPERLINK("#'" &amp; C5221 &amp; "'!" &amp; J5221, J5221), "")</f>
        <v/>
      </c>
    </row>
    <row r="5222">
      <c r="B5222" s="21">
        <f>IF(AND(C5222&lt;&gt;"", J5222&lt;&gt;""), HYPERLINK("#'" &amp; C5222 &amp; "'!" &amp; J5222, J5222), "")</f>
        <v/>
      </c>
    </row>
    <row r="5223">
      <c r="B5223" s="21">
        <f>IF(AND(C5223&lt;&gt;"", J5223&lt;&gt;""), HYPERLINK("#'" &amp; C5223 &amp; "'!" &amp; J5223, J5223), "")</f>
        <v/>
      </c>
    </row>
    <row r="5224">
      <c r="B5224" s="21">
        <f>IF(AND(C5224&lt;&gt;"", J5224&lt;&gt;""), HYPERLINK("#'" &amp; C5224 &amp; "'!" &amp; J5224, J5224), "")</f>
        <v/>
      </c>
    </row>
    <row r="5225">
      <c r="B5225" s="21">
        <f>IF(AND(C5225&lt;&gt;"", J5225&lt;&gt;""), HYPERLINK("#'" &amp; C5225 &amp; "'!" &amp; J5225, J5225), "")</f>
        <v/>
      </c>
    </row>
    <row r="5226">
      <c r="B5226" s="21">
        <f>IF(AND(C5226&lt;&gt;"", J5226&lt;&gt;""), HYPERLINK("#'" &amp; C5226 &amp; "'!" &amp; J5226, J5226), "")</f>
        <v/>
      </c>
    </row>
    <row r="5227">
      <c r="B5227" s="21">
        <f>IF(AND(C5227&lt;&gt;"", J5227&lt;&gt;""), HYPERLINK("#'" &amp; C5227 &amp; "'!" &amp; J5227, J5227), "")</f>
        <v/>
      </c>
    </row>
    <row r="5228">
      <c r="B5228" s="21">
        <f>IF(AND(C5228&lt;&gt;"", J5228&lt;&gt;""), HYPERLINK("#'" &amp; C5228 &amp; "'!" &amp; J5228, J5228), "")</f>
        <v/>
      </c>
    </row>
    <row r="5229">
      <c r="B5229" s="21">
        <f>IF(AND(C5229&lt;&gt;"", J5229&lt;&gt;""), HYPERLINK("#'" &amp; C5229 &amp; "'!" &amp; J5229, J5229), "")</f>
        <v/>
      </c>
    </row>
    <row r="5230">
      <c r="B5230" s="21">
        <f>IF(AND(C5230&lt;&gt;"", J5230&lt;&gt;""), HYPERLINK("#'" &amp; C5230 &amp; "'!" &amp; J5230, J5230), "")</f>
        <v/>
      </c>
    </row>
    <row r="5231">
      <c r="B5231" s="21">
        <f>IF(AND(C5231&lt;&gt;"", J5231&lt;&gt;""), HYPERLINK("#'" &amp; C5231 &amp; "'!" &amp; J5231, J5231), "")</f>
        <v/>
      </c>
    </row>
    <row r="5232">
      <c r="B5232" s="21">
        <f>IF(AND(C5232&lt;&gt;"", J5232&lt;&gt;""), HYPERLINK("#'" &amp; C5232 &amp; "'!" &amp; J5232, J5232), "")</f>
        <v/>
      </c>
    </row>
    <row r="5233">
      <c r="B5233" s="21">
        <f>IF(AND(C5233&lt;&gt;"", J5233&lt;&gt;""), HYPERLINK("#'" &amp; C5233 &amp; "'!" &amp; J5233, J5233), "")</f>
        <v/>
      </c>
    </row>
    <row r="5234">
      <c r="B5234" s="21">
        <f>IF(AND(C5234&lt;&gt;"", J5234&lt;&gt;""), HYPERLINK("#'" &amp; C5234 &amp; "'!" &amp; J5234, J5234), "")</f>
        <v/>
      </c>
    </row>
    <row r="5235">
      <c r="B5235" s="21">
        <f>IF(AND(C5235&lt;&gt;"", J5235&lt;&gt;""), HYPERLINK("#'" &amp; C5235 &amp; "'!" &amp; J5235, J5235), "")</f>
        <v/>
      </c>
    </row>
    <row r="5236">
      <c r="B5236" s="21">
        <f>IF(AND(C5236&lt;&gt;"", J5236&lt;&gt;""), HYPERLINK("#'" &amp; C5236 &amp; "'!" &amp; J5236, J5236), "")</f>
        <v/>
      </c>
    </row>
    <row r="5237">
      <c r="B5237" s="21">
        <f>IF(AND(C5237&lt;&gt;"", J5237&lt;&gt;""), HYPERLINK("#'" &amp; C5237 &amp; "'!" &amp; J5237, J5237), "")</f>
        <v/>
      </c>
    </row>
    <row r="5238">
      <c r="B5238" s="21">
        <f>IF(AND(C5238&lt;&gt;"", J5238&lt;&gt;""), HYPERLINK("#'" &amp; C5238 &amp; "'!" &amp; J5238, J5238), "")</f>
        <v/>
      </c>
    </row>
    <row r="5239">
      <c r="B5239" s="21">
        <f>IF(AND(C5239&lt;&gt;"", J5239&lt;&gt;""), HYPERLINK("#'" &amp; C5239 &amp; "'!" &amp; J5239, J5239), "")</f>
        <v/>
      </c>
    </row>
    <row r="5240">
      <c r="B5240" s="21">
        <f>IF(AND(C5240&lt;&gt;"", J5240&lt;&gt;""), HYPERLINK("#'" &amp; C5240 &amp; "'!" &amp; J5240, J5240), "")</f>
        <v/>
      </c>
    </row>
    <row r="5241">
      <c r="B5241" s="21">
        <f>IF(AND(C5241&lt;&gt;"", J5241&lt;&gt;""), HYPERLINK("#'" &amp; C5241 &amp; "'!" &amp; J5241, J5241), "")</f>
        <v/>
      </c>
    </row>
    <row r="5242">
      <c r="B5242" s="21">
        <f>IF(AND(C5242&lt;&gt;"", J5242&lt;&gt;""), HYPERLINK("#'" &amp; C5242 &amp; "'!" &amp; J5242, J5242), "")</f>
        <v/>
      </c>
    </row>
    <row r="5243">
      <c r="B5243" s="21">
        <f>IF(AND(C5243&lt;&gt;"", J5243&lt;&gt;""), HYPERLINK("#'" &amp; C5243 &amp; "'!" &amp; J5243, J5243), "")</f>
        <v/>
      </c>
    </row>
    <row r="5244">
      <c r="B5244" s="21">
        <f>IF(AND(C5244&lt;&gt;"", J5244&lt;&gt;""), HYPERLINK("#'" &amp; C5244 &amp; "'!" &amp; J5244, J5244), "")</f>
        <v/>
      </c>
    </row>
    <row r="5245">
      <c r="B5245" s="21">
        <f>IF(AND(C5245&lt;&gt;"", J5245&lt;&gt;""), HYPERLINK("#'" &amp; C5245 &amp; "'!" &amp; J5245, J5245), "")</f>
        <v/>
      </c>
    </row>
    <row r="5246">
      <c r="B5246" s="21">
        <f>IF(AND(C5246&lt;&gt;"", J5246&lt;&gt;""), HYPERLINK("#'" &amp; C5246 &amp; "'!" &amp; J5246, J5246), "")</f>
        <v/>
      </c>
    </row>
    <row r="5247">
      <c r="B5247" s="21">
        <f>IF(AND(C5247&lt;&gt;"", J5247&lt;&gt;""), HYPERLINK("#'" &amp; C5247 &amp; "'!" &amp; J5247, J5247), "")</f>
        <v/>
      </c>
    </row>
    <row r="5248">
      <c r="B5248" s="21">
        <f>IF(AND(C5248&lt;&gt;"", J5248&lt;&gt;""), HYPERLINK("#'" &amp; C5248 &amp; "'!" &amp; J5248, J5248), "")</f>
        <v/>
      </c>
    </row>
    <row r="5249">
      <c r="B5249" s="21">
        <f>IF(AND(C5249&lt;&gt;"", J5249&lt;&gt;""), HYPERLINK("#'" &amp; C5249 &amp; "'!" &amp; J5249, J5249), "")</f>
        <v/>
      </c>
    </row>
    <row r="5250">
      <c r="B5250" s="21">
        <f>IF(AND(C5250&lt;&gt;"", J5250&lt;&gt;""), HYPERLINK("#'" &amp; C5250 &amp; "'!" &amp; J5250, J5250), "")</f>
        <v/>
      </c>
    </row>
    <row r="5251">
      <c r="B5251" s="21">
        <f>IF(AND(C5251&lt;&gt;"", J5251&lt;&gt;""), HYPERLINK("#'" &amp; C5251 &amp; "'!" &amp; J5251, J5251), "")</f>
        <v/>
      </c>
    </row>
    <row r="5252">
      <c r="B5252" s="21">
        <f>IF(AND(C5252&lt;&gt;"", J5252&lt;&gt;""), HYPERLINK("#'" &amp; C5252 &amp; "'!" &amp; J5252, J5252), "")</f>
        <v/>
      </c>
    </row>
    <row r="5253">
      <c r="B5253" s="21">
        <f>IF(AND(C5253&lt;&gt;"", J5253&lt;&gt;""), HYPERLINK("#'" &amp; C5253 &amp; "'!" &amp; J5253, J5253), "")</f>
        <v/>
      </c>
    </row>
    <row r="5254">
      <c r="B5254" s="21">
        <f>IF(AND(C5254&lt;&gt;"", J5254&lt;&gt;""), HYPERLINK("#'" &amp; C5254 &amp; "'!" &amp; J5254, J5254), "")</f>
        <v/>
      </c>
    </row>
    <row r="5255">
      <c r="B5255" s="21">
        <f>IF(AND(C5255&lt;&gt;"", J5255&lt;&gt;""), HYPERLINK("#'" &amp; C5255 &amp; "'!" &amp; J5255, J5255), "")</f>
        <v/>
      </c>
    </row>
    <row r="5256">
      <c r="B5256" s="21">
        <f>IF(AND(C5256&lt;&gt;"", J5256&lt;&gt;""), HYPERLINK("#'" &amp; C5256 &amp; "'!" &amp; J5256, J5256), "")</f>
        <v/>
      </c>
    </row>
    <row r="5257">
      <c r="B5257" s="21">
        <f>IF(AND(C5257&lt;&gt;"", J5257&lt;&gt;""), HYPERLINK("#'" &amp; C5257 &amp; "'!" &amp; J5257, J5257), "")</f>
        <v/>
      </c>
    </row>
    <row r="5258">
      <c r="B5258" s="21">
        <f>IF(AND(C5258&lt;&gt;"", J5258&lt;&gt;""), HYPERLINK("#'" &amp; C5258 &amp; "'!" &amp; J5258, J5258), "")</f>
        <v/>
      </c>
    </row>
    <row r="5259">
      <c r="B5259" s="21">
        <f>IF(AND(C5259&lt;&gt;"", J5259&lt;&gt;""), HYPERLINK("#'" &amp; C5259 &amp; "'!" &amp; J5259, J5259), "")</f>
        <v/>
      </c>
    </row>
    <row r="5260">
      <c r="B5260" s="21">
        <f>IF(AND(C5260&lt;&gt;"", J5260&lt;&gt;""), HYPERLINK("#'" &amp; C5260 &amp; "'!" &amp; J5260, J5260), "")</f>
        <v/>
      </c>
    </row>
    <row r="5261">
      <c r="B5261" s="21">
        <f>IF(AND(C5261&lt;&gt;"", J5261&lt;&gt;""), HYPERLINK("#'" &amp; C5261 &amp; "'!" &amp; J5261, J5261), "")</f>
        <v/>
      </c>
    </row>
    <row r="5262">
      <c r="B5262" s="21">
        <f>IF(AND(C5262&lt;&gt;"", J5262&lt;&gt;""), HYPERLINK("#'" &amp; C5262 &amp; "'!" &amp; J5262, J5262), "")</f>
        <v/>
      </c>
    </row>
    <row r="5263">
      <c r="B5263" s="21">
        <f>IF(AND(C5263&lt;&gt;"", J5263&lt;&gt;""), HYPERLINK("#'" &amp; C5263 &amp; "'!" &amp; J5263, J5263), "")</f>
        <v/>
      </c>
    </row>
    <row r="5264">
      <c r="B5264" s="21">
        <f>IF(AND(C5264&lt;&gt;"", J5264&lt;&gt;""), HYPERLINK("#'" &amp; C5264 &amp; "'!" &amp; J5264, J5264), "")</f>
        <v/>
      </c>
    </row>
    <row r="5265">
      <c r="B5265" s="21">
        <f>IF(AND(C5265&lt;&gt;"", J5265&lt;&gt;""), HYPERLINK("#'" &amp; C5265 &amp; "'!" &amp; J5265, J5265), "")</f>
        <v/>
      </c>
    </row>
    <row r="5266">
      <c r="B5266" s="21">
        <f>IF(AND(C5266&lt;&gt;"", J5266&lt;&gt;""), HYPERLINK("#'" &amp; C5266 &amp; "'!" &amp; J5266, J5266), "")</f>
        <v/>
      </c>
    </row>
    <row r="5267">
      <c r="B5267" s="21">
        <f>IF(AND(C5267&lt;&gt;"", J5267&lt;&gt;""), HYPERLINK("#'" &amp; C5267 &amp; "'!" &amp; J5267, J5267), "")</f>
        <v/>
      </c>
    </row>
    <row r="5268">
      <c r="B5268" s="21">
        <f>IF(AND(C5268&lt;&gt;"", J5268&lt;&gt;""), HYPERLINK("#'" &amp; C5268 &amp; "'!" &amp; J5268, J5268), "")</f>
        <v/>
      </c>
    </row>
    <row r="5269">
      <c r="B5269" s="21">
        <f>IF(AND(C5269&lt;&gt;"", J5269&lt;&gt;""), HYPERLINK("#'" &amp; C5269 &amp; "'!" &amp; J5269, J5269), "")</f>
        <v/>
      </c>
    </row>
    <row r="5270">
      <c r="B5270" s="21">
        <f>IF(AND(C5270&lt;&gt;"", J5270&lt;&gt;""), HYPERLINK("#'" &amp; C5270 &amp; "'!" &amp; J5270, J5270), "")</f>
        <v/>
      </c>
    </row>
    <row r="5271">
      <c r="B5271" s="21">
        <f>IF(AND(C5271&lt;&gt;"", J5271&lt;&gt;""), HYPERLINK("#'" &amp; C5271 &amp; "'!" &amp; J5271, J5271), "")</f>
        <v/>
      </c>
    </row>
    <row r="5272">
      <c r="B5272" s="21">
        <f>IF(AND(C5272&lt;&gt;"", J5272&lt;&gt;""), HYPERLINK("#'" &amp; C5272 &amp; "'!" &amp; J5272, J5272), "")</f>
        <v/>
      </c>
    </row>
    <row r="5273">
      <c r="B5273" s="21">
        <f>IF(AND(C5273&lt;&gt;"", J5273&lt;&gt;""), HYPERLINK("#'" &amp; C5273 &amp; "'!" &amp; J5273, J5273), "")</f>
        <v/>
      </c>
    </row>
    <row r="5274">
      <c r="B5274" s="21">
        <f>IF(AND(C5274&lt;&gt;"", J5274&lt;&gt;""), HYPERLINK("#'" &amp; C5274 &amp; "'!" &amp; J5274, J5274), "")</f>
        <v/>
      </c>
    </row>
    <row r="5275">
      <c r="B5275" s="21">
        <f>IF(AND(C5275&lt;&gt;"", J5275&lt;&gt;""), HYPERLINK("#'" &amp; C5275 &amp; "'!" &amp; J5275, J5275), "")</f>
        <v/>
      </c>
    </row>
    <row r="5276">
      <c r="B5276" s="21">
        <f>IF(AND(C5276&lt;&gt;"", J5276&lt;&gt;""), HYPERLINK("#'" &amp; C5276 &amp; "'!" &amp; J5276, J5276), "")</f>
        <v/>
      </c>
    </row>
    <row r="5277">
      <c r="B5277" s="21">
        <f>IF(AND(C5277&lt;&gt;"", J5277&lt;&gt;""), HYPERLINK("#'" &amp; C5277 &amp; "'!" &amp; J5277, J5277), "")</f>
        <v/>
      </c>
    </row>
    <row r="5278">
      <c r="B5278" s="21">
        <f>IF(AND(C5278&lt;&gt;"", J5278&lt;&gt;""), HYPERLINK("#'" &amp; C5278 &amp; "'!" &amp; J5278, J5278), "")</f>
        <v/>
      </c>
    </row>
    <row r="5279">
      <c r="B5279" s="21">
        <f>IF(AND(C5279&lt;&gt;"", J5279&lt;&gt;""), HYPERLINK("#'" &amp; C5279 &amp; "'!" &amp; J5279, J5279), "")</f>
        <v/>
      </c>
    </row>
    <row r="5280">
      <c r="B5280" s="21">
        <f>IF(AND(C5280&lt;&gt;"", J5280&lt;&gt;""), HYPERLINK("#'" &amp; C5280 &amp; "'!" &amp; J5280, J5280), "")</f>
        <v/>
      </c>
    </row>
    <row r="5281">
      <c r="B5281" s="21">
        <f>IF(AND(C5281&lt;&gt;"", J5281&lt;&gt;""), HYPERLINK("#'" &amp; C5281 &amp; "'!" &amp; J5281, J5281), "")</f>
        <v/>
      </c>
    </row>
    <row r="5282">
      <c r="B5282" s="21">
        <f>IF(AND(C5282&lt;&gt;"", J5282&lt;&gt;""), HYPERLINK("#'" &amp; C5282 &amp; "'!" &amp; J5282, J5282), "")</f>
        <v/>
      </c>
    </row>
    <row r="5283">
      <c r="B5283" s="21">
        <f>IF(AND(C5283&lt;&gt;"", J5283&lt;&gt;""), HYPERLINK("#'" &amp; C5283 &amp; "'!" &amp; J5283, J5283), "")</f>
        <v/>
      </c>
    </row>
    <row r="5284">
      <c r="B5284" s="21">
        <f>IF(AND(C5284&lt;&gt;"", J5284&lt;&gt;""), HYPERLINK("#'" &amp; C5284 &amp; "'!" &amp; J5284, J5284), "")</f>
        <v/>
      </c>
    </row>
    <row r="5285">
      <c r="B5285" s="21">
        <f>IF(AND(C5285&lt;&gt;"", J5285&lt;&gt;""), HYPERLINK("#'" &amp; C5285 &amp; "'!" &amp; J5285, J5285), "")</f>
        <v/>
      </c>
    </row>
    <row r="5286">
      <c r="B5286" s="21">
        <f>IF(AND(C5286&lt;&gt;"", J5286&lt;&gt;""), HYPERLINK("#'" &amp; C5286 &amp; "'!" &amp; J5286, J5286), "")</f>
        <v/>
      </c>
    </row>
    <row r="5287">
      <c r="B5287" s="21">
        <f>IF(AND(C5287&lt;&gt;"", J5287&lt;&gt;""), HYPERLINK("#'" &amp; C5287 &amp; "'!" &amp; J5287, J5287), "")</f>
        <v/>
      </c>
    </row>
    <row r="5288">
      <c r="B5288" s="21">
        <f>IF(AND(C5288&lt;&gt;"", J5288&lt;&gt;""), HYPERLINK("#'" &amp; C5288 &amp; "'!" &amp; J5288, J5288), "")</f>
        <v/>
      </c>
    </row>
    <row r="5289">
      <c r="B5289" s="21">
        <f>IF(AND(C5289&lt;&gt;"", J5289&lt;&gt;""), HYPERLINK("#'" &amp; C5289 &amp; "'!" &amp; J5289, J5289), "")</f>
        <v/>
      </c>
    </row>
    <row r="5290">
      <c r="B5290" s="21">
        <f>IF(AND(C5290&lt;&gt;"", J5290&lt;&gt;""), HYPERLINK("#'" &amp; C5290 &amp; "'!" &amp; J5290, J5290), "")</f>
        <v/>
      </c>
    </row>
    <row r="5291">
      <c r="B5291" s="21">
        <f>IF(AND(C5291&lt;&gt;"", J5291&lt;&gt;""), HYPERLINK("#'" &amp; C5291 &amp; "'!" &amp; J5291, J5291), "")</f>
        <v/>
      </c>
    </row>
    <row r="5292">
      <c r="B5292" s="21">
        <f>IF(AND(C5292&lt;&gt;"", J5292&lt;&gt;""), HYPERLINK("#'" &amp; C5292 &amp; "'!" &amp; J5292, J5292), "")</f>
        <v/>
      </c>
    </row>
    <row r="5293">
      <c r="B5293" s="21">
        <f>IF(AND(C5293&lt;&gt;"", J5293&lt;&gt;""), HYPERLINK("#'" &amp; C5293 &amp; "'!" &amp; J5293, J5293), "")</f>
        <v/>
      </c>
    </row>
    <row r="5294">
      <c r="B5294" s="21">
        <f>IF(AND(C5294&lt;&gt;"", J5294&lt;&gt;""), HYPERLINK("#'" &amp; C5294 &amp; "'!" &amp; J5294, J5294), "")</f>
        <v/>
      </c>
    </row>
    <row r="5295">
      <c r="B5295" s="21">
        <f>IF(AND(C5295&lt;&gt;"", J5295&lt;&gt;""), HYPERLINK("#'" &amp; C5295 &amp; "'!" &amp; J5295, J5295), "")</f>
        <v/>
      </c>
    </row>
    <row r="5296">
      <c r="B5296" s="21">
        <f>IF(AND(C5296&lt;&gt;"", J5296&lt;&gt;""), HYPERLINK("#'" &amp; C5296 &amp; "'!" &amp; J5296, J5296), "")</f>
        <v/>
      </c>
    </row>
    <row r="5297">
      <c r="B5297" s="21">
        <f>IF(AND(C5297&lt;&gt;"", J5297&lt;&gt;""), HYPERLINK("#'" &amp; C5297 &amp; "'!" &amp; J5297, J5297), "")</f>
        <v/>
      </c>
    </row>
    <row r="5298">
      <c r="B5298" s="21">
        <f>IF(AND(C5298&lt;&gt;"", J5298&lt;&gt;""), HYPERLINK("#'" &amp; C5298 &amp; "'!" &amp; J5298, J5298), "")</f>
        <v/>
      </c>
    </row>
    <row r="5299">
      <c r="B5299" s="21">
        <f>IF(AND(C5299&lt;&gt;"", J5299&lt;&gt;""), HYPERLINK("#'" &amp; C5299 &amp; "'!" &amp; J5299, J5299), "")</f>
        <v/>
      </c>
    </row>
    <row r="5300">
      <c r="B5300" s="21">
        <f>IF(AND(C5300&lt;&gt;"", J5300&lt;&gt;""), HYPERLINK("#'" &amp; C5300 &amp; "'!" &amp; J5300, J5300), "")</f>
        <v/>
      </c>
    </row>
    <row r="5301">
      <c r="B5301" s="21">
        <f>IF(AND(C5301&lt;&gt;"", J5301&lt;&gt;""), HYPERLINK("#'" &amp; C5301 &amp; "'!" &amp; J5301, J5301), "")</f>
        <v/>
      </c>
    </row>
    <row r="5302">
      <c r="B5302" s="21">
        <f>IF(AND(C5302&lt;&gt;"", J5302&lt;&gt;""), HYPERLINK("#'" &amp; C5302 &amp; "'!" &amp; J5302, J5302), "")</f>
        <v/>
      </c>
    </row>
    <row r="5303">
      <c r="B5303" s="21">
        <f>IF(AND(C5303&lt;&gt;"", J5303&lt;&gt;""), HYPERLINK("#'" &amp; C5303 &amp; "'!" &amp; J5303, J5303), "")</f>
        <v/>
      </c>
    </row>
    <row r="5304">
      <c r="B5304" s="21">
        <f>IF(AND(C5304&lt;&gt;"", J5304&lt;&gt;""), HYPERLINK("#'" &amp; C5304 &amp; "'!" &amp; J5304, J5304), "")</f>
        <v/>
      </c>
    </row>
    <row r="5305">
      <c r="B5305" s="21">
        <f>IF(AND(C5305&lt;&gt;"", J5305&lt;&gt;""), HYPERLINK("#'" &amp; C5305 &amp; "'!" &amp; J5305, J5305), "")</f>
        <v/>
      </c>
    </row>
    <row r="5306">
      <c r="B5306" s="21">
        <f>IF(AND(C5306&lt;&gt;"", J5306&lt;&gt;""), HYPERLINK("#'" &amp; C5306 &amp; "'!" &amp; J5306, J5306), "")</f>
        <v/>
      </c>
    </row>
    <row r="5307">
      <c r="B5307" s="21">
        <f>IF(AND(C5307&lt;&gt;"", J5307&lt;&gt;""), HYPERLINK("#'" &amp; C5307 &amp; "'!" &amp; J5307, J5307), "")</f>
        <v/>
      </c>
    </row>
    <row r="5308">
      <c r="B5308" s="21">
        <f>IF(AND(C5308&lt;&gt;"", J5308&lt;&gt;""), HYPERLINK("#'" &amp; C5308 &amp; "'!" &amp; J5308, J5308), "")</f>
        <v/>
      </c>
    </row>
    <row r="5309">
      <c r="B5309" s="21">
        <f>IF(AND(C5309&lt;&gt;"", J5309&lt;&gt;""), HYPERLINK("#'" &amp; C5309 &amp; "'!" &amp; J5309, J5309), "")</f>
        <v/>
      </c>
    </row>
    <row r="5310">
      <c r="B5310" s="21">
        <f>IF(AND(C5310&lt;&gt;"", J5310&lt;&gt;""), HYPERLINK("#'" &amp; C5310 &amp; "'!" &amp; J5310, J5310), "")</f>
        <v/>
      </c>
    </row>
    <row r="5311">
      <c r="B5311" s="21">
        <f>IF(AND(C5311&lt;&gt;"", J5311&lt;&gt;""), HYPERLINK("#'" &amp; C5311 &amp; "'!" &amp; J5311, J5311), "")</f>
        <v/>
      </c>
    </row>
    <row r="5312">
      <c r="B5312" s="21">
        <f>IF(AND(C5312&lt;&gt;"", J5312&lt;&gt;""), HYPERLINK("#'" &amp; C5312 &amp; "'!" &amp; J5312, J5312), "")</f>
        <v/>
      </c>
    </row>
    <row r="5313">
      <c r="B5313" s="21">
        <f>IF(AND(C5313&lt;&gt;"", J5313&lt;&gt;""), HYPERLINK("#'" &amp; C5313 &amp; "'!" &amp; J5313, J5313), "")</f>
        <v/>
      </c>
    </row>
    <row r="5314">
      <c r="B5314" s="21">
        <f>IF(AND(C5314&lt;&gt;"", J5314&lt;&gt;""), HYPERLINK("#'" &amp; C5314 &amp; "'!" &amp; J5314, J5314), "")</f>
        <v/>
      </c>
    </row>
    <row r="5315">
      <c r="B5315" s="21">
        <f>IF(AND(C5315&lt;&gt;"", J5315&lt;&gt;""), HYPERLINK("#'" &amp; C5315 &amp; "'!" &amp; J5315, J5315), "")</f>
        <v/>
      </c>
    </row>
    <row r="5316">
      <c r="B5316" s="21">
        <f>IF(AND(C5316&lt;&gt;"", J5316&lt;&gt;""), HYPERLINK("#'" &amp; C5316 &amp; "'!" &amp; J5316, J5316), "")</f>
        <v/>
      </c>
    </row>
    <row r="5317">
      <c r="B5317" s="21">
        <f>IF(AND(C5317&lt;&gt;"", J5317&lt;&gt;""), HYPERLINK("#'" &amp; C5317 &amp; "'!" &amp; J5317, J5317), "")</f>
        <v/>
      </c>
    </row>
    <row r="5318">
      <c r="B5318" s="21">
        <f>IF(AND(C5318&lt;&gt;"", J5318&lt;&gt;""), HYPERLINK("#'" &amp; C5318 &amp; "'!" &amp; J5318, J5318), "")</f>
        <v/>
      </c>
    </row>
    <row r="5319">
      <c r="B5319" s="21">
        <f>IF(AND(C5319&lt;&gt;"", J5319&lt;&gt;""), HYPERLINK("#'" &amp; C5319 &amp; "'!" &amp; J5319, J5319), "")</f>
        <v/>
      </c>
    </row>
    <row r="5320">
      <c r="B5320" s="21">
        <f>IF(AND(C5320&lt;&gt;"", J5320&lt;&gt;""), HYPERLINK("#'" &amp; C5320 &amp; "'!" &amp; J5320, J5320), "")</f>
        <v/>
      </c>
    </row>
    <row r="5321">
      <c r="B5321" s="21">
        <f>IF(AND(C5321&lt;&gt;"", J5321&lt;&gt;""), HYPERLINK("#'" &amp; C5321 &amp; "'!" &amp; J5321, J5321), "")</f>
        <v/>
      </c>
    </row>
    <row r="5322">
      <c r="B5322" s="21">
        <f>IF(AND(C5322&lt;&gt;"", J5322&lt;&gt;""), HYPERLINK("#'" &amp; C5322 &amp; "'!" &amp; J5322, J5322), "")</f>
        <v/>
      </c>
    </row>
    <row r="5323">
      <c r="B5323" s="21">
        <f>IF(AND(C5323&lt;&gt;"", J5323&lt;&gt;""), HYPERLINK("#'" &amp; C5323 &amp; "'!" &amp; J5323, J5323), "")</f>
        <v/>
      </c>
    </row>
    <row r="5324">
      <c r="B5324" s="21">
        <f>IF(AND(C5324&lt;&gt;"", J5324&lt;&gt;""), HYPERLINK("#'" &amp; C5324 &amp; "'!" &amp; J5324, J5324), "")</f>
        <v/>
      </c>
    </row>
    <row r="5325">
      <c r="B5325" s="21">
        <f>IF(AND(C5325&lt;&gt;"", J5325&lt;&gt;""), HYPERLINK("#'" &amp; C5325 &amp; "'!" &amp; J5325, J5325), "")</f>
        <v/>
      </c>
    </row>
    <row r="5326">
      <c r="B5326" s="21">
        <f>IF(AND(C5326&lt;&gt;"", J5326&lt;&gt;""), HYPERLINK("#'" &amp; C5326 &amp; "'!" &amp; J5326, J5326), "")</f>
        <v/>
      </c>
    </row>
    <row r="5327">
      <c r="B5327" s="21">
        <f>IF(AND(C5327&lt;&gt;"", J5327&lt;&gt;""), HYPERLINK("#'" &amp; C5327 &amp; "'!" &amp; J5327, J5327), "")</f>
        <v/>
      </c>
    </row>
    <row r="5328">
      <c r="B5328" s="21">
        <f>IF(AND(C5328&lt;&gt;"", J5328&lt;&gt;""), HYPERLINK("#'" &amp; C5328 &amp; "'!" &amp; J5328, J5328), "")</f>
        <v/>
      </c>
    </row>
    <row r="5329">
      <c r="B5329" s="21">
        <f>IF(AND(C5329&lt;&gt;"", J5329&lt;&gt;""), HYPERLINK("#'" &amp; C5329 &amp; "'!" &amp; J5329, J5329), "")</f>
        <v/>
      </c>
    </row>
    <row r="5330">
      <c r="B5330" s="21">
        <f>IF(AND(C5330&lt;&gt;"", J5330&lt;&gt;""), HYPERLINK("#'" &amp; C5330 &amp; "'!" &amp; J5330, J5330), "")</f>
        <v/>
      </c>
    </row>
    <row r="5331">
      <c r="B5331" s="21">
        <f>IF(AND(C5331&lt;&gt;"", J5331&lt;&gt;""), HYPERLINK("#'" &amp; C5331 &amp; "'!" &amp; J5331, J5331), "")</f>
        <v/>
      </c>
    </row>
    <row r="5332">
      <c r="B5332" s="21">
        <f>IF(AND(C5332&lt;&gt;"", J5332&lt;&gt;""), HYPERLINK("#'" &amp; C5332 &amp; "'!" &amp; J5332, J5332), "")</f>
        <v/>
      </c>
    </row>
    <row r="5333">
      <c r="B5333" s="21">
        <f>IF(AND(C5333&lt;&gt;"", J5333&lt;&gt;""), HYPERLINK("#'" &amp; C5333 &amp; "'!" &amp; J5333, J5333), "")</f>
        <v/>
      </c>
    </row>
    <row r="5334">
      <c r="B5334" s="21">
        <f>IF(AND(C5334&lt;&gt;"", J5334&lt;&gt;""), HYPERLINK("#'" &amp; C5334 &amp; "'!" &amp; J5334, J5334), "")</f>
        <v/>
      </c>
    </row>
    <row r="5335">
      <c r="B5335" s="21">
        <f>IF(AND(C5335&lt;&gt;"", J5335&lt;&gt;""), HYPERLINK("#'" &amp; C5335 &amp; "'!" &amp; J5335, J5335), "")</f>
        <v/>
      </c>
    </row>
    <row r="5336">
      <c r="B5336" s="21">
        <f>IF(AND(C5336&lt;&gt;"", J5336&lt;&gt;""), HYPERLINK("#'" &amp; C5336 &amp; "'!" &amp; J5336, J5336), "")</f>
        <v/>
      </c>
    </row>
    <row r="5337">
      <c r="B5337" s="21">
        <f>IF(AND(C5337&lt;&gt;"", J5337&lt;&gt;""), HYPERLINK("#'" &amp; C5337 &amp; "'!" &amp; J5337, J5337), "")</f>
        <v/>
      </c>
    </row>
    <row r="5338">
      <c r="B5338" s="21">
        <f>IF(AND(C5338&lt;&gt;"", J5338&lt;&gt;""), HYPERLINK("#'" &amp; C5338 &amp; "'!" &amp; J5338, J5338), "")</f>
        <v/>
      </c>
    </row>
    <row r="5339">
      <c r="B5339" s="21">
        <f>IF(AND(C5339&lt;&gt;"", J5339&lt;&gt;""), HYPERLINK("#'" &amp; C5339 &amp; "'!" &amp; J5339, J5339), "")</f>
        <v/>
      </c>
    </row>
    <row r="5340">
      <c r="B5340" s="21">
        <f>IF(AND(C5340&lt;&gt;"", J5340&lt;&gt;""), HYPERLINK("#'" &amp; C5340 &amp; "'!" &amp; J5340, J5340), "")</f>
        <v/>
      </c>
    </row>
    <row r="5341">
      <c r="B5341" s="21">
        <f>IF(AND(C5341&lt;&gt;"", J5341&lt;&gt;""), HYPERLINK("#'" &amp; C5341 &amp; "'!" &amp; J5341, J5341), "")</f>
        <v/>
      </c>
    </row>
    <row r="5342">
      <c r="B5342" s="21">
        <f>IF(AND(C5342&lt;&gt;"", J5342&lt;&gt;""), HYPERLINK("#'" &amp; C5342 &amp; "'!" &amp; J5342, J5342), "")</f>
        <v/>
      </c>
    </row>
    <row r="5343">
      <c r="B5343" s="21">
        <f>IF(AND(C5343&lt;&gt;"", J5343&lt;&gt;""), HYPERLINK("#'" &amp; C5343 &amp; "'!" &amp; J5343, J5343), "")</f>
        <v/>
      </c>
    </row>
    <row r="5344">
      <c r="B5344" s="21">
        <f>IF(AND(C5344&lt;&gt;"", J5344&lt;&gt;""), HYPERLINK("#'" &amp; C5344 &amp; "'!" &amp; J5344, J5344), "")</f>
        <v/>
      </c>
    </row>
    <row r="5345">
      <c r="B5345" s="21">
        <f>IF(AND(C5345&lt;&gt;"", J5345&lt;&gt;""), HYPERLINK("#'" &amp; C5345 &amp; "'!" &amp; J5345, J5345), "")</f>
        <v/>
      </c>
    </row>
    <row r="5346">
      <c r="B5346" s="21">
        <f>IF(AND(C5346&lt;&gt;"", J5346&lt;&gt;""), HYPERLINK("#'" &amp; C5346 &amp; "'!" &amp; J5346, J5346), "")</f>
        <v/>
      </c>
    </row>
    <row r="5347">
      <c r="B5347" s="21">
        <f>IF(AND(C5347&lt;&gt;"", J5347&lt;&gt;""), HYPERLINK("#'" &amp; C5347 &amp; "'!" &amp; J5347, J5347), "")</f>
        <v/>
      </c>
    </row>
    <row r="5348">
      <c r="B5348" s="21">
        <f>IF(AND(C5348&lt;&gt;"", J5348&lt;&gt;""), HYPERLINK("#'" &amp; C5348 &amp; "'!" &amp; J5348, J5348), "")</f>
        <v/>
      </c>
    </row>
    <row r="5349">
      <c r="B5349" s="21">
        <f>IF(AND(C5349&lt;&gt;"", J5349&lt;&gt;""), HYPERLINK("#'" &amp; C5349 &amp; "'!" &amp; J5349, J5349), "")</f>
        <v/>
      </c>
    </row>
    <row r="5350">
      <c r="B5350" s="21">
        <f>IF(AND(C5350&lt;&gt;"", J5350&lt;&gt;""), HYPERLINK("#'" &amp; C5350 &amp; "'!" &amp; J5350, J5350), "")</f>
        <v/>
      </c>
    </row>
    <row r="5351">
      <c r="B5351" s="21">
        <f>IF(AND(C5351&lt;&gt;"", J5351&lt;&gt;""), HYPERLINK("#'" &amp; C5351 &amp; "'!" &amp; J5351, J5351), "")</f>
        <v/>
      </c>
    </row>
    <row r="5352">
      <c r="B5352" s="21">
        <f>IF(AND(C5352&lt;&gt;"", J5352&lt;&gt;""), HYPERLINK("#'" &amp; C5352 &amp; "'!" &amp; J5352, J5352), "")</f>
        <v/>
      </c>
    </row>
    <row r="5353">
      <c r="B5353" s="21">
        <f>IF(AND(C5353&lt;&gt;"", J5353&lt;&gt;""), HYPERLINK("#'" &amp; C5353 &amp; "'!" &amp; J5353, J5353), "")</f>
        <v/>
      </c>
    </row>
    <row r="5354">
      <c r="B5354" s="21">
        <f>IF(AND(C5354&lt;&gt;"", J5354&lt;&gt;""), HYPERLINK("#'" &amp; C5354 &amp; "'!" &amp; J5354, J5354), "")</f>
        <v/>
      </c>
    </row>
    <row r="5355">
      <c r="B5355" s="21">
        <f>IF(AND(C5355&lt;&gt;"", J5355&lt;&gt;""), HYPERLINK("#'" &amp; C5355 &amp; "'!" &amp; J5355, J5355), "")</f>
        <v/>
      </c>
    </row>
    <row r="5356">
      <c r="B5356" s="21">
        <f>IF(AND(C5356&lt;&gt;"", J5356&lt;&gt;""), HYPERLINK("#'" &amp; C5356 &amp; "'!" &amp; J5356, J5356), "")</f>
        <v/>
      </c>
    </row>
    <row r="5357">
      <c r="B5357" s="21">
        <f>IF(AND(C5357&lt;&gt;"", J5357&lt;&gt;""), HYPERLINK("#'" &amp; C5357 &amp; "'!" &amp; J5357, J5357), "")</f>
        <v/>
      </c>
    </row>
    <row r="5358">
      <c r="B5358" s="21">
        <f>IF(AND(C5358&lt;&gt;"", J5358&lt;&gt;""), HYPERLINK("#'" &amp; C5358 &amp; "'!" &amp; J5358, J5358), "")</f>
        <v/>
      </c>
    </row>
    <row r="5359">
      <c r="B5359" s="21">
        <f>IF(AND(C5359&lt;&gt;"", J5359&lt;&gt;""), HYPERLINK("#'" &amp; C5359 &amp; "'!" &amp; J5359, J5359), "")</f>
        <v/>
      </c>
    </row>
    <row r="5360">
      <c r="B5360" s="21">
        <f>IF(AND(C5360&lt;&gt;"", J5360&lt;&gt;""), HYPERLINK("#'" &amp; C5360 &amp; "'!" &amp; J5360, J5360), "")</f>
        <v/>
      </c>
    </row>
    <row r="5361">
      <c r="B5361" s="21">
        <f>IF(AND(C5361&lt;&gt;"", J5361&lt;&gt;""), HYPERLINK("#'" &amp; C5361 &amp; "'!" &amp; J5361, J5361), "")</f>
        <v/>
      </c>
    </row>
    <row r="5362">
      <c r="B5362" s="21">
        <f>IF(AND(C5362&lt;&gt;"", J5362&lt;&gt;""), HYPERLINK("#'" &amp; C5362 &amp; "'!" &amp; J5362, J5362), "")</f>
        <v/>
      </c>
    </row>
    <row r="5363">
      <c r="B5363" s="21">
        <f>IF(AND(C5363&lt;&gt;"", J5363&lt;&gt;""), HYPERLINK("#'" &amp; C5363 &amp; "'!" &amp; J5363, J5363), "")</f>
        <v/>
      </c>
    </row>
    <row r="5364">
      <c r="B5364" s="21">
        <f>IF(AND(C5364&lt;&gt;"", J5364&lt;&gt;""), HYPERLINK("#'" &amp; C5364 &amp; "'!" &amp; J5364, J5364), "")</f>
        <v/>
      </c>
    </row>
    <row r="5365">
      <c r="B5365" s="21">
        <f>IF(AND(C5365&lt;&gt;"", J5365&lt;&gt;""), HYPERLINK("#'" &amp; C5365 &amp; "'!" &amp; J5365, J5365), "")</f>
        <v/>
      </c>
    </row>
    <row r="5366">
      <c r="B5366" s="21">
        <f>IF(AND(C5366&lt;&gt;"", J5366&lt;&gt;""), HYPERLINK("#'" &amp; C5366 &amp; "'!" &amp; J5366, J5366), "")</f>
        <v/>
      </c>
    </row>
    <row r="5367">
      <c r="B5367" s="21">
        <f>IF(AND(C5367&lt;&gt;"", J5367&lt;&gt;""), HYPERLINK("#'" &amp; C5367 &amp; "'!" &amp; J5367, J5367), "")</f>
        <v/>
      </c>
    </row>
    <row r="5368">
      <c r="B5368" s="21">
        <f>IF(AND(C5368&lt;&gt;"", J5368&lt;&gt;""), HYPERLINK("#'" &amp; C5368 &amp; "'!" &amp; J5368, J5368), "")</f>
        <v/>
      </c>
    </row>
    <row r="5369">
      <c r="B5369" s="21">
        <f>IF(AND(C5369&lt;&gt;"", J5369&lt;&gt;""), HYPERLINK("#'" &amp; C5369 &amp; "'!" &amp; J5369, J5369), "")</f>
        <v/>
      </c>
    </row>
    <row r="5370">
      <c r="B5370" s="21">
        <f>IF(AND(C5370&lt;&gt;"", J5370&lt;&gt;""), HYPERLINK("#'" &amp; C5370 &amp; "'!" &amp; J5370, J5370), "")</f>
        <v/>
      </c>
    </row>
    <row r="5371">
      <c r="B5371" s="21">
        <f>IF(AND(C5371&lt;&gt;"", J5371&lt;&gt;""), HYPERLINK("#'" &amp; C5371 &amp; "'!" &amp; J5371, J5371), "")</f>
        <v/>
      </c>
    </row>
    <row r="5372">
      <c r="B5372" s="21">
        <f>IF(AND(C5372&lt;&gt;"", J5372&lt;&gt;""), HYPERLINK("#'" &amp; C5372 &amp; "'!" &amp; J5372, J5372), "")</f>
        <v/>
      </c>
    </row>
    <row r="5373">
      <c r="B5373" s="21">
        <f>IF(AND(C5373&lt;&gt;"", J5373&lt;&gt;""), HYPERLINK("#'" &amp; C5373 &amp; "'!" &amp; J5373, J5373), "")</f>
        <v/>
      </c>
    </row>
    <row r="5374">
      <c r="B5374" s="21">
        <f>IF(AND(C5374&lt;&gt;"", J5374&lt;&gt;""), HYPERLINK("#'" &amp; C5374 &amp; "'!" &amp; J5374, J5374), "")</f>
        <v/>
      </c>
    </row>
    <row r="5375">
      <c r="B5375" s="21">
        <f>IF(AND(C5375&lt;&gt;"", J5375&lt;&gt;""), HYPERLINK("#'" &amp; C5375 &amp; "'!" &amp; J5375, J5375), "")</f>
        <v/>
      </c>
    </row>
    <row r="5376">
      <c r="B5376" s="21">
        <f>IF(AND(C5376&lt;&gt;"", J5376&lt;&gt;""), HYPERLINK("#'" &amp; C5376 &amp; "'!" &amp; J5376, J5376), "")</f>
        <v/>
      </c>
    </row>
    <row r="5377">
      <c r="B5377" s="21">
        <f>IF(AND(C5377&lt;&gt;"", J5377&lt;&gt;""), HYPERLINK("#'" &amp; C5377 &amp; "'!" &amp; J5377, J5377), "")</f>
        <v/>
      </c>
    </row>
    <row r="5378">
      <c r="B5378" s="21">
        <f>IF(AND(C5378&lt;&gt;"", J5378&lt;&gt;""), HYPERLINK("#'" &amp; C5378 &amp; "'!" &amp; J5378, J5378), "")</f>
        <v/>
      </c>
    </row>
    <row r="5379">
      <c r="B5379" s="21">
        <f>IF(AND(C5379&lt;&gt;"", J5379&lt;&gt;""), HYPERLINK("#'" &amp; C5379 &amp; "'!" &amp; J5379, J5379), "")</f>
        <v/>
      </c>
    </row>
    <row r="5380">
      <c r="B5380" s="21">
        <f>IF(AND(C5380&lt;&gt;"", J5380&lt;&gt;""), HYPERLINK("#'" &amp; C5380 &amp; "'!" &amp; J5380, J5380), "")</f>
        <v/>
      </c>
    </row>
    <row r="5381">
      <c r="B5381" s="21">
        <f>IF(AND(C5381&lt;&gt;"", J5381&lt;&gt;""), HYPERLINK("#'" &amp; C5381 &amp; "'!" &amp; J5381, J5381), "")</f>
        <v/>
      </c>
    </row>
    <row r="5382">
      <c r="B5382" s="21">
        <f>IF(AND(C5382&lt;&gt;"", J5382&lt;&gt;""), HYPERLINK("#'" &amp; C5382 &amp; "'!" &amp; J5382, J5382), "")</f>
        <v/>
      </c>
    </row>
    <row r="5383">
      <c r="B5383" s="21">
        <f>IF(AND(C5383&lt;&gt;"", J5383&lt;&gt;""), HYPERLINK("#'" &amp; C5383 &amp; "'!" &amp; J5383, J5383), "")</f>
        <v/>
      </c>
    </row>
    <row r="5384">
      <c r="B5384" s="21">
        <f>IF(AND(C5384&lt;&gt;"", J5384&lt;&gt;""), HYPERLINK("#'" &amp; C5384 &amp; "'!" &amp; J5384, J5384), "")</f>
        <v/>
      </c>
    </row>
    <row r="5385">
      <c r="B5385" s="21">
        <f>IF(AND(C5385&lt;&gt;"", J5385&lt;&gt;""), HYPERLINK("#'" &amp; C5385 &amp; "'!" &amp; J5385, J5385), "")</f>
        <v/>
      </c>
    </row>
    <row r="5386">
      <c r="B5386" s="21">
        <f>IF(AND(C5386&lt;&gt;"", J5386&lt;&gt;""), HYPERLINK("#'" &amp; C5386 &amp; "'!" &amp; J5386, J5386), "")</f>
        <v/>
      </c>
    </row>
    <row r="5387">
      <c r="B5387" s="21">
        <f>IF(AND(C5387&lt;&gt;"", J5387&lt;&gt;""), HYPERLINK("#'" &amp; C5387 &amp; "'!" &amp; J5387, J5387), "")</f>
        <v/>
      </c>
    </row>
    <row r="5388">
      <c r="B5388" s="21">
        <f>IF(AND(C5388&lt;&gt;"", J5388&lt;&gt;""), HYPERLINK("#'" &amp; C5388 &amp; "'!" &amp; J5388, J5388), "")</f>
        <v/>
      </c>
    </row>
    <row r="5389">
      <c r="B5389" s="21">
        <f>IF(AND(C5389&lt;&gt;"", J5389&lt;&gt;""), HYPERLINK("#'" &amp; C5389 &amp; "'!" &amp; J5389, J5389), "")</f>
        <v/>
      </c>
    </row>
    <row r="5390">
      <c r="B5390" s="21">
        <f>IF(AND(C5390&lt;&gt;"", J5390&lt;&gt;""), HYPERLINK("#'" &amp; C5390 &amp; "'!" &amp; J5390, J5390), "")</f>
        <v/>
      </c>
    </row>
    <row r="5391">
      <c r="B5391" s="21">
        <f>IF(AND(C5391&lt;&gt;"", J5391&lt;&gt;""), HYPERLINK("#'" &amp; C5391 &amp; "'!" &amp; J5391, J5391), "")</f>
        <v/>
      </c>
    </row>
    <row r="5392">
      <c r="B5392" s="21">
        <f>IF(AND(C5392&lt;&gt;"", J5392&lt;&gt;""), HYPERLINK("#'" &amp; C5392 &amp; "'!" &amp; J5392, J5392), "")</f>
        <v/>
      </c>
    </row>
    <row r="5393">
      <c r="B5393" s="21">
        <f>IF(AND(C5393&lt;&gt;"", J5393&lt;&gt;""), HYPERLINK("#'" &amp; C5393 &amp; "'!" &amp; J5393, J5393), "")</f>
        <v/>
      </c>
    </row>
    <row r="5394">
      <c r="B5394" s="21">
        <f>IF(AND(C5394&lt;&gt;"", J5394&lt;&gt;""), HYPERLINK("#'" &amp; C5394 &amp; "'!" &amp; J5394, J5394), "")</f>
        <v/>
      </c>
    </row>
    <row r="5395">
      <c r="B5395" s="21">
        <f>IF(AND(C5395&lt;&gt;"", J5395&lt;&gt;""), HYPERLINK("#'" &amp; C5395 &amp; "'!" &amp; J5395, J5395), "")</f>
        <v/>
      </c>
    </row>
    <row r="5396">
      <c r="B5396" s="21">
        <f>IF(AND(C5396&lt;&gt;"", J5396&lt;&gt;""), HYPERLINK("#'" &amp; C5396 &amp; "'!" &amp; J5396, J5396), "")</f>
        <v/>
      </c>
    </row>
    <row r="5397">
      <c r="B5397" s="21">
        <f>IF(AND(C5397&lt;&gt;"", J5397&lt;&gt;""), HYPERLINK("#'" &amp; C5397 &amp; "'!" &amp; J5397, J5397), "")</f>
        <v/>
      </c>
    </row>
    <row r="5398">
      <c r="B5398" s="21">
        <f>IF(AND(C5398&lt;&gt;"", J5398&lt;&gt;""), HYPERLINK("#'" &amp; C5398 &amp; "'!" &amp; J5398, J5398), "")</f>
        <v/>
      </c>
    </row>
    <row r="5399">
      <c r="B5399" s="21">
        <f>IF(AND(C5399&lt;&gt;"", J5399&lt;&gt;""), HYPERLINK("#'" &amp; C5399 &amp; "'!" &amp; J5399, J5399), "")</f>
        <v/>
      </c>
    </row>
    <row r="5400">
      <c r="B5400" s="21">
        <f>IF(AND(C5400&lt;&gt;"", J5400&lt;&gt;""), HYPERLINK("#'" &amp; C5400 &amp; "'!" &amp; J5400, J5400), "")</f>
        <v/>
      </c>
    </row>
    <row r="5401">
      <c r="B5401" s="21">
        <f>IF(AND(C5401&lt;&gt;"", J5401&lt;&gt;""), HYPERLINK("#'" &amp; C5401 &amp; "'!" &amp; J5401, J5401), "")</f>
        <v/>
      </c>
    </row>
    <row r="5402">
      <c r="B5402" s="21">
        <f>IF(AND(C5402&lt;&gt;"", J5402&lt;&gt;""), HYPERLINK("#'" &amp; C5402 &amp; "'!" &amp; J5402, J5402), "")</f>
        <v/>
      </c>
    </row>
    <row r="5403">
      <c r="B5403" s="21">
        <f>IF(AND(C5403&lt;&gt;"", J5403&lt;&gt;""), HYPERLINK("#'" &amp; C5403 &amp; "'!" &amp; J5403, J5403), "")</f>
        <v/>
      </c>
    </row>
    <row r="5404">
      <c r="B5404" s="21">
        <f>IF(AND(C5404&lt;&gt;"", J5404&lt;&gt;""), HYPERLINK("#'" &amp; C5404 &amp; "'!" &amp; J5404, J5404), "")</f>
        <v/>
      </c>
    </row>
    <row r="5405">
      <c r="B5405" s="21">
        <f>IF(AND(C5405&lt;&gt;"", J5405&lt;&gt;""), HYPERLINK("#'" &amp; C5405 &amp; "'!" &amp; J5405, J5405), "")</f>
        <v/>
      </c>
    </row>
    <row r="5406">
      <c r="B5406" s="21">
        <f>IF(AND(C5406&lt;&gt;"", J5406&lt;&gt;""), HYPERLINK("#'" &amp; C5406 &amp; "'!" &amp; J5406, J5406), "")</f>
        <v/>
      </c>
    </row>
    <row r="5407">
      <c r="B5407" s="21">
        <f>IF(AND(C5407&lt;&gt;"", J5407&lt;&gt;""), HYPERLINK("#'" &amp; C5407 &amp; "'!" &amp; J5407, J5407), "")</f>
        <v/>
      </c>
    </row>
    <row r="5408">
      <c r="B5408" s="21">
        <f>IF(AND(C5408&lt;&gt;"", J5408&lt;&gt;""), HYPERLINK("#'" &amp; C5408 &amp; "'!" &amp; J5408, J5408), "")</f>
        <v/>
      </c>
    </row>
    <row r="5409">
      <c r="B5409" s="21">
        <f>IF(AND(C5409&lt;&gt;"", J5409&lt;&gt;""), HYPERLINK("#'" &amp; C5409 &amp; "'!" &amp; J5409, J5409), "")</f>
        <v/>
      </c>
    </row>
    <row r="5410">
      <c r="B5410" s="21">
        <f>IF(AND(C5410&lt;&gt;"", J5410&lt;&gt;""), HYPERLINK("#'" &amp; C5410 &amp; "'!" &amp; J5410, J5410), "")</f>
        <v/>
      </c>
    </row>
    <row r="5411">
      <c r="B5411" s="21">
        <f>IF(AND(C5411&lt;&gt;"", J5411&lt;&gt;""), HYPERLINK("#'" &amp; C5411 &amp; "'!" &amp; J5411, J5411), "")</f>
        <v/>
      </c>
    </row>
    <row r="5412">
      <c r="B5412" s="21">
        <f>IF(AND(C5412&lt;&gt;"", J5412&lt;&gt;""), HYPERLINK("#'" &amp; C5412 &amp; "'!" &amp; J5412, J5412), "")</f>
        <v/>
      </c>
    </row>
    <row r="5413">
      <c r="B5413" s="21">
        <f>IF(AND(C5413&lt;&gt;"", J5413&lt;&gt;""), HYPERLINK("#'" &amp; C5413 &amp; "'!" &amp; J5413, J5413), "")</f>
        <v/>
      </c>
    </row>
    <row r="5414">
      <c r="B5414" s="21">
        <f>IF(AND(C5414&lt;&gt;"", J5414&lt;&gt;""), HYPERLINK("#'" &amp; C5414 &amp; "'!" &amp; J5414, J5414), "")</f>
        <v/>
      </c>
    </row>
    <row r="5415">
      <c r="B5415" s="21">
        <f>IF(AND(C5415&lt;&gt;"", J5415&lt;&gt;""), HYPERLINK("#'" &amp; C5415 &amp; "'!" &amp; J5415, J5415), "")</f>
        <v/>
      </c>
    </row>
    <row r="5416">
      <c r="B5416" s="21">
        <f>IF(AND(C5416&lt;&gt;"", J5416&lt;&gt;""), HYPERLINK("#'" &amp; C5416 &amp; "'!" &amp; J5416, J5416), "")</f>
        <v/>
      </c>
    </row>
    <row r="5417">
      <c r="B5417" s="21">
        <f>IF(AND(C5417&lt;&gt;"", J5417&lt;&gt;""), HYPERLINK("#'" &amp; C5417 &amp; "'!" &amp; J5417, J5417), "")</f>
        <v/>
      </c>
    </row>
    <row r="5418">
      <c r="B5418" s="21">
        <f>IF(AND(C5418&lt;&gt;"", J5418&lt;&gt;""), HYPERLINK("#'" &amp; C5418 &amp; "'!" &amp; J5418, J5418), "")</f>
        <v/>
      </c>
    </row>
    <row r="5419">
      <c r="B5419" s="21">
        <f>IF(AND(C5419&lt;&gt;"", J5419&lt;&gt;""), HYPERLINK("#'" &amp; C5419 &amp; "'!" &amp; J5419, J5419), "")</f>
        <v/>
      </c>
    </row>
    <row r="5420">
      <c r="B5420" s="21">
        <f>IF(AND(C5420&lt;&gt;"", J5420&lt;&gt;""), HYPERLINK("#'" &amp; C5420 &amp; "'!" &amp; J5420, J5420), "")</f>
        <v/>
      </c>
    </row>
    <row r="5421">
      <c r="B5421" s="21">
        <f>IF(AND(C5421&lt;&gt;"", J5421&lt;&gt;""), HYPERLINK("#'" &amp; C5421 &amp; "'!" &amp; J5421, J5421), "")</f>
        <v/>
      </c>
    </row>
    <row r="5422">
      <c r="B5422" s="21">
        <f>IF(AND(C5422&lt;&gt;"", J5422&lt;&gt;""), HYPERLINK("#'" &amp; C5422 &amp; "'!" &amp; J5422, J5422), "")</f>
        <v/>
      </c>
    </row>
    <row r="5423">
      <c r="B5423" s="21">
        <f>IF(AND(C5423&lt;&gt;"", J5423&lt;&gt;""), HYPERLINK("#'" &amp; C5423 &amp; "'!" &amp; J5423, J5423), "")</f>
        <v/>
      </c>
    </row>
    <row r="5424">
      <c r="B5424" s="21">
        <f>IF(AND(C5424&lt;&gt;"", J5424&lt;&gt;""), HYPERLINK("#'" &amp; C5424 &amp; "'!" &amp; J5424, J5424), "")</f>
        <v/>
      </c>
    </row>
    <row r="5425">
      <c r="B5425" s="21">
        <f>IF(AND(C5425&lt;&gt;"", J5425&lt;&gt;""), HYPERLINK("#'" &amp; C5425 &amp; "'!" &amp; J5425, J5425), "")</f>
        <v/>
      </c>
    </row>
    <row r="5426">
      <c r="B5426" s="21">
        <f>IF(AND(C5426&lt;&gt;"", J5426&lt;&gt;""), HYPERLINK("#'" &amp; C5426 &amp; "'!" &amp; J5426, J5426), "")</f>
        <v/>
      </c>
    </row>
    <row r="5427">
      <c r="B5427" s="21">
        <f>IF(AND(C5427&lt;&gt;"", J5427&lt;&gt;""), HYPERLINK("#'" &amp; C5427 &amp; "'!" &amp; J5427, J5427), "")</f>
        <v/>
      </c>
    </row>
    <row r="5428">
      <c r="B5428" s="21">
        <f>IF(AND(C5428&lt;&gt;"", J5428&lt;&gt;""), HYPERLINK("#'" &amp; C5428 &amp; "'!" &amp; J5428, J5428), "")</f>
        <v/>
      </c>
    </row>
    <row r="5429">
      <c r="B5429" s="21">
        <f>IF(AND(C5429&lt;&gt;"", J5429&lt;&gt;""), HYPERLINK("#'" &amp; C5429 &amp; "'!" &amp; J5429, J5429), "")</f>
        <v/>
      </c>
    </row>
    <row r="5430">
      <c r="B5430" s="21">
        <f>IF(AND(C5430&lt;&gt;"", J5430&lt;&gt;""), HYPERLINK("#'" &amp; C5430 &amp; "'!" &amp; J5430, J5430), "")</f>
        <v/>
      </c>
    </row>
    <row r="5431">
      <c r="B5431" s="21">
        <f>IF(AND(C5431&lt;&gt;"", J5431&lt;&gt;""), HYPERLINK("#'" &amp; C5431 &amp; "'!" &amp; J5431, J5431), "")</f>
        <v/>
      </c>
    </row>
    <row r="5432">
      <c r="B5432" s="21">
        <f>IF(AND(C5432&lt;&gt;"", J5432&lt;&gt;""), HYPERLINK("#'" &amp; C5432 &amp; "'!" &amp; J5432, J5432), "")</f>
        <v/>
      </c>
    </row>
    <row r="5433">
      <c r="B5433" s="21">
        <f>IF(AND(C5433&lt;&gt;"", J5433&lt;&gt;""), HYPERLINK("#'" &amp; C5433 &amp; "'!" &amp; J5433, J5433), "")</f>
        <v/>
      </c>
    </row>
    <row r="5434">
      <c r="B5434" s="21">
        <f>IF(AND(C5434&lt;&gt;"", J5434&lt;&gt;""), HYPERLINK("#'" &amp; C5434 &amp; "'!" &amp; J5434, J5434), "")</f>
        <v/>
      </c>
    </row>
    <row r="5435">
      <c r="B5435" s="21">
        <f>IF(AND(C5435&lt;&gt;"", J5435&lt;&gt;""), HYPERLINK("#'" &amp; C5435 &amp; "'!" &amp; J5435, J5435), "")</f>
        <v/>
      </c>
    </row>
    <row r="5436">
      <c r="B5436" s="21">
        <f>IF(AND(C5436&lt;&gt;"", J5436&lt;&gt;""), HYPERLINK("#'" &amp; C5436 &amp; "'!" &amp; J5436, J5436), "")</f>
        <v/>
      </c>
    </row>
    <row r="5437">
      <c r="B5437" s="21">
        <f>IF(AND(C5437&lt;&gt;"", J5437&lt;&gt;""), HYPERLINK("#'" &amp; C5437 &amp; "'!" &amp; J5437, J5437), "")</f>
        <v/>
      </c>
    </row>
    <row r="5438">
      <c r="B5438" s="21">
        <f>IF(AND(C5438&lt;&gt;"", J5438&lt;&gt;""), HYPERLINK("#'" &amp; C5438 &amp; "'!" &amp; J5438, J5438), "")</f>
        <v/>
      </c>
    </row>
    <row r="5439">
      <c r="B5439" s="21">
        <f>IF(AND(C5439&lt;&gt;"", J5439&lt;&gt;""), HYPERLINK("#'" &amp; C5439 &amp; "'!" &amp; J5439, J5439), "")</f>
        <v/>
      </c>
    </row>
    <row r="5440">
      <c r="B5440" s="21">
        <f>IF(AND(C5440&lt;&gt;"", J5440&lt;&gt;""), HYPERLINK("#'" &amp; C5440 &amp; "'!" &amp; J5440, J5440), "")</f>
        <v/>
      </c>
    </row>
    <row r="5441">
      <c r="B5441" s="21">
        <f>IF(AND(C5441&lt;&gt;"", J5441&lt;&gt;""), HYPERLINK("#'" &amp; C5441 &amp; "'!" &amp; J5441, J5441), "")</f>
        <v/>
      </c>
    </row>
    <row r="5442">
      <c r="B5442" s="21">
        <f>IF(AND(C5442&lt;&gt;"", J5442&lt;&gt;""), HYPERLINK("#'" &amp; C5442 &amp; "'!" &amp; J5442, J5442), "")</f>
        <v/>
      </c>
    </row>
    <row r="5443">
      <c r="B5443" s="21">
        <f>IF(AND(C5443&lt;&gt;"", J5443&lt;&gt;""), HYPERLINK("#'" &amp; C5443 &amp; "'!" &amp; J5443, J5443), "")</f>
        <v/>
      </c>
    </row>
    <row r="5444">
      <c r="B5444" s="21">
        <f>IF(AND(C5444&lt;&gt;"", J5444&lt;&gt;""), HYPERLINK("#'" &amp; C5444 &amp; "'!" &amp; J5444, J5444), "")</f>
        <v/>
      </c>
    </row>
    <row r="5445">
      <c r="B5445" s="21">
        <f>IF(AND(C5445&lt;&gt;"", J5445&lt;&gt;""), HYPERLINK("#'" &amp; C5445 &amp; "'!" &amp; J5445, J5445), "")</f>
        <v/>
      </c>
    </row>
    <row r="5446">
      <c r="B5446" s="21">
        <f>IF(AND(C5446&lt;&gt;"", J5446&lt;&gt;""), HYPERLINK("#'" &amp; C5446 &amp; "'!" &amp; J5446, J5446), "")</f>
        <v/>
      </c>
    </row>
    <row r="5447">
      <c r="B5447" s="21">
        <f>IF(AND(C5447&lt;&gt;"", J5447&lt;&gt;""), HYPERLINK("#'" &amp; C5447 &amp; "'!" &amp; J5447, J5447), "")</f>
        <v/>
      </c>
    </row>
    <row r="5448">
      <c r="B5448" s="21">
        <f>IF(AND(C5448&lt;&gt;"", J5448&lt;&gt;""), HYPERLINK("#'" &amp; C5448 &amp; "'!" &amp; J5448, J5448), "")</f>
        <v/>
      </c>
    </row>
    <row r="5449">
      <c r="B5449" s="21">
        <f>IF(AND(C5449&lt;&gt;"", J5449&lt;&gt;""), HYPERLINK("#'" &amp; C5449 &amp; "'!" &amp; J5449, J5449), "")</f>
        <v/>
      </c>
    </row>
    <row r="5450">
      <c r="B5450" s="21">
        <f>IF(AND(C5450&lt;&gt;"", J5450&lt;&gt;""), HYPERLINK("#'" &amp; C5450 &amp; "'!" &amp; J5450, J5450), "")</f>
        <v/>
      </c>
    </row>
    <row r="5451">
      <c r="B5451" s="21">
        <f>IF(AND(C5451&lt;&gt;"", J5451&lt;&gt;""), HYPERLINK("#'" &amp; C5451 &amp; "'!" &amp; J5451, J5451), "")</f>
        <v/>
      </c>
    </row>
    <row r="5452">
      <c r="B5452" s="21">
        <f>IF(AND(C5452&lt;&gt;"", J5452&lt;&gt;""), HYPERLINK("#'" &amp; C5452 &amp; "'!" &amp; J5452, J5452), "")</f>
        <v/>
      </c>
    </row>
    <row r="5453">
      <c r="B5453" s="21">
        <f>IF(AND(C5453&lt;&gt;"", J5453&lt;&gt;""), HYPERLINK("#'" &amp; C5453 &amp; "'!" &amp; J5453, J5453), "")</f>
        <v/>
      </c>
    </row>
    <row r="5454">
      <c r="B5454" s="21">
        <f>IF(AND(C5454&lt;&gt;"", J5454&lt;&gt;""), HYPERLINK("#'" &amp; C5454 &amp; "'!" &amp; J5454, J5454), "")</f>
        <v/>
      </c>
    </row>
    <row r="5455">
      <c r="B5455" s="21">
        <f>IF(AND(C5455&lt;&gt;"", J5455&lt;&gt;""), HYPERLINK("#'" &amp; C5455 &amp; "'!" &amp; J5455, J5455), "")</f>
        <v/>
      </c>
    </row>
    <row r="5456">
      <c r="B5456" s="21">
        <f>IF(AND(C5456&lt;&gt;"", J5456&lt;&gt;""), HYPERLINK("#'" &amp; C5456 &amp; "'!" &amp; J5456, J5456), "")</f>
        <v/>
      </c>
    </row>
    <row r="5457">
      <c r="B5457" s="21">
        <f>IF(AND(C5457&lt;&gt;"", J5457&lt;&gt;""), HYPERLINK("#'" &amp; C5457 &amp; "'!" &amp; J5457, J5457), "")</f>
        <v/>
      </c>
    </row>
    <row r="5458">
      <c r="B5458" s="21">
        <f>IF(AND(C5458&lt;&gt;"", J5458&lt;&gt;""), HYPERLINK("#'" &amp; C5458 &amp; "'!" &amp; J5458, J5458), "")</f>
        <v/>
      </c>
    </row>
    <row r="5459">
      <c r="B5459" s="21">
        <f>IF(AND(C5459&lt;&gt;"", J5459&lt;&gt;""), HYPERLINK("#'" &amp; C5459 &amp; "'!" &amp; J5459, J5459), "")</f>
        <v/>
      </c>
    </row>
    <row r="5460">
      <c r="B5460" s="21">
        <f>IF(AND(C5460&lt;&gt;"", J5460&lt;&gt;""), HYPERLINK("#'" &amp; C5460 &amp; "'!" &amp; J5460, J5460), "")</f>
        <v/>
      </c>
    </row>
    <row r="5461">
      <c r="B5461" s="21">
        <f>IF(AND(C5461&lt;&gt;"", J5461&lt;&gt;""), HYPERLINK("#'" &amp; C5461 &amp; "'!" &amp; J5461, J5461), "")</f>
        <v/>
      </c>
    </row>
    <row r="5462">
      <c r="B5462" s="21">
        <f>IF(AND(C5462&lt;&gt;"", J5462&lt;&gt;""), HYPERLINK("#'" &amp; C5462 &amp; "'!" &amp; J5462, J5462), "")</f>
        <v/>
      </c>
    </row>
    <row r="5463">
      <c r="B5463" s="21">
        <f>IF(AND(C5463&lt;&gt;"", J5463&lt;&gt;""), HYPERLINK("#'" &amp; C5463 &amp; "'!" &amp; J5463, J5463), "")</f>
        <v/>
      </c>
    </row>
    <row r="5464">
      <c r="B5464" s="21">
        <f>IF(AND(C5464&lt;&gt;"", J5464&lt;&gt;""), HYPERLINK("#'" &amp; C5464 &amp; "'!" &amp; J5464, J5464), "")</f>
        <v/>
      </c>
    </row>
    <row r="5465">
      <c r="B5465" s="21">
        <f>IF(AND(C5465&lt;&gt;"", J5465&lt;&gt;""), HYPERLINK("#'" &amp; C5465 &amp; "'!" &amp; J5465, J5465), "")</f>
        <v/>
      </c>
    </row>
    <row r="5466">
      <c r="B5466" s="21">
        <f>IF(AND(C5466&lt;&gt;"", J5466&lt;&gt;""), HYPERLINK("#'" &amp; C5466 &amp; "'!" &amp; J5466, J5466), "")</f>
        <v/>
      </c>
    </row>
    <row r="5467">
      <c r="B5467" s="21">
        <f>IF(AND(C5467&lt;&gt;"", J5467&lt;&gt;""), HYPERLINK("#'" &amp; C5467 &amp; "'!" &amp; J5467, J5467), "")</f>
        <v/>
      </c>
    </row>
    <row r="5468">
      <c r="B5468" s="21">
        <f>IF(AND(C5468&lt;&gt;"", J5468&lt;&gt;""), HYPERLINK("#'" &amp; C5468 &amp; "'!" &amp; J5468, J5468), "")</f>
        <v/>
      </c>
    </row>
    <row r="5469">
      <c r="B5469" s="21">
        <f>IF(AND(C5469&lt;&gt;"", J5469&lt;&gt;""), HYPERLINK("#'" &amp; C5469 &amp; "'!" &amp; J5469, J5469), "")</f>
        <v/>
      </c>
    </row>
    <row r="5470">
      <c r="B5470" s="21">
        <f>IF(AND(C5470&lt;&gt;"", J5470&lt;&gt;""), HYPERLINK("#'" &amp; C5470 &amp; "'!" &amp; J5470, J5470), "")</f>
        <v/>
      </c>
    </row>
    <row r="5471">
      <c r="B5471" s="21">
        <f>IF(AND(C5471&lt;&gt;"", J5471&lt;&gt;""), HYPERLINK("#'" &amp; C5471 &amp; "'!" &amp; J5471, J5471), "")</f>
        <v/>
      </c>
    </row>
    <row r="5472">
      <c r="B5472" s="21">
        <f>IF(AND(C5472&lt;&gt;"", J5472&lt;&gt;""), HYPERLINK("#'" &amp; C5472 &amp; "'!" &amp; J5472, J5472), "")</f>
        <v/>
      </c>
    </row>
    <row r="5473">
      <c r="B5473" s="21">
        <f>IF(AND(C5473&lt;&gt;"", J5473&lt;&gt;""), HYPERLINK("#'" &amp; C5473 &amp; "'!" &amp; J5473, J5473), "")</f>
        <v/>
      </c>
    </row>
    <row r="5474">
      <c r="B5474" s="21">
        <f>IF(AND(C5474&lt;&gt;"", J5474&lt;&gt;""), HYPERLINK("#'" &amp; C5474 &amp; "'!" &amp; J5474, J5474), "")</f>
        <v/>
      </c>
    </row>
    <row r="5475">
      <c r="B5475" s="21">
        <f>IF(AND(C5475&lt;&gt;"", J5475&lt;&gt;""), HYPERLINK("#'" &amp; C5475 &amp; "'!" &amp; J5475, J5475), "")</f>
        <v/>
      </c>
    </row>
    <row r="5476">
      <c r="B5476" s="21">
        <f>IF(AND(C5476&lt;&gt;"", J5476&lt;&gt;""), HYPERLINK("#'" &amp; C5476 &amp; "'!" &amp; J5476, J5476), "")</f>
        <v/>
      </c>
    </row>
    <row r="5477">
      <c r="B5477" s="21">
        <f>IF(AND(C5477&lt;&gt;"", J5477&lt;&gt;""), HYPERLINK("#'" &amp; C5477 &amp; "'!" &amp; J5477, J5477), "")</f>
        <v/>
      </c>
    </row>
    <row r="5478">
      <c r="B5478" s="21">
        <f>IF(AND(C5478&lt;&gt;"", J5478&lt;&gt;""), HYPERLINK("#'" &amp; C5478 &amp; "'!" &amp; J5478, J5478), "")</f>
        <v/>
      </c>
    </row>
    <row r="5479">
      <c r="B5479" s="21">
        <f>IF(AND(C5479&lt;&gt;"", J5479&lt;&gt;""), HYPERLINK("#'" &amp; C5479 &amp; "'!" &amp; J5479, J5479), "")</f>
        <v/>
      </c>
    </row>
    <row r="5480">
      <c r="B5480" s="21">
        <f>IF(AND(C5480&lt;&gt;"", J5480&lt;&gt;""), HYPERLINK("#'" &amp; C5480 &amp; "'!" &amp; J5480, J5480), "")</f>
        <v/>
      </c>
    </row>
    <row r="5481">
      <c r="B5481" s="21">
        <f>IF(AND(C5481&lt;&gt;"", J5481&lt;&gt;""), HYPERLINK("#'" &amp; C5481 &amp; "'!" &amp; J5481, J5481), "")</f>
        <v/>
      </c>
    </row>
    <row r="5482">
      <c r="B5482" s="21">
        <f>IF(AND(C5482&lt;&gt;"", J5482&lt;&gt;""), HYPERLINK("#'" &amp; C5482 &amp; "'!" &amp; J5482, J5482), "")</f>
        <v/>
      </c>
    </row>
    <row r="5483">
      <c r="B5483" s="21">
        <f>IF(AND(C5483&lt;&gt;"", J5483&lt;&gt;""), HYPERLINK("#'" &amp; C5483 &amp; "'!" &amp; J5483, J5483), "")</f>
        <v/>
      </c>
    </row>
    <row r="5484">
      <c r="B5484" s="21">
        <f>IF(AND(C5484&lt;&gt;"", J5484&lt;&gt;""), HYPERLINK("#'" &amp; C5484 &amp; "'!" &amp; J5484, J5484), "")</f>
        <v/>
      </c>
    </row>
    <row r="5485">
      <c r="B5485" s="21">
        <f>IF(AND(C5485&lt;&gt;"", J5485&lt;&gt;""), HYPERLINK("#'" &amp; C5485 &amp; "'!" &amp; J5485, J5485), "")</f>
        <v/>
      </c>
    </row>
    <row r="5486">
      <c r="B5486" s="21">
        <f>IF(AND(C5486&lt;&gt;"", J5486&lt;&gt;""), HYPERLINK("#'" &amp; C5486 &amp; "'!" &amp; J5486, J5486), "")</f>
        <v/>
      </c>
    </row>
    <row r="5487">
      <c r="B5487" s="21">
        <f>IF(AND(C5487&lt;&gt;"", J5487&lt;&gt;""), HYPERLINK("#'" &amp; C5487 &amp; "'!" &amp; J5487, J5487), "")</f>
        <v/>
      </c>
    </row>
    <row r="5488">
      <c r="B5488" s="21">
        <f>IF(AND(C5488&lt;&gt;"", J5488&lt;&gt;""), HYPERLINK("#'" &amp; C5488 &amp; "'!" &amp; J5488, J5488), "")</f>
        <v/>
      </c>
    </row>
    <row r="5489">
      <c r="B5489" s="21">
        <f>IF(AND(C5489&lt;&gt;"", J5489&lt;&gt;""), HYPERLINK("#'" &amp; C5489 &amp; "'!" &amp; J5489, J5489), "")</f>
        <v/>
      </c>
    </row>
    <row r="5490">
      <c r="B5490" s="21">
        <f>IF(AND(C5490&lt;&gt;"", J5490&lt;&gt;""), HYPERLINK("#'" &amp; C5490 &amp; "'!" &amp; J5490, J5490), "")</f>
        <v/>
      </c>
    </row>
    <row r="5491">
      <c r="B5491" s="21">
        <f>IF(AND(C5491&lt;&gt;"", J5491&lt;&gt;""), HYPERLINK("#'" &amp; C5491 &amp; "'!" &amp; J5491, J5491), "")</f>
        <v/>
      </c>
    </row>
    <row r="5492">
      <c r="B5492" s="21">
        <f>IF(AND(C5492&lt;&gt;"", J5492&lt;&gt;""), HYPERLINK("#'" &amp; C5492 &amp; "'!" &amp; J5492, J5492), "")</f>
        <v/>
      </c>
    </row>
    <row r="5493">
      <c r="B5493" s="21">
        <f>IF(AND(C5493&lt;&gt;"", J5493&lt;&gt;""), HYPERLINK("#'" &amp; C5493 &amp; "'!" &amp; J5493, J5493), "")</f>
        <v/>
      </c>
    </row>
    <row r="5494">
      <c r="B5494" s="21">
        <f>IF(AND(C5494&lt;&gt;"", J5494&lt;&gt;""), HYPERLINK("#'" &amp; C5494 &amp; "'!" &amp; J5494, J5494), "")</f>
        <v/>
      </c>
    </row>
    <row r="5495">
      <c r="B5495" s="21">
        <f>IF(AND(C5495&lt;&gt;"", J5495&lt;&gt;""), HYPERLINK("#'" &amp; C5495 &amp; "'!" &amp; J5495, J5495), "")</f>
        <v/>
      </c>
    </row>
    <row r="5496">
      <c r="B5496" s="21">
        <f>IF(AND(C5496&lt;&gt;"", J5496&lt;&gt;""), HYPERLINK("#'" &amp; C5496 &amp; "'!" &amp; J5496, J5496), "")</f>
        <v/>
      </c>
    </row>
    <row r="5497">
      <c r="B5497" s="21">
        <f>IF(AND(C5497&lt;&gt;"", J5497&lt;&gt;""), HYPERLINK("#'" &amp; C5497 &amp; "'!" &amp; J5497, J5497), "")</f>
        <v/>
      </c>
    </row>
    <row r="5498">
      <c r="B5498" s="21">
        <f>IF(AND(C5498&lt;&gt;"", J5498&lt;&gt;""), HYPERLINK("#'" &amp; C5498 &amp; "'!" &amp; J5498, J5498), "")</f>
        <v/>
      </c>
    </row>
    <row r="5499">
      <c r="B5499" s="21">
        <f>IF(AND(C5499&lt;&gt;"", J5499&lt;&gt;""), HYPERLINK("#'" &amp; C5499 &amp; "'!" &amp; J5499, J5499), "")</f>
        <v/>
      </c>
    </row>
    <row r="5500">
      <c r="B5500" s="21">
        <f>IF(AND(C5500&lt;&gt;"", J5500&lt;&gt;""), HYPERLINK("#'" &amp; C5500 &amp; "'!" &amp; J5500, J5500), "")</f>
        <v/>
      </c>
    </row>
    <row r="5501">
      <c r="B5501" s="21">
        <f>IF(AND(C5501&lt;&gt;"", J5501&lt;&gt;""), HYPERLINK("#'" &amp; C5501 &amp; "'!" &amp; J5501, J5501), "")</f>
        <v/>
      </c>
    </row>
    <row r="5502">
      <c r="B5502" s="21">
        <f>IF(AND(C5502&lt;&gt;"", J5502&lt;&gt;""), HYPERLINK("#'" &amp; C5502 &amp; "'!" &amp; J5502, J5502), "")</f>
        <v/>
      </c>
    </row>
    <row r="5503">
      <c r="B5503" s="21">
        <f>IF(AND(C5503&lt;&gt;"", J5503&lt;&gt;""), HYPERLINK("#'" &amp; C5503 &amp; "'!" &amp; J5503, J5503), "")</f>
        <v/>
      </c>
    </row>
    <row r="5504">
      <c r="B5504" s="21">
        <f>IF(AND(C5504&lt;&gt;"", J5504&lt;&gt;""), HYPERLINK("#'" &amp; C5504 &amp; "'!" &amp; J5504, J5504), "")</f>
        <v/>
      </c>
    </row>
    <row r="5505">
      <c r="B5505" s="21">
        <f>IF(AND(C5505&lt;&gt;"", J5505&lt;&gt;""), HYPERLINK("#'" &amp; C5505 &amp; "'!" &amp; J5505, J5505), "")</f>
        <v/>
      </c>
    </row>
    <row r="5506">
      <c r="B5506" s="21">
        <f>IF(AND(C5506&lt;&gt;"", J5506&lt;&gt;""), HYPERLINK("#'" &amp; C5506 &amp; "'!" &amp; J5506, J5506), "")</f>
        <v/>
      </c>
    </row>
    <row r="5507">
      <c r="B5507" s="21">
        <f>IF(AND(C5507&lt;&gt;"", J5507&lt;&gt;""), HYPERLINK("#'" &amp; C5507 &amp; "'!" &amp; J5507, J5507), "")</f>
        <v/>
      </c>
    </row>
    <row r="5508">
      <c r="B5508" s="21">
        <f>IF(AND(C5508&lt;&gt;"", J5508&lt;&gt;""), HYPERLINK("#'" &amp; C5508 &amp; "'!" &amp; J5508, J5508), "")</f>
        <v/>
      </c>
    </row>
    <row r="5509">
      <c r="B5509" s="21">
        <f>IF(AND(C5509&lt;&gt;"", J5509&lt;&gt;""), HYPERLINK("#'" &amp; C5509 &amp; "'!" &amp; J5509, J5509), "")</f>
        <v/>
      </c>
    </row>
    <row r="5510">
      <c r="B5510" s="21">
        <f>IF(AND(C5510&lt;&gt;"", J5510&lt;&gt;""), HYPERLINK("#'" &amp; C5510 &amp; "'!" &amp; J5510, J5510), "")</f>
        <v/>
      </c>
    </row>
    <row r="5511">
      <c r="B5511" s="21">
        <f>IF(AND(C5511&lt;&gt;"", J5511&lt;&gt;""), HYPERLINK("#'" &amp; C5511 &amp; "'!" &amp; J5511, J5511), "")</f>
        <v/>
      </c>
    </row>
    <row r="5512">
      <c r="B5512" s="21">
        <f>IF(AND(C5512&lt;&gt;"", J5512&lt;&gt;""), HYPERLINK("#'" &amp; C5512 &amp; "'!" &amp; J5512, J5512), "")</f>
        <v/>
      </c>
    </row>
    <row r="5513">
      <c r="B5513" s="21">
        <f>IF(AND(C5513&lt;&gt;"", J5513&lt;&gt;""), HYPERLINK("#'" &amp; C5513 &amp; "'!" &amp; J5513, J5513), "")</f>
        <v/>
      </c>
    </row>
    <row r="5514">
      <c r="B5514" s="21">
        <f>IF(AND(C5514&lt;&gt;"", J5514&lt;&gt;""), HYPERLINK("#'" &amp; C5514 &amp; "'!" &amp; J5514, J5514), "")</f>
        <v/>
      </c>
    </row>
    <row r="5515">
      <c r="B5515" s="21">
        <f>IF(AND(C5515&lt;&gt;"", J5515&lt;&gt;""), HYPERLINK("#'" &amp; C5515 &amp; "'!" &amp; J5515, J5515), "")</f>
        <v/>
      </c>
    </row>
    <row r="5516">
      <c r="B5516" s="21">
        <f>IF(AND(C5516&lt;&gt;"", J5516&lt;&gt;""), HYPERLINK("#'" &amp; C5516 &amp; "'!" &amp; J5516, J5516), "")</f>
        <v/>
      </c>
    </row>
    <row r="5517">
      <c r="B5517" s="21">
        <f>IF(AND(C5517&lt;&gt;"", J5517&lt;&gt;""), HYPERLINK("#'" &amp; C5517 &amp; "'!" &amp; J5517, J5517), "")</f>
        <v/>
      </c>
    </row>
    <row r="5518">
      <c r="B5518" s="21">
        <f>IF(AND(C5518&lt;&gt;"", J5518&lt;&gt;""), HYPERLINK("#'" &amp; C5518 &amp; "'!" &amp; J5518, J5518), "")</f>
        <v/>
      </c>
    </row>
    <row r="5519">
      <c r="B5519" s="21">
        <f>IF(AND(C5519&lt;&gt;"", J5519&lt;&gt;""), HYPERLINK("#'" &amp; C5519 &amp; "'!" &amp; J5519, J5519), "")</f>
        <v/>
      </c>
    </row>
    <row r="5520">
      <c r="B5520" s="21">
        <f>IF(AND(C5520&lt;&gt;"", J5520&lt;&gt;""), HYPERLINK("#'" &amp; C5520 &amp; "'!" &amp; J5520, J5520), "")</f>
        <v/>
      </c>
    </row>
    <row r="5521">
      <c r="B5521" s="21">
        <f>IF(AND(C5521&lt;&gt;"", J5521&lt;&gt;""), HYPERLINK("#'" &amp; C5521 &amp; "'!" &amp; J5521, J5521), "")</f>
        <v/>
      </c>
    </row>
    <row r="5522">
      <c r="B5522" s="21">
        <f>IF(AND(C5522&lt;&gt;"", J5522&lt;&gt;""), HYPERLINK("#'" &amp; C5522 &amp; "'!" &amp; J5522, J5522), "")</f>
        <v/>
      </c>
    </row>
    <row r="5523">
      <c r="B5523" s="21">
        <f>IF(AND(C5523&lt;&gt;"", J5523&lt;&gt;""), HYPERLINK("#'" &amp; C5523 &amp; "'!" &amp; J5523, J5523), "")</f>
        <v/>
      </c>
    </row>
    <row r="5524">
      <c r="B5524" s="21">
        <f>IF(AND(C5524&lt;&gt;"", J5524&lt;&gt;""), HYPERLINK("#'" &amp; C5524 &amp; "'!" &amp; J5524, J5524), "")</f>
        <v/>
      </c>
    </row>
    <row r="5525">
      <c r="B5525" s="21">
        <f>IF(AND(C5525&lt;&gt;"", J5525&lt;&gt;""), HYPERLINK("#'" &amp; C5525 &amp; "'!" &amp; J5525, J5525), "")</f>
        <v/>
      </c>
    </row>
    <row r="5526">
      <c r="B5526" s="21">
        <f>IF(AND(C5526&lt;&gt;"", J5526&lt;&gt;""), HYPERLINK("#'" &amp; C5526 &amp; "'!" &amp; J5526, J5526), "")</f>
        <v/>
      </c>
    </row>
    <row r="5527">
      <c r="B5527" s="21">
        <f>IF(AND(C5527&lt;&gt;"", J5527&lt;&gt;""), HYPERLINK("#'" &amp; C5527 &amp; "'!" &amp; J5527, J5527), "")</f>
        <v/>
      </c>
    </row>
    <row r="5528">
      <c r="B5528" s="21">
        <f>IF(AND(C5528&lt;&gt;"", J5528&lt;&gt;""), HYPERLINK("#'" &amp; C5528 &amp; "'!" &amp; J5528, J5528), "")</f>
        <v/>
      </c>
    </row>
    <row r="5529">
      <c r="B5529" s="21">
        <f>IF(AND(C5529&lt;&gt;"", J5529&lt;&gt;""), HYPERLINK("#'" &amp; C5529 &amp; "'!" &amp; J5529, J5529), "")</f>
        <v/>
      </c>
    </row>
    <row r="5530">
      <c r="B5530" s="21">
        <f>IF(AND(C5530&lt;&gt;"", J5530&lt;&gt;""), HYPERLINK("#'" &amp; C5530 &amp; "'!" &amp; J5530, J5530), "")</f>
        <v/>
      </c>
    </row>
    <row r="5531">
      <c r="B5531" s="21">
        <f>IF(AND(C5531&lt;&gt;"", J5531&lt;&gt;""), HYPERLINK("#'" &amp; C5531 &amp; "'!" &amp; J5531, J5531), "")</f>
        <v/>
      </c>
    </row>
    <row r="5532">
      <c r="B5532" s="21">
        <f>IF(AND(C5532&lt;&gt;"", J5532&lt;&gt;""), HYPERLINK("#'" &amp; C5532 &amp; "'!" &amp; J5532, J5532), "")</f>
        <v/>
      </c>
    </row>
    <row r="5533">
      <c r="B5533" s="21">
        <f>IF(AND(C5533&lt;&gt;"", J5533&lt;&gt;""), HYPERLINK("#'" &amp; C5533 &amp; "'!" &amp; J5533, J5533), "")</f>
        <v/>
      </c>
    </row>
    <row r="5534">
      <c r="B5534" s="21">
        <f>IF(AND(C5534&lt;&gt;"", J5534&lt;&gt;""), HYPERLINK("#'" &amp; C5534 &amp; "'!" &amp; J5534, J5534), "")</f>
        <v/>
      </c>
    </row>
    <row r="5535">
      <c r="B5535" s="21">
        <f>IF(AND(C5535&lt;&gt;"", J5535&lt;&gt;""), HYPERLINK("#'" &amp; C5535 &amp; "'!" &amp; J5535, J5535), "")</f>
        <v/>
      </c>
    </row>
    <row r="5536">
      <c r="B5536" s="21">
        <f>IF(AND(C5536&lt;&gt;"", J5536&lt;&gt;""), HYPERLINK("#'" &amp; C5536 &amp; "'!" &amp; J5536, J5536), "")</f>
        <v/>
      </c>
    </row>
    <row r="5537">
      <c r="B5537" s="21">
        <f>IF(AND(C5537&lt;&gt;"", J5537&lt;&gt;""), HYPERLINK("#'" &amp; C5537 &amp; "'!" &amp; J5537, J5537), "")</f>
        <v/>
      </c>
    </row>
    <row r="5538">
      <c r="B5538" s="21">
        <f>IF(AND(C5538&lt;&gt;"", J5538&lt;&gt;""), HYPERLINK("#'" &amp; C5538 &amp; "'!" &amp; J5538, J5538), "")</f>
        <v/>
      </c>
    </row>
    <row r="5539">
      <c r="B5539" s="21">
        <f>IF(AND(C5539&lt;&gt;"", J5539&lt;&gt;""), HYPERLINK("#'" &amp; C5539 &amp; "'!" &amp; J5539, J5539), "")</f>
        <v/>
      </c>
    </row>
    <row r="5540">
      <c r="B5540" s="21">
        <f>IF(AND(C5540&lt;&gt;"", J5540&lt;&gt;""), HYPERLINK("#'" &amp; C5540 &amp; "'!" &amp; J5540, J5540), "")</f>
        <v/>
      </c>
    </row>
    <row r="5541">
      <c r="B5541" s="21">
        <f>IF(AND(C5541&lt;&gt;"", J5541&lt;&gt;""), HYPERLINK("#'" &amp; C5541 &amp; "'!" &amp; J5541, J5541), "")</f>
        <v/>
      </c>
    </row>
    <row r="5542">
      <c r="B5542" s="21">
        <f>IF(AND(C5542&lt;&gt;"", J5542&lt;&gt;""), HYPERLINK("#'" &amp; C5542 &amp; "'!" &amp; J5542, J5542), "")</f>
        <v/>
      </c>
    </row>
    <row r="5543">
      <c r="B5543" s="21">
        <f>IF(AND(C5543&lt;&gt;"", J5543&lt;&gt;""), HYPERLINK("#'" &amp; C5543 &amp; "'!" &amp; J5543, J5543), "")</f>
        <v/>
      </c>
    </row>
    <row r="5544">
      <c r="B5544" s="21">
        <f>IF(AND(C5544&lt;&gt;"", J5544&lt;&gt;""), HYPERLINK("#'" &amp; C5544 &amp; "'!" &amp; J5544, J5544), "")</f>
        <v/>
      </c>
    </row>
    <row r="5545">
      <c r="B5545" s="21">
        <f>IF(AND(C5545&lt;&gt;"", J5545&lt;&gt;""), HYPERLINK("#'" &amp; C5545 &amp; "'!" &amp; J5545, J5545), "")</f>
        <v/>
      </c>
    </row>
    <row r="5546">
      <c r="B5546" s="21">
        <f>IF(AND(C5546&lt;&gt;"", J5546&lt;&gt;""), HYPERLINK("#'" &amp; C5546 &amp; "'!" &amp; J5546, J5546), "")</f>
        <v/>
      </c>
    </row>
    <row r="5547">
      <c r="B5547" s="21">
        <f>IF(AND(C5547&lt;&gt;"", J5547&lt;&gt;""), HYPERLINK("#'" &amp; C5547 &amp; "'!" &amp; J5547, J5547), "")</f>
        <v/>
      </c>
    </row>
    <row r="5548">
      <c r="B5548" s="21">
        <f>IF(AND(C5548&lt;&gt;"", J5548&lt;&gt;""), HYPERLINK("#'" &amp; C5548 &amp; "'!" &amp; J5548, J5548), "")</f>
        <v/>
      </c>
    </row>
    <row r="5549">
      <c r="B5549" s="21">
        <f>IF(AND(C5549&lt;&gt;"", J5549&lt;&gt;""), HYPERLINK("#'" &amp; C5549 &amp; "'!" &amp; J5549, J5549), "")</f>
        <v/>
      </c>
    </row>
    <row r="5550">
      <c r="B5550" s="21">
        <f>IF(AND(C5550&lt;&gt;"", J5550&lt;&gt;""), HYPERLINK("#'" &amp; C5550 &amp; "'!" &amp; J5550, J5550), "")</f>
        <v/>
      </c>
    </row>
    <row r="5551">
      <c r="B5551" s="21">
        <f>IF(AND(C5551&lt;&gt;"", J5551&lt;&gt;""), HYPERLINK("#'" &amp; C5551 &amp; "'!" &amp; J5551, J5551), "")</f>
        <v/>
      </c>
    </row>
    <row r="5552">
      <c r="B5552" s="21">
        <f>IF(AND(C5552&lt;&gt;"", J5552&lt;&gt;""), HYPERLINK("#'" &amp; C5552 &amp; "'!" &amp; J5552, J5552), "")</f>
        <v/>
      </c>
    </row>
    <row r="5553">
      <c r="B5553" s="21">
        <f>IF(AND(C5553&lt;&gt;"", J5553&lt;&gt;""), HYPERLINK("#'" &amp; C5553 &amp; "'!" &amp; J5553, J5553), "")</f>
        <v/>
      </c>
    </row>
    <row r="5554">
      <c r="B5554" s="21">
        <f>IF(AND(C5554&lt;&gt;"", J5554&lt;&gt;""), HYPERLINK("#'" &amp; C5554 &amp; "'!" &amp; J5554, J5554), "")</f>
        <v/>
      </c>
    </row>
    <row r="5555">
      <c r="B5555" s="21">
        <f>IF(AND(C5555&lt;&gt;"", J5555&lt;&gt;""), HYPERLINK("#'" &amp; C5555 &amp; "'!" &amp; J5555, J5555), "")</f>
        <v/>
      </c>
    </row>
    <row r="5556">
      <c r="B5556" s="21">
        <f>IF(AND(C5556&lt;&gt;"", J5556&lt;&gt;""), HYPERLINK("#'" &amp; C5556 &amp; "'!" &amp; J5556, J5556), "")</f>
        <v/>
      </c>
    </row>
    <row r="5557">
      <c r="B5557" s="21">
        <f>IF(AND(C5557&lt;&gt;"", J5557&lt;&gt;""), HYPERLINK("#'" &amp; C5557 &amp; "'!" &amp; J5557, J5557), "")</f>
        <v/>
      </c>
    </row>
    <row r="5558">
      <c r="B5558" s="21">
        <f>IF(AND(C5558&lt;&gt;"", J5558&lt;&gt;""), HYPERLINK("#'" &amp; C5558 &amp; "'!" &amp; J5558, J5558), "")</f>
        <v/>
      </c>
    </row>
    <row r="5559">
      <c r="B5559" s="21">
        <f>IF(AND(C5559&lt;&gt;"", J5559&lt;&gt;""), HYPERLINK("#'" &amp; C5559 &amp; "'!" &amp; J5559, J5559), "")</f>
        <v/>
      </c>
    </row>
    <row r="5560">
      <c r="B5560" s="21">
        <f>IF(AND(C5560&lt;&gt;"", J5560&lt;&gt;""), HYPERLINK("#'" &amp; C5560 &amp; "'!" &amp; J5560, J5560), "")</f>
        <v/>
      </c>
    </row>
    <row r="5561">
      <c r="B5561" s="21">
        <f>IF(AND(C5561&lt;&gt;"", J5561&lt;&gt;""), HYPERLINK("#'" &amp; C5561 &amp; "'!" &amp; J5561, J5561), "")</f>
        <v/>
      </c>
    </row>
    <row r="5562">
      <c r="B5562" s="21">
        <f>IF(AND(C5562&lt;&gt;"", J5562&lt;&gt;""), HYPERLINK("#'" &amp; C5562 &amp; "'!" &amp; J5562, J5562), "")</f>
        <v/>
      </c>
    </row>
    <row r="5563">
      <c r="B5563" s="21">
        <f>IF(AND(C5563&lt;&gt;"", J5563&lt;&gt;""), HYPERLINK("#'" &amp; C5563 &amp; "'!" &amp; J5563, J5563), "")</f>
        <v/>
      </c>
    </row>
    <row r="5564">
      <c r="B5564" s="21">
        <f>IF(AND(C5564&lt;&gt;"", J5564&lt;&gt;""), HYPERLINK("#'" &amp; C5564 &amp; "'!" &amp; J5564, J5564), "")</f>
        <v/>
      </c>
    </row>
    <row r="5565">
      <c r="B5565" s="21">
        <f>IF(AND(C5565&lt;&gt;"", J5565&lt;&gt;""), HYPERLINK("#'" &amp; C5565 &amp; "'!" &amp; J5565, J5565), "")</f>
        <v/>
      </c>
    </row>
    <row r="5566">
      <c r="B5566" s="21">
        <f>IF(AND(C5566&lt;&gt;"", J5566&lt;&gt;""), HYPERLINK("#'" &amp; C5566 &amp; "'!" &amp; J5566, J5566), "")</f>
        <v/>
      </c>
    </row>
    <row r="5567">
      <c r="B5567" s="21">
        <f>IF(AND(C5567&lt;&gt;"", J5567&lt;&gt;""), HYPERLINK("#'" &amp; C5567 &amp; "'!" &amp; J5567, J5567), "")</f>
        <v/>
      </c>
    </row>
    <row r="5568">
      <c r="B5568" s="21">
        <f>IF(AND(C5568&lt;&gt;"", J5568&lt;&gt;""), HYPERLINK("#'" &amp; C5568 &amp; "'!" &amp; J5568, J5568), "")</f>
        <v/>
      </c>
    </row>
    <row r="5569">
      <c r="B5569" s="21">
        <f>IF(AND(C5569&lt;&gt;"", J5569&lt;&gt;""), HYPERLINK("#'" &amp; C5569 &amp; "'!" &amp; J5569, J5569), "")</f>
        <v/>
      </c>
    </row>
    <row r="5570">
      <c r="B5570" s="21">
        <f>IF(AND(C5570&lt;&gt;"", J5570&lt;&gt;""), HYPERLINK("#'" &amp; C5570 &amp; "'!" &amp; J5570, J5570), "")</f>
        <v/>
      </c>
    </row>
    <row r="5571">
      <c r="B5571" s="21">
        <f>IF(AND(C5571&lt;&gt;"", J5571&lt;&gt;""), HYPERLINK("#'" &amp; C5571 &amp; "'!" &amp; J5571, J5571), "")</f>
        <v/>
      </c>
    </row>
    <row r="5572">
      <c r="B5572" s="21">
        <f>IF(AND(C5572&lt;&gt;"", J5572&lt;&gt;""), HYPERLINK("#'" &amp; C5572 &amp; "'!" &amp; J5572, J5572), "")</f>
        <v/>
      </c>
    </row>
    <row r="5573">
      <c r="B5573" s="21">
        <f>IF(AND(C5573&lt;&gt;"", J5573&lt;&gt;""), HYPERLINK("#'" &amp; C5573 &amp; "'!" &amp; J5573, J5573), "")</f>
        <v/>
      </c>
    </row>
    <row r="5574">
      <c r="B5574" s="21">
        <f>IF(AND(C5574&lt;&gt;"", J5574&lt;&gt;""), HYPERLINK("#'" &amp; C5574 &amp; "'!" &amp; J5574, J5574), "")</f>
        <v/>
      </c>
    </row>
    <row r="5575">
      <c r="B5575" s="21">
        <f>IF(AND(C5575&lt;&gt;"", J5575&lt;&gt;""), HYPERLINK("#'" &amp; C5575 &amp; "'!" &amp; J5575, J5575), "")</f>
        <v/>
      </c>
    </row>
    <row r="5576">
      <c r="B5576" s="21">
        <f>IF(AND(C5576&lt;&gt;"", J5576&lt;&gt;""), HYPERLINK("#'" &amp; C5576 &amp; "'!" &amp; J5576, J5576), "")</f>
        <v/>
      </c>
    </row>
    <row r="5577">
      <c r="B5577" s="21">
        <f>IF(AND(C5577&lt;&gt;"", J5577&lt;&gt;""), HYPERLINK("#'" &amp; C5577 &amp; "'!" &amp; J5577, J5577), "")</f>
        <v/>
      </c>
    </row>
    <row r="5578">
      <c r="B5578" s="21">
        <f>IF(AND(C5578&lt;&gt;"", J5578&lt;&gt;""), HYPERLINK("#'" &amp; C5578 &amp; "'!" &amp; J5578, J5578), "")</f>
        <v/>
      </c>
    </row>
    <row r="5579">
      <c r="B5579" s="21">
        <f>IF(AND(C5579&lt;&gt;"", J5579&lt;&gt;""), HYPERLINK("#'" &amp; C5579 &amp; "'!" &amp; J5579, J5579), "")</f>
        <v/>
      </c>
    </row>
    <row r="5580">
      <c r="B5580" s="21">
        <f>IF(AND(C5580&lt;&gt;"", J5580&lt;&gt;""), HYPERLINK("#'" &amp; C5580 &amp; "'!" &amp; J5580, J5580), "")</f>
        <v/>
      </c>
    </row>
    <row r="5581">
      <c r="B5581" s="21">
        <f>IF(AND(C5581&lt;&gt;"", J5581&lt;&gt;""), HYPERLINK("#'" &amp; C5581 &amp; "'!" &amp; J5581, J5581), "")</f>
        <v/>
      </c>
    </row>
    <row r="5582">
      <c r="B5582" s="21">
        <f>IF(AND(C5582&lt;&gt;"", J5582&lt;&gt;""), HYPERLINK("#'" &amp; C5582 &amp; "'!" &amp; J5582, J5582), "")</f>
        <v/>
      </c>
    </row>
    <row r="5583">
      <c r="B5583" s="21">
        <f>IF(AND(C5583&lt;&gt;"", J5583&lt;&gt;""), HYPERLINK("#'" &amp; C5583 &amp; "'!" &amp; J5583, J5583), "")</f>
        <v/>
      </c>
    </row>
    <row r="5584">
      <c r="B5584" s="21">
        <f>IF(AND(C5584&lt;&gt;"", J5584&lt;&gt;""), HYPERLINK("#'" &amp; C5584 &amp; "'!" &amp; J5584, J5584), "")</f>
        <v/>
      </c>
    </row>
    <row r="5585">
      <c r="B5585" s="21">
        <f>IF(AND(C5585&lt;&gt;"", J5585&lt;&gt;""), HYPERLINK("#'" &amp; C5585 &amp; "'!" &amp; J5585, J5585), "")</f>
        <v/>
      </c>
    </row>
    <row r="5586">
      <c r="B5586" s="21">
        <f>IF(AND(C5586&lt;&gt;"", J5586&lt;&gt;""), HYPERLINK("#'" &amp; C5586 &amp; "'!" &amp; J5586, J5586), "")</f>
        <v/>
      </c>
    </row>
    <row r="5587">
      <c r="B5587" s="21">
        <f>IF(AND(C5587&lt;&gt;"", J5587&lt;&gt;""), HYPERLINK("#'" &amp; C5587 &amp; "'!" &amp; J5587, J5587), "")</f>
        <v/>
      </c>
    </row>
    <row r="5588">
      <c r="B5588" s="21">
        <f>IF(AND(C5588&lt;&gt;"", J5588&lt;&gt;""), HYPERLINK("#'" &amp; C5588 &amp; "'!" &amp; J5588, J5588), "")</f>
        <v/>
      </c>
    </row>
    <row r="5589">
      <c r="B5589" s="21">
        <f>IF(AND(C5589&lt;&gt;"", J5589&lt;&gt;""), HYPERLINK("#'" &amp; C5589 &amp; "'!" &amp; J5589, J5589), "")</f>
        <v/>
      </c>
    </row>
    <row r="5590">
      <c r="B5590" s="21">
        <f>IF(AND(C5590&lt;&gt;"", J5590&lt;&gt;""), HYPERLINK("#'" &amp; C5590 &amp; "'!" &amp; J5590, J5590), "")</f>
        <v/>
      </c>
    </row>
    <row r="5591">
      <c r="B5591" s="21">
        <f>IF(AND(C5591&lt;&gt;"", J5591&lt;&gt;""), HYPERLINK("#'" &amp; C5591 &amp; "'!" &amp; J5591, J5591), "")</f>
        <v/>
      </c>
    </row>
    <row r="5592">
      <c r="B5592" s="21">
        <f>IF(AND(C5592&lt;&gt;"", J5592&lt;&gt;""), HYPERLINK("#'" &amp; C5592 &amp; "'!" &amp; J5592, J5592), "")</f>
        <v/>
      </c>
    </row>
    <row r="5593">
      <c r="B5593" s="21">
        <f>IF(AND(C5593&lt;&gt;"", J5593&lt;&gt;""), HYPERLINK("#'" &amp; C5593 &amp; "'!" &amp; J5593, J5593), "")</f>
        <v/>
      </c>
    </row>
    <row r="5594">
      <c r="B5594" s="21">
        <f>IF(AND(C5594&lt;&gt;"", J5594&lt;&gt;""), HYPERLINK("#'" &amp; C5594 &amp; "'!" &amp; J5594, J5594), "")</f>
        <v/>
      </c>
    </row>
    <row r="5595">
      <c r="B5595" s="21">
        <f>IF(AND(C5595&lt;&gt;"", J5595&lt;&gt;""), HYPERLINK("#'" &amp; C5595 &amp; "'!" &amp; J5595, J5595), "")</f>
        <v/>
      </c>
    </row>
    <row r="5596">
      <c r="B5596" s="21">
        <f>IF(AND(C5596&lt;&gt;"", J5596&lt;&gt;""), HYPERLINK("#'" &amp; C5596 &amp; "'!" &amp; J5596, J5596), "")</f>
        <v/>
      </c>
    </row>
    <row r="5597">
      <c r="B5597" s="21">
        <f>IF(AND(C5597&lt;&gt;"", J5597&lt;&gt;""), HYPERLINK("#'" &amp; C5597 &amp; "'!" &amp; J5597, J5597), "")</f>
        <v/>
      </c>
    </row>
    <row r="5598">
      <c r="B5598" s="21">
        <f>IF(AND(C5598&lt;&gt;"", J5598&lt;&gt;""), HYPERLINK("#'" &amp; C5598 &amp; "'!" &amp; J5598, J5598), "")</f>
        <v/>
      </c>
    </row>
    <row r="5599">
      <c r="B5599" s="21">
        <f>IF(AND(C5599&lt;&gt;"", J5599&lt;&gt;""), HYPERLINK("#'" &amp; C5599 &amp; "'!" &amp; J5599, J5599), "")</f>
        <v/>
      </c>
    </row>
    <row r="5600">
      <c r="B5600" s="21">
        <f>IF(AND(C5600&lt;&gt;"", J5600&lt;&gt;""), HYPERLINK("#'" &amp; C5600 &amp; "'!" &amp; J5600, J5600), "")</f>
        <v/>
      </c>
    </row>
    <row r="5601">
      <c r="B5601" s="21">
        <f>IF(AND(C5601&lt;&gt;"", J5601&lt;&gt;""), HYPERLINK("#'" &amp; C5601 &amp; "'!" &amp; J5601, J5601), "")</f>
        <v/>
      </c>
    </row>
    <row r="5602">
      <c r="B5602" s="21">
        <f>IF(AND(C5602&lt;&gt;"", J5602&lt;&gt;""), HYPERLINK("#'" &amp; C5602 &amp; "'!" &amp; J5602, J5602), "")</f>
        <v/>
      </c>
    </row>
    <row r="5603">
      <c r="B5603" s="21">
        <f>IF(AND(C5603&lt;&gt;"", J5603&lt;&gt;""), HYPERLINK("#'" &amp; C5603 &amp; "'!" &amp; J5603, J5603), "")</f>
        <v/>
      </c>
    </row>
    <row r="5604">
      <c r="B5604" s="21">
        <f>IF(AND(C5604&lt;&gt;"", J5604&lt;&gt;""), HYPERLINK("#'" &amp; C5604 &amp; "'!" &amp; J5604, J5604), "")</f>
        <v/>
      </c>
    </row>
    <row r="5605">
      <c r="B5605" s="21">
        <f>IF(AND(C5605&lt;&gt;"", J5605&lt;&gt;""), HYPERLINK("#'" &amp; C5605 &amp; "'!" &amp; J5605, J5605), "")</f>
        <v/>
      </c>
    </row>
    <row r="5606">
      <c r="B5606" s="21">
        <f>IF(AND(C5606&lt;&gt;"", J5606&lt;&gt;""), HYPERLINK("#'" &amp; C5606 &amp; "'!" &amp; J5606, J5606), "")</f>
        <v/>
      </c>
    </row>
    <row r="5607">
      <c r="B5607" s="21">
        <f>IF(AND(C5607&lt;&gt;"", J5607&lt;&gt;""), HYPERLINK("#'" &amp; C5607 &amp; "'!" &amp; J5607, J5607), "")</f>
        <v/>
      </c>
    </row>
    <row r="5608">
      <c r="B5608" s="21">
        <f>IF(AND(C5608&lt;&gt;"", J5608&lt;&gt;""), HYPERLINK("#'" &amp; C5608 &amp; "'!" &amp; J5608, J5608), "")</f>
        <v/>
      </c>
    </row>
    <row r="5609">
      <c r="B5609" s="21">
        <f>IF(AND(C5609&lt;&gt;"", J5609&lt;&gt;""), HYPERLINK("#'" &amp; C5609 &amp; "'!" &amp; J5609, J5609), "")</f>
        <v/>
      </c>
    </row>
    <row r="5610">
      <c r="B5610" s="21">
        <f>IF(AND(C5610&lt;&gt;"", J5610&lt;&gt;""), HYPERLINK("#'" &amp; C5610 &amp; "'!" &amp; J5610, J5610), "")</f>
        <v/>
      </c>
    </row>
    <row r="5611">
      <c r="B5611" s="21">
        <f>IF(AND(C5611&lt;&gt;"", J5611&lt;&gt;""), HYPERLINK("#'" &amp; C5611 &amp; "'!" &amp; J5611, J5611), "")</f>
        <v/>
      </c>
    </row>
    <row r="5612">
      <c r="B5612" s="21">
        <f>IF(AND(C5612&lt;&gt;"", J5612&lt;&gt;""), HYPERLINK("#'" &amp; C5612 &amp; "'!" &amp; J5612, J5612), "")</f>
        <v/>
      </c>
    </row>
    <row r="5613">
      <c r="B5613" s="21">
        <f>IF(AND(C5613&lt;&gt;"", J5613&lt;&gt;""), HYPERLINK("#'" &amp; C5613 &amp; "'!" &amp; J5613, J5613), "")</f>
        <v/>
      </c>
    </row>
    <row r="5614">
      <c r="B5614" s="21">
        <f>IF(AND(C5614&lt;&gt;"", J5614&lt;&gt;""), HYPERLINK("#'" &amp; C5614 &amp; "'!" &amp; J5614, J5614), "")</f>
        <v/>
      </c>
    </row>
    <row r="5615">
      <c r="B5615" s="21">
        <f>IF(AND(C5615&lt;&gt;"", J5615&lt;&gt;""), HYPERLINK("#'" &amp; C5615 &amp; "'!" &amp; J5615, J5615), "")</f>
        <v/>
      </c>
    </row>
    <row r="5616">
      <c r="B5616" s="21">
        <f>IF(AND(C5616&lt;&gt;"", J5616&lt;&gt;""), HYPERLINK("#'" &amp; C5616 &amp; "'!" &amp; J5616, J5616), "")</f>
        <v/>
      </c>
    </row>
    <row r="5617">
      <c r="B5617" s="21">
        <f>IF(AND(C5617&lt;&gt;"", J5617&lt;&gt;""), HYPERLINK("#'" &amp; C5617 &amp; "'!" &amp; J5617, J5617), "")</f>
        <v/>
      </c>
    </row>
    <row r="5618">
      <c r="B5618" s="21">
        <f>IF(AND(C5618&lt;&gt;"", J5618&lt;&gt;""), HYPERLINK("#'" &amp; C5618 &amp; "'!" &amp; J5618, J5618), "")</f>
        <v/>
      </c>
    </row>
    <row r="5619">
      <c r="B5619" s="21">
        <f>IF(AND(C5619&lt;&gt;"", J5619&lt;&gt;""), HYPERLINK("#'" &amp; C5619 &amp; "'!" &amp; J5619, J5619), "")</f>
        <v/>
      </c>
    </row>
    <row r="5620">
      <c r="B5620" s="21">
        <f>IF(AND(C5620&lt;&gt;"", J5620&lt;&gt;""), HYPERLINK("#'" &amp; C5620 &amp; "'!" &amp; J5620, J5620), "")</f>
        <v/>
      </c>
    </row>
    <row r="5621">
      <c r="B5621" s="21">
        <f>IF(AND(C5621&lt;&gt;"", J5621&lt;&gt;""), HYPERLINK("#'" &amp; C5621 &amp; "'!" &amp; J5621, J5621), "")</f>
        <v/>
      </c>
    </row>
    <row r="5622">
      <c r="B5622" s="21">
        <f>IF(AND(C5622&lt;&gt;"", J5622&lt;&gt;""), HYPERLINK("#'" &amp; C5622 &amp; "'!" &amp; J5622, J5622), "")</f>
        <v/>
      </c>
    </row>
    <row r="5623">
      <c r="B5623" s="21">
        <f>IF(AND(C5623&lt;&gt;"", J5623&lt;&gt;""), HYPERLINK("#'" &amp; C5623 &amp; "'!" &amp; J5623, J5623), "")</f>
        <v/>
      </c>
    </row>
    <row r="5624">
      <c r="B5624" s="21">
        <f>IF(AND(C5624&lt;&gt;"", J5624&lt;&gt;""), HYPERLINK("#'" &amp; C5624 &amp; "'!" &amp; J5624, J5624), "")</f>
        <v/>
      </c>
    </row>
    <row r="5625">
      <c r="B5625" s="21">
        <f>IF(AND(C5625&lt;&gt;"", J5625&lt;&gt;""), HYPERLINK("#'" &amp; C5625 &amp; "'!" &amp; J5625, J5625), "")</f>
        <v/>
      </c>
    </row>
    <row r="5626">
      <c r="B5626" s="21">
        <f>IF(AND(C5626&lt;&gt;"", J5626&lt;&gt;""), HYPERLINK("#'" &amp; C5626 &amp; "'!" &amp; J5626, J5626), "")</f>
        <v/>
      </c>
    </row>
    <row r="5627">
      <c r="B5627" s="21">
        <f>IF(AND(C5627&lt;&gt;"", J5627&lt;&gt;""), HYPERLINK("#'" &amp; C5627 &amp; "'!" &amp; J5627, J5627), "")</f>
        <v/>
      </c>
    </row>
    <row r="5628">
      <c r="B5628" s="21">
        <f>IF(AND(C5628&lt;&gt;"", J5628&lt;&gt;""), HYPERLINK("#'" &amp; C5628 &amp; "'!" &amp; J5628, J5628), "")</f>
        <v/>
      </c>
    </row>
    <row r="5629">
      <c r="B5629" s="21">
        <f>IF(AND(C5629&lt;&gt;"", J5629&lt;&gt;""), HYPERLINK("#'" &amp; C5629 &amp; "'!" &amp; J5629, J5629), "")</f>
        <v/>
      </c>
    </row>
    <row r="5630">
      <c r="B5630" s="21">
        <f>IF(AND(C5630&lt;&gt;"", J5630&lt;&gt;""), HYPERLINK("#'" &amp; C5630 &amp; "'!" &amp; J5630, J5630), "")</f>
        <v/>
      </c>
    </row>
    <row r="5631">
      <c r="B5631" s="21">
        <f>IF(AND(C5631&lt;&gt;"", J5631&lt;&gt;""), HYPERLINK("#'" &amp; C5631 &amp; "'!" &amp; J5631, J5631), "")</f>
        <v/>
      </c>
    </row>
    <row r="5632">
      <c r="B5632" s="21">
        <f>IF(AND(C5632&lt;&gt;"", J5632&lt;&gt;""), HYPERLINK("#'" &amp; C5632 &amp; "'!" &amp; J5632, J5632), "")</f>
        <v/>
      </c>
    </row>
    <row r="5633">
      <c r="B5633" s="21">
        <f>IF(AND(C5633&lt;&gt;"", J5633&lt;&gt;""), HYPERLINK("#'" &amp; C5633 &amp; "'!" &amp; J5633, J5633), "")</f>
        <v/>
      </c>
    </row>
    <row r="5634">
      <c r="B5634" s="21">
        <f>IF(AND(C5634&lt;&gt;"", J5634&lt;&gt;""), HYPERLINK("#'" &amp; C5634 &amp; "'!" &amp; J5634, J5634), "")</f>
        <v/>
      </c>
    </row>
    <row r="5635">
      <c r="B5635" s="21">
        <f>IF(AND(C5635&lt;&gt;"", J5635&lt;&gt;""), HYPERLINK("#'" &amp; C5635 &amp; "'!" &amp; J5635, J5635), "")</f>
        <v/>
      </c>
    </row>
    <row r="5636">
      <c r="B5636" s="21">
        <f>IF(AND(C5636&lt;&gt;"", J5636&lt;&gt;""), HYPERLINK("#'" &amp; C5636 &amp; "'!" &amp; J5636, J5636), "")</f>
        <v/>
      </c>
    </row>
    <row r="5637">
      <c r="B5637" s="21">
        <f>IF(AND(C5637&lt;&gt;"", J5637&lt;&gt;""), HYPERLINK("#'" &amp; C5637 &amp; "'!" &amp; J5637, J5637), "")</f>
        <v/>
      </c>
    </row>
    <row r="5638">
      <c r="B5638" s="21">
        <f>IF(AND(C5638&lt;&gt;"", J5638&lt;&gt;""), HYPERLINK("#'" &amp; C5638 &amp; "'!" &amp; J5638, J5638), "")</f>
        <v/>
      </c>
    </row>
    <row r="5639">
      <c r="B5639" s="21">
        <f>IF(AND(C5639&lt;&gt;"", J5639&lt;&gt;""), HYPERLINK("#'" &amp; C5639 &amp; "'!" &amp; J5639, J5639), "")</f>
        <v/>
      </c>
    </row>
    <row r="5640">
      <c r="B5640" s="21">
        <f>IF(AND(C5640&lt;&gt;"", J5640&lt;&gt;""), HYPERLINK("#'" &amp; C5640 &amp; "'!" &amp; J5640, J5640), "")</f>
        <v/>
      </c>
    </row>
    <row r="5641">
      <c r="B5641" s="21">
        <f>IF(AND(C5641&lt;&gt;"", J5641&lt;&gt;""), HYPERLINK("#'" &amp; C5641 &amp; "'!" &amp; J5641, J5641), "")</f>
        <v/>
      </c>
    </row>
    <row r="5642">
      <c r="B5642" s="21">
        <f>IF(AND(C5642&lt;&gt;"", J5642&lt;&gt;""), HYPERLINK("#'" &amp; C5642 &amp; "'!" &amp; J5642, J5642), "")</f>
        <v/>
      </c>
    </row>
    <row r="5643">
      <c r="B5643" s="21">
        <f>IF(AND(C5643&lt;&gt;"", J5643&lt;&gt;""), HYPERLINK("#'" &amp; C5643 &amp; "'!" &amp; J5643, J5643), "")</f>
        <v/>
      </c>
    </row>
    <row r="5644">
      <c r="B5644" s="21">
        <f>IF(AND(C5644&lt;&gt;"", J5644&lt;&gt;""), HYPERLINK("#'" &amp; C5644 &amp; "'!" &amp; J5644, J5644), "")</f>
        <v/>
      </c>
    </row>
    <row r="5645">
      <c r="B5645" s="21">
        <f>IF(AND(C5645&lt;&gt;"", J5645&lt;&gt;""), HYPERLINK("#'" &amp; C5645 &amp; "'!" &amp; J5645, J5645), "")</f>
        <v/>
      </c>
    </row>
    <row r="5646">
      <c r="B5646" s="21">
        <f>IF(AND(C5646&lt;&gt;"", J5646&lt;&gt;""), HYPERLINK("#'" &amp; C5646 &amp; "'!" &amp; J5646, J5646), "")</f>
        <v/>
      </c>
    </row>
    <row r="5647">
      <c r="B5647" s="21">
        <f>IF(AND(C5647&lt;&gt;"", J5647&lt;&gt;""), HYPERLINK("#'" &amp; C5647 &amp; "'!" &amp; J5647, J5647), "")</f>
        <v/>
      </c>
    </row>
    <row r="5648">
      <c r="B5648" s="21">
        <f>IF(AND(C5648&lt;&gt;"", J5648&lt;&gt;""), HYPERLINK("#'" &amp; C5648 &amp; "'!" &amp; J5648, J5648), "")</f>
        <v/>
      </c>
    </row>
    <row r="5649">
      <c r="B5649" s="21">
        <f>IF(AND(C5649&lt;&gt;"", J5649&lt;&gt;""), HYPERLINK("#'" &amp; C5649 &amp; "'!" &amp; J5649, J5649), "")</f>
        <v/>
      </c>
    </row>
    <row r="5650">
      <c r="B5650" s="21">
        <f>IF(AND(C5650&lt;&gt;"", J5650&lt;&gt;""), HYPERLINK("#'" &amp; C5650 &amp; "'!" &amp; J5650, J5650), "")</f>
        <v/>
      </c>
    </row>
    <row r="5651">
      <c r="B5651" s="21">
        <f>IF(AND(C5651&lt;&gt;"", J5651&lt;&gt;""), HYPERLINK("#'" &amp; C5651 &amp; "'!" &amp; J5651, J5651), "")</f>
        <v/>
      </c>
    </row>
    <row r="5652">
      <c r="B5652" s="21">
        <f>IF(AND(C5652&lt;&gt;"", J5652&lt;&gt;""), HYPERLINK("#'" &amp; C5652 &amp; "'!" &amp; J5652, J5652), "")</f>
        <v/>
      </c>
    </row>
    <row r="5653">
      <c r="B5653" s="21">
        <f>IF(AND(C5653&lt;&gt;"", J5653&lt;&gt;""), HYPERLINK("#'" &amp; C5653 &amp; "'!" &amp; J5653, J5653), "")</f>
        <v/>
      </c>
    </row>
    <row r="5654">
      <c r="B5654" s="21">
        <f>IF(AND(C5654&lt;&gt;"", J5654&lt;&gt;""), HYPERLINK("#'" &amp; C5654 &amp; "'!" &amp; J5654, J5654), "")</f>
        <v/>
      </c>
    </row>
    <row r="5655">
      <c r="B5655" s="21">
        <f>IF(AND(C5655&lt;&gt;"", J5655&lt;&gt;""), HYPERLINK("#'" &amp; C5655 &amp; "'!" &amp; J5655, J5655), "")</f>
        <v/>
      </c>
    </row>
    <row r="5656">
      <c r="B5656" s="21">
        <f>IF(AND(C5656&lt;&gt;"", J5656&lt;&gt;""), HYPERLINK("#'" &amp; C5656 &amp; "'!" &amp; J5656, J5656), "")</f>
        <v/>
      </c>
    </row>
    <row r="5657">
      <c r="B5657" s="21">
        <f>IF(AND(C5657&lt;&gt;"", J5657&lt;&gt;""), HYPERLINK("#'" &amp; C5657 &amp; "'!" &amp; J5657, J5657), "")</f>
        <v/>
      </c>
    </row>
    <row r="5658">
      <c r="B5658" s="21">
        <f>IF(AND(C5658&lt;&gt;"", J5658&lt;&gt;""), HYPERLINK("#'" &amp; C5658 &amp; "'!" &amp; J5658, J5658), "")</f>
        <v/>
      </c>
    </row>
    <row r="5659">
      <c r="B5659" s="21">
        <f>IF(AND(C5659&lt;&gt;"", J5659&lt;&gt;""), HYPERLINK("#'" &amp; C5659 &amp; "'!" &amp; J5659, J5659), "")</f>
        <v/>
      </c>
    </row>
    <row r="5660">
      <c r="B5660" s="21">
        <f>IF(AND(C5660&lt;&gt;"", J5660&lt;&gt;""), HYPERLINK("#'" &amp; C5660 &amp; "'!" &amp; J5660, J5660), "")</f>
        <v/>
      </c>
    </row>
    <row r="5661">
      <c r="B5661" s="21">
        <f>IF(AND(C5661&lt;&gt;"", J5661&lt;&gt;""), HYPERLINK("#'" &amp; C5661 &amp; "'!" &amp; J5661, J5661), "")</f>
        <v/>
      </c>
    </row>
    <row r="5662">
      <c r="B5662" s="21">
        <f>IF(AND(C5662&lt;&gt;"", J5662&lt;&gt;""), HYPERLINK("#'" &amp; C5662 &amp; "'!" &amp; J5662, J5662), "")</f>
        <v/>
      </c>
    </row>
    <row r="5663">
      <c r="B5663" s="21">
        <f>IF(AND(C5663&lt;&gt;"", J5663&lt;&gt;""), HYPERLINK("#'" &amp; C5663 &amp; "'!" &amp; J5663, J5663), "")</f>
        <v/>
      </c>
    </row>
    <row r="5664">
      <c r="B5664" s="21">
        <f>IF(AND(C5664&lt;&gt;"", J5664&lt;&gt;""), HYPERLINK("#'" &amp; C5664 &amp; "'!" &amp; J5664, J5664), "")</f>
        <v/>
      </c>
    </row>
    <row r="5665">
      <c r="B5665" s="21">
        <f>IF(AND(C5665&lt;&gt;"", J5665&lt;&gt;""), HYPERLINK("#'" &amp; C5665 &amp; "'!" &amp; J5665, J5665), "")</f>
        <v/>
      </c>
    </row>
    <row r="5666">
      <c r="B5666" s="21">
        <f>IF(AND(C5666&lt;&gt;"", J5666&lt;&gt;""), HYPERLINK("#'" &amp; C5666 &amp; "'!" &amp; J5666, J5666), "")</f>
        <v/>
      </c>
    </row>
    <row r="5667">
      <c r="B5667" s="21">
        <f>IF(AND(C5667&lt;&gt;"", J5667&lt;&gt;""), HYPERLINK("#'" &amp; C5667 &amp; "'!" &amp; J5667, J5667), "")</f>
        <v/>
      </c>
    </row>
    <row r="5668">
      <c r="B5668" s="21">
        <f>IF(AND(C5668&lt;&gt;"", J5668&lt;&gt;""), HYPERLINK("#'" &amp; C5668 &amp; "'!" &amp; J5668, J5668), "")</f>
        <v/>
      </c>
    </row>
    <row r="5669">
      <c r="B5669" s="21">
        <f>IF(AND(C5669&lt;&gt;"", J5669&lt;&gt;""), HYPERLINK("#'" &amp; C5669 &amp; "'!" &amp; J5669, J5669), "")</f>
        <v/>
      </c>
    </row>
    <row r="5670">
      <c r="B5670" s="21">
        <f>IF(AND(C5670&lt;&gt;"", J5670&lt;&gt;""), HYPERLINK("#'" &amp; C5670 &amp; "'!" &amp; J5670, J5670), "")</f>
        <v/>
      </c>
    </row>
    <row r="5671">
      <c r="B5671" s="21">
        <f>IF(AND(C5671&lt;&gt;"", J5671&lt;&gt;""), HYPERLINK("#'" &amp; C5671 &amp; "'!" &amp; J5671, J5671), "")</f>
        <v/>
      </c>
    </row>
    <row r="5672">
      <c r="B5672" s="21">
        <f>IF(AND(C5672&lt;&gt;"", J5672&lt;&gt;""), HYPERLINK("#'" &amp; C5672 &amp; "'!" &amp; J5672, J5672), "")</f>
        <v/>
      </c>
    </row>
    <row r="5673">
      <c r="B5673" s="21">
        <f>IF(AND(C5673&lt;&gt;"", J5673&lt;&gt;""), HYPERLINK("#'" &amp; C5673 &amp; "'!" &amp; J5673, J5673), "")</f>
        <v/>
      </c>
    </row>
    <row r="5674">
      <c r="B5674" s="21">
        <f>IF(AND(C5674&lt;&gt;"", J5674&lt;&gt;""), HYPERLINK("#'" &amp; C5674 &amp; "'!" &amp; J5674, J5674), "")</f>
        <v/>
      </c>
    </row>
    <row r="5675">
      <c r="B5675" s="21">
        <f>IF(AND(C5675&lt;&gt;"", J5675&lt;&gt;""), HYPERLINK("#'" &amp; C5675 &amp; "'!" &amp; J5675, J5675), "")</f>
        <v/>
      </c>
    </row>
    <row r="5676">
      <c r="B5676" s="21">
        <f>IF(AND(C5676&lt;&gt;"", J5676&lt;&gt;""), HYPERLINK("#'" &amp; C5676 &amp; "'!" &amp; J5676, J5676), "")</f>
        <v/>
      </c>
    </row>
    <row r="5677">
      <c r="B5677" s="21">
        <f>IF(AND(C5677&lt;&gt;"", J5677&lt;&gt;""), HYPERLINK("#'" &amp; C5677 &amp; "'!" &amp; J5677, J5677), "")</f>
        <v/>
      </c>
    </row>
    <row r="5678">
      <c r="B5678" s="21">
        <f>IF(AND(C5678&lt;&gt;"", J5678&lt;&gt;""), HYPERLINK("#'" &amp; C5678 &amp; "'!" &amp; J5678, J5678), "")</f>
        <v/>
      </c>
    </row>
    <row r="5679">
      <c r="B5679" s="21">
        <f>IF(AND(C5679&lt;&gt;"", J5679&lt;&gt;""), HYPERLINK("#'" &amp; C5679 &amp; "'!" &amp; J5679, J5679), "")</f>
        <v/>
      </c>
    </row>
    <row r="5680">
      <c r="B5680" s="21">
        <f>IF(AND(C5680&lt;&gt;"", J5680&lt;&gt;""), HYPERLINK("#'" &amp; C5680 &amp; "'!" &amp; J5680, J5680), "")</f>
        <v/>
      </c>
    </row>
    <row r="5681">
      <c r="B5681" s="21">
        <f>IF(AND(C5681&lt;&gt;"", J5681&lt;&gt;""), HYPERLINK("#'" &amp; C5681 &amp; "'!" &amp; J5681, J5681), "")</f>
        <v/>
      </c>
    </row>
    <row r="5682">
      <c r="B5682" s="21">
        <f>IF(AND(C5682&lt;&gt;"", J5682&lt;&gt;""), HYPERLINK("#'" &amp; C5682 &amp; "'!" &amp; J5682, J5682), "")</f>
        <v/>
      </c>
    </row>
    <row r="5683">
      <c r="B5683" s="21">
        <f>IF(AND(C5683&lt;&gt;"", J5683&lt;&gt;""), HYPERLINK("#'" &amp; C5683 &amp; "'!" &amp; J5683, J5683), "")</f>
        <v/>
      </c>
    </row>
    <row r="5684">
      <c r="B5684" s="21">
        <f>IF(AND(C5684&lt;&gt;"", J5684&lt;&gt;""), HYPERLINK("#'" &amp; C5684 &amp; "'!" &amp; J5684, J5684), "")</f>
        <v/>
      </c>
    </row>
    <row r="5685">
      <c r="B5685" s="21">
        <f>IF(AND(C5685&lt;&gt;"", J5685&lt;&gt;""), HYPERLINK("#'" &amp; C5685 &amp; "'!" &amp; J5685, J5685), "")</f>
        <v/>
      </c>
    </row>
    <row r="5686">
      <c r="B5686" s="21">
        <f>IF(AND(C5686&lt;&gt;"", J5686&lt;&gt;""), HYPERLINK("#'" &amp; C5686 &amp; "'!" &amp; J5686, J5686), "")</f>
        <v/>
      </c>
    </row>
    <row r="5687">
      <c r="B5687" s="21">
        <f>IF(AND(C5687&lt;&gt;"", J5687&lt;&gt;""), HYPERLINK("#'" &amp; C5687 &amp; "'!" &amp; J5687, J5687), "")</f>
        <v/>
      </c>
    </row>
    <row r="5688">
      <c r="B5688" s="21">
        <f>IF(AND(C5688&lt;&gt;"", J5688&lt;&gt;""), HYPERLINK("#'" &amp; C5688 &amp; "'!" &amp; J5688, J5688), "")</f>
        <v/>
      </c>
    </row>
    <row r="5689">
      <c r="B5689" s="21">
        <f>IF(AND(C5689&lt;&gt;"", J5689&lt;&gt;""), HYPERLINK("#'" &amp; C5689 &amp; "'!" &amp; J5689, J5689), "")</f>
        <v/>
      </c>
    </row>
    <row r="5690">
      <c r="B5690" s="21">
        <f>IF(AND(C5690&lt;&gt;"", J5690&lt;&gt;""), HYPERLINK("#'" &amp; C5690 &amp; "'!" &amp; J5690, J5690), "")</f>
        <v/>
      </c>
    </row>
    <row r="5691">
      <c r="B5691" s="21">
        <f>IF(AND(C5691&lt;&gt;"", J5691&lt;&gt;""), HYPERLINK("#'" &amp; C5691 &amp; "'!" &amp; J5691, J5691), "")</f>
        <v/>
      </c>
    </row>
    <row r="5692">
      <c r="B5692" s="21">
        <f>IF(AND(C5692&lt;&gt;"", J5692&lt;&gt;""), HYPERLINK("#'" &amp; C5692 &amp; "'!" &amp; J5692, J5692), "")</f>
        <v/>
      </c>
    </row>
    <row r="5693">
      <c r="B5693" s="21">
        <f>IF(AND(C5693&lt;&gt;"", J5693&lt;&gt;""), HYPERLINK("#'" &amp; C5693 &amp; "'!" &amp; J5693, J5693), "")</f>
        <v/>
      </c>
    </row>
    <row r="5694">
      <c r="B5694" s="21">
        <f>IF(AND(C5694&lt;&gt;"", J5694&lt;&gt;""), HYPERLINK("#'" &amp; C5694 &amp; "'!" &amp; J5694, J5694), "")</f>
        <v/>
      </c>
    </row>
    <row r="5695">
      <c r="B5695" s="21">
        <f>IF(AND(C5695&lt;&gt;"", J5695&lt;&gt;""), HYPERLINK("#'" &amp; C5695 &amp; "'!" &amp; J5695, J5695), "")</f>
        <v/>
      </c>
    </row>
    <row r="5696">
      <c r="B5696" s="21">
        <f>IF(AND(C5696&lt;&gt;"", J5696&lt;&gt;""), HYPERLINK("#'" &amp; C5696 &amp; "'!" &amp; J5696, J5696), "")</f>
        <v/>
      </c>
    </row>
    <row r="5697">
      <c r="B5697" s="21">
        <f>IF(AND(C5697&lt;&gt;"", J5697&lt;&gt;""), HYPERLINK("#'" &amp; C5697 &amp; "'!" &amp; J5697, J5697), "")</f>
        <v/>
      </c>
    </row>
    <row r="5698">
      <c r="B5698" s="21">
        <f>IF(AND(C5698&lt;&gt;"", J5698&lt;&gt;""), HYPERLINK("#'" &amp; C5698 &amp; "'!" &amp; J5698, J5698), "")</f>
        <v/>
      </c>
    </row>
    <row r="5699">
      <c r="B5699" s="21">
        <f>IF(AND(C5699&lt;&gt;"", J5699&lt;&gt;""), HYPERLINK("#'" &amp; C5699 &amp; "'!" &amp; J5699, J5699), "")</f>
        <v/>
      </c>
    </row>
    <row r="5700">
      <c r="B5700" s="21">
        <f>IF(AND(C5700&lt;&gt;"", J5700&lt;&gt;""), HYPERLINK("#'" &amp; C5700 &amp; "'!" &amp; J5700, J5700), "")</f>
        <v/>
      </c>
    </row>
    <row r="5701">
      <c r="B5701" s="21">
        <f>IF(AND(C5701&lt;&gt;"", J5701&lt;&gt;""), HYPERLINK("#'" &amp; C5701 &amp; "'!" &amp; J5701, J5701), "")</f>
        <v/>
      </c>
    </row>
    <row r="5702">
      <c r="B5702" s="21">
        <f>IF(AND(C5702&lt;&gt;"", J5702&lt;&gt;""), HYPERLINK("#'" &amp; C5702 &amp; "'!" &amp; J5702, J5702), "")</f>
        <v/>
      </c>
    </row>
    <row r="5703">
      <c r="B5703" s="21">
        <f>IF(AND(C5703&lt;&gt;"", J5703&lt;&gt;""), HYPERLINK("#'" &amp; C5703 &amp; "'!" &amp; J5703, J5703), "")</f>
        <v/>
      </c>
    </row>
    <row r="5704">
      <c r="B5704" s="21">
        <f>IF(AND(C5704&lt;&gt;"", J5704&lt;&gt;""), HYPERLINK("#'" &amp; C5704 &amp; "'!" &amp; J5704, J5704), "")</f>
        <v/>
      </c>
    </row>
    <row r="5705">
      <c r="B5705" s="21">
        <f>IF(AND(C5705&lt;&gt;"", J5705&lt;&gt;""), HYPERLINK("#'" &amp; C5705 &amp; "'!" &amp; J5705, J5705), "")</f>
        <v/>
      </c>
    </row>
    <row r="5706">
      <c r="B5706" s="21">
        <f>IF(AND(C5706&lt;&gt;"", J5706&lt;&gt;""), HYPERLINK("#'" &amp; C5706 &amp; "'!" &amp; J5706, J5706), "")</f>
        <v/>
      </c>
    </row>
    <row r="5707">
      <c r="B5707" s="21">
        <f>IF(AND(C5707&lt;&gt;"", J5707&lt;&gt;""), HYPERLINK("#'" &amp; C5707 &amp; "'!" &amp; J5707, J5707), "")</f>
        <v/>
      </c>
    </row>
    <row r="5708">
      <c r="B5708" s="21">
        <f>IF(AND(C5708&lt;&gt;"", J5708&lt;&gt;""), HYPERLINK("#'" &amp; C5708 &amp; "'!" &amp; J5708, J5708), "")</f>
        <v/>
      </c>
    </row>
    <row r="5709">
      <c r="B5709" s="21">
        <f>IF(AND(C5709&lt;&gt;"", J5709&lt;&gt;""), HYPERLINK("#'" &amp; C5709 &amp; "'!" &amp; J5709, J5709), "")</f>
        <v/>
      </c>
    </row>
    <row r="5710">
      <c r="B5710" s="21">
        <f>IF(AND(C5710&lt;&gt;"", J5710&lt;&gt;""), HYPERLINK("#'" &amp; C5710 &amp; "'!" &amp; J5710, J5710), "")</f>
        <v/>
      </c>
    </row>
    <row r="5711">
      <c r="B5711" s="21">
        <f>IF(AND(C5711&lt;&gt;"", J5711&lt;&gt;""), HYPERLINK("#'" &amp; C5711 &amp; "'!" &amp; J5711, J5711), "")</f>
        <v/>
      </c>
    </row>
    <row r="5712">
      <c r="B5712" s="21">
        <f>IF(AND(C5712&lt;&gt;"", J5712&lt;&gt;""), HYPERLINK("#'" &amp; C5712 &amp; "'!" &amp; J5712, J5712), "")</f>
        <v/>
      </c>
    </row>
    <row r="5713">
      <c r="B5713" s="21">
        <f>IF(AND(C5713&lt;&gt;"", J5713&lt;&gt;""), HYPERLINK("#'" &amp; C5713 &amp; "'!" &amp; J5713, J5713), "")</f>
        <v/>
      </c>
    </row>
    <row r="5714">
      <c r="B5714" s="21">
        <f>IF(AND(C5714&lt;&gt;"", J5714&lt;&gt;""), HYPERLINK("#'" &amp; C5714 &amp; "'!" &amp; J5714, J5714), "")</f>
        <v/>
      </c>
    </row>
    <row r="5715">
      <c r="B5715" s="21">
        <f>IF(AND(C5715&lt;&gt;"", J5715&lt;&gt;""), HYPERLINK("#'" &amp; C5715 &amp; "'!" &amp; J5715, J5715), "")</f>
        <v/>
      </c>
    </row>
    <row r="5716">
      <c r="B5716" s="21">
        <f>IF(AND(C5716&lt;&gt;"", J5716&lt;&gt;""), HYPERLINK("#'" &amp; C5716 &amp; "'!" &amp; J5716, J5716), "")</f>
        <v/>
      </c>
    </row>
    <row r="5717">
      <c r="B5717" s="21">
        <f>IF(AND(C5717&lt;&gt;"", J5717&lt;&gt;""), HYPERLINK("#'" &amp; C5717 &amp; "'!" &amp; J5717, J5717), "")</f>
        <v/>
      </c>
    </row>
    <row r="5718">
      <c r="B5718" s="21">
        <f>IF(AND(C5718&lt;&gt;"", J5718&lt;&gt;""), HYPERLINK("#'" &amp; C5718 &amp; "'!" &amp; J5718, J5718), "")</f>
        <v/>
      </c>
    </row>
    <row r="5719">
      <c r="B5719" s="21">
        <f>IF(AND(C5719&lt;&gt;"", J5719&lt;&gt;""), HYPERLINK("#'" &amp; C5719 &amp; "'!" &amp; J5719, J5719), "")</f>
        <v/>
      </c>
    </row>
    <row r="5720">
      <c r="B5720" s="21">
        <f>IF(AND(C5720&lt;&gt;"", J5720&lt;&gt;""), HYPERLINK("#'" &amp; C5720 &amp; "'!" &amp; J5720, J5720), "")</f>
        <v/>
      </c>
    </row>
    <row r="5721">
      <c r="B5721" s="21">
        <f>IF(AND(C5721&lt;&gt;"", J5721&lt;&gt;""), HYPERLINK("#'" &amp; C5721 &amp; "'!" &amp; J5721, J5721), "")</f>
        <v/>
      </c>
    </row>
    <row r="5722">
      <c r="B5722" s="21">
        <f>IF(AND(C5722&lt;&gt;"", J5722&lt;&gt;""), HYPERLINK("#'" &amp; C5722 &amp; "'!" &amp; J5722, J5722), "")</f>
        <v/>
      </c>
    </row>
    <row r="5723">
      <c r="B5723" s="21">
        <f>IF(AND(C5723&lt;&gt;"", J5723&lt;&gt;""), HYPERLINK("#'" &amp; C5723 &amp; "'!" &amp; J5723, J5723), "")</f>
        <v/>
      </c>
    </row>
    <row r="5724">
      <c r="B5724" s="21">
        <f>IF(AND(C5724&lt;&gt;"", J5724&lt;&gt;""), HYPERLINK("#'" &amp; C5724 &amp; "'!" &amp; J5724, J5724), "")</f>
        <v/>
      </c>
    </row>
    <row r="5725">
      <c r="B5725" s="21">
        <f>IF(AND(C5725&lt;&gt;"", J5725&lt;&gt;""), HYPERLINK("#'" &amp; C5725 &amp; "'!" &amp; J5725, J5725), "")</f>
        <v/>
      </c>
    </row>
    <row r="5726">
      <c r="B5726" s="21">
        <f>IF(AND(C5726&lt;&gt;"", J5726&lt;&gt;""), HYPERLINK("#'" &amp; C5726 &amp; "'!" &amp; J5726, J5726), "")</f>
        <v/>
      </c>
    </row>
    <row r="5727">
      <c r="B5727" s="21">
        <f>IF(AND(C5727&lt;&gt;"", J5727&lt;&gt;""), HYPERLINK("#'" &amp; C5727 &amp; "'!" &amp; J5727, J5727), "")</f>
        <v/>
      </c>
    </row>
    <row r="5728">
      <c r="B5728" s="21">
        <f>IF(AND(C5728&lt;&gt;"", J5728&lt;&gt;""), HYPERLINK("#'" &amp; C5728 &amp; "'!" &amp; J5728, J5728), "")</f>
        <v/>
      </c>
    </row>
    <row r="5729">
      <c r="B5729" s="21">
        <f>IF(AND(C5729&lt;&gt;"", J5729&lt;&gt;""), HYPERLINK("#'" &amp; C5729 &amp; "'!" &amp; J5729, J5729), "")</f>
        <v/>
      </c>
    </row>
    <row r="5730">
      <c r="B5730" s="21">
        <f>IF(AND(C5730&lt;&gt;"", J5730&lt;&gt;""), HYPERLINK("#'" &amp; C5730 &amp; "'!" &amp; J5730, J5730), "")</f>
        <v/>
      </c>
    </row>
    <row r="5731">
      <c r="B5731" s="21">
        <f>IF(AND(C5731&lt;&gt;"", J5731&lt;&gt;""), HYPERLINK("#'" &amp; C5731 &amp; "'!" &amp; J5731, J5731), "")</f>
        <v/>
      </c>
    </row>
    <row r="5732">
      <c r="B5732" s="21">
        <f>IF(AND(C5732&lt;&gt;"", J5732&lt;&gt;""), HYPERLINK("#'" &amp; C5732 &amp; "'!" &amp; J5732, J5732), "")</f>
        <v/>
      </c>
    </row>
    <row r="5733">
      <c r="B5733" s="21">
        <f>IF(AND(C5733&lt;&gt;"", J5733&lt;&gt;""), HYPERLINK("#'" &amp; C5733 &amp; "'!" &amp; J5733, J5733), "")</f>
        <v/>
      </c>
    </row>
    <row r="5734">
      <c r="B5734" s="21">
        <f>IF(AND(C5734&lt;&gt;"", J5734&lt;&gt;""), HYPERLINK("#'" &amp; C5734 &amp; "'!" &amp; J5734, J5734), "")</f>
        <v/>
      </c>
    </row>
    <row r="5735">
      <c r="B5735" s="21">
        <f>IF(AND(C5735&lt;&gt;"", J5735&lt;&gt;""), HYPERLINK("#'" &amp; C5735 &amp; "'!" &amp; J5735, J5735), "")</f>
        <v/>
      </c>
    </row>
    <row r="5736">
      <c r="B5736" s="21">
        <f>IF(AND(C5736&lt;&gt;"", J5736&lt;&gt;""), HYPERLINK("#'" &amp; C5736 &amp; "'!" &amp; J5736, J5736), "")</f>
        <v/>
      </c>
    </row>
    <row r="5737">
      <c r="B5737" s="21">
        <f>IF(AND(C5737&lt;&gt;"", J5737&lt;&gt;""), HYPERLINK("#'" &amp; C5737 &amp; "'!" &amp; J5737, J5737), "")</f>
        <v/>
      </c>
    </row>
    <row r="5738">
      <c r="B5738" s="21">
        <f>IF(AND(C5738&lt;&gt;"", J5738&lt;&gt;""), HYPERLINK("#'" &amp; C5738 &amp; "'!" &amp; J5738, J5738), "")</f>
        <v/>
      </c>
    </row>
    <row r="5739">
      <c r="B5739" s="21">
        <f>IF(AND(C5739&lt;&gt;"", J5739&lt;&gt;""), HYPERLINK("#'" &amp; C5739 &amp; "'!" &amp; J5739, J5739), "")</f>
        <v/>
      </c>
    </row>
    <row r="5740">
      <c r="B5740" s="21">
        <f>IF(AND(C5740&lt;&gt;"", J5740&lt;&gt;""), HYPERLINK("#'" &amp; C5740 &amp; "'!" &amp; J5740, J5740), "")</f>
        <v/>
      </c>
    </row>
    <row r="5741">
      <c r="B5741" s="21">
        <f>IF(AND(C5741&lt;&gt;"", J5741&lt;&gt;""), HYPERLINK("#'" &amp; C5741 &amp; "'!" &amp; J5741, J5741), "")</f>
        <v/>
      </c>
    </row>
    <row r="5742">
      <c r="B5742" s="21">
        <f>IF(AND(C5742&lt;&gt;"", J5742&lt;&gt;""), HYPERLINK("#'" &amp; C5742 &amp; "'!" &amp; J5742, J5742), "")</f>
        <v/>
      </c>
    </row>
    <row r="5743">
      <c r="B5743" s="21">
        <f>IF(AND(C5743&lt;&gt;"", J5743&lt;&gt;""), HYPERLINK("#'" &amp; C5743 &amp; "'!" &amp; J5743, J5743), "")</f>
        <v/>
      </c>
    </row>
    <row r="5744">
      <c r="B5744" s="21">
        <f>IF(AND(C5744&lt;&gt;"", J5744&lt;&gt;""), HYPERLINK("#'" &amp; C5744 &amp; "'!" &amp; J5744, J5744), "")</f>
        <v/>
      </c>
    </row>
    <row r="5745">
      <c r="B5745" s="21">
        <f>IF(AND(C5745&lt;&gt;"", J5745&lt;&gt;""), HYPERLINK("#'" &amp; C5745 &amp; "'!" &amp; J5745, J5745), "")</f>
        <v/>
      </c>
    </row>
    <row r="5746">
      <c r="B5746" s="21">
        <f>IF(AND(C5746&lt;&gt;"", J5746&lt;&gt;""), HYPERLINK("#'" &amp; C5746 &amp; "'!" &amp; J5746, J5746), "")</f>
        <v/>
      </c>
    </row>
    <row r="5747">
      <c r="B5747" s="21">
        <f>IF(AND(C5747&lt;&gt;"", J5747&lt;&gt;""), HYPERLINK("#'" &amp; C5747 &amp; "'!" &amp; J5747, J5747), "")</f>
        <v/>
      </c>
    </row>
    <row r="5748">
      <c r="B5748" s="21">
        <f>IF(AND(C5748&lt;&gt;"", J5748&lt;&gt;""), HYPERLINK("#'" &amp; C5748 &amp; "'!" &amp; J5748, J5748), "")</f>
        <v/>
      </c>
    </row>
    <row r="5749">
      <c r="B5749" s="21">
        <f>IF(AND(C5749&lt;&gt;"", J5749&lt;&gt;""), HYPERLINK("#'" &amp; C5749 &amp; "'!" &amp; J5749, J5749), "")</f>
        <v/>
      </c>
    </row>
    <row r="5750">
      <c r="B5750" s="21">
        <f>IF(AND(C5750&lt;&gt;"", J5750&lt;&gt;""), HYPERLINK("#'" &amp; C5750 &amp; "'!" &amp; J5750, J5750), "")</f>
        <v/>
      </c>
    </row>
    <row r="5751">
      <c r="B5751" s="21">
        <f>IF(AND(C5751&lt;&gt;"", J5751&lt;&gt;""), HYPERLINK("#'" &amp; C5751 &amp; "'!" &amp; J5751, J5751), "")</f>
        <v/>
      </c>
    </row>
    <row r="5752">
      <c r="B5752" s="21">
        <f>IF(AND(C5752&lt;&gt;"", J5752&lt;&gt;""), HYPERLINK("#'" &amp; C5752 &amp; "'!" &amp; J5752, J5752), "")</f>
        <v/>
      </c>
    </row>
    <row r="5753">
      <c r="B5753" s="21">
        <f>IF(AND(C5753&lt;&gt;"", J5753&lt;&gt;""), HYPERLINK("#'" &amp; C5753 &amp; "'!" &amp; J5753, J5753), "")</f>
        <v/>
      </c>
    </row>
    <row r="5754">
      <c r="B5754" s="21">
        <f>IF(AND(C5754&lt;&gt;"", J5754&lt;&gt;""), HYPERLINK("#'" &amp; C5754 &amp; "'!" &amp; J5754, J5754), "")</f>
        <v/>
      </c>
    </row>
    <row r="5755">
      <c r="B5755" s="21">
        <f>IF(AND(C5755&lt;&gt;"", J5755&lt;&gt;""), HYPERLINK("#'" &amp; C5755 &amp; "'!" &amp; J5755, J5755), "")</f>
        <v/>
      </c>
    </row>
    <row r="5756">
      <c r="B5756" s="21">
        <f>IF(AND(C5756&lt;&gt;"", J5756&lt;&gt;""), HYPERLINK("#'" &amp; C5756 &amp; "'!" &amp; J5756, J5756), "")</f>
        <v/>
      </c>
    </row>
    <row r="5757">
      <c r="B5757" s="21">
        <f>IF(AND(C5757&lt;&gt;"", J5757&lt;&gt;""), HYPERLINK("#'" &amp; C5757 &amp; "'!" &amp; J5757, J5757), "")</f>
        <v/>
      </c>
    </row>
    <row r="5758">
      <c r="B5758" s="21">
        <f>IF(AND(C5758&lt;&gt;"", J5758&lt;&gt;""), HYPERLINK("#'" &amp; C5758 &amp; "'!" &amp; J5758, J5758), "")</f>
        <v/>
      </c>
    </row>
    <row r="5759">
      <c r="B5759" s="21">
        <f>IF(AND(C5759&lt;&gt;"", J5759&lt;&gt;""), HYPERLINK("#'" &amp; C5759 &amp; "'!" &amp; J5759, J5759), "")</f>
        <v/>
      </c>
    </row>
    <row r="5760">
      <c r="B5760" s="21">
        <f>IF(AND(C5760&lt;&gt;"", J5760&lt;&gt;""), HYPERLINK("#'" &amp; C5760 &amp; "'!" &amp; J5760, J5760), "")</f>
        <v/>
      </c>
    </row>
    <row r="5761">
      <c r="B5761" s="21">
        <f>IF(AND(C5761&lt;&gt;"", J5761&lt;&gt;""), HYPERLINK("#'" &amp; C5761 &amp; "'!" &amp; J5761, J5761), "")</f>
        <v/>
      </c>
    </row>
    <row r="5762">
      <c r="B5762" s="21">
        <f>IF(AND(C5762&lt;&gt;"", J5762&lt;&gt;""), HYPERLINK("#'" &amp; C5762 &amp; "'!" &amp; J5762, J5762), "")</f>
        <v/>
      </c>
    </row>
    <row r="5763">
      <c r="B5763" s="21">
        <f>IF(AND(C5763&lt;&gt;"", J5763&lt;&gt;""), HYPERLINK("#'" &amp; C5763 &amp; "'!" &amp; J5763, J5763), "")</f>
        <v/>
      </c>
    </row>
    <row r="5764">
      <c r="B5764" s="21">
        <f>IF(AND(C5764&lt;&gt;"", J5764&lt;&gt;""), HYPERLINK("#'" &amp; C5764 &amp; "'!" &amp; J5764, J5764), "")</f>
        <v/>
      </c>
    </row>
    <row r="5765">
      <c r="B5765" s="21">
        <f>IF(AND(C5765&lt;&gt;"", J5765&lt;&gt;""), HYPERLINK("#'" &amp; C5765 &amp; "'!" &amp; J5765, J5765), "")</f>
        <v/>
      </c>
    </row>
    <row r="5766">
      <c r="B5766" s="21">
        <f>IF(AND(C5766&lt;&gt;"", J5766&lt;&gt;""), HYPERLINK("#'" &amp; C5766 &amp; "'!" &amp; J5766, J5766), "")</f>
        <v/>
      </c>
    </row>
    <row r="5767">
      <c r="B5767" s="21">
        <f>IF(AND(C5767&lt;&gt;"", J5767&lt;&gt;""), HYPERLINK("#'" &amp; C5767 &amp; "'!" &amp; J5767, J5767), "")</f>
        <v/>
      </c>
    </row>
    <row r="5768">
      <c r="B5768" s="21">
        <f>IF(AND(C5768&lt;&gt;"", J5768&lt;&gt;""), HYPERLINK("#'" &amp; C5768 &amp; "'!" &amp; J5768, J5768), "")</f>
        <v/>
      </c>
    </row>
    <row r="5769">
      <c r="B5769" s="21">
        <f>IF(AND(C5769&lt;&gt;"", J5769&lt;&gt;""), HYPERLINK("#'" &amp; C5769 &amp; "'!" &amp; J5769, J5769), "")</f>
        <v/>
      </c>
    </row>
    <row r="5770">
      <c r="B5770" s="21">
        <f>IF(AND(C5770&lt;&gt;"", J5770&lt;&gt;""), HYPERLINK("#'" &amp; C5770 &amp; "'!" &amp; J5770, J5770), "")</f>
        <v/>
      </c>
    </row>
    <row r="5771">
      <c r="B5771" s="21">
        <f>IF(AND(C5771&lt;&gt;"", J5771&lt;&gt;""), HYPERLINK("#'" &amp; C5771 &amp; "'!" &amp; J5771, J5771), "")</f>
        <v/>
      </c>
    </row>
    <row r="5772">
      <c r="B5772" s="21">
        <f>IF(AND(C5772&lt;&gt;"", J5772&lt;&gt;""), HYPERLINK("#'" &amp; C5772 &amp; "'!" &amp; J5772, J5772), "")</f>
        <v/>
      </c>
    </row>
    <row r="5773">
      <c r="B5773" s="21">
        <f>IF(AND(C5773&lt;&gt;"", J5773&lt;&gt;""), HYPERLINK("#'" &amp; C5773 &amp; "'!" &amp; J5773, J5773), "")</f>
        <v/>
      </c>
    </row>
    <row r="5774">
      <c r="B5774" s="21">
        <f>IF(AND(C5774&lt;&gt;"", J5774&lt;&gt;""), HYPERLINK("#'" &amp; C5774 &amp; "'!" &amp; J5774, J5774), "")</f>
        <v/>
      </c>
    </row>
    <row r="5775">
      <c r="B5775" s="21">
        <f>IF(AND(C5775&lt;&gt;"", J5775&lt;&gt;""), HYPERLINK("#'" &amp; C5775 &amp; "'!" &amp; J5775, J5775), "")</f>
        <v/>
      </c>
    </row>
    <row r="5776">
      <c r="B5776" s="21">
        <f>IF(AND(C5776&lt;&gt;"", J5776&lt;&gt;""), HYPERLINK("#'" &amp; C5776 &amp; "'!" &amp; J5776, J5776), "")</f>
        <v/>
      </c>
    </row>
    <row r="5777">
      <c r="B5777" s="21">
        <f>IF(AND(C5777&lt;&gt;"", J5777&lt;&gt;""), HYPERLINK("#'" &amp; C5777 &amp; "'!" &amp; J5777, J5777), "")</f>
        <v/>
      </c>
    </row>
    <row r="5778">
      <c r="B5778" s="21">
        <f>IF(AND(C5778&lt;&gt;"", J5778&lt;&gt;""), HYPERLINK("#'" &amp; C5778 &amp; "'!" &amp; J5778, J5778), "")</f>
        <v/>
      </c>
    </row>
    <row r="5779">
      <c r="B5779" s="21">
        <f>IF(AND(C5779&lt;&gt;"", J5779&lt;&gt;""), HYPERLINK("#'" &amp; C5779 &amp; "'!" &amp; J5779, J5779), "")</f>
        <v/>
      </c>
    </row>
    <row r="5780">
      <c r="B5780" s="21">
        <f>IF(AND(C5780&lt;&gt;"", J5780&lt;&gt;""), HYPERLINK("#'" &amp; C5780 &amp; "'!" &amp; J5780, J5780), "")</f>
        <v/>
      </c>
    </row>
    <row r="5781">
      <c r="B5781" s="21">
        <f>IF(AND(C5781&lt;&gt;"", J5781&lt;&gt;""), HYPERLINK("#'" &amp; C5781 &amp; "'!" &amp; J5781, J5781), "")</f>
        <v/>
      </c>
    </row>
    <row r="5782">
      <c r="B5782" s="21">
        <f>IF(AND(C5782&lt;&gt;"", J5782&lt;&gt;""), HYPERLINK("#'" &amp; C5782 &amp; "'!" &amp; J5782, J5782), "")</f>
        <v/>
      </c>
    </row>
    <row r="5783">
      <c r="B5783" s="21">
        <f>IF(AND(C5783&lt;&gt;"", J5783&lt;&gt;""), HYPERLINK("#'" &amp; C5783 &amp; "'!" &amp; J5783, J5783), "")</f>
        <v/>
      </c>
    </row>
    <row r="5784">
      <c r="B5784" s="21">
        <f>IF(AND(C5784&lt;&gt;"", J5784&lt;&gt;""), HYPERLINK("#'" &amp; C5784 &amp; "'!" &amp; J5784, J5784), "")</f>
        <v/>
      </c>
    </row>
    <row r="5785">
      <c r="B5785" s="21">
        <f>IF(AND(C5785&lt;&gt;"", J5785&lt;&gt;""), HYPERLINK("#'" &amp; C5785 &amp; "'!" &amp; J5785, J5785), "")</f>
        <v/>
      </c>
    </row>
    <row r="5786">
      <c r="B5786" s="21">
        <f>IF(AND(C5786&lt;&gt;"", J5786&lt;&gt;""), HYPERLINK("#'" &amp; C5786 &amp; "'!" &amp; J5786, J5786), "")</f>
        <v/>
      </c>
    </row>
    <row r="5787">
      <c r="B5787" s="21">
        <f>IF(AND(C5787&lt;&gt;"", J5787&lt;&gt;""), HYPERLINK("#'" &amp; C5787 &amp; "'!" &amp; J5787, J5787), "")</f>
        <v/>
      </c>
    </row>
    <row r="5788">
      <c r="B5788" s="21">
        <f>IF(AND(C5788&lt;&gt;"", J5788&lt;&gt;""), HYPERLINK("#'" &amp; C5788 &amp; "'!" &amp; J5788, J5788), "")</f>
        <v/>
      </c>
    </row>
    <row r="5789">
      <c r="B5789" s="21">
        <f>IF(AND(C5789&lt;&gt;"", J5789&lt;&gt;""), HYPERLINK("#'" &amp; C5789 &amp; "'!" &amp; J5789, J5789), "")</f>
        <v/>
      </c>
    </row>
    <row r="5790">
      <c r="B5790" s="21">
        <f>IF(AND(C5790&lt;&gt;"", J5790&lt;&gt;""), HYPERLINK("#'" &amp; C5790 &amp; "'!" &amp; J5790, J5790), "")</f>
        <v/>
      </c>
    </row>
    <row r="5791">
      <c r="B5791" s="21">
        <f>IF(AND(C5791&lt;&gt;"", J5791&lt;&gt;""), HYPERLINK("#'" &amp; C5791 &amp; "'!" &amp; J5791, J5791), "")</f>
        <v/>
      </c>
    </row>
    <row r="5792">
      <c r="B5792" s="21">
        <f>IF(AND(C5792&lt;&gt;"", J5792&lt;&gt;""), HYPERLINK("#'" &amp; C5792 &amp; "'!" &amp; J5792, J5792), "")</f>
        <v/>
      </c>
    </row>
    <row r="5793">
      <c r="B5793" s="21">
        <f>IF(AND(C5793&lt;&gt;"", J5793&lt;&gt;""), HYPERLINK("#'" &amp; C5793 &amp; "'!" &amp; J5793, J5793), "")</f>
        <v/>
      </c>
    </row>
    <row r="5794">
      <c r="B5794" s="21">
        <f>IF(AND(C5794&lt;&gt;"", J5794&lt;&gt;""), HYPERLINK("#'" &amp; C5794 &amp; "'!" &amp; J5794, J5794), "")</f>
        <v/>
      </c>
    </row>
    <row r="5795">
      <c r="B5795" s="21">
        <f>IF(AND(C5795&lt;&gt;"", J5795&lt;&gt;""), HYPERLINK("#'" &amp; C5795 &amp; "'!" &amp; J5795, J5795), "")</f>
        <v/>
      </c>
    </row>
    <row r="5796">
      <c r="B5796" s="21">
        <f>IF(AND(C5796&lt;&gt;"", J5796&lt;&gt;""), HYPERLINK("#'" &amp; C5796 &amp; "'!" &amp; J5796, J5796), "")</f>
        <v/>
      </c>
    </row>
    <row r="5797">
      <c r="B5797" s="21">
        <f>IF(AND(C5797&lt;&gt;"", J5797&lt;&gt;""), HYPERLINK("#'" &amp; C5797 &amp; "'!" &amp; J5797, J5797), "")</f>
        <v/>
      </c>
    </row>
    <row r="5798">
      <c r="B5798" s="21">
        <f>IF(AND(C5798&lt;&gt;"", J5798&lt;&gt;""), HYPERLINK("#'" &amp; C5798 &amp; "'!" &amp; J5798, J5798), "")</f>
        <v/>
      </c>
    </row>
    <row r="5799">
      <c r="B5799" s="21">
        <f>IF(AND(C5799&lt;&gt;"", J5799&lt;&gt;""), HYPERLINK("#'" &amp; C5799 &amp; "'!" &amp; J5799, J5799), "")</f>
        <v/>
      </c>
    </row>
    <row r="5800">
      <c r="B5800" s="21">
        <f>IF(AND(C5800&lt;&gt;"", J5800&lt;&gt;""), HYPERLINK("#'" &amp; C5800 &amp; "'!" &amp; J5800, J5800), "")</f>
        <v/>
      </c>
    </row>
    <row r="5801">
      <c r="B5801" s="21">
        <f>IF(AND(C5801&lt;&gt;"", J5801&lt;&gt;""), HYPERLINK("#'" &amp; C5801 &amp; "'!" &amp; J5801, J5801), "")</f>
        <v/>
      </c>
    </row>
    <row r="5802">
      <c r="B5802" s="21">
        <f>IF(AND(C5802&lt;&gt;"", J5802&lt;&gt;""), HYPERLINK("#'" &amp; C5802 &amp; "'!" &amp; J5802, J5802), "")</f>
        <v/>
      </c>
    </row>
    <row r="5803">
      <c r="B5803" s="21">
        <f>IF(AND(C5803&lt;&gt;"", J5803&lt;&gt;""), HYPERLINK("#'" &amp; C5803 &amp; "'!" &amp; J5803, J5803), "")</f>
        <v/>
      </c>
    </row>
    <row r="5804">
      <c r="B5804" s="21">
        <f>IF(AND(C5804&lt;&gt;"", J5804&lt;&gt;""), HYPERLINK("#'" &amp; C5804 &amp; "'!" &amp; J5804, J5804), "")</f>
        <v/>
      </c>
    </row>
    <row r="5805">
      <c r="B5805" s="21">
        <f>IF(AND(C5805&lt;&gt;"", J5805&lt;&gt;""), HYPERLINK("#'" &amp; C5805 &amp; "'!" &amp; J5805, J5805), "")</f>
        <v/>
      </c>
    </row>
    <row r="5806">
      <c r="B5806" s="21">
        <f>IF(AND(C5806&lt;&gt;"", J5806&lt;&gt;""), HYPERLINK("#'" &amp; C5806 &amp; "'!" &amp; J5806, J5806), "")</f>
        <v/>
      </c>
    </row>
    <row r="5807">
      <c r="B5807" s="21">
        <f>IF(AND(C5807&lt;&gt;"", J5807&lt;&gt;""), HYPERLINK("#'" &amp; C5807 &amp; "'!" &amp; J5807, J5807), "")</f>
        <v/>
      </c>
    </row>
    <row r="5808">
      <c r="B5808" s="21">
        <f>IF(AND(C5808&lt;&gt;"", J5808&lt;&gt;""), HYPERLINK("#'" &amp; C5808 &amp; "'!" &amp; J5808, J5808), "")</f>
        <v/>
      </c>
    </row>
    <row r="5809">
      <c r="B5809" s="21">
        <f>IF(AND(C5809&lt;&gt;"", J5809&lt;&gt;""), HYPERLINK("#'" &amp; C5809 &amp; "'!" &amp; J5809, J5809), "")</f>
        <v/>
      </c>
    </row>
    <row r="5810">
      <c r="B5810" s="21">
        <f>IF(AND(C5810&lt;&gt;"", J5810&lt;&gt;""), HYPERLINK("#'" &amp; C5810 &amp; "'!" &amp; J5810, J5810), "")</f>
        <v/>
      </c>
    </row>
    <row r="5811">
      <c r="B5811" s="21">
        <f>IF(AND(C5811&lt;&gt;"", J5811&lt;&gt;""), HYPERLINK("#'" &amp; C5811 &amp; "'!" &amp; J5811, J5811), "")</f>
        <v/>
      </c>
    </row>
    <row r="5812">
      <c r="B5812" s="21">
        <f>IF(AND(C5812&lt;&gt;"", J5812&lt;&gt;""), HYPERLINK("#'" &amp; C5812 &amp; "'!" &amp; J5812, J5812), "")</f>
        <v/>
      </c>
    </row>
    <row r="5813">
      <c r="B5813" s="21">
        <f>IF(AND(C5813&lt;&gt;"", J5813&lt;&gt;""), HYPERLINK("#'" &amp; C5813 &amp; "'!" &amp; J5813, J5813), "")</f>
        <v/>
      </c>
    </row>
    <row r="5814">
      <c r="B5814" s="21">
        <f>IF(AND(C5814&lt;&gt;"", J5814&lt;&gt;""), HYPERLINK("#'" &amp; C5814 &amp; "'!" &amp; J5814, J5814), "")</f>
        <v/>
      </c>
    </row>
    <row r="5815">
      <c r="B5815" s="21">
        <f>IF(AND(C5815&lt;&gt;"", J5815&lt;&gt;""), HYPERLINK("#'" &amp; C5815 &amp; "'!" &amp; J5815, J5815), "")</f>
        <v/>
      </c>
    </row>
    <row r="5816">
      <c r="B5816" s="21">
        <f>IF(AND(C5816&lt;&gt;"", J5816&lt;&gt;""), HYPERLINK("#'" &amp; C5816 &amp; "'!" &amp; J5816, J5816), "")</f>
        <v/>
      </c>
    </row>
    <row r="5817">
      <c r="B5817" s="21">
        <f>IF(AND(C5817&lt;&gt;"", J5817&lt;&gt;""), HYPERLINK("#'" &amp; C5817 &amp; "'!" &amp; J5817, J5817), "")</f>
        <v/>
      </c>
    </row>
    <row r="5818">
      <c r="B5818" s="21">
        <f>IF(AND(C5818&lt;&gt;"", J5818&lt;&gt;""), HYPERLINK("#'" &amp; C5818 &amp; "'!" &amp; J5818, J5818), "")</f>
        <v/>
      </c>
    </row>
    <row r="5819">
      <c r="B5819" s="21">
        <f>IF(AND(C5819&lt;&gt;"", J5819&lt;&gt;""), HYPERLINK("#'" &amp; C5819 &amp; "'!" &amp; J5819, J5819), "")</f>
        <v/>
      </c>
    </row>
    <row r="5820">
      <c r="B5820" s="21">
        <f>IF(AND(C5820&lt;&gt;"", J5820&lt;&gt;""), HYPERLINK("#'" &amp; C5820 &amp; "'!" &amp; J5820, J5820), "")</f>
        <v/>
      </c>
    </row>
    <row r="5821">
      <c r="B5821" s="21">
        <f>IF(AND(C5821&lt;&gt;"", J5821&lt;&gt;""), HYPERLINK("#'" &amp; C5821 &amp; "'!" &amp; J5821, J5821), "")</f>
        <v/>
      </c>
    </row>
    <row r="5822">
      <c r="B5822" s="21">
        <f>IF(AND(C5822&lt;&gt;"", J5822&lt;&gt;""), HYPERLINK("#'" &amp; C5822 &amp; "'!" &amp; J5822, J5822), "")</f>
        <v/>
      </c>
    </row>
    <row r="5823">
      <c r="B5823" s="21">
        <f>IF(AND(C5823&lt;&gt;"", J5823&lt;&gt;""), HYPERLINK("#'" &amp; C5823 &amp; "'!" &amp; J5823, J5823), "")</f>
        <v/>
      </c>
    </row>
    <row r="5824">
      <c r="B5824" s="21">
        <f>IF(AND(C5824&lt;&gt;"", J5824&lt;&gt;""), HYPERLINK("#'" &amp; C5824 &amp; "'!" &amp; J5824, J5824), "")</f>
        <v/>
      </c>
    </row>
    <row r="5825">
      <c r="B5825" s="21">
        <f>IF(AND(C5825&lt;&gt;"", J5825&lt;&gt;""), HYPERLINK("#'" &amp; C5825 &amp; "'!" &amp; J5825, J5825), "")</f>
        <v/>
      </c>
    </row>
    <row r="5826">
      <c r="B5826" s="21">
        <f>IF(AND(C5826&lt;&gt;"", J5826&lt;&gt;""), HYPERLINK("#'" &amp; C5826 &amp; "'!" &amp; J5826, J5826), "")</f>
        <v/>
      </c>
    </row>
    <row r="5827">
      <c r="B5827" s="21">
        <f>IF(AND(C5827&lt;&gt;"", J5827&lt;&gt;""), HYPERLINK("#'" &amp; C5827 &amp; "'!" &amp; J5827, J5827), "")</f>
        <v/>
      </c>
    </row>
    <row r="5828">
      <c r="B5828" s="21">
        <f>IF(AND(C5828&lt;&gt;"", J5828&lt;&gt;""), HYPERLINK("#'" &amp; C5828 &amp; "'!" &amp; J5828, J5828), "")</f>
        <v/>
      </c>
    </row>
    <row r="5829">
      <c r="B5829" s="21">
        <f>IF(AND(C5829&lt;&gt;"", J5829&lt;&gt;""), HYPERLINK("#'" &amp; C5829 &amp; "'!" &amp; J5829, J5829), "")</f>
        <v/>
      </c>
    </row>
    <row r="5830">
      <c r="B5830" s="21">
        <f>IF(AND(C5830&lt;&gt;"", J5830&lt;&gt;""), HYPERLINK("#'" &amp; C5830 &amp; "'!" &amp; J5830, J5830), "")</f>
        <v/>
      </c>
    </row>
    <row r="5831">
      <c r="B5831" s="21">
        <f>IF(AND(C5831&lt;&gt;"", J5831&lt;&gt;""), HYPERLINK("#'" &amp; C5831 &amp; "'!" &amp; J5831, J5831), "")</f>
        <v/>
      </c>
    </row>
    <row r="5832">
      <c r="B5832" s="21">
        <f>IF(AND(C5832&lt;&gt;"", J5832&lt;&gt;""), HYPERLINK("#'" &amp; C5832 &amp; "'!" &amp; J5832, J5832), "")</f>
        <v/>
      </c>
    </row>
    <row r="5833">
      <c r="B5833" s="21">
        <f>IF(AND(C5833&lt;&gt;"", J5833&lt;&gt;""), HYPERLINK("#'" &amp; C5833 &amp; "'!" &amp; J5833, J5833), "")</f>
        <v/>
      </c>
    </row>
    <row r="5834">
      <c r="B5834" s="21">
        <f>IF(AND(C5834&lt;&gt;"", J5834&lt;&gt;""), HYPERLINK("#'" &amp; C5834 &amp; "'!" &amp; J5834, J5834), "")</f>
        <v/>
      </c>
    </row>
    <row r="5835">
      <c r="B5835" s="21">
        <f>IF(AND(C5835&lt;&gt;"", J5835&lt;&gt;""), HYPERLINK("#'" &amp; C5835 &amp; "'!" &amp; J5835, J5835), "")</f>
        <v/>
      </c>
    </row>
    <row r="5836">
      <c r="B5836" s="21">
        <f>IF(AND(C5836&lt;&gt;"", J5836&lt;&gt;""), HYPERLINK("#'" &amp; C5836 &amp; "'!" &amp; J5836, J5836), "")</f>
        <v/>
      </c>
    </row>
    <row r="5837">
      <c r="B5837" s="21">
        <f>IF(AND(C5837&lt;&gt;"", J5837&lt;&gt;""), HYPERLINK("#'" &amp; C5837 &amp; "'!" &amp; J5837, J5837), "")</f>
        <v/>
      </c>
    </row>
    <row r="5838">
      <c r="B5838" s="21">
        <f>IF(AND(C5838&lt;&gt;"", J5838&lt;&gt;""), HYPERLINK("#'" &amp; C5838 &amp; "'!" &amp; J5838, J5838), "")</f>
        <v/>
      </c>
    </row>
    <row r="5839">
      <c r="B5839" s="21">
        <f>IF(AND(C5839&lt;&gt;"", J5839&lt;&gt;""), HYPERLINK("#'" &amp; C5839 &amp; "'!" &amp; J5839, J5839), "")</f>
        <v/>
      </c>
    </row>
    <row r="5840">
      <c r="B5840" s="21">
        <f>IF(AND(C5840&lt;&gt;"", J5840&lt;&gt;""), HYPERLINK("#'" &amp; C5840 &amp; "'!" &amp; J5840, J5840), "")</f>
        <v/>
      </c>
    </row>
    <row r="5841">
      <c r="B5841" s="21">
        <f>IF(AND(C5841&lt;&gt;"", J5841&lt;&gt;""), HYPERLINK("#'" &amp; C5841 &amp; "'!" &amp; J5841, J5841), "")</f>
        <v/>
      </c>
    </row>
    <row r="5842">
      <c r="B5842" s="21">
        <f>IF(AND(C5842&lt;&gt;"", J5842&lt;&gt;""), HYPERLINK("#'" &amp; C5842 &amp; "'!" &amp; J5842, J5842), "")</f>
        <v/>
      </c>
    </row>
    <row r="5843">
      <c r="B5843" s="21">
        <f>IF(AND(C5843&lt;&gt;"", J5843&lt;&gt;""), HYPERLINK("#'" &amp; C5843 &amp; "'!" &amp; J5843, J5843), "")</f>
        <v/>
      </c>
    </row>
    <row r="5844">
      <c r="B5844" s="21">
        <f>IF(AND(C5844&lt;&gt;"", J5844&lt;&gt;""), HYPERLINK("#'" &amp; C5844 &amp; "'!" &amp; J5844, J5844), "")</f>
        <v/>
      </c>
    </row>
    <row r="5845">
      <c r="B5845" s="21">
        <f>IF(AND(C5845&lt;&gt;"", J5845&lt;&gt;""), HYPERLINK("#'" &amp; C5845 &amp; "'!" &amp; J5845, J5845), "")</f>
        <v/>
      </c>
    </row>
    <row r="5846">
      <c r="B5846" s="21">
        <f>IF(AND(C5846&lt;&gt;"", J5846&lt;&gt;""), HYPERLINK("#'" &amp; C5846 &amp; "'!" &amp; J5846, J5846), "")</f>
        <v/>
      </c>
    </row>
    <row r="5847">
      <c r="B5847" s="21">
        <f>IF(AND(C5847&lt;&gt;"", J5847&lt;&gt;""), HYPERLINK("#'" &amp; C5847 &amp; "'!" &amp; J5847, J5847), "")</f>
        <v/>
      </c>
    </row>
    <row r="5848">
      <c r="B5848" s="21">
        <f>IF(AND(C5848&lt;&gt;"", J5848&lt;&gt;""), HYPERLINK("#'" &amp; C5848 &amp; "'!" &amp; J5848, J5848), "")</f>
        <v/>
      </c>
    </row>
    <row r="5849">
      <c r="B5849" s="21">
        <f>IF(AND(C5849&lt;&gt;"", J5849&lt;&gt;""), HYPERLINK("#'" &amp; C5849 &amp; "'!" &amp; J5849, J5849), "")</f>
        <v/>
      </c>
    </row>
    <row r="5850">
      <c r="B5850" s="21">
        <f>IF(AND(C5850&lt;&gt;"", J5850&lt;&gt;""), HYPERLINK("#'" &amp; C5850 &amp; "'!" &amp; J5850, J5850), "")</f>
        <v/>
      </c>
    </row>
    <row r="5851">
      <c r="B5851" s="21">
        <f>IF(AND(C5851&lt;&gt;"", J5851&lt;&gt;""), HYPERLINK("#'" &amp; C5851 &amp; "'!" &amp; J5851, J5851), "")</f>
        <v/>
      </c>
    </row>
    <row r="5852">
      <c r="B5852" s="21">
        <f>IF(AND(C5852&lt;&gt;"", J5852&lt;&gt;""), HYPERLINK("#'" &amp; C5852 &amp; "'!" &amp; J5852, J5852), "")</f>
        <v/>
      </c>
    </row>
    <row r="5853">
      <c r="B5853" s="21">
        <f>IF(AND(C5853&lt;&gt;"", J5853&lt;&gt;""), HYPERLINK("#'" &amp; C5853 &amp; "'!" &amp; J5853, J5853), "")</f>
        <v/>
      </c>
    </row>
    <row r="5854">
      <c r="B5854" s="21">
        <f>IF(AND(C5854&lt;&gt;"", J5854&lt;&gt;""), HYPERLINK("#'" &amp; C5854 &amp; "'!" &amp; J5854, J5854), "")</f>
        <v/>
      </c>
    </row>
    <row r="5855">
      <c r="B5855" s="21">
        <f>IF(AND(C5855&lt;&gt;"", J5855&lt;&gt;""), HYPERLINK("#'" &amp; C5855 &amp; "'!" &amp; J5855, J5855), "")</f>
        <v/>
      </c>
    </row>
    <row r="5856">
      <c r="B5856" s="21">
        <f>IF(AND(C5856&lt;&gt;"", J5856&lt;&gt;""), HYPERLINK("#'" &amp; C5856 &amp; "'!" &amp; J5856, J5856), "")</f>
        <v/>
      </c>
    </row>
    <row r="5857">
      <c r="B5857" s="21">
        <f>IF(AND(C5857&lt;&gt;"", J5857&lt;&gt;""), HYPERLINK("#'" &amp; C5857 &amp; "'!" &amp; J5857, J5857), "")</f>
        <v/>
      </c>
    </row>
    <row r="5858">
      <c r="B5858" s="21">
        <f>IF(AND(C5858&lt;&gt;"", J5858&lt;&gt;""), HYPERLINK("#'" &amp; C5858 &amp; "'!" &amp; J5858, J5858), "")</f>
        <v/>
      </c>
    </row>
    <row r="5859">
      <c r="B5859" s="21">
        <f>IF(AND(C5859&lt;&gt;"", J5859&lt;&gt;""), HYPERLINK("#'" &amp; C5859 &amp; "'!" &amp; J5859, J5859), "")</f>
        <v/>
      </c>
    </row>
    <row r="5860">
      <c r="B5860" s="21">
        <f>IF(AND(C5860&lt;&gt;"", J5860&lt;&gt;""), HYPERLINK("#'" &amp; C5860 &amp; "'!" &amp; J5860, J5860), "")</f>
        <v/>
      </c>
    </row>
    <row r="5861">
      <c r="B5861" s="21">
        <f>IF(AND(C5861&lt;&gt;"", J5861&lt;&gt;""), HYPERLINK("#'" &amp; C5861 &amp; "'!" &amp; J5861, J5861), "")</f>
        <v/>
      </c>
    </row>
    <row r="5862">
      <c r="B5862" s="21">
        <f>IF(AND(C5862&lt;&gt;"", J5862&lt;&gt;""), HYPERLINK("#'" &amp; C5862 &amp; "'!" &amp; J5862, J5862), "")</f>
        <v/>
      </c>
    </row>
    <row r="5863">
      <c r="B5863" s="21">
        <f>IF(AND(C5863&lt;&gt;"", J5863&lt;&gt;""), HYPERLINK("#'" &amp; C5863 &amp; "'!" &amp; J5863, J5863), "")</f>
        <v/>
      </c>
    </row>
    <row r="5864">
      <c r="B5864" s="21">
        <f>IF(AND(C5864&lt;&gt;"", J5864&lt;&gt;""), HYPERLINK("#'" &amp; C5864 &amp; "'!" &amp; J5864, J5864), "")</f>
        <v/>
      </c>
    </row>
    <row r="5865">
      <c r="B5865" s="21">
        <f>IF(AND(C5865&lt;&gt;"", J5865&lt;&gt;""), HYPERLINK("#'" &amp; C5865 &amp; "'!" &amp; J5865, J5865), "")</f>
        <v/>
      </c>
    </row>
    <row r="5866">
      <c r="B5866" s="21">
        <f>IF(AND(C5866&lt;&gt;"", J5866&lt;&gt;""), HYPERLINK("#'" &amp; C5866 &amp; "'!" &amp; J5866, J5866), "")</f>
        <v/>
      </c>
    </row>
    <row r="5867">
      <c r="B5867" s="21">
        <f>IF(AND(C5867&lt;&gt;"", J5867&lt;&gt;""), HYPERLINK("#'" &amp; C5867 &amp; "'!" &amp; J5867, J5867), "")</f>
        <v/>
      </c>
    </row>
    <row r="5868">
      <c r="B5868" s="21">
        <f>IF(AND(C5868&lt;&gt;"", J5868&lt;&gt;""), HYPERLINK("#'" &amp; C5868 &amp; "'!" &amp; J5868, J5868), "")</f>
        <v/>
      </c>
    </row>
    <row r="5869">
      <c r="B5869" s="21">
        <f>IF(AND(C5869&lt;&gt;"", J5869&lt;&gt;""), HYPERLINK("#'" &amp; C5869 &amp; "'!" &amp; J5869, J5869), "")</f>
        <v/>
      </c>
    </row>
    <row r="5870">
      <c r="B5870" s="21">
        <f>IF(AND(C5870&lt;&gt;"", J5870&lt;&gt;""), HYPERLINK("#'" &amp; C5870 &amp; "'!" &amp; J5870, J5870), "")</f>
        <v/>
      </c>
    </row>
    <row r="5871">
      <c r="B5871" s="21">
        <f>IF(AND(C5871&lt;&gt;"", J5871&lt;&gt;""), HYPERLINK("#'" &amp; C5871 &amp; "'!" &amp; J5871, J5871), "")</f>
        <v/>
      </c>
    </row>
    <row r="5872">
      <c r="B5872" s="21">
        <f>IF(AND(C5872&lt;&gt;"", J5872&lt;&gt;""), HYPERLINK("#'" &amp; C5872 &amp; "'!" &amp; J5872, J5872), "")</f>
        <v/>
      </c>
    </row>
    <row r="5873">
      <c r="B5873" s="21">
        <f>IF(AND(C5873&lt;&gt;"", J5873&lt;&gt;""), HYPERLINK("#'" &amp; C5873 &amp; "'!" &amp; J5873, J5873), "")</f>
        <v/>
      </c>
    </row>
    <row r="5874">
      <c r="B5874" s="21">
        <f>IF(AND(C5874&lt;&gt;"", J5874&lt;&gt;""), HYPERLINK("#'" &amp; C5874 &amp; "'!" &amp; J5874, J5874), "")</f>
        <v/>
      </c>
    </row>
    <row r="5875">
      <c r="B5875" s="21">
        <f>IF(AND(C5875&lt;&gt;"", J5875&lt;&gt;""), HYPERLINK("#'" &amp; C5875 &amp; "'!" &amp; J5875, J5875), "")</f>
        <v/>
      </c>
    </row>
    <row r="5876">
      <c r="B5876" s="21">
        <f>IF(AND(C5876&lt;&gt;"", J5876&lt;&gt;""), HYPERLINK("#'" &amp; C5876 &amp; "'!" &amp; J5876, J5876), "")</f>
        <v/>
      </c>
    </row>
    <row r="5877">
      <c r="B5877" s="21">
        <f>IF(AND(C5877&lt;&gt;"", J5877&lt;&gt;""), HYPERLINK("#'" &amp; C5877 &amp; "'!" &amp; J5877, J5877), "")</f>
        <v/>
      </c>
    </row>
    <row r="5878">
      <c r="B5878" s="21">
        <f>IF(AND(C5878&lt;&gt;"", J5878&lt;&gt;""), HYPERLINK("#'" &amp; C5878 &amp; "'!" &amp; J5878, J5878), "")</f>
        <v/>
      </c>
    </row>
    <row r="5879">
      <c r="B5879" s="21">
        <f>IF(AND(C5879&lt;&gt;"", J5879&lt;&gt;""), HYPERLINK("#'" &amp; C5879 &amp; "'!" &amp; J5879, J5879), "")</f>
        <v/>
      </c>
    </row>
    <row r="5880">
      <c r="B5880" s="21">
        <f>IF(AND(C5880&lt;&gt;"", J5880&lt;&gt;""), HYPERLINK("#'" &amp; C5880 &amp; "'!" &amp; J5880, J5880), "")</f>
        <v/>
      </c>
    </row>
    <row r="5881">
      <c r="B5881" s="21">
        <f>IF(AND(C5881&lt;&gt;"", J5881&lt;&gt;""), HYPERLINK("#'" &amp; C5881 &amp; "'!" &amp; J5881, J5881), "")</f>
        <v/>
      </c>
    </row>
    <row r="5882">
      <c r="B5882" s="21">
        <f>IF(AND(C5882&lt;&gt;"", J5882&lt;&gt;""), HYPERLINK("#'" &amp; C5882 &amp; "'!" &amp; J5882, J5882), "")</f>
        <v/>
      </c>
    </row>
    <row r="5883">
      <c r="B5883" s="21">
        <f>IF(AND(C5883&lt;&gt;"", J5883&lt;&gt;""), HYPERLINK("#'" &amp; C5883 &amp; "'!" &amp; J5883, J5883), "")</f>
        <v/>
      </c>
    </row>
    <row r="5884">
      <c r="B5884" s="21">
        <f>IF(AND(C5884&lt;&gt;"", J5884&lt;&gt;""), HYPERLINK("#'" &amp; C5884 &amp; "'!" &amp; J5884, J5884), "")</f>
        <v/>
      </c>
    </row>
    <row r="5885">
      <c r="B5885" s="21">
        <f>IF(AND(C5885&lt;&gt;"", J5885&lt;&gt;""), HYPERLINK("#'" &amp; C5885 &amp; "'!" &amp; J5885, J5885), "")</f>
        <v/>
      </c>
    </row>
    <row r="5886">
      <c r="B5886" s="21">
        <f>IF(AND(C5886&lt;&gt;"", J5886&lt;&gt;""), HYPERLINK("#'" &amp; C5886 &amp; "'!" &amp; J5886, J5886), "")</f>
        <v/>
      </c>
    </row>
    <row r="5887">
      <c r="B5887" s="21">
        <f>IF(AND(C5887&lt;&gt;"", J5887&lt;&gt;""), HYPERLINK("#'" &amp; C5887 &amp; "'!" &amp; J5887, J5887), "")</f>
        <v/>
      </c>
    </row>
    <row r="5888">
      <c r="B5888" s="21">
        <f>IF(AND(C5888&lt;&gt;"", J5888&lt;&gt;""), HYPERLINK("#'" &amp; C5888 &amp; "'!" &amp; J5888, J5888), "")</f>
        <v/>
      </c>
    </row>
    <row r="5889">
      <c r="B5889" s="21">
        <f>IF(AND(C5889&lt;&gt;"", J5889&lt;&gt;""), HYPERLINK("#'" &amp; C5889 &amp; "'!" &amp; J5889, J5889), "")</f>
        <v/>
      </c>
    </row>
    <row r="5890">
      <c r="B5890" s="21">
        <f>IF(AND(C5890&lt;&gt;"", J5890&lt;&gt;""), HYPERLINK("#'" &amp; C5890 &amp; "'!" &amp; J5890, J5890), "")</f>
        <v/>
      </c>
    </row>
    <row r="5891">
      <c r="B5891" s="21">
        <f>IF(AND(C5891&lt;&gt;"", J5891&lt;&gt;""), HYPERLINK("#'" &amp; C5891 &amp; "'!" &amp; J5891, J5891), "")</f>
        <v/>
      </c>
    </row>
    <row r="5892">
      <c r="B5892" s="21">
        <f>IF(AND(C5892&lt;&gt;"", J5892&lt;&gt;""), HYPERLINK("#'" &amp; C5892 &amp; "'!" &amp; J5892, J5892), "")</f>
        <v/>
      </c>
    </row>
    <row r="5893">
      <c r="B5893" s="21">
        <f>IF(AND(C5893&lt;&gt;"", J5893&lt;&gt;""), HYPERLINK("#'" &amp; C5893 &amp; "'!" &amp; J5893, J5893), "")</f>
        <v/>
      </c>
    </row>
    <row r="5894">
      <c r="B5894" s="21">
        <f>IF(AND(C5894&lt;&gt;"", J5894&lt;&gt;""), HYPERLINK("#'" &amp; C5894 &amp; "'!" &amp; J5894, J5894), "")</f>
        <v/>
      </c>
    </row>
    <row r="5895">
      <c r="B5895" s="21">
        <f>IF(AND(C5895&lt;&gt;"", J5895&lt;&gt;""), HYPERLINK("#'" &amp; C5895 &amp; "'!" &amp; J5895, J5895), "")</f>
        <v/>
      </c>
    </row>
    <row r="5896">
      <c r="B5896" s="21">
        <f>IF(AND(C5896&lt;&gt;"", J5896&lt;&gt;""), HYPERLINK("#'" &amp; C5896 &amp; "'!" &amp; J5896, J5896), "")</f>
        <v/>
      </c>
    </row>
    <row r="5897">
      <c r="B5897" s="21">
        <f>IF(AND(C5897&lt;&gt;"", J5897&lt;&gt;""), HYPERLINK("#'" &amp; C5897 &amp; "'!" &amp; J5897, J5897), "")</f>
        <v/>
      </c>
    </row>
    <row r="5898">
      <c r="B5898" s="21">
        <f>IF(AND(C5898&lt;&gt;"", J5898&lt;&gt;""), HYPERLINK("#'" &amp; C5898 &amp; "'!" &amp; J5898, J5898), "")</f>
        <v/>
      </c>
    </row>
    <row r="5899">
      <c r="B5899" s="21">
        <f>IF(AND(C5899&lt;&gt;"", J5899&lt;&gt;""), HYPERLINK("#'" &amp; C5899 &amp; "'!" &amp; J5899, J5899), "")</f>
        <v/>
      </c>
    </row>
    <row r="5900">
      <c r="B5900" s="21">
        <f>IF(AND(C5900&lt;&gt;"", J5900&lt;&gt;""), HYPERLINK("#'" &amp; C5900 &amp; "'!" &amp; J5900, J5900), "")</f>
        <v/>
      </c>
    </row>
    <row r="5901">
      <c r="B5901" s="21">
        <f>IF(AND(C5901&lt;&gt;"", J5901&lt;&gt;""), HYPERLINK("#'" &amp; C5901 &amp; "'!" &amp; J5901, J5901), "")</f>
        <v/>
      </c>
    </row>
    <row r="5902">
      <c r="B5902" s="21">
        <f>IF(AND(C5902&lt;&gt;"", J5902&lt;&gt;""), HYPERLINK("#'" &amp; C5902 &amp; "'!" &amp; J5902, J5902), "")</f>
        <v/>
      </c>
    </row>
    <row r="5903">
      <c r="B5903" s="21">
        <f>IF(AND(C5903&lt;&gt;"", J5903&lt;&gt;""), HYPERLINK("#'" &amp; C5903 &amp; "'!" &amp; J5903, J5903), "")</f>
        <v/>
      </c>
    </row>
    <row r="5904">
      <c r="B5904" s="21">
        <f>IF(AND(C5904&lt;&gt;"", J5904&lt;&gt;""), HYPERLINK("#'" &amp; C5904 &amp; "'!" &amp; J5904, J5904), "")</f>
        <v/>
      </c>
    </row>
    <row r="5905">
      <c r="B5905" s="21">
        <f>IF(AND(C5905&lt;&gt;"", J5905&lt;&gt;""), HYPERLINK("#'" &amp; C5905 &amp; "'!" &amp; J5905, J5905), "")</f>
        <v/>
      </c>
    </row>
    <row r="5906">
      <c r="B5906" s="21">
        <f>IF(AND(C5906&lt;&gt;"", J5906&lt;&gt;""), HYPERLINK("#'" &amp; C5906 &amp; "'!" &amp; J5906, J5906), "")</f>
        <v/>
      </c>
    </row>
    <row r="5907">
      <c r="B5907" s="21">
        <f>IF(AND(C5907&lt;&gt;"", J5907&lt;&gt;""), HYPERLINK("#'" &amp; C5907 &amp; "'!" &amp; J5907, J5907), "")</f>
        <v/>
      </c>
    </row>
    <row r="5908">
      <c r="B5908" s="21">
        <f>IF(AND(C5908&lt;&gt;"", J5908&lt;&gt;""), HYPERLINK("#'" &amp; C5908 &amp; "'!" &amp; J5908, J5908), "")</f>
        <v/>
      </c>
    </row>
    <row r="5909">
      <c r="B5909" s="21">
        <f>IF(AND(C5909&lt;&gt;"", J5909&lt;&gt;""), HYPERLINK("#'" &amp; C5909 &amp; "'!" &amp; J5909, J5909), "")</f>
        <v/>
      </c>
    </row>
    <row r="5910">
      <c r="B5910" s="21">
        <f>IF(AND(C5910&lt;&gt;"", J5910&lt;&gt;""), HYPERLINK("#'" &amp; C5910 &amp; "'!" &amp; J5910, J5910), "")</f>
        <v/>
      </c>
    </row>
    <row r="5911">
      <c r="B5911" s="21">
        <f>IF(AND(C5911&lt;&gt;"", J5911&lt;&gt;""), HYPERLINK("#'" &amp; C5911 &amp; "'!" &amp; J5911, J5911), "")</f>
        <v/>
      </c>
    </row>
    <row r="5912">
      <c r="B5912" s="21">
        <f>IF(AND(C5912&lt;&gt;"", J5912&lt;&gt;""), HYPERLINK("#'" &amp; C5912 &amp; "'!" &amp; J5912, J5912), "")</f>
        <v/>
      </c>
    </row>
    <row r="5913">
      <c r="B5913" s="21">
        <f>IF(AND(C5913&lt;&gt;"", J5913&lt;&gt;""), HYPERLINK("#'" &amp; C5913 &amp; "'!" &amp; J5913, J5913), "")</f>
        <v/>
      </c>
    </row>
    <row r="5914">
      <c r="B5914" s="21">
        <f>IF(AND(C5914&lt;&gt;"", J5914&lt;&gt;""), HYPERLINK("#'" &amp; C5914 &amp; "'!" &amp; J5914, J5914), "")</f>
        <v/>
      </c>
    </row>
    <row r="5915">
      <c r="B5915" s="21">
        <f>IF(AND(C5915&lt;&gt;"", J5915&lt;&gt;""), HYPERLINK("#'" &amp; C5915 &amp; "'!" &amp; J5915, J5915), "")</f>
        <v/>
      </c>
    </row>
    <row r="5916">
      <c r="B5916" s="21">
        <f>IF(AND(C5916&lt;&gt;"", J5916&lt;&gt;""), HYPERLINK("#'" &amp; C5916 &amp; "'!" &amp; J5916, J5916), "")</f>
        <v/>
      </c>
    </row>
    <row r="5917">
      <c r="B5917" s="21">
        <f>IF(AND(C5917&lt;&gt;"", J5917&lt;&gt;""), HYPERLINK("#'" &amp; C5917 &amp; "'!" &amp; J5917, J5917), "")</f>
        <v/>
      </c>
    </row>
    <row r="5918">
      <c r="B5918" s="21">
        <f>IF(AND(C5918&lt;&gt;"", J5918&lt;&gt;""), HYPERLINK("#'" &amp; C5918 &amp; "'!" &amp; J5918, J5918), "")</f>
        <v/>
      </c>
    </row>
    <row r="5919">
      <c r="B5919" s="21">
        <f>IF(AND(C5919&lt;&gt;"", J5919&lt;&gt;""), HYPERLINK("#'" &amp; C5919 &amp; "'!" &amp; J5919, J5919), "")</f>
        <v/>
      </c>
    </row>
    <row r="5920">
      <c r="B5920" s="21">
        <f>IF(AND(C5920&lt;&gt;"", J5920&lt;&gt;""), HYPERLINK("#'" &amp; C5920 &amp; "'!" &amp; J5920, J5920), "")</f>
        <v/>
      </c>
    </row>
    <row r="5921">
      <c r="B5921" s="21">
        <f>IF(AND(C5921&lt;&gt;"", J5921&lt;&gt;""), HYPERLINK("#'" &amp; C5921 &amp; "'!" &amp; J5921, J5921), "")</f>
        <v/>
      </c>
    </row>
    <row r="5922">
      <c r="B5922" s="21">
        <f>IF(AND(C5922&lt;&gt;"", J5922&lt;&gt;""), HYPERLINK("#'" &amp; C5922 &amp; "'!" &amp; J5922, J5922), "")</f>
        <v/>
      </c>
    </row>
    <row r="5923">
      <c r="B5923" s="21">
        <f>IF(AND(C5923&lt;&gt;"", J5923&lt;&gt;""), HYPERLINK("#'" &amp; C5923 &amp; "'!" &amp; J5923, J5923), "")</f>
        <v/>
      </c>
    </row>
    <row r="5924">
      <c r="B5924" s="21">
        <f>IF(AND(C5924&lt;&gt;"", J5924&lt;&gt;""), HYPERLINK("#'" &amp; C5924 &amp; "'!" &amp; J5924, J5924), "")</f>
        <v/>
      </c>
    </row>
    <row r="5925">
      <c r="B5925" s="21">
        <f>IF(AND(C5925&lt;&gt;"", J5925&lt;&gt;""), HYPERLINK("#'" &amp; C5925 &amp; "'!" &amp; J5925, J5925), "")</f>
        <v/>
      </c>
    </row>
    <row r="5926">
      <c r="B5926" s="21">
        <f>IF(AND(C5926&lt;&gt;"", J5926&lt;&gt;""), HYPERLINK("#'" &amp; C5926 &amp; "'!" &amp; J5926, J5926), "")</f>
        <v/>
      </c>
    </row>
    <row r="5927">
      <c r="B5927" s="21">
        <f>IF(AND(C5927&lt;&gt;"", J5927&lt;&gt;""), HYPERLINK("#'" &amp; C5927 &amp; "'!" &amp; J5927, J5927), "")</f>
        <v/>
      </c>
    </row>
    <row r="5928">
      <c r="B5928" s="21">
        <f>IF(AND(C5928&lt;&gt;"", J5928&lt;&gt;""), HYPERLINK("#'" &amp; C5928 &amp; "'!" &amp; J5928, J5928), "")</f>
        <v/>
      </c>
    </row>
    <row r="5929">
      <c r="B5929" s="21">
        <f>IF(AND(C5929&lt;&gt;"", J5929&lt;&gt;""), HYPERLINK("#'" &amp; C5929 &amp; "'!" &amp; J5929, J5929), "")</f>
        <v/>
      </c>
    </row>
    <row r="5930">
      <c r="B5930" s="21">
        <f>IF(AND(C5930&lt;&gt;"", J5930&lt;&gt;""), HYPERLINK("#'" &amp; C5930 &amp; "'!" &amp; J5930, J5930), "")</f>
        <v/>
      </c>
    </row>
    <row r="5931">
      <c r="B5931" s="21">
        <f>IF(AND(C5931&lt;&gt;"", J5931&lt;&gt;""), HYPERLINK("#'" &amp; C5931 &amp; "'!" &amp; J5931, J5931), "")</f>
        <v/>
      </c>
    </row>
    <row r="5932">
      <c r="B5932" s="21">
        <f>IF(AND(C5932&lt;&gt;"", J5932&lt;&gt;""), HYPERLINK("#'" &amp; C5932 &amp; "'!" &amp; J5932, J5932), "")</f>
        <v/>
      </c>
    </row>
    <row r="5933">
      <c r="B5933" s="21">
        <f>IF(AND(C5933&lt;&gt;"", J5933&lt;&gt;""), HYPERLINK("#'" &amp; C5933 &amp; "'!" &amp; J5933, J5933), "")</f>
        <v/>
      </c>
    </row>
    <row r="5934">
      <c r="B5934" s="21">
        <f>IF(AND(C5934&lt;&gt;"", J5934&lt;&gt;""), HYPERLINK("#'" &amp; C5934 &amp; "'!" &amp; J5934, J5934), "")</f>
        <v/>
      </c>
    </row>
    <row r="5935">
      <c r="B5935" s="21">
        <f>IF(AND(C5935&lt;&gt;"", J5935&lt;&gt;""), HYPERLINK("#'" &amp; C5935 &amp; "'!" &amp; J5935, J5935), "")</f>
        <v/>
      </c>
    </row>
    <row r="5936">
      <c r="B5936" s="21">
        <f>IF(AND(C5936&lt;&gt;"", J5936&lt;&gt;""), HYPERLINK("#'" &amp; C5936 &amp; "'!" &amp; J5936, J5936), "")</f>
        <v/>
      </c>
    </row>
    <row r="5937">
      <c r="B5937" s="21">
        <f>IF(AND(C5937&lt;&gt;"", J5937&lt;&gt;""), HYPERLINK("#'" &amp; C5937 &amp; "'!" &amp; J5937, J5937), "")</f>
        <v/>
      </c>
    </row>
    <row r="5938">
      <c r="B5938" s="21">
        <f>IF(AND(C5938&lt;&gt;"", J5938&lt;&gt;""), HYPERLINK("#'" &amp; C5938 &amp; "'!" &amp; J5938, J5938), "")</f>
        <v/>
      </c>
    </row>
    <row r="5939">
      <c r="B5939" s="21">
        <f>IF(AND(C5939&lt;&gt;"", J5939&lt;&gt;""), HYPERLINK("#'" &amp; C5939 &amp; "'!" &amp; J5939, J5939), "")</f>
        <v/>
      </c>
    </row>
    <row r="5940">
      <c r="B5940" s="21">
        <f>IF(AND(C5940&lt;&gt;"", J5940&lt;&gt;""), HYPERLINK("#'" &amp; C5940 &amp; "'!" &amp; J5940, J5940), "")</f>
        <v/>
      </c>
    </row>
    <row r="5941">
      <c r="B5941" s="21">
        <f>IF(AND(C5941&lt;&gt;"", J5941&lt;&gt;""), HYPERLINK("#'" &amp; C5941 &amp; "'!" &amp; J5941, J5941), "")</f>
        <v/>
      </c>
    </row>
    <row r="5942">
      <c r="B5942" s="21">
        <f>IF(AND(C5942&lt;&gt;"", J5942&lt;&gt;""), HYPERLINK("#'" &amp; C5942 &amp; "'!" &amp; J5942, J5942), "")</f>
        <v/>
      </c>
    </row>
    <row r="5943">
      <c r="B5943" s="21">
        <f>IF(AND(C5943&lt;&gt;"", J5943&lt;&gt;""), HYPERLINK("#'" &amp; C5943 &amp; "'!" &amp; J5943, J5943), "")</f>
        <v/>
      </c>
    </row>
    <row r="5944">
      <c r="B5944" s="21">
        <f>IF(AND(C5944&lt;&gt;"", J5944&lt;&gt;""), HYPERLINK("#'" &amp; C5944 &amp; "'!" &amp; J5944, J5944), "")</f>
        <v/>
      </c>
    </row>
    <row r="5945">
      <c r="B5945" s="21">
        <f>IF(AND(C5945&lt;&gt;"", J5945&lt;&gt;""), HYPERLINK("#'" &amp; C5945 &amp; "'!" &amp; J5945, J5945), "")</f>
        <v/>
      </c>
    </row>
    <row r="5946">
      <c r="B5946" s="21">
        <f>IF(AND(C5946&lt;&gt;"", J5946&lt;&gt;""), HYPERLINK("#'" &amp; C5946 &amp; "'!" &amp; J5946, J5946), "")</f>
        <v/>
      </c>
    </row>
    <row r="5947">
      <c r="B5947" s="21">
        <f>IF(AND(C5947&lt;&gt;"", J5947&lt;&gt;""), HYPERLINK("#'" &amp; C5947 &amp; "'!" &amp; J5947, J5947), "")</f>
        <v/>
      </c>
    </row>
    <row r="5948">
      <c r="B5948" s="21">
        <f>IF(AND(C5948&lt;&gt;"", J5948&lt;&gt;""), HYPERLINK("#'" &amp; C5948 &amp; "'!" &amp; J5948, J5948), "")</f>
        <v/>
      </c>
    </row>
    <row r="5949">
      <c r="B5949" s="21">
        <f>IF(AND(C5949&lt;&gt;"", J5949&lt;&gt;""), HYPERLINK("#'" &amp; C5949 &amp; "'!" &amp; J5949, J5949), "")</f>
        <v/>
      </c>
    </row>
    <row r="5950">
      <c r="B5950" s="21">
        <f>IF(AND(C5950&lt;&gt;"", J5950&lt;&gt;""), HYPERLINK("#'" &amp; C5950 &amp; "'!" &amp; J5950, J5950), "")</f>
        <v/>
      </c>
    </row>
    <row r="5951">
      <c r="B5951" s="21">
        <f>IF(AND(C5951&lt;&gt;"", J5951&lt;&gt;""), HYPERLINK("#'" &amp; C5951 &amp; "'!" &amp; J5951, J5951), "")</f>
        <v/>
      </c>
    </row>
    <row r="5952">
      <c r="B5952" s="21">
        <f>IF(AND(C5952&lt;&gt;"", J5952&lt;&gt;""), HYPERLINK("#'" &amp; C5952 &amp; "'!" &amp; J5952, J5952), "")</f>
        <v/>
      </c>
    </row>
    <row r="5953">
      <c r="B5953" s="21">
        <f>IF(AND(C5953&lt;&gt;"", J5953&lt;&gt;""), HYPERLINK("#'" &amp; C5953 &amp; "'!" &amp; J5953, J5953), "")</f>
        <v/>
      </c>
    </row>
    <row r="5954">
      <c r="B5954" s="21">
        <f>IF(AND(C5954&lt;&gt;"", J5954&lt;&gt;""), HYPERLINK("#'" &amp; C5954 &amp; "'!" &amp; J5954, J5954), "")</f>
        <v/>
      </c>
    </row>
    <row r="5955">
      <c r="B5955" s="21">
        <f>IF(AND(C5955&lt;&gt;"", J5955&lt;&gt;""), HYPERLINK("#'" &amp; C5955 &amp; "'!" &amp; J5955, J5955), "")</f>
        <v/>
      </c>
    </row>
    <row r="5956">
      <c r="B5956" s="21">
        <f>IF(AND(C5956&lt;&gt;"", J5956&lt;&gt;""), HYPERLINK("#'" &amp; C5956 &amp; "'!" &amp; J5956, J5956), "")</f>
        <v/>
      </c>
    </row>
    <row r="5957">
      <c r="B5957" s="21">
        <f>IF(AND(C5957&lt;&gt;"", J5957&lt;&gt;""), HYPERLINK("#'" &amp; C5957 &amp; "'!" &amp; J5957, J5957), "")</f>
        <v/>
      </c>
    </row>
    <row r="5958">
      <c r="B5958" s="21">
        <f>IF(AND(C5958&lt;&gt;"", J5958&lt;&gt;""), HYPERLINK("#'" &amp; C5958 &amp; "'!" &amp; J5958, J5958), "")</f>
        <v/>
      </c>
    </row>
    <row r="5959">
      <c r="B5959" s="21">
        <f>IF(AND(C5959&lt;&gt;"", J5959&lt;&gt;""), HYPERLINK("#'" &amp; C5959 &amp; "'!" &amp; J5959, J5959), "")</f>
        <v/>
      </c>
    </row>
    <row r="5960">
      <c r="B5960" s="21">
        <f>IF(AND(C5960&lt;&gt;"", J5960&lt;&gt;""), HYPERLINK("#'" &amp; C5960 &amp; "'!" &amp; J5960, J5960), "")</f>
        <v/>
      </c>
    </row>
    <row r="5961">
      <c r="B5961" s="21">
        <f>IF(AND(C5961&lt;&gt;"", J5961&lt;&gt;""), HYPERLINK("#'" &amp; C5961 &amp; "'!" &amp; J5961, J5961), "")</f>
        <v/>
      </c>
    </row>
    <row r="5962">
      <c r="B5962" s="21">
        <f>IF(AND(C5962&lt;&gt;"", J5962&lt;&gt;""), HYPERLINK("#'" &amp; C5962 &amp; "'!" &amp; J5962, J5962), "")</f>
        <v/>
      </c>
    </row>
    <row r="5963">
      <c r="B5963" s="21">
        <f>IF(AND(C5963&lt;&gt;"", J5963&lt;&gt;""), HYPERLINK("#'" &amp; C5963 &amp; "'!" &amp; J5963, J5963), "")</f>
        <v/>
      </c>
    </row>
    <row r="5964">
      <c r="B5964" s="21">
        <f>IF(AND(C5964&lt;&gt;"", J5964&lt;&gt;""), HYPERLINK("#'" &amp; C5964 &amp; "'!" &amp; J5964, J5964), "")</f>
        <v/>
      </c>
    </row>
    <row r="5965">
      <c r="B5965" s="21">
        <f>IF(AND(C5965&lt;&gt;"", J5965&lt;&gt;""), HYPERLINK("#'" &amp; C5965 &amp; "'!" &amp; J5965, J5965), "")</f>
        <v/>
      </c>
    </row>
    <row r="5966">
      <c r="B5966" s="21">
        <f>IF(AND(C5966&lt;&gt;"", J5966&lt;&gt;""), HYPERLINK("#'" &amp; C5966 &amp; "'!" &amp; J5966, J5966), "")</f>
        <v/>
      </c>
    </row>
    <row r="5967">
      <c r="B5967" s="21">
        <f>IF(AND(C5967&lt;&gt;"", J5967&lt;&gt;""), HYPERLINK("#'" &amp; C5967 &amp; "'!" &amp; J5967, J5967), "")</f>
        <v/>
      </c>
    </row>
    <row r="5968">
      <c r="B5968" s="21">
        <f>IF(AND(C5968&lt;&gt;"", J5968&lt;&gt;""), HYPERLINK("#'" &amp; C5968 &amp; "'!" &amp; J5968, J5968), "")</f>
        <v/>
      </c>
    </row>
    <row r="5969">
      <c r="B5969" s="21">
        <f>IF(AND(C5969&lt;&gt;"", J5969&lt;&gt;""), HYPERLINK("#'" &amp; C5969 &amp; "'!" &amp; J5969, J5969), "")</f>
        <v/>
      </c>
    </row>
    <row r="5970">
      <c r="B5970" s="21">
        <f>IF(AND(C5970&lt;&gt;"", J5970&lt;&gt;""), HYPERLINK("#'" &amp; C5970 &amp; "'!" &amp; J5970, J5970), "")</f>
        <v/>
      </c>
    </row>
    <row r="5971">
      <c r="B5971" s="21">
        <f>IF(AND(C5971&lt;&gt;"", J5971&lt;&gt;""), HYPERLINK("#'" &amp; C5971 &amp; "'!" &amp; J5971, J5971), "")</f>
        <v/>
      </c>
    </row>
    <row r="5972">
      <c r="B5972" s="21">
        <f>IF(AND(C5972&lt;&gt;"", J5972&lt;&gt;""), HYPERLINK("#'" &amp; C5972 &amp; "'!" &amp; J5972, J5972), "")</f>
        <v/>
      </c>
    </row>
    <row r="5973">
      <c r="B5973" s="21">
        <f>IF(AND(C5973&lt;&gt;"", J5973&lt;&gt;""), HYPERLINK("#'" &amp; C5973 &amp; "'!" &amp; J5973, J5973), "")</f>
        <v/>
      </c>
    </row>
    <row r="5974">
      <c r="B5974" s="21">
        <f>IF(AND(C5974&lt;&gt;"", J5974&lt;&gt;""), HYPERLINK("#'" &amp; C5974 &amp; "'!" &amp; J5974, J5974), "")</f>
        <v/>
      </c>
    </row>
    <row r="5975">
      <c r="B5975" s="21">
        <f>IF(AND(C5975&lt;&gt;"", J5975&lt;&gt;""), HYPERLINK("#'" &amp; C5975 &amp; "'!" &amp; J5975, J5975), "")</f>
        <v/>
      </c>
    </row>
    <row r="5976">
      <c r="B5976" s="21">
        <f>IF(AND(C5976&lt;&gt;"", J5976&lt;&gt;""), HYPERLINK("#'" &amp; C5976 &amp; "'!" &amp; J5976, J5976), "")</f>
        <v/>
      </c>
    </row>
    <row r="5977">
      <c r="B5977" s="21">
        <f>IF(AND(C5977&lt;&gt;"", J5977&lt;&gt;""), HYPERLINK("#'" &amp; C5977 &amp; "'!" &amp; J5977, J5977), "")</f>
        <v/>
      </c>
    </row>
    <row r="5978">
      <c r="B5978" s="21">
        <f>IF(AND(C5978&lt;&gt;"", J5978&lt;&gt;""), HYPERLINK("#'" &amp; C5978 &amp; "'!" &amp; J5978, J5978), "")</f>
        <v/>
      </c>
    </row>
    <row r="5979">
      <c r="B5979" s="21">
        <f>IF(AND(C5979&lt;&gt;"", J5979&lt;&gt;""), HYPERLINK("#'" &amp; C5979 &amp; "'!" &amp; J5979, J5979), "")</f>
        <v/>
      </c>
    </row>
    <row r="5980">
      <c r="B5980" s="21">
        <f>IF(AND(C5980&lt;&gt;"", J5980&lt;&gt;""), HYPERLINK("#'" &amp; C5980 &amp; "'!" &amp; J5980, J5980), "")</f>
        <v/>
      </c>
    </row>
    <row r="5981">
      <c r="B5981" s="21">
        <f>IF(AND(C5981&lt;&gt;"", J5981&lt;&gt;""), HYPERLINK("#'" &amp; C5981 &amp; "'!" &amp; J5981, J5981), "")</f>
        <v/>
      </c>
    </row>
    <row r="5982">
      <c r="B5982" s="21">
        <f>IF(AND(C5982&lt;&gt;"", J5982&lt;&gt;""), HYPERLINK("#'" &amp; C5982 &amp; "'!" &amp; J5982, J5982), "")</f>
        <v/>
      </c>
    </row>
    <row r="5983">
      <c r="B5983" s="21">
        <f>IF(AND(C5983&lt;&gt;"", J5983&lt;&gt;""), HYPERLINK("#'" &amp; C5983 &amp; "'!" &amp; J5983, J5983), "")</f>
        <v/>
      </c>
    </row>
    <row r="5984">
      <c r="B5984" s="21">
        <f>IF(AND(C5984&lt;&gt;"", J5984&lt;&gt;""), HYPERLINK("#'" &amp; C5984 &amp; "'!" &amp; J5984, J5984), "")</f>
        <v/>
      </c>
    </row>
    <row r="5985">
      <c r="B5985" s="21">
        <f>IF(AND(C5985&lt;&gt;"", J5985&lt;&gt;""), HYPERLINK("#'" &amp; C5985 &amp; "'!" &amp; J5985, J5985), "")</f>
        <v/>
      </c>
    </row>
    <row r="5986">
      <c r="B5986" s="21">
        <f>IF(AND(C5986&lt;&gt;"", J5986&lt;&gt;""), HYPERLINK("#'" &amp; C5986 &amp; "'!" &amp; J5986, J5986), "")</f>
        <v/>
      </c>
    </row>
    <row r="5987">
      <c r="B5987" s="21">
        <f>IF(AND(C5987&lt;&gt;"", J5987&lt;&gt;""), HYPERLINK("#'" &amp; C5987 &amp; "'!" &amp; J5987, J5987), "")</f>
        <v/>
      </c>
    </row>
    <row r="5988">
      <c r="B5988" s="21">
        <f>IF(AND(C5988&lt;&gt;"", J5988&lt;&gt;""), HYPERLINK("#'" &amp; C5988 &amp; "'!" &amp; J5988, J5988), "")</f>
        <v/>
      </c>
    </row>
    <row r="5989">
      <c r="B5989" s="21">
        <f>IF(AND(C5989&lt;&gt;"", J5989&lt;&gt;""), HYPERLINK("#'" &amp; C5989 &amp; "'!" &amp; J5989, J5989), "")</f>
        <v/>
      </c>
    </row>
    <row r="5990">
      <c r="B5990" s="21">
        <f>IF(AND(C5990&lt;&gt;"", J5990&lt;&gt;""), HYPERLINK("#'" &amp; C5990 &amp; "'!" &amp; J5990, J5990), "")</f>
        <v/>
      </c>
    </row>
    <row r="5991">
      <c r="B5991" s="21">
        <f>IF(AND(C5991&lt;&gt;"", J5991&lt;&gt;""), HYPERLINK("#'" &amp; C5991 &amp; "'!" &amp; J5991, J5991), "")</f>
        <v/>
      </c>
    </row>
    <row r="5992">
      <c r="B5992" s="21">
        <f>IF(AND(C5992&lt;&gt;"", J5992&lt;&gt;""), HYPERLINK("#'" &amp; C5992 &amp; "'!" &amp; J5992, J5992), "")</f>
        <v/>
      </c>
    </row>
    <row r="5993">
      <c r="B5993" s="21">
        <f>IF(AND(C5993&lt;&gt;"", J5993&lt;&gt;""), HYPERLINK("#'" &amp; C5993 &amp; "'!" &amp; J5993, J5993), "")</f>
        <v/>
      </c>
    </row>
    <row r="5994">
      <c r="B5994" s="21">
        <f>IF(AND(C5994&lt;&gt;"", J5994&lt;&gt;""), HYPERLINK("#'" &amp; C5994 &amp; "'!" &amp; J5994, J5994), "")</f>
        <v/>
      </c>
    </row>
    <row r="5995">
      <c r="B5995" s="21">
        <f>IF(AND(C5995&lt;&gt;"", J5995&lt;&gt;""), HYPERLINK("#'" &amp; C5995 &amp; "'!" &amp; J5995, J5995), "")</f>
        <v/>
      </c>
    </row>
    <row r="5996">
      <c r="B5996" s="21">
        <f>IF(AND(C5996&lt;&gt;"", J5996&lt;&gt;""), HYPERLINK("#'" &amp; C5996 &amp; "'!" &amp; J5996, J5996), "")</f>
        <v/>
      </c>
    </row>
    <row r="5997">
      <c r="B5997" s="21">
        <f>IF(AND(C5997&lt;&gt;"", J5997&lt;&gt;""), HYPERLINK("#'" &amp; C5997 &amp; "'!" &amp; J5997, J5997), "")</f>
        <v/>
      </c>
    </row>
    <row r="5998">
      <c r="B5998" s="21">
        <f>IF(AND(C5998&lt;&gt;"", J5998&lt;&gt;""), HYPERLINK("#'" &amp; C5998 &amp; "'!" &amp; J5998, J5998), "")</f>
        <v/>
      </c>
    </row>
    <row r="5999">
      <c r="B5999" s="21">
        <f>IF(AND(C5999&lt;&gt;"", J5999&lt;&gt;""), HYPERLINK("#'" &amp; C5999 &amp; "'!" &amp; J5999, J5999), "")</f>
        <v/>
      </c>
    </row>
    <row r="6000">
      <c r="B6000" s="21">
        <f>IF(AND(C6000&lt;&gt;"", J6000&lt;&gt;""), HYPERLINK("#'" &amp; C6000 &amp; "'!" &amp; J6000, J6000), "")</f>
        <v/>
      </c>
    </row>
    <row r="6001">
      <c r="B6001" s="21">
        <f>IF(AND(C6001&lt;&gt;"", J6001&lt;&gt;""), HYPERLINK("#'" &amp; C6001 &amp; "'!" &amp; J6001, J6001), "")</f>
        <v/>
      </c>
    </row>
    <row r="6002">
      <c r="B6002" s="21">
        <f>IF(AND(C6002&lt;&gt;"", J6002&lt;&gt;""), HYPERLINK("#'" &amp; C6002 &amp; "'!" &amp; J6002, J6002), "")</f>
        <v/>
      </c>
    </row>
  </sheetData>
  <sheetProtection selectLockedCells="0" selectUnlockedCells="0" sheet="1" objects="1" insertRows="1" insertHyperlinks="1" autoFilter="0" scenarios="1" formatColumns="0" deleteColumns="1" insertColumns="1" pivotTables="1" deleteRows="1" formatCells="1" formatRows="0" sort="0" password="F6B0"/>
  <autoFilter ref="A2:H2"/>
  <mergeCells count="1">
    <mergeCell ref="A1:H1"/>
  </mergeCells>
  <conditionalFormatting sqref="A3:A65001">
    <cfRule type="cellIs" priority="1" operator="equal" dxfId="9">
      <formula>"Error"</formula>
    </cfRule>
    <cfRule type="cellIs" priority="2" operator="equal" dxfId="10">
      <formula>"Warning"</formula>
    </cfRule>
    <cfRule type="cellIs" priority="3" operator="equal" dxfId="11">
      <formula>"Required"</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K908"/>
  <sheetViews>
    <sheetView workbookViewId="0">
      <selection activeCell="A1" sqref="A1"/>
    </sheetView>
  </sheetViews>
  <sheetFormatPr baseColWidth="8" defaultRowHeight="15"/>
  <sheetData>
    <row r="1">
      <c r="A1" t="inlineStr">
        <is>
          <t>{"brand_catalog_id": 1, "previous_upload_id": null, "template_type": "DEFAULT_QUESTIONS", "supplier_id": 455634, "template_context": "STANDARD", "app_version": "v2", "product_count": 0, "default_answers_included": true, "default_answers_supported": true, "use_legacy_excel_format": false, "include_variant_grouping": true, "download_template_request_id": "60a3a202-b692-44e4-ba02-96f72434bb32", "sheet_metadata": null}</t>
        </is>
      </c>
      <c r="C1">
        <f>_xlfn.INFO("release")</f>
        <v/>
      </c>
    </row>
    <row r="2">
      <c r="C2">
        <f>_xlfn.INFO("system")</f>
        <v/>
      </c>
    </row>
    <row r="3">
      <c r="C3">
        <f t="array" ref="C3">IF(ISERROR(_xlfn.MAP(A8:A8,_xlfn.LAMBDA(_xlpm.class,_xlpm.class&lt;&gt;""))), "Not Available", "Supported")</f>
        <v/>
      </c>
    </row>
    <row r="8">
      <c r="A8" t="inlineStr">
        <is>
          <t>Carts &amp; Stands</t>
        </is>
      </c>
      <c r="B8" t="inlineStr">
        <is>
          <t>AV Cart</t>
        </is>
      </c>
      <c r="C8" t="inlineStr">
        <is>
          <t>No</t>
        </is>
      </c>
      <c r="D8" t="inlineStr">
        <is>
          <t>No</t>
        </is>
      </c>
      <c r="E8" t="inlineStr">
        <is>
          <t>No</t>
        </is>
      </c>
      <c r="F8" t="inlineStr">
        <is>
          <t>Yes</t>
        </is>
      </c>
      <c r="G8" t="inlineStr">
        <is>
          <t>Yes</t>
        </is>
      </c>
      <c r="H8" t="inlineStr">
        <is>
          <t>No</t>
        </is>
      </c>
      <c r="I8" t="inlineStr">
        <is>
          <t>Lithium Metal</t>
        </is>
      </c>
      <c r="J8" t="inlineStr">
        <is>
          <t>Cell</t>
        </is>
      </c>
      <c r="K8" t="inlineStr">
        <is>
          <t>1</t>
        </is>
      </c>
      <c r="L8" t="inlineStr">
        <is>
          <t>Stand alone</t>
        </is>
      </c>
      <c r="M8" t="inlineStr">
        <is>
          <t>Cells exceeding 5 grams</t>
        </is>
      </c>
      <c r="N8" t="inlineStr">
        <is>
          <t>Cells of between 20w/h and 60w/h</t>
        </is>
      </c>
      <c r="O8" t="inlineStr">
        <is>
          <t>2.5kg or less</t>
        </is>
      </c>
      <c r="P8" t="inlineStr">
        <is>
          <t>Yes</t>
        </is>
      </c>
      <c r="Q8" t="inlineStr">
        <is>
          <t>Yes</t>
        </is>
      </c>
      <c r="R8" t="inlineStr">
        <is>
          <t>Yes</t>
        </is>
      </c>
      <c r="S8" t="inlineStr">
        <is>
          <t>Free Standing</t>
        </is>
      </c>
      <c r="T8" t="inlineStr">
        <is>
          <t>Yes</t>
        </is>
      </c>
      <c r="U8" t="inlineStr">
        <is>
          <t>Yes</t>
        </is>
      </c>
      <c r="V8" t="inlineStr">
        <is>
          <t>Yes</t>
        </is>
      </c>
      <c r="W8" t="inlineStr">
        <is>
          <t>Yes</t>
        </is>
      </c>
      <c r="X8" t="inlineStr">
        <is>
          <t>Yes</t>
        </is>
      </c>
      <c r="Y8" t="inlineStr">
        <is>
          <t>Yes</t>
        </is>
      </c>
      <c r="Z8" t="inlineStr">
        <is>
          <t>Yes</t>
        </is>
      </c>
      <c r="AA8" t="inlineStr">
        <is>
          <t>Yes</t>
        </is>
      </c>
      <c r="AB8" t="inlineStr">
        <is>
          <t>Yes</t>
        </is>
      </c>
      <c r="AC8" t="inlineStr">
        <is>
          <t>Yes</t>
        </is>
      </c>
      <c r="AD8" t="inlineStr">
        <is>
          <t>Yes</t>
        </is>
      </c>
      <c r="AE8" t="inlineStr">
        <is>
          <t>1</t>
        </is>
      </c>
      <c r="AF8" t="inlineStr">
        <is>
          <t>I</t>
        </is>
      </c>
      <c r="AG8" t="inlineStr">
        <is>
          <t>&gt;0 - ≤25ml</t>
        </is>
      </c>
      <c r="AH8" t="inlineStr">
        <is>
          <t>Yes</t>
        </is>
      </c>
      <c r="AI8" t="inlineStr">
        <is>
          <t>No</t>
        </is>
      </c>
      <c r="AJ8" t="inlineStr">
        <is>
          <t>1A</t>
        </is>
      </c>
      <c r="AK8" t="inlineStr">
        <is>
          <t>Yes</t>
        </is>
      </c>
      <c r="AL8" t="inlineStr">
        <is>
          <t>Yes</t>
        </is>
      </c>
      <c r="AM8" t="inlineStr">
        <is>
          <t>30 Days</t>
        </is>
      </c>
      <c r="AN8" t="inlineStr">
        <is>
          <t>Yes</t>
        </is>
      </c>
      <c r="AO8" t="inlineStr">
        <is>
          <t>Yes</t>
        </is>
      </c>
      <c r="AQ8" t="inlineStr">
        <is>
          <t>US</t>
        </is>
      </c>
      <c r="AR8" t="inlineStr">
        <is>
          <t>Arabic</t>
        </is>
      </c>
      <c r="AS8" t="inlineStr">
        <is>
          <t>Yes</t>
        </is>
      </c>
      <c r="AT8" t="inlineStr">
        <is>
          <t>A-alpha-C (2-Amino-9H-pyrido[2,3-b]indole)</t>
        </is>
      </c>
      <c r="AU8" t="inlineStr">
        <is>
          <t>United States</t>
        </is>
      </c>
      <c r="AV8" t="inlineStr">
        <is>
          <t>Small Parcel</t>
        </is>
      </c>
      <c r="AW8" t="inlineStr">
        <is>
          <t>50</t>
        </is>
      </c>
      <c r="AX8" t="inlineStr">
        <is>
          <t>0</t>
        </is>
      </c>
      <c r="AY8" t="inlineStr">
        <is>
          <t>0</t>
        </is>
      </c>
      <c r="AZ8" t="inlineStr">
        <is>
          <t>Yes</t>
        </is>
      </c>
      <c r="BA8" t="inlineStr">
        <is>
          <t>Yes</t>
        </is>
      </c>
      <c r="BB8" t="inlineStr">
        <is>
          <t>Primary Variant</t>
        </is>
      </c>
      <c r="BC8" t="inlineStr">
        <is>
          <t>Color</t>
        </is>
      </c>
      <c r="BD8" t="inlineStr">
        <is>
          <t>Entertainment Center</t>
        </is>
      </c>
      <c r="BE8" t="inlineStr">
        <is>
          <t>Yes</t>
        </is>
      </c>
      <c r="BF8" t="inlineStr">
        <is>
          <t>Yes</t>
        </is>
      </c>
      <c r="BG8" t="inlineStr">
        <is>
          <t>No</t>
        </is>
      </c>
      <c r="BH8" t="inlineStr">
        <is>
          <t>Yes</t>
        </is>
      </c>
      <c r="BI8" t="inlineStr">
        <is>
          <t>Yes</t>
        </is>
      </c>
      <c r="BJ8" t="inlineStr">
        <is>
          <t>Yes</t>
        </is>
      </c>
      <c r="BK8" t="inlineStr">
        <is>
          <t>No</t>
        </is>
      </c>
      <c r="BL8" t="inlineStr">
        <is>
          <t>Yes</t>
        </is>
      </c>
      <c r="BM8" t="inlineStr">
        <is>
          <t>Yes</t>
        </is>
      </c>
      <c r="BN8" t="inlineStr">
        <is>
          <t>Yes</t>
        </is>
      </c>
      <c r="BO8" t="inlineStr">
        <is>
          <t>Yes</t>
        </is>
      </c>
      <c r="BP8" t="inlineStr">
        <is>
          <t>No</t>
        </is>
      </c>
      <c r="BQ8" t="inlineStr">
        <is>
          <t>Yes</t>
        </is>
      </c>
      <c r="BR8" t="inlineStr">
        <is>
          <t>No</t>
        </is>
      </c>
      <c r="BS8" t="inlineStr">
        <is>
          <t>No</t>
        </is>
      </c>
      <c r="BT8" t="inlineStr">
        <is>
          <t>No</t>
        </is>
      </c>
      <c r="BU8" t="inlineStr">
        <is>
          <t>Yes</t>
        </is>
      </c>
      <c r="BV8" t="inlineStr">
        <is>
          <t>No</t>
        </is>
      </c>
      <c r="BW8" t="inlineStr">
        <is>
          <t>No</t>
        </is>
      </c>
      <c r="BX8" t="inlineStr">
        <is>
          <t>Dovetail</t>
        </is>
      </c>
      <c r="BY8" t="inlineStr">
        <is>
          <t>Yes</t>
        </is>
      </c>
      <c r="BZ8" t="inlineStr">
        <is>
          <t>Lithium Metal</t>
        </is>
      </c>
      <c r="CA8" t="inlineStr">
        <is>
          <t>Cell</t>
        </is>
      </c>
      <c r="CB8" t="inlineStr">
        <is>
          <t>1</t>
        </is>
      </c>
      <c r="CC8" t="inlineStr">
        <is>
          <t>Stand alone</t>
        </is>
      </c>
      <c r="CD8" t="inlineStr">
        <is>
          <t>Cells exceeding 5 grams</t>
        </is>
      </c>
      <c r="CE8" t="inlineStr">
        <is>
          <t>Cells of between 20w/h and 60w/h</t>
        </is>
      </c>
      <c r="CF8" t="inlineStr">
        <is>
          <t>2.5kg or less</t>
        </is>
      </c>
      <c r="CG8" t="inlineStr">
        <is>
          <t>Yes</t>
        </is>
      </c>
      <c r="CH8" t="inlineStr">
        <is>
          <t>No</t>
        </is>
      </c>
      <c r="CI8" t="inlineStr">
        <is>
          <t>Yes</t>
        </is>
      </c>
      <c r="CJ8" t="inlineStr">
        <is>
          <t>Yes</t>
        </is>
      </c>
      <c r="CK8" t="inlineStr">
        <is>
          <t>Direct Vent</t>
        </is>
      </c>
      <c r="CL8" t="inlineStr">
        <is>
          <t>Yes</t>
        </is>
      </c>
      <c r="CM8" t="inlineStr">
        <is>
          <t>Yes</t>
        </is>
      </c>
      <c r="CN8" t="inlineStr">
        <is>
          <t>Yes</t>
        </is>
      </c>
      <c r="CO8" t="inlineStr">
        <is>
          <t>Yes</t>
        </is>
      </c>
      <c r="CP8" t="inlineStr">
        <is>
          <t>Yes</t>
        </is>
      </c>
      <c r="CQ8" t="inlineStr">
        <is>
          <t>Yes</t>
        </is>
      </c>
      <c r="CR8" t="inlineStr">
        <is>
          <t>Yes</t>
        </is>
      </c>
      <c r="CS8" t="inlineStr">
        <is>
          <t>Yes</t>
        </is>
      </c>
      <c r="CT8" t="inlineStr">
        <is>
          <t>Yes</t>
        </is>
      </c>
      <c r="CU8" t="inlineStr">
        <is>
          <t>Yes</t>
        </is>
      </c>
      <c r="CV8" t="inlineStr">
        <is>
          <t>Yes</t>
        </is>
      </c>
      <c r="CW8" t="inlineStr">
        <is>
          <t>1</t>
        </is>
      </c>
      <c r="CX8" t="inlineStr">
        <is>
          <t>I</t>
        </is>
      </c>
      <c r="CY8" t="inlineStr">
        <is>
          <t>&gt;0 - ≤25ml</t>
        </is>
      </c>
      <c r="CZ8" t="inlineStr">
        <is>
          <t>Yes</t>
        </is>
      </c>
      <c r="DA8" t="inlineStr">
        <is>
          <t>No</t>
        </is>
      </c>
      <c r="DB8" t="inlineStr">
        <is>
          <t>No</t>
        </is>
      </c>
      <c r="DC8" t="inlineStr">
        <is>
          <t>1A</t>
        </is>
      </c>
      <c r="DD8" t="inlineStr">
        <is>
          <t>Yes</t>
        </is>
      </c>
      <c r="DE8" t="inlineStr">
        <is>
          <t>BIFMA Accredited</t>
        </is>
      </c>
      <c r="DF8" t="inlineStr">
        <is>
          <t>28"</t>
        </is>
      </c>
      <c r="DG8" t="inlineStr">
        <is>
          <t>Yes</t>
        </is>
      </c>
      <c r="DH8" t="inlineStr">
        <is>
          <t>No Assembly Needed</t>
        </is>
      </c>
      <c r="DI8" t="inlineStr">
        <is>
          <t>30 Days</t>
        </is>
      </c>
      <c r="DJ8" t="inlineStr">
        <is>
          <t>Yes</t>
        </is>
      </c>
      <c r="DK8" t="inlineStr">
        <is>
          <t>Yes</t>
        </is>
      </c>
      <c r="DL8" t="inlineStr">
        <is>
          <t>Full</t>
        </is>
      </c>
      <c r="DM8" t="inlineStr">
        <is>
          <t>Color</t>
        </is>
      </c>
      <c r="DN8" t="inlineStr">
        <is>
          <t>Bankers Chair</t>
        </is>
      </c>
      <c r="DO8" t="inlineStr">
        <is>
          <t>Metal</t>
        </is>
      </c>
      <c r="DP8" t="inlineStr">
        <is>
          <t>Yes</t>
        </is>
      </c>
      <c r="DQ8" t="inlineStr">
        <is>
          <t>Yes</t>
        </is>
      </c>
      <c r="DR8" t="inlineStr">
        <is>
          <t>Yes</t>
        </is>
      </c>
      <c r="DS8" t="inlineStr">
        <is>
          <t>No</t>
        </is>
      </c>
      <c r="DT8" t="inlineStr">
        <is>
          <t>No</t>
        </is>
      </c>
      <c r="DU8" t="inlineStr">
        <is>
          <t>No</t>
        </is>
      </c>
      <c r="DV8" t="inlineStr">
        <is>
          <t>Yes</t>
        </is>
      </c>
      <c r="DW8" t="inlineStr">
        <is>
          <t>No</t>
        </is>
      </c>
      <c r="DX8" t="inlineStr">
        <is>
          <t>Yes</t>
        </is>
      </c>
      <c r="DY8" t="inlineStr">
        <is>
          <t>No</t>
        </is>
      </c>
      <c r="DZ8" t="inlineStr">
        <is>
          <t>No</t>
        </is>
      </c>
      <c r="EA8" t="inlineStr">
        <is>
          <t>No</t>
        </is>
      </c>
      <c r="EB8" t="inlineStr">
        <is>
          <t>Yes</t>
        </is>
      </c>
      <c r="EC8" t="inlineStr">
        <is>
          <t>No</t>
        </is>
      </c>
      <c r="ED8" t="inlineStr">
        <is>
          <t>No</t>
        </is>
      </c>
      <c r="EE8" t="inlineStr">
        <is>
          <t>No</t>
        </is>
      </c>
      <c r="EF8" t="inlineStr">
        <is>
          <t>No</t>
        </is>
      </c>
      <c r="EG8" t="inlineStr">
        <is>
          <t>Yes</t>
        </is>
      </c>
      <c r="EH8" t="inlineStr">
        <is>
          <t>No</t>
        </is>
      </c>
      <c r="EI8" t="inlineStr">
        <is>
          <t>Dovetail</t>
        </is>
      </c>
      <c r="EJ8" t="inlineStr">
        <is>
          <t>Yes</t>
        </is>
      </c>
      <c r="EK8" t="inlineStr">
        <is>
          <t>No</t>
        </is>
      </c>
      <c r="EL8" t="inlineStr">
        <is>
          <t>Lithium Metal</t>
        </is>
      </c>
      <c r="EM8" t="inlineStr">
        <is>
          <t>Cell</t>
        </is>
      </c>
      <c r="EN8" t="inlineStr">
        <is>
          <t>1</t>
        </is>
      </c>
      <c r="EO8" t="inlineStr">
        <is>
          <t>Stand alone</t>
        </is>
      </c>
      <c r="EP8" t="inlineStr">
        <is>
          <t>Cells exceeding 5 grams</t>
        </is>
      </c>
      <c r="EQ8" t="inlineStr">
        <is>
          <t>Cells of between 20w/h and 60w/h</t>
        </is>
      </c>
      <c r="ER8" t="inlineStr">
        <is>
          <t>2.5kg or less</t>
        </is>
      </c>
      <c r="ES8" t="inlineStr">
        <is>
          <t>Yes</t>
        </is>
      </c>
      <c r="ET8" t="inlineStr">
        <is>
          <t>Yes</t>
        </is>
      </c>
      <c r="EU8" t="inlineStr">
        <is>
          <t>Yes</t>
        </is>
      </c>
      <c r="EV8" t="inlineStr">
        <is>
          <t>No</t>
        </is>
      </c>
      <c r="EW8" t="inlineStr">
        <is>
          <t>No</t>
        </is>
      </c>
      <c r="EX8" t="inlineStr">
        <is>
          <t>Yes</t>
        </is>
      </c>
      <c r="EY8" t="inlineStr">
        <is>
          <t>Yes</t>
        </is>
      </c>
      <c r="EZ8" t="inlineStr">
        <is>
          <t>Less than 3,000</t>
        </is>
      </c>
      <c r="FA8" t="inlineStr">
        <is>
          <t>Yes</t>
        </is>
      </c>
      <c r="FB8" t="inlineStr">
        <is>
          <t>Yes</t>
        </is>
      </c>
      <c r="FC8" t="inlineStr">
        <is>
          <t>Yes</t>
        </is>
      </c>
      <c r="FD8" t="inlineStr">
        <is>
          <t>Yes</t>
        </is>
      </c>
      <c r="FE8" t="inlineStr">
        <is>
          <t>Yes</t>
        </is>
      </c>
      <c r="FF8" t="inlineStr">
        <is>
          <t>Yes</t>
        </is>
      </c>
      <c r="FG8" t="inlineStr">
        <is>
          <t>Yes</t>
        </is>
      </c>
      <c r="FH8" t="inlineStr">
        <is>
          <t>Yes</t>
        </is>
      </c>
      <c r="FI8" t="inlineStr">
        <is>
          <t>Yes</t>
        </is>
      </c>
      <c r="FJ8" t="inlineStr">
        <is>
          <t>Yes</t>
        </is>
      </c>
      <c r="FK8" t="inlineStr">
        <is>
          <t>Yes</t>
        </is>
      </c>
      <c r="FL8" t="inlineStr">
        <is>
          <t>Yes</t>
        </is>
      </c>
      <c r="FM8" t="inlineStr">
        <is>
          <t>Yes</t>
        </is>
      </c>
      <c r="FN8" t="inlineStr">
        <is>
          <t>Yes</t>
        </is>
      </c>
      <c r="FO8" t="inlineStr">
        <is>
          <t>1</t>
        </is>
      </c>
      <c r="FP8" t="inlineStr">
        <is>
          <t>I</t>
        </is>
      </c>
      <c r="FQ8" t="inlineStr">
        <is>
          <t>&gt;0 - ≤25ml</t>
        </is>
      </c>
      <c r="FR8" t="inlineStr">
        <is>
          <t>Yes</t>
        </is>
      </c>
      <c r="FS8" t="inlineStr">
        <is>
          <t>No</t>
        </is>
      </c>
      <c r="FT8" t="inlineStr">
        <is>
          <t>Yes</t>
        </is>
      </c>
      <c r="FU8" t="inlineStr">
        <is>
          <t>1A</t>
        </is>
      </c>
      <c r="FV8" t="inlineStr">
        <is>
          <t>Yes</t>
        </is>
      </c>
      <c r="FW8" t="inlineStr">
        <is>
          <t>Yes</t>
        </is>
      </c>
      <c r="FX8" t="inlineStr">
        <is>
          <t>BIFMA Accredited</t>
        </is>
      </c>
      <c r="FY8" t="inlineStr">
        <is>
          <t>Yes</t>
        </is>
      </c>
      <c r="FZ8" t="inlineStr">
        <is>
          <t>No Assembly Needed</t>
        </is>
      </c>
      <c r="GA8" t="inlineStr">
        <is>
          <t>30 Days</t>
        </is>
      </c>
      <c r="GB8" t="inlineStr">
        <is>
          <t>Yes</t>
        </is>
      </c>
      <c r="GC8" t="inlineStr">
        <is>
          <t>Yes</t>
        </is>
      </c>
      <c r="GD8" t="inlineStr">
        <is>
          <t>Full</t>
        </is>
      </c>
      <c r="GE8" t="inlineStr">
        <is>
          <t>Frame Color</t>
        </is>
      </c>
      <c r="GF8" t="inlineStr">
        <is>
          <t>Combo Dresser</t>
        </is>
      </c>
      <c r="GG8" t="inlineStr">
        <is>
          <t>Yes</t>
        </is>
      </c>
      <c r="GH8" t="inlineStr">
        <is>
          <t>No</t>
        </is>
      </c>
      <c r="GI8" t="inlineStr">
        <is>
          <t>No</t>
        </is>
      </c>
      <c r="GJ8" t="inlineStr">
        <is>
          <t>Yes</t>
        </is>
      </c>
      <c r="GK8" t="inlineStr">
        <is>
          <t>Yes</t>
        </is>
      </c>
      <c r="GL8" t="inlineStr">
        <is>
          <t>No</t>
        </is>
      </c>
      <c r="GM8" t="inlineStr">
        <is>
          <t>No</t>
        </is>
      </c>
      <c r="GN8" t="inlineStr">
        <is>
          <t>Metal</t>
        </is>
      </c>
      <c r="GO8" t="inlineStr">
        <is>
          <t>No</t>
        </is>
      </c>
      <c r="GP8" t="inlineStr">
        <is>
          <t>Dovetail</t>
        </is>
      </c>
      <c r="GQ8" t="inlineStr">
        <is>
          <t>Yes</t>
        </is>
      </c>
      <c r="GR8" t="inlineStr">
        <is>
          <t>Yes</t>
        </is>
      </c>
      <c r="GS8" t="inlineStr">
        <is>
          <t>Yes</t>
        </is>
      </c>
      <c r="GT8" t="inlineStr">
        <is>
          <t>Yes</t>
        </is>
      </c>
      <c r="GU8" t="inlineStr">
        <is>
          <t>Particle Board / Chipboard</t>
        </is>
      </c>
      <c r="GV8" t="inlineStr">
        <is>
          <t>Yes</t>
        </is>
      </c>
      <c r="GW8" t="inlineStr">
        <is>
          <t>Yes</t>
        </is>
      </c>
      <c r="GX8" t="inlineStr">
        <is>
          <t>Yes</t>
        </is>
      </c>
      <c r="GY8" t="inlineStr">
        <is>
          <t>Yes</t>
        </is>
      </c>
      <c r="GZ8" t="inlineStr">
        <is>
          <t>Yes</t>
        </is>
      </c>
      <c r="HA8" t="inlineStr">
        <is>
          <t>No</t>
        </is>
      </c>
      <c r="HB8" t="inlineStr">
        <is>
          <t>Yes</t>
        </is>
      </c>
      <c r="HC8" t="inlineStr">
        <is>
          <t>Yes</t>
        </is>
      </c>
      <c r="HD8" t="inlineStr">
        <is>
          <t>Yes</t>
        </is>
      </c>
      <c r="HE8" t="inlineStr">
        <is>
          <t>Yes</t>
        </is>
      </c>
      <c r="HF8" t="inlineStr">
        <is>
          <t>Yes</t>
        </is>
      </c>
      <c r="HG8" t="inlineStr">
        <is>
          <t>Yes</t>
        </is>
      </c>
      <c r="HH8" t="inlineStr">
        <is>
          <t>Yes</t>
        </is>
      </c>
      <c r="HI8" t="inlineStr">
        <is>
          <t>Yes</t>
        </is>
      </c>
      <c r="HJ8" t="inlineStr">
        <is>
          <t>Yes</t>
        </is>
      </c>
      <c r="HK8" t="inlineStr">
        <is>
          <t>Yes</t>
        </is>
      </c>
      <c r="HL8" t="inlineStr">
        <is>
          <t>No</t>
        </is>
      </c>
      <c r="HM8" t="inlineStr">
        <is>
          <t>1A</t>
        </is>
      </c>
      <c r="HN8" t="inlineStr">
        <is>
          <t>Yes</t>
        </is>
      </c>
      <c r="HO8" t="inlineStr">
        <is>
          <t>Yes</t>
        </is>
      </c>
      <c r="HP8" t="inlineStr">
        <is>
          <t>BIFMA Accredited</t>
        </is>
      </c>
      <c r="HQ8" t="inlineStr">
        <is>
          <t>Yes</t>
        </is>
      </c>
      <c r="HR8" t="inlineStr">
        <is>
          <t>No Assembly Needed</t>
        </is>
      </c>
      <c r="HS8" t="inlineStr">
        <is>
          <t>30 Days</t>
        </is>
      </c>
      <c r="HT8" t="inlineStr">
        <is>
          <t>Yes</t>
        </is>
      </c>
      <c r="HU8" t="inlineStr">
        <is>
          <t>Yes</t>
        </is>
      </c>
      <c r="HV8" t="inlineStr">
        <is>
          <t>Full</t>
        </is>
      </c>
      <c r="HW8" t="inlineStr">
        <is>
          <t>Color</t>
        </is>
      </c>
      <c r="HX8" t="inlineStr">
        <is>
          <t>Twin</t>
        </is>
      </c>
      <c r="HY8" t="inlineStr">
        <is>
          <t>Standard</t>
        </is>
      </c>
      <c r="HZ8" t="inlineStr">
        <is>
          <t>Yes</t>
        </is>
      </c>
      <c r="IA8" t="inlineStr">
        <is>
          <t>Yes</t>
        </is>
      </c>
      <c r="IB8" t="inlineStr">
        <is>
          <t>Bonded Leather</t>
        </is>
      </c>
      <c r="IC8" t="inlineStr">
        <is>
          <t>Yes</t>
        </is>
      </c>
      <c r="ID8" t="inlineStr">
        <is>
          <t>No</t>
        </is>
      </c>
      <c r="IE8" t="inlineStr">
        <is>
          <t>Yes</t>
        </is>
      </c>
      <c r="IF8" t="inlineStr">
        <is>
          <t>Yes</t>
        </is>
      </c>
      <c r="IG8" t="inlineStr">
        <is>
          <t>Yes</t>
        </is>
      </c>
      <c r="IH8" t="inlineStr">
        <is>
          <t>No</t>
        </is>
      </c>
      <c r="II8" t="inlineStr">
        <is>
          <t>Dovetail</t>
        </is>
      </c>
      <c r="IJ8" t="inlineStr">
        <is>
          <t>Yes</t>
        </is>
      </c>
      <c r="IK8" t="inlineStr">
        <is>
          <t>Cell</t>
        </is>
      </c>
      <c r="IL8" t="inlineStr">
        <is>
          <t>Lithium Metal</t>
        </is>
      </c>
      <c r="IM8" t="inlineStr">
        <is>
          <t>1</t>
        </is>
      </c>
      <c r="IN8" t="inlineStr">
        <is>
          <t>Stand alone</t>
        </is>
      </c>
      <c r="IO8" t="inlineStr">
        <is>
          <t>Cells exceeding 5 grams</t>
        </is>
      </c>
      <c r="IP8" t="inlineStr">
        <is>
          <t>Cells of between 20w/h and 60w/h</t>
        </is>
      </c>
      <c r="IQ8" t="inlineStr">
        <is>
          <t>2.5kg or less</t>
        </is>
      </c>
      <c r="IR8" t="inlineStr">
        <is>
          <t>Yes</t>
        </is>
      </c>
      <c r="IS8" t="inlineStr">
        <is>
          <t>Yes</t>
        </is>
      </c>
      <c r="IT8" t="inlineStr">
        <is>
          <t>No</t>
        </is>
      </c>
      <c r="IU8" t="inlineStr">
        <is>
          <t>Yes</t>
        </is>
      </c>
      <c r="IV8" t="inlineStr">
        <is>
          <t>Yes</t>
        </is>
      </c>
      <c r="IW8" t="inlineStr">
        <is>
          <t>Particle Board / Chipboard</t>
        </is>
      </c>
      <c r="IX8" t="inlineStr">
        <is>
          <t>No</t>
        </is>
      </c>
      <c r="IY8" t="inlineStr">
        <is>
          <t>Suede</t>
        </is>
      </c>
      <c r="IZ8" t="inlineStr">
        <is>
          <t>Chenille</t>
        </is>
      </c>
      <c r="JA8" t="inlineStr">
        <is>
          <t>Beveled</t>
        </is>
      </c>
      <c r="JB8" t="inlineStr">
        <is>
          <t>Yes</t>
        </is>
      </c>
      <c r="JC8" t="inlineStr">
        <is>
          <t>Yes</t>
        </is>
      </c>
      <c r="JD8" t="inlineStr">
        <is>
          <t>Yes</t>
        </is>
      </c>
      <c r="JE8" t="inlineStr">
        <is>
          <t>Yes</t>
        </is>
      </c>
      <c r="JF8" t="inlineStr">
        <is>
          <t>Yes</t>
        </is>
      </c>
      <c r="JG8" t="inlineStr">
        <is>
          <t>Yes</t>
        </is>
      </c>
      <c r="JH8" t="inlineStr">
        <is>
          <t>Yes</t>
        </is>
      </c>
      <c r="JI8" t="inlineStr">
        <is>
          <t>Yes</t>
        </is>
      </c>
      <c r="JJ8" t="inlineStr">
        <is>
          <t>Yes</t>
        </is>
      </c>
      <c r="JK8" t="inlineStr">
        <is>
          <t>Yes</t>
        </is>
      </c>
      <c r="JL8" t="inlineStr">
        <is>
          <t>Yes</t>
        </is>
      </c>
      <c r="JM8" t="inlineStr">
        <is>
          <t>Yes</t>
        </is>
      </c>
      <c r="JN8" t="inlineStr">
        <is>
          <t>Yes</t>
        </is>
      </c>
      <c r="JO8" t="inlineStr">
        <is>
          <t>Yes</t>
        </is>
      </c>
      <c r="JP8" t="inlineStr">
        <is>
          <t>Yes</t>
        </is>
      </c>
      <c r="JQ8" t="inlineStr">
        <is>
          <t>Yes</t>
        </is>
      </c>
      <c r="JR8" t="inlineStr">
        <is>
          <t>Yes</t>
        </is>
      </c>
      <c r="JS8" t="inlineStr">
        <is>
          <t>1</t>
        </is>
      </c>
      <c r="JT8" t="inlineStr">
        <is>
          <t>I</t>
        </is>
      </c>
      <c r="JU8" t="inlineStr">
        <is>
          <t>&gt;0 - ≤25ml</t>
        </is>
      </c>
      <c r="JV8" t="inlineStr">
        <is>
          <t>Yes</t>
        </is>
      </c>
      <c r="JW8" t="inlineStr">
        <is>
          <t>No</t>
        </is>
      </c>
      <c r="JX8" t="inlineStr">
        <is>
          <t>1A</t>
        </is>
      </c>
      <c r="JY8" t="inlineStr">
        <is>
          <t>Yes</t>
        </is>
      </c>
      <c r="JZ8" t="inlineStr">
        <is>
          <t>Yes</t>
        </is>
      </c>
      <c r="KA8" t="inlineStr">
        <is>
          <t>No</t>
        </is>
      </c>
      <c r="KB8" t="inlineStr">
        <is>
          <t>Yes</t>
        </is>
      </c>
      <c r="KC8" t="inlineStr">
        <is>
          <t>Yes</t>
        </is>
      </c>
      <c r="KD8" t="inlineStr">
        <is>
          <t>Yes</t>
        </is>
      </c>
      <c r="KE8" t="inlineStr">
        <is>
          <t>Yes</t>
        </is>
      </c>
      <c r="KF8" t="inlineStr">
        <is>
          <t>No Assembly Needed</t>
        </is>
      </c>
      <c r="KG8" t="inlineStr">
        <is>
          <t>30 Days</t>
        </is>
      </c>
      <c r="KH8" t="inlineStr">
        <is>
          <t>Yes</t>
        </is>
      </c>
      <c r="KI8" t="inlineStr">
        <is>
          <t>Yes</t>
        </is>
      </c>
      <c r="KJ8" t="inlineStr">
        <is>
          <t>Full</t>
        </is>
      </c>
      <c r="KK8" t="inlineStr">
        <is>
          <t>Size</t>
        </is>
      </c>
    </row>
    <row r="9">
      <c r="A9" t="inlineStr">
        <is>
          <t>Multimedia Storage</t>
        </is>
      </c>
      <c r="B9" t="inlineStr">
        <is>
          <t>Book Cart</t>
        </is>
      </c>
      <c r="C9" t="inlineStr">
        <is>
          <t>Yes</t>
        </is>
      </c>
      <c r="D9" t="inlineStr">
        <is>
          <t>Yes</t>
        </is>
      </c>
      <c r="E9" t="inlineStr">
        <is>
          <t>Yes</t>
        </is>
      </c>
      <c r="F9" t="inlineStr">
        <is>
          <t>No</t>
        </is>
      </c>
      <c r="G9" t="inlineStr">
        <is>
          <t>No</t>
        </is>
      </c>
      <c r="H9" t="inlineStr">
        <is>
          <t>Yes</t>
        </is>
      </c>
      <c r="I9" t="inlineStr">
        <is>
          <t>Lithium Ion / Lithium Polymer</t>
        </is>
      </c>
      <c r="J9" t="inlineStr">
        <is>
          <t>Battery</t>
        </is>
      </c>
      <c r="K9" t="inlineStr">
        <is>
          <t>2</t>
        </is>
      </c>
      <c r="L9" t="inlineStr">
        <is>
          <t>Contained in product</t>
        </is>
      </c>
      <c r="M9" t="inlineStr">
        <is>
          <t>Batteries of 2 grams or less</t>
        </is>
      </c>
      <c r="N9" t="inlineStr">
        <is>
          <t>Cells exceeding 60w/h</t>
        </is>
      </c>
      <c r="O9" t="inlineStr">
        <is>
          <t>2.5kg to 5kg</t>
        </is>
      </c>
      <c r="P9" t="inlineStr">
        <is>
          <t>No</t>
        </is>
      </c>
      <c r="Q9" t="inlineStr">
        <is>
          <t>No</t>
        </is>
      </c>
      <c r="R9" t="inlineStr">
        <is>
          <t>No</t>
        </is>
      </c>
      <c r="S9" t="inlineStr">
        <is>
          <t>Fixed</t>
        </is>
      </c>
      <c r="T9" t="inlineStr">
        <is>
          <t>No</t>
        </is>
      </c>
      <c r="U9" t="inlineStr">
        <is>
          <t>No</t>
        </is>
      </c>
      <c r="V9" t="inlineStr">
        <is>
          <t>No</t>
        </is>
      </c>
      <c r="W9" t="inlineStr">
        <is>
          <t>No</t>
        </is>
      </c>
      <c r="X9" t="inlineStr">
        <is>
          <t>No</t>
        </is>
      </c>
      <c r="Y9" t="inlineStr">
        <is>
          <t>No</t>
        </is>
      </c>
      <c r="Z9" t="inlineStr">
        <is>
          <t>No</t>
        </is>
      </c>
      <c r="AA9" t="inlineStr">
        <is>
          <t>No</t>
        </is>
      </c>
      <c r="AB9" t="inlineStr">
        <is>
          <t>No</t>
        </is>
      </c>
      <c r="AC9" t="inlineStr">
        <is>
          <t>No</t>
        </is>
      </c>
      <c r="AD9" t="inlineStr">
        <is>
          <t>No</t>
        </is>
      </c>
      <c r="AE9" t="inlineStr">
        <is>
          <t>2.2</t>
        </is>
      </c>
      <c r="AF9" t="inlineStr">
        <is>
          <t>III</t>
        </is>
      </c>
      <c r="AG9" t="inlineStr">
        <is>
          <t>&gt;1L - ≤5L</t>
        </is>
      </c>
      <c r="AH9" t="inlineStr">
        <is>
          <t>No</t>
        </is>
      </c>
      <c r="AI9" t="inlineStr">
        <is>
          <t>Yes</t>
        </is>
      </c>
      <c r="AJ9" t="inlineStr">
        <is>
          <t>3A or 6A</t>
        </is>
      </c>
      <c r="AK9" t="inlineStr">
        <is>
          <t>No</t>
        </is>
      </c>
      <c r="AL9" t="inlineStr">
        <is>
          <t>No</t>
        </is>
      </c>
      <c r="AM9" t="inlineStr">
        <is>
          <t>60 Days</t>
        </is>
      </c>
      <c r="AN9" t="inlineStr">
        <is>
          <t>No</t>
        </is>
      </c>
      <c r="AO9" t="inlineStr">
        <is>
          <t>No</t>
        </is>
      </c>
      <c r="AQ9" t="inlineStr">
        <is>
          <t>UK</t>
        </is>
      </c>
      <c r="AR9" t="inlineStr">
        <is>
          <t>Bulgarian</t>
        </is>
      </c>
      <c r="AS9" t="inlineStr">
        <is>
          <t>No</t>
        </is>
      </c>
      <c r="AT9" t="inlineStr">
        <is>
          <t>Abiraterone acetate</t>
        </is>
      </c>
      <c r="AU9" t="inlineStr">
        <is>
          <t>Canada</t>
        </is>
      </c>
      <c r="AV9" t="inlineStr">
        <is>
          <t>LTL</t>
        </is>
      </c>
      <c r="AW9" t="inlineStr">
        <is>
          <t>55</t>
        </is>
      </c>
      <c r="AX9" t="inlineStr">
        <is>
          <t>24</t>
        </is>
      </c>
      <c r="AY9" t="inlineStr">
        <is>
          <t>24</t>
        </is>
      </c>
      <c r="AZ9" t="inlineStr">
        <is>
          <t>No</t>
        </is>
      </c>
      <c r="BA9" t="inlineStr">
        <is>
          <t>No</t>
        </is>
      </c>
      <c r="BB9" t="inlineStr">
        <is>
          <t>Non-Primary Variant</t>
        </is>
      </c>
      <c r="BC9" t="inlineStr">
        <is>
          <t>Finish</t>
        </is>
      </c>
      <c r="BD9" t="inlineStr">
        <is>
          <t>TV Stand</t>
        </is>
      </c>
      <c r="BE9" t="inlineStr">
        <is>
          <t>No</t>
        </is>
      </c>
      <c r="BF9" t="inlineStr">
        <is>
          <t>No</t>
        </is>
      </c>
      <c r="BG9" t="inlineStr">
        <is>
          <t>Yes</t>
        </is>
      </c>
      <c r="BH9" t="inlineStr">
        <is>
          <t>No</t>
        </is>
      </c>
      <c r="BI9" t="inlineStr">
        <is>
          <t>No</t>
        </is>
      </c>
      <c r="BJ9" t="inlineStr">
        <is>
          <t>No</t>
        </is>
      </c>
      <c r="BK9" t="inlineStr">
        <is>
          <t>Yes</t>
        </is>
      </c>
      <c r="BL9" t="inlineStr">
        <is>
          <t>No</t>
        </is>
      </c>
      <c r="BM9" t="inlineStr">
        <is>
          <t>No</t>
        </is>
      </c>
      <c r="BN9" t="inlineStr">
        <is>
          <t>No</t>
        </is>
      </c>
      <c r="BO9" t="inlineStr">
        <is>
          <t>No</t>
        </is>
      </c>
      <c r="BP9" t="inlineStr">
        <is>
          <t>Yes</t>
        </is>
      </c>
      <c r="BQ9" t="inlineStr">
        <is>
          <t>No</t>
        </is>
      </c>
      <c r="BR9" t="inlineStr">
        <is>
          <t>Yes</t>
        </is>
      </c>
      <c r="BS9" t="inlineStr">
        <is>
          <t>Yes</t>
        </is>
      </c>
      <c r="BT9" t="inlineStr">
        <is>
          <t>Yes</t>
        </is>
      </c>
      <c r="BU9" t="inlineStr">
        <is>
          <t>No</t>
        </is>
      </c>
      <c r="BV9" t="inlineStr">
        <is>
          <t>Yes</t>
        </is>
      </c>
      <c r="BW9" t="inlineStr">
        <is>
          <t>Yes</t>
        </is>
      </c>
      <c r="BX9" t="inlineStr">
        <is>
          <t>Mortise and Tenon</t>
        </is>
      </c>
      <c r="BY9" t="inlineStr">
        <is>
          <t>No</t>
        </is>
      </c>
      <c r="BZ9" t="inlineStr">
        <is>
          <t>Lithium Ion / Lithium Polymer</t>
        </is>
      </c>
      <c r="CA9" t="inlineStr">
        <is>
          <t>Battery</t>
        </is>
      </c>
      <c r="CB9" t="inlineStr">
        <is>
          <t>2</t>
        </is>
      </c>
      <c r="CC9" t="inlineStr">
        <is>
          <t>Contained in product</t>
        </is>
      </c>
      <c r="CD9" t="inlineStr">
        <is>
          <t>Batteries of 2 grams or less</t>
        </is>
      </c>
      <c r="CE9" t="inlineStr">
        <is>
          <t>Cells exceeding 60w/h</t>
        </is>
      </c>
      <c r="CF9" t="inlineStr">
        <is>
          <t>2.5kg to 5kg</t>
        </is>
      </c>
      <c r="CG9" t="inlineStr">
        <is>
          <t>No</t>
        </is>
      </c>
      <c r="CH9" t="inlineStr">
        <is>
          <t>Yes</t>
        </is>
      </c>
      <c r="CI9" t="inlineStr">
        <is>
          <t>No</t>
        </is>
      </c>
      <c r="CJ9" t="inlineStr">
        <is>
          <t>No</t>
        </is>
      </c>
      <c r="CK9" t="inlineStr">
        <is>
          <t>Natural Vent</t>
        </is>
      </c>
      <c r="CL9" t="inlineStr">
        <is>
          <t>No</t>
        </is>
      </c>
      <c r="CM9" t="inlineStr">
        <is>
          <t>No</t>
        </is>
      </c>
      <c r="CN9" t="inlineStr">
        <is>
          <t>No</t>
        </is>
      </c>
      <c r="CO9" t="inlineStr">
        <is>
          <t>No</t>
        </is>
      </c>
      <c r="CP9" t="inlineStr">
        <is>
          <t>No</t>
        </is>
      </c>
      <c r="CQ9" t="inlineStr">
        <is>
          <t>No</t>
        </is>
      </c>
      <c r="CR9" t="inlineStr">
        <is>
          <t>No</t>
        </is>
      </c>
      <c r="CS9" t="inlineStr">
        <is>
          <t>No</t>
        </is>
      </c>
      <c r="CT9" t="inlineStr">
        <is>
          <t>No</t>
        </is>
      </c>
      <c r="CU9" t="inlineStr">
        <is>
          <t>No</t>
        </is>
      </c>
      <c r="CV9" t="inlineStr">
        <is>
          <t>No</t>
        </is>
      </c>
      <c r="CW9" t="inlineStr">
        <is>
          <t>2.2</t>
        </is>
      </c>
      <c r="CX9" t="inlineStr">
        <is>
          <t>III</t>
        </is>
      </c>
      <c r="CY9" t="inlineStr">
        <is>
          <t>&gt;1L - ≤5L</t>
        </is>
      </c>
      <c r="CZ9" t="inlineStr">
        <is>
          <t>No</t>
        </is>
      </c>
      <c r="DA9" t="inlineStr">
        <is>
          <t>Yes</t>
        </is>
      </c>
      <c r="DB9" t="inlineStr">
        <is>
          <t>Yes</t>
        </is>
      </c>
      <c r="DC9" t="inlineStr">
        <is>
          <t>3A or 6A</t>
        </is>
      </c>
      <c r="DD9" t="inlineStr">
        <is>
          <t>No</t>
        </is>
      </c>
      <c r="DE9" t="inlineStr">
        <is>
          <t>BIFMA Equivalent</t>
        </is>
      </c>
      <c r="DF9" t="inlineStr">
        <is>
          <t>24"</t>
        </is>
      </c>
      <c r="DG9" t="inlineStr">
        <is>
          <t>No</t>
        </is>
      </c>
      <c r="DH9" t="inlineStr">
        <is>
          <t>Minimal Assembly Needed</t>
        </is>
      </c>
      <c r="DI9" t="inlineStr">
        <is>
          <t>60 Days</t>
        </is>
      </c>
      <c r="DJ9" t="inlineStr">
        <is>
          <t>No</t>
        </is>
      </c>
      <c r="DK9" t="inlineStr">
        <is>
          <t>No</t>
        </is>
      </c>
      <c r="DL9" t="inlineStr">
        <is>
          <t>Limited</t>
        </is>
      </c>
      <c r="DM9" t="inlineStr">
        <is>
          <t>Material</t>
        </is>
      </c>
      <c r="DN9" t="inlineStr">
        <is>
          <t>Conference Chair</t>
        </is>
      </c>
      <c r="DO9" t="inlineStr">
        <is>
          <t>Aluminum</t>
        </is>
      </c>
      <c r="DP9" t="inlineStr">
        <is>
          <t>No</t>
        </is>
      </c>
      <c r="DQ9" t="inlineStr">
        <is>
          <t>No</t>
        </is>
      </c>
      <c r="DR9" t="inlineStr">
        <is>
          <t>No</t>
        </is>
      </c>
      <c r="DS9" t="inlineStr">
        <is>
          <t>Yes</t>
        </is>
      </c>
      <c r="DT9" t="inlineStr">
        <is>
          <t>Yes</t>
        </is>
      </c>
      <c r="DU9" t="inlineStr">
        <is>
          <t>Yes</t>
        </is>
      </c>
      <c r="DV9" t="inlineStr">
        <is>
          <t>No</t>
        </is>
      </c>
      <c r="DW9" t="inlineStr">
        <is>
          <t>Yes</t>
        </is>
      </c>
      <c r="DX9" t="inlineStr">
        <is>
          <t>No</t>
        </is>
      </c>
      <c r="DY9" t="inlineStr">
        <is>
          <t>Yes</t>
        </is>
      </c>
      <c r="DZ9" t="inlineStr">
        <is>
          <t>Yes</t>
        </is>
      </c>
      <c r="EA9" t="inlineStr">
        <is>
          <t>Yes</t>
        </is>
      </c>
      <c r="EB9" t="inlineStr">
        <is>
          <t>No</t>
        </is>
      </c>
      <c r="EC9" t="inlineStr">
        <is>
          <t>Yes</t>
        </is>
      </c>
      <c r="ED9" t="inlineStr">
        <is>
          <t>Yes</t>
        </is>
      </c>
      <c r="EE9" t="inlineStr">
        <is>
          <t>Yes</t>
        </is>
      </c>
      <c r="EF9" t="inlineStr">
        <is>
          <t>Yes</t>
        </is>
      </c>
      <c r="EG9" t="inlineStr">
        <is>
          <t>No</t>
        </is>
      </c>
      <c r="EH9" t="inlineStr">
        <is>
          <t>Yes</t>
        </is>
      </c>
      <c r="EI9" t="inlineStr">
        <is>
          <t>Mortise and Tenon</t>
        </is>
      </c>
      <c r="EJ9" t="inlineStr">
        <is>
          <t>No</t>
        </is>
      </c>
      <c r="EK9" t="inlineStr">
        <is>
          <t>Yes</t>
        </is>
      </c>
      <c r="EL9" t="inlineStr">
        <is>
          <t>Lithium Ion / Lithium Polymer</t>
        </is>
      </c>
      <c r="EM9" t="inlineStr">
        <is>
          <t>Battery</t>
        </is>
      </c>
      <c r="EN9" t="inlineStr">
        <is>
          <t>2</t>
        </is>
      </c>
      <c r="EO9" t="inlineStr">
        <is>
          <t>Contained in product</t>
        </is>
      </c>
      <c r="EP9" t="inlineStr">
        <is>
          <t>Batteries of 2 grams or less</t>
        </is>
      </c>
      <c r="EQ9" t="inlineStr">
        <is>
          <t>Cells exceeding 60w/h</t>
        </is>
      </c>
      <c r="ER9" t="inlineStr">
        <is>
          <t>2.5kg to 5kg</t>
        </is>
      </c>
      <c r="ES9" t="inlineStr">
        <is>
          <t>No</t>
        </is>
      </c>
      <c r="ET9" t="inlineStr">
        <is>
          <t>No</t>
        </is>
      </c>
      <c r="EU9" t="inlineStr">
        <is>
          <t>No</t>
        </is>
      </c>
      <c r="EV9" t="inlineStr">
        <is>
          <t>Yes</t>
        </is>
      </c>
      <c r="EW9" t="inlineStr">
        <is>
          <t>Yes</t>
        </is>
      </c>
      <c r="EX9" t="inlineStr">
        <is>
          <t>No</t>
        </is>
      </c>
      <c r="EY9" t="inlineStr">
        <is>
          <t>No</t>
        </is>
      </c>
      <c r="EZ9" t="inlineStr">
        <is>
          <t>3,000-9,000</t>
        </is>
      </c>
      <c r="FA9" t="inlineStr">
        <is>
          <t>No</t>
        </is>
      </c>
      <c r="FB9" t="inlineStr">
        <is>
          <t>No</t>
        </is>
      </c>
      <c r="FC9" t="inlineStr">
        <is>
          <t>No</t>
        </is>
      </c>
      <c r="FD9" t="inlineStr">
        <is>
          <t>No</t>
        </is>
      </c>
      <c r="FE9" t="inlineStr">
        <is>
          <t>No</t>
        </is>
      </c>
      <c r="FF9" t="inlineStr">
        <is>
          <t>No</t>
        </is>
      </c>
      <c r="FG9" t="inlineStr">
        <is>
          <t>No</t>
        </is>
      </c>
      <c r="FH9" t="inlineStr">
        <is>
          <t>No</t>
        </is>
      </c>
      <c r="FI9" t="inlineStr">
        <is>
          <t>No</t>
        </is>
      </c>
      <c r="FJ9" t="inlineStr">
        <is>
          <t>No</t>
        </is>
      </c>
      <c r="FK9" t="inlineStr">
        <is>
          <t>No</t>
        </is>
      </c>
      <c r="FL9" t="inlineStr">
        <is>
          <t>No</t>
        </is>
      </c>
      <c r="FM9" t="inlineStr">
        <is>
          <t>No</t>
        </is>
      </c>
      <c r="FN9" t="inlineStr">
        <is>
          <t>No</t>
        </is>
      </c>
      <c r="FO9" t="inlineStr">
        <is>
          <t>2.2</t>
        </is>
      </c>
      <c r="FP9" t="inlineStr">
        <is>
          <t>III</t>
        </is>
      </c>
      <c r="FQ9" t="inlineStr">
        <is>
          <t>&gt;1L - ≤5L</t>
        </is>
      </c>
      <c r="FR9" t="inlineStr">
        <is>
          <t>No</t>
        </is>
      </c>
      <c r="FS9" t="inlineStr">
        <is>
          <t>Yes</t>
        </is>
      </c>
      <c r="FT9" t="inlineStr">
        <is>
          <t>No</t>
        </is>
      </c>
      <c r="FU9" t="inlineStr">
        <is>
          <t>3A or 6A</t>
        </is>
      </c>
      <c r="FV9" t="inlineStr">
        <is>
          <t>No</t>
        </is>
      </c>
      <c r="FW9" t="inlineStr">
        <is>
          <t>No</t>
        </is>
      </c>
      <c r="FX9" t="inlineStr">
        <is>
          <t>BIFMA Equivalent</t>
        </is>
      </c>
      <c r="FY9" t="inlineStr">
        <is>
          <t>No</t>
        </is>
      </c>
      <c r="FZ9" t="inlineStr">
        <is>
          <t>Minimal Assembly Needed</t>
        </is>
      </c>
      <c r="GA9" t="inlineStr">
        <is>
          <t>60 Days</t>
        </is>
      </c>
      <c r="GB9" t="inlineStr">
        <is>
          <t>No</t>
        </is>
      </c>
      <c r="GC9" t="inlineStr">
        <is>
          <t>No</t>
        </is>
      </c>
      <c r="GD9" t="inlineStr">
        <is>
          <t>Limited</t>
        </is>
      </c>
      <c r="GE9" t="inlineStr">
        <is>
          <t>Upholstery Color</t>
        </is>
      </c>
      <c r="GF9" t="inlineStr">
        <is>
          <t>Double Dresser</t>
        </is>
      </c>
      <c r="GG9" t="inlineStr">
        <is>
          <t>No</t>
        </is>
      </c>
      <c r="GH9" t="inlineStr">
        <is>
          <t>Yes</t>
        </is>
      </c>
      <c r="GI9" t="inlineStr">
        <is>
          <t>Yes</t>
        </is>
      </c>
      <c r="GJ9" t="inlineStr">
        <is>
          <t>No</t>
        </is>
      </c>
      <c r="GK9" t="inlineStr">
        <is>
          <t>No</t>
        </is>
      </c>
      <c r="GL9" t="inlineStr">
        <is>
          <t>Yes</t>
        </is>
      </c>
      <c r="GM9" t="inlineStr">
        <is>
          <t>Yes</t>
        </is>
      </c>
      <c r="GN9" t="inlineStr">
        <is>
          <t>Ceramic</t>
        </is>
      </c>
      <c r="GO9" t="inlineStr">
        <is>
          <t>Yes</t>
        </is>
      </c>
      <c r="GP9" t="inlineStr">
        <is>
          <t>Mortise and Tenon</t>
        </is>
      </c>
      <c r="GQ9" t="inlineStr">
        <is>
          <t>No</t>
        </is>
      </c>
      <c r="GR9" t="inlineStr">
        <is>
          <t>No</t>
        </is>
      </c>
      <c r="GS9" t="inlineStr">
        <is>
          <t>No</t>
        </is>
      </c>
      <c r="GT9" t="inlineStr">
        <is>
          <t>No</t>
        </is>
      </c>
      <c r="GU9" t="inlineStr">
        <is>
          <t>MDF</t>
        </is>
      </c>
      <c r="GV9" t="inlineStr">
        <is>
          <t>No</t>
        </is>
      </c>
      <c r="GW9" t="inlineStr">
        <is>
          <t>No</t>
        </is>
      </c>
      <c r="GX9" t="inlineStr">
        <is>
          <t>No</t>
        </is>
      </c>
      <c r="GY9" t="inlineStr">
        <is>
          <t>No</t>
        </is>
      </c>
      <c r="GZ9" t="inlineStr">
        <is>
          <t>No</t>
        </is>
      </c>
      <c r="HA9" t="inlineStr">
        <is>
          <t>Yes</t>
        </is>
      </c>
      <c r="HB9" t="inlineStr">
        <is>
          <t>No</t>
        </is>
      </c>
      <c r="HC9" t="inlineStr">
        <is>
          <t>No</t>
        </is>
      </c>
      <c r="HD9" t="inlineStr">
        <is>
          <t>No</t>
        </is>
      </c>
      <c r="HE9" t="inlineStr">
        <is>
          <t>No</t>
        </is>
      </c>
      <c r="HF9" t="inlineStr">
        <is>
          <t>No</t>
        </is>
      </c>
      <c r="HG9" t="inlineStr">
        <is>
          <t>No</t>
        </is>
      </c>
      <c r="HH9" t="inlineStr">
        <is>
          <t>No</t>
        </is>
      </c>
      <c r="HI9" t="inlineStr">
        <is>
          <t>No</t>
        </is>
      </c>
      <c r="HJ9" t="inlineStr">
        <is>
          <t>No</t>
        </is>
      </c>
      <c r="HK9" t="inlineStr">
        <is>
          <t>No</t>
        </is>
      </c>
      <c r="HL9" t="inlineStr">
        <is>
          <t>Yes</t>
        </is>
      </c>
      <c r="HM9" t="inlineStr">
        <is>
          <t>3A or 6A</t>
        </is>
      </c>
      <c r="HN9" t="inlineStr">
        <is>
          <t>No</t>
        </is>
      </c>
      <c r="HO9" t="inlineStr">
        <is>
          <t>No</t>
        </is>
      </c>
      <c r="HP9" t="inlineStr">
        <is>
          <t>BIFMA Equivalent</t>
        </is>
      </c>
      <c r="HQ9" t="inlineStr">
        <is>
          <t>No</t>
        </is>
      </c>
      <c r="HR9" t="inlineStr">
        <is>
          <t>Minimal Assembly Needed</t>
        </is>
      </c>
      <c r="HS9" t="inlineStr">
        <is>
          <t>60 Days</t>
        </is>
      </c>
      <c r="HT9" t="inlineStr">
        <is>
          <t>No</t>
        </is>
      </c>
      <c r="HU9" t="inlineStr">
        <is>
          <t>No</t>
        </is>
      </c>
      <c r="HV9" t="inlineStr">
        <is>
          <t>Limited</t>
        </is>
      </c>
      <c r="HX9" t="inlineStr">
        <is>
          <t>Extra-long Twin</t>
        </is>
      </c>
      <c r="HY9" t="inlineStr">
        <is>
          <t>Canopy</t>
        </is>
      </c>
      <c r="HZ9" t="inlineStr">
        <is>
          <t>No</t>
        </is>
      </c>
      <c r="IA9" t="inlineStr">
        <is>
          <t>No</t>
        </is>
      </c>
      <c r="IB9" t="inlineStr">
        <is>
          <t>PU</t>
        </is>
      </c>
      <c r="IC9" t="inlineStr">
        <is>
          <t>No</t>
        </is>
      </c>
      <c r="ID9" t="inlineStr">
        <is>
          <t>Yes</t>
        </is>
      </c>
      <c r="IE9" t="inlineStr">
        <is>
          <t>No</t>
        </is>
      </c>
      <c r="IF9" t="inlineStr">
        <is>
          <t>No</t>
        </is>
      </c>
      <c r="IG9" t="inlineStr">
        <is>
          <t>No</t>
        </is>
      </c>
      <c r="IH9" t="inlineStr">
        <is>
          <t>Yes</t>
        </is>
      </c>
      <c r="II9" t="inlineStr">
        <is>
          <t>Mortise and Tenon</t>
        </is>
      </c>
      <c r="IJ9" t="inlineStr">
        <is>
          <t>No</t>
        </is>
      </c>
      <c r="IK9" t="inlineStr">
        <is>
          <t>Battery</t>
        </is>
      </c>
      <c r="IL9" t="inlineStr">
        <is>
          <t>Lithium Ion / Lithium Polymer</t>
        </is>
      </c>
      <c r="IM9" t="inlineStr">
        <is>
          <t>2</t>
        </is>
      </c>
      <c r="IN9" t="inlineStr">
        <is>
          <t>Contained in product</t>
        </is>
      </c>
      <c r="IO9" t="inlineStr">
        <is>
          <t>Batteries of 2 grams or less</t>
        </is>
      </c>
      <c r="IP9" t="inlineStr">
        <is>
          <t>Cells exceeding 60w/h</t>
        </is>
      </c>
      <c r="IQ9" t="inlineStr">
        <is>
          <t>2.5kg to 5kg</t>
        </is>
      </c>
      <c r="IR9" t="inlineStr">
        <is>
          <t>No</t>
        </is>
      </c>
      <c r="IS9" t="inlineStr">
        <is>
          <t>No</t>
        </is>
      </c>
      <c r="IT9" t="inlineStr">
        <is>
          <t>Yes</t>
        </is>
      </c>
      <c r="IU9" t="inlineStr">
        <is>
          <t>No</t>
        </is>
      </c>
      <c r="IV9" t="inlineStr">
        <is>
          <t>No</t>
        </is>
      </c>
      <c r="IW9" t="inlineStr">
        <is>
          <t>MDF</t>
        </is>
      </c>
      <c r="IX9" t="inlineStr">
        <is>
          <t>Yes</t>
        </is>
      </c>
      <c r="IY9" t="inlineStr">
        <is>
          <t>Leather Match</t>
        </is>
      </c>
      <c r="IZ9" t="inlineStr">
        <is>
          <t>Velvet</t>
        </is>
      </c>
      <c r="JA9" t="inlineStr">
        <is>
          <t>Arched</t>
        </is>
      </c>
      <c r="JB9" t="inlineStr">
        <is>
          <t>No</t>
        </is>
      </c>
      <c r="JC9" t="inlineStr">
        <is>
          <t>No</t>
        </is>
      </c>
      <c r="JD9" t="inlineStr">
        <is>
          <t>No</t>
        </is>
      </c>
      <c r="JE9" t="inlineStr">
        <is>
          <t>No</t>
        </is>
      </c>
      <c r="JF9" t="inlineStr">
        <is>
          <t>No</t>
        </is>
      </c>
      <c r="JG9" t="inlineStr">
        <is>
          <t>No</t>
        </is>
      </c>
      <c r="JH9" t="inlineStr">
        <is>
          <t>No</t>
        </is>
      </c>
      <c r="JI9" t="inlineStr">
        <is>
          <t>No</t>
        </is>
      </c>
      <c r="JJ9" t="inlineStr">
        <is>
          <t>No</t>
        </is>
      </c>
      <c r="JK9" t="inlineStr">
        <is>
          <t>No</t>
        </is>
      </c>
      <c r="JL9" t="inlineStr">
        <is>
          <t>No</t>
        </is>
      </c>
      <c r="JM9" t="inlineStr">
        <is>
          <t>No</t>
        </is>
      </c>
      <c r="JN9" t="inlineStr">
        <is>
          <t>No</t>
        </is>
      </c>
      <c r="JO9" t="inlineStr">
        <is>
          <t>No</t>
        </is>
      </c>
      <c r="JP9" t="inlineStr">
        <is>
          <t>No</t>
        </is>
      </c>
      <c r="JQ9" t="inlineStr">
        <is>
          <t>No</t>
        </is>
      </c>
      <c r="JR9" t="inlineStr">
        <is>
          <t>No</t>
        </is>
      </c>
      <c r="JS9" t="inlineStr">
        <is>
          <t>2.2</t>
        </is>
      </c>
      <c r="JT9" t="inlineStr">
        <is>
          <t>III</t>
        </is>
      </c>
      <c r="JU9" t="inlineStr">
        <is>
          <t>&gt;1L - ≤5L</t>
        </is>
      </c>
      <c r="JV9" t="inlineStr">
        <is>
          <t>No</t>
        </is>
      </c>
      <c r="JW9" t="inlineStr">
        <is>
          <t>Yes</t>
        </is>
      </c>
      <c r="JX9" t="inlineStr">
        <is>
          <t>3A or 6A</t>
        </is>
      </c>
      <c r="JY9" t="inlineStr">
        <is>
          <t>No</t>
        </is>
      </c>
      <c r="JZ9" t="inlineStr">
        <is>
          <t>No</t>
        </is>
      </c>
      <c r="KA9" t="inlineStr">
        <is>
          <t>Yes</t>
        </is>
      </c>
      <c r="KB9" t="inlineStr">
        <is>
          <t>No</t>
        </is>
      </c>
      <c r="KC9" t="inlineStr">
        <is>
          <t>No</t>
        </is>
      </c>
      <c r="KD9" t="inlineStr">
        <is>
          <t>No</t>
        </is>
      </c>
      <c r="KE9" t="inlineStr">
        <is>
          <t>No</t>
        </is>
      </c>
      <c r="KF9" t="inlineStr">
        <is>
          <t>Minimal Assembly Needed</t>
        </is>
      </c>
      <c r="KG9" t="inlineStr">
        <is>
          <t>60 Days</t>
        </is>
      </c>
      <c r="KH9" t="inlineStr">
        <is>
          <t>No</t>
        </is>
      </c>
      <c r="KI9" t="inlineStr">
        <is>
          <t>No</t>
        </is>
      </c>
      <c r="KJ9" t="inlineStr">
        <is>
          <t>Limited</t>
        </is>
      </c>
      <c r="KK9" t="inlineStr">
        <is>
          <t>Color</t>
        </is>
      </c>
    </row>
    <row r="10">
      <c r="A10" t="inlineStr">
        <is>
          <t>Speaker Stands</t>
        </is>
      </c>
      <c r="B10" t="inlineStr">
        <is>
          <t>CPU Holder</t>
        </is>
      </c>
      <c r="C10" t="inlineStr">
        <is>
          <t>Does Not Apply</t>
        </is>
      </c>
      <c r="D10" t="inlineStr">
        <is>
          <t>Unavailable</t>
        </is>
      </c>
      <c r="G10" t="inlineStr">
        <is>
          <t>Unavailable</t>
        </is>
      </c>
      <c r="I10" t="inlineStr">
        <is>
          <t>Nickel Cadmium</t>
        </is>
      </c>
      <c r="J10" t="inlineStr">
        <is>
          <t>Button Cell</t>
        </is>
      </c>
      <c r="K10" t="inlineStr">
        <is>
          <t>3</t>
        </is>
      </c>
      <c r="L10" t="inlineStr">
        <is>
          <t>Packed with product</t>
        </is>
      </c>
      <c r="M10" t="inlineStr">
        <is>
          <t>Batteries of between 2 and 25 grams</t>
        </is>
      </c>
      <c r="N10" t="inlineStr">
        <is>
          <t>Cells of 20w/h or less</t>
        </is>
      </c>
      <c r="O10" t="inlineStr">
        <is>
          <t>More than 10kg</t>
        </is>
      </c>
      <c r="P10" t="inlineStr">
        <is>
          <t>Unavailable</t>
        </is>
      </c>
      <c r="Q10" t="inlineStr">
        <is>
          <t>Unavailable</t>
        </is>
      </c>
      <c r="R10" t="inlineStr">
        <is>
          <t>Does Not Apply</t>
        </is>
      </c>
      <c r="S10" t="inlineStr">
        <is>
          <t>Wall Mounted</t>
        </is>
      </c>
      <c r="T10" t="inlineStr">
        <is>
          <t>Unavailable</t>
        </is>
      </c>
      <c r="U10" t="inlineStr">
        <is>
          <t>Yes, Compliance Verified Program Member</t>
        </is>
      </c>
      <c r="V10" t="inlineStr">
        <is>
          <t>Does Not Apply</t>
        </is>
      </c>
      <c r="W10" t="inlineStr">
        <is>
          <t>Yes, Compliance Verified Program Member</t>
        </is>
      </c>
      <c r="X10" t="inlineStr">
        <is>
          <t>Yes, Compliance Verified Program Member</t>
        </is>
      </c>
      <c r="Y10" t="inlineStr">
        <is>
          <t>Yes, Compliance Verified Program Member</t>
        </is>
      </c>
      <c r="Z10" t="inlineStr">
        <is>
          <t>Does Not Apply</t>
        </is>
      </c>
      <c r="AA10" t="inlineStr">
        <is>
          <t>Yes, Compliance Verified Program Member</t>
        </is>
      </c>
      <c r="AC10" t="inlineStr">
        <is>
          <t>Yes, Compliance Verified Program Member</t>
        </is>
      </c>
      <c r="AD10" t="inlineStr">
        <is>
          <t>Yes, Compliance Verified Program Member</t>
        </is>
      </c>
      <c r="AE10" t="inlineStr">
        <is>
          <t>2.1</t>
        </is>
      </c>
      <c r="AF10" t="inlineStr">
        <is>
          <t>No Packing Group</t>
        </is>
      </c>
      <c r="AG10" t="inlineStr">
        <is>
          <t>&gt;0.5L - ≤1L</t>
        </is>
      </c>
      <c r="AI10" t="inlineStr">
        <is>
          <t>Yes, Compliance Verified Program Member</t>
        </is>
      </c>
      <c r="AJ10" t="inlineStr">
        <is>
          <t>Does Not Apply</t>
        </is>
      </c>
      <c r="AK10" t="inlineStr">
        <is>
          <t>Does Not Apply</t>
        </is>
      </c>
      <c r="AM10" t="inlineStr">
        <is>
          <t>90 Days</t>
        </is>
      </c>
      <c r="AN10" t="inlineStr">
        <is>
          <t>Does Not Apply</t>
        </is>
      </c>
      <c r="AQ10" t="inlineStr">
        <is>
          <t>EU</t>
        </is>
      </c>
      <c r="AR10" t="inlineStr">
        <is>
          <t>Czech (Czech Republic)</t>
        </is>
      </c>
      <c r="AT10" t="inlineStr">
        <is>
          <t>Acetaldehyde</t>
        </is>
      </c>
      <c r="AU10" t="inlineStr">
        <is>
          <t>Afghanistan</t>
        </is>
      </c>
      <c r="AW10" t="inlineStr">
        <is>
          <t>60</t>
        </is>
      </c>
      <c r="AX10" t="inlineStr">
        <is>
          <t>48</t>
        </is>
      </c>
      <c r="AY10" t="inlineStr">
        <is>
          <t>48</t>
        </is>
      </c>
      <c r="BB10" t="inlineStr">
        <is>
          <t>Not Variant</t>
        </is>
      </c>
      <c r="BC10" t="inlineStr">
        <is>
          <t>Assembly</t>
        </is>
      </c>
      <c r="BE10" t="inlineStr">
        <is>
          <t>Unavailable</t>
        </is>
      </c>
      <c r="BH10" t="inlineStr">
        <is>
          <t>Does Not Apply</t>
        </is>
      </c>
      <c r="BJ10" t="inlineStr">
        <is>
          <t>Unavailable</t>
        </is>
      </c>
      <c r="BK10" t="inlineStr">
        <is>
          <t>Unavailable</t>
        </is>
      </c>
      <c r="BL10" t="inlineStr">
        <is>
          <t>Unavailable</t>
        </is>
      </c>
      <c r="BM10" t="inlineStr">
        <is>
          <t>Does Not Apply</t>
        </is>
      </c>
      <c r="BN10" t="inlineStr">
        <is>
          <t>Unavailable</t>
        </is>
      </c>
      <c r="BO10" t="inlineStr">
        <is>
          <t>Unavailable</t>
        </is>
      </c>
      <c r="BP10" t="inlineStr">
        <is>
          <t>Unavailable</t>
        </is>
      </c>
      <c r="BQ10" t="inlineStr">
        <is>
          <t>Unavailable</t>
        </is>
      </c>
      <c r="BV10" t="inlineStr">
        <is>
          <t>Unavailable</t>
        </is>
      </c>
      <c r="BW10" t="inlineStr">
        <is>
          <t>Does Not Apply</t>
        </is>
      </c>
      <c r="BX10" t="inlineStr">
        <is>
          <t>Rabbet Joint</t>
        </is>
      </c>
      <c r="BY10" t="inlineStr">
        <is>
          <t>Unavailable</t>
        </is>
      </c>
      <c r="BZ10" t="inlineStr">
        <is>
          <t>Nickel Cadmium</t>
        </is>
      </c>
      <c r="CA10" t="inlineStr">
        <is>
          <t>Button Cell</t>
        </is>
      </c>
      <c r="CB10" t="inlineStr">
        <is>
          <t>3</t>
        </is>
      </c>
      <c r="CC10" t="inlineStr">
        <is>
          <t>Packed with product</t>
        </is>
      </c>
      <c r="CD10" t="inlineStr">
        <is>
          <t>Batteries of between 2 and 25 grams</t>
        </is>
      </c>
      <c r="CE10" t="inlineStr">
        <is>
          <t>Cells of 20w/h or less</t>
        </is>
      </c>
      <c r="CF10" t="inlineStr">
        <is>
          <t>More than 10kg</t>
        </is>
      </c>
      <c r="CG10" t="inlineStr">
        <is>
          <t>Unavailable</t>
        </is>
      </c>
      <c r="CH10" t="inlineStr">
        <is>
          <t>Unavailable</t>
        </is>
      </c>
      <c r="CI10" t="inlineStr">
        <is>
          <t>Does Not Apply</t>
        </is>
      </c>
      <c r="CJ10" t="inlineStr">
        <is>
          <t>Unavailable</t>
        </is>
      </c>
      <c r="CK10" t="inlineStr">
        <is>
          <t>Vent Free</t>
        </is>
      </c>
      <c r="CL10" t="inlineStr">
        <is>
          <t>Unavailable</t>
        </is>
      </c>
      <c r="CM10" t="inlineStr">
        <is>
          <t>Unavailable</t>
        </is>
      </c>
      <c r="CN10" t="inlineStr">
        <is>
          <t>Unavailable</t>
        </is>
      </c>
      <c r="CO10" t="inlineStr">
        <is>
          <t>Does Not Apply</t>
        </is>
      </c>
      <c r="CP10" t="inlineStr">
        <is>
          <t>Does Not Apply</t>
        </is>
      </c>
      <c r="CQ10" t="inlineStr">
        <is>
          <t>Does Not Apply</t>
        </is>
      </c>
      <c r="CR10" t="inlineStr">
        <is>
          <t>Yes, Compliance Verified Program Member</t>
        </is>
      </c>
      <c r="CS10" t="inlineStr">
        <is>
          <t>Does Not Apply</t>
        </is>
      </c>
      <c r="CV10" t="inlineStr">
        <is>
          <t>Yes, Compliance Verified Program Member</t>
        </is>
      </c>
      <c r="CW10" t="inlineStr">
        <is>
          <t>2.1</t>
        </is>
      </c>
      <c r="CX10" t="inlineStr">
        <is>
          <t>No Packing Group</t>
        </is>
      </c>
      <c r="CY10" t="inlineStr">
        <is>
          <t>&gt;0.5L - ≤1L</t>
        </is>
      </c>
      <c r="DA10" t="inlineStr">
        <is>
          <t>Yes, Compliance Verified Program Member</t>
        </is>
      </c>
      <c r="DB10" t="inlineStr">
        <is>
          <t>Yes, Compliance Verified Program Member</t>
        </is>
      </c>
      <c r="DC10" t="inlineStr">
        <is>
          <t>Does Not Apply</t>
        </is>
      </c>
      <c r="DD10" t="inlineStr">
        <is>
          <t>Does Not Apply</t>
        </is>
      </c>
      <c r="DE10" t="inlineStr">
        <is>
          <t>Contract Grade Accredited</t>
        </is>
      </c>
      <c r="DF10" t="inlineStr">
        <is>
          <t>40"</t>
        </is>
      </c>
      <c r="DH10" t="inlineStr">
        <is>
          <t>Full Assembly Needed</t>
        </is>
      </c>
      <c r="DI10" t="inlineStr">
        <is>
          <t>90 Days</t>
        </is>
      </c>
      <c r="DJ10" t="inlineStr">
        <is>
          <t>Does Not Apply</t>
        </is>
      </c>
      <c r="DL10" t="inlineStr">
        <is>
          <t>Does Not Apply</t>
        </is>
      </c>
      <c r="DM10" t="inlineStr">
        <is>
          <t>Size</t>
        </is>
      </c>
      <c r="DN10" t="inlineStr">
        <is>
          <t>Drafting Chair</t>
        </is>
      </c>
      <c r="DO10" t="inlineStr">
        <is>
          <t>Solid Wood</t>
        </is>
      </c>
      <c r="DQ10" t="inlineStr">
        <is>
          <t>Unavailable</t>
        </is>
      </c>
      <c r="DR10" t="inlineStr">
        <is>
          <t>Unavailable</t>
        </is>
      </c>
      <c r="DS10" t="inlineStr">
        <is>
          <t>Unavailable</t>
        </is>
      </c>
      <c r="DV10" t="inlineStr">
        <is>
          <t>Unavailable</t>
        </is>
      </c>
      <c r="DW10" t="inlineStr">
        <is>
          <t>Unavailable</t>
        </is>
      </c>
      <c r="DX10" t="inlineStr">
        <is>
          <t>Unavailable</t>
        </is>
      </c>
      <c r="DY10" t="inlineStr">
        <is>
          <t>Unavailable</t>
        </is>
      </c>
      <c r="DZ10" t="inlineStr">
        <is>
          <t>Does Not Apply</t>
        </is>
      </c>
      <c r="EA10" t="inlineStr">
        <is>
          <t>Unavailable</t>
        </is>
      </c>
      <c r="EB10" t="inlineStr">
        <is>
          <t>Unavailable</t>
        </is>
      </c>
      <c r="EC10" t="inlineStr">
        <is>
          <t>Unavailable</t>
        </is>
      </c>
      <c r="ED10" t="inlineStr">
        <is>
          <t>Does Not Apply</t>
        </is>
      </c>
      <c r="EE10" t="inlineStr">
        <is>
          <t>Unavailable</t>
        </is>
      </c>
      <c r="EF10" t="inlineStr">
        <is>
          <t>Unavailable</t>
        </is>
      </c>
      <c r="EG10" t="inlineStr">
        <is>
          <t>Unavailable</t>
        </is>
      </c>
      <c r="EH10" t="inlineStr">
        <is>
          <t>Unavailable</t>
        </is>
      </c>
      <c r="EI10" t="inlineStr">
        <is>
          <t>Rabbet Joint</t>
        </is>
      </c>
      <c r="EJ10" t="inlineStr">
        <is>
          <t>Unavailable</t>
        </is>
      </c>
      <c r="EK10" t="inlineStr">
        <is>
          <t>Unavailable</t>
        </is>
      </c>
      <c r="EL10" t="inlineStr">
        <is>
          <t>Nickel Cadmium</t>
        </is>
      </c>
      <c r="EM10" t="inlineStr">
        <is>
          <t>Button Cell</t>
        </is>
      </c>
      <c r="EN10" t="inlineStr">
        <is>
          <t>3</t>
        </is>
      </c>
      <c r="EO10" t="inlineStr">
        <is>
          <t>Packed with product</t>
        </is>
      </c>
      <c r="EP10" t="inlineStr">
        <is>
          <t>Batteries of between 2 and 25 grams</t>
        </is>
      </c>
      <c r="EQ10" t="inlineStr">
        <is>
          <t>Cells of 20w/h or less</t>
        </is>
      </c>
      <c r="ER10" t="inlineStr">
        <is>
          <t>More than 10kg</t>
        </is>
      </c>
      <c r="ES10" t="inlineStr">
        <is>
          <t>Unavailable</t>
        </is>
      </c>
      <c r="ET10" t="inlineStr">
        <is>
          <t>Unavailable</t>
        </is>
      </c>
      <c r="EU10" t="inlineStr">
        <is>
          <t>Does Not Apply</t>
        </is>
      </c>
      <c r="EW10" t="inlineStr">
        <is>
          <t>Unavailable</t>
        </is>
      </c>
      <c r="EX10" t="inlineStr">
        <is>
          <t>Unavailable</t>
        </is>
      </c>
      <c r="EY10" t="inlineStr">
        <is>
          <t>Unavailable</t>
        </is>
      </c>
      <c r="EZ10" t="inlineStr">
        <is>
          <t>9,000-15,000</t>
        </is>
      </c>
      <c r="FA10" t="inlineStr">
        <is>
          <t>Yes, Compliance Verified Program Member</t>
        </is>
      </c>
      <c r="FB10" t="inlineStr">
        <is>
          <t>Yes, Compliance Verified Program Member</t>
        </is>
      </c>
      <c r="FC10" t="inlineStr">
        <is>
          <t>Yes, Compliance Verified Program Member</t>
        </is>
      </c>
      <c r="FD10" t="inlineStr">
        <is>
          <t>Yes, Compliance Verified Program Member</t>
        </is>
      </c>
      <c r="FE10" t="inlineStr">
        <is>
          <t>Does Not Apply</t>
        </is>
      </c>
      <c r="FF10" t="inlineStr">
        <is>
          <t>Does Not Apply</t>
        </is>
      </c>
      <c r="FH10" t="inlineStr">
        <is>
          <t>Yes, Compliance Verified Program Member</t>
        </is>
      </c>
      <c r="FI10" t="inlineStr">
        <is>
          <t>Yes, Compliance Verified Program Member</t>
        </is>
      </c>
      <c r="FJ10" t="inlineStr">
        <is>
          <t>Yes, Compliance Verified Program Member</t>
        </is>
      </c>
      <c r="FK10" t="inlineStr">
        <is>
          <t>Yes, Compliance Verified Program Member</t>
        </is>
      </c>
      <c r="FM10" t="inlineStr">
        <is>
          <t>Yes, Compliance Verified Program Member</t>
        </is>
      </c>
      <c r="FN10" t="inlineStr">
        <is>
          <t>Does Not Apply</t>
        </is>
      </c>
      <c r="FO10" t="inlineStr">
        <is>
          <t>2.1</t>
        </is>
      </c>
      <c r="FP10" t="inlineStr">
        <is>
          <t>No Packing Group</t>
        </is>
      </c>
      <c r="FQ10" t="inlineStr">
        <is>
          <t>&gt;0.5L - ≤1L</t>
        </is>
      </c>
      <c r="FS10" t="inlineStr">
        <is>
          <t>Yes, Compliance Verified Program Member</t>
        </is>
      </c>
      <c r="FT10" t="inlineStr">
        <is>
          <t>Yes, Compliance Verified Program Member</t>
        </is>
      </c>
      <c r="FU10" t="inlineStr">
        <is>
          <t>Does Not Apply</t>
        </is>
      </c>
      <c r="FV10" t="inlineStr">
        <is>
          <t>Yes, Compliance Verified Program Member</t>
        </is>
      </c>
      <c r="FW10" t="inlineStr">
        <is>
          <t>Does Not Apply</t>
        </is>
      </c>
      <c r="FX10" t="inlineStr">
        <is>
          <t>Contract Grade Accredited</t>
        </is>
      </c>
      <c r="FZ10" t="inlineStr">
        <is>
          <t>Full Assembly Needed</t>
        </is>
      </c>
      <c r="GA10" t="inlineStr">
        <is>
          <t>90 Days</t>
        </is>
      </c>
      <c r="GB10" t="inlineStr">
        <is>
          <t>Does Not Apply</t>
        </is>
      </c>
      <c r="GD10" t="inlineStr">
        <is>
          <t>Does Not Apply</t>
        </is>
      </c>
      <c r="GE10" t="inlineStr">
        <is>
          <t>Upholstery Material</t>
        </is>
      </c>
      <c r="GF10" t="inlineStr">
        <is>
          <t>Gentlemens Chest</t>
        </is>
      </c>
      <c r="GG10" t="inlineStr">
        <is>
          <t>Unavailable</t>
        </is>
      </c>
      <c r="GI10" t="inlineStr">
        <is>
          <t>Unavailable</t>
        </is>
      </c>
      <c r="GJ10" t="inlineStr">
        <is>
          <t>Unavailable</t>
        </is>
      </c>
      <c r="GN10" t="inlineStr">
        <is>
          <t>Plastic</t>
        </is>
      </c>
      <c r="GO10" t="inlineStr">
        <is>
          <t>Unavailable</t>
        </is>
      </c>
      <c r="GP10" t="inlineStr">
        <is>
          <t>Rabbet Joint</t>
        </is>
      </c>
      <c r="GQ10" t="inlineStr">
        <is>
          <t>Unavailable</t>
        </is>
      </c>
      <c r="GR10" t="inlineStr">
        <is>
          <t>Unavailable</t>
        </is>
      </c>
      <c r="GS10" t="inlineStr">
        <is>
          <t>Unavailable</t>
        </is>
      </c>
      <c r="GT10" t="inlineStr">
        <is>
          <t>Unavailable</t>
        </is>
      </c>
      <c r="GU10" t="inlineStr">
        <is>
          <t>Plywood / Laminate Board</t>
        </is>
      </c>
      <c r="GV10" t="inlineStr">
        <is>
          <t>Unavailable</t>
        </is>
      </c>
      <c r="GW10" t="inlineStr">
        <is>
          <t>Unavailable</t>
        </is>
      </c>
      <c r="GX10" t="inlineStr">
        <is>
          <t>Unavailable</t>
        </is>
      </c>
      <c r="GY10" t="inlineStr">
        <is>
          <t>Unavailable</t>
        </is>
      </c>
      <c r="HA10" t="inlineStr">
        <is>
          <t>Does Not Apply</t>
        </is>
      </c>
      <c r="HC10" t="inlineStr">
        <is>
          <t>Does Not Apply</t>
        </is>
      </c>
      <c r="HD10" t="inlineStr">
        <is>
          <t>Does Not Apply</t>
        </is>
      </c>
      <c r="HE10" t="inlineStr">
        <is>
          <t>Does Not Apply</t>
        </is>
      </c>
      <c r="HF10" t="inlineStr">
        <is>
          <t>Does Not Apply</t>
        </is>
      </c>
      <c r="HG10" t="inlineStr">
        <is>
          <t>Yes, Compliance Verified Program Member</t>
        </is>
      </c>
      <c r="HH10" t="inlineStr">
        <is>
          <t>Does Not Apply</t>
        </is>
      </c>
      <c r="HI10" t="inlineStr">
        <is>
          <t>Does Not Apply</t>
        </is>
      </c>
      <c r="HL10" t="inlineStr">
        <is>
          <t>Yes, Compliance Verified Program Member</t>
        </is>
      </c>
      <c r="HM10" t="inlineStr">
        <is>
          <t>Does Not Apply</t>
        </is>
      </c>
      <c r="HN10" t="inlineStr">
        <is>
          <t>Yes, Compliance Verified Program Member</t>
        </is>
      </c>
      <c r="HO10" t="inlineStr">
        <is>
          <t>Does Not Apply</t>
        </is>
      </c>
      <c r="HP10" t="inlineStr">
        <is>
          <t>Contract Grade Accredited</t>
        </is>
      </c>
      <c r="HR10" t="inlineStr">
        <is>
          <t>Full Assembly Needed</t>
        </is>
      </c>
      <c r="HS10" t="inlineStr">
        <is>
          <t>90 Days</t>
        </is>
      </c>
      <c r="HT10" t="inlineStr">
        <is>
          <t>Does Not Apply</t>
        </is>
      </c>
      <c r="HV10" t="inlineStr">
        <is>
          <t>Unavailable</t>
        </is>
      </c>
      <c r="HX10" t="inlineStr">
        <is>
          <t>Full / Double</t>
        </is>
      </c>
      <c r="HY10" t="inlineStr">
        <is>
          <t>Four Poster</t>
        </is>
      </c>
      <c r="HZ10" t="inlineStr">
        <is>
          <t>Unavailable</t>
        </is>
      </c>
      <c r="IB10" t="inlineStr">
        <is>
          <t>PVC</t>
        </is>
      </c>
      <c r="ID10" t="inlineStr">
        <is>
          <t>Unavailable</t>
        </is>
      </c>
      <c r="IE10" t="inlineStr">
        <is>
          <t>Unavailable</t>
        </is>
      </c>
      <c r="IG10" t="inlineStr">
        <is>
          <t>Unavailable</t>
        </is>
      </c>
      <c r="II10" t="inlineStr">
        <is>
          <t>Rabbet Joint</t>
        </is>
      </c>
      <c r="IJ10" t="inlineStr">
        <is>
          <t>Unavailable</t>
        </is>
      </c>
      <c r="IK10" t="inlineStr">
        <is>
          <t>Button Cell</t>
        </is>
      </c>
      <c r="IL10" t="inlineStr">
        <is>
          <t>Nickel Cadmium</t>
        </is>
      </c>
      <c r="IM10" t="inlineStr">
        <is>
          <t>3</t>
        </is>
      </c>
      <c r="IN10" t="inlineStr">
        <is>
          <t>Packed with product</t>
        </is>
      </c>
      <c r="IO10" t="inlineStr">
        <is>
          <t>Batteries of between 2 and 25 grams</t>
        </is>
      </c>
      <c r="IP10" t="inlineStr">
        <is>
          <t>Cells of 20w/h or less</t>
        </is>
      </c>
      <c r="IQ10" t="inlineStr">
        <is>
          <t>More than 10kg</t>
        </is>
      </c>
      <c r="IR10" t="inlineStr">
        <is>
          <t>Unavailable</t>
        </is>
      </c>
      <c r="IS10" t="inlineStr">
        <is>
          <t>Unavailable</t>
        </is>
      </c>
      <c r="IU10" t="inlineStr">
        <is>
          <t>Unavailable</t>
        </is>
      </c>
      <c r="IV10" t="inlineStr">
        <is>
          <t>Unavailable</t>
        </is>
      </c>
      <c r="IW10" t="inlineStr">
        <is>
          <t>Plywood / Laminate Board</t>
        </is>
      </c>
      <c r="IX10" t="inlineStr">
        <is>
          <t>Unavailable</t>
        </is>
      </c>
      <c r="IY10" t="inlineStr">
        <is>
          <t>Top Grain Leather</t>
        </is>
      </c>
      <c r="IZ10" t="inlineStr">
        <is>
          <t>Cord</t>
        </is>
      </c>
      <c r="JA10" t="inlineStr">
        <is>
          <t>Portman</t>
        </is>
      </c>
      <c r="JB10" t="inlineStr">
        <is>
          <t>Unavailable</t>
        </is>
      </c>
      <c r="JC10" t="inlineStr">
        <is>
          <t>Unavailable</t>
        </is>
      </c>
      <c r="JE10" t="inlineStr">
        <is>
          <t>Yes, Compliance Verified Program Member</t>
        </is>
      </c>
      <c r="JF10" t="inlineStr">
        <is>
          <t>Yes, Compliance Verified Program Member</t>
        </is>
      </c>
      <c r="JG10" t="inlineStr">
        <is>
          <t>Yes, Compliance Verified Program Member</t>
        </is>
      </c>
      <c r="JH10" t="inlineStr">
        <is>
          <t>Does Not Apply</t>
        </is>
      </c>
      <c r="JI10" t="inlineStr">
        <is>
          <t>Yes, Compliance Verified Program Member</t>
        </is>
      </c>
      <c r="JJ10" t="inlineStr">
        <is>
          <t>Yes, Compliance Verified Program Member</t>
        </is>
      </c>
      <c r="JK10" t="inlineStr">
        <is>
          <t>Yes, Compliance Verified Program Member</t>
        </is>
      </c>
      <c r="JL10" t="inlineStr">
        <is>
          <t>Yes, Compliance Verified Program Member</t>
        </is>
      </c>
      <c r="JN10" t="inlineStr">
        <is>
          <t>Yes, Compliance Verified Program Member</t>
        </is>
      </c>
      <c r="JO10" t="inlineStr">
        <is>
          <t>Yes, Compliance Verified Program Member</t>
        </is>
      </c>
      <c r="JP10" t="inlineStr">
        <is>
          <t>Does Not Apply</t>
        </is>
      </c>
      <c r="JQ10" t="inlineStr">
        <is>
          <t>Yes, Compliance Verified Program Member</t>
        </is>
      </c>
      <c r="JR10" t="inlineStr">
        <is>
          <t>Yes, Compliance Verified Program Member</t>
        </is>
      </c>
      <c r="JS10" t="inlineStr">
        <is>
          <t>2.1</t>
        </is>
      </c>
      <c r="JT10" t="inlineStr">
        <is>
          <t>No Packing Group</t>
        </is>
      </c>
      <c r="JU10" t="inlineStr">
        <is>
          <t>&gt;0.5L - ≤1L</t>
        </is>
      </c>
      <c r="JW10" t="inlineStr">
        <is>
          <t>Yes, Compliance Verified Program Member</t>
        </is>
      </c>
      <c r="JX10" t="inlineStr">
        <is>
          <t>Does Not Apply</t>
        </is>
      </c>
      <c r="JY10" t="inlineStr">
        <is>
          <t>Yes, Compliance Verified Program Member</t>
        </is>
      </c>
      <c r="JZ10" t="inlineStr">
        <is>
          <t>Yes, Compliance Verified Program Member</t>
        </is>
      </c>
      <c r="KA10" t="inlineStr">
        <is>
          <t>Yes, Compliance Verified Program Member</t>
        </is>
      </c>
      <c r="KB10" t="inlineStr">
        <is>
          <t>Yes, Compliance Verified Program Member</t>
        </is>
      </c>
      <c r="KC10" t="inlineStr">
        <is>
          <t>Does Not Apply</t>
        </is>
      </c>
      <c r="KD10" t="inlineStr">
        <is>
          <t>Yes, Compliance Verified Program Member</t>
        </is>
      </c>
      <c r="KF10" t="inlineStr">
        <is>
          <t>Full Assembly Needed</t>
        </is>
      </c>
      <c r="KG10" t="inlineStr">
        <is>
          <t>90 Days</t>
        </is>
      </c>
      <c r="KH10" t="inlineStr">
        <is>
          <t>Does Not Apply</t>
        </is>
      </c>
      <c r="KJ10" t="inlineStr">
        <is>
          <t>Does Not Apply</t>
        </is>
      </c>
      <c r="KK10" t="inlineStr">
        <is>
          <t>Frame Material</t>
        </is>
      </c>
    </row>
    <row r="11">
      <c r="A11" t="inlineStr">
        <is>
          <t>TV Stands &amp; Entertainment Centers</t>
        </is>
      </c>
      <c r="B11" t="inlineStr">
        <is>
          <t>File Cart</t>
        </is>
      </c>
      <c r="I11" t="inlineStr">
        <is>
          <t>Nickel Metal Hydride</t>
        </is>
      </c>
      <c r="J11" t="inlineStr">
        <is>
          <t>Does Not Apply</t>
        </is>
      </c>
      <c r="K11" t="inlineStr">
        <is>
          <t>6</t>
        </is>
      </c>
      <c r="L11" t="inlineStr">
        <is>
          <t>Does Not Apply</t>
        </is>
      </c>
      <c r="M11" t="inlineStr">
        <is>
          <t>Cells of 1gram or less</t>
        </is>
      </c>
      <c r="N11" t="inlineStr">
        <is>
          <t>Batteries exceeding 300w/h</t>
        </is>
      </c>
      <c r="O11" t="inlineStr">
        <is>
          <t>5kg to 10kg</t>
        </is>
      </c>
      <c r="Q11" t="inlineStr">
        <is>
          <t>Does Not Apply</t>
        </is>
      </c>
      <c r="S11" t="inlineStr">
        <is>
          <t>Tilt</t>
        </is>
      </c>
      <c r="W11" t="inlineStr">
        <is>
          <t>Does Not Apply</t>
        </is>
      </c>
      <c r="X11" t="inlineStr">
        <is>
          <t>Does Not Apply</t>
        </is>
      </c>
      <c r="Y11" t="inlineStr">
        <is>
          <t>Does Not Apply</t>
        </is>
      </c>
      <c r="AC11" t="inlineStr">
        <is>
          <t>Does Not Apply</t>
        </is>
      </c>
      <c r="AD11" t="inlineStr">
        <is>
          <t>Does Not Apply</t>
        </is>
      </c>
      <c r="AE11" t="inlineStr">
        <is>
          <t>7</t>
        </is>
      </c>
      <c r="AF11" t="inlineStr">
        <is>
          <t>II</t>
        </is>
      </c>
      <c r="AG11" t="inlineStr">
        <is>
          <t>&gt;0 - ≤100g</t>
        </is>
      </c>
      <c r="AI11" t="inlineStr">
        <is>
          <t>Unavailable</t>
        </is>
      </c>
      <c r="AM11" t="inlineStr">
        <is>
          <t>6 Months</t>
        </is>
      </c>
      <c r="AQ11" t="inlineStr">
        <is>
          <t>CA</t>
        </is>
      </c>
      <c r="AR11" t="inlineStr">
        <is>
          <t>Danish</t>
        </is>
      </c>
      <c r="AT11" t="inlineStr">
        <is>
          <t>Acetamide</t>
        </is>
      </c>
      <c r="AU11" t="inlineStr">
        <is>
          <t>Åland Islands</t>
        </is>
      </c>
      <c r="AW11" t="inlineStr">
        <is>
          <t>65</t>
        </is>
      </c>
      <c r="AX11" t="inlineStr">
        <is>
          <t>72</t>
        </is>
      </c>
      <c r="AY11" t="inlineStr">
        <is>
          <t>72</t>
        </is>
      </c>
      <c r="BX11" t="inlineStr">
        <is>
          <t>Basic Butt</t>
        </is>
      </c>
      <c r="BY11" t="inlineStr">
        <is>
          <t>Does Not Apply</t>
        </is>
      </c>
      <c r="BZ11" t="inlineStr">
        <is>
          <t>Nickel Metal Hydride</t>
        </is>
      </c>
      <c r="CA11" t="inlineStr">
        <is>
          <t>Does Not Apply</t>
        </is>
      </c>
      <c r="CB11" t="inlineStr">
        <is>
          <t>6</t>
        </is>
      </c>
      <c r="CC11" t="inlineStr">
        <is>
          <t>Does Not Apply</t>
        </is>
      </c>
      <c r="CD11" t="inlineStr">
        <is>
          <t>Cells of 1gram or less</t>
        </is>
      </c>
      <c r="CE11" t="inlineStr">
        <is>
          <t>Batteries exceeding 300w/h</t>
        </is>
      </c>
      <c r="CF11" t="inlineStr">
        <is>
          <t>5kg to 10kg</t>
        </is>
      </c>
      <c r="CH11" t="inlineStr">
        <is>
          <t>Does Not Apply</t>
        </is>
      </c>
      <c r="CK11" t="inlineStr">
        <is>
          <t>External</t>
        </is>
      </c>
      <c r="CL11" t="inlineStr">
        <is>
          <t>Does Not Apply</t>
        </is>
      </c>
      <c r="CM11" t="inlineStr">
        <is>
          <t>Does Not Apply</t>
        </is>
      </c>
      <c r="CN11" t="inlineStr">
        <is>
          <t>Does Not Apply</t>
        </is>
      </c>
      <c r="CR11" t="inlineStr">
        <is>
          <t>Does Not Apply</t>
        </is>
      </c>
      <c r="CV11" t="inlineStr">
        <is>
          <t>Does Not Apply</t>
        </is>
      </c>
      <c r="CW11" t="inlineStr">
        <is>
          <t>7</t>
        </is>
      </c>
      <c r="CX11" t="inlineStr">
        <is>
          <t>II</t>
        </is>
      </c>
      <c r="CY11" t="inlineStr">
        <is>
          <t>&gt;0 - ≤100g</t>
        </is>
      </c>
      <c r="DA11" t="inlineStr">
        <is>
          <t>Unavailable</t>
        </is>
      </c>
      <c r="DB11" t="inlineStr">
        <is>
          <t>Does Not Apply</t>
        </is>
      </c>
      <c r="DE11" t="inlineStr">
        <is>
          <t>Unavailable</t>
        </is>
      </c>
      <c r="DF11" t="inlineStr">
        <is>
          <t>32"</t>
        </is>
      </c>
      <c r="DH11" t="inlineStr">
        <is>
          <t>Does Not Apply</t>
        </is>
      </c>
      <c r="DI11" t="inlineStr">
        <is>
          <t>6 Months</t>
        </is>
      </c>
      <c r="DM11" t="inlineStr">
        <is>
          <t>Fireplace Included</t>
        </is>
      </c>
      <c r="DN11" t="inlineStr">
        <is>
          <t>Executive Chair</t>
        </is>
      </c>
      <c r="DO11" t="inlineStr">
        <is>
          <t>Composite</t>
        </is>
      </c>
      <c r="DV11" t="inlineStr">
        <is>
          <t>Does Not Apply</t>
        </is>
      </c>
      <c r="DX11" t="inlineStr">
        <is>
          <t>Does Not Apply</t>
        </is>
      </c>
      <c r="EH11" t="inlineStr">
        <is>
          <t>Does Not Apply</t>
        </is>
      </c>
      <c r="EI11" t="inlineStr">
        <is>
          <t>Basic Butt</t>
        </is>
      </c>
      <c r="EJ11" t="inlineStr">
        <is>
          <t>Does Not Apply</t>
        </is>
      </c>
      <c r="EK11" t="inlineStr">
        <is>
          <t>Does Not Apply</t>
        </is>
      </c>
      <c r="EL11" t="inlineStr">
        <is>
          <t>Nickel Metal Hydride</t>
        </is>
      </c>
      <c r="EM11" t="inlineStr">
        <is>
          <t>Does Not Apply</t>
        </is>
      </c>
      <c r="EN11" t="inlineStr">
        <is>
          <t>6</t>
        </is>
      </c>
      <c r="EO11" t="inlineStr">
        <is>
          <t>Does Not Apply</t>
        </is>
      </c>
      <c r="EP11" t="inlineStr">
        <is>
          <t>Cells of 1gram or less</t>
        </is>
      </c>
      <c r="EQ11" t="inlineStr">
        <is>
          <t>Batteries exceeding 300w/h</t>
        </is>
      </c>
      <c r="ER11" t="inlineStr">
        <is>
          <t>5kg to 10kg</t>
        </is>
      </c>
      <c r="EW11" t="inlineStr">
        <is>
          <t>Does Not Apply</t>
        </is>
      </c>
      <c r="EX11" t="inlineStr">
        <is>
          <t>Does Not Apply</t>
        </is>
      </c>
      <c r="EY11" t="inlineStr">
        <is>
          <t>Does Not Apply</t>
        </is>
      </c>
      <c r="EZ11" t="inlineStr">
        <is>
          <t>Not Tested</t>
        </is>
      </c>
      <c r="FB11" t="inlineStr">
        <is>
          <t>Does Not Apply</t>
        </is>
      </c>
      <c r="FC11" t="inlineStr">
        <is>
          <t>Does Not Apply</t>
        </is>
      </c>
      <c r="FD11" t="inlineStr">
        <is>
          <t>Does Not Apply</t>
        </is>
      </c>
      <c r="FH11" t="inlineStr">
        <is>
          <t>Unavailable</t>
        </is>
      </c>
      <c r="FI11" t="inlineStr">
        <is>
          <t>Unavailable</t>
        </is>
      </c>
      <c r="FJ11" t="inlineStr">
        <is>
          <t>Does Not Apply</t>
        </is>
      </c>
      <c r="FM11" t="inlineStr">
        <is>
          <t>Does Not Apply</t>
        </is>
      </c>
      <c r="FO11" t="inlineStr">
        <is>
          <t>7</t>
        </is>
      </c>
      <c r="FP11" t="inlineStr">
        <is>
          <t>II</t>
        </is>
      </c>
      <c r="FQ11" t="inlineStr">
        <is>
          <t>&gt;0 - ≤100g</t>
        </is>
      </c>
      <c r="FS11" t="inlineStr">
        <is>
          <t>Unavailable</t>
        </is>
      </c>
      <c r="FT11" t="inlineStr">
        <is>
          <t>Does Not Apply</t>
        </is>
      </c>
      <c r="FV11" t="inlineStr">
        <is>
          <t>Does Not Apply</t>
        </is>
      </c>
      <c r="FX11" t="inlineStr">
        <is>
          <t>Unavailable</t>
        </is>
      </c>
      <c r="FZ11" t="inlineStr">
        <is>
          <t>Does Not Apply</t>
        </is>
      </c>
      <c r="GA11" t="inlineStr">
        <is>
          <t>6 Months</t>
        </is>
      </c>
      <c r="GE11" t="inlineStr">
        <is>
          <t>Leather Type</t>
        </is>
      </c>
      <c r="GF11" t="inlineStr">
        <is>
          <t>Lingerie Chest / Semainier</t>
        </is>
      </c>
      <c r="GI11" t="inlineStr">
        <is>
          <t>Does Not Apply</t>
        </is>
      </c>
      <c r="GN11" t="inlineStr">
        <is>
          <t>Wood</t>
        </is>
      </c>
      <c r="GO11" t="inlineStr">
        <is>
          <t>Does Not Apply</t>
        </is>
      </c>
      <c r="GP11" t="inlineStr">
        <is>
          <t>Basic Butt</t>
        </is>
      </c>
      <c r="GQ11" t="inlineStr">
        <is>
          <t>Does Not Apply</t>
        </is>
      </c>
      <c r="GR11" t="inlineStr">
        <is>
          <t>Does Not Apply</t>
        </is>
      </c>
      <c r="GT11" t="inlineStr">
        <is>
          <t>Does Not Apply</t>
        </is>
      </c>
      <c r="GU11" t="inlineStr">
        <is>
          <t>Unavailable</t>
        </is>
      </c>
      <c r="GW11" t="inlineStr">
        <is>
          <t>Does Not Apply</t>
        </is>
      </c>
      <c r="GX11" t="inlineStr">
        <is>
          <t>Does Not Apply</t>
        </is>
      </c>
      <c r="GY11" t="inlineStr">
        <is>
          <t>Does Not Apply</t>
        </is>
      </c>
      <c r="HG11" t="inlineStr">
        <is>
          <t>Does Not Apply</t>
        </is>
      </c>
      <c r="HN11" t="inlineStr">
        <is>
          <t>Does Not Apply</t>
        </is>
      </c>
      <c r="HP11" t="inlineStr">
        <is>
          <t>Unavailable</t>
        </is>
      </c>
      <c r="HR11" t="inlineStr">
        <is>
          <t>Does Not Apply</t>
        </is>
      </c>
      <c r="HS11" t="inlineStr">
        <is>
          <t>6 Months</t>
        </is>
      </c>
      <c r="HV11" t="inlineStr">
        <is>
          <t>Does Not Apply</t>
        </is>
      </c>
      <c r="HX11" t="inlineStr">
        <is>
          <t>Queen</t>
        </is>
      </c>
      <c r="HY11" t="inlineStr">
        <is>
          <t>Sleigh</t>
        </is>
      </c>
      <c r="HZ11" t="inlineStr">
        <is>
          <t>Does Not Apply</t>
        </is>
      </c>
      <c r="IB11" t="inlineStr">
        <is>
          <t>Vinyl</t>
        </is>
      </c>
      <c r="II11" t="inlineStr">
        <is>
          <t>Basic Butt</t>
        </is>
      </c>
      <c r="IJ11" t="inlineStr">
        <is>
          <t>Does Not Apply</t>
        </is>
      </c>
      <c r="IK11" t="inlineStr">
        <is>
          <t>Does Not Apply</t>
        </is>
      </c>
      <c r="IL11" t="inlineStr">
        <is>
          <t>Nickel Metal Hydride</t>
        </is>
      </c>
      <c r="IM11" t="inlineStr">
        <is>
          <t>6</t>
        </is>
      </c>
      <c r="IN11" t="inlineStr">
        <is>
          <t>Does Not Apply</t>
        </is>
      </c>
      <c r="IO11" t="inlineStr">
        <is>
          <t>Cells of 1gram or less</t>
        </is>
      </c>
      <c r="IP11" t="inlineStr">
        <is>
          <t>Batteries exceeding 300w/h</t>
        </is>
      </c>
      <c r="IQ11" t="inlineStr">
        <is>
          <t>5kg to 10kg</t>
        </is>
      </c>
      <c r="IW11" t="inlineStr">
        <is>
          <t>Unavailable</t>
        </is>
      </c>
      <c r="IY11" t="inlineStr">
        <is>
          <t>Split Grain Leather</t>
        </is>
      </c>
      <c r="IZ11" t="inlineStr">
        <is>
          <t>Denim</t>
        </is>
      </c>
      <c r="JA11" t="inlineStr">
        <is>
          <t>Rectangular</t>
        </is>
      </c>
      <c r="JB11" t="inlineStr">
        <is>
          <t>Does Not Apply</t>
        </is>
      </c>
      <c r="JC11" t="inlineStr">
        <is>
          <t>Does Not Apply</t>
        </is>
      </c>
      <c r="JE11" t="inlineStr">
        <is>
          <t>Does Not Apply</t>
        </is>
      </c>
      <c r="JF11" t="inlineStr">
        <is>
          <t>Does Not Apply</t>
        </is>
      </c>
      <c r="JG11" t="inlineStr">
        <is>
          <t>Does Not Apply</t>
        </is>
      </c>
      <c r="JI11" t="inlineStr">
        <is>
          <t>Does Not Apply</t>
        </is>
      </c>
      <c r="JJ11" t="inlineStr">
        <is>
          <t>Unavailable</t>
        </is>
      </c>
      <c r="JK11" t="inlineStr">
        <is>
          <t>Unavailable</t>
        </is>
      </c>
      <c r="JN11" t="inlineStr">
        <is>
          <t>Does Not Apply</t>
        </is>
      </c>
      <c r="JO11" t="inlineStr">
        <is>
          <t>Does Not Apply</t>
        </is>
      </c>
      <c r="JQ11" t="inlineStr">
        <is>
          <t>Does Not Apply</t>
        </is>
      </c>
      <c r="JR11" t="inlineStr">
        <is>
          <t>Does Not Apply</t>
        </is>
      </c>
      <c r="JS11" t="inlineStr">
        <is>
          <t>7</t>
        </is>
      </c>
      <c r="JT11" t="inlineStr">
        <is>
          <t>II</t>
        </is>
      </c>
      <c r="JU11" t="inlineStr">
        <is>
          <t>&gt;0 - ≤100g</t>
        </is>
      </c>
      <c r="JW11" t="inlineStr">
        <is>
          <t>Does Not Apply</t>
        </is>
      </c>
      <c r="JY11" t="inlineStr">
        <is>
          <t>Does Not Apply</t>
        </is>
      </c>
      <c r="JZ11" t="inlineStr">
        <is>
          <t>Does Not Apply</t>
        </is>
      </c>
      <c r="KA11" t="inlineStr">
        <is>
          <t>Does Not Apply</t>
        </is>
      </c>
      <c r="KD11" t="inlineStr">
        <is>
          <t>Yes, Compliance Verified Program or Baby Safety Alliance (fka JPMA)</t>
        </is>
      </c>
      <c r="KF11" t="inlineStr">
        <is>
          <t>Does Not Apply</t>
        </is>
      </c>
      <c r="KG11" t="inlineStr">
        <is>
          <t>6 Months</t>
        </is>
      </c>
      <c r="KK11" t="inlineStr">
        <is>
          <t>Print/Pattern</t>
        </is>
      </c>
    </row>
    <row r="12">
      <c r="A12" t="inlineStr">
        <is>
          <t>Audio Towers</t>
        </is>
      </c>
      <c r="B12" t="inlineStr">
        <is>
          <t>Laptop Cart</t>
        </is>
      </c>
      <c r="I12" t="inlineStr">
        <is>
          <t>Alkaline</t>
        </is>
      </c>
      <c r="K12" t="inlineStr">
        <is>
          <t>7</t>
        </is>
      </c>
      <c r="M12" t="inlineStr">
        <is>
          <t>Cells of between 1 and 5 grams</t>
        </is>
      </c>
      <c r="N12" t="inlineStr">
        <is>
          <t>Batteries of between 100w/h and 300 w/h</t>
        </is>
      </c>
      <c r="O12" t="inlineStr">
        <is>
          <t>Does Not Apply</t>
        </is>
      </c>
      <c r="S12" t="inlineStr">
        <is>
          <t>Articulating</t>
        </is>
      </c>
      <c r="AE12" t="inlineStr">
        <is>
          <t>5.2</t>
        </is>
      </c>
      <c r="AF12" t="inlineStr">
        <is>
          <t>Does Not Apply</t>
        </is>
      </c>
      <c r="AG12" t="inlineStr">
        <is>
          <t>&gt;100 - ≤500g</t>
        </is>
      </c>
      <c r="AI12" t="inlineStr">
        <is>
          <t>Does Not Apply</t>
        </is>
      </c>
      <c r="AM12" t="inlineStr">
        <is>
          <t>1 Year</t>
        </is>
      </c>
      <c r="AR12" t="inlineStr">
        <is>
          <t>German</t>
        </is>
      </c>
      <c r="AT12" t="inlineStr">
        <is>
          <t>Acetazolamide</t>
        </is>
      </c>
      <c r="AU12" t="inlineStr">
        <is>
          <t>Albania</t>
        </is>
      </c>
      <c r="AW12" t="inlineStr">
        <is>
          <t>70</t>
        </is>
      </c>
      <c r="AX12" t="inlineStr">
        <is>
          <t>96</t>
        </is>
      </c>
      <c r="AY12" t="inlineStr">
        <is>
          <t>96</t>
        </is>
      </c>
      <c r="BX12" t="inlineStr">
        <is>
          <t>Biscuit Joint</t>
        </is>
      </c>
      <c r="BZ12" t="inlineStr">
        <is>
          <t>Alkaline</t>
        </is>
      </c>
      <c r="CB12" t="inlineStr">
        <is>
          <t>7</t>
        </is>
      </c>
      <c r="CD12" t="inlineStr">
        <is>
          <t>Cells of between 1 and 5 grams</t>
        </is>
      </c>
      <c r="CE12" t="inlineStr">
        <is>
          <t>Batteries of between 100w/h and 300 w/h</t>
        </is>
      </c>
      <c r="CF12" t="inlineStr">
        <is>
          <t>Does Not Apply</t>
        </is>
      </c>
      <c r="CK12" t="inlineStr">
        <is>
          <t>Convertible</t>
        </is>
      </c>
      <c r="CW12" t="inlineStr">
        <is>
          <t>5.2</t>
        </is>
      </c>
      <c r="CX12" t="inlineStr">
        <is>
          <t>Does Not Apply</t>
        </is>
      </c>
      <c r="CY12" t="inlineStr">
        <is>
          <t>&gt;100 - ≤500g</t>
        </is>
      </c>
      <c r="DA12" t="inlineStr">
        <is>
          <t>Does Not Apply</t>
        </is>
      </c>
      <c r="DE12" t="inlineStr">
        <is>
          <t>Does Not Apply</t>
        </is>
      </c>
      <c r="DF12" t="inlineStr">
        <is>
          <t>42"</t>
        </is>
      </c>
      <c r="DI12" t="inlineStr">
        <is>
          <t>1 Year</t>
        </is>
      </c>
      <c r="DN12" t="inlineStr">
        <is>
          <t>Gaming Chair</t>
        </is>
      </c>
      <c r="DO12" t="inlineStr">
        <is>
          <t>Plastic</t>
        </is>
      </c>
      <c r="EI12" t="inlineStr">
        <is>
          <t>Biscuit Joint</t>
        </is>
      </c>
      <c r="EL12" t="inlineStr">
        <is>
          <t>Alkaline</t>
        </is>
      </c>
      <c r="EN12" t="inlineStr">
        <is>
          <t>7</t>
        </is>
      </c>
      <c r="EP12" t="inlineStr">
        <is>
          <t>Cells of between 1 and 5 grams</t>
        </is>
      </c>
      <c r="EQ12" t="inlineStr">
        <is>
          <t>Batteries of between 100w/h and 300 w/h</t>
        </is>
      </c>
      <c r="ER12" t="inlineStr">
        <is>
          <t>Does Not Apply</t>
        </is>
      </c>
      <c r="EZ12" t="inlineStr">
        <is>
          <t>30,000-50,000</t>
        </is>
      </c>
      <c r="FH12" t="inlineStr">
        <is>
          <t>Does Not Apply</t>
        </is>
      </c>
      <c r="FI12" t="inlineStr">
        <is>
          <t>Does Not Apply</t>
        </is>
      </c>
      <c r="FO12" t="inlineStr">
        <is>
          <t>5.2</t>
        </is>
      </c>
      <c r="FP12" t="inlineStr">
        <is>
          <t>Does Not Apply</t>
        </is>
      </c>
      <c r="FQ12" t="inlineStr">
        <is>
          <t>&gt;100 - ≤500g</t>
        </is>
      </c>
      <c r="FS12" t="inlineStr">
        <is>
          <t>Does Not Apply</t>
        </is>
      </c>
      <c r="FX12" t="inlineStr">
        <is>
          <t>Does Not Apply</t>
        </is>
      </c>
      <c r="GA12" t="inlineStr">
        <is>
          <t>1 Year</t>
        </is>
      </c>
      <c r="GE12" t="inlineStr">
        <is>
          <t>Casters/Glides</t>
        </is>
      </c>
      <c r="GF12" t="inlineStr">
        <is>
          <t>Mini Chest</t>
        </is>
      </c>
      <c r="GN12" t="inlineStr">
        <is>
          <t>Aluminum</t>
        </is>
      </c>
      <c r="GP12" t="inlineStr">
        <is>
          <t>Biscuit Joint</t>
        </is>
      </c>
      <c r="GU12" t="inlineStr">
        <is>
          <t>Does Not Apply</t>
        </is>
      </c>
      <c r="HP12" t="inlineStr">
        <is>
          <t>Does Not Apply</t>
        </is>
      </c>
      <c r="HS12" t="inlineStr">
        <is>
          <t>1 Year</t>
        </is>
      </c>
      <c r="HX12" t="inlineStr">
        <is>
          <t>King</t>
        </is>
      </c>
      <c r="HY12" t="inlineStr">
        <is>
          <t>TV Bed</t>
        </is>
      </c>
      <c r="IB12" t="inlineStr">
        <is>
          <t>Shagreen Embossed</t>
        </is>
      </c>
      <c r="II12" t="inlineStr">
        <is>
          <t>Biscuit Joint</t>
        </is>
      </c>
      <c r="IL12" t="inlineStr">
        <is>
          <t>Alkaline</t>
        </is>
      </c>
      <c r="IM12" t="inlineStr">
        <is>
          <t>7</t>
        </is>
      </c>
      <c r="IO12" t="inlineStr">
        <is>
          <t>Cells of between 1 and 5 grams</t>
        </is>
      </c>
      <c r="IP12" t="inlineStr">
        <is>
          <t>Batteries of between 100w/h and 300 w/h</t>
        </is>
      </c>
      <c r="IQ12" t="inlineStr">
        <is>
          <t>Does Not Apply</t>
        </is>
      </c>
      <c r="IW12" t="inlineStr">
        <is>
          <t>Does Not Apply</t>
        </is>
      </c>
      <c r="IY12" t="inlineStr">
        <is>
          <t>Nubuck</t>
        </is>
      </c>
      <c r="IZ12" t="inlineStr">
        <is>
          <t>Microfiber / Microsuede</t>
        </is>
      </c>
      <c r="JA12" t="inlineStr">
        <is>
          <t>Camelback</t>
        </is>
      </c>
      <c r="JJ12" t="inlineStr">
        <is>
          <t>Does Not Apply</t>
        </is>
      </c>
      <c r="JK12" t="inlineStr">
        <is>
          <t>Does Not Apply</t>
        </is>
      </c>
      <c r="JS12" t="inlineStr">
        <is>
          <t>5.2</t>
        </is>
      </c>
      <c r="JT12" t="inlineStr">
        <is>
          <t>Does Not Apply</t>
        </is>
      </c>
      <c r="JU12" t="inlineStr">
        <is>
          <t>&gt;100 - ≤500g</t>
        </is>
      </c>
      <c r="KD12" t="inlineStr">
        <is>
          <t>Does Not Apply</t>
        </is>
      </c>
      <c r="KG12" t="inlineStr">
        <is>
          <t>1 Year</t>
        </is>
      </c>
      <c r="KK12" t="inlineStr">
        <is>
          <t>Storage</t>
        </is>
      </c>
    </row>
    <row r="13">
      <c r="A13" t="inlineStr">
        <is>
          <t>Office Chairs</t>
        </is>
      </c>
      <c r="B13" t="inlineStr">
        <is>
          <t>Printer Stand</t>
        </is>
      </c>
      <c r="I13" t="inlineStr">
        <is>
          <t>Carbon Zinc</t>
        </is>
      </c>
      <c r="K13" t="inlineStr">
        <is>
          <t>5</t>
        </is>
      </c>
      <c r="M13" t="inlineStr">
        <is>
          <t>Batteries exceeding 25 grams</t>
        </is>
      </c>
      <c r="N13" t="inlineStr">
        <is>
          <t>Batteries of 100w/h or less</t>
        </is>
      </c>
      <c r="S13" t="inlineStr">
        <is>
          <t>Tank mount</t>
        </is>
      </c>
      <c r="AE13" t="inlineStr">
        <is>
          <t>6.1</t>
        </is>
      </c>
      <c r="AG13" t="inlineStr">
        <is>
          <t>&gt;500g - ≤1kg</t>
        </is>
      </c>
      <c r="AM13" t="inlineStr">
        <is>
          <t>2 Years</t>
        </is>
      </c>
      <c r="AR13" t="inlineStr">
        <is>
          <t>Greek</t>
        </is>
      </c>
      <c r="AT13" t="inlineStr">
        <is>
          <t>Acetochlor</t>
        </is>
      </c>
      <c r="AU13" t="inlineStr">
        <is>
          <t>Algeria</t>
        </is>
      </c>
      <c r="AW13" t="inlineStr">
        <is>
          <t>77.5</t>
        </is>
      </c>
      <c r="AX13" t="inlineStr">
        <is>
          <t>120</t>
        </is>
      </c>
      <c r="AY13" t="inlineStr">
        <is>
          <t>120</t>
        </is>
      </c>
      <c r="BX13" t="inlineStr">
        <is>
          <t>Tongue and Groove</t>
        </is>
      </c>
      <c r="BZ13" t="inlineStr">
        <is>
          <t>Carbon Zinc</t>
        </is>
      </c>
      <c r="CB13" t="inlineStr">
        <is>
          <t>5</t>
        </is>
      </c>
      <c r="CD13" t="inlineStr">
        <is>
          <t>Batteries exceeding 25 grams</t>
        </is>
      </c>
      <c r="CE13" t="inlineStr">
        <is>
          <t>Batteries of 100w/h or less</t>
        </is>
      </c>
      <c r="CK13" t="inlineStr">
        <is>
          <t>Recirculating</t>
        </is>
      </c>
      <c r="CW13" t="inlineStr">
        <is>
          <t>6.1</t>
        </is>
      </c>
      <c r="CY13" t="inlineStr">
        <is>
          <t>&gt;500g - ≤1kg</t>
        </is>
      </c>
      <c r="DF13" t="inlineStr">
        <is>
          <t>49"</t>
        </is>
      </c>
      <c r="DI13" t="inlineStr">
        <is>
          <t>2 Years</t>
        </is>
      </c>
      <c r="DN13" t="inlineStr">
        <is>
          <t>Side Chair</t>
        </is>
      </c>
      <c r="DO13" t="inlineStr">
        <is>
          <t>Acrylic</t>
        </is>
      </c>
      <c r="EI13" t="inlineStr">
        <is>
          <t>Tongue and Groove</t>
        </is>
      </c>
      <c r="EL13" t="inlineStr">
        <is>
          <t>Carbon Zinc</t>
        </is>
      </c>
      <c r="EN13" t="inlineStr">
        <is>
          <t>5</t>
        </is>
      </c>
      <c r="EP13" t="inlineStr">
        <is>
          <t>Batteries exceeding 25 grams</t>
        </is>
      </c>
      <c r="EQ13" t="inlineStr">
        <is>
          <t>Batteries of 100w/h or less</t>
        </is>
      </c>
      <c r="EZ13" t="inlineStr">
        <is>
          <t>15,000-30,000</t>
        </is>
      </c>
      <c r="FO13" t="inlineStr">
        <is>
          <t>6.1</t>
        </is>
      </c>
      <c r="FQ13" t="inlineStr">
        <is>
          <t>&gt;500g - ≤1kg</t>
        </is>
      </c>
      <c r="GA13" t="inlineStr">
        <is>
          <t>2 Years</t>
        </is>
      </c>
      <c r="GE13" t="inlineStr">
        <is>
          <t>Arm Type</t>
        </is>
      </c>
      <c r="GF13" t="inlineStr">
        <is>
          <t>Standard Dresser / Chest</t>
        </is>
      </c>
      <c r="GN13" t="inlineStr">
        <is>
          <t>Melamine</t>
        </is>
      </c>
      <c r="GP13" t="inlineStr">
        <is>
          <t>Tongue and Groove</t>
        </is>
      </c>
      <c r="HS13" t="inlineStr">
        <is>
          <t>2 Years</t>
        </is>
      </c>
      <c r="HX13" t="inlineStr">
        <is>
          <t>California King</t>
        </is>
      </c>
      <c r="HY13" t="inlineStr">
        <is>
          <t>Scalloped</t>
        </is>
      </c>
      <c r="IB13" t="inlineStr">
        <is>
          <t>Bicast Leather</t>
        </is>
      </c>
      <c r="II13" t="inlineStr">
        <is>
          <t>Tongue and Groove</t>
        </is>
      </c>
      <c r="IL13" t="inlineStr">
        <is>
          <t>Carbon Zinc</t>
        </is>
      </c>
      <c r="IM13" t="inlineStr">
        <is>
          <t>5</t>
        </is>
      </c>
      <c r="IO13" t="inlineStr">
        <is>
          <t>Batteries exceeding 25 grams</t>
        </is>
      </c>
      <c r="IP13" t="inlineStr">
        <is>
          <t>Batteries of 100w/h or less</t>
        </is>
      </c>
      <c r="IY13" t="inlineStr">
        <is>
          <t>Full Grain Leather</t>
        </is>
      </c>
      <c r="IZ13" t="inlineStr">
        <is>
          <t>Twill</t>
        </is>
      </c>
      <c r="JA13" t="inlineStr">
        <is>
          <t>Scooped</t>
        </is>
      </c>
      <c r="JS13" t="inlineStr">
        <is>
          <t>6.1</t>
        </is>
      </c>
      <c r="JU13" t="inlineStr">
        <is>
          <t>&gt;500g - ≤1kg</t>
        </is>
      </c>
      <c r="KG13" t="inlineStr">
        <is>
          <t>2 Years</t>
        </is>
      </c>
    </row>
    <row r="14">
      <c r="A14" t="inlineStr">
        <is>
          <t>Beds</t>
        </is>
      </c>
      <c r="B14" t="inlineStr">
        <is>
          <t>Utility Cart</t>
        </is>
      </c>
      <c r="I14" t="inlineStr">
        <is>
          <t>Lead Acid (Spillable)</t>
        </is>
      </c>
      <c r="K14" t="inlineStr">
        <is>
          <t>8</t>
        </is>
      </c>
      <c r="M14" t="inlineStr">
        <is>
          <t>Does Not Apply</t>
        </is>
      </c>
      <c r="N14" t="inlineStr">
        <is>
          <t>Does Not Apply</t>
        </is>
      </c>
      <c r="S14" t="inlineStr">
        <is>
          <t>Recessed</t>
        </is>
      </c>
      <c r="AE14" t="inlineStr">
        <is>
          <t>3</t>
        </is>
      </c>
      <c r="AG14" t="inlineStr">
        <is>
          <t>&gt;125ml - ≤500ml</t>
        </is>
      </c>
      <c r="AM14" t="inlineStr">
        <is>
          <t>3 Years</t>
        </is>
      </c>
      <c r="AR14" t="inlineStr">
        <is>
          <t>English (United Kingdom)</t>
        </is>
      </c>
      <c r="AT14" t="inlineStr">
        <is>
          <t>Acetohydroxamic acid</t>
        </is>
      </c>
      <c r="AU14" t="inlineStr">
        <is>
          <t>American Samoa</t>
        </is>
      </c>
      <c r="AW14" t="inlineStr">
        <is>
          <t>85</t>
        </is>
      </c>
      <c r="AX14" t="inlineStr">
        <is>
          <t>144</t>
        </is>
      </c>
      <c r="BX14" t="inlineStr">
        <is>
          <t>Pocket Joint</t>
        </is>
      </c>
      <c r="BZ14" t="inlineStr">
        <is>
          <t>Lead Acid (Spillable)</t>
        </is>
      </c>
      <c r="CB14" t="inlineStr">
        <is>
          <t>8</t>
        </is>
      </c>
      <c r="CD14" t="inlineStr">
        <is>
          <t>Does Not Apply</t>
        </is>
      </c>
      <c r="CE14" t="inlineStr">
        <is>
          <t>Does Not Apply</t>
        </is>
      </c>
      <c r="CK14" t="inlineStr">
        <is>
          <t>B-Vent</t>
        </is>
      </c>
      <c r="CW14" t="inlineStr">
        <is>
          <t>3</t>
        </is>
      </c>
      <c r="CY14" t="inlineStr">
        <is>
          <t>&gt;125ml - ≤500ml</t>
        </is>
      </c>
      <c r="DF14" t="inlineStr">
        <is>
          <t>55"</t>
        </is>
      </c>
      <c r="DI14" t="inlineStr">
        <is>
          <t>3 Years</t>
        </is>
      </c>
      <c r="DN14" t="inlineStr">
        <is>
          <t>Task Chair</t>
        </is>
      </c>
      <c r="DO14" t="inlineStr">
        <is>
          <t>Manufactured Wood</t>
        </is>
      </c>
      <c r="EI14" t="inlineStr">
        <is>
          <t>Pocket Joint</t>
        </is>
      </c>
      <c r="EL14" t="inlineStr">
        <is>
          <t>Lead Acid (Spillable)</t>
        </is>
      </c>
      <c r="EN14" t="inlineStr">
        <is>
          <t>8</t>
        </is>
      </c>
      <c r="EP14" t="inlineStr">
        <is>
          <t>Does Not Apply</t>
        </is>
      </c>
      <c r="EQ14" t="inlineStr">
        <is>
          <t>Does Not Apply</t>
        </is>
      </c>
      <c r="EZ14" t="inlineStr">
        <is>
          <t>50,000+</t>
        </is>
      </c>
      <c r="FO14" t="inlineStr">
        <is>
          <t>3</t>
        </is>
      </c>
      <c r="FQ14" t="inlineStr">
        <is>
          <t>&gt;125ml - ≤500ml</t>
        </is>
      </c>
      <c r="GA14" t="inlineStr">
        <is>
          <t>3 Years</t>
        </is>
      </c>
      <c r="GE14" t="inlineStr">
        <is>
          <t>Customization</t>
        </is>
      </c>
      <c r="GF14" t="inlineStr">
        <is>
          <t>Unavailable</t>
        </is>
      </c>
      <c r="GN14" t="inlineStr">
        <is>
          <t>Silicone</t>
        </is>
      </c>
      <c r="GP14" t="inlineStr">
        <is>
          <t>Pocket Joint</t>
        </is>
      </c>
      <c r="HS14" t="inlineStr">
        <is>
          <t>3 Years</t>
        </is>
      </c>
      <c r="HX14" t="inlineStr">
        <is>
          <t>Full XL</t>
        </is>
      </c>
      <c r="HY14" t="inlineStr">
        <is>
          <t>Panel Headboard Design</t>
        </is>
      </c>
      <c r="IB14" t="inlineStr">
        <is>
          <t>Faux Cowhide</t>
        </is>
      </c>
      <c r="II14" t="inlineStr">
        <is>
          <t>Pocket Joint</t>
        </is>
      </c>
      <c r="IL14" t="inlineStr">
        <is>
          <t>Lead Acid (Spillable)</t>
        </is>
      </c>
      <c r="IM14" t="inlineStr">
        <is>
          <t>8</t>
        </is>
      </c>
      <c r="IO14" t="inlineStr">
        <is>
          <t>Does Not Apply</t>
        </is>
      </c>
      <c r="IP14" t="inlineStr">
        <is>
          <t>Does Not Apply</t>
        </is>
      </c>
      <c r="IY14" t="inlineStr">
        <is>
          <t>Sheepskin</t>
        </is>
      </c>
      <c r="IZ14" t="inlineStr">
        <is>
          <t>Unavailable</t>
        </is>
      </c>
      <c r="JA14" t="inlineStr">
        <is>
          <t>Stepped</t>
        </is>
      </c>
      <c r="JS14" t="inlineStr">
        <is>
          <t>3</t>
        </is>
      </c>
      <c r="JU14" t="inlineStr">
        <is>
          <t>&gt;125ml - ≤500ml</t>
        </is>
      </c>
      <c r="KG14" t="inlineStr">
        <is>
          <t>3 Years</t>
        </is>
      </c>
    </row>
    <row r="15">
      <c r="A15" t="inlineStr">
        <is>
          <t>Dressers &amp; Chests</t>
        </is>
      </c>
      <c r="B15" t="inlineStr">
        <is>
          <t>Laptop/Tablet Storage Cart</t>
        </is>
      </c>
      <c r="I15" t="inlineStr">
        <is>
          <t>Lead Acid (Non-Spillable)</t>
        </is>
      </c>
      <c r="K15" t="inlineStr">
        <is>
          <t>10</t>
        </is>
      </c>
      <c r="S15" t="inlineStr">
        <is>
          <t>Unavailable</t>
        </is>
      </c>
      <c r="AE15" t="inlineStr">
        <is>
          <t>4.1</t>
        </is>
      </c>
      <c r="AG15" t="inlineStr">
        <is>
          <t>&gt;25 - ≤125ml</t>
        </is>
      </c>
      <c r="AM15" t="inlineStr">
        <is>
          <t>5 Years</t>
        </is>
      </c>
      <c r="AR15" t="inlineStr">
        <is>
          <t>English (United States)</t>
        </is>
      </c>
      <c r="AT15" t="inlineStr">
        <is>
          <t>2-Acetylaminofluorene</t>
        </is>
      </c>
      <c r="AU15" t="inlineStr">
        <is>
          <t>Andorra</t>
        </is>
      </c>
      <c r="AW15" t="inlineStr">
        <is>
          <t>92.5</t>
        </is>
      </c>
      <c r="AX15" t="inlineStr">
        <is>
          <t>168</t>
        </is>
      </c>
      <c r="BX15" t="inlineStr">
        <is>
          <t>Cam Bolt</t>
        </is>
      </c>
      <c r="BZ15" t="inlineStr">
        <is>
          <t>Lead Acid (Non-Spillable)</t>
        </is>
      </c>
      <c r="CB15" t="inlineStr">
        <is>
          <t>10</t>
        </is>
      </c>
      <c r="CK15" t="inlineStr">
        <is>
          <t>Does Not Apply</t>
        </is>
      </c>
      <c r="CW15" t="inlineStr">
        <is>
          <t>4.1</t>
        </is>
      </c>
      <c r="CY15" t="inlineStr">
        <is>
          <t>&gt;25 - ≤125ml</t>
        </is>
      </c>
      <c r="DF15" t="inlineStr">
        <is>
          <t>50"</t>
        </is>
      </c>
      <c r="DI15" t="inlineStr">
        <is>
          <t>5 Years</t>
        </is>
      </c>
      <c r="DN15" t="inlineStr">
        <is>
          <t>Criss Cross Chair</t>
        </is>
      </c>
      <c r="DO15" t="inlineStr">
        <is>
          <t>Solid + Manufactured Wood</t>
        </is>
      </c>
      <c r="EI15" t="inlineStr">
        <is>
          <t>Cam Bolt</t>
        </is>
      </c>
      <c r="EL15" t="inlineStr">
        <is>
          <t>Lead Acid (Non-Spillable)</t>
        </is>
      </c>
      <c r="EN15" t="inlineStr">
        <is>
          <t>10</t>
        </is>
      </c>
      <c r="EZ15" t="inlineStr">
        <is>
          <t>Unavailable</t>
        </is>
      </c>
      <c r="FO15" t="inlineStr">
        <is>
          <t>4.1</t>
        </is>
      </c>
      <c r="FQ15" t="inlineStr">
        <is>
          <t>&gt;25 - ≤125ml</t>
        </is>
      </c>
      <c r="GA15" t="inlineStr">
        <is>
          <t>5 Years</t>
        </is>
      </c>
      <c r="GE15" t="inlineStr">
        <is>
          <t>Back Height</t>
        </is>
      </c>
      <c r="GN15" t="inlineStr">
        <is>
          <t>Brass</t>
        </is>
      </c>
      <c r="GP15" t="inlineStr">
        <is>
          <t>Cam Bolt</t>
        </is>
      </c>
      <c r="HS15" t="inlineStr">
        <is>
          <t>5 Years</t>
        </is>
      </c>
      <c r="HX15" t="inlineStr">
        <is>
          <t>Super Single</t>
        </is>
      </c>
      <c r="HY15" t="inlineStr">
        <is>
          <t>Bookcase</t>
        </is>
      </c>
      <c r="IB15" t="inlineStr">
        <is>
          <t>Faux Sheepskin</t>
        </is>
      </c>
      <c r="II15" t="inlineStr">
        <is>
          <t>Cam Bolt</t>
        </is>
      </c>
      <c r="IL15" t="inlineStr">
        <is>
          <t>Lead Acid (Non-Spillable)</t>
        </is>
      </c>
      <c r="IM15" t="inlineStr">
        <is>
          <t>10</t>
        </is>
      </c>
      <c r="IY15" t="inlineStr">
        <is>
          <t>Cowhide</t>
        </is>
      </c>
      <c r="IZ15" t="inlineStr">
        <is>
          <t>Does Not Apply</t>
        </is>
      </c>
      <c r="JA15" t="inlineStr">
        <is>
          <t>Other</t>
        </is>
      </c>
      <c r="JS15" t="inlineStr">
        <is>
          <t>4.1</t>
        </is>
      </c>
      <c r="JU15" t="inlineStr">
        <is>
          <t>&gt;25 - ≤125ml</t>
        </is>
      </c>
      <c r="KG15" t="inlineStr">
        <is>
          <t>5 Years</t>
        </is>
      </c>
    </row>
    <row r="16">
      <c r="A16" t="inlineStr">
        <is>
          <t>Nightstands</t>
        </is>
      </c>
      <c r="I16" t="inlineStr">
        <is>
          <t>Silver Oxide</t>
        </is>
      </c>
      <c r="K16" t="inlineStr">
        <is>
          <t>4</t>
        </is>
      </c>
      <c r="AE16" t="inlineStr">
        <is>
          <t>4.3</t>
        </is>
      </c>
      <c r="AG16" t="inlineStr">
        <is>
          <t>&gt;1kg - ≤5kg</t>
        </is>
      </c>
      <c r="AM16" t="inlineStr">
        <is>
          <t>10 Years</t>
        </is>
      </c>
      <c r="AR16" t="inlineStr">
        <is>
          <t>Spanish</t>
        </is>
      </c>
      <c r="AT16" t="inlineStr">
        <is>
          <t>Acifluorfen sodium</t>
        </is>
      </c>
      <c r="AU16" t="inlineStr">
        <is>
          <t>Angola</t>
        </is>
      </c>
      <c r="AW16" t="inlineStr">
        <is>
          <t>100</t>
        </is>
      </c>
      <c r="AX16" t="inlineStr">
        <is>
          <t>192</t>
        </is>
      </c>
      <c r="BX16" t="inlineStr">
        <is>
          <t>Dowel Joint</t>
        </is>
      </c>
      <c r="BZ16" t="inlineStr">
        <is>
          <t>Silver Oxide</t>
        </is>
      </c>
      <c r="CB16" t="inlineStr">
        <is>
          <t>4</t>
        </is>
      </c>
      <c r="CW16" t="inlineStr">
        <is>
          <t>4.3</t>
        </is>
      </c>
      <c r="CY16" t="inlineStr">
        <is>
          <t>&gt;1kg - ≤5kg</t>
        </is>
      </c>
      <c r="DF16" t="inlineStr">
        <is>
          <t>58"</t>
        </is>
      </c>
      <c r="DI16" t="inlineStr">
        <is>
          <t>10 Years</t>
        </is>
      </c>
      <c r="DO16" t="inlineStr">
        <is>
          <t>Steel</t>
        </is>
      </c>
      <c r="EI16" t="inlineStr">
        <is>
          <t>Dowel Joint</t>
        </is>
      </c>
      <c r="EL16" t="inlineStr">
        <is>
          <t>Silver Oxide</t>
        </is>
      </c>
      <c r="EN16" t="inlineStr">
        <is>
          <t>4</t>
        </is>
      </c>
      <c r="EZ16" t="inlineStr">
        <is>
          <t>Does Not Apply</t>
        </is>
      </c>
      <c r="FO16" t="inlineStr">
        <is>
          <t>4.3</t>
        </is>
      </c>
      <c r="FQ16" t="inlineStr">
        <is>
          <t>&gt;1kg - ≤5kg</t>
        </is>
      </c>
      <c r="GA16" t="inlineStr">
        <is>
          <t>10 Years</t>
        </is>
      </c>
      <c r="GE16" t="inlineStr">
        <is>
          <t>Team Logo</t>
        </is>
      </c>
      <c r="GN16" t="inlineStr">
        <is>
          <t>Fabric</t>
        </is>
      </c>
      <c r="GP16" t="inlineStr">
        <is>
          <t>Dowel Joint</t>
        </is>
      </c>
      <c r="HS16" t="inlineStr">
        <is>
          <t>10 Years</t>
        </is>
      </c>
      <c r="HX16" t="inlineStr">
        <is>
          <t>RV King</t>
        </is>
      </c>
      <c r="HY16" t="inlineStr">
        <is>
          <t>Spindle</t>
        </is>
      </c>
      <c r="IB16" t="inlineStr">
        <is>
          <t>Faux Shearing</t>
        </is>
      </c>
      <c r="II16" t="inlineStr">
        <is>
          <t>Dowel Joint</t>
        </is>
      </c>
      <c r="IL16" t="inlineStr">
        <is>
          <t>Silver Oxide</t>
        </is>
      </c>
      <c r="IM16" t="inlineStr">
        <is>
          <t>4</t>
        </is>
      </c>
      <c r="IY16" t="inlineStr">
        <is>
          <t>Corrected Grain Leather</t>
        </is>
      </c>
      <c r="JA16" t="inlineStr">
        <is>
          <t>Rounded</t>
        </is>
      </c>
      <c r="JS16" t="inlineStr">
        <is>
          <t>4.3</t>
        </is>
      </c>
      <c r="JU16" t="inlineStr">
        <is>
          <t>&gt;1kg - ≤5kg</t>
        </is>
      </c>
      <c r="KG16" t="inlineStr">
        <is>
          <t>10 Years</t>
        </is>
      </c>
    </row>
    <row r="17">
      <c r="A17" t="inlineStr">
        <is>
          <t>Armoires &amp; Wardrobes</t>
        </is>
      </c>
      <c r="I17" t="inlineStr">
        <is>
          <t>Does Not Apply</t>
        </is>
      </c>
      <c r="K17" t="inlineStr">
        <is>
          <t>9</t>
        </is>
      </c>
      <c r="AE17" t="inlineStr">
        <is>
          <t>4.2</t>
        </is>
      </c>
      <c r="AG17" t="inlineStr">
        <is>
          <t>&gt;5L</t>
        </is>
      </c>
      <c r="AM17" t="inlineStr">
        <is>
          <t>20 Years</t>
        </is>
      </c>
      <c r="AR17" t="inlineStr">
        <is>
          <t>Finnish</t>
        </is>
      </c>
      <c r="AT17" t="inlineStr">
        <is>
          <t>Acrylamide</t>
        </is>
      </c>
      <c r="AU17" t="inlineStr">
        <is>
          <t>Anguilla</t>
        </is>
      </c>
      <c r="AW17" t="inlineStr">
        <is>
          <t>110</t>
        </is>
      </c>
      <c r="AX17" t="inlineStr">
        <is>
          <t>216</t>
        </is>
      </c>
      <c r="BX17" t="inlineStr">
        <is>
          <t>Half-Lap</t>
        </is>
      </c>
      <c r="BZ17" t="inlineStr">
        <is>
          <t>Does Not Apply</t>
        </is>
      </c>
      <c r="CB17" t="inlineStr">
        <is>
          <t>9</t>
        </is>
      </c>
      <c r="CW17" t="inlineStr">
        <is>
          <t>4.2</t>
        </is>
      </c>
      <c r="CY17" t="inlineStr">
        <is>
          <t>&gt;5L</t>
        </is>
      </c>
      <c r="DF17" t="inlineStr">
        <is>
          <t>65"</t>
        </is>
      </c>
      <c r="DI17" t="inlineStr">
        <is>
          <t>20 Years</t>
        </is>
      </c>
      <c r="DO17" t="inlineStr">
        <is>
          <t>Iron</t>
        </is>
      </c>
      <c r="EI17" t="inlineStr">
        <is>
          <t>Half-Lap</t>
        </is>
      </c>
      <c r="EL17" t="inlineStr">
        <is>
          <t>Does Not Apply</t>
        </is>
      </c>
      <c r="EN17" t="inlineStr">
        <is>
          <t>9</t>
        </is>
      </c>
      <c r="FO17" t="inlineStr">
        <is>
          <t>4.2</t>
        </is>
      </c>
      <c r="FQ17" t="inlineStr">
        <is>
          <t>&gt;5L</t>
        </is>
      </c>
      <c r="GA17" t="inlineStr">
        <is>
          <t>20 Years</t>
        </is>
      </c>
      <c r="GE17" t="inlineStr">
        <is>
          <t>Pattern</t>
        </is>
      </c>
      <c r="GN17" t="inlineStr">
        <is>
          <t>Bamboo</t>
        </is>
      </c>
      <c r="GP17" t="inlineStr">
        <is>
          <t>Half-Lap</t>
        </is>
      </c>
      <c r="HS17" t="inlineStr">
        <is>
          <t>20 Years</t>
        </is>
      </c>
      <c r="HX17" t="inlineStr">
        <is>
          <t>Short Queen</t>
        </is>
      </c>
      <c r="HY17" t="inlineStr">
        <is>
          <t>Murphy</t>
        </is>
      </c>
      <c r="IB17" t="inlineStr">
        <is>
          <t>Unavailable</t>
        </is>
      </c>
      <c r="II17" t="inlineStr">
        <is>
          <t>Half-Lap</t>
        </is>
      </c>
      <c r="IL17" t="inlineStr">
        <is>
          <t>Does Not Apply</t>
        </is>
      </c>
      <c r="IM17" t="inlineStr">
        <is>
          <t>9</t>
        </is>
      </c>
      <c r="IY17" t="inlineStr">
        <is>
          <t>Shearling</t>
        </is>
      </c>
      <c r="JA17" t="inlineStr">
        <is>
          <t>Unavailable</t>
        </is>
      </c>
      <c r="JS17" t="inlineStr">
        <is>
          <t>4.2</t>
        </is>
      </c>
      <c r="JU17" t="inlineStr">
        <is>
          <t>&gt;5L</t>
        </is>
      </c>
      <c r="KG17" t="inlineStr">
        <is>
          <t>20 Years</t>
        </is>
      </c>
    </row>
    <row r="18">
      <c r="A18" t="inlineStr">
        <is>
          <t>Daybeds &amp; Guest Beds</t>
        </is>
      </c>
      <c r="K18" t="inlineStr">
        <is>
          <t>Unavailable</t>
        </is>
      </c>
      <c r="AE18" t="inlineStr">
        <is>
          <t>5.1</t>
        </is>
      </c>
      <c r="AG18" t="inlineStr">
        <is>
          <t>&gt;5kg</t>
        </is>
      </c>
      <c r="AM18" t="inlineStr">
        <is>
          <t>25 Years</t>
        </is>
      </c>
      <c r="AR18" t="inlineStr">
        <is>
          <t>French (Canada)</t>
        </is>
      </c>
      <c r="AT18" t="inlineStr">
        <is>
          <t>Acrylonitrile</t>
        </is>
      </c>
      <c r="AU18" t="inlineStr">
        <is>
          <t>Antarctica</t>
        </is>
      </c>
      <c r="AW18" t="inlineStr">
        <is>
          <t>125</t>
        </is>
      </c>
      <c r="AX18" t="inlineStr">
        <is>
          <t>240</t>
        </is>
      </c>
      <c r="BX18" t="inlineStr">
        <is>
          <t>Box</t>
        </is>
      </c>
      <c r="CB18" t="inlineStr">
        <is>
          <t>Unavailable</t>
        </is>
      </c>
      <c r="CW18" t="inlineStr">
        <is>
          <t>5.1</t>
        </is>
      </c>
      <c r="CY18" t="inlineStr">
        <is>
          <t>&gt;5kg</t>
        </is>
      </c>
      <c r="DF18" t="inlineStr">
        <is>
          <t>75"</t>
        </is>
      </c>
      <c r="DI18" t="inlineStr">
        <is>
          <t>25 Years</t>
        </is>
      </c>
      <c r="DO18" t="inlineStr">
        <is>
          <t>Cane</t>
        </is>
      </c>
      <c r="EI18" t="inlineStr">
        <is>
          <t>Box</t>
        </is>
      </c>
      <c r="EN18" t="inlineStr">
        <is>
          <t>Unavailable</t>
        </is>
      </c>
      <c r="FO18" t="inlineStr">
        <is>
          <t>5.1</t>
        </is>
      </c>
      <c r="FQ18" t="inlineStr">
        <is>
          <t>&gt;5kg</t>
        </is>
      </c>
      <c r="GA18" t="inlineStr">
        <is>
          <t>25 Years</t>
        </is>
      </c>
      <c r="GN18" t="inlineStr">
        <is>
          <t>Bakelite</t>
        </is>
      </c>
      <c r="GP18" t="inlineStr">
        <is>
          <t>Box</t>
        </is>
      </c>
      <c r="HS18" t="inlineStr">
        <is>
          <t>25 Years</t>
        </is>
      </c>
      <c r="HX18" t="inlineStr">
        <is>
          <t>Antique / Three Quarter</t>
        </is>
      </c>
      <c r="HY18" t="inlineStr">
        <is>
          <t>Wingback</t>
        </is>
      </c>
      <c r="IB18" t="inlineStr">
        <is>
          <t>Does Not Apply</t>
        </is>
      </c>
      <c r="II18" t="inlineStr">
        <is>
          <t>Box</t>
        </is>
      </c>
      <c r="IM18" t="inlineStr">
        <is>
          <t>Unavailable</t>
        </is>
      </c>
      <c r="IY18" t="inlineStr">
        <is>
          <t>Unavailable</t>
        </is>
      </c>
      <c r="JA18" t="inlineStr">
        <is>
          <t>Does Not Apply</t>
        </is>
      </c>
      <c r="JS18" t="inlineStr">
        <is>
          <t>5.1</t>
        </is>
      </c>
      <c r="JU18" t="inlineStr">
        <is>
          <t>&gt;5kg</t>
        </is>
      </c>
      <c r="KG18" t="inlineStr">
        <is>
          <t>25 Years</t>
        </is>
      </c>
    </row>
    <row r="19">
      <c r="A19" t="inlineStr">
        <is>
          <t>Headboards</t>
        </is>
      </c>
      <c r="K19" t="inlineStr">
        <is>
          <t>Does Not Apply</t>
        </is>
      </c>
      <c r="AE19" t="inlineStr">
        <is>
          <t>2.3</t>
        </is>
      </c>
      <c r="AG19" t="inlineStr">
        <is>
          <t>Does Not Apply</t>
        </is>
      </c>
      <c r="AM19" t="inlineStr">
        <is>
          <t>Lifetime</t>
        </is>
      </c>
      <c r="AR19" t="inlineStr">
        <is>
          <t>Hungarian</t>
        </is>
      </c>
      <c r="AT19" t="inlineStr">
        <is>
          <t>Actinomycin D</t>
        </is>
      </c>
      <c r="AU19" t="inlineStr">
        <is>
          <t>Antigua and Barbuda</t>
        </is>
      </c>
      <c r="AW19" t="inlineStr">
        <is>
          <t>150</t>
        </is>
      </c>
      <c r="AX19" t="inlineStr">
        <is>
          <t>360</t>
        </is>
      </c>
      <c r="BX19" t="inlineStr">
        <is>
          <t>Lap</t>
        </is>
      </c>
      <c r="CB19" t="inlineStr">
        <is>
          <t>Does Not Apply</t>
        </is>
      </c>
      <c r="CW19" t="inlineStr">
        <is>
          <t>2.3</t>
        </is>
      </c>
      <c r="CY19" t="inlineStr">
        <is>
          <t>Does Not Apply</t>
        </is>
      </c>
      <c r="DF19" t="inlineStr">
        <is>
          <t>70"</t>
        </is>
      </c>
      <c r="DI19" t="inlineStr">
        <is>
          <t>Lifetime</t>
        </is>
      </c>
      <c r="DO19" t="inlineStr">
        <is>
          <t>Raffia</t>
        </is>
      </c>
      <c r="EI19" t="inlineStr">
        <is>
          <t>Lap</t>
        </is>
      </c>
      <c r="EN19" t="inlineStr">
        <is>
          <t>Does Not Apply</t>
        </is>
      </c>
      <c r="FO19" t="inlineStr">
        <is>
          <t>2.3</t>
        </is>
      </c>
      <c r="FQ19" t="inlineStr">
        <is>
          <t>Does Not Apply</t>
        </is>
      </c>
      <c r="GA19" t="inlineStr">
        <is>
          <t>Lifetime</t>
        </is>
      </c>
      <c r="GN19" t="inlineStr">
        <is>
          <t>Nylon</t>
        </is>
      </c>
      <c r="GP19" t="inlineStr">
        <is>
          <t>Lap</t>
        </is>
      </c>
      <c r="HS19" t="inlineStr">
        <is>
          <t>Lifetime</t>
        </is>
      </c>
      <c r="HX19" t="inlineStr">
        <is>
          <t>Split California King</t>
        </is>
      </c>
      <c r="HY19" t="inlineStr">
        <is>
          <t>Open-Frame</t>
        </is>
      </c>
      <c r="II19" t="inlineStr">
        <is>
          <t>Lap</t>
        </is>
      </c>
      <c r="IM19" t="inlineStr">
        <is>
          <t>Does Not Apply</t>
        </is>
      </c>
      <c r="IY19" t="inlineStr">
        <is>
          <t>Does Not Apply</t>
        </is>
      </c>
      <c r="JS19" t="inlineStr">
        <is>
          <t>2.3</t>
        </is>
      </c>
      <c r="JU19" t="inlineStr">
        <is>
          <t>Does Not Apply</t>
        </is>
      </c>
      <c r="KG19" t="inlineStr">
        <is>
          <t>Lifetime</t>
        </is>
      </c>
    </row>
    <row r="20">
      <c r="A20" t="inlineStr">
        <is>
          <t>Bedroom Sets</t>
        </is>
      </c>
      <c r="AE20" t="inlineStr">
        <is>
          <t>6.2</t>
        </is>
      </c>
      <c r="AM20" t="inlineStr">
        <is>
          <t>15 Years</t>
        </is>
      </c>
      <c r="AR20" t="inlineStr">
        <is>
          <t>Indonesian</t>
        </is>
      </c>
      <c r="AT20" t="inlineStr">
        <is>
          <t>AF-2;[2-(2-furyl)-3-(5-nitro-2-furyl)]acrylamide</t>
        </is>
      </c>
      <c r="AU20" t="inlineStr">
        <is>
          <t>Argentina</t>
        </is>
      </c>
      <c r="AW20" t="inlineStr">
        <is>
          <t>175</t>
        </is>
      </c>
      <c r="AX20" t="inlineStr">
        <is>
          <t>480</t>
        </is>
      </c>
      <c r="BX20" t="inlineStr">
        <is>
          <t>Double Dowelled</t>
        </is>
      </c>
      <c r="CW20" t="inlineStr">
        <is>
          <t>6.2</t>
        </is>
      </c>
      <c r="DF20" t="inlineStr">
        <is>
          <t>48"</t>
        </is>
      </c>
      <c r="DI20" t="inlineStr">
        <is>
          <t>15 Years</t>
        </is>
      </c>
      <c r="DO20" t="inlineStr">
        <is>
          <t>Nickel</t>
        </is>
      </c>
      <c r="EI20" t="inlineStr">
        <is>
          <t>Double Dowelled</t>
        </is>
      </c>
      <c r="FO20" t="inlineStr">
        <is>
          <t>6.2</t>
        </is>
      </c>
      <c r="GA20" t="inlineStr">
        <is>
          <t>15 Years</t>
        </is>
      </c>
      <c r="GN20" t="inlineStr">
        <is>
          <t>Enameled Cast Iron</t>
        </is>
      </c>
      <c r="GP20" t="inlineStr">
        <is>
          <t>Double Dowelled</t>
        </is>
      </c>
      <c r="HS20" t="inlineStr">
        <is>
          <t>15 Years</t>
        </is>
      </c>
      <c r="HX20" t="inlineStr">
        <is>
          <t>Short Full</t>
        </is>
      </c>
      <c r="HY20" t="inlineStr">
        <is>
          <t>Slat Headboard Design</t>
        </is>
      </c>
      <c r="II20" t="inlineStr">
        <is>
          <t>Double Dowelled</t>
        </is>
      </c>
      <c r="JS20" t="inlineStr">
        <is>
          <t>6.2</t>
        </is>
      </c>
      <c r="KG20" t="inlineStr">
        <is>
          <t>15 Years</t>
        </is>
      </c>
    </row>
    <row r="21">
      <c r="A21" t="inlineStr">
        <is>
          <t>Easels</t>
        </is>
      </c>
      <c r="AE21" t="inlineStr">
        <is>
          <t>9</t>
        </is>
      </c>
      <c r="AM21" t="inlineStr">
        <is>
          <t>4 Years</t>
        </is>
      </c>
      <c r="AR21" t="inlineStr">
        <is>
          <t>Icelandic</t>
        </is>
      </c>
      <c r="AT21" t="inlineStr">
        <is>
          <t>Aflatoxins</t>
        </is>
      </c>
      <c r="AU21" t="inlineStr">
        <is>
          <t>Armenia</t>
        </is>
      </c>
      <c r="AW21" t="inlineStr">
        <is>
          <t>200</t>
        </is>
      </c>
      <c r="AX21" t="inlineStr">
        <is>
          <t>600</t>
        </is>
      </c>
      <c r="BX21" t="inlineStr">
        <is>
          <t>Bridle</t>
        </is>
      </c>
      <c r="CW21" t="inlineStr">
        <is>
          <t>9</t>
        </is>
      </c>
      <c r="DF21" t="inlineStr">
        <is>
          <t>43"</t>
        </is>
      </c>
      <c r="DI21" t="inlineStr">
        <is>
          <t>4 Years</t>
        </is>
      </c>
      <c r="DO21" t="inlineStr">
        <is>
          <t>Glass</t>
        </is>
      </c>
      <c r="EI21" t="inlineStr">
        <is>
          <t>Bridle</t>
        </is>
      </c>
      <c r="FO21" t="inlineStr">
        <is>
          <t>9</t>
        </is>
      </c>
      <c r="GA21" t="inlineStr">
        <is>
          <t>4 Years</t>
        </is>
      </c>
      <c r="GN21" t="inlineStr">
        <is>
          <t>Cast Iron</t>
        </is>
      </c>
      <c r="GP21" t="inlineStr">
        <is>
          <t>Bridle</t>
        </is>
      </c>
      <c r="HS21" t="inlineStr">
        <is>
          <t>4 Years</t>
        </is>
      </c>
      <c r="HX21" t="inlineStr">
        <is>
          <t>Split King</t>
        </is>
      </c>
      <c r="HY21" t="inlineStr">
        <is>
          <t>Daybed</t>
        </is>
      </c>
      <c r="II21" t="inlineStr">
        <is>
          <t>Bridle</t>
        </is>
      </c>
      <c r="JS21" t="inlineStr">
        <is>
          <t>9</t>
        </is>
      </c>
      <c r="KG21" t="inlineStr">
        <is>
          <t>4 Years</t>
        </is>
      </c>
    </row>
    <row r="22">
      <c r="A22" t="inlineStr">
        <is>
          <t>Display Cases</t>
        </is>
      </c>
      <c r="AE22" t="inlineStr">
        <is>
          <t>8</t>
        </is>
      </c>
      <c r="AM22" t="inlineStr">
        <is>
          <t>18 Months</t>
        </is>
      </c>
      <c r="AR22" t="inlineStr">
        <is>
          <t>Italian</t>
        </is>
      </c>
      <c r="AT22" t="inlineStr">
        <is>
          <t>Alachlor</t>
        </is>
      </c>
      <c r="AU22" t="inlineStr">
        <is>
          <t>Aruba</t>
        </is>
      </c>
      <c r="AW22" t="inlineStr">
        <is>
          <t>250</t>
        </is>
      </c>
      <c r="AX22" t="inlineStr">
        <is>
          <t>720</t>
        </is>
      </c>
      <c r="BX22" t="inlineStr">
        <is>
          <t>Halved</t>
        </is>
      </c>
      <c r="CW22" t="inlineStr">
        <is>
          <t>8</t>
        </is>
      </c>
      <c r="DF22" t="inlineStr">
        <is>
          <t>88"</t>
        </is>
      </c>
      <c r="DI22" t="inlineStr">
        <is>
          <t>18 Months</t>
        </is>
      </c>
      <c r="DO22" t="inlineStr">
        <is>
          <t>Laminate</t>
        </is>
      </c>
      <c r="EI22" t="inlineStr">
        <is>
          <t>Halved</t>
        </is>
      </c>
      <c r="FO22" t="inlineStr">
        <is>
          <t>8</t>
        </is>
      </c>
      <c r="GA22" t="inlineStr">
        <is>
          <t>18 Months</t>
        </is>
      </c>
      <c r="GN22" t="inlineStr">
        <is>
          <t>Gold Plated</t>
        </is>
      </c>
      <c r="GP22" t="inlineStr">
        <is>
          <t>Halved</t>
        </is>
      </c>
      <c r="HS22" t="inlineStr">
        <is>
          <t>18 Months</t>
        </is>
      </c>
      <c r="HX22" t="inlineStr">
        <is>
          <t>California Queen</t>
        </is>
      </c>
      <c r="HY22" t="inlineStr">
        <is>
          <t>Unavailable</t>
        </is>
      </c>
      <c r="II22" t="inlineStr">
        <is>
          <t>Halved</t>
        </is>
      </c>
      <c r="JS22" t="inlineStr">
        <is>
          <t>8</t>
        </is>
      </c>
      <c r="KG22" t="inlineStr">
        <is>
          <t>18 Months</t>
        </is>
      </c>
    </row>
    <row r="23">
      <c r="A23" t="inlineStr">
        <is>
          <t>Lockers</t>
        </is>
      </c>
      <c r="AE23" t="inlineStr">
        <is>
          <t>Does Not Apply</t>
        </is>
      </c>
      <c r="AM23" t="inlineStr">
        <is>
          <t>6 Years</t>
        </is>
      </c>
      <c r="AR23" t="inlineStr">
        <is>
          <t>Japanese</t>
        </is>
      </c>
      <c r="AT23" t="inlineStr">
        <is>
          <t>Alcoholic beverages, when associated with alcohol abuse</t>
        </is>
      </c>
      <c r="AU23" t="inlineStr">
        <is>
          <t>Australia</t>
        </is>
      </c>
      <c r="AW23" t="inlineStr">
        <is>
          <t>300</t>
        </is>
      </c>
      <c r="AX23" t="inlineStr">
        <is>
          <t>840</t>
        </is>
      </c>
      <c r="BX23" t="inlineStr">
        <is>
          <t>Corner Block Reinforced</t>
        </is>
      </c>
      <c r="CW23" t="inlineStr">
        <is>
          <t>Does Not Apply</t>
        </is>
      </c>
      <c r="DF23" t="inlineStr">
        <is>
          <t>60"</t>
        </is>
      </c>
      <c r="DI23" t="inlineStr">
        <is>
          <t>6 Years</t>
        </is>
      </c>
      <c r="DO23" t="inlineStr">
        <is>
          <t>Wicker</t>
        </is>
      </c>
      <c r="EI23" t="inlineStr">
        <is>
          <t>Corner Block Reinforced</t>
        </is>
      </c>
      <c r="FO23" t="inlineStr">
        <is>
          <t>Does Not Apply</t>
        </is>
      </c>
      <c r="GA23" t="inlineStr">
        <is>
          <t>6 Years</t>
        </is>
      </c>
      <c r="GN23" t="inlineStr">
        <is>
          <t>Sterling Silver</t>
        </is>
      </c>
      <c r="GP23" t="inlineStr">
        <is>
          <t>Corner Block Reinforced</t>
        </is>
      </c>
      <c r="HS23" t="inlineStr">
        <is>
          <t>6 Years</t>
        </is>
      </c>
      <c r="HX23" t="inlineStr">
        <is>
          <t>Split Queen</t>
        </is>
      </c>
      <c r="II23" t="inlineStr">
        <is>
          <t>Corner Block Reinforced</t>
        </is>
      </c>
      <c r="JS23" t="inlineStr">
        <is>
          <t>Does Not Apply</t>
        </is>
      </c>
      <c r="KG23" t="inlineStr">
        <is>
          <t>6 Years</t>
        </is>
      </c>
    </row>
    <row r="24">
      <c r="A24" t="inlineStr">
        <is>
          <t>Lecterns &amp; Podiums</t>
        </is>
      </c>
      <c r="AM24" t="inlineStr">
        <is>
          <t>7 Years</t>
        </is>
      </c>
      <c r="AR24" t="inlineStr">
        <is>
          <t>Korean</t>
        </is>
      </c>
      <c r="AT24" t="inlineStr">
        <is>
          <t>Aldrin</t>
        </is>
      </c>
      <c r="AU24" t="inlineStr">
        <is>
          <t>Austria</t>
        </is>
      </c>
      <c r="AW24" t="inlineStr">
        <is>
          <t>400</t>
        </is>
      </c>
      <c r="AX24" t="inlineStr">
        <is>
          <t>960</t>
        </is>
      </c>
      <c r="BX24" t="inlineStr">
        <is>
          <t>Miter</t>
        </is>
      </c>
      <c r="DF24" t="inlineStr">
        <is>
          <t>78"</t>
        </is>
      </c>
      <c r="DI24" t="inlineStr">
        <is>
          <t>7 Years</t>
        </is>
      </c>
      <c r="DO24" t="inlineStr">
        <is>
          <t>Leather</t>
        </is>
      </c>
      <c r="EI24" t="inlineStr">
        <is>
          <t>Miter</t>
        </is>
      </c>
      <c r="GA24" t="inlineStr">
        <is>
          <t>7 Years</t>
        </is>
      </c>
      <c r="GN24" t="inlineStr">
        <is>
          <t>Resin</t>
        </is>
      </c>
      <c r="GP24" t="inlineStr">
        <is>
          <t>Miter</t>
        </is>
      </c>
      <c r="HS24" t="inlineStr">
        <is>
          <t>7 Years</t>
        </is>
      </c>
      <c r="HX24" t="inlineStr">
        <is>
          <t>Split Top King</t>
        </is>
      </c>
      <c r="II24" t="inlineStr">
        <is>
          <t>Miter</t>
        </is>
      </c>
      <c r="KG24" t="inlineStr">
        <is>
          <t>7 Years</t>
        </is>
      </c>
    </row>
    <row r="25">
      <c r="A25" t="inlineStr">
        <is>
          <t>Desks</t>
        </is>
      </c>
      <c r="AM25" t="inlineStr">
        <is>
          <t>8 Years</t>
        </is>
      </c>
      <c r="AR25" t="inlineStr">
        <is>
          <t>Norwegian (Bokmål)</t>
        </is>
      </c>
      <c r="AT25" t="inlineStr">
        <is>
          <t>All-trans retinoic acid</t>
        </is>
      </c>
      <c r="AU25" t="inlineStr">
        <is>
          <t>Azerbaijan</t>
        </is>
      </c>
      <c r="AW25" t="inlineStr">
        <is>
          <t>500</t>
        </is>
      </c>
      <c r="BX25" t="inlineStr">
        <is>
          <t>Unavailable</t>
        </is>
      </c>
      <c r="DF25" t="inlineStr">
        <is>
          <t>85"</t>
        </is>
      </c>
      <c r="DI25" t="inlineStr">
        <is>
          <t>8 Years</t>
        </is>
      </c>
      <c r="DO25" t="inlineStr">
        <is>
          <t>Vinyl</t>
        </is>
      </c>
      <c r="EI25" t="inlineStr">
        <is>
          <t>Unavailable</t>
        </is>
      </c>
      <c r="GA25" t="inlineStr">
        <is>
          <t>8 Years</t>
        </is>
      </c>
      <c r="GN25" t="inlineStr">
        <is>
          <t>Silver Plated</t>
        </is>
      </c>
      <c r="GP25" t="inlineStr">
        <is>
          <t>Unavailable</t>
        </is>
      </c>
      <c r="HS25" t="inlineStr">
        <is>
          <t>8 Years</t>
        </is>
      </c>
      <c r="HX25" t="inlineStr">
        <is>
          <t>Split Top Queen</t>
        </is>
      </c>
      <c r="II25" t="inlineStr">
        <is>
          <t>Unavailable</t>
        </is>
      </c>
      <c r="KG25" t="inlineStr">
        <is>
          <t>8 Years</t>
        </is>
      </c>
    </row>
    <row r="26">
      <c r="A26" t="inlineStr">
        <is>
          <t>Literature Racks</t>
        </is>
      </c>
      <c r="AM26" t="inlineStr">
        <is>
          <t>9 Years</t>
        </is>
      </c>
      <c r="AR26" t="inlineStr">
        <is>
          <t>Dutch</t>
        </is>
      </c>
      <c r="AT26" t="inlineStr">
        <is>
          <t>Aloe Vera, non-decolorized whole leaf extract</t>
        </is>
      </c>
      <c r="AU26" t="inlineStr">
        <is>
          <t>Bahamas</t>
        </is>
      </c>
      <c r="BX26" t="inlineStr">
        <is>
          <t>Does Not Apply</t>
        </is>
      </c>
      <c r="DF26" t="inlineStr">
        <is>
          <t>77"</t>
        </is>
      </c>
      <c r="DI26" t="inlineStr">
        <is>
          <t>9 Years</t>
        </is>
      </c>
      <c r="DO26" t="inlineStr">
        <is>
          <t>Foam</t>
        </is>
      </c>
      <c r="EI26" t="inlineStr">
        <is>
          <t>Does Not Apply</t>
        </is>
      </c>
      <c r="GA26" t="inlineStr">
        <is>
          <t>9 Years</t>
        </is>
      </c>
      <c r="GN26" t="inlineStr">
        <is>
          <t>Rubber</t>
        </is>
      </c>
      <c r="GP26" t="inlineStr">
        <is>
          <t>Does Not Apply</t>
        </is>
      </c>
      <c r="HS26" t="inlineStr">
        <is>
          <t>9 Years</t>
        </is>
      </c>
      <c r="II26" t="inlineStr">
        <is>
          <t>Does Not Apply</t>
        </is>
      </c>
      <c r="KG26" t="inlineStr">
        <is>
          <t>9 Years</t>
        </is>
      </c>
    </row>
    <row r="27">
      <c r="A27" t="inlineStr">
        <is>
          <t>Filing Cabinets</t>
        </is>
      </c>
      <c r="AM27" t="inlineStr">
        <is>
          <t>12 Years</t>
        </is>
      </c>
      <c r="AR27" t="inlineStr">
        <is>
          <t>Polish</t>
        </is>
      </c>
      <c r="AT27" t="inlineStr">
        <is>
          <t>Alprazolam</t>
        </is>
      </c>
      <c r="AU27" t="inlineStr">
        <is>
          <t>Bahrain</t>
        </is>
      </c>
      <c r="DI27" t="inlineStr">
        <is>
          <t>12 Years</t>
        </is>
      </c>
      <c r="DO27" t="inlineStr">
        <is>
          <t>Kiln Dried Hardwood</t>
        </is>
      </c>
      <c r="GA27" t="inlineStr">
        <is>
          <t>12 Years</t>
        </is>
      </c>
      <c r="GN27" t="inlineStr">
        <is>
          <t>Stainless Steel</t>
        </is>
      </c>
      <c r="HS27" t="inlineStr">
        <is>
          <t>12 Years</t>
        </is>
      </c>
      <c r="KG27" t="inlineStr">
        <is>
          <t>12 Years</t>
        </is>
      </c>
    </row>
    <row r="28">
      <c r="A28" t="inlineStr">
        <is>
          <t>Bookcases</t>
        </is>
      </c>
      <c r="AM28" t="inlineStr">
        <is>
          <t>11 Years</t>
        </is>
      </c>
      <c r="AR28" t="inlineStr">
        <is>
          <t>Portuguese</t>
        </is>
      </c>
      <c r="AT28" t="inlineStr">
        <is>
          <t>Amantadine hydrochloride</t>
        </is>
      </c>
      <c r="AU28" t="inlineStr">
        <is>
          <t>Bangladesh</t>
        </is>
      </c>
      <c r="DI28" t="inlineStr">
        <is>
          <t>11 Years</t>
        </is>
      </c>
      <c r="DO28" t="inlineStr">
        <is>
          <t>Stainless Steel</t>
        </is>
      </c>
      <c r="GA28" t="inlineStr">
        <is>
          <t>11 Years</t>
        </is>
      </c>
      <c r="GN28" t="inlineStr">
        <is>
          <t>Pewter</t>
        </is>
      </c>
      <c r="HS28" t="inlineStr">
        <is>
          <t>11 Years</t>
        </is>
      </c>
      <c r="KG28" t="inlineStr">
        <is>
          <t>11 Years</t>
        </is>
      </c>
    </row>
    <row r="29">
      <c r="A29" t="inlineStr">
        <is>
          <t>Classroom Chairs</t>
        </is>
      </c>
      <c r="AM29" t="inlineStr">
        <is>
          <t>13 Years</t>
        </is>
      </c>
      <c r="AR29" t="inlineStr">
        <is>
          <t>Romanian</t>
        </is>
      </c>
      <c r="AT29" t="inlineStr">
        <is>
          <t>Amikacin sulfate</t>
        </is>
      </c>
      <c r="AU29" t="inlineStr">
        <is>
          <t>Barbados</t>
        </is>
      </c>
      <c r="DI29" t="inlineStr">
        <is>
          <t>13 Years</t>
        </is>
      </c>
      <c r="DO29" t="inlineStr">
        <is>
          <t>Rubber</t>
        </is>
      </c>
      <c r="GA29" t="inlineStr">
        <is>
          <t>13 Years</t>
        </is>
      </c>
      <c r="GN29" t="inlineStr">
        <is>
          <t>No Handles</t>
        </is>
      </c>
      <c r="HS29" t="inlineStr">
        <is>
          <t>13 Years</t>
        </is>
      </c>
      <c r="KG29" t="inlineStr">
        <is>
          <t>13 Years</t>
        </is>
      </c>
    </row>
    <row r="30">
      <c r="A30" t="inlineStr">
        <is>
          <t>Wall &amp; Accent Mirrors</t>
        </is>
      </c>
      <c r="AM30" t="inlineStr">
        <is>
          <t>14 Years</t>
        </is>
      </c>
      <c r="AR30" t="inlineStr">
        <is>
          <t>Russian</t>
        </is>
      </c>
      <c r="AT30" t="inlineStr">
        <is>
          <t>2-Aminoanthraquinone</t>
        </is>
      </c>
      <c r="AU30" t="inlineStr">
        <is>
          <t>Belarus</t>
        </is>
      </c>
      <c r="DI30" t="inlineStr">
        <is>
          <t>14 Years</t>
        </is>
      </c>
      <c r="DO30" t="inlineStr">
        <is>
          <t>Plywood</t>
        </is>
      </c>
      <c r="GA30" t="inlineStr">
        <is>
          <t>14 Years</t>
        </is>
      </c>
      <c r="GN30" t="inlineStr">
        <is>
          <t>Steel</t>
        </is>
      </c>
      <c r="HS30" t="inlineStr">
        <is>
          <t>14 Years</t>
        </is>
      </c>
      <c r="KG30" t="inlineStr">
        <is>
          <t>14 Years</t>
        </is>
      </c>
    </row>
    <row r="31">
      <c r="A31" t="inlineStr">
        <is>
          <t>Office Stools</t>
        </is>
      </c>
      <c r="AM31" t="inlineStr">
        <is>
          <t>No Commercial Warranty</t>
        </is>
      </c>
      <c r="AR31" t="inlineStr">
        <is>
          <t>Slovak</t>
        </is>
      </c>
      <c r="AT31" t="inlineStr">
        <is>
          <t>p-Aminoazobenzene</t>
        </is>
      </c>
      <c r="AU31" t="inlineStr">
        <is>
          <t>Belgium</t>
        </is>
      </c>
      <c r="DI31" t="inlineStr">
        <is>
          <t>No Commercial Warranty</t>
        </is>
      </c>
      <c r="DO31" t="inlineStr">
        <is>
          <t>Ceramic</t>
        </is>
      </c>
      <c r="GA31" t="inlineStr">
        <is>
          <t>No Commercial Warranty</t>
        </is>
      </c>
      <c r="GN31" t="inlineStr">
        <is>
          <t>Unavailable</t>
        </is>
      </c>
      <c r="HS31" t="inlineStr">
        <is>
          <t>No Commercial Warranty</t>
        </is>
      </c>
      <c r="KG31" t="inlineStr">
        <is>
          <t>No Commercial Warranty</t>
        </is>
      </c>
    </row>
    <row r="32">
      <c r="A32" t="inlineStr">
        <is>
          <t>Office Sets</t>
        </is>
      </c>
      <c r="AM32" t="inlineStr">
        <is>
          <t>Does Not Apply</t>
        </is>
      </c>
      <c r="AR32" t="inlineStr">
        <is>
          <t>Swedish</t>
        </is>
      </c>
      <c r="AT32" t="inlineStr">
        <is>
          <t>o-Aminoazotoluene</t>
        </is>
      </c>
      <c r="AU32" t="inlineStr">
        <is>
          <t>Belize</t>
        </is>
      </c>
      <c r="DI32" t="inlineStr">
        <is>
          <t>Does Not Apply</t>
        </is>
      </c>
      <c r="DO32" t="inlineStr">
        <is>
          <t>Brass</t>
        </is>
      </c>
      <c r="GA32" t="inlineStr">
        <is>
          <t>Does Not Apply</t>
        </is>
      </c>
      <c r="GN32" t="inlineStr">
        <is>
          <t>Does Not Apply</t>
        </is>
      </c>
      <c r="HS32" t="inlineStr">
        <is>
          <t>Does Not Apply</t>
        </is>
      </c>
      <c r="KG32" t="inlineStr">
        <is>
          <t>Does Not Apply</t>
        </is>
      </c>
    </row>
    <row r="33">
      <c r="A33" t="inlineStr">
        <is>
          <t>Stackable &amp; Nesting Chairs</t>
        </is>
      </c>
      <c r="AR33" t="inlineStr">
        <is>
          <t>Ukrainian</t>
        </is>
      </c>
      <c r="AT33" t="inlineStr">
        <is>
          <t>4-Aminobiphenyl (4-aminodiphenyl)</t>
        </is>
      </c>
      <c r="AU33" t="inlineStr">
        <is>
          <t>Benin</t>
        </is>
      </c>
      <c r="DO33" t="inlineStr">
        <is>
          <t>Fabric</t>
        </is>
      </c>
    </row>
    <row r="34">
      <c r="A34" t="inlineStr">
        <is>
          <t>Futon Mattresses</t>
        </is>
      </c>
      <c r="AR34" t="inlineStr">
        <is>
          <t>Vietnamese</t>
        </is>
      </c>
      <c r="AT34" t="inlineStr">
        <is>
          <t>1-Amino-2,4-dibromoanthraquinone</t>
        </is>
      </c>
      <c r="AU34" t="inlineStr">
        <is>
          <t>Bermuda</t>
        </is>
      </c>
      <c r="DO34" t="inlineStr">
        <is>
          <t>Concrete</t>
        </is>
      </c>
    </row>
    <row r="35">
      <c r="A35" t="inlineStr">
        <is>
          <t>Pot Racks</t>
        </is>
      </c>
      <c r="AR35" t="inlineStr">
        <is>
          <t>Chinese (S)</t>
        </is>
      </c>
      <c r="AT35" t="inlineStr">
        <is>
          <t>3-Amino-9-ethylcarbazole hydrochloride</t>
        </is>
      </c>
      <c r="AU35" t="inlineStr">
        <is>
          <t>Bhutan</t>
        </is>
      </c>
      <c r="DO35" t="inlineStr">
        <is>
          <t>Particle Board</t>
        </is>
      </c>
    </row>
    <row r="36">
      <c r="A36" t="inlineStr">
        <is>
          <t>Plant Stands &amp; Tables</t>
        </is>
      </c>
      <c r="AR36" t="inlineStr">
        <is>
          <t>Chinese (T)</t>
        </is>
      </c>
      <c r="AT36" t="inlineStr">
        <is>
          <t>2-Aminofluorene</t>
        </is>
      </c>
      <c r="AU36" t="inlineStr">
        <is>
          <t>Bolivia</t>
        </is>
      </c>
      <c r="DO36" t="inlineStr">
        <is>
          <t>Fiberglass</t>
        </is>
      </c>
    </row>
    <row r="37">
      <c r="A37" t="inlineStr">
        <is>
          <t>Accent Chairs</t>
        </is>
      </c>
      <c r="AT37" t="inlineStr">
        <is>
          <t>Aminoglutethimide</t>
        </is>
      </c>
      <c r="AU37" t="inlineStr">
        <is>
          <t>Bosnia and Herzegovina</t>
        </is>
      </c>
      <c r="DO37" t="inlineStr">
        <is>
          <t>Resin</t>
        </is>
      </c>
    </row>
    <row r="38">
      <c r="A38" t="inlineStr">
        <is>
          <t>Kitchen Islands</t>
        </is>
      </c>
      <c r="AT38" t="inlineStr">
        <is>
          <t>Aminoglycosides</t>
        </is>
      </c>
      <c r="AU38" t="inlineStr">
        <is>
          <t>Botswana</t>
        </is>
      </c>
      <c r="DO38" t="inlineStr">
        <is>
          <t>Faux Leather</t>
        </is>
      </c>
    </row>
    <row r="39">
      <c r="A39" t="inlineStr">
        <is>
          <t>Baker's Racks</t>
        </is>
      </c>
      <c r="AT39" t="inlineStr">
        <is>
          <t>1-Amino-2-methylanthraquinone</t>
        </is>
      </c>
      <c r="AU39" t="inlineStr">
        <is>
          <t>Bouvet Island</t>
        </is>
      </c>
      <c r="DO39" t="inlineStr">
        <is>
          <t>Cardboard</t>
        </is>
      </c>
    </row>
    <row r="40">
      <c r="A40" t="inlineStr">
        <is>
          <t>Wine Racks</t>
        </is>
      </c>
      <c r="AT40" t="inlineStr">
        <is>
          <t>2-Amino-5-(5-nitro-2-furyl)-1,3,4-thiadiazole</t>
        </is>
      </c>
      <c r="AU40" t="inlineStr">
        <is>
          <t>Brazil</t>
        </is>
      </c>
      <c r="DO40" t="inlineStr">
        <is>
          <t>Genuine Marble</t>
        </is>
      </c>
    </row>
    <row r="41">
      <c r="A41" t="inlineStr">
        <is>
          <t>Bar Stools</t>
        </is>
      </c>
      <c r="AT41" t="inlineStr">
        <is>
          <t>4-Amino-2-nitrophenol</t>
        </is>
      </c>
      <c r="AU41" t="inlineStr">
        <is>
          <t>British Indian Ocean Territory</t>
        </is>
      </c>
      <c r="DO41" t="inlineStr">
        <is>
          <t>High-Density Polyethylene (HDPE)</t>
        </is>
      </c>
    </row>
    <row r="42">
      <c r="A42" t="inlineStr">
        <is>
          <t>Mantel &amp; Tabletop Clocks</t>
        </is>
      </c>
      <c r="AT42" t="inlineStr">
        <is>
          <t>Aminopterin</t>
        </is>
      </c>
      <c r="AU42" t="inlineStr">
        <is>
          <t>Brunei Darussalam</t>
        </is>
      </c>
      <c r="DO42" t="inlineStr">
        <is>
          <t>Stone</t>
        </is>
      </c>
    </row>
    <row r="43">
      <c r="A43" t="inlineStr">
        <is>
          <t>Grandfather Clocks / Floor Clocks</t>
        </is>
      </c>
      <c r="AT43" t="inlineStr">
        <is>
          <t>Amiodarone hydrochloride</t>
        </is>
      </c>
      <c r="AU43" t="inlineStr">
        <is>
          <t>Bulgaria</t>
        </is>
      </c>
      <c r="DO43" t="inlineStr">
        <is>
          <t>Rope</t>
        </is>
      </c>
    </row>
    <row r="44">
      <c r="A44" t="inlineStr">
        <is>
          <t>Conference Tables</t>
        </is>
      </c>
      <c r="AT44" t="inlineStr">
        <is>
          <t>Amitraz</t>
        </is>
      </c>
      <c r="AU44" t="inlineStr">
        <is>
          <t>Burkina Faso</t>
        </is>
      </c>
      <c r="DO44" t="inlineStr">
        <is>
          <t>Bamboo / Rattan</t>
        </is>
      </c>
    </row>
    <row r="45">
      <c r="A45" t="inlineStr">
        <is>
          <t>Folding Tables</t>
        </is>
      </c>
      <c r="AT45" t="inlineStr">
        <is>
          <t>Amitrole</t>
        </is>
      </c>
      <c r="AU45" t="inlineStr">
        <is>
          <t>Burundi</t>
        </is>
      </c>
      <c r="DO45" t="inlineStr">
        <is>
          <t>Woven Palm</t>
        </is>
      </c>
    </row>
    <row r="46">
      <c r="A46" t="inlineStr">
        <is>
          <t>Coat Racks and Hooks</t>
        </is>
      </c>
      <c r="AT46" t="inlineStr">
        <is>
          <t>Amoxapine</t>
        </is>
      </c>
      <c r="AU46" t="inlineStr">
        <is>
          <t>Cambodia</t>
        </is>
      </c>
      <c r="DO46" t="inlineStr">
        <is>
          <t>Zinc</t>
        </is>
      </c>
    </row>
    <row r="47">
      <c r="A47" t="inlineStr">
        <is>
          <t>Cafeteria Tables</t>
        </is>
      </c>
      <c r="AT47" t="inlineStr">
        <is>
          <t>Amsacrine</t>
        </is>
      </c>
      <c r="AU47" t="inlineStr">
        <is>
          <t>Cameroon</t>
        </is>
      </c>
      <c r="DO47" t="inlineStr">
        <is>
          <t>Wrought Iron</t>
        </is>
      </c>
    </row>
    <row r="48">
      <c r="A48" t="inlineStr">
        <is>
          <t>Bars &amp; Bar Sets</t>
        </is>
      </c>
      <c r="AT48" t="inlineStr">
        <is>
          <t>Analgesic mixtures containing Phenacetin</t>
        </is>
      </c>
      <c r="AU48" t="inlineStr">
        <is>
          <t>Cape Verde</t>
        </is>
      </c>
      <c r="DO48" t="inlineStr">
        <is>
          <t>Powder Coated Steel</t>
        </is>
      </c>
    </row>
    <row r="49">
      <c r="A49" t="inlineStr">
        <is>
          <t>Electric &amp; Alternative Fuel Fireplaces</t>
        </is>
      </c>
      <c r="AT49" t="inlineStr">
        <is>
          <t>Androstenedione</t>
        </is>
      </c>
      <c r="AU49" t="inlineStr">
        <is>
          <t>Cayman Islands</t>
        </is>
      </c>
      <c r="DO49" t="inlineStr">
        <is>
          <t>Carpet</t>
        </is>
      </c>
    </row>
    <row r="50">
      <c r="A50" t="inlineStr">
        <is>
          <t>Portable Tool Storage</t>
        </is>
      </c>
      <c r="AT50" t="inlineStr">
        <is>
          <t>Angiotensin converting enzyme  (ACE) inhibitors</t>
        </is>
      </c>
      <c r="AU50" t="inlineStr">
        <is>
          <t>Central African Republic</t>
        </is>
      </c>
      <c r="DO50" t="inlineStr">
        <is>
          <t>Chrome</t>
        </is>
      </c>
    </row>
    <row r="51">
      <c r="A51" t="inlineStr">
        <is>
          <t>Patio Tables</t>
        </is>
      </c>
      <c r="AT51" t="inlineStr">
        <is>
          <t>Aniline</t>
        </is>
      </c>
      <c r="AU51" t="inlineStr">
        <is>
          <t>Chad</t>
        </is>
      </c>
      <c r="DO51" t="inlineStr">
        <is>
          <t>Powder Coated Aluminum</t>
        </is>
      </c>
    </row>
    <row r="52">
      <c r="A52" t="inlineStr">
        <is>
          <t>Projector Screens and Accessories</t>
        </is>
      </c>
      <c r="AT52" t="inlineStr">
        <is>
          <t>Aniline hydrochloride</t>
        </is>
      </c>
      <c r="AU52" t="inlineStr">
        <is>
          <t>Chile</t>
        </is>
      </c>
      <c r="DO52" t="inlineStr">
        <is>
          <t>Copper</t>
        </is>
      </c>
    </row>
    <row r="53">
      <c r="A53" t="inlineStr">
        <is>
          <t>Specialty Filing &amp; Filing Accessories</t>
        </is>
      </c>
      <c r="AT53" t="inlineStr">
        <is>
          <t>o-Anisidine</t>
        </is>
      </c>
      <c r="AU53" t="inlineStr">
        <is>
          <t>China</t>
        </is>
      </c>
      <c r="DO53" t="inlineStr">
        <is>
          <t>Canvas</t>
        </is>
      </c>
    </row>
    <row r="54">
      <c r="A54" t="inlineStr">
        <is>
          <t>Safes</t>
        </is>
      </c>
      <c r="AT54" t="inlineStr">
        <is>
          <t>o-Anisidine hydrochloride</t>
        </is>
      </c>
      <c r="AU54" t="inlineStr">
        <is>
          <t>Christmas Island</t>
        </is>
      </c>
      <c r="DO54" t="inlineStr">
        <is>
          <t>Wicker / Rattan</t>
        </is>
      </c>
    </row>
    <row r="55">
      <c r="A55" t="inlineStr">
        <is>
          <t>Office Storage Cabinets</t>
        </is>
      </c>
      <c r="AT55" t="inlineStr">
        <is>
          <t>Anisindione</t>
        </is>
      </c>
      <c r="AU55" t="inlineStr">
        <is>
          <t>Cocos (Keeling) Islands</t>
        </is>
      </c>
      <c r="DO55" t="inlineStr">
        <is>
          <t>Cork</t>
        </is>
      </c>
    </row>
    <row r="56">
      <c r="A56" t="inlineStr">
        <is>
          <t>Patio Sofas</t>
        </is>
      </c>
      <c r="AT56" t="inlineStr">
        <is>
          <t>Anthraquinone</t>
        </is>
      </c>
      <c r="AU56" t="inlineStr">
        <is>
          <t>Colombia</t>
        </is>
      </c>
      <c r="DO56" t="inlineStr">
        <is>
          <t>Bone</t>
        </is>
      </c>
    </row>
    <row r="57">
      <c r="A57" t="inlineStr">
        <is>
          <t>Patio Chaise Lounges</t>
        </is>
      </c>
      <c r="AT57" t="inlineStr">
        <is>
          <t>Antimony oxide (Antimony trioxide)</t>
        </is>
      </c>
      <c r="AU57" t="inlineStr">
        <is>
          <t>Comoros</t>
        </is>
      </c>
      <c r="DO57" t="inlineStr">
        <is>
          <t>Seagrass</t>
        </is>
      </c>
    </row>
    <row r="58">
      <c r="A58" t="inlineStr">
        <is>
          <t>Patio Umbrellas</t>
        </is>
      </c>
      <c r="AT58" t="inlineStr">
        <is>
          <t>Aramite</t>
        </is>
      </c>
      <c r="AU58" t="inlineStr">
        <is>
          <t>Congo</t>
        </is>
      </c>
      <c r="DO58" t="inlineStr">
        <is>
          <t>Rattan</t>
        </is>
      </c>
    </row>
    <row r="59">
      <c r="A59" t="inlineStr">
        <is>
          <t>Patio Dining Sets</t>
        </is>
      </c>
      <c r="AT59" t="inlineStr">
        <is>
          <t>Areca nut</t>
        </is>
      </c>
      <c r="AU59" t="inlineStr">
        <is>
          <t>Congo, The Democratic Republic of the</t>
        </is>
      </c>
      <c r="DO59" t="inlineStr">
        <is>
          <t>Galvanized Steel</t>
        </is>
      </c>
    </row>
    <row r="60">
      <c r="A60" t="inlineStr">
        <is>
          <t>Outdoor Conversation Sets</t>
        </is>
      </c>
      <c r="AT60" t="inlineStr">
        <is>
          <t>Aristolochic acids</t>
        </is>
      </c>
      <c r="AU60" t="inlineStr">
        <is>
          <t>Cook Islands</t>
        </is>
      </c>
      <c r="DO60" t="inlineStr">
        <is>
          <t>Reclaimed Wood</t>
        </is>
      </c>
    </row>
    <row r="61">
      <c r="A61" t="inlineStr">
        <is>
          <t>Shelving &amp; Racks</t>
        </is>
      </c>
      <c r="AT61" t="inlineStr">
        <is>
          <t>Arsenic (inorganic arsenic compounds)</t>
        </is>
      </c>
      <c r="AU61" t="inlineStr">
        <is>
          <t>Costa Rica</t>
        </is>
      </c>
      <c r="DO61" t="inlineStr">
        <is>
          <t>Unavailable</t>
        </is>
      </c>
    </row>
    <row r="62">
      <c r="A62" t="inlineStr">
        <is>
          <t>Tool Cabinets</t>
        </is>
      </c>
      <c r="AT62" t="inlineStr">
        <is>
          <t>Arsenic (inorganic oxides)</t>
        </is>
      </c>
      <c r="AU62" t="inlineStr">
        <is>
          <t>Côte D'Ivoire</t>
        </is>
      </c>
      <c r="DO62" t="inlineStr">
        <is>
          <t>Does Not Apply</t>
        </is>
      </c>
    </row>
    <row r="63">
      <c r="A63" t="inlineStr">
        <is>
          <t>Dining Table Sets</t>
        </is>
      </c>
      <c r="AT63" t="inlineStr">
        <is>
          <t>Asbestos</t>
        </is>
      </c>
      <c r="AU63" t="inlineStr">
        <is>
          <t>Croatia</t>
        </is>
      </c>
    </row>
    <row r="64">
      <c r="A64" t="inlineStr">
        <is>
          <t>Dining Tables</t>
        </is>
      </c>
      <c r="AT64" t="inlineStr">
        <is>
          <t>Aspirin (NOTE: It is especially important not to use aspirin during the last three months of pregnancy, unless specifically directed to do so by a physician because it may cause problems in the unborn child or complications during delivery.)</t>
        </is>
      </c>
      <c r="AU64" t="inlineStr">
        <is>
          <t>Cuba</t>
        </is>
      </c>
    </row>
    <row r="65">
      <c r="A65" t="inlineStr">
        <is>
          <t>Vanities</t>
        </is>
      </c>
      <c r="AT65" t="inlineStr">
        <is>
          <t>Atenolol</t>
        </is>
      </c>
      <c r="AU65" t="inlineStr">
        <is>
          <t>Cyprus</t>
        </is>
      </c>
    </row>
    <row r="66">
      <c r="A66" t="inlineStr">
        <is>
          <t>Bean Bags</t>
        </is>
      </c>
      <c r="AT66" t="inlineStr">
        <is>
          <t>Atrazine</t>
        </is>
      </c>
      <c r="AU66" t="inlineStr">
        <is>
          <t>Czech Republic</t>
        </is>
      </c>
    </row>
    <row r="67">
      <c r="A67" t="inlineStr">
        <is>
          <t>Accent Chests / Cabinets</t>
        </is>
      </c>
      <c r="AT67" t="inlineStr">
        <is>
          <t>Auramine</t>
        </is>
      </c>
      <c r="AU67" t="inlineStr">
        <is>
          <t>Denmark</t>
        </is>
      </c>
    </row>
    <row r="68">
      <c r="A68" t="inlineStr">
        <is>
          <t>Classic Game Tables &amp; Puzzle Tables</t>
        </is>
      </c>
      <c r="AT68" t="inlineStr">
        <is>
          <t>Auranofin</t>
        </is>
      </c>
      <c r="AU68" t="inlineStr">
        <is>
          <t>Djibouti</t>
        </is>
      </c>
    </row>
    <row r="69">
      <c r="A69" t="inlineStr">
        <is>
          <t>Sideboards &amp; Buffets</t>
        </is>
      </c>
      <c r="AT69" t="inlineStr">
        <is>
          <t>Avermectin B1 (Abamectin)</t>
        </is>
      </c>
      <c r="AU69" t="inlineStr">
        <is>
          <t>Dominica</t>
        </is>
      </c>
    </row>
    <row r="70">
      <c r="A70" t="inlineStr">
        <is>
          <t>Hammocks</t>
        </is>
      </c>
      <c r="AT70" t="inlineStr">
        <is>
          <t>Azacitidine</t>
        </is>
      </c>
      <c r="AU70" t="inlineStr">
        <is>
          <t>Dominican Republic</t>
        </is>
      </c>
    </row>
    <row r="71">
      <c r="A71" t="inlineStr">
        <is>
          <t>Area Rugs</t>
        </is>
      </c>
      <c r="AT71" t="inlineStr">
        <is>
          <t>Azaserine</t>
        </is>
      </c>
      <c r="AU71" t="inlineStr">
        <is>
          <t>Ecuador</t>
        </is>
      </c>
    </row>
    <row r="72">
      <c r="A72" t="inlineStr">
        <is>
          <t>Dining Chairs</t>
        </is>
      </c>
      <c r="AT72" t="inlineStr">
        <is>
          <t>Azathioprine</t>
        </is>
      </c>
      <c r="AU72" t="inlineStr">
        <is>
          <t>Egypt</t>
        </is>
      </c>
    </row>
    <row r="73">
      <c r="A73" t="inlineStr">
        <is>
          <t>China Cabinets</t>
        </is>
      </c>
      <c r="AT73" t="inlineStr">
        <is>
          <t>Azobenzene</t>
        </is>
      </c>
      <c r="AU73" t="inlineStr">
        <is>
          <t>El Salvador</t>
        </is>
      </c>
    </row>
    <row r="74">
      <c r="A74" t="inlineStr">
        <is>
          <t>Hall Trees</t>
        </is>
      </c>
      <c r="AT74" t="inlineStr">
        <is>
          <t>Barbiturates</t>
        </is>
      </c>
      <c r="AU74" t="inlineStr">
        <is>
          <t>Equatorial Guinea</t>
        </is>
      </c>
    </row>
    <row r="75">
      <c r="A75" t="inlineStr">
        <is>
          <t>Porch Swings</t>
        </is>
      </c>
      <c r="AT75" t="inlineStr">
        <is>
          <t>Beclomethasone dipropionate</t>
        </is>
      </c>
      <c r="AU75" t="inlineStr">
        <is>
          <t>Eritrea</t>
        </is>
      </c>
    </row>
    <row r="76">
      <c r="A76" t="inlineStr">
        <is>
          <t>Jewelry Armoires</t>
        </is>
      </c>
      <c r="AT76" t="inlineStr">
        <is>
          <t>Benomyl</t>
        </is>
      </c>
      <c r="AU76" t="inlineStr">
        <is>
          <t>Estonia</t>
        </is>
      </c>
    </row>
    <row r="77">
      <c r="A77" t="inlineStr">
        <is>
          <t>Fountains</t>
        </is>
      </c>
      <c r="AT77" t="inlineStr">
        <is>
          <t>Benthiavalicarb-isopropyl</t>
        </is>
      </c>
      <c r="AU77" t="inlineStr">
        <is>
          <t>Ethiopia</t>
        </is>
      </c>
    </row>
    <row r="78">
      <c r="A78" t="inlineStr">
        <is>
          <t>Lighting Shades</t>
        </is>
      </c>
      <c r="AT78" t="inlineStr">
        <is>
          <t>Benz[a]anthracene</t>
        </is>
      </c>
      <c r="AU78" t="inlineStr">
        <is>
          <t>Falkland Islands (Malvinas)</t>
        </is>
      </c>
    </row>
    <row r="79">
      <c r="A79" t="inlineStr">
        <is>
          <t>Fireplace Accessories</t>
        </is>
      </c>
      <c r="AT79" t="inlineStr">
        <is>
          <t>Benzene</t>
        </is>
      </c>
      <c r="AU79" t="inlineStr">
        <is>
          <t>Faroe Islands</t>
        </is>
      </c>
    </row>
    <row r="80">
      <c r="A80" t="inlineStr">
        <is>
          <t>Blanket Racks &amp; Ladders</t>
        </is>
      </c>
      <c r="AT80" t="inlineStr">
        <is>
          <t>Benzidine [and its salts]</t>
        </is>
      </c>
      <c r="AU80" t="inlineStr">
        <is>
          <t>Fiji</t>
        </is>
      </c>
    </row>
    <row r="81">
      <c r="A81" t="inlineStr">
        <is>
          <t>TV Trays</t>
        </is>
      </c>
      <c r="AT81" t="inlineStr">
        <is>
          <t>Benzidine-based dyes</t>
        </is>
      </c>
      <c r="AU81" t="inlineStr">
        <is>
          <t>Finland</t>
        </is>
      </c>
    </row>
    <row r="82">
      <c r="A82" t="inlineStr">
        <is>
          <t>Cutting Boards</t>
        </is>
      </c>
      <c r="AT82" t="inlineStr">
        <is>
          <t>Benzodiazepines</t>
        </is>
      </c>
      <c r="AU82" t="inlineStr">
        <is>
          <t>France</t>
        </is>
      </c>
    </row>
    <row r="83">
      <c r="A83" t="inlineStr">
        <is>
          <t>Rug Pads</t>
        </is>
      </c>
      <c r="AT83" t="inlineStr">
        <is>
          <t>Benzo[b]fluoranthene</t>
        </is>
      </c>
      <c r="AU83" t="inlineStr">
        <is>
          <t>French Guiana</t>
        </is>
      </c>
    </row>
    <row r="84">
      <c r="A84" t="inlineStr">
        <is>
          <t>Folding Chairs</t>
        </is>
      </c>
      <c r="AT84" t="inlineStr">
        <is>
          <t>Benzo[j]fluoranthene</t>
        </is>
      </c>
      <c r="AU84" t="inlineStr">
        <is>
          <t>French Polynesia</t>
        </is>
      </c>
    </row>
    <row r="85">
      <c r="A85" t="inlineStr">
        <is>
          <t>Night Lights</t>
        </is>
      </c>
      <c r="AT85" t="inlineStr">
        <is>
          <t>Benzo[k]fluoranthene</t>
        </is>
      </c>
      <c r="AU85" t="inlineStr">
        <is>
          <t>French Southern Territories</t>
        </is>
      </c>
    </row>
    <row r="86">
      <c r="A86" t="inlineStr">
        <is>
          <t>Changing Tables</t>
        </is>
      </c>
      <c r="AT86" t="inlineStr">
        <is>
          <t>Benzofuran</t>
        </is>
      </c>
      <c r="AU86" t="inlineStr">
        <is>
          <t>Gabon</t>
        </is>
      </c>
    </row>
    <row r="87">
      <c r="A87" t="inlineStr">
        <is>
          <t>Dollies</t>
        </is>
      </c>
      <c r="AT87" t="inlineStr">
        <is>
          <t>Benzophenone</t>
        </is>
      </c>
      <c r="AU87" t="inlineStr">
        <is>
          <t>Gambia</t>
        </is>
      </c>
    </row>
    <row r="88">
      <c r="A88" t="inlineStr">
        <is>
          <t>Patio Bar Sets</t>
        </is>
      </c>
      <c r="AT88" t="inlineStr">
        <is>
          <t>Benzo[a]pyrene</t>
        </is>
      </c>
      <c r="AU88" t="inlineStr">
        <is>
          <t>Georgia</t>
        </is>
      </c>
    </row>
    <row r="89">
      <c r="A89" t="inlineStr">
        <is>
          <t>Ceiling Fans</t>
        </is>
      </c>
      <c r="AT89" t="inlineStr">
        <is>
          <t>Benzotrichloride</t>
        </is>
      </c>
      <c r="AU89" t="inlineStr">
        <is>
          <t>Germany</t>
        </is>
      </c>
    </row>
    <row r="90">
      <c r="A90" t="inlineStr">
        <is>
          <t>Patio Umbrella Accessories</t>
        </is>
      </c>
      <c r="AT90" t="inlineStr">
        <is>
          <t>Benzphetamine hydrochloride</t>
        </is>
      </c>
      <c r="AU90" t="inlineStr">
        <is>
          <t>Ghana</t>
        </is>
      </c>
    </row>
    <row r="91">
      <c r="A91" t="inlineStr">
        <is>
          <t>Gliders</t>
        </is>
      </c>
      <c r="AT91" t="inlineStr">
        <is>
          <t>Benzyl chloride</t>
        </is>
      </c>
      <c r="AU91" t="inlineStr">
        <is>
          <t>Gibraltar</t>
        </is>
      </c>
    </row>
    <row r="92">
      <c r="A92" t="inlineStr">
        <is>
          <t>Mattress Toppers and Pads</t>
        </is>
      </c>
      <c r="AT92" t="inlineStr">
        <is>
          <t>Benzyl violet 4B</t>
        </is>
      </c>
      <c r="AU92" t="inlineStr">
        <is>
          <t>Greece</t>
        </is>
      </c>
    </row>
    <row r="93">
      <c r="A93" t="inlineStr">
        <is>
          <t>TV Stand Accessories</t>
        </is>
      </c>
      <c r="AT93" t="inlineStr">
        <is>
          <t>Beryllium and beryllium compounds</t>
        </is>
      </c>
      <c r="AU93" t="inlineStr">
        <is>
          <t>Greenland</t>
        </is>
      </c>
    </row>
    <row r="94">
      <c r="A94" t="inlineStr">
        <is>
          <t>Furniture Covers</t>
        </is>
      </c>
      <c r="AT94" t="inlineStr">
        <is>
          <t>Betel quid with tobacco</t>
        </is>
      </c>
      <c r="AU94" t="inlineStr">
        <is>
          <t>Grenada</t>
        </is>
      </c>
    </row>
    <row r="95">
      <c r="A95" t="inlineStr">
        <is>
          <t>Mount Accessories</t>
        </is>
      </c>
      <c r="AT95" t="inlineStr">
        <is>
          <t>Betel quid without tobacco</t>
        </is>
      </c>
      <c r="AU95" t="inlineStr">
        <is>
          <t>Guadeloupe</t>
        </is>
      </c>
    </row>
    <row r="96">
      <c r="A96" t="inlineStr">
        <is>
          <t>Room Dividers</t>
        </is>
      </c>
      <c r="AT96" t="inlineStr">
        <is>
          <t>2,2-Bis(bromomethyl)-1,3-propanediol</t>
        </is>
      </c>
      <c r="AU96" t="inlineStr">
        <is>
          <t>Guam</t>
        </is>
      </c>
    </row>
    <row r="97">
      <c r="A97" t="inlineStr">
        <is>
          <t>Bird Baths</t>
        </is>
      </c>
      <c r="AT97" t="inlineStr">
        <is>
          <t>Bis(2-chloroethyl)ether</t>
        </is>
      </c>
      <c r="AU97" t="inlineStr">
        <is>
          <t>Guatemala</t>
        </is>
      </c>
    </row>
    <row r="98">
      <c r="A98" t="inlineStr">
        <is>
          <t>Bird Feeders</t>
        </is>
      </c>
      <c r="AT98" t="inlineStr">
        <is>
          <t>N,N-Bis(2-chloroethyl)-2-naphthylamine  (Chlornapazine)</t>
        </is>
      </c>
      <c r="AU98" t="inlineStr">
        <is>
          <t>Guernsey</t>
        </is>
      </c>
    </row>
    <row r="99">
      <c r="A99" t="inlineStr">
        <is>
          <t>Benches</t>
        </is>
      </c>
      <c r="AT99" t="inlineStr">
        <is>
          <t>Bischloroethyl nitrosourea (BCNU) (Carmustine)</t>
        </is>
      </c>
      <c r="AU99" t="inlineStr">
        <is>
          <t>Guinea</t>
        </is>
      </c>
    </row>
    <row r="100">
      <c r="A100" t="inlineStr">
        <is>
          <t>Recessed Lighting Housing</t>
        </is>
      </c>
      <c r="AT100" t="inlineStr">
        <is>
          <t>Bis(chloromethyl)ether</t>
        </is>
      </c>
      <c r="AU100" t="inlineStr">
        <is>
          <t>Guinea-Bissau</t>
        </is>
      </c>
    </row>
    <row r="101">
      <c r="A101" t="inlineStr">
        <is>
          <t>Lighting Accessories</t>
        </is>
      </c>
      <c r="AT101" t="inlineStr">
        <is>
          <t>Bis(2-chloro-1-methylethyl)ether,  technical grade</t>
        </is>
      </c>
      <c r="AU101" t="inlineStr">
        <is>
          <t>Guyana</t>
        </is>
      </c>
    </row>
    <row r="102">
      <c r="A102" t="inlineStr">
        <is>
          <t>Classroom Desks</t>
        </is>
      </c>
      <c r="AT102" t="inlineStr">
        <is>
          <t>Bisphenol A (BPA)</t>
        </is>
      </c>
      <c r="AU102" t="inlineStr">
        <is>
          <t>Haiti</t>
        </is>
      </c>
    </row>
    <row r="103">
      <c r="A103" t="inlineStr">
        <is>
          <t>Stages, Risers and Accessories</t>
        </is>
      </c>
      <c r="AT103" t="inlineStr">
        <is>
          <t>Bitumens, extracts of steam-refined and air refined</t>
        </is>
      </c>
      <c r="AU103" t="inlineStr">
        <is>
          <t>Heard Island and McDonald Islands</t>
        </is>
      </c>
    </row>
    <row r="104">
      <c r="A104" t="inlineStr">
        <is>
          <t>Rocking Chairs</t>
        </is>
      </c>
      <c r="AT104" t="inlineStr">
        <is>
          <t>Bracken fern</t>
        </is>
      </c>
      <c r="AU104" t="inlineStr">
        <is>
          <t>Holy See (Vatican City State)</t>
        </is>
      </c>
    </row>
    <row r="105">
      <c r="A105" t="inlineStr">
        <is>
          <t>Office Partitions</t>
        </is>
      </c>
      <c r="AT105" t="inlineStr">
        <is>
          <t>Bromacil lithium salt</t>
        </is>
      </c>
      <c r="AU105" t="inlineStr">
        <is>
          <t>Honduras</t>
        </is>
      </c>
    </row>
    <row r="106">
      <c r="A106" t="inlineStr">
        <is>
          <t>Furniture Cushions</t>
        </is>
      </c>
      <c r="AT106" t="inlineStr">
        <is>
          <t>Bromate</t>
        </is>
      </c>
      <c r="AU106" t="inlineStr">
        <is>
          <t>Hong Kong</t>
        </is>
      </c>
    </row>
    <row r="107">
      <c r="A107" t="inlineStr">
        <is>
          <t>Accent Stools</t>
        </is>
      </c>
      <c r="AT107" t="inlineStr">
        <is>
          <t>Bromochloroacetic acid</t>
        </is>
      </c>
      <c r="AU107" t="inlineStr">
        <is>
          <t>Hungary</t>
        </is>
      </c>
    </row>
    <row r="108">
      <c r="A108" t="inlineStr">
        <is>
          <t>Locker Room Benches</t>
        </is>
      </c>
      <c r="AT108" t="inlineStr">
        <is>
          <t>Bromodichloroacetic acid</t>
        </is>
      </c>
      <c r="AU108" t="inlineStr">
        <is>
          <t>Iceland</t>
        </is>
      </c>
    </row>
    <row r="109">
      <c r="A109" t="inlineStr">
        <is>
          <t>Living Room Sets</t>
        </is>
      </c>
      <c r="AT109" t="inlineStr">
        <is>
          <t>Bromodichloromethane</t>
        </is>
      </c>
      <c r="AU109" t="inlineStr">
        <is>
          <t>India</t>
        </is>
      </c>
    </row>
    <row r="110">
      <c r="A110" t="inlineStr">
        <is>
          <t>Sofas</t>
        </is>
      </c>
      <c r="AT110" t="inlineStr">
        <is>
          <t>Bromoethane</t>
        </is>
      </c>
      <c r="AU110" t="inlineStr">
        <is>
          <t>Indonesia</t>
        </is>
      </c>
    </row>
    <row r="111">
      <c r="A111" t="inlineStr">
        <is>
          <t>Sectionals</t>
        </is>
      </c>
      <c r="AT111" t="inlineStr">
        <is>
          <t>Bromoform</t>
        </is>
      </c>
      <c r="AU111" t="inlineStr">
        <is>
          <t>Iran, Islamic Republic of</t>
        </is>
      </c>
    </row>
    <row r="112">
      <c r="A112" t="inlineStr">
        <is>
          <t>Ottomans</t>
        </is>
      </c>
      <c r="AT112" t="inlineStr">
        <is>
          <t>1-Bromopropane (1-BP)</t>
        </is>
      </c>
      <c r="AU112" t="inlineStr">
        <is>
          <t>Iraq</t>
        </is>
      </c>
    </row>
    <row r="113">
      <c r="A113" t="inlineStr">
        <is>
          <t>Listening Centers</t>
        </is>
      </c>
      <c r="AT113" t="inlineStr">
        <is>
          <t>Bromoxynil</t>
        </is>
      </c>
      <c r="AU113" t="inlineStr">
        <is>
          <t>Ireland</t>
        </is>
      </c>
    </row>
    <row r="114">
      <c r="A114" t="inlineStr">
        <is>
          <t>Outdoor Fireplaces</t>
        </is>
      </c>
      <c r="AT114" t="inlineStr">
        <is>
          <t>Bromoxynil octanoate</t>
        </is>
      </c>
      <c r="AU114" t="inlineStr">
        <is>
          <t>Isle of Man</t>
        </is>
      </c>
    </row>
    <row r="115">
      <c r="A115" t="inlineStr">
        <is>
          <t>Projectors</t>
        </is>
      </c>
      <c r="AT115" t="inlineStr">
        <is>
          <t>Butabarbital sodium</t>
        </is>
      </c>
      <c r="AU115" t="inlineStr">
        <is>
          <t>Israel</t>
        </is>
      </c>
    </row>
    <row r="116">
      <c r="A116" t="inlineStr">
        <is>
          <t>Light Bulbs</t>
        </is>
      </c>
      <c r="AT116" t="inlineStr">
        <is>
          <t>1,3-Butadiene</t>
        </is>
      </c>
      <c r="AU116" t="inlineStr">
        <is>
          <t>Italy</t>
        </is>
      </c>
    </row>
    <row r="117">
      <c r="A117" t="inlineStr">
        <is>
          <t>Patio Ottomans</t>
        </is>
      </c>
      <c r="AT117" t="inlineStr">
        <is>
          <t>1,4-Butanediol dimethanesulfonate (Busulfan)</t>
        </is>
      </c>
      <c r="AU117" t="inlineStr">
        <is>
          <t>Jamaica</t>
        </is>
      </c>
    </row>
    <row r="118">
      <c r="A118" t="inlineStr">
        <is>
          <t>Planters</t>
        </is>
      </c>
      <c r="AT118" t="inlineStr">
        <is>
          <t>Butylated hydroxyanisole</t>
        </is>
      </c>
      <c r="AU118" t="inlineStr">
        <is>
          <t>Japan</t>
        </is>
      </c>
    </row>
    <row r="119">
      <c r="A119" t="inlineStr">
        <is>
          <t>Toy Boxes and Organizers</t>
        </is>
      </c>
      <c r="AT119" t="inlineStr">
        <is>
          <t>Butyl benzyl phthalate (BBP)d</t>
        </is>
      </c>
      <c r="AU119" t="inlineStr">
        <is>
          <t>Jersey</t>
        </is>
      </c>
    </row>
    <row r="120">
      <c r="A120" t="inlineStr">
        <is>
          <t>Rocking Horses</t>
        </is>
      </c>
      <c r="AT120" t="inlineStr">
        <is>
          <t>beta-Butyrolactone</t>
        </is>
      </c>
      <c r="AU120" t="inlineStr">
        <is>
          <t>Jordan</t>
        </is>
      </c>
    </row>
    <row r="121">
      <c r="A121" t="inlineStr">
        <is>
          <t>Stair Treads</t>
        </is>
      </c>
      <c r="AT121" t="inlineStr">
        <is>
          <t>Cacodylic acid</t>
        </is>
      </c>
      <c r="AU121" t="inlineStr">
        <is>
          <t>Kazakhstan</t>
        </is>
      </c>
    </row>
    <row r="122">
      <c r="A122" t="inlineStr">
        <is>
          <t>Rug Care</t>
        </is>
      </c>
      <c r="AT122" t="inlineStr">
        <is>
          <t>Cadmium</t>
        </is>
      </c>
      <c r="AU122" t="inlineStr">
        <is>
          <t>Kenya</t>
        </is>
      </c>
    </row>
    <row r="123">
      <c r="A123" t="inlineStr">
        <is>
          <t>Kids Chairs</t>
        </is>
      </c>
      <c r="AT123" t="inlineStr">
        <is>
          <t>Cadmium and cadmium compounds</t>
        </is>
      </c>
      <c r="AU123" t="inlineStr">
        <is>
          <t>Kiribati</t>
        </is>
      </c>
    </row>
    <row r="124">
      <c r="A124" t="inlineStr">
        <is>
          <t>Bath Accessories</t>
        </is>
      </c>
      <c r="AT124" t="inlineStr">
        <is>
          <t>Caffeic acid</t>
        </is>
      </c>
      <c r="AU124" t="inlineStr">
        <is>
          <t>Korea, Democratic People's Republic of</t>
        </is>
      </c>
    </row>
    <row r="125">
      <c r="A125" t="inlineStr">
        <is>
          <t>Storage Drawers</t>
        </is>
      </c>
      <c r="AT125" t="inlineStr">
        <is>
          <t>Captafol</t>
        </is>
      </c>
      <c r="AU125" t="inlineStr">
        <is>
          <t>Korea, Republic of</t>
        </is>
      </c>
    </row>
    <row r="126">
      <c r="A126" t="inlineStr">
        <is>
          <t>Cribs</t>
        </is>
      </c>
      <c r="AT126" t="inlineStr">
        <is>
          <t>Captan</t>
        </is>
      </c>
      <c r="AU126" t="inlineStr">
        <is>
          <t>Kuwait</t>
        </is>
      </c>
    </row>
    <row r="127">
      <c r="A127" t="inlineStr">
        <is>
          <t>Cable Management</t>
        </is>
      </c>
      <c r="AT127" t="inlineStr">
        <is>
          <t>Carbamazepine</t>
        </is>
      </c>
      <c r="AU127" t="inlineStr">
        <is>
          <t>Kyrgyzstan</t>
        </is>
      </c>
    </row>
    <row r="128">
      <c r="A128" t="inlineStr">
        <is>
          <t>Locker Accessories</t>
        </is>
      </c>
      <c r="AT128" t="inlineStr">
        <is>
          <t>Carbaryl</t>
        </is>
      </c>
      <c r="AU128" t="inlineStr">
        <is>
          <t>Lao People's Democratic Republic</t>
        </is>
      </c>
    </row>
    <row r="129">
      <c r="A129" t="inlineStr">
        <is>
          <t>Kids Tables and Sets</t>
        </is>
      </c>
      <c r="AT129" t="inlineStr">
        <is>
          <t>Carbazole</t>
        </is>
      </c>
      <c r="AU129" t="inlineStr">
        <is>
          <t>Latvia</t>
        </is>
      </c>
    </row>
    <row r="130">
      <c r="A130" t="inlineStr">
        <is>
          <t>Breakroom Tables</t>
        </is>
      </c>
      <c r="AT130" t="inlineStr">
        <is>
          <t>Carbon black (airborne, unbound particles of respirable size)</t>
        </is>
      </c>
      <c r="AU130" t="inlineStr">
        <is>
          <t>Lebanon</t>
        </is>
      </c>
    </row>
    <row r="131">
      <c r="A131" t="inlineStr">
        <is>
          <t>Air Mattresses</t>
        </is>
      </c>
      <c r="AT131" t="inlineStr">
        <is>
          <t>Carbon-black extracts</t>
        </is>
      </c>
      <c r="AU131" t="inlineStr">
        <is>
          <t>Lesotho</t>
        </is>
      </c>
    </row>
    <row r="132">
      <c r="A132" t="inlineStr">
        <is>
          <t>Board &amp; Easel Accessories</t>
        </is>
      </c>
      <c r="AT132" t="inlineStr">
        <is>
          <t>Carbon disulfide</t>
        </is>
      </c>
      <c r="AU132" t="inlineStr">
        <is>
          <t>Liberia</t>
        </is>
      </c>
    </row>
    <row r="133">
      <c r="A133" t="inlineStr">
        <is>
          <t>Bassinets &amp; Cradles</t>
        </is>
      </c>
      <c r="AT133" t="inlineStr">
        <is>
          <t>Carbon monoxide</t>
        </is>
      </c>
      <c r="AU133" t="inlineStr">
        <is>
          <t>Libyan Arab Jamahiriya</t>
        </is>
      </c>
    </row>
    <row r="134">
      <c r="A134" t="inlineStr">
        <is>
          <t>Patio Heaters</t>
        </is>
      </c>
      <c r="AT134" t="inlineStr">
        <is>
          <t>Carbon tetrachloride</t>
        </is>
      </c>
      <c r="AU134" t="inlineStr">
        <is>
          <t>Liechtenstein</t>
        </is>
      </c>
    </row>
    <row r="135">
      <c r="A135" t="inlineStr">
        <is>
          <t xml:space="preserve"> Multi-Child Strollers</t>
        </is>
      </c>
      <c r="AT135" t="inlineStr">
        <is>
          <t>Carboplatin</t>
        </is>
      </c>
      <c r="AU135" t="inlineStr">
        <is>
          <t>Lithuania</t>
        </is>
      </c>
    </row>
    <row r="136">
      <c r="A136" t="inlineStr">
        <is>
          <t>Trellises</t>
        </is>
      </c>
      <c r="AT136" t="inlineStr">
        <is>
          <t>N-Carboxymethyl-N-nitrosourea</t>
        </is>
      </c>
      <c r="AU136" t="inlineStr">
        <is>
          <t>Luxembourg</t>
        </is>
      </c>
    </row>
    <row r="137">
      <c r="A137" t="inlineStr">
        <is>
          <t>Chairmats</t>
        </is>
      </c>
      <c r="AT137" t="inlineStr">
        <is>
          <t>Catechol</t>
        </is>
      </c>
      <c r="AU137" t="inlineStr">
        <is>
          <t>Macao</t>
        </is>
      </c>
    </row>
    <row r="138">
      <c r="A138" t="inlineStr">
        <is>
          <t>Dollhouses</t>
        </is>
      </c>
      <c r="AT138" t="inlineStr">
        <is>
          <t>Ceramic fibers (airborne particles of respirable size)</t>
        </is>
      </c>
      <c r="AU138" t="inlineStr">
        <is>
          <t>Macedonia, The Former Yugoslav Republic of</t>
        </is>
      </c>
    </row>
    <row r="139">
      <c r="A139" t="inlineStr">
        <is>
          <t>Mailroom Tables</t>
        </is>
      </c>
      <c r="AT139" t="inlineStr">
        <is>
          <t>Certain combined chemotherapy for lymphomas</t>
        </is>
      </c>
      <c r="AU139" t="inlineStr">
        <is>
          <t>Madagascar</t>
        </is>
      </c>
    </row>
    <row r="140">
      <c r="A140" t="inlineStr">
        <is>
          <t>Maps &amp; Atlases</t>
        </is>
      </c>
      <c r="AT140" t="inlineStr">
        <is>
          <t>Chenodiol</t>
        </is>
      </c>
      <c r="AU140" t="inlineStr">
        <is>
          <t>Malawi</t>
        </is>
      </c>
    </row>
    <row r="141">
      <c r="A141" t="inlineStr">
        <is>
          <t>Door Bells &amp; Chimes</t>
        </is>
      </c>
      <c r="AT141" t="inlineStr">
        <is>
          <t>Chloral</t>
        </is>
      </c>
      <c r="AU141" t="inlineStr">
        <is>
          <t>Malaysia</t>
        </is>
      </c>
    </row>
    <row r="142">
      <c r="A142" t="inlineStr">
        <is>
          <t>Coffee &amp; Cocktail Tables</t>
        </is>
      </c>
      <c r="AT142" t="inlineStr">
        <is>
          <t>Chloral hydrate</t>
        </is>
      </c>
      <c r="AU142" t="inlineStr">
        <is>
          <t>Maldives</t>
        </is>
      </c>
    </row>
    <row r="143">
      <c r="A143" t="inlineStr">
        <is>
          <t>End Tables</t>
        </is>
      </c>
      <c r="AT143" t="inlineStr">
        <is>
          <t>Chlorambucil</t>
        </is>
      </c>
      <c r="AU143" t="inlineStr">
        <is>
          <t>Mali</t>
        </is>
      </c>
    </row>
    <row r="144">
      <c r="A144" t="inlineStr">
        <is>
          <t>Sofa &amp; Console Tables</t>
        </is>
      </c>
      <c r="AT144" t="inlineStr">
        <is>
          <t>Chloramphenicol sodium succinate</t>
        </is>
      </c>
      <c r="AU144" t="inlineStr">
        <is>
          <t>Malta</t>
        </is>
      </c>
    </row>
    <row r="145">
      <c r="A145" t="inlineStr">
        <is>
          <t>Smoking Urns &amp; Ashtrays</t>
        </is>
      </c>
      <c r="AT145" t="inlineStr">
        <is>
          <t>Chlorcyclizine hydrochloride</t>
        </is>
      </c>
      <c r="AU145" t="inlineStr">
        <is>
          <t>Marshall Islands</t>
        </is>
      </c>
    </row>
    <row r="146">
      <c r="A146" t="inlineStr">
        <is>
          <t>Portable Fans</t>
        </is>
      </c>
      <c r="AT146" t="inlineStr">
        <is>
          <t>Chlordane</t>
        </is>
      </c>
      <c r="AU146" t="inlineStr">
        <is>
          <t>Martinique</t>
        </is>
      </c>
    </row>
    <row r="147">
      <c r="A147" t="inlineStr">
        <is>
          <t>Living Room Table Sets</t>
        </is>
      </c>
      <c r="AT147" t="inlineStr">
        <is>
          <t>Chlordecone (Kepone)</t>
        </is>
      </c>
      <c r="AU147" t="inlineStr">
        <is>
          <t>Mauritania</t>
        </is>
      </c>
    </row>
    <row r="148">
      <c r="A148" t="inlineStr">
        <is>
          <t>Trash Cans &amp; Recycling</t>
        </is>
      </c>
      <c r="AT148" t="inlineStr">
        <is>
          <t>Chlordiazepoxide</t>
        </is>
      </c>
      <c r="AU148" t="inlineStr">
        <is>
          <t>Mauritius</t>
        </is>
      </c>
    </row>
    <row r="149">
      <c r="A149" t="inlineStr">
        <is>
          <t>Jewelry Boxes</t>
        </is>
      </c>
      <c r="AT149" t="inlineStr">
        <is>
          <t>Chlordiazepoxide hydrochloride</t>
        </is>
      </c>
      <c r="AU149" t="inlineStr">
        <is>
          <t>Mayotte</t>
        </is>
      </c>
    </row>
    <row r="150">
      <c r="A150" t="inlineStr">
        <is>
          <t>Massage Chairs</t>
        </is>
      </c>
      <c r="AT150" t="inlineStr">
        <is>
          <t>Chlordimeform</t>
        </is>
      </c>
      <c r="AU150" t="inlineStr">
        <is>
          <t>Mexico</t>
        </is>
      </c>
    </row>
    <row r="151">
      <c r="A151" t="inlineStr">
        <is>
          <t>Wall Mounted Shelves</t>
        </is>
      </c>
      <c r="AT151" t="inlineStr">
        <is>
          <t>Chlorendic acid</t>
        </is>
      </c>
      <c r="AU151" t="inlineStr">
        <is>
          <t>Micronesia, Federated States of</t>
        </is>
      </c>
    </row>
    <row r="152">
      <c r="A152" t="inlineStr">
        <is>
          <t>Home Theater Seating</t>
        </is>
      </c>
      <c r="AT152" t="inlineStr">
        <is>
          <t>Chlorinated paraffins (Average chain length, C12;approximately 60 percent chlorine by weight)</t>
        </is>
      </c>
      <c r="AU152" t="inlineStr">
        <is>
          <t>Moldova, Republic of</t>
        </is>
      </c>
    </row>
    <row r="153">
      <c r="A153" t="inlineStr">
        <is>
          <t>Sheds</t>
        </is>
      </c>
      <c r="AT153" t="inlineStr">
        <is>
          <t>p-Chloroaniline</t>
        </is>
      </c>
      <c r="AU153" t="inlineStr">
        <is>
          <t>Monaco</t>
        </is>
      </c>
    </row>
    <row r="154">
      <c r="A154" t="inlineStr">
        <is>
          <t>Trash Can Accessories</t>
        </is>
      </c>
      <c r="AT154" t="inlineStr">
        <is>
          <t>p-Chloroaniline hydrochloride</t>
        </is>
      </c>
      <c r="AU154" t="inlineStr">
        <is>
          <t>Mongolia</t>
        </is>
      </c>
    </row>
    <row r="155">
      <c r="A155" t="inlineStr">
        <is>
          <t>Baby &amp; Kids Nap Mats and Playmats</t>
        </is>
      </c>
      <c r="AT155" t="inlineStr">
        <is>
          <t>Chloroethane (Ethyl chloride)</t>
        </is>
      </c>
      <c r="AU155" t="inlineStr">
        <is>
          <t>Montenegro</t>
        </is>
      </c>
    </row>
    <row r="156">
      <c r="A156" t="inlineStr">
        <is>
          <t>Ride-On Toys</t>
        </is>
      </c>
      <c r="AT156" t="inlineStr">
        <is>
          <t>1-(2-Chloroethyl)-3-cyclohexyl-1-nitrosourea (CCNU) (Lomustine)</t>
        </is>
      </c>
      <c r="AU156" t="inlineStr">
        <is>
          <t>Montserrat</t>
        </is>
      </c>
    </row>
    <row r="157">
      <c r="A157" t="inlineStr">
        <is>
          <t>Classroom Storage</t>
        </is>
      </c>
      <c r="AT157" t="inlineStr">
        <is>
          <t>1-(2-Chloroethyl)-3-(4-methylcyclohexyl)-1-nitrosourea (Methyl-CCNU)</t>
        </is>
      </c>
      <c r="AU157" t="inlineStr">
        <is>
          <t>Morocco</t>
        </is>
      </c>
    </row>
    <row r="158">
      <c r="A158" t="inlineStr">
        <is>
          <t>Canopies</t>
        </is>
      </c>
      <c r="AT158" t="inlineStr">
        <is>
          <t>Chloromethyl methyl ether (technical grade)</t>
        </is>
      </c>
      <c r="AU158" t="inlineStr">
        <is>
          <t>Mozambique</t>
        </is>
      </c>
    </row>
    <row r="159">
      <c r="A159" t="inlineStr">
        <is>
          <t>Kids Bookcases</t>
        </is>
      </c>
      <c r="AT159" t="inlineStr">
        <is>
          <t>3-Chloro-2-methylpropene</t>
        </is>
      </c>
      <c r="AU159" t="inlineStr">
        <is>
          <t>Myanmar</t>
        </is>
      </c>
    </row>
    <row r="160">
      <c r="A160" t="inlineStr">
        <is>
          <t>Laundry Accessories &amp; Storage</t>
        </is>
      </c>
      <c r="AT160" t="inlineStr">
        <is>
          <t>1-Chloro-4-nitrobenzene</t>
        </is>
      </c>
      <c r="AU160" t="inlineStr">
        <is>
          <t>Namibia</t>
        </is>
      </c>
    </row>
    <row r="161">
      <c r="A161" t="inlineStr">
        <is>
          <t>Vases, Urns, Jars, &amp; Bottles</t>
        </is>
      </c>
      <c r="AT161" t="inlineStr">
        <is>
          <t>4-Chloro-o-phenylenediamine</t>
        </is>
      </c>
      <c r="AU161" t="inlineStr">
        <is>
          <t>Nauru</t>
        </is>
      </c>
    </row>
    <row r="162">
      <c r="A162" t="inlineStr">
        <is>
          <t>Greenhouses</t>
        </is>
      </c>
      <c r="AT162" t="inlineStr">
        <is>
          <t>Chloroprene</t>
        </is>
      </c>
      <c r="AU162" t="inlineStr">
        <is>
          <t>Nepal</t>
        </is>
      </c>
    </row>
    <row r="163">
      <c r="A163" t="inlineStr">
        <is>
          <t>Greenhouse Accessories</t>
        </is>
      </c>
      <c r="AT163" t="inlineStr">
        <is>
          <t>Chlorothalonil</t>
        </is>
      </c>
      <c r="AU163" t="inlineStr">
        <is>
          <t>Netherlands</t>
        </is>
      </c>
    </row>
    <row r="164">
      <c r="A164" t="inlineStr">
        <is>
          <t>Shed Accessories</t>
        </is>
      </c>
      <c r="AT164" t="inlineStr">
        <is>
          <t>p-Chloro-o-toluidine</t>
        </is>
      </c>
      <c r="AU164" t="inlineStr">
        <is>
          <t>Netherlands Antilles</t>
        </is>
      </c>
    </row>
    <row r="165">
      <c r="A165" t="inlineStr">
        <is>
          <t>Activity Tables</t>
        </is>
      </c>
      <c r="AT165" t="inlineStr">
        <is>
          <t>p-Chloro-o-toluidine, strong acid salts of</t>
        </is>
      </c>
      <c r="AU165" t="inlineStr">
        <is>
          <t>New Caledonia</t>
        </is>
      </c>
    </row>
    <row r="166">
      <c r="A166" t="inlineStr">
        <is>
          <t>Soft Play</t>
        </is>
      </c>
      <c r="AT166" t="inlineStr">
        <is>
          <t>5-Chloro-o-toluidine and its strong acid salts</t>
        </is>
      </c>
      <c r="AU166" t="inlineStr">
        <is>
          <t>New Zealand</t>
        </is>
      </c>
    </row>
    <row r="167">
      <c r="A167" t="inlineStr">
        <is>
          <t>Mailboxes</t>
        </is>
      </c>
      <c r="AT167" t="inlineStr">
        <is>
          <t>Chlorotrianisene</t>
        </is>
      </c>
      <c r="AU167" t="inlineStr">
        <is>
          <t>Nicaragua</t>
        </is>
      </c>
    </row>
    <row r="168">
      <c r="A168" t="inlineStr">
        <is>
          <t>Mailbox Accessories</t>
        </is>
      </c>
      <c r="AT168" t="inlineStr">
        <is>
          <t>Chlorozotocin</t>
        </is>
      </c>
      <c r="AU168" t="inlineStr">
        <is>
          <t>Niger</t>
        </is>
      </c>
    </row>
    <row r="169">
      <c r="A169" t="inlineStr">
        <is>
          <t>Mailbox Posts &amp; Stands</t>
        </is>
      </c>
      <c r="AT169" t="inlineStr">
        <is>
          <t>Chlorpyrifos</t>
        </is>
      </c>
      <c r="AU169" t="inlineStr">
        <is>
          <t>Nigeria</t>
        </is>
      </c>
    </row>
    <row r="170">
      <c r="A170" t="inlineStr">
        <is>
          <t>Address Plaques &amp; Lettering</t>
        </is>
      </c>
      <c r="AT170" t="inlineStr">
        <is>
          <t>Chromium (hexavalent compounds)</t>
        </is>
      </c>
      <c r="AU170" t="inlineStr">
        <is>
          <t>Niue</t>
        </is>
      </c>
    </row>
    <row r="171">
      <c r="A171" t="inlineStr">
        <is>
          <t>Banner Stands and Booth Displays</t>
        </is>
      </c>
      <c r="AT171" t="inlineStr">
        <is>
          <t>Chrysene</t>
        </is>
      </c>
      <c r="AU171" t="inlineStr">
        <is>
          <t>Norfolk Island</t>
        </is>
      </c>
    </row>
    <row r="172">
      <c r="A172" t="inlineStr">
        <is>
          <t>Toilets</t>
        </is>
      </c>
      <c r="AT172" t="inlineStr">
        <is>
          <t>C.I. Acid Red 114</t>
        </is>
      </c>
      <c r="AU172" t="inlineStr">
        <is>
          <t>Northern Mariana Islands</t>
        </is>
      </c>
    </row>
    <row r="173">
      <c r="A173" t="inlineStr">
        <is>
          <t>Bathroom Sinks</t>
        </is>
      </c>
      <c r="AT173" t="inlineStr">
        <is>
          <t>C.I. Basic Red 9 monohydrochloride</t>
        </is>
      </c>
      <c r="AU173" t="inlineStr">
        <is>
          <t>Norway</t>
        </is>
      </c>
    </row>
    <row r="174">
      <c r="A174" t="inlineStr">
        <is>
          <t>Tubs And Whirlpools</t>
        </is>
      </c>
      <c r="AT174" t="inlineStr">
        <is>
          <t>C.I. Direct Blue 15</t>
        </is>
      </c>
      <c r="AU174" t="inlineStr">
        <is>
          <t>Oman</t>
        </is>
      </c>
    </row>
    <row r="175">
      <c r="A175" t="inlineStr">
        <is>
          <t>Cart Accessories &amp; Parts</t>
        </is>
      </c>
      <c r="AT175" t="inlineStr">
        <is>
          <t>C.I. Direct Blue 218</t>
        </is>
      </c>
      <c r="AU175" t="inlineStr">
        <is>
          <t>Pakistan</t>
        </is>
      </c>
    </row>
    <row r="176">
      <c r="A176" t="inlineStr">
        <is>
          <t>Baking Sheets</t>
        </is>
      </c>
      <c r="AT176" t="inlineStr">
        <is>
          <t>C.I. Disperse Yellow 3</t>
        </is>
      </c>
      <c r="AU176" t="inlineStr">
        <is>
          <t>Palau</t>
        </is>
      </c>
    </row>
    <row r="177">
      <c r="A177" t="inlineStr">
        <is>
          <t>Pie Pans</t>
        </is>
      </c>
      <c r="AT177" t="inlineStr">
        <is>
          <t>C.I. Solvent Yellow 14</t>
        </is>
      </c>
      <c r="AU177" t="inlineStr">
        <is>
          <t>Palestinian Territory, Occupied</t>
        </is>
      </c>
    </row>
    <row r="178">
      <c r="A178" t="inlineStr">
        <is>
          <t>Cake Pans</t>
        </is>
      </c>
      <c r="AT178" t="inlineStr">
        <is>
          <t>Ciclosporin (Cyclosporin A; Cyclosporine)</t>
        </is>
      </c>
      <c r="AU178" t="inlineStr">
        <is>
          <t>Panama</t>
        </is>
      </c>
    </row>
    <row r="179">
      <c r="A179" t="inlineStr">
        <is>
          <t>Fixture Parts And Components</t>
        </is>
      </c>
      <c r="AT179" t="inlineStr">
        <is>
          <t>Cidofovir</t>
        </is>
      </c>
      <c r="AU179" t="inlineStr">
        <is>
          <t>Papua New Guinea</t>
        </is>
      </c>
    </row>
    <row r="180">
      <c r="A180" t="inlineStr">
        <is>
          <t>Garden Statues</t>
        </is>
      </c>
      <c r="AT180" t="inlineStr">
        <is>
          <t>Cinnamyl anthranilate</t>
        </is>
      </c>
      <c r="AU180" t="inlineStr">
        <is>
          <t>Paraguay</t>
        </is>
      </c>
    </row>
    <row r="181">
      <c r="A181" t="inlineStr">
        <is>
          <t>Patio Furniture Replacement Slings</t>
        </is>
      </c>
      <c r="AT181" t="inlineStr">
        <is>
          <t>Cisplatin</t>
        </is>
      </c>
      <c r="AU181" t="inlineStr">
        <is>
          <t>Peru</t>
        </is>
      </c>
    </row>
    <row r="182">
      <c r="A182" t="inlineStr">
        <is>
          <t>Vehicle Ports</t>
        </is>
      </c>
      <c r="AT182" t="inlineStr">
        <is>
          <t>Citrus Red No. 2</t>
        </is>
      </c>
      <c r="AU182" t="inlineStr">
        <is>
          <t>Philippines</t>
        </is>
      </c>
    </row>
    <row r="183">
      <c r="A183" t="inlineStr">
        <is>
          <t>Drains</t>
        </is>
      </c>
      <c r="AT183" t="inlineStr">
        <is>
          <t>Cladribine</t>
        </is>
      </c>
      <c r="AU183" t="inlineStr">
        <is>
          <t>Pitcairn</t>
        </is>
      </c>
    </row>
    <row r="184">
      <c r="A184" t="inlineStr">
        <is>
          <t>Kitchen Sinks</t>
        </is>
      </c>
      <c r="AT184" t="inlineStr">
        <is>
          <t>Clarithromycin</t>
        </is>
      </c>
      <c r="AU184" t="inlineStr">
        <is>
          <t>Poland</t>
        </is>
      </c>
    </row>
    <row r="185">
      <c r="A185" t="inlineStr">
        <is>
          <t>Medicine Cabinets</t>
        </is>
      </c>
      <c r="AT185" t="inlineStr">
        <is>
          <t>Clobetasol propionate</t>
        </is>
      </c>
      <c r="AU185" t="inlineStr">
        <is>
          <t>Portugal</t>
        </is>
      </c>
    </row>
    <row r="186">
      <c r="A186" t="inlineStr">
        <is>
          <t>Valves</t>
        </is>
      </c>
      <c r="AT186" t="inlineStr">
        <is>
          <t>Clofibrate</t>
        </is>
      </c>
      <c r="AU186" t="inlineStr">
        <is>
          <t>Puerto Rico</t>
        </is>
      </c>
    </row>
    <row r="187">
      <c r="A187" t="inlineStr">
        <is>
          <t>Kitchen Sink Accessories</t>
        </is>
      </c>
      <c r="AT187" t="inlineStr">
        <is>
          <t>Clomiphene citrate</t>
        </is>
      </c>
      <c r="AU187" t="inlineStr">
        <is>
          <t>Qatar</t>
        </is>
      </c>
    </row>
    <row r="188">
      <c r="A188" t="inlineStr">
        <is>
          <t>Salt And Pepper Shakers / Grinders (Mills)</t>
        </is>
      </c>
      <c r="AT188" t="inlineStr">
        <is>
          <t>Clorazepate dipotassium</t>
        </is>
      </c>
      <c r="AU188" t="inlineStr">
        <is>
          <t>Reunion</t>
        </is>
      </c>
    </row>
    <row r="189">
      <c r="A189" t="inlineStr">
        <is>
          <t>Blinds and Shades</t>
        </is>
      </c>
      <c r="AT189" t="inlineStr">
        <is>
          <t>CMNP (pyrazachlor)</t>
        </is>
      </c>
      <c r="AU189" t="inlineStr">
        <is>
          <t>Romania</t>
        </is>
      </c>
    </row>
    <row r="190">
      <c r="A190" t="inlineStr">
        <is>
          <t>Picture Frames</t>
        </is>
      </c>
      <c r="AT190" t="inlineStr">
        <is>
          <t>Cobalt metal powder</t>
        </is>
      </c>
      <c r="AU190" t="inlineStr">
        <is>
          <t>Russian Federation</t>
        </is>
      </c>
    </row>
    <row r="191">
      <c r="A191" t="inlineStr">
        <is>
          <t>Safe Accessories</t>
        </is>
      </c>
      <c r="AT191" t="inlineStr">
        <is>
          <t>Cobalt [II] oxide</t>
        </is>
      </c>
      <c r="AU191" t="inlineStr">
        <is>
          <t>Rwanda</t>
        </is>
      </c>
    </row>
    <row r="192">
      <c r="A192" t="inlineStr">
        <is>
          <t>Kitchen Faucets</t>
        </is>
      </c>
      <c r="AT192" t="inlineStr">
        <is>
          <t>Cobalt sulfate</t>
        </is>
      </c>
      <c r="AU192" t="inlineStr">
        <is>
          <t>Saint Barthélemy</t>
        </is>
      </c>
    </row>
    <row r="193">
      <c r="A193" t="inlineStr">
        <is>
          <t>Bathroom Sink Faucets</t>
        </is>
      </c>
      <c r="AT193" t="inlineStr">
        <is>
          <t>Cobalt sulfate heptahydrate</t>
        </is>
      </c>
      <c r="AU193" t="inlineStr">
        <is>
          <t>Saint Helena</t>
        </is>
      </c>
    </row>
    <row r="194">
      <c r="A194" t="inlineStr">
        <is>
          <t>Range Hoods</t>
        </is>
      </c>
      <c r="AT194" t="inlineStr">
        <is>
          <t>Cocaine</t>
        </is>
      </c>
      <c r="AU194" t="inlineStr">
        <is>
          <t>Saint Kitts and Nevis</t>
        </is>
      </c>
    </row>
    <row r="195">
      <c r="A195" t="inlineStr">
        <is>
          <t>Science Tables</t>
        </is>
      </c>
      <c r="AT195" t="inlineStr">
        <is>
          <t>Coconut oil diethanolamine condensate (cocamide diethanolamine)</t>
        </is>
      </c>
      <c r="AU195" t="inlineStr">
        <is>
          <t>Saint Lucia</t>
        </is>
      </c>
    </row>
    <row r="196">
      <c r="A196" t="inlineStr">
        <is>
          <t>Cooking Utensils</t>
        </is>
      </c>
      <c r="AT196" t="inlineStr">
        <is>
          <t>Codeine phosphate</t>
        </is>
      </c>
      <c r="AU196" t="inlineStr">
        <is>
          <t>Saint Martin</t>
        </is>
      </c>
    </row>
    <row r="197">
      <c r="A197" t="inlineStr">
        <is>
          <t>Toilet Seats</t>
        </is>
      </c>
      <c r="AT197" t="inlineStr">
        <is>
          <t>Coke oven emissions</t>
        </is>
      </c>
      <c r="AU197" t="inlineStr">
        <is>
          <t>Saint Pierre and Miquelon</t>
        </is>
      </c>
    </row>
    <row r="198">
      <c r="A198" t="inlineStr">
        <is>
          <t>Birdhouses</t>
        </is>
      </c>
      <c r="AT198" t="inlineStr">
        <is>
          <t>Colchicine</t>
        </is>
      </c>
      <c r="AU198" t="inlineStr">
        <is>
          <t>Saint Vincent and the Grenadines</t>
        </is>
      </c>
    </row>
    <row r="199">
      <c r="A199" t="inlineStr">
        <is>
          <t>Coolers</t>
        </is>
      </c>
      <c r="AT199" t="inlineStr">
        <is>
          <t>Conjugated estrogens</t>
        </is>
      </c>
      <c r="AU199" t="inlineStr">
        <is>
          <t>Samoa</t>
        </is>
      </c>
    </row>
    <row r="200">
      <c r="A200" t="inlineStr">
        <is>
          <t>Play Kitchen Sets</t>
        </is>
      </c>
      <c r="AT200" t="inlineStr">
        <is>
          <t>Creosotes</t>
        </is>
      </c>
      <c r="AU200" t="inlineStr">
        <is>
          <t>San Marino</t>
        </is>
      </c>
    </row>
    <row r="201">
      <c r="A201" t="inlineStr">
        <is>
          <t>Cookware Sets</t>
        </is>
      </c>
      <c r="AT201" t="inlineStr">
        <is>
          <t>p-Cresidine</t>
        </is>
      </c>
      <c r="AU201" t="inlineStr">
        <is>
          <t>Sao Tome and Principe</t>
        </is>
      </c>
    </row>
    <row r="202">
      <c r="A202" t="inlineStr">
        <is>
          <t>Roasting Pans</t>
        </is>
      </c>
      <c r="AT202" t="inlineStr">
        <is>
          <t>Cumene</t>
        </is>
      </c>
      <c r="AU202" t="inlineStr">
        <is>
          <t>Saudi Arabia</t>
        </is>
      </c>
    </row>
    <row r="203">
      <c r="A203" t="inlineStr">
        <is>
          <t>Bed Frames</t>
        </is>
      </c>
      <c r="AT203" t="inlineStr">
        <is>
          <t>Cupferron</t>
        </is>
      </c>
      <c r="AU203" t="inlineStr">
        <is>
          <t>Senegal</t>
        </is>
      </c>
    </row>
    <row r="204">
      <c r="A204" t="inlineStr">
        <is>
          <t>Saucepans And Sauciers</t>
        </is>
      </c>
      <c r="AT204" t="inlineStr">
        <is>
          <t>Cyanazine</t>
        </is>
      </c>
      <c r="AU204" t="inlineStr">
        <is>
          <t>Serbia</t>
        </is>
      </c>
    </row>
    <row r="205">
      <c r="A205" t="inlineStr">
        <is>
          <t>Mobiles</t>
        </is>
      </c>
      <c r="AT205" t="inlineStr">
        <is>
          <t>Cycasin</t>
        </is>
      </c>
      <c r="AU205" t="inlineStr">
        <is>
          <t>Seychelles</t>
        </is>
      </c>
    </row>
    <row r="206">
      <c r="A206" t="inlineStr">
        <is>
          <t>Stock Pots, Soup Pots and Multi-Pots</t>
        </is>
      </c>
      <c r="AT206" t="inlineStr">
        <is>
          <t>Cycloate</t>
        </is>
      </c>
      <c r="AU206" t="inlineStr">
        <is>
          <t>Sierra Leone</t>
        </is>
      </c>
    </row>
    <row r="207">
      <c r="A207" t="inlineStr">
        <is>
          <t>Dutch Ovens &amp; Braisers</t>
        </is>
      </c>
      <c r="AT207" t="inlineStr">
        <is>
          <t>Cycloheximide</t>
        </is>
      </c>
      <c r="AU207" t="inlineStr">
        <is>
          <t>Singapore</t>
        </is>
      </c>
    </row>
    <row r="208">
      <c r="A208" t="inlineStr">
        <is>
          <t>Skillets &amp; Fry Pans</t>
        </is>
      </c>
      <c r="AT208" t="inlineStr">
        <is>
          <t>Cyclopenta[cd]pyrene</t>
        </is>
      </c>
      <c r="AU208" t="inlineStr">
        <is>
          <t>Slovakia</t>
        </is>
      </c>
    </row>
    <row r="209">
      <c r="A209" t="inlineStr">
        <is>
          <t>Fondue Sets</t>
        </is>
      </c>
      <c r="AT209" t="inlineStr">
        <is>
          <t>Cyclophosphamide (anhydrous)</t>
        </is>
      </c>
      <c r="AU209" t="inlineStr">
        <is>
          <t>Slovenia</t>
        </is>
      </c>
    </row>
    <row r="210">
      <c r="A210" t="inlineStr">
        <is>
          <t>Dinnerware Sets &amp; Place Settings</t>
        </is>
      </c>
      <c r="AT210" t="inlineStr">
        <is>
          <t>Cyclophosphamide (hydrated)</t>
        </is>
      </c>
      <c r="AU210" t="inlineStr">
        <is>
          <t>Solomon Islands</t>
        </is>
      </c>
    </row>
    <row r="211">
      <c r="A211" t="inlineStr">
        <is>
          <t>Waterbeds</t>
        </is>
      </c>
      <c r="AT211" t="inlineStr">
        <is>
          <t>Cyhexatin</t>
        </is>
      </c>
      <c r="AU211" t="inlineStr">
        <is>
          <t>Somalia</t>
        </is>
      </c>
    </row>
    <row r="212">
      <c r="A212" t="inlineStr">
        <is>
          <t>Waterbed Parts And Accessories</t>
        </is>
      </c>
      <c r="AT212" t="inlineStr">
        <is>
          <t>Cytarabine</t>
        </is>
      </c>
      <c r="AU212" t="inlineStr">
        <is>
          <t>South Africa</t>
        </is>
      </c>
    </row>
    <row r="213">
      <c r="A213" t="inlineStr">
        <is>
          <t>Slipcovers</t>
        </is>
      </c>
      <c r="AT213" t="inlineStr">
        <is>
          <t>Cytembena</t>
        </is>
      </c>
      <c r="AU213" t="inlineStr">
        <is>
          <t>South Georgia and the South Sandwich Islands</t>
        </is>
      </c>
    </row>
    <row r="214">
      <c r="A214" t="inlineStr">
        <is>
          <t>Under Cabinet Lighting</t>
        </is>
      </c>
      <c r="AT214" t="inlineStr">
        <is>
          <t>D&amp;C Orange No. 17</t>
        </is>
      </c>
      <c r="AU214" t="inlineStr">
        <is>
          <t>Spain</t>
        </is>
      </c>
    </row>
    <row r="215">
      <c r="A215" t="inlineStr">
        <is>
          <t>Bidet Faucets</t>
        </is>
      </c>
      <c r="AT215" t="inlineStr">
        <is>
          <t>D&amp;C Red No. 8</t>
        </is>
      </c>
      <c r="AU215" t="inlineStr">
        <is>
          <t>Sri Lanka</t>
        </is>
      </c>
    </row>
    <row r="216">
      <c r="A216" t="inlineStr">
        <is>
          <t>Recliners</t>
        </is>
      </c>
      <c r="AT216" t="inlineStr">
        <is>
          <t>D&amp;C Red No. 9</t>
        </is>
      </c>
      <c r="AU216" t="inlineStr">
        <is>
          <t>Sudan</t>
        </is>
      </c>
    </row>
    <row r="217">
      <c r="A217" t="inlineStr">
        <is>
          <t>Specialty Faucets</t>
        </is>
      </c>
      <c r="AT217" t="inlineStr">
        <is>
          <t>D&amp;C Red No. 19</t>
        </is>
      </c>
      <c r="AU217" t="inlineStr">
        <is>
          <t>Suriname</t>
        </is>
      </c>
    </row>
    <row r="218">
      <c r="A218" t="inlineStr">
        <is>
          <t>Urinals</t>
        </is>
      </c>
      <c r="AT218" t="inlineStr">
        <is>
          <t>Dacarbazine</t>
        </is>
      </c>
      <c r="AU218" t="inlineStr">
        <is>
          <t>Svalbard and Jan Mayen</t>
        </is>
      </c>
    </row>
    <row r="219">
      <c r="A219" t="inlineStr">
        <is>
          <t>Bidets</t>
        </is>
      </c>
      <c r="AT219" t="inlineStr">
        <is>
          <t>Daminozide</t>
        </is>
      </c>
      <c r="AU219" t="inlineStr">
        <is>
          <t>Swaziland</t>
        </is>
      </c>
    </row>
    <row r="220">
      <c r="A220" t="inlineStr">
        <is>
          <t>Blenders, Smoothie Makers &amp; Accessories</t>
        </is>
      </c>
      <c r="AT220" t="inlineStr">
        <is>
          <t>Danazol</t>
        </is>
      </c>
      <c r="AU220" t="inlineStr">
        <is>
          <t>Sweden</t>
        </is>
      </c>
    </row>
    <row r="221">
      <c r="A221" t="inlineStr">
        <is>
          <t>Mixers &amp; Mixer Accessories</t>
        </is>
      </c>
      <c r="AT221" t="inlineStr">
        <is>
          <t>Dantron (Chrysazin; 1,8-Dihydroxyanthraquinone)</t>
        </is>
      </c>
      <c r="AU221" t="inlineStr">
        <is>
          <t>Switzerland</t>
        </is>
      </c>
    </row>
    <row r="222">
      <c r="A222" t="inlineStr">
        <is>
          <t>Patio Umbrella Stands &amp; Bases</t>
        </is>
      </c>
      <c r="AT222" t="inlineStr">
        <is>
          <t>Daunomycin</t>
        </is>
      </c>
      <c r="AU222" t="inlineStr">
        <is>
          <t>Syrian Arab Republic</t>
        </is>
      </c>
    </row>
    <row r="223">
      <c r="A223" t="inlineStr">
        <is>
          <t>Food Processors</t>
        </is>
      </c>
      <c r="AT223" t="inlineStr">
        <is>
          <t xml:space="preserve">Daunorubicin hydrochloride </t>
        </is>
      </c>
      <c r="AU223" t="inlineStr">
        <is>
          <t>Taiwan</t>
        </is>
      </c>
    </row>
    <row r="224">
      <c r="A224" t="inlineStr">
        <is>
          <t>Ice Cream Makers &amp; Yogurt Makers</t>
        </is>
      </c>
      <c r="AT224" t="inlineStr">
        <is>
          <t>2,4-D butyric acid</t>
        </is>
      </c>
      <c r="AU224" t="inlineStr">
        <is>
          <t>Tajikistan</t>
        </is>
      </c>
    </row>
    <row r="225">
      <c r="A225" t="inlineStr">
        <is>
          <t>Slow Cookers</t>
        </is>
      </c>
      <c r="AT225" t="inlineStr">
        <is>
          <t>DDD (Dichlorodiphenyl-dichloroethane)</t>
        </is>
      </c>
      <c r="AU225" t="inlineStr">
        <is>
          <t>Tanzania, United Republic of</t>
        </is>
      </c>
    </row>
    <row r="226">
      <c r="A226" t="inlineStr">
        <is>
          <t>Food Dehydrators</t>
        </is>
      </c>
      <c r="AT226" t="inlineStr">
        <is>
          <t>DDE (Dichlorodiphenyl-dichloroethylene)</t>
        </is>
      </c>
      <c r="AU226" t="inlineStr">
        <is>
          <t>Thailand</t>
        </is>
      </c>
    </row>
    <row r="227">
      <c r="A227" t="inlineStr">
        <is>
          <t>Vacuum Food Sealers</t>
        </is>
      </c>
      <c r="AT227" t="inlineStr">
        <is>
          <t>DDT (Dichlorodiphenyl-trichloroethane)</t>
        </is>
      </c>
      <c r="AU227" t="inlineStr">
        <is>
          <t>Timor-Leste</t>
        </is>
      </c>
    </row>
    <row r="228">
      <c r="A228" t="inlineStr">
        <is>
          <t>Electric Grills &amp; Skillets</t>
        </is>
      </c>
      <c r="AT228" t="inlineStr">
        <is>
          <t>o,p'-DDT</t>
        </is>
      </c>
      <c r="AU228" t="inlineStr">
        <is>
          <t>Togo</t>
        </is>
      </c>
    </row>
    <row r="229">
      <c r="A229" t="inlineStr">
        <is>
          <t>Garbage Disposals</t>
        </is>
      </c>
      <c r="AT229" t="inlineStr">
        <is>
          <t>p,p'-DDT</t>
        </is>
      </c>
      <c r="AU229" t="inlineStr">
        <is>
          <t>Tokelau</t>
        </is>
      </c>
    </row>
    <row r="230">
      <c r="A230" t="inlineStr">
        <is>
          <t>Juicers</t>
        </is>
      </c>
      <c r="AT230" t="inlineStr">
        <is>
          <t>DDVP (Dichlorvos)</t>
        </is>
      </c>
      <c r="AU230" t="inlineStr">
        <is>
          <t>Tonga</t>
        </is>
      </c>
    </row>
    <row r="231">
      <c r="A231" t="inlineStr">
        <is>
          <t>Irons, Garment Steamers &amp; Hair Tools</t>
        </is>
      </c>
      <c r="AT231" t="inlineStr">
        <is>
          <t>Demeclocycline hydrochloride (internal use)</t>
        </is>
      </c>
      <c r="AU231" t="inlineStr">
        <is>
          <t>Trinidad and Tobago</t>
        </is>
      </c>
    </row>
    <row r="232">
      <c r="A232" t="inlineStr">
        <is>
          <t>Strainers, Colanders, &amp; Salad Spinners</t>
        </is>
      </c>
      <c r="AT232" t="inlineStr">
        <is>
          <t>Des-ethyl atrazine (DEA)</t>
        </is>
      </c>
      <c r="AU232" t="inlineStr">
        <is>
          <t>Tunisia</t>
        </is>
      </c>
    </row>
    <row r="233">
      <c r="A233" t="inlineStr">
        <is>
          <t>Pasta Makers &amp; Accessories</t>
        </is>
      </c>
      <c r="AT233" t="inlineStr">
        <is>
          <t>Des-isopropyl atrazine (DIA)</t>
        </is>
      </c>
      <c r="AU233" t="inlineStr">
        <is>
          <t>Turkey</t>
        </is>
      </c>
    </row>
    <row r="234">
      <c r="A234" t="inlineStr">
        <is>
          <t>Can Openers</t>
        </is>
      </c>
      <c r="AT234" t="inlineStr">
        <is>
          <t>N,N'-Diacetylbenzidine</t>
        </is>
      </c>
      <c r="AU234" t="inlineStr">
        <is>
          <t>Turkmenistan</t>
        </is>
      </c>
    </row>
    <row r="235">
      <c r="A235" t="inlineStr">
        <is>
          <t>Popcorn Machines / Nut Roasters</t>
        </is>
      </c>
      <c r="AT235" t="inlineStr">
        <is>
          <t>2,4-Diaminoanisole</t>
        </is>
      </c>
      <c r="AU235" t="inlineStr">
        <is>
          <t>Turks and Caicos Islands</t>
        </is>
      </c>
    </row>
    <row r="236">
      <c r="A236" t="inlineStr">
        <is>
          <t>Air Fryers</t>
        </is>
      </c>
      <c r="AT236" t="inlineStr">
        <is>
          <t>2,4-Diaminoanisole sulfate</t>
        </is>
      </c>
      <c r="AU236" t="inlineStr">
        <is>
          <t>Tuvalu</t>
        </is>
      </c>
    </row>
    <row r="237">
      <c r="A237" t="inlineStr">
        <is>
          <t>Timers</t>
        </is>
      </c>
      <c r="AT237" t="inlineStr">
        <is>
          <t>2,4-Diamino-6-chloro-s-triazine (DACT)</t>
        </is>
      </c>
      <c r="AU237" t="inlineStr">
        <is>
          <t>Uganda</t>
        </is>
      </c>
    </row>
    <row r="238">
      <c r="A238" t="inlineStr">
        <is>
          <t>Burners &amp; Hot Plates</t>
        </is>
      </c>
      <c r="AT238" t="inlineStr">
        <is>
          <t>4,4'-Diaminodiphenyl ether (4,4'-Oxydianiline)</t>
        </is>
      </c>
      <c r="AU238" t="inlineStr">
        <is>
          <t>Ukraine</t>
        </is>
      </c>
    </row>
    <row r="239">
      <c r="A239" t="inlineStr">
        <is>
          <t>Mops &amp; Mop Accessories</t>
        </is>
      </c>
      <c r="AT239" t="inlineStr">
        <is>
          <t>2,4-Diaminotoluene</t>
        </is>
      </c>
      <c r="AU239" t="inlineStr">
        <is>
          <t>United Arab Emirates</t>
        </is>
      </c>
    </row>
    <row r="240">
      <c r="A240" t="inlineStr">
        <is>
          <t>Hammock Stands and Accessories</t>
        </is>
      </c>
      <c r="AT240" t="inlineStr">
        <is>
          <t>Diazepam</t>
        </is>
      </c>
      <c r="AU240" t="inlineStr">
        <is>
          <t>United Kingdom</t>
        </is>
      </c>
    </row>
    <row r="241">
      <c r="A241" t="inlineStr">
        <is>
          <t>Waffle, Pizzelle &amp; Crepe Makers</t>
        </is>
      </c>
      <c r="AT241" t="inlineStr">
        <is>
          <t>Diazoaminobenzene</t>
        </is>
      </c>
      <c r="AU241" t="inlineStr">
        <is>
          <t>United States Minor Outlying Islands</t>
        </is>
      </c>
    </row>
    <row r="242">
      <c r="A242" t="inlineStr">
        <is>
          <t>Cradle &amp; Bassinet Bedding</t>
        </is>
      </c>
      <c r="AT242" t="inlineStr">
        <is>
          <t>Diazoxide</t>
        </is>
      </c>
      <c r="AU242" t="inlineStr">
        <is>
          <t>Uruguay</t>
        </is>
      </c>
    </row>
    <row r="243">
      <c r="A243" t="inlineStr">
        <is>
          <t>Toddler Bedding</t>
        </is>
      </c>
      <c r="AT243" t="inlineStr">
        <is>
          <t>Dibenz[a,h]acridine</t>
        </is>
      </c>
      <c r="AU243" t="inlineStr">
        <is>
          <t>Uzbekistan</t>
        </is>
      </c>
    </row>
    <row r="244">
      <c r="A244" t="inlineStr">
        <is>
          <t>Crib Bedding Sets</t>
        </is>
      </c>
      <c r="AT244" t="inlineStr">
        <is>
          <t>Dibenz[a,j]acridine</t>
        </is>
      </c>
      <c r="AU244" t="inlineStr">
        <is>
          <t>Vanuatu</t>
        </is>
      </c>
    </row>
    <row r="245">
      <c r="A245" t="inlineStr">
        <is>
          <t>Training Tables</t>
        </is>
      </c>
      <c r="AT245" t="inlineStr">
        <is>
          <t>Dibenzanthracenes</t>
        </is>
      </c>
      <c r="AU245" t="inlineStr">
        <is>
          <t>Venezuela</t>
        </is>
      </c>
    </row>
    <row r="246">
      <c r="A246" t="inlineStr">
        <is>
          <t>Game Chairs</t>
        </is>
      </c>
      <c r="AT246" t="inlineStr">
        <is>
          <t>Dibenz[a,c]anthracene</t>
        </is>
      </c>
      <c r="AU246" t="inlineStr">
        <is>
          <t>Vietnam</t>
        </is>
      </c>
    </row>
    <row r="247">
      <c r="A247" t="inlineStr">
        <is>
          <t>Vacuums &amp; Steamers</t>
        </is>
      </c>
      <c r="AT247" t="inlineStr">
        <is>
          <t>Dibenz[a,h]anthracene</t>
        </is>
      </c>
      <c r="AU247" t="inlineStr">
        <is>
          <t>Virgin Islands, British</t>
        </is>
      </c>
    </row>
    <row r="248">
      <c r="A248" t="inlineStr">
        <is>
          <t>Ergonomic Accessories</t>
        </is>
      </c>
      <c r="AT248" t="inlineStr">
        <is>
          <t>Dibenz[a,j]anthracene</t>
        </is>
      </c>
      <c r="AU248" t="inlineStr">
        <is>
          <t>Virgin Islands, U.S.</t>
        </is>
      </c>
    </row>
    <row r="249">
      <c r="A249" t="inlineStr">
        <is>
          <t>Crib Mattresses</t>
        </is>
      </c>
      <c r="AT249" t="inlineStr">
        <is>
          <t>7H-Dibenzo[c,g]carbazole</t>
        </is>
      </c>
      <c r="AU249" t="inlineStr">
        <is>
          <t>Wallis and Futuna</t>
        </is>
      </c>
    </row>
    <row r="250">
      <c r="A250" t="inlineStr">
        <is>
          <t>Drinking Fountains</t>
        </is>
      </c>
      <c r="AT250" t="inlineStr">
        <is>
          <t>Dibenzo[a,e]pyrene</t>
        </is>
      </c>
      <c r="AU250" t="inlineStr">
        <is>
          <t>Western Sahara</t>
        </is>
      </c>
    </row>
    <row r="251">
      <c r="A251" t="inlineStr">
        <is>
          <t>Utility Sinks</t>
        </is>
      </c>
      <c r="AT251" t="inlineStr">
        <is>
          <t>Dibenzo[a,h]pyrene</t>
        </is>
      </c>
      <c r="AU251" t="inlineStr">
        <is>
          <t>Yemen</t>
        </is>
      </c>
    </row>
    <row r="252">
      <c r="A252" t="inlineStr">
        <is>
          <t>Fountain Accessories</t>
        </is>
      </c>
      <c r="AT252" t="inlineStr">
        <is>
          <t>Dibenzo[a,i]pyrene</t>
        </is>
      </c>
      <c r="AU252" t="inlineStr">
        <is>
          <t>Zambia</t>
        </is>
      </c>
    </row>
    <row r="253">
      <c r="A253" t="inlineStr">
        <is>
          <t>Refrigerators</t>
        </is>
      </c>
      <c r="AT253" t="inlineStr">
        <is>
          <t>Dibenzo[a,l]pyrene</t>
        </is>
      </c>
      <c r="AU253" t="inlineStr">
        <is>
          <t>Zimbabwe</t>
        </is>
      </c>
    </row>
    <row r="254">
      <c r="A254" t="inlineStr">
        <is>
          <t>Swing Sets &amp; Playgrounds</t>
        </is>
      </c>
      <c r="AT254" t="inlineStr">
        <is>
          <t>Dibromoacetic acid</t>
        </is>
      </c>
      <c r="AU254" t="inlineStr">
        <is>
          <t>United States - APO/FPO/DPO</t>
        </is>
      </c>
    </row>
    <row r="255">
      <c r="A255" t="inlineStr">
        <is>
          <t>Swing Set Accessories</t>
        </is>
      </c>
      <c r="AT255" t="inlineStr">
        <is>
          <t>Dibromoacetonitrile</t>
        </is>
      </c>
    </row>
    <row r="256">
      <c r="A256" t="inlineStr">
        <is>
          <t>Toaster Ovens</t>
        </is>
      </c>
      <c r="AT256" t="inlineStr">
        <is>
          <t>2,3-Dibromo-1-propanol</t>
        </is>
      </c>
    </row>
    <row r="257">
      <c r="A257" t="inlineStr">
        <is>
          <t>Slides</t>
        </is>
      </c>
      <c r="AT257" t="inlineStr">
        <is>
          <t>Dichloroacetic acid</t>
        </is>
      </c>
    </row>
    <row r="258">
      <c r="A258" t="inlineStr">
        <is>
          <t>Coffee Makers</t>
        </is>
      </c>
      <c r="AT258" t="inlineStr">
        <is>
          <t>p-Dichlorobenzene</t>
        </is>
      </c>
    </row>
    <row r="259">
      <c r="A259" t="inlineStr">
        <is>
          <t>Indoor Gardening</t>
        </is>
      </c>
      <c r="AT259" t="inlineStr">
        <is>
          <t>3,3'-Dichlorobenzidine</t>
        </is>
      </c>
    </row>
    <row r="260">
      <c r="A260" t="inlineStr">
        <is>
          <t>Wine Refrigerators</t>
        </is>
      </c>
      <c r="AT260" t="inlineStr">
        <is>
          <t>3,3'-Dichlorobenzidine dihydrochloride</t>
        </is>
      </c>
    </row>
    <row r="261">
      <c r="A261" t="inlineStr">
        <is>
          <t>Microwaves</t>
        </is>
      </c>
      <c r="AT261" t="inlineStr">
        <is>
          <t>1,1-Dichloro-2,2-bis(p-chloropheny)ethylene (DDE)</t>
        </is>
      </c>
    </row>
    <row r="262">
      <c r="A262" t="inlineStr">
        <is>
          <t>Cabinet Organization</t>
        </is>
      </c>
      <c r="AT262" t="inlineStr">
        <is>
          <t>1,4-Dichloro-2-butene</t>
        </is>
      </c>
    </row>
    <row r="263">
      <c r="A263" t="inlineStr">
        <is>
          <t>Teeter-Totters &amp; Seesaws</t>
        </is>
      </c>
      <c r="AT263" t="inlineStr">
        <is>
          <t>3,3'-Dichloro-4,4'-diamino-diphenyl ether</t>
        </is>
      </c>
    </row>
    <row r="264">
      <c r="A264" t="inlineStr">
        <is>
          <t>Sandboxes &amp; Sand Toys</t>
        </is>
      </c>
      <c r="AT264" t="inlineStr">
        <is>
          <t>1,1-Dichloroethane</t>
        </is>
      </c>
    </row>
    <row r="265">
      <c r="A265" t="inlineStr">
        <is>
          <t>Commercial Playground Equipment</t>
        </is>
      </c>
      <c r="AT265" t="inlineStr">
        <is>
          <t>Dichloromethane (Methylene chloride)</t>
        </is>
      </c>
    </row>
    <row r="266">
      <c r="A266" t="inlineStr">
        <is>
          <t>Indoor Chaise Lounges</t>
        </is>
      </c>
      <c r="AT266" t="inlineStr">
        <is>
          <t>Dichlorophene</t>
        </is>
      </c>
    </row>
    <row r="267">
      <c r="A267" t="inlineStr">
        <is>
          <t>Espresso Machines</t>
        </is>
      </c>
      <c r="AT267" t="inlineStr">
        <is>
          <t>Dichlorphenamide</t>
        </is>
      </c>
    </row>
    <row r="268">
      <c r="A268" t="inlineStr">
        <is>
          <t>Dog Beds &amp; Mats</t>
        </is>
      </c>
      <c r="AT268" t="inlineStr">
        <is>
          <t>1,2-Dichloropropane</t>
        </is>
      </c>
    </row>
    <row r="269">
      <c r="A269" t="inlineStr">
        <is>
          <t>Open Stock Knives and Kitchen Scissors</t>
        </is>
      </c>
      <c r="AT269" t="inlineStr">
        <is>
          <t>1,3-Dichloro-2-propanol (1,3-DCP)</t>
        </is>
      </c>
    </row>
    <row r="270">
      <c r="A270" t="inlineStr">
        <is>
          <t>Flatware &amp; Silverware Single Pieces</t>
        </is>
      </c>
      <c r="AT270" t="inlineStr">
        <is>
          <t>1,3-Dichloropropene</t>
        </is>
      </c>
    </row>
    <row r="271">
      <c r="A271" t="inlineStr">
        <is>
          <t>Vehicle Covers</t>
        </is>
      </c>
      <c r="AT271" t="inlineStr">
        <is>
          <t>Dicumarol</t>
        </is>
      </c>
    </row>
    <row r="272">
      <c r="A272" t="inlineStr">
        <is>
          <t>Desk Parts</t>
        </is>
      </c>
      <c r="AT272" t="inlineStr">
        <is>
          <t>Dieldrin</t>
        </is>
      </c>
    </row>
    <row r="273">
      <c r="A273" t="inlineStr">
        <is>
          <t>Safety Gates</t>
        </is>
      </c>
      <c r="AT273" t="inlineStr">
        <is>
          <t>Diepoxybutane</t>
        </is>
      </c>
    </row>
    <row r="274">
      <c r="A274" t="inlineStr">
        <is>
          <t>Steam</t>
        </is>
      </c>
      <c r="AT274" t="inlineStr">
        <is>
          <t>Diesel engine exhaust</t>
        </is>
      </c>
    </row>
    <row r="275">
      <c r="A275" t="inlineStr">
        <is>
          <t>Chocolate And Beverage Fountains</t>
        </is>
      </c>
      <c r="AT275" t="inlineStr">
        <is>
          <t>Diethanolamine</t>
        </is>
      </c>
    </row>
    <row r="276">
      <c r="A276" t="inlineStr">
        <is>
          <t>Bread Machines</t>
        </is>
      </c>
      <c r="AT276" t="inlineStr">
        <is>
          <t>Di(2-ethylhexyl)phthalate (DEHP)</t>
        </is>
      </c>
    </row>
    <row r="277">
      <c r="A277" t="inlineStr">
        <is>
          <t>Coffee Grinders</t>
        </is>
      </c>
      <c r="AT277" t="inlineStr">
        <is>
          <t>1,2-Diethylhydrazine</t>
        </is>
      </c>
    </row>
    <row r="278">
      <c r="A278" t="inlineStr">
        <is>
          <t>Milk Frothers</t>
        </is>
      </c>
      <c r="AT278" t="inlineStr">
        <is>
          <t>Diethylstilbestrol (DES)</t>
        </is>
      </c>
    </row>
    <row r="279">
      <c r="A279" t="inlineStr">
        <is>
          <t>Coffee &amp; Espresso Accessories</t>
        </is>
      </c>
      <c r="AT279" t="inlineStr">
        <is>
          <t>Diethyl sulfate</t>
        </is>
      </c>
    </row>
    <row r="280">
      <c r="A280" t="inlineStr">
        <is>
          <t>Snow Cone Machines &amp; Ice Crushers</t>
        </is>
      </c>
      <c r="AT280" t="inlineStr">
        <is>
          <t>Diflunisal</t>
        </is>
      </c>
    </row>
    <row r="281">
      <c r="A281" t="inlineStr">
        <is>
          <t>Garage Floors</t>
        </is>
      </c>
      <c r="AT281" t="inlineStr">
        <is>
          <t>Diglycidyl resorcinol ether (DGRE)</t>
        </is>
      </c>
    </row>
    <row r="282">
      <c r="A282" t="inlineStr">
        <is>
          <t>Futons</t>
        </is>
      </c>
      <c r="AT282" t="inlineStr">
        <is>
          <t xml:space="preserve">Dihydroergotamine mesylate </t>
        </is>
      </c>
    </row>
    <row r="283">
      <c r="A283" t="inlineStr">
        <is>
          <t>Fire Pit &amp; Chiminea Accessories</t>
        </is>
      </c>
      <c r="AT283" t="inlineStr">
        <is>
          <t>Dihydrosafrole</t>
        </is>
      </c>
    </row>
    <row r="284">
      <c r="A284" t="inlineStr">
        <is>
          <t>Knife Sharpeners</t>
        </is>
      </c>
      <c r="AT284" t="inlineStr">
        <is>
          <t>Diisononyl phthalate (DINP)</t>
        </is>
      </c>
    </row>
    <row r="285">
      <c r="A285" t="inlineStr">
        <is>
          <t>Electric Knives</t>
        </is>
      </c>
      <c r="AT285" t="inlineStr">
        <is>
          <t>Diisopropyl sulfate</t>
        </is>
      </c>
    </row>
    <row r="286">
      <c r="A286" t="inlineStr">
        <is>
          <t>Water Coolers &amp; Dispensers</t>
        </is>
      </c>
      <c r="AT286" t="inlineStr">
        <is>
          <t>Diltiazem hydrochloride</t>
        </is>
      </c>
    </row>
    <row r="287">
      <c r="A287" t="inlineStr">
        <is>
          <t>Kegerators</t>
        </is>
      </c>
      <c r="AT287" t="inlineStr">
        <is>
          <t>3,3'-Dimethoxybenzidine (o-Dianisidine)</t>
        </is>
      </c>
    </row>
    <row r="288">
      <c r="A288" t="inlineStr">
        <is>
          <t>Lids &amp; Covers</t>
        </is>
      </c>
      <c r="AT288" t="inlineStr">
        <is>
          <t>3,3'-Dimethoxybenzidine dihydrochloride</t>
        </is>
      </c>
    </row>
    <row r="289">
      <c r="A289" t="inlineStr">
        <is>
          <t>Poachers</t>
        </is>
      </c>
      <c r="AT289" t="inlineStr">
        <is>
          <t>3,3'-Dimethoxybenzidine-based dyes metabolized to 3,3'-dimethoxybenzidine</t>
        </is>
      </c>
    </row>
    <row r="290">
      <c r="A290" t="inlineStr">
        <is>
          <t>Bar &amp; Wine Tools</t>
        </is>
      </c>
      <c r="AT290" t="inlineStr">
        <is>
          <t>N,N-Dimethylacetamide</t>
        </is>
      </c>
    </row>
    <row r="291">
      <c r="A291" t="inlineStr">
        <is>
          <t>Space Heaters</t>
        </is>
      </c>
      <c r="AT291" t="inlineStr">
        <is>
          <t>4-Dimethylaminoazobenzene</t>
        </is>
      </c>
    </row>
    <row r="292">
      <c r="A292" t="inlineStr">
        <is>
          <t>Christmas Trees</t>
        </is>
      </c>
      <c r="AT292" t="inlineStr">
        <is>
          <t>trans-2-[(Dimethylamino)methylimino]-5-[2-(5-nitro-2-furyl)vinyl]-1,3,4-oxadiazole</t>
        </is>
      </c>
    </row>
    <row r="293">
      <c r="A293" t="inlineStr">
        <is>
          <t>Ornaments &amp; Tree Décor</t>
        </is>
      </c>
      <c r="AT293" t="inlineStr">
        <is>
          <t>7,12-Dimethylbenz(a)anthracene</t>
        </is>
      </c>
    </row>
    <row r="294">
      <c r="A294" t="inlineStr">
        <is>
          <t>Outdoor Decorations</t>
        </is>
      </c>
      <c r="AT294" t="inlineStr">
        <is>
          <t>3,3'-Dimethylbenzidine (ortho-Tolidine)</t>
        </is>
      </c>
    </row>
    <row r="295">
      <c r="A295" t="inlineStr">
        <is>
          <t>Holiday Lighting</t>
        </is>
      </c>
      <c r="AT295" t="inlineStr">
        <is>
          <t>3,3'-Dimethylbenzidine-based dyes metabolized to 3,3'-dimethylbenzidine</t>
        </is>
      </c>
    </row>
    <row r="296">
      <c r="A296" t="inlineStr">
        <is>
          <t>Chafing Dishes &amp; Accessories</t>
        </is>
      </c>
      <c r="AT296" t="inlineStr">
        <is>
          <t>3,3'-Dimethylbenzidine dihydrochloride</t>
        </is>
      </c>
    </row>
    <row r="297">
      <c r="A297" t="inlineStr">
        <is>
          <t>Dog and Cat Bowls, Feeders &amp; Accessories</t>
        </is>
      </c>
      <c r="AT297" t="inlineStr">
        <is>
          <t>Dimethylcarbamoyl chloride</t>
        </is>
      </c>
    </row>
    <row r="298">
      <c r="A298" t="inlineStr">
        <is>
          <t>Crates and Carriers</t>
        </is>
      </c>
      <c r="AT298" t="inlineStr">
        <is>
          <t>N,N-Dimethylformamide</t>
        </is>
      </c>
    </row>
    <row r="299">
      <c r="A299" t="inlineStr">
        <is>
          <t>Smokers</t>
        </is>
      </c>
      <c r="AT299" t="inlineStr">
        <is>
          <t>1,1-Dimethylhydrazine (UDMH)</t>
        </is>
      </c>
    </row>
    <row r="300">
      <c r="A300" t="inlineStr">
        <is>
          <t>Christmas Tree Stands &amp; Accessories</t>
        </is>
      </c>
      <c r="AT300" t="inlineStr">
        <is>
          <t>1,2-Dimethylhydrazine</t>
        </is>
      </c>
    </row>
    <row r="301">
      <c r="A301" t="inlineStr">
        <is>
          <t>Garlands &amp; Swag</t>
        </is>
      </c>
      <c r="AT301" t="inlineStr">
        <is>
          <t>2,6-Dimethyl-N-nitrosomorpholine (DMNM)</t>
        </is>
      </c>
    </row>
    <row r="302">
      <c r="A302" t="inlineStr">
        <is>
          <t>Woks</t>
        </is>
      </c>
      <c r="AT302" t="inlineStr">
        <is>
          <t>Dimethyl sulfate</t>
        </is>
      </c>
    </row>
    <row r="303">
      <c r="A303" t="inlineStr">
        <is>
          <t>Ranges</t>
        </is>
      </c>
      <c r="AT303" t="inlineStr">
        <is>
          <t>N,N-Dimethyl-p-toluidine</t>
        </is>
      </c>
    </row>
    <row r="304">
      <c r="A304" t="inlineStr">
        <is>
          <t>Wall Ovens</t>
        </is>
      </c>
      <c r="AT304" t="inlineStr">
        <is>
          <t>Dimethylvinylchloride</t>
        </is>
      </c>
    </row>
    <row r="305">
      <c r="A305" t="inlineStr">
        <is>
          <t>Cooktops</t>
        </is>
      </c>
      <c r="AT305" t="inlineStr">
        <is>
          <t>Di-n-butyl phthalate (DBP)</t>
        </is>
      </c>
    </row>
    <row r="306">
      <c r="A306" t="inlineStr">
        <is>
          <t>Outdoor Sinks &amp; Bar Centers</t>
        </is>
      </c>
      <c r="AT306" t="inlineStr">
        <is>
          <t>3,7-Dinitrofluoranthene</t>
        </is>
      </c>
    </row>
    <row r="307">
      <c r="A307" t="inlineStr">
        <is>
          <t>Pool Tables</t>
        </is>
      </c>
      <c r="AT307" t="inlineStr">
        <is>
          <t>3,9-Dinitrofluoranthene</t>
        </is>
      </c>
    </row>
    <row r="308">
      <c r="A308" t="inlineStr">
        <is>
          <t>Space Heater Accessories</t>
        </is>
      </c>
      <c r="AT308" t="inlineStr">
        <is>
          <t>1,3-Dinitropyrene</t>
        </is>
      </c>
    </row>
    <row r="309">
      <c r="A309" t="inlineStr">
        <is>
          <t>Washing Machines</t>
        </is>
      </c>
      <c r="AT309" t="inlineStr">
        <is>
          <t>1,6-Dinitropyrene</t>
        </is>
      </c>
    </row>
    <row r="310">
      <c r="A310" t="inlineStr">
        <is>
          <t>Flatware &amp; Silverware Sets</t>
        </is>
      </c>
      <c r="AT310" t="inlineStr">
        <is>
          <t>1,8-Dinitropyrene</t>
        </is>
      </c>
    </row>
    <row r="311">
      <c r="A311" t="inlineStr">
        <is>
          <t>Trampolines</t>
        </is>
      </c>
      <c r="AT311" t="inlineStr">
        <is>
          <t>2,4-Dinitrotoluene</t>
        </is>
      </c>
    </row>
    <row r="312">
      <c r="A312" t="inlineStr">
        <is>
          <t>Trampoline Accessories &amp; Parts</t>
        </is>
      </c>
      <c r="AT312" t="inlineStr">
        <is>
          <t>2,6-Dinitrotoluene</t>
        </is>
      </c>
    </row>
    <row r="313">
      <c r="A313" t="inlineStr">
        <is>
          <t>Flatware &amp; Silverware Serving Pieces</t>
        </is>
      </c>
      <c r="AT313" t="inlineStr">
        <is>
          <t>Dinitrotoluene mixture, 2,4-/2,6-</t>
        </is>
      </c>
    </row>
    <row r="314">
      <c r="A314" t="inlineStr">
        <is>
          <t>Picnic Baskets &amp; Coolers</t>
        </is>
      </c>
      <c r="AT314" t="inlineStr">
        <is>
          <t>Dinocap</t>
        </is>
      </c>
    </row>
    <row r="315">
      <c r="A315" t="inlineStr">
        <is>
          <t>Poultry &amp; Meat Preparation Tools</t>
        </is>
      </c>
      <c r="AT315" t="inlineStr">
        <is>
          <t>Dinoseb</t>
        </is>
      </c>
    </row>
    <row r="316">
      <c r="A316" t="inlineStr">
        <is>
          <t>Slicers, Peelers And Graters</t>
        </is>
      </c>
      <c r="AT316" t="inlineStr">
        <is>
          <t>Di-n-propyl isocinchomeronate (MGK Repellent 326)</t>
        </is>
      </c>
    </row>
    <row r="317">
      <c r="A317" t="inlineStr">
        <is>
          <t>Coasters &amp; Trivets</t>
        </is>
      </c>
      <c r="AT317" t="inlineStr">
        <is>
          <t>1,4-Dioxane</t>
        </is>
      </c>
    </row>
    <row r="318">
      <c r="A318" t="inlineStr">
        <is>
          <t>Dartboards And Cabinets</t>
        </is>
      </c>
      <c r="AT318" t="inlineStr">
        <is>
          <t>Diphenylhydantoin (Phenytoin)</t>
        </is>
      </c>
    </row>
    <row r="319">
      <c r="A319" t="inlineStr">
        <is>
          <t>Dishwashers</t>
        </is>
      </c>
      <c r="AT319" t="inlineStr">
        <is>
          <t>Diphenylhydantoin (Phenytoin), sodium salt</t>
        </is>
      </c>
    </row>
    <row r="320">
      <c r="A320" t="inlineStr">
        <is>
          <t>Kitchen Gadgets</t>
        </is>
      </c>
      <c r="AT320" t="inlineStr">
        <is>
          <t>Direct Black 38 (technical grade)</t>
        </is>
      </c>
    </row>
    <row r="321">
      <c r="A321" t="inlineStr">
        <is>
          <t>Pet Strollers</t>
        </is>
      </c>
      <c r="AT321" t="inlineStr">
        <is>
          <t>Direct Blue 6 (technical grade)</t>
        </is>
      </c>
    </row>
    <row r="322">
      <c r="A322" t="inlineStr">
        <is>
          <t>Rolling Pins</t>
        </is>
      </c>
      <c r="AT322" t="inlineStr">
        <is>
          <t>Direct Brown 95 (technical grade)</t>
        </is>
      </c>
    </row>
    <row r="323">
      <c r="A323" t="inlineStr">
        <is>
          <t>Dog Houses</t>
        </is>
      </c>
      <c r="AT323" t="inlineStr">
        <is>
          <t>Disodium cyanodithioimidocarbonate</t>
        </is>
      </c>
    </row>
    <row r="324">
      <c r="A324" t="inlineStr">
        <is>
          <t>Coffee Servers, Airpots &amp; Carafes</t>
        </is>
      </c>
      <c r="AT324" t="inlineStr">
        <is>
          <t>Disperse Blue 1</t>
        </is>
      </c>
    </row>
    <row r="325">
      <c r="A325" t="inlineStr">
        <is>
          <t>Stovetop &amp; Electric Tea Kettles</t>
        </is>
      </c>
      <c r="AT325" t="inlineStr">
        <is>
          <t>Diuron</t>
        </is>
      </c>
    </row>
    <row r="326">
      <c r="A326" t="inlineStr">
        <is>
          <t>Kids Beds</t>
        </is>
      </c>
      <c r="AT326" t="inlineStr">
        <is>
          <t>Doxorubicin hydrochloride (Adriamycin)</t>
        </is>
      </c>
    </row>
    <row r="327">
      <c r="A327" t="inlineStr">
        <is>
          <t>Game Table Accessories</t>
        </is>
      </c>
      <c r="AT327" t="inlineStr">
        <is>
          <t>Doxycycline (internal use)</t>
        </is>
      </c>
    </row>
    <row r="328">
      <c r="A328" t="inlineStr">
        <is>
          <t>Table Tennis Tables</t>
        </is>
      </c>
      <c r="AT328" t="inlineStr">
        <is>
          <t>Doxycycline calcium (internal use)</t>
        </is>
      </c>
    </row>
    <row r="329">
      <c r="A329" t="inlineStr">
        <is>
          <t>Sports Fan Shop Products</t>
        </is>
      </c>
      <c r="AT329" t="inlineStr">
        <is>
          <t>Doxycycline hyclate (internal use)</t>
        </is>
      </c>
    </row>
    <row r="330">
      <c r="A330" t="inlineStr">
        <is>
          <t>Kids Wall Décor</t>
        </is>
      </c>
      <c r="AT330" t="inlineStr">
        <is>
          <t>Doxycycline monohydrate (internal use)</t>
        </is>
      </c>
    </row>
    <row r="331">
      <c r="A331" t="inlineStr">
        <is>
          <t>Hot / Cold Tea Accessories</t>
        </is>
      </c>
      <c r="AT331" t="inlineStr">
        <is>
          <t>Emissions from combustion of coal</t>
        </is>
      </c>
    </row>
    <row r="332">
      <c r="A332" t="inlineStr">
        <is>
          <t>Cat Condos &amp; Cat Trees</t>
        </is>
      </c>
      <c r="AT332" t="inlineStr">
        <is>
          <t>Emissions from high-temperature unrefined rapeseed oil</t>
        </is>
      </c>
    </row>
    <row r="333">
      <c r="A333" t="inlineStr">
        <is>
          <t>Cabinet and Drawer Pulls</t>
        </is>
      </c>
      <c r="AT333" t="inlineStr">
        <is>
          <t>Endrin</t>
        </is>
      </c>
    </row>
    <row r="334">
      <c r="A334" t="inlineStr">
        <is>
          <t>Dryers</t>
        </is>
      </c>
      <c r="AT334" t="inlineStr">
        <is>
          <t>Environmental tobacco smoke (ETS)</t>
        </is>
      </c>
    </row>
    <row r="335">
      <c r="A335" t="inlineStr">
        <is>
          <t>Lawn Games</t>
        </is>
      </c>
      <c r="AT335" t="inlineStr">
        <is>
          <t>Epichlorohydrin</t>
        </is>
      </c>
    </row>
    <row r="336">
      <c r="A336" t="inlineStr">
        <is>
          <t>Bird Cages</t>
        </is>
      </c>
      <c r="AT336" t="inlineStr">
        <is>
          <t>Epoxiconazole</t>
        </is>
      </c>
    </row>
    <row r="337">
      <c r="A337" t="inlineStr">
        <is>
          <t>Cat Litter Boxes &amp; Litter Box Enclosures</t>
        </is>
      </c>
      <c r="AT337" t="inlineStr">
        <is>
          <t>Ergotamine tartrate</t>
        </is>
      </c>
    </row>
    <row r="338">
      <c r="A338" t="inlineStr">
        <is>
          <t>Pet Ramps &amp; Stairs</t>
        </is>
      </c>
      <c r="AT338" t="inlineStr">
        <is>
          <t>Estradiol 17B</t>
        </is>
      </c>
    </row>
    <row r="339">
      <c r="A339" t="inlineStr">
        <is>
          <t>Freezers</t>
        </is>
      </c>
      <c r="AT339" t="inlineStr">
        <is>
          <t>Estragole</t>
        </is>
      </c>
    </row>
    <row r="340">
      <c r="A340" t="inlineStr">
        <is>
          <t>Decorative Objects</t>
        </is>
      </c>
      <c r="AT340" t="inlineStr">
        <is>
          <t>Estrogens, steroidal</t>
        </is>
      </c>
    </row>
    <row r="341">
      <c r="A341" t="inlineStr">
        <is>
          <t>Ice Makers</t>
        </is>
      </c>
      <c r="AT341" t="inlineStr">
        <is>
          <t>Estrogen-progestogen (combined) used as menopausal therapy</t>
        </is>
      </c>
    </row>
    <row r="342">
      <c r="A342" t="inlineStr">
        <is>
          <t>Stanchions</t>
        </is>
      </c>
      <c r="AT342" t="inlineStr">
        <is>
          <t>Estrone</t>
        </is>
      </c>
    </row>
    <row r="343">
      <c r="A343" t="inlineStr">
        <is>
          <t>Pizza Stones, Pans &amp; Peels</t>
        </is>
      </c>
      <c r="AT343" t="inlineStr">
        <is>
          <t>Estropipate</t>
        </is>
      </c>
    </row>
    <row r="344">
      <c r="A344" t="inlineStr">
        <is>
          <t>Bed Skirts</t>
        </is>
      </c>
      <c r="AT344" t="inlineStr">
        <is>
          <t>Ethanol in alcoholic beverages</t>
        </is>
      </c>
    </row>
    <row r="345">
      <c r="A345" t="inlineStr">
        <is>
          <t>Standard Bed Pillow</t>
        </is>
      </c>
      <c r="AT345" t="inlineStr">
        <is>
          <t>Ethinylestradiol</t>
        </is>
      </c>
    </row>
    <row r="346">
      <c r="A346" t="inlineStr">
        <is>
          <t>Bedding Sets</t>
        </is>
      </c>
      <c r="AT346" t="inlineStr">
        <is>
          <t>Ethionamide</t>
        </is>
      </c>
    </row>
    <row r="347">
      <c r="A347" t="inlineStr">
        <is>
          <t>Candles</t>
        </is>
      </c>
      <c r="AT347" t="inlineStr">
        <is>
          <t>Ethoprop</t>
        </is>
      </c>
    </row>
    <row r="348">
      <c r="A348" t="inlineStr">
        <is>
          <t>Boxes, Bins, Baskets, &amp; Buckets</t>
        </is>
      </c>
      <c r="AT348" t="inlineStr">
        <is>
          <t>Ethyl acrylate</t>
        </is>
      </c>
    </row>
    <row r="349">
      <c r="A349" t="inlineStr">
        <is>
          <t>Sheets &amp; Pillowcases</t>
        </is>
      </c>
      <c r="AT349" t="inlineStr">
        <is>
          <t>Ethyl alcohol in alcoholic beverages</t>
        </is>
      </c>
    </row>
    <row r="350">
      <c r="A350" t="inlineStr">
        <is>
          <t>Cake, Cookie, &amp; Pastry Decoration</t>
        </is>
      </c>
      <c r="AT350" t="inlineStr">
        <is>
          <t>Ethylbenzene</t>
        </is>
      </c>
    </row>
    <row r="351">
      <c r="A351" t="inlineStr">
        <is>
          <t>Bath Rugs &amp; Mats</t>
        </is>
      </c>
      <c r="AT351" t="inlineStr">
        <is>
          <t>Ethyl dipropylthiocarbamate</t>
        </is>
      </c>
    </row>
    <row r="352">
      <c r="A352" t="inlineStr">
        <is>
          <t>Accent Pillows</t>
        </is>
      </c>
      <c r="AT352" t="inlineStr">
        <is>
          <t>Ethyl-4,4'-dichlorobenzilate</t>
        </is>
      </c>
    </row>
    <row r="353">
      <c r="A353" t="inlineStr">
        <is>
          <t>Dining Linens</t>
        </is>
      </c>
      <c r="AT353" t="inlineStr">
        <is>
          <t>Ethylene dibromide</t>
        </is>
      </c>
    </row>
    <row r="354">
      <c r="A354" t="inlineStr">
        <is>
          <t>Wood Fireplaces</t>
        </is>
      </c>
      <c r="AT354" t="inlineStr">
        <is>
          <t>Ethylene dichloride (1,2-Dichloroethane)</t>
        </is>
      </c>
    </row>
    <row r="355">
      <c r="A355" t="inlineStr">
        <is>
          <t>Av Component Shelving</t>
        </is>
      </c>
      <c r="AT355" t="inlineStr">
        <is>
          <t>Ethylene glycol (ingested)</t>
        </is>
      </c>
    </row>
    <row r="356">
      <c r="A356" t="inlineStr">
        <is>
          <t>Globes</t>
        </is>
      </c>
      <c r="AT356" t="inlineStr">
        <is>
          <t>Ethylene glycol monoethyl ether</t>
        </is>
      </c>
    </row>
    <row r="357">
      <c r="A357" t="inlineStr">
        <is>
          <t>Glassware &amp; Barware</t>
        </is>
      </c>
      <c r="AT357" t="inlineStr">
        <is>
          <t>Ethylene glycol monoethyl ether acetate</t>
        </is>
      </c>
    </row>
    <row r="358">
      <c r="A358" t="inlineStr">
        <is>
          <t>Beverage Servers</t>
        </is>
      </c>
      <c r="AT358" t="inlineStr">
        <is>
          <t>Ethylene glycol monomethyl ether</t>
        </is>
      </c>
    </row>
    <row r="359">
      <c r="A359" t="inlineStr">
        <is>
          <t>Transformers</t>
        </is>
      </c>
      <c r="AT359" t="inlineStr">
        <is>
          <t>Ethylene glycol monomethyl ether acetate</t>
        </is>
      </c>
    </row>
    <row r="360">
      <c r="A360" t="inlineStr">
        <is>
          <t>Mixing Bowls</t>
        </is>
      </c>
      <c r="AT360" t="inlineStr">
        <is>
          <t>Ethyleneimine (Aziridine)</t>
        </is>
      </c>
    </row>
    <row r="361">
      <c r="A361" t="inlineStr">
        <is>
          <t>Kitchen Scales</t>
        </is>
      </c>
      <c r="AT361" t="inlineStr">
        <is>
          <t>Ethylene oxide</t>
        </is>
      </c>
    </row>
    <row r="362">
      <c r="A362" t="inlineStr">
        <is>
          <t>Measuring Cups, Spoons, Scoops &amp; Funnels</t>
        </is>
      </c>
      <c r="AT362" t="inlineStr">
        <is>
          <t>Ethylene thiourea</t>
        </is>
      </c>
    </row>
    <row r="363">
      <c r="A363" t="inlineStr">
        <is>
          <t>Magazine Racks</t>
        </is>
      </c>
      <c r="AT363" t="inlineStr">
        <is>
          <t>Ethyl methanesulfonate</t>
        </is>
      </c>
    </row>
    <row r="364">
      <c r="A364" t="inlineStr">
        <is>
          <t>Potholders</t>
        </is>
      </c>
      <c r="AT364" t="inlineStr">
        <is>
          <t>Etodolac</t>
        </is>
      </c>
    </row>
    <row r="365">
      <c r="A365" t="inlineStr">
        <is>
          <t>Kitchen Towels</t>
        </is>
      </c>
      <c r="AT365" t="inlineStr">
        <is>
          <t>Etoposide</t>
        </is>
      </c>
    </row>
    <row r="366">
      <c r="A366" t="inlineStr">
        <is>
          <t>Kitchen Aprons</t>
        </is>
      </c>
      <c r="AT366" t="inlineStr">
        <is>
          <t>Etoposide in combination with cisplatin and bleomycin</t>
        </is>
      </c>
    </row>
    <row r="367">
      <c r="A367" t="inlineStr">
        <is>
          <t>Decorative Plates &amp; Bowls</t>
        </is>
      </c>
      <c r="AT367" t="inlineStr">
        <is>
          <t>Etretinate</t>
        </is>
      </c>
    </row>
    <row r="368">
      <c r="A368" t="inlineStr">
        <is>
          <t>Food Thermometers</t>
        </is>
      </c>
      <c r="AT368" t="inlineStr">
        <is>
          <t>Fenoxaprop ethyl</t>
        </is>
      </c>
    </row>
    <row r="369">
      <c r="A369" t="inlineStr">
        <is>
          <t>Egg Tools</t>
        </is>
      </c>
      <c r="AT369" t="inlineStr">
        <is>
          <t>Fenoxycarb</t>
        </is>
      </c>
    </row>
    <row r="370">
      <c r="A370" t="inlineStr">
        <is>
          <t>Picture &amp; Memory Albums</t>
        </is>
      </c>
      <c r="AT370" t="inlineStr">
        <is>
          <t>Filgrastim</t>
        </is>
      </c>
    </row>
    <row r="371">
      <c r="A371" t="inlineStr">
        <is>
          <t>Food Storage &amp; Dispensers</t>
        </is>
      </c>
      <c r="AT371" t="inlineStr">
        <is>
          <t>Fluazifop butyl</t>
        </is>
      </c>
    </row>
    <row r="372">
      <c r="A372" t="inlineStr">
        <is>
          <t>Napkin Holders &amp; Paper Towel Holders</t>
        </is>
      </c>
      <c r="AT372" t="inlineStr">
        <is>
          <t>Flunisolide</t>
        </is>
      </c>
    </row>
    <row r="373">
      <c r="A373" t="inlineStr">
        <is>
          <t>Utensil Crocks, Caddies, Chests and Spoon Rests</t>
        </is>
      </c>
      <c r="AT373" t="inlineStr">
        <is>
          <t>Fluorouracil</t>
        </is>
      </c>
    </row>
    <row r="374">
      <c r="A374" t="inlineStr">
        <is>
          <t>Shuffleboards</t>
        </is>
      </c>
      <c r="AT374" t="inlineStr">
        <is>
          <t>Fluoxymesterone</t>
        </is>
      </c>
    </row>
    <row r="375">
      <c r="A375" t="inlineStr">
        <is>
          <t>Basketball Games</t>
        </is>
      </c>
      <c r="AT375" t="inlineStr">
        <is>
          <t>Flurazepam hydrochloride</t>
        </is>
      </c>
    </row>
    <row r="376">
      <c r="A376" t="inlineStr">
        <is>
          <t>Foosball Tables</t>
        </is>
      </c>
      <c r="AT376" t="inlineStr">
        <is>
          <t>Flurbiprofen</t>
        </is>
      </c>
    </row>
    <row r="377">
      <c r="A377" t="inlineStr">
        <is>
          <t>Hockey Tables</t>
        </is>
      </c>
      <c r="AT377" t="inlineStr">
        <is>
          <t>Flutamide</t>
        </is>
      </c>
    </row>
    <row r="378">
      <c r="A378" t="inlineStr">
        <is>
          <t>Multi Game Tables</t>
        </is>
      </c>
      <c r="AT378" t="inlineStr">
        <is>
          <t>Fluticasone propionate</t>
        </is>
      </c>
    </row>
    <row r="379">
      <c r="A379" t="inlineStr">
        <is>
          <t>Small Animal Cages And Habitats</t>
        </is>
      </c>
      <c r="AT379" t="inlineStr">
        <is>
          <t>Fluvalinate</t>
        </is>
      </c>
    </row>
    <row r="380">
      <c r="A380" t="inlineStr">
        <is>
          <t>Dog Car Accessories</t>
        </is>
      </c>
      <c r="AT380" t="inlineStr">
        <is>
          <t>Folpet</t>
        </is>
      </c>
    </row>
    <row r="381">
      <c r="A381" t="inlineStr">
        <is>
          <t>Wall Art</t>
        </is>
      </c>
      <c r="AT381" t="inlineStr">
        <is>
          <t>Formaldehyde (gas)</t>
        </is>
      </c>
    </row>
    <row r="382">
      <c r="A382" t="inlineStr">
        <is>
          <t>Mantels</t>
        </is>
      </c>
      <c r="AT382" t="inlineStr">
        <is>
          <t>2-(2-Formylhydrazino)-4-(5-nitro-2-furyl)thiazole</t>
        </is>
      </c>
    </row>
    <row r="383">
      <c r="A383" t="inlineStr">
        <is>
          <t>Bird Play Stand &amp; Playcenters</t>
        </is>
      </c>
      <c r="AT383" t="inlineStr">
        <is>
          <t>Fumonisin B1</t>
        </is>
      </c>
    </row>
    <row r="384">
      <c r="A384" t="inlineStr">
        <is>
          <t>Treadmills</t>
        </is>
      </c>
      <c r="AT384" t="inlineStr">
        <is>
          <t>Furan</t>
        </is>
      </c>
    </row>
    <row r="385">
      <c r="A385" t="inlineStr">
        <is>
          <t>Ellipticals</t>
        </is>
      </c>
      <c r="AT385" t="inlineStr">
        <is>
          <t>Furazolidone</t>
        </is>
      </c>
    </row>
    <row r="386">
      <c r="A386" t="inlineStr">
        <is>
          <t>Exercise Bikes</t>
        </is>
      </c>
      <c r="AT386" t="inlineStr">
        <is>
          <t>Furfuryl alcohol</t>
        </is>
      </c>
    </row>
    <row r="387">
      <c r="A387" t="inlineStr">
        <is>
          <t>Home Gyms</t>
        </is>
      </c>
      <c r="AT387" t="inlineStr">
        <is>
          <t>Furmecyclox</t>
        </is>
      </c>
    </row>
    <row r="388">
      <c r="A388" t="inlineStr">
        <is>
          <t>Pet Electric Fences/Containment</t>
        </is>
      </c>
      <c r="AT388" t="inlineStr">
        <is>
          <t>Fusarin C</t>
        </is>
      </c>
    </row>
    <row r="389">
      <c r="A389" t="inlineStr">
        <is>
          <t>Hardwood Flooring</t>
        </is>
      </c>
      <c r="AT389" t="inlineStr">
        <is>
          <t>Gallium arsenide</t>
        </is>
      </c>
    </row>
    <row r="390">
      <c r="A390" t="inlineStr">
        <is>
          <t>Laminate Flooring</t>
        </is>
      </c>
      <c r="AT390" t="inlineStr">
        <is>
          <t>Ganciclovir</t>
        </is>
      </c>
    </row>
    <row r="391">
      <c r="A391" t="inlineStr">
        <is>
          <t>Electronic Mounts</t>
        </is>
      </c>
      <c r="AT391" t="inlineStr">
        <is>
          <t>Ganciclovir sodium</t>
        </is>
      </c>
    </row>
    <row r="392">
      <c r="A392" t="inlineStr">
        <is>
          <t>Wall Clocks</t>
        </is>
      </c>
      <c r="AT392" t="inlineStr">
        <is>
          <t>Gasoline engine exhaust (condensates/extracts)</t>
        </is>
      </c>
    </row>
    <row r="393">
      <c r="A393" t="inlineStr">
        <is>
          <t>Flooring Trim</t>
        </is>
      </c>
      <c r="AT393" t="inlineStr">
        <is>
          <t>Gemfibrozil</t>
        </is>
      </c>
    </row>
    <row r="394">
      <c r="A394" t="inlineStr">
        <is>
          <t>Aquariums &amp; Bowls</t>
        </is>
      </c>
      <c r="AT394" t="inlineStr">
        <is>
          <t>Glass wool fibers (inhalable and biopersistent)</t>
        </is>
      </c>
    </row>
    <row r="395">
      <c r="A395" t="inlineStr">
        <is>
          <t>Sewing Machines &amp; Sergers</t>
        </is>
      </c>
      <c r="AT395" t="inlineStr">
        <is>
          <t>Glu-P-1 (2-Amino-6-methyldipyrido[1,2- a:3',2'-d]imidazole)</t>
        </is>
      </c>
    </row>
    <row r="396">
      <c r="A396" t="inlineStr">
        <is>
          <t>Camping Tents &amp; Shelters</t>
        </is>
      </c>
      <c r="AT396" t="inlineStr">
        <is>
          <t>Glu-P-2 (2-Aminodipyrido[1,2-a:3',2'-d]imidazole)</t>
        </is>
      </c>
    </row>
    <row r="397">
      <c r="A397" t="inlineStr">
        <is>
          <t>Arcade Games &amp; Slot Machine</t>
        </is>
      </c>
      <c r="AT397" t="inlineStr">
        <is>
          <t>Glycidaldehyde</t>
        </is>
      </c>
    </row>
    <row r="398">
      <c r="A398" t="inlineStr">
        <is>
          <t>Hot Tub Accessories</t>
        </is>
      </c>
      <c r="AT398" t="inlineStr">
        <is>
          <t>Glycidol</t>
        </is>
      </c>
    </row>
    <row r="399">
      <c r="A399" t="inlineStr">
        <is>
          <t>Bathroom Safety</t>
        </is>
      </c>
      <c r="AT399" t="inlineStr">
        <is>
          <t>Glyphosate</t>
        </is>
      </c>
    </row>
    <row r="400">
      <c r="A400" t="inlineStr">
        <is>
          <t>Crib Conversion Rails</t>
        </is>
      </c>
      <c r="AT400" t="inlineStr">
        <is>
          <t>Goldenseal root powder</t>
        </is>
      </c>
    </row>
    <row r="401">
      <c r="A401" t="inlineStr">
        <is>
          <t>Cat Litter Box Accessories</t>
        </is>
      </c>
      <c r="AT401" t="inlineStr">
        <is>
          <t>Goserelin acetate</t>
        </is>
      </c>
    </row>
    <row r="402">
      <c r="A402" t="inlineStr">
        <is>
          <t>Pet Crate &amp; Carrier Accessories</t>
        </is>
      </c>
      <c r="AT402" t="inlineStr">
        <is>
          <t>Griseofulvin</t>
        </is>
      </c>
    </row>
    <row r="403">
      <c r="A403" t="inlineStr">
        <is>
          <t>Blankets And Throws</t>
        </is>
      </c>
      <c r="AT403" t="inlineStr">
        <is>
          <t>Gyromitrin (Acetaldehyde methylformylhydrazone)</t>
        </is>
      </c>
    </row>
    <row r="404">
      <c r="A404" t="inlineStr">
        <is>
          <t>Duvet Fills and Inserts</t>
        </is>
      </c>
      <c r="AT404" t="inlineStr">
        <is>
          <t>Halazepam</t>
        </is>
      </c>
    </row>
    <row r="405">
      <c r="A405" t="inlineStr">
        <is>
          <t>Shower Curtains</t>
        </is>
      </c>
      <c r="AT405" t="inlineStr">
        <is>
          <t>Halobetasol propionate</t>
        </is>
      </c>
    </row>
    <row r="406">
      <c r="A406" t="inlineStr">
        <is>
          <t>Bath Towels</t>
        </is>
      </c>
      <c r="AT406" t="inlineStr">
        <is>
          <t>Haloperidol</t>
        </is>
      </c>
    </row>
    <row r="407">
      <c r="A407" t="inlineStr">
        <is>
          <t>Pet Gates</t>
        </is>
      </c>
      <c r="AT407" t="inlineStr">
        <is>
          <t>Halothane</t>
        </is>
      </c>
    </row>
    <row r="408">
      <c r="A408" t="inlineStr">
        <is>
          <t>Pet Doors</t>
        </is>
      </c>
      <c r="AT408" t="inlineStr">
        <is>
          <t>HC Blue 1</t>
        </is>
      </c>
    </row>
    <row r="409">
      <c r="A409" t="inlineStr">
        <is>
          <t>Cat Cages &amp; Playpens</t>
        </is>
      </c>
      <c r="AT409" t="inlineStr">
        <is>
          <t>Heptachlor</t>
        </is>
      </c>
    </row>
    <row r="410">
      <c r="A410" t="inlineStr">
        <is>
          <t>Pet Bed Accessories &amp; Covers</t>
        </is>
      </c>
      <c r="AT410" t="inlineStr">
        <is>
          <t>Heptachlor epoxide</t>
        </is>
      </c>
    </row>
    <row r="411">
      <c r="A411" t="inlineStr">
        <is>
          <t>Potting Benches &amp; Tables</t>
        </is>
      </c>
      <c r="AT411" t="inlineStr">
        <is>
          <t>Herbal remedies containing plant species of the genus Aristolochia</t>
        </is>
      </c>
    </row>
    <row r="412">
      <c r="A412" t="inlineStr">
        <is>
          <t>Hand Dryers</t>
        </is>
      </c>
      <c r="AT412" t="inlineStr">
        <is>
          <t>Hexachlorobenzene</t>
        </is>
      </c>
    </row>
    <row r="413">
      <c r="A413" t="inlineStr">
        <is>
          <t>Chair Accessories</t>
        </is>
      </c>
      <c r="AT413" t="inlineStr">
        <is>
          <t>Hexachlorobutadiene</t>
        </is>
      </c>
    </row>
    <row r="414">
      <c r="A414" t="inlineStr">
        <is>
          <t>Hooks</t>
        </is>
      </c>
      <c r="AT414" t="inlineStr">
        <is>
          <t>Hexachlorodibenzodioxin</t>
        </is>
      </c>
    </row>
    <row r="415">
      <c r="A415" t="inlineStr">
        <is>
          <t>Brooms and Sweepers</t>
        </is>
      </c>
      <c r="AT415" t="inlineStr">
        <is>
          <t>Hexachloroethane</t>
        </is>
      </c>
    </row>
    <row r="416">
      <c r="A416" t="inlineStr">
        <is>
          <t>Fire Extinguishers</t>
        </is>
      </c>
      <c r="AT416" t="inlineStr">
        <is>
          <t>2,4-Hexadienal (89% trans, trans isomer; 11% cis, trans isomer)</t>
        </is>
      </c>
    </row>
    <row r="417">
      <c r="A417" t="inlineStr">
        <is>
          <t>Key Organizers</t>
        </is>
      </c>
      <c r="AT417" t="inlineStr">
        <is>
          <t>Hexafluoroacetone</t>
        </is>
      </c>
    </row>
    <row r="418">
      <c r="A418" t="inlineStr">
        <is>
          <t>Scales</t>
        </is>
      </c>
      <c r="AT418" t="inlineStr">
        <is>
          <t>Hexamethylphosphoramide</t>
        </is>
      </c>
    </row>
    <row r="419">
      <c r="A419" t="inlineStr">
        <is>
          <t>Time Clocks &amp; Accessories</t>
        </is>
      </c>
      <c r="AT419" t="inlineStr">
        <is>
          <t>Histrelin acetate</t>
        </is>
      </c>
    </row>
    <row r="420">
      <c r="A420" t="inlineStr">
        <is>
          <t>Signs &amp; Sign Holders</t>
        </is>
      </c>
      <c r="AT420" t="inlineStr">
        <is>
          <t>Hydramethylnon</t>
        </is>
      </c>
    </row>
    <row r="421">
      <c r="A421" t="inlineStr">
        <is>
          <t>Disposable Party Supplies</t>
        </is>
      </c>
      <c r="AT421" t="inlineStr">
        <is>
          <t>Hydrazine</t>
        </is>
      </c>
    </row>
    <row r="422">
      <c r="A422" t="inlineStr">
        <is>
          <t>Art Room Supplies</t>
        </is>
      </c>
      <c r="AT422" t="inlineStr">
        <is>
          <t>Hydrazine sulfate</t>
        </is>
      </c>
    </row>
    <row r="423">
      <c r="A423" t="inlineStr">
        <is>
          <t>Hangers</t>
        </is>
      </c>
      <c r="AT423" t="inlineStr">
        <is>
          <t>Hydrazobenzene (1,2-Diphenylhydrazine)</t>
        </is>
      </c>
    </row>
    <row r="424">
      <c r="A424" t="inlineStr">
        <is>
          <t>Partition Desks &amp; Cubicles</t>
        </is>
      </c>
      <c r="AT424" t="inlineStr">
        <is>
          <t>1-Hydroxyanthraquinone</t>
        </is>
      </c>
    </row>
    <row r="425">
      <c r="A425" t="inlineStr">
        <is>
          <t>Partition &amp; Panel Hardware Accessories</t>
        </is>
      </c>
      <c r="AT425" t="inlineStr">
        <is>
          <t>Hydroxyurea</t>
        </is>
      </c>
    </row>
    <row r="426">
      <c r="A426" t="inlineStr">
        <is>
          <t>Trash Bags &amp; Liners</t>
        </is>
      </c>
      <c r="AT426" t="inlineStr">
        <is>
          <t>Idarubicin hydrochloride</t>
        </is>
      </c>
    </row>
    <row r="427">
      <c r="A427" t="inlineStr">
        <is>
          <t>Classroom Decorations</t>
        </is>
      </c>
      <c r="AT427" t="inlineStr">
        <is>
          <t>Ifosfamide</t>
        </is>
      </c>
    </row>
    <row r="428">
      <c r="A428" t="inlineStr">
        <is>
          <t>Smoke &amp; CO Detectors</t>
        </is>
      </c>
      <c r="AT428" t="inlineStr">
        <is>
          <t>Iodine-131</t>
        </is>
      </c>
    </row>
    <row r="429">
      <c r="A429" t="inlineStr">
        <is>
          <t>Vacuum Accessories</t>
        </is>
      </c>
      <c r="AT429" t="inlineStr">
        <is>
          <t>Imazalil</t>
        </is>
      </c>
    </row>
    <row r="430">
      <c r="A430" t="inlineStr">
        <is>
          <t>Eye Wash Stations</t>
        </is>
      </c>
      <c r="AT430" t="inlineStr">
        <is>
          <t>Indeno[1,2,3-cd]pyrene</t>
        </is>
      </c>
    </row>
    <row r="431">
      <c r="A431" t="inlineStr">
        <is>
          <t>Decorative Telephones</t>
        </is>
      </c>
      <c r="AT431" t="inlineStr">
        <is>
          <t>Indium phosphide</t>
        </is>
      </c>
    </row>
    <row r="432">
      <c r="A432" t="inlineStr">
        <is>
          <t>Cash Handling</t>
        </is>
      </c>
      <c r="AT432" t="inlineStr">
        <is>
          <t>IQ (2-Amino-3-methylimidazo[4,5-f] quinoline)</t>
        </is>
      </c>
    </row>
    <row r="433">
      <c r="A433" t="inlineStr">
        <is>
          <t>Restroom Dispensers</t>
        </is>
      </c>
      <c r="AT433" t="inlineStr">
        <is>
          <t>Iprodione</t>
        </is>
      </c>
    </row>
    <row r="434">
      <c r="A434" t="inlineStr">
        <is>
          <t>Drawer Organizers</t>
        </is>
      </c>
      <c r="AT434" t="inlineStr">
        <is>
          <t>Iron dextran complex</t>
        </is>
      </c>
    </row>
    <row r="435">
      <c r="A435" t="inlineStr">
        <is>
          <t>File Boxes</t>
        </is>
      </c>
      <c r="AT435" t="inlineStr">
        <is>
          <t>Isobutyl nitrite</t>
        </is>
      </c>
    </row>
    <row r="436">
      <c r="A436" t="inlineStr">
        <is>
          <t>Water Coolers/Ice Buckets</t>
        </is>
      </c>
      <c r="AT436" t="inlineStr">
        <is>
          <t>Isoprene</t>
        </is>
      </c>
    </row>
    <row r="437">
      <c r="A437" t="inlineStr">
        <is>
          <t>Table Accessories</t>
        </is>
      </c>
      <c r="AT437" t="inlineStr">
        <is>
          <t>Isopyrazam</t>
        </is>
      </c>
    </row>
    <row r="438">
      <c r="A438" t="inlineStr">
        <is>
          <t>Flooring Samples</t>
        </is>
      </c>
      <c r="AT438" t="inlineStr">
        <is>
          <t>Isotretinoin</t>
        </is>
      </c>
    </row>
    <row r="439">
      <c r="A439" t="inlineStr">
        <is>
          <t>Dog Agility Equipment</t>
        </is>
      </c>
      <c r="AT439" t="inlineStr">
        <is>
          <t>Isoxaflutole</t>
        </is>
      </c>
    </row>
    <row r="440">
      <c r="A440" t="inlineStr">
        <is>
          <t>Yoga &amp; Pilates</t>
        </is>
      </c>
      <c r="AT440" t="inlineStr">
        <is>
          <t>Kresoxim-methyl</t>
        </is>
      </c>
    </row>
    <row r="441">
      <c r="A441" t="inlineStr">
        <is>
          <t>Chicken Coops</t>
        </is>
      </c>
      <c r="AT441" t="inlineStr">
        <is>
          <t>Lactofen</t>
        </is>
      </c>
    </row>
    <row r="442">
      <c r="A442" t="inlineStr">
        <is>
          <t>Desktop Organizers &amp; Desk Pads</t>
        </is>
      </c>
      <c r="AT442" t="inlineStr">
        <is>
          <t>Lasiocarpine</t>
        </is>
      </c>
    </row>
    <row r="443">
      <c r="A443" t="inlineStr">
        <is>
          <t>Sports Display Cases</t>
        </is>
      </c>
      <c r="AT443" t="inlineStr">
        <is>
          <t>Lead</t>
        </is>
      </c>
    </row>
    <row r="444">
      <c r="A444" t="inlineStr">
        <is>
          <t>Floor &amp; Wall Tile</t>
        </is>
      </c>
      <c r="AT444" t="inlineStr">
        <is>
          <t>Lead and lead compounds</t>
        </is>
      </c>
    </row>
    <row r="445">
      <c r="A445" t="inlineStr">
        <is>
          <t>Ladders</t>
        </is>
      </c>
      <c r="AT445" t="inlineStr">
        <is>
          <t>Lead acetate</t>
        </is>
      </c>
    </row>
    <row r="446">
      <c r="A446" t="inlineStr">
        <is>
          <t>Tile Trims</t>
        </is>
      </c>
      <c r="AT446" t="inlineStr">
        <is>
          <t>Lead phosphate</t>
        </is>
      </c>
    </row>
    <row r="447">
      <c r="A447" t="inlineStr">
        <is>
          <t>Shelving Accessories</t>
        </is>
      </c>
      <c r="AT447" t="inlineStr">
        <is>
          <t>Lead subacetate</t>
        </is>
      </c>
    </row>
    <row r="448">
      <c r="A448" t="inlineStr">
        <is>
          <t>Vinyl Flooring</t>
        </is>
      </c>
      <c r="AT448" t="inlineStr">
        <is>
          <t>Leather dust</t>
        </is>
      </c>
    </row>
    <row r="449">
      <c r="A449" t="inlineStr">
        <is>
          <t>Furniture Parts</t>
        </is>
      </c>
      <c r="AT449" t="inlineStr">
        <is>
          <t>Leuprolide acetate</t>
        </is>
      </c>
    </row>
    <row r="450">
      <c r="A450" t="inlineStr">
        <is>
          <t>Wedding</t>
        </is>
      </c>
      <c r="AT450" t="inlineStr">
        <is>
          <t>Levodopa</t>
        </is>
      </c>
    </row>
    <row r="451">
      <c r="A451" t="inlineStr">
        <is>
          <t>Hampers &amp; Baskets</t>
        </is>
      </c>
      <c r="AT451" t="inlineStr">
        <is>
          <t>Lindane and other hexachlorocyclohexane isomers</t>
        </is>
      </c>
    </row>
    <row r="452">
      <c r="A452" t="inlineStr">
        <is>
          <t>Tailgating Wagons</t>
        </is>
      </c>
      <c r="AT452" t="inlineStr">
        <is>
          <t>Linuron</t>
        </is>
      </c>
    </row>
    <row r="453">
      <c r="A453" t="inlineStr">
        <is>
          <t>Birding Accessories</t>
        </is>
      </c>
      <c r="AT453" t="inlineStr">
        <is>
          <t>Lithium carbonate</t>
        </is>
      </c>
    </row>
    <row r="454">
      <c r="A454" t="inlineStr">
        <is>
          <t>Flags</t>
        </is>
      </c>
      <c r="AT454" t="inlineStr">
        <is>
          <t>Lithium citrate</t>
        </is>
      </c>
    </row>
    <row r="455">
      <c r="A455" t="inlineStr">
        <is>
          <t>Landscaping Screens &amp; Bridges</t>
        </is>
      </c>
      <c r="AT455" t="inlineStr">
        <is>
          <t>Lorazepam</t>
        </is>
      </c>
    </row>
    <row r="456">
      <c r="A456" t="inlineStr">
        <is>
          <t>Swimming Pools</t>
        </is>
      </c>
      <c r="AT456" t="inlineStr">
        <is>
          <t>Lovastatin</t>
        </is>
      </c>
    </row>
    <row r="457">
      <c r="A457" t="inlineStr">
        <is>
          <t>Hot Tubs</t>
        </is>
      </c>
      <c r="AT457" t="inlineStr">
        <is>
          <t>Lynestrenol</t>
        </is>
      </c>
    </row>
    <row r="458">
      <c r="A458" t="inlineStr">
        <is>
          <t>Garage Storage Cabinets</t>
        </is>
      </c>
      <c r="AT458" t="inlineStr">
        <is>
          <t>Malathion</t>
        </is>
      </c>
    </row>
    <row r="459">
      <c r="A459" t="inlineStr">
        <is>
          <t>Bike And Sport Racks</t>
        </is>
      </c>
      <c r="AT459" t="inlineStr">
        <is>
          <t>Malonaldehyde, sodium salt</t>
        </is>
      </c>
    </row>
    <row r="460">
      <c r="A460" t="inlineStr">
        <is>
          <t>Workbenches</t>
        </is>
      </c>
      <c r="AT460" t="inlineStr">
        <is>
          <t>Mancozeb</t>
        </is>
      </c>
    </row>
    <row r="461">
      <c r="A461" t="inlineStr">
        <is>
          <t>Hose Reels</t>
        </is>
      </c>
      <c r="AT461" t="inlineStr">
        <is>
          <t>Maneb</t>
        </is>
      </c>
    </row>
    <row r="462">
      <c r="A462" t="inlineStr">
        <is>
          <t>Garage Appliances</t>
        </is>
      </c>
      <c r="AT462" t="inlineStr">
        <is>
          <t>Marijuana smoke</t>
        </is>
      </c>
    </row>
    <row r="463">
      <c r="A463" t="inlineStr">
        <is>
          <t>Slatwall &amp; Pegboard Accessories</t>
        </is>
      </c>
      <c r="AT463" t="inlineStr">
        <is>
          <t>Me-A-alpha-C (2-Amino-3-methyl-9H-pyrido[2,3-b]indole)</t>
        </is>
      </c>
    </row>
    <row r="464">
      <c r="A464" t="inlineStr">
        <is>
          <t>Locks</t>
        </is>
      </c>
      <c r="AT464" t="inlineStr">
        <is>
          <t>Mebendazole</t>
        </is>
      </c>
    </row>
    <row r="465">
      <c r="A465" t="inlineStr">
        <is>
          <t>Compost</t>
        </is>
      </c>
      <c r="AT465" t="inlineStr">
        <is>
          <t>Medroxyprogesterone acetate</t>
        </is>
      </c>
    </row>
    <row r="466">
      <c r="A466" t="inlineStr">
        <is>
          <t>Fencing &amp; Edging</t>
        </is>
      </c>
      <c r="AT466" t="inlineStr">
        <is>
          <t>Megestrol acetate</t>
        </is>
      </c>
    </row>
    <row r="467">
      <c r="A467" t="inlineStr">
        <is>
          <t>Fabric</t>
        </is>
      </c>
      <c r="AT467" t="inlineStr">
        <is>
          <t>MeIQ (2-Amino-3,4-dimethylimidazo[4,5-f]quinoline)</t>
        </is>
      </c>
    </row>
    <row r="468">
      <c r="A468" t="inlineStr">
        <is>
          <t>Ramps</t>
        </is>
      </c>
      <c r="AT468" t="inlineStr">
        <is>
          <t>MeIQx (2-Amino-3,8-dimethylimidazo[4,5-f]quinoxaline)</t>
        </is>
      </c>
    </row>
    <row r="469">
      <c r="A469" t="inlineStr">
        <is>
          <t>Exercise Pens and Yard Kennels</t>
        </is>
      </c>
      <c r="AT469" t="inlineStr">
        <is>
          <t>Melphalan</t>
        </is>
      </c>
    </row>
    <row r="470">
      <c r="A470" t="inlineStr">
        <is>
          <t>Baby Blankets</t>
        </is>
      </c>
      <c r="AT470" t="inlineStr">
        <is>
          <t>Menotropins</t>
        </is>
      </c>
    </row>
    <row r="471">
      <c r="A471" t="inlineStr">
        <is>
          <t>Cat Beds</t>
        </is>
      </c>
      <c r="AT471" t="inlineStr">
        <is>
          <t>Mepanipyrim</t>
        </is>
      </c>
    </row>
    <row r="472">
      <c r="A472" t="inlineStr">
        <is>
          <t>Dog Blankets</t>
        </is>
      </c>
      <c r="AT472" t="inlineStr">
        <is>
          <t>Meprobamate</t>
        </is>
      </c>
    </row>
    <row r="473">
      <c r="A473" t="inlineStr">
        <is>
          <t>Pet Grooming Furniture</t>
        </is>
      </c>
      <c r="AT473" t="inlineStr">
        <is>
          <t>2-Mercaptobenzothiazole</t>
        </is>
      </c>
    </row>
    <row r="474">
      <c r="A474" t="inlineStr">
        <is>
          <t>Beer Pong</t>
        </is>
      </c>
      <c r="AT474" t="inlineStr">
        <is>
          <t>Mercaptopurine</t>
        </is>
      </c>
    </row>
    <row r="475">
      <c r="A475" t="inlineStr">
        <is>
          <t>Knife Sets</t>
        </is>
      </c>
      <c r="AT475" t="inlineStr">
        <is>
          <t>Mercury and mercury compounds</t>
        </is>
      </c>
    </row>
    <row r="476">
      <c r="A476" t="inlineStr">
        <is>
          <t>Dog House Accessories</t>
        </is>
      </c>
      <c r="AT476" t="inlineStr">
        <is>
          <t>Merphalan</t>
        </is>
      </c>
    </row>
    <row r="477">
      <c r="A477" t="inlineStr">
        <is>
          <t>Saunas</t>
        </is>
      </c>
      <c r="AT477" t="inlineStr">
        <is>
          <t>Mestranol</t>
        </is>
      </c>
    </row>
    <row r="478">
      <c r="A478" t="inlineStr">
        <is>
          <t>Water Heaters</t>
        </is>
      </c>
      <c r="AT478" t="inlineStr">
        <is>
          <t>Metam potassium</t>
        </is>
      </c>
    </row>
    <row r="479">
      <c r="A479" t="inlineStr">
        <is>
          <t>Dumbbells</t>
        </is>
      </c>
      <c r="AT479" t="inlineStr">
        <is>
          <t>Methacycline hydrochloride</t>
        </is>
      </c>
    </row>
    <row r="480">
      <c r="A480" t="inlineStr">
        <is>
          <t>Weight Benches</t>
        </is>
      </c>
      <c r="AT480" t="inlineStr">
        <is>
          <t>Metham sodium</t>
        </is>
      </c>
    </row>
    <row r="481">
      <c r="A481" t="inlineStr">
        <is>
          <t>Weight Plates</t>
        </is>
      </c>
      <c r="AT481" t="inlineStr">
        <is>
          <t>Methanol</t>
        </is>
      </c>
    </row>
    <row r="482">
      <c r="A482" t="inlineStr">
        <is>
          <t>Sauna Accessories</t>
        </is>
      </c>
      <c r="AT482" t="inlineStr">
        <is>
          <t>Methazole</t>
        </is>
      </c>
    </row>
    <row r="483">
      <c r="A483" t="inlineStr">
        <is>
          <t>Learning Resources</t>
        </is>
      </c>
      <c r="AT483" t="inlineStr">
        <is>
          <t>Methimazole</t>
        </is>
      </c>
    </row>
    <row r="484">
      <c r="A484" t="inlineStr">
        <is>
          <t>Carpet Tile</t>
        </is>
      </c>
      <c r="AT484" t="inlineStr">
        <is>
          <t>Methotrexate</t>
        </is>
      </c>
    </row>
    <row r="485">
      <c r="A485" t="inlineStr">
        <is>
          <t>Outdoor Deck Tiles</t>
        </is>
      </c>
      <c r="AT485" t="inlineStr">
        <is>
          <t>Methotrexate sodium</t>
        </is>
      </c>
    </row>
    <row r="486">
      <c r="A486" t="inlineStr">
        <is>
          <t>Water Filtration</t>
        </is>
      </c>
      <c r="AT486" t="inlineStr">
        <is>
          <t>5-Methoxypsoralen with ultraviolet A therapy</t>
        </is>
      </c>
    </row>
    <row r="487">
      <c r="A487" t="inlineStr">
        <is>
          <t>Sports Flags</t>
        </is>
      </c>
      <c r="AT487" t="inlineStr">
        <is>
          <t>8-Methoxypsoralen with ultraviolet A therapy</t>
        </is>
      </c>
    </row>
    <row r="488">
      <c r="A488" t="inlineStr">
        <is>
          <t>Fitness &amp; Recreational Flooring</t>
        </is>
      </c>
      <c r="AT488" t="inlineStr">
        <is>
          <t>2-Methylaziridine (Propyleneimine)</t>
        </is>
      </c>
    </row>
    <row r="489">
      <c r="A489" t="inlineStr">
        <is>
          <t>Bath Exhaust Fans</t>
        </is>
      </c>
      <c r="AT489" t="inlineStr">
        <is>
          <t>Methylazoxymethanol</t>
        </is>
      </c>
    </row>
    <row r="490">
      <c r="A490" t="inlineStr">
        <is>
          <t>Craft &amp; Sewing Tables</t>
        </is>
      </c>
      <c r="AT490" t="inlineStr">
        <is>
          <t>Methylazoxymethanol acetate</t>
        </is>
      </c>
    </row>
    <row r="491">
      <c r="A491" t="inlineStr">
        <is>
          <t>Bounce Houses &amp; Inflatable Slides</t>
        </is>
      </c>
      <c r="AT491" t="inlineStr">
        <is>
          <t>Methyl bromide, as a structural fumigant</t>
        </is>
      </c>
    </row>
    <row r="492">
      <c r="A492" t="inlineStr">
        <is>
          <t>Commercial Ceiling Lighting</t>
        </is>
      </c>
      <c r="AT492" t="inlineStr">
        <is>
          <t>Methyl carbamate</t>
        </is>
      </c>
    </row>
    <row r="493">
      <c r="A493" t="inlineStr">
        <is>
          <t>Commercial Wall Lighting</t>
        </is>
      </c>
      <c r="AT493" t="inlineStr">
        <is>
          <t>Methyl chloride</t>
        </is>
      </c>
    </row>
    <row r="494">
      <c r="A494" t="inlineStr">
        <is>
          <t>Commercial Outdoor Lighting</t>
        </is>
      </c>
      <c r="AT494" t="inlineStr">
        <is>
          <t>3-Methylcholanthrene</t>
        </is>
      </c>
    </row>
    <row r="495">
      <c r="A495" t="inlineStr">
        <is>
          <t>Commercial Exit And Emergency Lights</t>
        </is>
      </c>
      <c r="AT495" t="inlineStr">
        <is>
          <t>5-Methylchrysene</t>
        </is>
      </c>
    </row>
    <row r="496">
      <c r="A496" t="inlineStr">
        <is>
          <t>Commercial Accent Lighting</t>
        </is>
      </c>
      <c r="AT496" t="inlineStr">
        <is>
          <t>4,4'-Methylene bis(2-chloroaniline)</t>
        </is>
      </c>
    </row>
    <row r="497">
      <c r="A497" t="inlineStr">
        <is>
          <t>Playhouses &amp; Play Tents</t>
        </is>
      </c>
      <c r="AT497" t="inlineStr">
        <is>
          <t>4,4'-Methylene bis(N,N-dimethyl)benzenamine</t>
        </is>
      </c>
    </row>
    <row r="498">
      <c r="A498" t="inlineStr">
        <is>
          <t>Bleachers</t>
        </is>
      </c>
      <c r="AT498" t="inlineStr">
        <is>
          <t>4,4'-Methylene bis(2-methylaniline)</t>
        </is>
      </c>
    </row>
    <row r="499">
      <c r="A499" t="inlineStr">
        <is>
          <t>Chicken Coop Accessories</t>
        </is>
      </c>
      <c r="AT499" t="inlineStr">
        <is>
          <t>4,4'-Methylenedianiline</t>
        </is>
      </c>
    </row>
    <row r="500">
      <c r="A500" t="inlineStr">
        <is>
          <t>Reptile/Snake Terrariums and Habitats</t>
        </is>
      </c>
      <c r="AT500" t="inlineStr">
        <is>
          <t>4,4'-Methylenedianiline dihydrochloride</t>
        </is>
      </c>
    </row>
    <row r="501">
      <c r="A501" t="inlineStr">
        <is>
          <t>Faux Florals</t>
        </is>
      </c>
      <c r="AT501" t="inlineStr">
        <is>
          <t>Methyleugenol</t>
        </is>
      </c>
    </row>
    <row r="502">
      <c r="A502" t="inlineStr">
        <is>
          <t>Faux Plants and Trees</t>
        </is>
      </c>
      <c r="AT502" t="inlineStr">
        <is>
          <t>Methylhydrazine and its salts</t>
        </is>
      </c>
    </row>
    <row r="503">
      <c r="A503" t="inlineStr">
        <is>
          <t>Switches, Dimmers &amp; Outlets</t>
        </is>
      </c>
      <c r="AT503" t="inlineStr">
        <is>
          <t>2-Methylimidazole</t>
        </is>
      </c>
    </row>
    <row r="504">
      <c r="A504" t="inlineStr">
        <is>
          <t>Covers &amp; Carry Bags</t>
        </is>
      </c>
      <c r="AT504" t="inlineStr">
        <is>
          <t>4-Methylimidazole</t>
        </is>
      </c>
    </row>
    <row r="505">
      <c r="A505" t="inlineStr">
        <is>
          <t>Grilling Tools &amp; Accessories</t>
        </is>
      </c>
      <c r="AT505" t="inlineStr">
        <is>
          <t>Methyl iodide</t>
        </is>
      </c>
    </row>
    <row r="506">
      <c r="A506" t="inlineStr">
        <is>
          <t>Grill Parts</t>
        </is>
      </c>
      <c r="AT506" t="inlineStr">
        <is>
          <t>Methyl isobutyl ketone</t>
        </is>
      </c>
    </row>
    <row r="507">
      <c r="A507" t="inlineStr">
        <is>
          <t>Grilling &amp; Heating Fuels</t>
        </is>
      </c>
      <c r="AT507" t="inlineStr">
        <is>
          <t>Methyl isobutyl ketone (MIBK)</t>
        </is>
      </c>
    </row>
    <row r="508">
      <c r="A508" t="inlineStr">
        <is>
          <t>Deck Boxes</t>
        </is>
      </c>
      <c r="AT508" t="inlineStr">
        <is>
          <t>Methyl isocyanate (MIC)</t>
        </is>
      </c>
    </row>
    <row r="509">
      <c r="A509" t="inlineStr">
        <is>
          <t>Wall Stickers</t>
        </is>
      </c>
      <c r="AT509" t="inlineStr">
        <is>
          <t>Methyl mercury</t>
        </is>
      </c>
    </row>
    <row r="510">
      <c r="A510" t="inlineStr">
        <is>
          <t>Ironing Boards, Covers &amp; Pads</t>
        </is>
      </c>
      <c r="AT510" t="inlineStr">
        <is>
          <t>Methylmercury compounds</t>
        </is>
      </c>
    </row>
    <row r="511">
      <c r="A511" t="inlineStr">
        <is>
          <t>Drying Racks</t>
        </is>
      </c>
      <c r="AT511" t="inlineStr">
        <is>
          <t>Methyl methanesulfonate</t>
        </is>
      </c>
    </row>
    <row r="512">
      <c r="A512" t="inlineStr">
        <is>
          <t>Shoe Storage</t>
        </is>
      </c>
      <c r="AT512" t="inlineStr">
        <is>
          <t>Methyl-n-butyl ketone</t>
        </is>
      </c>
    </row>
    <row r="513">
      <c r="A513" t="inlineStr">
        <is>
          <t>Bathroom Storage</t>
        </is>
      </c>
      <c r="AT513" t="inlineStr">
        <is>
          <t>2-Methyl-1-nitroanthraquinone (of uncertain purity)</t>
        </is>
      </c>
    </row>
    <row r="514">
      <c r="A514" t="inlineStr">
        <is>
          <t>Climbing Toys &amp; Slides</t>
        </is>
      </c>
      <c r="AT514" t="inlineStr">
        <is>
          <t>N-Methyl-N'-nitro-N-nitrosoguanidine</t>
        </is>
      </c>
    </row>
    <row r="515">
      <c r="A515" t="inlineStr">
        <is>
          <t>Cruets &amp; Condiment Bottles</t>
        </is>
      </c>
      <c r="AT515" t="inlineStr">
        <is>
          <t>N-Methylolacrylamide</t>
        </is>
      </c>
    </row>
    <row r="516">
      <c r="A516" t="inlineStr">
        <is>
          <t>Changing Table Pads &amp; Covers</t>
        </is>
      </c>
      <c r="AT516" t="inlineStr">
        <is>
          <t>N-Methylpyrrolidone</t>
        </is>
      </c>
    </row>
    <row r="517">
      <c r="A517" t="inlineStr">
        <is>
          <t>Bedding Accessories</t>
        </is>
      </c>
      <c r="AT517" t="inlineStr">
        <is>
          <t>α-Methyl styrene (alpha-Methylstyrene)</t>
        </is>
      </c>
    </row>
    <row r="518">
      <c r="A518" t="inlineStr">
        <is>
          <t>Table Top Games &amp; Accessories</t>
        </is>
      </c>
      <c r="AT518" t="inlineStr">
        <is>
          <t>Methyltestosterone</t>
        </is>
      </c>
    </row>
    <row r="519">
      <c r="A519" t="inlineStr">
        <is>
          <t>Towel Warmers</t>
        </is>
      </c>
      <c r="AT519" t="inlineStr">
        <is>
          <t>Methylthiouracil</t>
        </is>
      </c>
    </row>
    <row r="520">
      <c r="A520" t="inlineStr">
        <is>
          <t>Rug Samples</t>
        </is>
      </c>
      <c r="AT520" t="inlineStr">
        <is>
          <t>Metiram</t>
        </is>
      </c>
    </row>
    <row r="521">
      <c r="A521" t="inlineStr">
        <is>
          <t>Home Brewing</t>
        </is>
      </c>
      <c r="AT521" t="inlineStr">
        <is>
          <t>Metronidazole</t>
        </is>
      </c>
    </row>
    <row r="522">
      <c r="A522" t="inlineStr">
        <is>
          <t>Pavers &amp; Cobblestones</t>
        </is>
      </c>
      <c r="AT522" t="inlineStr">
        <is>
          <t>Michler's ketone</t>
        </is>
      </c>
    </row>
    <row r="523">
      <c r="A523" t="inlineStr">
        <is>
          <t>Body Weight Scales</t>
        </is>
      </c>
      <c r="AT523" t="inlineStr">
        <is>
          <t>Midazolam hydrochloride</t>
        </is>
      </c>
    </row>
    <row r="524">
      <c r="A524" t="inlineStr">
        <is>
          <t>Compact &amp; Mini Fridges</t>
        </is>
      </c>
      <c r="AT524" t="inlineStr">
        <is>
          <t>Minocycline hydrochloride (internal use)</t>
        </is>
      </c>
    </row>
    <row r="525">
      <c r="A525" t="inlineStr">
        <is>
          <t>Large Appliance Accessories</t>
        </is>
      </c>
      <c r="AT525" t="inlineStr">
        <is>
          <t>Mirex</t>
        </is>
      </c>
    </row>
    <row r="526">
      <c r="A526" t="inlineStr">
        <is>
          <t>Christmas Stockings &amp; Holders</t>
        </is>
      </c>
      <c r="AT526" t="inlineStr">
        <is>
          <t>Misoprostol</t>
        </is>
      </c>
    </row>
    <row r="527">
      <c r="A527" t="inlineStr">
        <is>
          <t>Accent Tiles</t>
        </is>
      </c>
      <c r="AT527" t="inlineStr">
        <is>
          <t>Mitomycin C</t>
        </is>
      </c>
    </row>
    <row r="528">
      <c r="A528" t="inlineStr">
        <is>
          <t>Enclosures</t>
        </is>
      </c>
      <c r="AT528" t="inlineStr">
        <is>
          <t>Mitoxantrone hydrochloride</t>
        </is>
      </c>
    </row>
    <row r="529">
      <c r="A529" t="inlineStr">
        <is>
          <t>Tool Holders</t>
        </is>
      </c>
      <c r="AT529" t="inlineStr">
        <is>
          <t>Molinate</t>
        </is>
      </c>
    </row>
    <row r="530">
      <c r="A530" t="inlineStr">
        <is>
          <t>Vanity Tops</t>
        </is>
      </c>
      <c r="AT530" t="inlineStr">
        <is>
          <t>MON 4660 (dichloroacetyl-1-oxa-4-azaspiro(4,5)-decane</t>
        </is>
      </c>
    </row>
    <row r="531">
      <c r="A531" t="inlineStr">
        <is>
          <t>Vanity Bases</t>
        </is>
      </c>
      <c r="AT531" t="inlineStr">
        <is>
          <t>MON 13900 (furilazole)</t>
        </is>
      </c>
    </row>
    <row r="532">
      <c r="A532" t="inlineStr">
        <is>
          <t>Chandeliers</t>
        </is>
      </c>
      <c r="AT532" t="inlineStr">
        <is>
          <t>3-Monochloropropane-1,2-diol (3-MCPD)</t>
        </is>
      </c>
    </row>
    <row r="533">
      <c r="A533" t="inlineStr">
        <is>
          <t>Flush Mount Lighting</t>
        </is>
      </c>
      <c r="AT533" t="inlineStr">
        <is>
          <t>Monocrotaline</t>
        </is>
      </c>
    </row>
    <row r="534">
      <c r="A534" t="inlineStr">
        <is>
          <t>Pendant Lights</t>
        </is>
      </c>
      <c r="AT534" t="inlineStr">
        <is>
          <t>MOPP (vincristine-prednisone-nitrogen mustard-procarbazine mixture)</t>
        </is>
      </c>
    </row>
    <row r="535">
      <c r="A535" t="inlineStr">
        <is>
          <t>Wayfair Gift Certificates &amp; Donations</t>
        </is>
      </c>
      <c r="AT535" t="inlineStr">
        <is>
          <t>5-(Morpholinomethyl)-3-[(5-nitrofurfuryl-idene)-amino]-2-oxazolidinone</t>
        </is>
      </c>
    </row>
    <row r="536">
      <c r="A536" t="inlineStr">
        <is>
          <t>Outdoor Hanging Lights</t>
        </is>
      </c>
      <c r="AT536" t="inlineStr">
        <is>
          <t>Mustard Gas</t>
        </is>
      </c>
    </row>
    <row r="537">
      <c r="A537" t="inlineStr">
        <is>
          <t>Landscape Lighting</t>
        </is>
      </c>
      <c r="AT537" t="inlineStr">
        <is>
          <t>MX (3-chloro-4-dichloromethyl-5-hydroxy-2(5H)-furanone)</t>
        </is>
      </c>
    </row>
    <row r="538">
      <c r="A538" t="inlineStr">
        <is>
          <t>Post Lanterns</t>
        </is>
      </c>
      <c r="AT538" t="inlineStr">
        <is>
          <t>Myclobutanil</t>
        </is>
      </c>
    </row>
    <row r="539">
      <c r="A539" t="inlineStr">
        <is>
          <t>Outdoor Wall Lights</t>
        </is>
      </c>
      <c r="AT539" t="inlineStr">
        <is>
          <t>beta-Myrcene</t>
        </is>
      </c>
    </row>
    <row r="540">
      <c r="A540" t="inlineStr">
        <is>
          <t>Luggage Racks</t>
        </is>
      </c>
      <c r="AT540" t="inlineStr">
        <is>
          <t>Nabam</t>
        </is>
      </c>
    </row>
    <row r="541">
      <c r="A541" t="inlineStr">
        <is>
          <t>Vanity Lighting</t>
        </is>
      </c>
      <c r="AT541" t="inlineStr">
        <is>
          <t>Nafarelin acetate</t>
        </is>
      </c>
    </row>
    <row r="542">
      <c r="A542" t="inlineStr">
        <is>
          <t>Wall Sconces</t>
        </is>
      </c>
      <c r="AT542" t="inlineStr">
        <is>
          <t>Nafenopin</t>
        </is>
      </c>
    </row>
    <row r="543">
      <c r="A543" t="inlineStr">
        <is>
          <t>Kids Bedroom Sets</t>
        </is>
      </c>
      <c r="AT543" t="inlineStr">
        <is>
          <t>Nalidixic acid</t>
        </is>
      </c>
    </row>
    <row r="544">
      <c r="A544" t="inlineStr">
        <is>
          <t>Kids Headboards</t>
        </is>
      </c>
      <c r="AT544" t="inlineStr">
        <is>
          <t>Naphthalene</t>
        </is>
      </c>
    </row>
    <row r="545">
      <c r="A545" t="inlineStr">
        <is>
          <t>Tub Faucets</t>
        </is>
      </c>
      <c r="AT545" t="inlineStr">
        <is>
          <t>1-Naphthylamine</t>
        </is>
      </c>
    </row>
    <row r="546">
      <c r="A546" t="inlineStr">
        <is>
          <t>Shower Faucets &amp; Systems</t>
        </is>
      </c>
      <c r="AT546" t="inlineStr">
        <is>
          <t>2-Naphthylamine</t>
        </is>
      </c>
    </row>
    <row r="547">
      <c r="A547" t="inlineStr">
        <is>
          <t>Candle Holders</t>
        </is>
      </c>
      <c r="AT547" t="inlineStr">
        <is>
          <t>Neomycin sulfate (internal use)</t>
        </is>
      </c>
    </row>
    <row r="548">
      <c r="A548" t="inlineStr">
        <is>
          <t>Shower &amp; Tub Doors</t>
        </is>
      </c>
      <c r="AT548" t="inlineStr">
        <is>
          <t>Netilmicin sulfate</t>
        </is>
      </c>
    </row>
    <row r="549">
      <c r="A549" t="inlineStr">
        <is>
          <t>Shower and Bathtub Enclosures</t>
        </is>
      </c>
      <c r="AT549" t="inlineStr">
        <is>
          <t>Nickel (Metallic)</t>
        </is>
      </c>
    </row>
    <row r="550">
      <c r="A550" t="inlineStr">
        <is>
          <t>Kids Dressers &amp; Chests</t>
        </is>
      </c>
      <c r="AT550" t="inlineStr">
        <is>
          <t>Nickel acetate</t>
        </is>
      </c>
    </row>
    <row r="551">
      <c r="A551" t="inlineStr">
        <is>
          <t>Kids Nightstands</t>
        </is>
      </c>
      <c r="AT551" t="inlineStr">
        <is>
          <t>Nickel carbonate</t>
        </is>
      </c>
    </row>
    <row r="552">
      <c r="A552" t="inlineStr">
        <is>
          <t>Kids Armoires</t>
        </is>
      </c>
      <c r="AT552" t="inlineStr">
        <is>
          <t>Nickel carbonyl</t>
        </is>
      </c>
    </row>
    <row r="553">
      <c r="A553" t="inlineStr">
        <is>
          <t>Flagpoles and Accessories</t>
        </is>
      </c>
      <c r="AT553" t="inlineStr">
        <is>
          <t>Nickel compounds</t>
        </is>
      </c>
    </row>
    <row r="554">
      <c r="A554" t="inlineStr">
        <is>
          <t>Towel Bars, Racks, and Stands</t>
        </is>
      </c>
      <c r="AT554" t="inlineStr">
        <is>
          <t>Nickelocene</t>
        </is>
      </c>
    </row>
    <row r="555">
      <c r="A555" t="inlineStr">
        <is>
          <t>Toilet Paper Holders</t>
        </is>
      </c>
      <c r="AT555" t="inlineStr">
        <is>
          <t>Nickel oxide</t>
        </is>
      </c>
    </row>
    <row r="556">
      <c r="A556" t="inlineStr">
        <is>
          <t>Patio Dining Chairs</t>
        </is>
      </c>
      <c r="AT556" t="inlineStr">
        <is>
          <t>Nickel refinery dust from the pyrometallurgical process</t>
        </is>
      </c>
    </row>
    <row r="557">
      <c r="A557" t="inlineStr">
        <is>
          <t>Wallpaper</t>
        </is>
      </c>
      <c r="AT557" t="inlineStr">
        <is>
          <t>Nickel subsulfide</t>
        </is>
      </c>
    </row>
    <row r="558">
      <c r="A558" t="inlineStr">
        <is>
          <t>Patio Bar Stools</t>
        </is>
      </c>
      <c r="AT558" t="inlineStr">
        <is>
          <t>Nicotine</t>
        </is>
      </c>
    </row>
    <row r="559">
      <c r="A559" t="inlineStr">
        <is>
          <t>Kids Desks</t>
        </is>
      </c>
      <c r="AT559" t="inlineStr">
        <is>
          <t>Nifedipine</t>
        </is>
      </c>
    </row>
    <row r="560">
      <c r="A560" t="inlineStr">
        <is>
          <t>Patio Benches</t>
        </is>
      </c>
      <c r="AT560" t="inlineStr">
        <is>
          <t>Nimodipine</t>
        </is>
      </c>
    </row>
    <row r="561">
      <c r="A561" t="inlineStr">
        <is>
          <t>Kids Vanities</t>
        </is>
      </c>
      <c r="AT561" t="inlineStr">
        <is>
          <t>Niridazole</t>
        </is>
      </c>
    </row>
    <row r="562">
      <c r="A562" t="inlineStr">
        <is>
          <t>Gas Grills</t>
        </is>
      </c>
      <c r="AT562" t="inlineStr">
        <is>
          <t>Nitrapyrin</t>
        </is>
      </c>
    </row>
    <row r="563">
      <c r="A563" t="inlineStr">
        <is>
          <t>Outdoor Cookers</t>
        </is>
      </c>
      <c r="AT563" t="inlineStr">
        <is>
          <t>Nitrilotriacetic acid</t>
        </is>
      </c>
    </row>
    <row r="564">
      <c r="A564" t="inlineStr">
        <is>
          <t>Electric Grills</t>
        </is>
      </c>
      <c r="AT564" t="inlineStr">
        <is>
          <t>Nitrilotriacetic acid, trisodium salt monohydrate</t>
        </is>
      </c>
    </row>
    <row r="565">
      <c r="A565" t="inlineStr">
        <is>
          <t>Saute Pans</t>
        </is>
      </c>
      <c r="AT565" t="inlineStr">
        <is>
          <t>5-Nitroacenaphthene</t>
        </is>
      </c>
    </row>
    <row r="566">
      <c r="A566" t="inlineStr">
        <is>
          <t>Grill Pans &amp; Griddles</t>
        </is>
      </c>
      <c r="AT566" t="inlineStr">
        <is>
          <t>o-Nitroanisole</t>
        </is>
      </c>
    </row>
    <row r="567">
      <c r="A567" t="inlineStr">
        <is>
          <t>Pot Inserts &amp; Steamer Baskets</t>
        </is>
      </c>
      <c r="AT567" t="inlineStr">
        <is>
          <t>Nitrobenzene</t>
        </is>
      </c>
    </row>
    <row r="568">
      <c r="A568" t="inlineStr">
        <is>
          <t>Shower Bases</t>
        </is>
      </c>
      <c r="AT568" t="inlineStr">
        <is>
          <t>4-Nitrobiphenyl</t>
        </is>
      </c>
    </row>
    <row r="569">
      <c r="A569" t="inlineStr">
        <is>
          <t>Ceiling Fan Light Kits</t>
        </is>
      </c>
      <c r="AT569" t="inlineStr">
        <is>
          <t>6-Nitrochrysene</t>
        </is>
      </c>
    </row>
    <row r="570">
      <c r="A570" t="inlineStr">
        <is>
          <t>Outdoor Lanterns &amp; Lamps</t>
        </is>
      </c>
      <c r="AT570" t="inlineStr">
        <is>
          <t>Nitrofen (technical grade)</t>
        </is>
      </c>
    </row>
    <row r="571">
      <c r="A571" t="inlineStr">
        <is>
          <t>Camping Cots</t>
        </is>
      </c>
      <c r="AT571" t="inlineStr">
        <is>
          <t>2-Nitrofluorene</t>
        </is>
      </c>
    </row>
    <row r="572">
      <c r="A572" t="inlineStr">
        <is>
          <t>Air Conditioners</t>
        </is>
      </c>
      <c r="AT572" t="inlineStr">
        <is>
          <t>Nitrofurazone</t>
        </is>
      </c>
    </row>
    <row r="573">
      <c r="A573" t="inlineStr">
        <is>
          <t>Wine Bottle Carriers</t>
        </is>
      </c>
      <c r="AT573" t="inlineStr">
        <is>
          <t>1-[(5-Nitrofurfurylidene)-amino]-2-imidazolidinone</t>
        </is>
      </c>
    </row>
    <row r="574">
      <c r="A574" t="inlineStr">
        <is>
          <t>Floor Lamps</t>
        </is>
      </c>
      <c r="AT574" t="inlineStr">
        <is>
          <t>N-[4-(5-Nitro-2-furyl)-2-thiazolyl]acetamide</t>
        </is>
      </c>
    </row>
    <row r="575">
      <c r="A575" t="inlineStr">
        <is>
          <t>Outdoor Showers</t>
        </is>
      </c>
      <c r="AT575" t="inlineStr">
        <is>
          <t>Nitrogen mustard (Mechlorethamine)</t>
        </is>
      </c>
    </row>
    <row r="576">
      <c r="A576" t="inlineStr">
        <is>
          <t>Curtains &amp; Drapes</t>
        </is>
      </c>
      <c r="AT576" t="inlineStr">
        <is>
          <t>Nitrogen mustard hydrochloride (Mechlorethamine hydrochloride)</t>
        </is>
      </c>
    </row>
    <row r="577">
      <c r="A577" t="inlineStr">
        <is>
          <t>Valances &amp; Kitchen Curtains</t>
        </is>
      </c>
      <c r="AT577" t="inlineStr">
        <is>
          <t>Nitrogen mustard N-oxide</t>
        </is>
      </c>
    </row>
    <row r="578">
      <c r="A578" t="inlineStr">
        <is>
          <t>Curtain Hardware &amp; Accessories</t>
        </is>
      </c>
      <c r="AT578" t="inlineStr">
        <is>
          <t>Nitrogen mustard N-oxide hydrochloride</t>
        </is>
      </c>
    </row>
    <row r="579">
      <c r="A579" t="inlineStr">
        <is>
          <t>Stained Glass Panels</t>
        </is>
      </c>
      <c r="AT579" t="inlineStr">
        <is>
          <t>Nitromethane</t>
        </is>
      </c>
    </row>
    <row r="580">
      <c r="A580" t="inlineStr">
        <is>
          <t>Slatwalls &amp; Pegboards</t>
        </is>
      </c>
      <c r="AT580" t="inlineStr">
        <is>
          <t>2-Nitropropane</t>
        </is>
      </c>
    </row>
    <row r="581">
      <c r="A581" t="inlineStr">
        <is>
          <t>Cotton Candy Makers &amp; Accessories</t>
        </is>
      </c>
      <c r="AT581" t="inlineStr">
        <is>
          <t>1-Nitropyrene</t>
        </is>
      </c>
    </row>
    <row r="582">
      <c r="A582" t="inlineStr">
        <is>
          <t>Holiday Decor Storage</t>
        </is>
      </c>
      <c r="AT582" t="inlineStr">
        <is>
          <t>4-Nitropyrene</t>
        </is>
      </c>
    </row>
    <row r="583">
      <c r="A583" t="inlineStr">
        <is>
          <t>Closet Systems</t>
        </is>
      </c>
      <c r="AT583" t="inlineStr">
        <is>
          <t>N-Nitrosodi-n-butylamine</t>
        </is>
      </c>
    </row>
    <row r="584">
      <c r="A584" t="inlineStr">
        <is>
          <t>Spice Jars &amp; Racks</t>
        </is>
      </c>
      <c r="AT584" t="inlineStr">
        <is>
          <t>N-Nitrosodiethanolamine</t>
        </is>
      </c>
    </row>
    <row r="585">
      <c r="A585" t="inlineStr">
        <is>
          <t>Serving Bowls</t>
        </is>
      </c>
      <c r="AT585" t="inlineStr">
        <is>
          <t>N-Nitrosodiethylamine</t>
        </is>
      </c>
    </row>
    <row r="586">
      <c r="A586" t="inlineStr">
        <is>
          <t>Serving Dishes &amp; Platters</t>
        </is>
      </c>
      <c r="AT586" t="inlineStr">
        <is>
          <t>N-Nitrosodimethylamine</t>
        </is>
      </c>
    </row>
    <row r="587">
      <c r="A587" t="inlineStr">
        <is>
          <t>Specialty Serving</t>
        </is>
      </c>
      <c r="AT587" t="inlineStr">
        <is>
          <t>p-Nitrosodiphenylamine</t>
        </is>
      </c>
    </row>
    <row r="588">
      <c r="A588" t="inlineStr">
        <is>
          <t>Creamers &amp; Sugar Bowls</t>
        </is>
      </c>
      <c r="AT588" t="inlineStr">
        <is>
          <t>N-Nitrosodiphenylamine</t>
        </is>
      </c>
    </row>
    <row r="589">
      <c r="A589" t="inlineStr">
        <is>
          <t>Changing Stations</t>
        </is>
      </c>
      <c r="AT589" t="inlineStr">
        <is>
          <t>N-Nitrosodi-n-propylamine</t>
        </is>
      </c>
    </row>
    <row r="590">
      <c r="A590" t="inlineStr">
        <is>
          <t>Scents &amp; Diffusers</t>
        </is>
      </c>
      <c r="AT590" t="inlineStr">
        <is>
          <t>N-Nitroso-N-ethylurea</t>
        </is>
      </c>
    </row>
    <row r="591">
      <c r="A591" t="inlineStr">
        <is>
          <t>Mugs &amp; Teacups</t>
        </is>
      </c>
      <c r="AT591" t="inlineStr">
        <is>
          <t>3-(N-Nitrosomethylamino) propionitrile</t>
        </is>
      </c>
    </row>
    <row r="592">
      <c r="A592" t="inlineStr">
        <is>
          <t>Holiday Accents &amp; Decor</t>
        </is>
      </c>
      <c r="AT592" t="inlineStr">
        <is>
          <t>4-(N-Nitrosomethylamino)-1-(3-pyridyl)1-butanone</t>
        </is>
      </c>
    </row>
    <row r="593">
      <c r="A593" t="inlineStr">
        <is>
          <t>Decorative Trays</t>
        </is>
      </c>
      <c r="AT593" t="inlineStr">
        <is>
          <t>N-Nitrosomethyl-n-butylamine</t>
        </is>
      </c>
    </row>
    <row r="594">
      <c r="A594" t="inlineStr">
        <is>
          <t>Judaica</t>
        </is>
      </c>
      <c r="AT594" t="inlineStr">
        <is>
          <t>N-Nitrosomethyl-n-decylamine</t>
        </is>
      </c>
    </row>
    <row r="595">
      <c r="A595" t="inlineStr">
        <is>
          <t>Dinnerware Storage</t>
        </is>
      </c>
      <c r="AT595" t="inlineStr">
        <is>
          <t>N-Nitrosomethyl-n-dodecylamine</t>
        </is>
      </c>
    </row>
    <row r="596">
      <c r="A596" t="inlineStr">
        <is>
          <t>Pantry Cabinets</t>
        </is>
      </c>
      <c r="AT596" t="inlineStr">
        <is>
          <t>N-Nitrosomethylethylamine</t>
        </is>
      </c>
    </row>
    <row r="597">
      <c r="A597" t="inlineStr">
        <is>
          <t>Bathroom Hardware Sets</t>
        </is>
      </c>
      <c r="AT597" t="inlineStr">
        <is>
          <t>N-Nitrosomethyl-n-heptylamine</t>
        </is>
      </c>
    </row>
    <row r="598">
      <c r="A598" t="inlineStr">
        <is>
          <t>Soda Makers</t>
        </is>
      </c>
      <c r="AT598" t="inlineStr">
        <is>
          <t>N-Nitrosomethyl-n-hexylamine</t>
        </is>
      </c>
    </row>
    <row r="599">
      <c r="A599" t="inlineStr">
        <is>
          <t>Weight Bar</t>
        </is>
      </c>
      <c r="AT599" t="inlineStr">
        <is>
          <t>N-Nitrosomethyl-n-nonylamine</t>
        </is>
      </c>
    </row>
    <row r="600">
      <c r="A600" t="inlineStr">
        <is>
          <t>Bulletin Boards, Whiteboards, Chalkboards</t>
        </is>
      </c>
      <c r="AT600" t="inlineStr">
        <is>
          <t>N-Nitrosomethyl-n-octylamine</t>
        </is>
      </c>
    </row>
    <row r="601">
      <c r="A601" t="inlineStr">
        <is>
          <t>Makeup Vanities</t>
        </is>
      </c>
      <c r="AT601" t="inlineStr">
        <is>
          <t>N-Nitrosomethyl-n-pentylamine</t>
        </is>
      </c>
    </row>
    <row r="602">
      <c r="A602" t="inlineStr">
        <is>
          <t>Stock &amp; Ready-to-Assemble Kitchen Cabinets</t>
        </is>
      </c>
      <c r="AT602" t="inlineStr">
        <is>
          <t>N-Nitrosomethyl-n-propylamine</t>
        </is>
      </c>
    </row>
    <row r="603">
      <c r="A603" t="inlineStr">
        <is>
          <t>Bar Carts</t>
        </is>
      </c>
      <c r="AT603" t="inlineStr">
        <is>
          <t>N-Nitrosomethyl-n-tetradecylamine</t>
        </is>
      </c>
    </row>
    <row r="604">
      <c r="A604" t="inlineStr">
        <is>
          <t>Restroom Partitions</t>
        </is>
      </c>
      <c r="AT604" t="inlineStr">
        <is>
          <t>N-Nitrosomethyl-n-undecylamine</t>
        </is>
      </c>
    </row>
    <row r="605">
      <c r="A605" t="inlineStr">
        <is>
          <t>Dining Bowls</t>
        </is>
      </c>
      <c r="AT605" t="inlineStr">
        <is>
          <t>N-Nitroso-N-methylurea</t>
        </is>
      </c>
    </row>
    <row r="606">
      <c r="A606" t="inlineStr">
        <is>
          <t>Plates &amp; Saucers</t>
        </is>
      </c>
      <c r="AT606" t="inlineStr">
        <is>
          <t>N-Nitroso-N-methylurethane</t>
        </is>
      </c>
    </row>
    <row r="607">
      <c r="A607" t="inlineStr">
        <is>
          <t>Flushometer Valves</t>
        </is>
      </c>
      <c r="AT607" t="inlineStr">
        <is>
          <t>N-Nitrosomethylvinylamine</t>
        </is>
      </c>
    </row>
    <row r="608">
      <c r="A608" t="inlineStr">
        <is>
          <t>Institutional Furniture Parts &amp; Accessories</t>
        </is>
      </c>
      <c r="AT608" t="inlineStr">
        <is>
          <t>N-Nitrosomorpholine</t>
        </is>
      </c>
    </row>
    <row r="609">
      <c r="A609" t="inlineStr">
        <is>
          <t>Mattresses</t>
        </is>
      </c>
      <c r="AT609" t="inlineStr">
        <is>
          <t>N-Nitrosonornicotine</t>
        </is>
      </c>
    </row>
    <row r="610">
      <c r="A610" t="inlineStr">
        <is>
          <t>Mattress Foundations</t>
        </is>
      </c>
      <c r="AT610" t="inlineStr">
        <is>
          <t>N-Nitrosopiperidine</t>
        </is>
      </c>
    </row>
    <row r="611">
      <c r="A611" t="inlineStr">
        <is>
          <t>Shutters</t>
        </is>
      </c>
      <c r="AT611" t="inlineStr">
        <is>
          <t>N-Nitrosopyrrolidine</t>
        </is>
      </c>
    </row>
    <row r="612">
      <c r="A612" t="inlineStr">
        <is>
          <t>Table Lamps</t>
        </is>
      </c>
      <c r="AT612" t="inlineStr">
        <is>
          <t>N-Nitrososarcosine</t>
        </is>
      </c>
    </row>
    <row r="613">
      <c r="A613" t="inlineStr">
        <is>
          <t>Decorative Torches</t>
        </is>
      </c>
      <c r="AT613" t="inlineStr">
        <is>
          <t>o-Nitrotoluene</t>
        </is>
      </c>
    </row>
    <row r="614">
      <c r="A614" t="inlineStr">
        <is>
          <t>Dwell Studio</t>
        </is>
      </c>
      <c r="AT614" t="inlineStr">
        <is>
          <t>Nitrous oxide</t>
        </is>
      </c>
    </row>
    <row r="615">
      <c r="A615" t="inlineStr">
        <is>
          <t>Mattress Covers and Protectors</t>
        </is>
      </c>
      <c r="AT615" t="inlineStr">
        <is>
          <t>Norethisterone (Norethindrone)</t>
        </is>
      </c>
    </row>
    <row r="616">
      <c r="A616" t="inlineStr">
        <is>
          <t>Trunks</t>
        </is>
      </c>
      <c r="AT616" t="inlineStr">
        <is>
          <t>Norethisterone acetate (Norethindrone acetate)</t>
        </is>
      </c>
    </row>
    <row r="617">
      <c r="A617" t="inlineStr">
        <is>
          <t>Picture Lights</t>
        </is>
      </c>
      <c r="AT617" t="inlineStr">
        <is>
          <t>Norethisterone (Norethindrone)/Ethinyl estradiol</t>
        </is>
      </c>
    </row>
    <row r="618">
      <c r="A618" t="inlineStr">
        <is>
          <t>Stair Accessories</t>
        </is>
      </c>
      <c r="AT618" t="inlineStr">
        <is>
          <t>Norethynodrel</t>
        </is>
      </c>
    </row>
    <row r="619">
      <c r="A619" t="inlineStr">
        <is>
          <t>Interior Doors</t>
        </is>
      </c>
      <c r="AT619" t="inlineStr">
        <is>
          <t>Norgestrel</t>
        </is>
      </c>
    </row>
    <row r="620">
      <c r="A620" t="inlineStr">
        <is>
          <t>Toilet Seat Decals</t>
        </is>
      </c>
      <c r="AT620" t="inlineStr">
        <is>
          <t>Ochratoxin A</t>
        </is>
      </c>
    </row>
    <row r="621">
      <c r="A621" t="inlineStr">
        <is>
          <t>Molding &amp; Millwork</t>
        </is>
      </c>
      <c r="AT621" t="inlineStr">
        <is>
          <t>Oil Orange SS</t>
        </is>
      </c>
    </row>
    <row r="622">
      <c r="A622" t="inlineStr">
        <is>
          <t>Door Hardware Accessories</t>
        </is>
      </c>
      <c r="AT622" t="inlineStr">
        <is>
          <t>Oral contraceptives, combined</t>
        </is>
      </c>
    </row>
    <row r="623">
      <c r="A623" t="inlineStr">
        <is>
          <t>Outdoor Pizza Ovens</t>
        </is>
      </c>
      <c r="AT623" t="inlineStr">
        <is>
          <t>Oral contraceptives, sequential</t>
        </is>
      </c>
    </row>
    <row r="624">
      <c r="A624" t="inlineStr">
        <is>
          <t>Shower &amp; Tub Accessories</t>
        </is>
      </c>
      <c r="AT624" t="inlineStr">
        <is>
          <t>Oryzalin</t>
        </is>
      </c>
    </row>
    <row r="625">
      <c r="A625" t="inlineStr">
        <is>
          <t>Toilet Brushes &amp; Plungers</t>
        </is>
      </c>
      <c r="AT625" t="inlineStr">
        <is>
          <t>Oxadiazon</t>
        </is>
      </c>
    </row>
    <row r="626">
      <c r="A626" t="inlineStr">
        <is>
          <t>Grab Bars</t>
        </is>
      </c>
      <c r="AT626" t="inlineStr">
        <is>
          <t>Oxazepam</t>
        </is>
      </c>
    </row>
    <row r="627">
      <c r="A627" t="inlineStr">
        <is>
          <t>Commercial Floor Care</t>
        </is>
      </c>
      <c r="AT627" t="inlineStr">
        <is>
          <t>Oxymetholone</t>
        </is>
      </c>
    </row>
    <row r="628">
      <c r="A628" t="inlineStr">
        <is>
          <t>Water Filter Pitchers</t>
        </is>
      </c>
      <c r="AT628" t="inlineStr">
        <is>
          <t>Oxytetracycline (internal use)</t>
        </is>
      </c>
    </row>
    <row r="629">
      <c r="A629" t="inlineStr">
        <is>
          <t>Bookends</t>
        </is>
      </c>
      <c r="AT629" t="inlineStr">
        <is>
          <t>Oxytetracycline hydrochloride (internal use)</t>
        </is>
      </c>
    </row>
    <row r="630">
      <c r="A630" t="inlineStr">
        <is>
          <t>Lawn and Beach Chairs</t>
        </is>
      </c>
      <c r="AT630" t="inlineStr">
        <is>
          <t>Oxythioquinox (Chinomethionat)</t>
        </is>
      </c>
    </row>
    <row r="631">
      <c r="A631" t="inlineStr">
        <is>
          <t>Adirondack Chairs</t>
        </is>
      </c>
      <c r="AT631" t="inlineStr">
        <is>
          <t>Paclitaxel</t>
        </is>
      </c>
    </row>
    <row r="632">
      <c r="A632" t="inlineStr">
        <is>
          <t>Patio Rockers &amp; Gliders</t>
        </is>
      </c>
      <c r="AT632" t="inlineStr">
        <is>
          <t>Palygorskite fibers (&gt; 5mm in length)</t>
        </is>
      </c>
    </row>
    <row r="633">
      <c r="A633" t="inlineStr">
        <is>
          <t>Patio Lounge Chairs</t>
        </is>
      </c>
      <c r="AT633" t="inlineStr">
        <is>
          <t>Panfuran S</t>
        </is>
      </c>
    </row>
    <row r="634">
      <c r="A634" t="inlineStr">
        <is>
          <t>Tapestries and Wall Hangings</t>
        </is>
      </c>
      <c r="AT634" t="inlineStr">
        <is>
          <t>Paramethadione</t>
        </is>
      </c>
    </row>
    <row r="635">
      <c r="A635" t="inlineStr">
        <is>
          <t>Wall Décor</t>
        </is>
      </c>
      <c r="AT635" t="inlineStr">
        <is>
          <t>Parathion</t>
        </is>
      </c>
    </row>
    <row r="636">
      <c r="A636" t="inlineStr">
        <is>
          <t>Life Size Cutouts</t>
        </is>
      </c>
      <c r="AT636" t="inlineStr">
        <is>
          <t>Penicillamine</t>
        </is>
      </c>
    </row>
    <row r="637">
      <c r="A637" t="inlineStr">
        <is>
          <t>Ice Buckets, Beverage Tubs &amp; Chillers</t>
        </is>
      </c>
      <c r="AT637" t="inlineStr">
        <is>
          <t>pentabromodiphenyl ether mixture [DE-71 (technical grade)]</t>
        </is>
      </c>
    </row>
    <row r="638">
      <c r="A638" t="inlineStr">
        <is>
          <t>Memo Boards</t>
        </is>
      </c>
      <c r="AT638" t="inlineStr">
        <is>
          <t>Pentachlorophenol</t>
        </is>
      </c>
    </row>
    <row r="639">
      <c r="A639" t="inlineStr">
        <is>
          <t>Cupolas &amp; Weathervanes</t>
        </is>
      </c>
      <c r="AT639" t="inlineStr">
        <is>
          <t>Pentachlorophenol and by-products of its synthesis (complex mixture)</t>
        </is>
      </c>
    </row>
    <row r="640">
      <c r="A640" t="inlineStr">
        <is>
          <t>Weather Instruments</t>
        </is>
      </c>
      <c r="AT640" t="inlineStr">
        <is>
          <t>Pentobarbital sodium</t>
        </is>
      </c>
    </row>
    <row r="641">
      <c r="A641" t="inlineStr">
        <is>
          <t>Floor Installation Accessories</t>
        </is>
      </c>
      <c r="AT641" t="inlineStr">
        <is>
          <t>Pentosan polysulfate sodium</t>
        </is>
      </c>
    </row>
    <row r="642">
      <c r="A642" t="inlineStr">
        <is>
          <t>Floor Underlayments</t>
        </is>
      </c>
      <c r="AT642" t="inlineStr">
        <is>
          <t>Pentostatin</t>
        </is>
      </c>
    </row>
    <row r="643">
      <c r="A643" t="inlineStr">
        <is>
          <t>Floor Vent Covers</t>
        </is>
      </c>
      <c r="AT643" t="inlineStr">
        <is>
          <t>Perfluorooctane sulfonate (PFOS)</t>
        </is>
      </c>
    </row>
    <row r="644">
      <c r="A644" t="inlineStr">
        <is>
          <t>Wallpaper Sample</t>
        </is>
      </c>
      <c r="AT644" t="inlineStr">
        <is>
          <t>Perfluorooctanoic acid (PFOA)</t>
        </is>
      </c>
    </row>
    <row r="645">
      <c r="A645" t="inlineStr">
        <is>
          <t>Awnings</t>
        </is>
      </c>
      <c r="AT645" t="inlineStr">
        <is>
          <t>Pertuzumab</t>
        </is>
      </c>
    </row>
    <row r="646">
      <c r="A646" t="inlineStr">
        <is>
          <t>Shade Sails</t>
        </is>
      </c>
      <c r="AT646" t="inlineStr">
        <is>
          <t>Phenacemide</t>
        </is>
      </c>
    </row>
    <row r="647">
      <c r="A647" t="inlineStr">
        <is>
          <t>Gazebos</t>
        </is>
      </c>
      <c r="AT647" t="inlineStr">
        <is>
          <t>Phenacetin</t>
        </is>
      </c>
    </row>
    <row r="648">
      <c r="A648" t="inlineStr">
        <is>
          <t>Pergolas</t>
        </is>
      </c>
      <c r="AT648" t="inlineStr">
        <is>
          <t>Phenazopyridine</t>
        </is>
      </c>
    </row>
    <row r="649">
      <c r="A649" t="inlineStr">
        <is>
          <t>Beekeeping Supplies</t>
        </is>
      </c>
      <c r="AT649" t="inlineStr">
        <is>
          <t>Phenazopyridine hydrochloride</t>
        </is>
      </c>
    </row>
    <row r="650">
      <c r="A650" t="inlineStr">
        <is>
          <t>Baking Dishes</t>
        </is>
      </c>
      <c r="AT650" t="inlineStr">
        <is>
          <t>Phenesterin</t>
        </is>
      </c>
    </row>
    <row r="651">
      <c r="A651" t="inlineStr">
        <is>
          <t>Muffin &amp; Cupcake Pans</t>
        </is>
      </c>
      <c r="AT651" t="inlineStr">
        <is>
          <t>Phenobarbital</t>
        </is>
      </c>
    </row>
    <row r="652">
      <c r="A652" t="inlineStr">
        <is>
          <t>Bread &amp; Loaf Pans</t>
        </is>
      </c>
      <c r="AT652" t="inlineStr">
        <is>
          <t>Phenolphthalein</t>
        </is>
      </c>
    </row>
    <row r="653">
      <c r="A653" t="inlineStr">
        <is>
          <t>Bakeware Sets</t>
        </is>
      </c>
      <c r="AT653" t="inlineStr">
        <is>
          <t>Phenoxybenzamine</t>
        </is>
      </c>
    </row>
    <row r="654">
      <c r="A654" t="inlineStr">
        <is>
          <t>Napkin Rings, Place Card Holders &amp; Food Markers</t>
        </is>
      </c>
      <c r="AT654" t="inlineStr">
        <is>
          <t>Phenoxybenzamine hydrochloride</t>
        </is>
      </c>
    </row>
    <row r="655">
      <c r="A655" t="inlineStr">
        <is>
          <t>Entry Sets</t>
        </is>
      </c>
      <c r="AT655" t="inlineStr">
        <is>
          <t>Phenprocoumon</t>
        </is>
      </c>
    </row>
    <row r="656">
      <c r="A656" t="inlineStr">
        <is>
          <t>Door Levers</t>
        </is>
      </c>
      <c r="AT656" t="inlineStr">
        <is>
          <t>o-Phenylenediamine and its salts</t>
        </is>
      </c>
    </row>
    <row r="657">
      <c r="A657" t="inlineStr">
        <is>
          <t>Door Knobs</t>
        </is>
      </c>
      <c r="AT657" t="inlineStr">
        <is>
          <t>Phenylhydrazine and its salts</t>
        </is>
      </c>
    </row>
    <row r="658">
      <c r="A658" t="inlineStr">
        <is>
          <t>Deadbolts</t>
        </is>
      </c>
      <c r="AT658" t="inlineStr">
        <is>
          <t>o-Phenylphenate, sodium</t>
        </is>
      </c>
    </row>
    <row r="659">
      <c r="A659" t="inlineStr">
        <is>
          <t>Door Stops</t>
        </is>
      </c>
      <c r="AT659" t="inlineStr">
        <is>
          <t>o-Phenylphenol</t>
        </is>
      </c>
    </row>
    <row r="660">
      <c r="A660" t="inlineStr">
        <is>
          <t>Door Hinges</t>
        </is>
      </c>
      <c r="AT660" t="inlineStr">
        <is>
          <t>Phenylphosphine</t>
        </is>
      </c>
    </row>
    <row r="661">
      <c r="A661" t="inlineStr">
        <is>
          <t>Canisters &amp; Jars</t>
        </is>
      </c>
      <c r="AT661" t="inlineStr">
        <is>
          <t>PhiP(2-Amino-1-methyl-6-phenylimidazol[4,5-b]pyridine)</t>
        </is>
      </c>
    </row>
    <row r="662">
      <c r="A662" t="inlineStr">
        <is>
          <t>Cabinet Hinges</t>
        </is>
      </c>
      <c r="AT662" t="inlineStr">
        <is>
          <t>Pimozide</t>
        </is>
      </c>
    </row>
    <row r="663">
      <c r="A663" t="inlineStr">
        <is>
          <t>Cabinet and Drawer Backplates</t>
        </is>
      </c>
      <c r="AT663" t="inlineStr">
        <is>
          <t>Pioglitazone</t>
        </is>
      </c>
    </row>
    <row r="664">
      <c r="A664" t="inlineStr">
        <is>
          <t>Cabinet and Drawer Knobs</t>
        </is>
      </c>
      <c r="AT664" t="inlineStr">
        <is>
          <t>Pipobroman</t>
        </is>
      </c>
    </row>
    <row r="665">
      <c r="A665" t="inlineStr">
        <is>
          <t>Drawer Slides</t>
        </is>
      </c>
      <c r="AT665" t="inlineStr">
        <is>
          <t>Pirimicarb</t>
        </is>
      </c>
    </row>
    <row r="666">
      <c r="A666" t="inlineStr">
        <is>
          <t>Waiting Room &amp; Reception Chairs</t>
        </is>
      </c>
      <c r="AT666" t="inlineStr">
        <is>
          <t>Plicamycin</t>
        </is>
      </c>
    </row>
    <row r="667">
      <c r="A667" t="inlineStr">
        <is>
          <t>Reception Sofas</t>
        </is>
      </c>
      <c r="AT667" t="inlineStr">
        <is>
          <t>Polybrominated biphenyls</t>
        </is>
      </c>
    </row>
    <row r="668">
      <c r="A668" t="inlineStr">
        <is>
          <t>Reception Benches</t>
        </is>
      </c>
      <c r="AT668" t="inlineStr">
        <is>
          <t>Polychlorinated biphenyls</t>
        </is>
      </c>
    </row>
    <row r="669">
      <c r="A669" t="inlineStr">
        <is>
          <t>Reception Desks</t>
        </is>
      </c>
      <c r="AT669" t="inlineStr">
        <is>
          <t>Polychlorinated biphenyls (containing 60 or more percent chlorine by molecular weight)</t>
        </is>
      </c>
    </row>
    <row r="670">
      <c r="A670" t="inlineStr">
        <is>
          <t>Ceiling Tiles</t>
        </is>
      </c>
      <c r="AT670" t="inlineStr">
        <is>
          <t>Polychlorinated dibenzo-p-dioxins</t>
        </is>
      </c>
    </row>
    <row r="671">
      <c r="A671" t="inlineStr">
        <is>
          <t>Multichannel-Only (MCO) Fulfillment</t>
        </is>
      </c>
      <c r="AT671" t="inlineStr">
        <is>
          <t>Polychlorinated dibenzofurans</t>
        </is>
      </c>
    </row>
    <row r="672">
      <c r="A672" t="inlineStr">
        <is>
          <t>Poker &amp; Card Tables</t>
        </is>
      </c>
      <c r="AT672" t="inlineStr">
        <is>
          <t>Polygeenan</t>
        </is>
      </c>
    </row>
    <row r="673">
      <c r="A673" t="inlineStr">
        <is>
          <t>Futon Frames</t>
        </is>
      </c>
      <c r="AT673" t="inlineStr">
        <is>
          <t>Ponceau MX</t>
        </is>
      </c>
    </row>
    <row r="674">
      <c r="A674" t="inlineStr">
        <is>
          <t>Shade Accessories</t>
        </is>
      </c>
      <c r="AT674" t="inlineStr">
        <is>
          <t>Ponceau 3R</t>
        </is>
      </c>
    </row>
    <row r="675">
      <c r="A675" t="inlineStr">
        <is>
          <t>Cabinet and Drawer Accessories</t>
        </is>
      </c>
      <c r="AT675" t="inlineStr">
        <is>
          <t>Potassium bromate</t>
        </is>
      </c>
    </row>
    <row r="676">
      <c r="A676" t="inlineStr">
        <is>
          <t>Rain Barrels</t>
        </is>
      </c>
      <c r="AT676" t="inlineStr">
        <is>
          <t>Potassium dimethyldithiocarbamate</t>
        </is>
      </c>
    </row>
    <row r="677">
      <c r="A677" t="inlineStr">
        <is>
          <t>Food Service Racks &amp; Shelving</t>
        </is>
      </c>
      <c r="AT677" t="inlineStr">
        <is>
          <t>Pravastatin sodium</t>
        </is>
      </c>
    </row>
    <row r="678">
      <c r="A678" t="inlineStr">
        <is>
          <t>Shower Panels</t>
        </is>
      </c>
      <c r="AT678" t="inlineStr">
        <is>
          <t>Prednisolone sodium phosphate</t>
        </is>
      </c>
    </row>
    <row r="679">
      <c r="A679" t="inlineStr">
        <is>
          <t>Shower Heads</t>
        </is>
      </c>
      <c r="AT679" t="inlineStr">
        <is>
          <t>Primidone</t>
        </is>
      </c>
    </row>
    <row r="680">
      <c r="A680" t="inlineStr">
        <is>
          <t>Arbors</t>
        </is>
      </c>
      <c r="AT680" t="inlineStr">
        <is>
          <t>Procarbazine</t>
        </is>
      </c>
    </row>
    <row r="681">
      <c r="A681" t="inlineStr">
        <is>
          <t>Teapots &amp; Teapot Sets</t>
        </is>
      </c>
      <c r="AT681" t="inlineStr">
        <is>
          <t>Procarbazine hydrochloride</t>
        </is>
      </c>
    </row>
    <row r="682">
      <c r="A682" t="inlineStr">
        <is>
          <t>Wreaths</t>
        </is>
      </c>
      <c r="AT682" t="inlineStr">
        <is>
          <t>Procymidone</t>
        </is>
      </c>
    </row>
    <row r="683">
      <c r="A683" t="inlineStr">
        <is>
          <t>Radiators</t>
        </is>
      </c>
      <c r="AT683" t="inlineStr">
        <is>
          <t>Progesterone</t>
        </is>
      </c>
    </row>
    <row r="684">
      <c r="A684" t="inlineStr">
        <is>
          <t>Hospitality - Booths</t>
        </is>
      </c>
      <c r="AT684" t="inlineStr">
        <is>
          <t>Pronamide</t>
        </is>
      </c>
    </row>
    <row r="685">
      <c r="A685" t="inlineStr">
        <is>
          <t>Decorative Media Players</t>
        </is>
      </c>
      <c r="AT685" t="inlineStr">
        <is>
          <t>Propachlor</t>
        </is>
      </c>
    </row>
    <row r="686">
      <c r="A686" t="inlineStr">
        <is>
          <t>Exterior Doors</t>
        </is>
      </c>
      <c r="AT686" t="inlineStr">
        <is>
          <t>1,3-Propane sultone</t>
        </is>
      </c>
    </row>
    <row r="687">
      <c r="A687" t="inlineStr">
        <is>
          <t>Large Appliance Warranties</t>
        </is>
      </c>
      <c r="AT687" t="inlineStr">
        <is>
          <t>Propargite</t>
        </is>
      </c>
    </row>
    <row r="688">
      <c r="A688" t="inlineStr">
        <is>
          <t>Washer and Dryer Sets</t>
        </is>
      </c>
      <c r="AT688" t="inlineStr">
        <is>
          <t>Propazine</t>
        </is>
      </c>
    </row>
    <row r="689">
      <c r="A689" t="inlineStr">
        <is>
          <t>Towel Rings</t>
        </is>
      </c>
      <c r="AT689" t="inlineStr">
        <is>
          <t>beta-Propiolactone</t>
        </is>
      </c>
    </row>
    <row r="690">
      <c r="A690" t="inlineStr">
        <is>
          <t>Towel &amp; Robe Hooks</t>
        </is>
      </c>
      <c r="AT690" t="inlineStr">
        <is>
          <t>Propoxur</t>
        </is>
      </c>
    </row>
    <row r="691">
      <c r="A691" t="inlineStr">
        <is>
          <t>Dorm Room Furniture</t>
        </is>
      </c>
      <c r="AT691" t="inlineStr">
        <is>
          <t>Propylene glycol mono-t-butyl ether</t>
        </is>
      </c>
    </row>
    <row r="692">
      <c r="A692" t="inlineStr">
        <is>
          <t>Uniters Rugs</t>
        </is>
      </c>
      <c r="AT692" t="inlineStr">
        <is>
          <t>Propylene oxide</t>
        </is>
      </c>
    </row>
    <row r="693">
      <c r="A693" t="inlineStr">
        <is>
          <t>Small Appliance Warranties</t>
        </is>
      </c>
      <c r="AT693" t="inlineStr">
        <is>
          <t>Propylthiouracil</t>
        </is>
      </c>
    </row>
    <row r="694">
      <c r="A694" t="inlineStr">
        <is>
          <t>String Lights</t>
        </is>
      </c>
      <c r="AT694" t="inlineStr">
        <is>
          <t>Pulegone</t>
        </is>
      </c>
    </row>
    <row r="695">
      <c r="A695" t="inlineStr">
        <is>
          <t>Air Purifiers</t>
        </is>
      </c>
      <c r="AT695" t="inlineStr">
        <is>
          <t>Pymetrozine</t>
        </is>
      </c>
    </row>
    <row r="696">
      <c r="A696" t="inlineStr">
        <is>
          <t>Humidifiers</t>
        </is>
      </c>
      <c r="AT696" t="inlineStr">
        <is>
          <t>Pyridine</t>
        </is>
      </c>
    </row>
    <row r="697">
      <c r="A697" t="inlineStr">
        <is>
          <t>Air Treatment Accessories</t>
        </is>
      </c>
      <c r="AT697" t="inlineStr">
        <is>
          <t>Pyrimethamine</t>
        </is>
      </c>
    </row>
    <row r="698">
      <c r="A698" t="inlineStr">
        <is>
          <t>Dehumidifiers</t>
        </is>
      </c>
      <c r="AT698" t="inlineStr">
        <is>
          <t>Quazepam</t>
        </is>
      </c>
    </row>
    <row r="699">
      <c r="A699" t="inlineStr">
        <is>
          <t>Log Storage</t>
        </is>
      </c>
      <c r="AT699" t="inlineStr">
        <is>
          <t>Quinoline and its strong acid salts</t>
        </is>
      </c>
    </row>
    <row r="700">
      <c r="A700" t="inlineStr">
        <is>
          <t>Crib Sheets</t>
        </is>
      </c>
      <c r="AT700" t="inlineStr">
        <is>
          <t>Radionuclides</t>
        </is>
      </c>
    </row>
    <row r="701">
      <c r="A701" t="inlineStr">
        <is>
          <t>Crib Bedding Accessories</t>
        </is>
      </c>
      <c r="AT701" t="inlineStr">
        <is>
          <t>Reserpine</t>
        </is>
      </c>
    </row>
    <row r="702">
      <c r="A702" t="inlineStr">
        <is>
          <t>Product Credit</t>
        </is>
      </c>
      <c r="AT702" t="inlineStr">
        <is>
          <t>Residual (heavy) fuel oils</t>
        </is>
      </c>
    </row>
    <row r="703">
      <c r="A703" t="inlineStr">
        <is>
          <t>Tabletop Fireplaces</t>
        </is>
      </c>
      <c r="AT703" t="inlineStr">
        <is>
          <t>Resmethrin</t>
        </is>
      </c>
    </row>
    <row r="704">
      <c r="A704" t="inlineStr">
        <is>
          <t>Peel and Stick Backsplash Tile</t>
        </is>
      </c>
      <c r="AT704" t="inlineStr">
        <is>
          <t>Retinol/retinyl esters, when in daily dosages in excess of 10,000 IU, or 3,000 retinol equivalents.</t>
        </is>
      </c>
    </row>
    <row r="705">
      <c r="A705" t="inlineStr">
        <is>
          <t>Kids Step Stools</t>
        </is>
      </c>
      <c r="AT705" t="inlineStr">
        <is>
          <t>Ribavirin</t>
        </is>
      </c>
    </row>
    <row r="706">
      <c r="A706" t="inlineStr">
        <is>
          <t>Shower Curtain Rods</t>
        </is>
      </c>
      <c r="AT706" t="inlineStr">
        <is>
          <t>Riddelliine</t>
        </is>
      </c>
    </row>
    <row r="707">
      <c r="A707" t="inlineStr">
        <is>
          <t>Wall Paneling</t>
        </is>
      </c>
      <c r="AT707" t="inlineStr">
        <is>
          <t>Rifampin</t>
        </is>
      </c>
    </row>
    <row r="708">
      <c r="A708" t="inlineStr">
        <is>
          <t>House Letters &amp; Numbers</t>
        </is>
      </c>
      <c r="AT708" t="inlineStr">
        <is>
          <t>Safrole</t>
        </is>
      </c>
    </row>
    <row r="709">
      <c r="A709" t="inlineStr">
        <is>
          <t>Lighting Warranties</t>
        </is>
      </c>
      <c r="AT709" t="inlineStr">
        <is>
          <t>Salted fish, Chinese-style</t>
        </is>
      </c>
    </row>
    <row r="710">
      <c r="A710" t="inlineStr">
        <is>
          <t>Handy</t>
        </is>
      </c>
      <c r="AT710" t="inlineStr">
        <is>
          <t>Secobarbital sodium</t>
        </is>
      </c>
    </row>
    <row r="711">
      <c r="A711" t="inlineStr">
        <is>
          <t>Soft Seating</t>
        </is>
      </c>
      <c r="AT711" t="inlineStr">
        <is>
          <t>Sedaxane</t>
        </is>
      </c>
    </row>
    <row r="712">
      <c r="A712" t="inlineStr">
        <is>
          <t>Uniters Renovation - Plumbing</t>
        </is>
      </c>
      <c r="AT712" t="inlineStr">
        <is>
          <t>Selenium sulfide</t>
        </is>
      </c>
    </row>
    <row r="713">
      <c r="A713" t="inlineStr">
        <is>
          <t>Planter Accessories</t>
        </is>
      </c>
      <c r="AT713" t="inlineStr">
        <is>
          <t>Sermorelin acetate</t>
        </is>
      </c>
    </row>
    <row r="714">
      <c r="A714" t="inlineStr">
        <is>
          <t>Charcoal Grills</t>
        </is>
      </c>
      <c r="AT714" t="inlineStr">
        <is>
          <t>Shale-oils</t>
        </is>
      </c>
    </row>
    <row r="715">
      <c r="A715" t="inlineStr">
        <is>
          <t>Track Lighting Kits</t>
        </is>
      </c>
      <c r="AT715" t="inlineStr">
        <is>
          <t>Silica, crystalline (airborne particles of respirable size)</t>
        </is>
      </c>
    </row>
    <row r="716">
      <c r="A716" t="inlineStr">
        <is>
          <t>Recessed Lighting Kits</t>
        </is>
      </c>
      <c r="AT716" t="inlineStr">
        <is>
          <t>Simazine</t>
        </is>
      </c>
    </row>
    <row r="717">
      <c r="A717" t="inlineStr">
        <is>
          <t>Track Lighting Heads &amp; Pendants</t>
        </is>
      </c>
      <c r="AT717" t="inlineStr">
        <is>
          <t>Sodium dimethyldithiocarbamate</t>
        </is>
      </c>
    </row>
    <row r="718">
      <c r="A718" t="inlineStr">
        <is>
          <t>Track Lighting Tracks, Rails &amp; Connectors</t>
        </is>
      </c>
      <c r="AT718" t="inlineStr">
        <is>
          <t>Soots, tars, and mineral oils (untreated and mildly treated oils and used engine oils)</t>
        </is>
      </c>
    </row>
    <row r="719">
      <c r="A719" t="inlineStr">
        <is>
          <t>Recessed Lighting Trims</t>
        </is>
      </c>
      <c r="AT719" t="inlineStr">
        <is>
          <t>Spirodiclofen</t>
        </is>
      </c>
    </row>
    <row r="720">
      <c r="A720" t="inlineStr">
        <is>
          <t>Wall Organizers, Wall Baskets, and Key Organizers</t>
        </is>
      </c>
      <c r="AT720" t="inlineStr">
        <is>
          <t>Spironolactone</t>
        </is>
      </c>
    </row>
    <row r="721">
      <c r="A721" t="inlineStr">
        <is>
          <t>Coffee Pods &amp; K-Cups</t>
        </is>
      </c>
      <c r="AT721" t="inlineStr">
        <is>
          <t>Stanozolol</t>
        </is>
      </c>
    </row>
    <row r="722">
      <c r="A722" t="inlineStr">
        <is>
          <t>Curtains, Drapes, &amp; Valences Samples</t>
        </is>
      </c>
      <c r="AT722" t="inlineStr">
        <is>
          <t>Sterigmatocystin</t>
        </is>
      </c>
    </row>
    <row r="723">
      <c r="A723" t="inlineStr">
        <is>
          <t>Large Appliances Fulfillment Services</t>
        </is>
      </c>
      <c r="AT723" t="inlineStr">
        <is>
          <t>Streptomycin sulfate</t>
        </is>
      </c>
    </row>
    <row r="724">
      <c r="A724" t="inlineStr">
        <is>
          <t>Outdoor Structures &amp; Spa Warranties</t>
        </is>
      </c>
      <c r="AT724" t="inlineStr">
        <is>
          <t>Streptozocin (streptozotocin)</t>
        </is>
      </c>
    </row>
    <row r="725">
      <c r="A725" t="inlineStr">
        <is>
          <t>Portable Washers &amp; Dryers</t>
        </is>
      </c>
      <c r="AT725" t="inlineStr">
        <is>
          <t>Streptozotocin (streptozocin)</t>
        </is>
      </c>
    </row>
    <row r="726">
      <c r="A726" t="inlineStr">
        <is>
          <t>Adjustable Beds</t>
        </is>
      </c>
      <c r="AT726" t="inlineStr">
        <is>
          <t>Strong inorganic acid mists containing sulfuric acid</t>
        </is>
      </c>
    </row>
    <row r="727">
      <c r="A727" t="inlineStr">
        <is>
          <t>Closet Organizer Accessories</t>
        </is>
      </c>
      <c r="AT727" t="inlineStr">
        <is>
          <t>Styrene</t>
        </is>
      </c>
    </row>
    <row r="728">
      <c r="A728" t="inlineStr">
        <is>
          <t>Shower Benches</t>
        </is>
      </c>
      <c r="AT728" t="inlineStr">
        <is>
          <t>Styrene oxide</t>
        </is>
      </c>
    </row>
    <row r="729">
      <c r="A729" t="inlineStr">
        <is>
          <t>Placemats, Chargers, &amp; Napkins</t>
        </is>
      </c>
      <c r="AT729" t="inlineStr">
        <is>
          <t>Sulfallate</t>
        </is>
      </c>
    </row>
    <row r="730">
      <c r="A730" t="inlineStr">
        <is>
          <t>Clothing &amp; Garment Racks</t>
        </is>
      </c>
      <c r="AT730" t="inlineStr">
        <is>
          <t>Sulfasalazine (Salicylazosulfapyridine)</t>
        </is>
      </c>
    </row>
    <row r="731">
      <c r="A731" t="inlineStr">
        <is>
          <t>Nursery Furniture Sets</t>
        </is>
      </c>
      <c r="AT731" t="inlineStr">
        <is>
          <t>Sulfur dioxidee</t>
        </is>
      </c>
    </row>
    <row r="732">
      <c r="A732" t="inlineStr">
        <is>
          <t>Wood Pellet Grills</t>
        </is>
      </c>
      <c r="AT732" t="inlineStr">
        <is>
          <t>Sulindac</t>
        </is>
      </c>
    </row>
    <row r="733">
      <c r="A733" t="inlineStr">
        <is>
          <t>Wayfair Registry</t>
        </is>
      </c>
      <c r="AT733" t="inlineStr">
        <is>
          <t>Talc containing asbestiform fibers</t>
        </is>
      </c>
    </row>
    <row r="734">
      <c r="A734" t="inlineStr">
        <is>
          <t>Beauty Organizers</t>
        </is>
      </c>
      <c r="AT734" t="inlineStr">
        <is>
          <t>Tamoxifen and its salts</t>
        </is>
      </c>
    </row>
    <row r="735">
      <c r="A735" t="inlineStr">
        <is>
          <t>Security Lighting</t>
        </is>
      </c>
      <c r="AT735" t="inlineStr">
        <is>
          <t>Tamoxifen citrate</t>
        </is>
      </c>
    </row>
    <row r="736">
      <c r="A736" t="inlineStr">
        <is>
          <t>Fireplace Screens &amp; Doors</t>
        </is>
      </c>
      <c r="AT736" t="inlineStr">
        <is>
          <t>Temazepam</t>
        </is>
      </c>
    </row>
    <row r="737">
      <c r="A737" t="inlineStr">
        <is>
          <t>Garden Accents</t>
        </is>
      </c>
      <c r="AT737" t="inlineStr">
        <is>
          <t>Teniposide</t>
        </is>
      </c>
    </row>
    <row r="738">
      <c r="A738" t="inlineStr">
        <is>
          <t>Evaporative Coolers</t>
        </is>
      </c>
      <c r="AT738" t="inlineStr">
        <is>
          <t>Terbacil</t>
        </is>
      </c>
    </row>
    <row r="739">
      <c r="A739" t="inlineStr">
        <is>
          <t>Bathrobes</t>
        </is>
      </c>
      <c r="AT739" t="inlineStr">
        <is>
          <t>Teriparatide</t>
        </is>
      </c>
    </row>
    <row r="740">
      <c r="A740" t="inlineStr">
        <is>
          <t>Outdoor Wall Decor</t>
        </is>
      </c>
      <c r="AT740" t="inlineStr">
        <is>
          <t>Terrazole</t>
        </is>
      </c>
    </row>
    <row r="741">
      <c r="A741" t="inlineStr">
        <is>
          <t>Doormats</t>
        </is>
      </c>
      <c r="AT741" t="inlineStr">
        <is>
          <t>Testosterone and its esters</t>
        </is>
      </c>
    </row>
    <row r="742">
      <c r="A742" t="inlineStr">
        <is>
          <t>Kitchen Mats</t>
        </is>
      </c>
      <c r="AT742" t="inlineStr">
        <is>
          <t>Testosterone cypionate</t>
        </is>
      </c>
    </row>
    <row r="743">
      <c r="A743" t="inlineStr">
        <is>
          <t>Decorative Boxes</t>
        </is>
      </c>
      <c r="AT743" t="inlineStr">
        <is>
          <t>Testosterone enanthate</t>
        </is>
      </c>
    </row>
    <row r="744">
      <c r="A744" t="inlineStr">
        <is>
          <t>Microfridge Combo Units</t>
        </is>
      </c>
      <c r="AT744" t="inlineStr">
        <is>
          <t>Tetrabromobisphenol A</t>
        </is>
      </c>
    </row>
    <row r="745">
      <c r="A745" t="inlineStr">
        <is>
          <t>Gas Fireplaces</t>
        </is>
      </c>
      <c r="AT745" t="inlineStr">
        <is>
          <t>3,3',4,4'-Tetrachloroazobenzene</t>
        </is>
      </c>
    </row>
    <row r="746">
      <c r="A746" t="inlineStr">
        <is>
          <t>Barn Door Hardware</t>
        </is>
      </c>
      <c r="AT746" t="inlineStr">
        <is>
          <t>2,3,7,8-Tetrachlorodibenzo-p-dioxin (TCDD)</t>
        </is>
      </c>
    </row>
    <row r="747">
      <c r="A747" t="inlineStr">
        <is>
          <t>Fabric Samples</t>
        </is>
      </c>
      <c r="AT747" t="inlineStr">
        <is>
          <t>1,1,1,2-Tetrachloroethane</t>
        </is>
      </c>
    </row>
    <row r="748">
      <c r="A748" t="inlineStr">
        <is>
          <t>Glass Sample</t>
        </is>
      </c>
      <c r="AT748" t="inlineStr">
        <is>
          <t>1,1,2,2-Tetrachloroethane</t>
        </is>
      </c>
    </row>
    <row r="749">
      <c r="A749" t="inlineStr">
        <is>
          <t>Metal Sample</t>
        </is>
      </c>
      <c r="AT749" t="inlineStr">
        <is>
          <t>Tetrachloroethylene (Perchloroethylene)</t>
        </is>
      </c>
    </row>
    <row r="750">
      <c r="A750" t="inlineStr">
        <is>
          <t>Plastic Sample</t>
        </is>
      </c>
      <c r="AT750" t="inlineStr">
        <is>
          <t>p-a,a,a-Tetrachlorotoluene</t>
        </is>
      </c>
    </row>
    <row r="751">
      <c r="A751" t="inlineStr">
        <is>
          <t>Ceramic/Stone Sample</t>
        </is>
      </c>
      <c r="AT751" t="inlineStr">
        <is>
          <t>Tetrachlorvinphos</t>
        </is>
      </c>
    </row>
    <row r="752">
      <c r="A752" t="inlineStr">
        <is>
          <t>Wicker/Rattan Sample</t>
        </is>
      </c>
      <c r="AT752" t="inlineStr">
        <is>
          <t>Tetracycline (internal use)</t>
        </is>
      </c>
    </row>
    <row r="753">
      <c r="A753" t="inlineStr">
        <is>
          <t>Textile Sample</t>
        </is>
      </c>
      <c r="AT753" t="inlineStr">
        <is>
          <t>Tetracyclines (internal use)</t>
        </is>
      </c>
    </row>
    <row r="754">
      <c r="A754" t="inlineStr">
        <is>
          <t>Thermostats</t>
        </is>
      </c>
      <c r="AT754" t="inlineStr">
        <is>
          <t>Tetracycline hydrochloride (internal use)</t>
        </is>
      </c>
    </row>
    <row r="755">
      <c r="A755" t="inlineStr">
        <is>
          <t>Restaurant Table Bases</t>
        </is>
      </c>
      <c r="AT755" t="inlineStr">
        <is>
          <t>Tetrafluoroethylene</t>
        </is>
      </c>
    </row>
    <row r="756">
      <c r="A756" t="inlineStr">
        <is>
          <t>Restaurant Tables</t>
        </is>
      </c>
      <c r="AT756" t="inlineStr">
        <is>
          <t>Tetranitromethane</t>
        </is>
      </c>
    </row>
    <row r="757">
      <c r="A757" t="inlineStr">
        <is>
          <t>Outdoor Flush Mounts</t>
        </is>
      </c>
      <c r="AT757" t="inlineStr">
        <is>
          <t>Thalidomide</t>
        </is>
      </c>
    </row>
    <row r="758">
      <c r="A758" t="inlineStr">
        <is>
          <t>Novelty Lighting</t>
        </is>
      </c>
      <c r="AT758" t="inlineStr">
        <is>
          <t>Thioacetamide</t>
        </is>
      </c>
    </row>
    <row r="759">
      <c r="A759" t="inlineStr">
        <is>
          <t>Kitchen Appliance Packages</t>
        </is>
      </c>
      <c r="AT759" t="inlineStr">
        <is>
          <t>4,4'-Thiodianiline</t>
        </is>
      </c>
    </row>
    <row r="760">
      <c r="A760" t="inlineStr">
        <is>
          <t>Commercial Cooking Equipment</t>
        </is>
      </c>
      <c r="AT760" t="inlineStr">
        <is>
          <t>Thiodicarb</t>
        </is>
      </c>
    </row>
    <row r="761">
      <c r="A761" t="inlineStr">
        <is>
          <t>Commercial Work Tables</t>
        </is>
      </c>
      <c r="AT761" t="inlineStr">
        <is>
          <t>Thioguanine</t>
        </is>
      </c>
    </row>
    <row r="762">
      <c r="A762" t="inlineStr">
        <is>
          <t>Countertop Ovens &amp; Cookers</t>
        </is>
      </c>
      <c r="AT762" t="inlineStr">
        <is>
          <t>Thiouracil</t>
        </is>
      </c>
    </row>
    <row r="763">
      <c r="A763" t="inlineStr">
        <is>
          <t>Commercial Ovens &amp; Ranges</t>
        </is>
      </c>
      <c r="AT763" t="inlineStr">
        <is>
          <t>Thiourea</t>
        </is>
      </c>
    </row>
    <row r="764">
      <c r="A764" t="inlineStr">
        <is>
          <t>Commercial Refrigerators &amp; Freezers</t>
        </is>
      </c>
      <c r="AT764" t="inlineStr">
        <is>
          <t>Thorium dioxide</t>
        </is>
      </c>
    </row>
    <row r="765">
      <c r="A765" t="inlineStr">
        <is>
          <t>Knife Storage</t>
        </is>
      </c>
      <c r="AT765" t="inlineStr">
        <is>
          <t>Titanium dioxide (airborne, unbound particles of respirable size)</t>
        </is>
      </c>
    </row>
    <row r="766">
      <c r="A766" t="inlineStr">
        <is>
          <t>Buffet Accessories</t>
        </is>
      </c>
      <c r="AT766" t="inlineStr">
        <is>
          <t>Tobacco, oral use of smokeless products</t>
        </is>
      </c>
    </row>
    <row r="767">
      <c r="A767" t="inlineStr">
        <is>
          <t>Smart &amp; Electronic Door Locks</t>
        </is>
      </c>
      <c r="AT767" t="inlineStr">
        <is>
          <t>Tobacco smoke</t>
        </is>
      </c>
    </row>
    <row r="768">
      <c r="A768" t="inlineStr">
        <is>
          <t>Privacy Booths</t>
        </is>
      </c>
      <c r="AT768" t="inlineStr">
        <is>
          <t>Tobacco smoke (primary)</t>
        </is>
      </c>
    </row>
    <row r="769">
      <c r="A769" t="inlineStr">
        <is>
          <t>Interactive Tables</t>
        </is>
      </c>
      <c r="AT769" t="inlineStr">
        <is>
          <t>Tobramycin sulfate</t>
        </is>
      </c>
    </row>
    <row r="770">
      <c r="A770" t="inlineStr">
        <is>
          <t>Ceiling Fan Parts and Accessories</t>
        </is>
      </c>
      <c r="AT770" t="inlineStr">
        <is>
          <t>Toluene</t>
        </is>
      </c>
    </row>
    <row r="771">
      <c r="A771" t="inlineStr">
        <is>
          <t>Bar Equipment &amp; Accessories</t>
        </is>
      </c>
      <c r="AT771" t="inlineStr">
        <is>
          <t>Toluene diisocyanate</t>
        </is>
      </c>
    </row>
    <row r="772">
      <c r="A772" t="inlineStr">
        <is>
          <t>Footboards</t>
        </is>
      </c>
      <c r="AT772" t="inlineStr">
        <is>
          <t>o-Toluidine</t>
        </is>
      </c>
    </row>
    <row r="773">
      <c r="A773" t="inlineStr">
        <is>
          <t>Outdoor Kitchens</t>
        </is>
      </c>
      <c r="AT773" t="inlineStr">
        <is>
          <t>o-Toluidine hydrochloride</t>
        </is>
      </c>
    </row>
    <row r="774">
      <c r="A774" t="inlineStr">
        <is>
          <t>Teen Beds</t>
        </is>
      </c>
      <c r="AT774" t="inlineStr">
        <is>
          <t>Topiramate</t>
        </is>
      </c>
    </row>
    <row r="775">
      <c r="A775" t="inlineStr">
        <is>
          <t>Teen Bookcases</t>
        </is>
      </c>
      <c r="AT775" t="inlineStr">
        <is>
          <t>Toxaphene (Polychlorinated camphenes)</t>
        </is>
      </c>
    </row>
    <row r="776">
      <c r="A776" t="inlineStr">
        <is>
          <t>Teens Headboards</t>
        </is>
      </c>
      <c r="AT776" t="inlineStr">
        <is>
          <t>Toxins derived from Fusarium moniliforme (Fusarium verticillioides)</t>
        </is>
      </c>
    </row>
    <row r="777">
      <c r="A777" t="inlineStr">
        <is>
          <t>Teen Nightstands</t>
        </is>
      </c>
      <c r="AT777" t="inlineStr">
        <is>
          <t>Treosulfan</t>
        </is>
      </c>
    </row>
    <row r="778">
      <c r="A778" t="inlineStr">
        <is>
          <t>Teen Dressers</t>
        </is>
      </c>
      <c r="AT778" t="inlineStr">
        <is>
          <t>Triadimefon</t>
        </is>
      </c>
    </row>
    <row r="779">
      <c r="A779" t="inlineStr">
        <is>
          <t>Square Trade - Plumbing Core</t>
        </is>
      </c>
      <c r="AT779" t="inlineStr">
        <is>
          <t>Triamterene</t>
        </is>
      </c>
    </row>
    <row r="780">
      <c r="A780" t="inlineStr">
        <is>
          <t>Square Trade - Plumbing Vanities</t>
        </is>
      </c>
      <c r="AT780" t="inlineStr">
        <is>
          <t>Triazolam</t>
        </is>
      </c>
    </row>
    <row r="781">
      <c r="A781" t="inlineStr">
        <is>
          <t>Changing Table Toppers</t>
        </is>
      </c>
      <c r="AT781" t="inlineStr">
        <is>
          <t>S,S,S-Tributyl phosphorotrithioate (Tribufos, DEF)</t>
        </is>
      </c>
    </row>
    <row r="782">
      <c r="A782" t="inlineStr">
        <is>
          <t>Square Trade - Upholstery Niche</t>
        </is>
      </c>
      <c r="AT782" t="inlineStr">
        <is>
          <t>Tributyltin methacrylate</t>
        </is>
      </c>
    </row>
    <row r="783">
      <c r="A783" t="inlineStr">
        <is>
          <t>Teacher Desks</t>
        </is>
      </c>
      <c r="AT783" t="inlineStr">
        <is>
          <t>Trichlormethine (Trimustine hydrochloride)</t>
        </is>
      </c>
    </row>
    <row r="784">
      <c r="A784" t="inlineStr">
        <is>
          <t>Study Carrels</t>
        </is>
      </c>
      <c r="AT784" t="inlineStr">
        <is>
          <t>Trichloroacetic acid</t>
        </is>
      </c>
    </row>
    <row r="785">
      <c r="A785" t="inlineStr">
        <is>
          <t>Toasters</t>
        </is>
      </c>
      <c r="AT785" t="inlineStr">
        <is>
          <t>Trichloroethylene</t>
        </is>
      </c>
    </row>
    <row r="786">
      <c r="A786" t="inlineStr">
        <is>
          <t>Wall Plates</t>
        </is>
      </c>
      <c r="AT786" t="inlineStr">
        <is>
          <t>2,4,6-Trichlorophenol</t>
        </is>
      </c>
    </row>
    <row r="787">
      <c r="A787" t="inlineStr">
        <is>
          <t>Square Trade - Kitchen and Dining</t>
        </is>
      </c>
      <c r="AT787" t="inlineStr">
        <is>
          <t>1,2,3-Trichloropropane</t>
        </is>
      </c>
    </row>
    <row r="788">
      <c r="A788" t="inlineStr">
        <is>
          <t>Square Trade - Upholstery</t>
        </is>
      </c>
      <c r="AT788" t="inlineStr">
        <is>
          <t>Trientine hydrochloride</t>
        </is>
      </c>
    </row>
    <row r="789">
      <c r="A789" t="inlineStr">
        <is>
          <t>Square Trade Rugs</t>
        </is>
      </c>
      <c r="AT789" t="inlineStr">
        <is>
          <t>Triforine</t>
        </is>
      </c>
    </row>
    <row r="790">
      <c r="A790" t="inlineStr">
        <is>
          <t>Square Trade - Youth</t>
        </is>
      </c>
      <c r="AT790" t="inlineStr">
        <is>
          <t>Trilostane</t>
        </is>
      </c>
    </row>
    <row r="791">
      <c r="A791" t="inlineStr">
        <is>
          <t>Square Trade - Office</t>
        </is>
      </c>
      <c r="AT791" t="inlineStr">
        <is>
          <t>Trimethadione</t>
        </is>
      </c>
    </row>
    <row r="792">
      <c r="A792" t="inlineStr">
        <is>
          <t>Guest Room Sets</t>
        </is>
      </c>
      <c r="AT792" t="inlineStr">
        <is>
          <t>2,4,5-Trimethylaniline and its strong acid salts</t>
        </is>
      </c>
    </row>
    <row r="793">
      <c r="A793" t="inlineStr">
        <is>
          <t>Square Trade - Utility Bedding</t>
        </is>
      </c>
      <c r="AT793" t="inlineStr">
        <is>
          <t>Trimethyl phosphate</t>
        </is>
      </c>
    </row>
    <row r="794">
      <c r="A794" t="inlineStr">
        <is>
          <t>Square Trade - Mattresses</t>
        </is>
      </c>
      <c r="AT794" t="inlineStr">
        <is>
          <t>Trimetrexate glucuronate</t>
        </is>
      </c>
    </row>
    <row r="795">
      <c r="A795" t="inlineStr">
        <is>
          <t>Underfloor Heating</t>
        </is>
      </c>
      <c r="AT795" t="inlineStr">
        <is>
          <t>2,4,6-Trinitrotoluene (TNT)</t>
        </is>
      </c>
    </row>
    <row r="796">
      <c r="A796" t="inlineStr">
        <is>
          <t>Can Openers, Food Scales &amp; Packaging Appliances</t>
        </is>
      </c>
      <c r="AT796" t="inlineStr">
        <is>
          <t>Triphenyltin hydroxide</t>
        </is>
      </c>
    </row>
    <row r="797">
      <c r="A797" t="inlineStr">
        <is>
          <t>Specialized Food Preparation</t>
        </is>
      </c>
      <c r="AT797" t="inlineStr">
        <is>
          <t>Tris(1-aziridinyl)phosphine sulfide (Thiotepa)</t>
        </is>
      </c>
    </row>
    <row r="798">
      <c r="A798" t="inlineStr">
        <is>
          <t>Design Services</t>
        </is>
      </c>
      <c r="AT798" t="inlineStr">
        <is>
          <t>Tris(2-chloroethyl) phosphate</t>
        </is>
      </c>
    </row>
    <row r="799">
      <c r="A799" t="inlineStr">
        <is>
          <t>Rice Cookers and Food Steamers</t>
        </is>
      </c>
      <c r="AT799" t="inlineStr">
        <is>
          <t>Tris(2,3-dibromopropyl)phosphate</t>
        </is>
      </c>
    </row>
    <row r="800">
      <c r="A800" t="inlineStr">
        <is>
          <t>Water Bottles, Travel Mugs &amp; Tumblers</t>
        </is>
      </c>
      <c r="AT800" t="inlineStr">
        <is>
          <t>Tris(1,3-dichloro-2-propyl) phosphate (TDCPP)</t>
        </is>
      </c>
    </row>
    <row r="801">
      <c r="A801" t="inlineStr">
        <is>
          <t>Wood Samples</t>
        </is>
      </c>
      <c r="AT801" t="inlineStr">
        <is>
          <t>Trp-P-1 (Tryptophan-P-1)</t>
        </is>
      </c>
    </row>
    <row r="802">
      <c r="A802" t="inlineStr">
        <is>
          <t>Kitchen Sink Storage</t>
        </is>
      </c>
      <c r="AT802" t="inlineStr">
        <is>
          <t>Trp-P-2 (Tryptophan-P-2)</t>
        </is>
      </c>
    </row>
    <row r="803">
      <c r="A803" t="inlineStr">
        <is>
          <t>Bed Accessories</t>
        </is>
      </c>
      <c r="AT803" t="inlineStr">
        <is>
          <t>Trypan blue (commercial grade)</t>
        </is>
      </c>
    </row>
    <row r="804">
      <c r="A804" t="inlineStr">
        <is>
          <t>Square Trade - Nursery</t>
        </is>
      </c>
      <c r="AT804" t="inlineStr">
        <is>
          <t>Unleaded gasoline (wholly vaporized)</t>
        </is>
      </c>
    </row>
    <row r="805">
      <c r="A805" t="inlineStr">
        <is>
          <t>Square Trade - Hardware</t>
        </is>
      </c>
      <c r="AT805" t="inlineStr">
        <is>
          <t>Uracil mustard</t>
        </is>
      </c>
    </row>
    <row r="806">
      <c r="A806" t="inlineStr">
        <is>
          <t>Stationery &amp; Coffee Table Books</t>
        </is>
      </c>
      <c r="AT806" t="inlineStr">
        <is>
          <t>Urethane (Ethyl carbamate)</t>
        </is>
      </c>
    </row>
    <row r="807">
      <c r="A807" t="inlineStr">
        <is>
          <t>Teen Bedding</t>
        </is>
      </c>
      <c r="AT807" t="inlineStr">
        <is>
          <t>Urofollitropin</t>
        </is>
      </c>
    </row>
    <row r="808">
      <c r="A808" t="inlineStr">
        <is>
          <t>Beverage Refrigerators &amp; Coolers</t>
        </is>
      </c>
      <c r="AT808" t="inlineStr">
        <is>
          <t>Valproate (Valproic acid)</t>
        </is>
      </c>
    </row>
    <row r="809">
      <c r="A809" t="inlineStr">
        <is>
          <t>Reception Sets</t>
        </is>
      </c>
      <c r="AT809" t="inlineStr">
        <is>
          <t>Vanadium pentoxide (orthorhombic crystalline form)</t>
        </is>
      </c>
    </row>
    <row r="810">
      <c r="A810" t="inlineStr">
        <is>
          <t>Commercial Plumbing Parts &amp; Accessories</t>
        </is>
      </c>
      <c r="AT810" t="inlineStr">
        <is>
          <t>Vinblastine sulfate</t>
        </is>
      </c>
    </row>
    <row r="811">
      <c r="A811" t="inlineStr">
        <is>
          <t>Christmas Tree Skirts &amp; Collars</t>
        </is>
      </c>
      <c r="AT811" t="inlineStr">
        <is>
          <t>Vinclozolin</t>
        </is>
      </c>
    </row>
    <row r="812">
      <c r="A812" t="inlineStr">
        <is>
          <t>Teen Desks</t>
        </is>
      </c>
      <c r="AT812" t="inlineStr">
        <is>
          <t>Vincristine sulfate</t>
        </is>
      </c>
    </row>
    <row r="813">
      <c r="A813" t="inlineStr">
        <is>
          <t>Deep Fryers</t>
        </is>
      </c>
      <c r="AT813" t="inlineStr">
        <is>
          <t>Vinyl bromide</t>
        </is>
      </c>
    </row>
    <row r="814">
      <c r="A814" t="inlineStr">
        <is>
          <t>Square Trade Fireplaces &amp; Grills</t>
        </is>
      </c>
      <c r="AT814" t="inlineStr">
        <is>
          <t>Vinyl chloride</t>
        </is>
      </c>
    </row>
    <row r="815">
      <c r="A815" t="inlineStr">
        <is>
          <t>Square Trade Storage &amp; Organization</t>
        </is>
      </c>
      <c r="AT815" t="inlineStr">
        <is>
          <t>4-Vinylcyclohexene</t>
        </is>
      </c>
    </row>
    <row r="816">
      <c r="A816" t="inlineStr">
        <is>
          <t>Playground Flooring</t>
        </is>
      </c>
      <c r="AT816" t="inlineStr">
        <is>
          <t>4-Vinyl-1-cyclohexene diepoxide (Vinyl cyclohexenedioxide)</t>
        </is>
      </c>
    </row>
    <row r="817">
      <c r="A817" t="inlineStr">
        <is>
          <t>Shower Curtain Hooks and Accessories</t>
        </is>
      </c>
      <c r="AT817" t="inlineStr">
        <is>
          <t>Vinyl fluoride</t>
        </is>
      </c>
    </row>
    <row r="818">
      <c r="A818" t="inlineStr">
        <is>
          <t>Gift Cards for Physical Store</t>
        </is>
      </c>
      <c r="AT818" t="inlineStr">
        <is>
          <t>Vinylidene chloride (1,1-Dichloroethylene)</t>
        </is>
      </c>
    </row>
    <row r="819">
      <c r="A819" t="inlineStr">
        <is>
          <t>Teen Desk Chairs</t>
        </is>
      </c>
      <c r="AT819" t="inlineStr">
        <is>
          <t>Vinyl trichloride (1,1,2-Trichloroethane)</t>
        </is>
      </c>
    </row>
    <row r="820">
      <c r="A820" t="inlineStr">
        <is>
          <t>Kids Cots</t>
        </is>
      </c>
      <c r="AT820" t="inlineStr">
        <is>
          <t>Warfarin</t>
        </is>
      </c>
    </row>
    <row r="821">
      <c r="A821" t="inlineStr">
        <is>
          <t>True Components</t>
        </is>
      </c>
      <c r="AT821" t="inlineStr">
        <is>
          <t>Wood dust</t>
        </is>
      </c>
    </row>
    <row r="822">
      <c r="A822" t="inlineStr">
        <is>
          <t>Pet Food Storage Containers &amp; Treat Jars</t>
        </is>
      </c>
      <c r="AT822" t="inlineStr">
        <is>
          <t>2,6-Xylidine (2,6-Dimethylaniline)</t>
        </is>
      </c>
    </row>
    <row r="823">
      <c r="A823" t="inlineStr">
        <is>
          <t>Restaurant Table Tops</t>
        </is>
      </c>
      <c r="AT823" t="inlineStr">
        <is>
          <t>Zalcitabine</t>
        </is>
      </c>
    </row>
    <row r="824">
      <c r="A824" t="inlineStr">
        <is>
          <t>One-of-a-Kind Rugs</t>
        </is>
      </c>
      <c r="AT824" t="inlineStr">
        <is>
          <t>Zidovudine (AZT)</t>
        </is>
      </c>
    </row>
    <row r="825">
      <c r="A825" t="inlineStr">
        <is>
          <t>Reading Benches &amp; Chairs</t>
        </is>
      </c>
      <c r="AT825" t="inlineStr">
        <is>
          <t>Zileuton</t>
        </is>
      </c>
    </row>
    <row r="826">
      <c r="A826" t="inlineStr">
        <is>
          <t>Tree &amp; Novelty Garlands</t>
        </is>
      </c>
      <c r="AT826" t="inlineStr">
        <is>
          <t>2-Bromopropane (2-BP)</t>
        </is>
      </c>
    </row>
    <row r="827">
      <c r="A827" t="inlineStr">
        <is>
          <t>Protection Plans</t>
        </is>
      </c>
      <c r="AT827" t="inlineStr">
        <is>
          <t>2-Chloropropionic acid</t>
        </is>
      </c>
    </row>
    <row r="828">
      <c r="A828" t="inlineStr">
        <is>
          <t>Laundry Accessories</t>
        </is>
      </c>
      <c r="AT828" t="inlineStr">
        <is>
          <t>Di-n-hexyl phthalate (DnHP)</t>
        </is>
      </c>
    </row>
    <row r="829">
      <c r="A829" t="inlineStr">
        <is>
          <t>Shower Walls</t>
        </is>
      </c>
      <c r="AT829" t="inlineStr">
        <is>
          <t>m-Dinitrobenzene</t>
        </is>
      </c>
    </row>
    <row r="830">
      <c r="A830" t="inlineStr">
        <is>
          <t>Fencing Accessories</t>
        </is>
      </c>
      <c r="AT830" t="inlineStr">
        <is>
          <t>o-Dinitrobenzene</t>
        </is>
      </c>
    </row>
    <row r="831">
      <c r="A831" t="inlineStr">
        <is>
          <t>Teen Lounge Furniture</t>
        </is>
      </c>
      <c r="AT831" t="inlineStr">
        <is>
          <t>p-Dinitrobenzene</t>
        </is>
      </c>
    </row>
    <row r="832">
      <c r="A832" t="inlineStr">
        <is>
          <t>Teen Accent Pillows</t>
        </is>
      </c>
      <c r="AT832" t="inlineStr">
        <is>
          <t>Dinitrotoluene (technical grade)</t>
        </is>
      </c>
    </row>
    <row r="833">
      <c r="A833" t="inlineStr">
        <is>
          <t>Teen Wall Art</t>
        </is>
      </c>
      <c r="AT833" t="inlineStr">
        <is>
          <t>n-Hexane</t>
        </is>
      </c>
    </row>
    <row r="834">
      <c r="A834" t="inlineStr">
        <is>
          <t>Commercial Food Storage &amp; Accessories</t>
        </is>
      </c>
      <c r="AT834" t="inlineStr">
        <is>
          <t>2,5-Hexanedione</t>
        </is>
      </c>
    </row>
    <row r="835">
      <c r="A835" t="inlineStr">
        <is>
          <t>Teen Wall Décor</t>
        </is>
      </c>
      <c r="AT835" t="inlineStr">
        <is>
          <t>Hydrogen cyanide (HCN) and cyanide salts (CN salts)</t>
        </is>
      </c>
    </row>
    <row r="836">
      <c r="A836" t="inlineStr">
        <is>
          <t>Teen Tapestries and Wall Hangings</t>
        </is>
      </c>
      <c r="AT836" t="inlineStr">
        <is>
          <t>Levonorgestrel implants</t>
        </is>
      </c>
    </row>
    <row r="837">
      <c r="A837" t="inlineStr">
        <is>
          <t>Teen Novelty Lighting</t>
        </is>
      </c>
      <c r="AT837" t="inlineStr">
        <is>
          <t>Nitrofurantoin</t>
        </is>
      </c>
    </row>
    <row r="838">
      <c r="A838" t="inlineStr">
        <is>
          <t>Live Plants and Trees</t>
        </is>
      </c>
      <c r="AT838" t="inlineStr">
        <is>
          <t>Oxydemeton methyl</t>
        </is>
      </c>
    </row>
    <row r="839">
      <c r="A839" t="inlineStr">
        <is>
          <t>Turf Flooring</t>
        </is>
      </c>
      <c r="AT839" t="inlineStr">
        <is>
          <t>Quizalofop-ethyl</t>
        </is>
      </c>
    </row>
    <row r="840">
      <c r="A840" t="inlineStr">
        <is>
          <t>Semi-Custom &amp; Custom Kitchen Cabinets</t>
        </is>
      </c>
      <c r="AT840" t="inlineStr">
        <is>
          <t>Sodium fluoroacetate</t>
        </is>
      </c>
    </row>
    <row r="841">
      <c r="A841" t="inlineStr">
        <is>
          <t>Outdoor Privacy Screens and Partitions</t>
        </is>
      </c>
      <c r="AT841" t="inlineStr">
        <is>
          <t>Thiophanate methyl</t>
        </is>
      </c>
    </row>
    <row r="842">
      <c r="A842" t="inlineStr">
        <is>
          <t>Admins Can Sell (ACS) - Sales and Service (S&amp;S)</t>
        </is>
      </c>
      <c r="AT842" t="inlineStr">
        <is>
          <t>Vinyl cyclohexene dioxide (4-Vinyl-1-cyclohexene diepoxide)</t>
        </is>
      </c>
    </row>
    <row r="843">
      <c r="A843" t="inlineStr">
        <is>
          <t>Swimming Pool Accessories</t>
        </is>
      </c>
      <c r="AT843" t="inlineStr">
        <is>
          <t>Chloroform</t>
        </is>
      </c>
    </row>
    <row r="844">
      <c r="A844" t="inlineStr">
        <is>
          <t>Baby &amp; Kids Rugs</t>
        </is>
      </c>
      <c r="AT844" t="inlineStr">
        <is>
          <t>1,2-Dibromo-3-chloropropane (DBCP)</t>
        </is>
      </c>
    </row>
    <row r="845">
      <c r="A845" t="inlineStr">
        <is>
          <t>Kids Bedding Sets</t>
        </is>
      </c>
      <c r="AT845" t="inlineStr">
        <is>
          <t>Diclofop-methyl</t>
        </is>
      </c>
    </row>
    <row r="846">
      <c r="A846" t="inlineStr">
        <is>
          <t>Cabinet Samples</t>
        </is>
      </c>
      <c r="AT846" t="inlineStr">
        <is>
          <t>Phenyl glycidyl ether</t>
        </is>
      </c>
    </row>
    <row r="847">
      <c r="A847" t="inlineStr">
        <is>
          <t>Design Project Class</t>
        </is>
      </c>
      <c r="AT847" t="inlineStr">
        <is>
          <t>Di-isodecyl phthalate (DIDP)</t>
        </is>
      </c>
    </row>
    <row r="848">
      <c r="A848" t="inlineStr">
        <is>
          <t>Media &amp; Character Shop</t>
        </is>
      </c>
      <c r="AT848" t="inlineStr">
        <is>
          <t>Erionite</t>
        </is>
      </c>
    </row>
    <row r="849">
      <c r="A849" t="inlineStr">
        <is>
          <t>Door Lining &amp; Frames</t>
        </is>
      </c>
      <c r="AT849" t="inlineStr">
        <is>
          <t>Iprovalicarb</t>
        </is>
      </c>
    </row>
    <row r="850">
      <c r="A850" t="inlineStr">
        <is>
          <t>Cold Plunges</t>
        </is>
      </c>
      <c r="AT850" t="inlineStr">
        <is>
          <t>Nickel hydroxide</t>
        </is>
      </c>
    </row>
    <row r="851">
      <c r="AT851" t="inlineStr">
        <is>
          <t>Norethisterone (Norethindrone) /Mestranol</t>
        </is>
      </c>
    </row>
    <row r="852">
      <c r="AT852" t="inlineStr">
        <is>
          <t>Anabolic steroids</t>
        </is>
      </c>
    </row>
    <row r="853">
      <c r="AT853" t="inlineStr">
        <is>
          <t>Altretamine</t>
        </is>
      </c>
    </row>
    <row r="854">
      <c r="AT854" t="inlineStr">
        <is>
          <t>Beryllium</t>
        </is>
      </c>
    </row>
    <row r="855">
      <c r="AT855" t="inlineStr">
        <is>
          <t>Beryllium Oxide</t>
        </is>
      </c>
    </row>
    <row r="856">
      <c r="AT856" t="inlineStr">
        <is>
          <t>Beryllium Sulfate</t>
        </is>
      </c>
    </row>
    <row r="857">
      <c r="AT857" t="inlineStr">
        <is>
          <t>Hexachlorocyclohexane (alpha isomer)</t>
        </is>
      </c>
    </row>
    <row r="858">
      <c r="AT858" t="inlineStr">
        <is>
          <t>Hexachlorocyclohexane (beta isomer)</t>
        </is>
      </c>
    </row>
    <row r="859">
      <c r="AT859" t="inlineStr">
        <is>
          <t>Hexachlorocyclohexane (gamma isomer)</t>
        </is>
      </c>
    </row>
    <row r="860">
      <c r="AT860" t="inlineStr">
        <is>
          <t>Cyanide salts that readily dissociate in solution (expressed as cyanide)</t>
        </is>
      </c>
    </row>
    <row r="861">
      <c r="AT861" t="inlineStr">
        <is>
          <t>Hydrogen cyanide</t>
        </is>
      </c>
    </row>
    <row r="862">
      <c r="AT862" t="inlineStr">
        <is>
          <t>Potassium cyanide</t>
        </is>
      </c>
    </row>
    <row r="863">
      <c r="AT863" t="inlineStr">
        <is>
          <t>Methylhydrazine</t>
        </is>
      </c>
    </row>
    <row r="864">
      <c r="AT864" t="inlineStr">
        <is>
          <t>Methylhydrazine sulfate</t>
        </is>
      </c>
    </row>
    <row r="865">
      <c r="AT865" t="inlineStr">
        <is>
          <t>o-Phenylenediamine</t>
        </is>
      </c>
    </row>
    <row r="866">
      <c r="AT866" t="inlineStr">
        <is>
          <t>o-Phenylenediamine dihydochloride</t>
        </is>
      </c>
    </row>
    <row r="867">
      <c r="AT867" t="inlineStr">
        <is>
          <t>Phenylhydrazine</t>
        </is>
      </c>
    </row>
    <row r="868">
      <c r="AT868" t="inlineStr">
        <is>
          <t>Phenylhydrazine hydrochloride</t>
        </is>
      </c>
    </row>
    <row r="869">
      <c r="AT869" t="inlineStr">
        <is>
          <t>Sodium cyanide</t>
        </is>
      </c>
    </row>
    <row r="870">
      <c r="AT870" t="inlineStr">
        <is>
          <t>Short form warning</t>
        </is>
      </c>
    </row>
    <row r="871">
      <c r="AT871" t="inlineStr">
        <is>
          <t>Nickel (soluble compounds)</t>
        </is>
      </c>
    </row>
    <row r="872">
      <c r="AT872" t="inlineStr">
        <is>
          <t>TRIM VX</t>
        </is>
      </c>
    </row>
    <row r="873">
      <c r="AT873" t="inlineStr">
        <is>
          <t>N-Nitrosohexamethyleneimine</t>
        </is>
      </c>
    </row>
    <row r="874">
      <c r="AT874" t="inlineStr">
        <is>
          <t>Gentian violet (Crystal violet)</t>
        </is>
      </c>
    </row>
    <row r="875">
      <c r="AT875" t="inlineStr">
        <is>
          <t>Custom warning</t>
        </is>
      </c>
    </row>
    <row r="876">
      <c r="AT876" t="inlineStr">
        <is>
          <t>2-Amino-4-chlorophenol</t>
        </is>
      </c>
    </row>
    <row r="877">
      <c r="AT877" t="inlineStr">
        <is>
          <t>2-Chloronitrobenzene</t>
        </is>
      </c>
    </row>
    <row r="878">
      <c r="AT878" t="inlineStr">
        <is>
          <t>1,4-Dichloro-2-nitrobenzene</t>
        </is>
      </c>
    </row>
    <row r="879">
      <c r="AT879" t="inlineStr">
        <is>
          <t>2,4-Dichloro-1-nitrobenzene</t>
        </is>
      </c>
    </row>
    <row r="880">
      <c r="AT880" t="inlineStr">
        <is>
          <t>Bevacizumab</t>
        </is>
      </c>
    </row>
    <row r="881">
      <c r="AT881" t="inlineStr">
        <is>
          <t>p-chloro-?,?,?-trifluorotoluene (para-Chlorobenzotrifluoride, PCBTF)</t>
        </is>
      </c>
    </row>
    <row r="882">
      <c r="AT882" t="inlineStr">
        <is>
          <t>para-Nitroanisole</t>
        </is>
      </c>
    </row>
    <row r="883">
      <c r="AT883" t="inlineStr">
        <is>
          <t>Cannabis (marijuana) smoke</t>
        </is>
      </c>
    </row>
    <row r="884">
      <c r="AT884" t="inlineStr">
        <is>
          <t>?9 -Tetrahydrocannabinol (?9 -THC)</t>
        </is>
      </c>
    </row>
    <row r="885">
      <c r="AT885" t="inlineStr">
        <is>
          <t>1,1,1-Trichloroethane</t>
        </is>
      </c>
    </row>
    <row r="886">
      <c r="AT886" t="inlineStr">
        <is>
          <t>1-Bromo-3-chloropropane</t>
        </is>
      </c>
    </row>
    <row r="887">
      <c r="AT887" t="inlineStr">
        <is>
          <t>1-Butyl glycidyl ether</t>
        </is>
      </c>
    </row>
    <row r="888">
      <c r="AT888" t="inlineStr">
        <is>
          <t>2-Ethylhexyl acrylate</t>
        </is>
      </c>
    </row>
    <row r="889">
      <c r="AT889" t="inlineStr">
        <is>
          <t>Alcoholic beverages</t>
        </is>
      </c>
    </row>
    <row r="890">
      <c r="AT890" t="inlineStr">
        <is>
          <t>Anthracene</t>
        </is>
      </c>
    </row>
    <row r="891">
      <c r="AT891" t="inlineStr">
        <is>
          <t>Bisphenol S (BPS)</t>
        </is>
      </c>
    </row>
    <row r="892">
      <c r="AT892" t="inlineStr">
        <is>
          <t>Coal-tar pitch</t>
        </is>
      </c>
    </row>
    <row r="893">
      <c r="AT893" t="inlineStr">
        <is>
          <t>Dimethyl hydrogen phosphite</t>
        </is>
      </c>
    </row>
    <row r="894">
      <c r="AT894" t="inlineStr">
        <is>
          <t>Fluoro-edenite fibrous amphibole</t>
        </is>
      </c>
    </row>
    <row r="895">
      <c r="AT895" t="inlineStr">
        <is>
          <t>Glycidyl methacrylate</t>
        </is>
      </c>
    </row>
    <row r="896">
      <c r="AT896" t="inlineStr">
        <is>
          <t>Hexachlorocyclohexane (technical grade)</t>
        </is>
      </c>
    </row>
    <row r="897">
      <c r="AT897" t="inlineStr">
        <is>
          <t>Indium tin oxide</t>
        </is>
      </c>
    </row>
    <row r="898">
      <c r="AT898" t="inlineStr">
        <is>
          <t>Leucomalachite green</t>
        </is>
      </c>
    </row>
    <row r="899">
      <c r="AT899" t="inlineStr">
        <is>
          <t>Methyl acrylate</t>
        </is>
      </c>
    </row>
    <row r="900">
      <c r="AT900" t="inlineStr">
        <is>
          <t>Molybdenum trioxide</t>
        </is>
      </c>
    </row>
    <row r="901">
      <c r="AT901" t="inlineStr">
        <is>
          <t>p-Chloro-o-toluidine, hydrochloride</t>
        </is>
      </c>
    </row>
    <row r="902">
      <c r="AT902" t="inlineStr">
        <is>
          <t>Perfluorononanoic acid (PFNA) and its salts</t>
        </is>
      </c>
    </row>
    <row r="903">
      <c r="AT903" t="inlineStr">
        <is>
          <t>Perfluorooctane sulfonic acid (PFOS) and its salts and transformation and degradation precursors</t>
        </is>
      </c>
    </row>
    <row r="904">
      <c r="AT904"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905">
      <c r="AT905" t="inlineStr">
        <is>
          <t>Silicon carbide whiskers</t>
        </is>
      </c>
    </row>
    <row r="906">
      <c r="AT906" t="inlineStr">
        <is>
          <t>Tetrahydrofuran</t>
        </is>
      </c>
    </row>
    <row r="907">
      <c r="AT907" t="inlineStr">
        <is>
          <t>Trimethylolpropane triacrylate, technical grade</t>
        </is>
      </c>
    </row>
    <row r="908">
      <c r="AT908" t="inlineStr">
        <is>
          <t>Vismodegib</t>
        </is>
      </c>
    </row>
  </sheetData>
  <sheetProtection selectLockedCells="0" selectUnlockedCells="0" sheet="1" objects="1" insertRows="1" insertHyperlinks="1" autoFilter="1" scenarios="1" formatColumns="1" deleteColumns="1" insertColumns="1" pivotTables="1" deleteRows="1" formatCells="1" formatRows="1" sort="1" password="FBFF"/>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X507"/>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13.7109375" customWidth="1" style="22" min="68" max="68"/>
    <col width="22.7109375" customWidth="1" style="22" min="69" max="69"/>
    <col width="17.7109375" customWidth="1" style="22" min="70" max="70"/>
    <col width="26.7109375" customWidth="1" style="22" min="71" max="71"/>
    <col width="12.7109375" customWidth="1" style="22" min="72" max="72"/>
    <col width="22.7109375" customWidth="1" style="22" min="73" max="73"/>
    <col width="21.7109375" customWidth="1" style="22" min="74" max="74"/>
    <col width="18.7109375" customWidth="1" style="22" min="75" max="75"/>
    <col width="30.7109375" customWidth="1" style="22" min="76" max="76"/>
    <col width="28.7109375" customWidth="1" style="22" min="77" max="77"/>
    <col width="39.7109375" customWidth="1" style="22" min="78" max="78"/>
    <col width="43.7109375" customWidth="1" style="22" min="79" max="79"/>
    <col width="34.7109375" customWidth="1" style="22" min="80" max="80"/>
    <col width="17.7109375" customWidth="1" style="22" min="81" max="81"/>
    <col width="24.7109375" customWidth="1" style="22" min="82" max="83"/>
    <col width="21.7109375" customWidth="1" style="22" min="84" max="84"/>
    <col width="20.7109375" customWidth="1" style="22" min="85" max="85"/>
    <col width="35.7109375" customWidth="1" style="22" min="86" max="86"/>
    <col width="30.7109375" customWidth="1" style="22" min="87" max="87"/>
    <col width="25.7109375" customWidth="1" style="22" min="88" max="88"/>
    <col width="23.7109375" customWidth="1" style="22" min="89" max="89"/>
    <col width="19.7109375" customWidth="1" style="22" min="90" max="90"/>
    <col width="15.7109375" customWidth="1" style="22" min="91" max="91"/>
    <col width="19.7109375" customWidth="1" style="22" min="92" max="92"/>
    <col width="22.7109375" customWidth="1" style="22" min="93" max="93"/>
    <col width="21.7109375" customWidth="1" style="22" min="94" max="94"/>
    <col width="15.7109375" customWidth="1" style="22" min="95" max="95"/>
    <col width="20.7109375" customWidth="1" style="22" min="96" max="96"/>
    <col width="23.7109375" customWidth="1" style="22" min="97" max="97"/>
    <col width="40.7109375" customWidth="1" style="22" min="98" max="98"/>
    <col width="33.7109375" customWidth="1" style="22" min="99" max="99"/>
    <col width="18.7109375" customWidth="1" style="22" min="100" max="100"/>
    <col width="33.7109375" customWidth="1" style="22" min="101" max="101"/>
    <col width="53.7109375" customWidth="1" style="22" min="102" max="103"/>
    <col width="21.7109375" customWidth="1" style="22" min="104" max="104"/>
    <col width="64.7109375" customWidth="1" style="22" min="105" max="105"/>
    <col width="31.7109375" customWidth="1" style="22" min="106" max="106"/>
    <col width="27.7109375" customWidth="1" style="22" min="107" max="107"/>
    <col width="24.7109375" customWidth="1" style="22" min="108" max="108"/>
    <col width="44.7109375" customWidth="1" style="22" min="109" max="109"/>
    <col width="41.7109375" customWidth="1" style="22" min="110" max="110"/>
    <col width="20.7109375" customWidth="1" style="22" min="111" max="111"/>
    <col width="21.7109375" customWidth="1" style="22" min="112" max="112"/>
    <col width="18.7109375" customWidth="1" style="22" min="113" max="113"/>
    <col width="30.7109375" customWidth="1" style="22" min="114" max="114"/>
    <col width="44.7109375" customWidth="1" style="22" min="115" max="115"/>
    <col width="22.7109375" customWidth="1" style="22" min="116" max="116"/>
    <col width="42.7109375" customWidth="1" style="22" min="117" max="117"/>
    <col width="19.7109375" customWidth="1" style="22" min="118" max="118"/>
    <col width="79.7109375" customWidth="1" style="22" min="119" max="119"/>
    <col width="35.7109375" customWidth="1" style="22" min="120" max="120"/>
    <col width="33.7109375" customWidth="1" style="22" min="121" max="121"/>
    <col width="34.7109375" customWidth="1" style="22" min="122" max="122"/>
    <col width="27.7109375" customWidth="1" style="22" min="123" max="123"/>
    <col width="22.7109375" customWidth="1" style="22" min="124" max="124"/>
    <col width="24.7109375" customWidth="1" style="22" min="125" max="125"/>
    <col width="31.7109375" customWidth="1" style="22" min="126" max="126"/>
    <col width="21.7109375" customWidth="1" style="22" min="127" max="127"/>
    <col width="20.7109375" customWidth="1" style="22" min="128" max="128"/>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70212</t>
        </is>
      </c>
      <c r="BP1" s="22" t="inlineStr">
        <is>
          <t>149726</t>
        </is>
      </c>
      <c r="BQ1" s="22" t="inlineStr">
        <is>
          <t>149770</t>
        </is>
      </c>
      <c r="BR1" s="22" t="inlineStr">
        <is>
          <t>185252</t>
        </is>
      </c>
      <c r="BS1" s="22" t="inlineStr">
        <is>
          <t>149785</t>
        </is>
      </c>
      <c r="BT1" s="22" t="inlineStr">
        <is>
          <t>182057</t>
        </is>
      </c>
      <c r="BU1" s="22" t="inlineStr">
        <is>
          <t>164399</t>
        </is>
      </c>
      <c r="BV1" s="22" t="inlineStr">
        <is>
          <t>149748</t>
        </is>
      </c>
      <c r="BW1" s="22" t="inlineStr">
        <is>
          <t>149749</t>
        </is>
      </c>
      <c r="BX1" s="22" t="inlineStr">
        <is>
          <t>149750</t>
        </is>
      </c>
      <c r="BY1" s="22" t="inlineStr">
        <is>
          <t>149753</t>
        </is>
      </c>
      <c r="BZ1" s="22" t="inlineStr">
        <is>
          <t>229333</t>
        </is>
      </c>
      <c r="CA1" s="22" t="inlineStr">
        <is>
          <t>245268</t>
        </is>
      </c>
      <c r="CB1" s="22" t="inlineStr">
        <is>
          <t>344983</t>
        </is>
      </c>
      <c r="CC1" s="22" t="inlineStr">
        <is>
          <t>351568</t>
        </is>
      </c>
      <c r="CD1" s="22" t="inlineStr">
        <is>
          <t>346774</t>
        </is>
      </c>
      <c r="CE1" s="22" t="inlineStr">
        <is>
          <t>367308</t>
        </is>
      </c>
      <c r="CF1" s="22" t="inlineStr">
        <is>
          <t>351573</t>
        </is>
      </c>
      <c r="CG1" s="22" t="inlineStr">
        <is>
          <t>352308</t>
        </is>
      </c>
      <c r="CH1" s="22" t="inlineStr">
        <is>
          <t>352295</t>
        </is>
      </c>
      <c r="CI1" s="22" t="inlineStr">
        <is>
          <t>351604</t>
        </is>
      </c>
      <c r="CJ1" s="22" t="inlineStr">
        <is>
          <t>363032</t>
        </is>
      </c>
      <c r="CK1" s="22" t="inlineStr">
        <is>
          <t>149782</t>
        </is>
      </c>
      <c r="CL1" s="22" t="inlineStr">
        <is>
          <t>382561</t>
        </is>
      </c>
      <c r="CM1" s="22" t="inlineStr">
        <is>
          <t>149965</t>
        </is>
      </c>
      <c r="CN1" s="22" t="inlineStr">
        <is>
          <t>383797</t>
        </is>
      </c>
      <c r="CO1" s="22" t="inlineStr">
        <is>
          <t>149784</t>
        </is>
      </c>
      <c r="CP1" s="22" t="inlineStr">
        <is>
          <t>384383</t>
        </is>
      </c>
      <c r="CQ1" s="22" t="inlineStr">
        <is>
          <t>149964</t>
        </is>
      </c>
      <c r="CR1" s="22" t="inlineStr">
        <is>
          <t>419944</t>
        </is>
      </c>
      <c r="CS1" s="22" t="inlineStr">
        <is>
          <t>149794</t>
        </is>
      </c>
      <c r="CT1" s="22" t="inlineStr">
        <is>
          <t>149810</t>
        </is>
      </c>
      <c r="CU1" s="22" t="inlineStr">
        <is>
          <t>192864</t>
        </is>
      </c>
      <c r="CV1" s="22" t="inlineStr">
        <is>
          <t>149754</t>
        </is>
      </c>
      <c r="CW1" s="22" t="inlineStr">
        <is>
          <t>201408</t>
        </is>
      </c>
      <c r="CX1" s="22" t="inlineStr">
        <is>
          <t>224843</t>
        </is>
      </c>
      <c r="CY1" s="22" t="inlineStr">
        <is>
          <t>225064</t>
        </is>
      </c>
      <c r="CZ1" s="22" t="inlineStr">
        <is>
          <t>364709</t>
        </is>
      </c>
      <c r="DA1" s="22" t="inlineStr">
        <is>
          <t>236080</t>
        </is>
      </c>
      <c r="DB1" s="22" t="inlineStr">
        <is>
          <t>249312</t>
        </is>
      </c>
      <c r="DC1" s="22" t="inlineStr">
        <is>
          <t>251061</t>
        </is>
      </c>
      <c r="DD1" s="22" t="inlineStr">
        <is>
          <t>192875</t>
        </is>
      </c>
      <c r="DE1" s="22" t="inlineStr">
        <is>
          <t>149756</t>
        </is>
      </c>
      <c r="DF1" s="22" t="inlineStr">
        <is>
          <t>339306</t>
        </is>
      </c>
      <c r="DG1" s="22" t="inlineStr">
        <is>
          <t>373554</t>
        </is>
      </c>
      <c r="DH1" s="22" t="inlineStr">
        <is>
          <t>340804</t>
        </is>
      </c>
      <c r="DI1" s="22" t="inlineStr">
        <is>
          <t>341056</t>
        </is>
      </c>
      <c r="DJ1" s="22" t="inlineStr">
        <is>
          <t>369616</t>
        </is>
      </c>
      <c r="DK1" s="22" t="inlineStr">
        <is>
          <t>368261</t>
        </is>
      </c>
      <c r="DL1" s="22" t="inlineStr">
        <is>
          <t>375301</t>
        </is>
      </c>
      <c r="DM1" s="22" t="inlineStr">
        <is>
          <t>376200</t>
        </is>
      </c>
      <c r="DN1" s="22" t="inlineStr">
        <is>
          <t>385918</t>
        </is>
      </c>
      <c r="DO1" s="22" t="inlineStr">
        <is>
          <t>415201</t>
        </is>
      </c>
      <c r="DP1" s="22" t="inlineStr">
        <is>
          <t>149771</t>
        </is>
      </c>
      <c r="DQ1" s="22" t="inlineStr">
        <is>
          <t>70234</t>
        </is>
      </c>
      <c r="DR1" s="22" t="inlineStr">
        <is>
          <t>70239</t>
        </is>
      </c>
      <c r="DS1" s="22" t="inlineStr">
        <is>
          <t>70240</t>
        </is>
      </c>
      <c r="DT1" s="22" t="inlineStr">
        <is>
          <t>70241</t>
        </is>
      </c>
      <c r="DU1" s="22" t="inlineStr">
        <is>
          <t>229332</t>
        </is>
      </c>
      <c r="DV1" s="22" t="inlineStr">
        <is>
          <t>334763</t>
        </is>
      </c>
      <c r="DW1" s="22" t="inlineStr">
        <is>
          <t>254003</t>
        </is>
      </c>
      <c r="DX1" s="22" t="inlineStr">
        <is>
          <t>255912</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Required</t>
        </is>
      </c>
      <c r="BQ3" s="32" t="inlineStr">
        <is>
          <t>Recommended</t>
        </is>
      </c>
      <c r="BR3" s="32" t="inlineStr">
        <is>
          <t>Recommended</t>
        </is>
      </c>
      <c r="BS3" s="32" t="inlineStr">
        <is>
          <t>Recommended</t>
        </is>
      </c>
      <c r="BT3" s="32" t="inlineStr">
        <is>
          <t>Recommended</t>
        </is>
      </c>
      <c r="BU3" s="32" t="inlineStr">
        <is>
          <t>Recommended</t>
        </is>
      </c>
      <c r="BV3" s="32" t="inlineStr">
        <is>
          <t>Recommended</t>
        </is>
      </c>
      <c r="BW3" s="32" t="inlineStr">
        <is>
          <t>Recommended</t>
        </is>
      </c>
      <c r="BX3" s="32" t="inlineStr">
        <is>
          <t>Recommended</t>
        </is>
      </c>
      <c r="BY3" s="32" t="inlineStr">
        <is>
          <t>Recommended</t>
        </is>
      </c>
      <c r="BZ3" s="32" t="inlineStr">
        <is>
          <t>Required</t>
        </is>
      </c>
      <c r="CA3" s="32" t="inlineStr">
        <is>
          <t>Additional</t>
        </is>
      </c>
      <c r="CB3" s="32" t="inlineStr">
        <is>
          <t>Additional</t>
        </is>
      </c>
      <c r="CC3" s="32" t="inlineStr">
        <is>
          <t>Additional</t>
        </is>
      </c>
      <c r="CD3" s="32" t="inlineStr">
        <is>
          <t>Additional</t>
        </is>
      </c>
      <c r="CE3" s="32" t="inlineStr">
        <is>
          <t>Additional</t>
        </is>
      </c>
      <c r="CF3" s="32" t="inlineStr">
        <is>
          <t>Additional</t>
        </is>
      </c>
      <c r="CG3" s="32" t="inlineStr">
        <is>
          <t>Additional</t>
        </is>
      </c>
      <c r="CH3" s="32" t="inlineStr">
        <is>
          <t>Additional</t>
        </is>
      </c>
      <c r="CI3" s="32" t="inlineStr">
        <is>
          <t>Additional</t>
        </is>
      </c>
      <c r="CJ3" s="32" t="inlineStr">
        <is>
          <t>Recommended</t>
        </is>
      </c>
      <c r="CK3" s="32" t="inlineStr">
        <is>
          <t>Recommended</t>
        </is>
      </c>
      <c r="CL3" s="32" t="inlineStr">
        <is>
          <t>Recommended</t>
        </is>
      </c>
      <c r="CM3" s="32" t="inlineStr">
        <is>
          <t>Recommended</t>
        </is>
      </c>
      <c r="CN3" s="32" t="inlineStr">
        <is>
          <t>Required</t>
        </is>
      </c>
      <c r="CO3" s="32" t="inlineStr">
        <is>
          <t>Recommended</t>
        </is>
      </c>
      <c r="CP3" s="32" t="inlineStr">
        <is>
          <t>Recommended</t>
        </is>
      </c>
      <c r="CQ3" s="32" t="inlineStr">
        <is>
          <t>Recommended</t>
        </is>
      </c>
      <c r="CR3" s="32" t="inlineStr">
        <is>
          <t>Recommended</t>
        </is>
      </c>
      <c r="CS3" s="32" t="inlineStr">
        <is>
          <t>Recommended</t>
        </is>
      </c>
      <c r="CT3" s="32" t="inlineStr">
        <is>
          <t>Recommended</t>
        </is>
      </c>
      <c r="CU3" s="32" t="inlineStr">
        <is>
          <t>Required</t>
        </is>
      </c>
      <c r="CV3" s="32" t="inlineStr">
        <is>
          <t>Additional</t>
        </is>
      </c>
      <c r="CW3" s="32" t="inlineStr">
        <is>
          <t>Required</t>
        </is>
      </c>
      <c r="CX3" s="32" t="inlineStr">
        <is>
          <t>Required</t>
        </is>
      </c>
      <c r="CY3" s="32" t="inlineStr">
        <is>
          <t>Required</t>
        </is>
      </c>
      <c r="CZ3" s="32" t="inlineStr">
        <is>
          <t>Required</t>
        </is>
      </c>
      <c r="DA3" s="32" t="inlineStr">
        <is>
          <t>Required</t>
        </is>
      </c>
      <c r="DB3" s="32" t="inlineStr">
        <is>
          <t>Required</t>
        </is>
      </c>
      <c r="DC3" s="32" t="inlineStr">
        <is>
          <t>Required</t>
        </is>
      </c>
      <c r="DD3" s="32" t="inlineStr">
        <is>
          <t>Required</t>
        </is>
      </c>
      <c r="DE3" s="32" t="inlineStr">
        <is>
          <t>Required</t>
        </is>
      </c>
      <c r="DF3" s="32" t="inlineStr">
        <is>
          <t>Additional</t>
        </is>
      </c>
      <c r="DG3" s="32" t="inlineStr">
        <is>
          <t>Additional</t>
        </is>
      </c>
      <c r="DH3" s="32" t="inlineStr">
        <is>
          <t>Additional</t>
        </is>
      </c>
      <c r="DI3" s="32" t="inlineStr">
        <is>
          <t>Additional</t>
        </is>
      </c>
      <c r="DJ3" s="32" t="inlineStr">
        <is>
          <t>Additional</t>
        </is>
      </c>
      <c r="DK3" s="32" t="inlineStr">
        <is>
          <t>Required</t>
        </is>
      </c>
      <c r="DL3" s="32" t="inlineStr">
        <is>
          <t>Required</t>
        </is>
      </c>
      <c r="DM3" s="32" t="inlineStr">
        <is>
          <t>Additional</t>
        </is>
      </c>
      <c r="DN3" s="32" t="inlineStr">
        <is>
          <t>Recommended</t>
        </is>
      </c>
      <c r="DO3" s="32" t="inlineStr">
        <is>
          <t>Recommended</t>
        </is>
      </c>
      <c r="DP3" s="32" t="inlineStr">
        <is>
          <t>Required</t>
        </is>
      </c>
      <c r="DQ3" s="32" t="inlineStr">
        <is>
          <t>Required</t>
        </is>
      </c>
      <c r="DR3" s="32" t="inlineStr">
        <is>
          <t>Required</t>
        </is>
      </c>
      <c r="DS3" s="32" t="inlineStr">
        <is>
          <t>Recommended</t>
        </is>
      </c>
      <c r="DT3" s="32" t="inlineStr">
        <is>
          <t>Required</t>
        </is>
      </c>
      <c r="DU3" s="32" t="inlineStr">
        <is>
          <t>Required</t>
        </is>
      </c>
      <c r="DV3" s="32" t="inlineStr">
        <is>
          <t>Recommended</t>
        </is>
      </c>
      <c r="DW3" s="32" t="inlineStr">
        <is>
          <t>Recommended</t>
        </is>
      </c>
      <c r="DX3" s="32"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Material</t>
        </is>
      </c>
      <c r="BQ4" s="19" t="inlineStr">
        <is>
          <t>Adjustable Height</t>
        </is>
      </c>
      <c r="BR4" s="19" t="inlineStr">
        <is>
          <t>Wood Species</t>
        </is>
      </c>
      <c r="BS4" s="19" t="inlineStr">
        <is>
          <t>Shelf Weight Capacity</t>
        </is>
      </c>
      <c r="BT4" s="19" t="inlineStr">
        <is>
          <t>Tilting</t>
        </is>
      </c>
      <c r="BU4" s="19" t="inlineStr">
        <is>
          <t>Cabinets Included</t>
        </is>
      </c>
      <c r="BV4" s="19" t="inlineStr">
        <is>
          <t>Drawers Included</t>
        </is>
      </c>
      <c r="BW4" s="19" t="inlineStr">
        <is>
          <t>Legs Included</t>
        </is>
      </c>
      <c r="BX4" s="19" t="inlineStr">
        <is>
          <t>Wheels / Casters Included</t>
        </is>
      </c>
      <c r="BY4" s="19" t="inlineStr">
        <is>
          <t>Overall Weight Capacity</t>
        </is>
      </c>
      <c r="BZ4" s="19" t="inlineStr">
        <is>
          <t>Supplier Intended and Approved Use</t>
        </is>
      </c>
      <c r="CA4" s="19" t="inlineStr">
        <is>
          <t>Country of Origin - Additional Details</t>
        </is>
      </c>
      <c r="CB4" s="33" t="inlineStr">
        <is>
          <t>Battery or Batteries Included</t>
        </is>
      </c>
      <c r="CC4" s="34" t="inlineStr">
        <is>
          <t>Battery Type</t>
        </is>
      </c>
      <c r="CD4" s="34" t="inlineStr">
        <is>
          <t>Battery Composition</t>
        </is>
      </c>
      <c r="CE4" s="34" t="inlineStr">
        <is>
          <t>Number of Batteries</t>
        </is>
      </c>
      <c r="CF4" s="34" t="inlineStr">
        <is>
          <t>Battery Shipment</t>
        </is>
      </c>
      <c r="CG4" s="34" t="inlineStr">
        <is>
          <t>Lithium Content</t>
        </is>
      </c>
      <c r="CH4" s="34" t="inlineStr">
        <is>
          <t>Watt Rating of Cells / Battery</t>
        </is>
      </c>
      <c r="CI4" s="34" t="inlineStr">
        <is>
          <t>Weight of Cells / Battery</t>
        </is>
      </c>
      <c r="CJ4" s="19" t="inlineStr">
        <is>
          <t>Removable Components</t>
        </is>
      </c>
      <c r="CK4" s="19" t="inlineStr">
        <is>
          <t>Adjustable Shelves</t>
        </is>
      </c>
      <c r="CL4" s="19" t="inlineStr">
        <is>
          <t>Locking Wheels</t>
        </is>
      </c>
      <c r="CM4" s="19" t="inlineStr">
        <is>
          <t>Mount Type</t>
        </is>
      </c>
      <c r="CN4" s="19" t="inlineStr">
        <is>
          <t>Color / Finish</t>
        </is>
      </c>
      <c r="CO4" s="19" t="inlineStr">
        <is>
          <t>Number of Shelves</t>
        </is>
      </c>
      <c r="CP4" s="19" t="inlineStr">
        <is>
          <t>Storage Included</t>
        </is>
      </c>
      <c r="CQ4" s="19" t="inlineStr">
        <is>
          <t>Shelf Type</t>
        </is>
      </c>
      <c r="CR4" s="19" t="inlineStr">
        <is>
          <t>Pieces Included</t>
        </is>
      </c>
      <c r="CS4" s="19" t="inlineStr">
        <is>
          <t>Number of Cabinets</t>
        </is>
      </c>
      <c r="CT4" s="19" t="inlineStr">
        <is>
          <t>Number of Wheels / Casters Included</t>
        </is>
      </c>
      <c r="CU4" s="19" t="inlineStr">
        <is>
          <t>CPSC - 16 CFR 1303 Compliant</t>
        </is>
      </c>
      <c r="CV4" s="19" t="inlineStr">
        <is>
          <t>ADA Compliant</t>
        </is>
      </c>
      <c r="CW4" s="33" t="inlineStr">
        <is>
          <t>Composite Wood Product (CWP)</t>
        </is>
      </c>
      <c r="CX4" s="34" t="inlineStr">
        <is>
          <t>CARB Phase II Compliant (formaldehyde emissions)</t>
        </is>
      </c>
      <c r="CY4" s="34" t="inlineStr">
        <is>
          <t>TSCA Title VI Compliant (formaldehyde emissions)</t>
        </is>
      </c>
      <c r="CZ4" s="34" t="inlineStr">
        <is>
          <t>CANFER Compliant</t>
        </is>
      </c>
      <c r="DA4" s="19" t="inlineStr">
        <is>
          <t>Uniform Packaging and Labeling Regulations (UPLR) Compliant</t>
        </is>
      </c>
      <c r="DB4" s="33" t="inlineStr">
        <is>
          <t>Canada Product Restriction</t>
        </is>
      </c>
      <c r="DC4" s="34" t="inlineStr">
        <is>
          <t>Reason for Restriction</t>
        </is>
      </c>
      <c r="DD4" s="19" t="inlineStr">
        <is>
          <t>Lacey Act Compliant</t>
        </is>
      </c>
      <c r="DE4" s="19" t="inlineStr">
        <is>
          <t>General Certificate of Conformity (GCC)</t>
        </is>
      </c>
      <c r="DF4" s="33" t="inlineStr">
        <is>
          <t>Hazardous Material / Dangerous Goods</t>
        </is>
      </c>
      <c r="DG4" s="34" t="inlineStr">
        <is>
          <t>UN or ID number</t>
        </is>
      </c>
      <c r="DH4" s="34" t="inlineStr">
        <is>
          <t>Hazard Class(es)</t>
        </is>
      </c>
      <c r="DI4" s="34" t="inlineStr">
        <is>
          <t>Packing Group</t>
        </is>
      </c>
      <c r="DJ4" s="34" t="inlineStr">
        <is>
          <t>Hazardous Material Weight</t>
        </is>
      </c>
      <c r="DK4" s="19" t="inlineStr">
        <is>
          <t>Energy Efficiency Regulations Compliant</t>
        </is>
      </c>
      <c r="DL4" s="33" t="inlineStr">
        <is>
          <t>Safety Listing(s)</t>
        </is>
      </c>
      <c r="DM4" s="34" t="inlineStr">
        <is>
          <t>Safety Listing(s) Registration Number</t>
        </is>
      </c>
      <c r="DN4" s="19" t="inlineStr">
        <is>
          <t>ISTA Certified</t>
        </is>
      </c>
      <c r="DO4" s="19" t="inlineStr">
        <is>
          <t>Sustainability &amp; Social Responsibility Certifications (North America Only)</t>
        </is>
      </c>
      <c r="DP4" s="19" t="inlineStr">
        <is>
          <t>Overall Height - Top to Bottom</t>
        </is>
      </c>
      <c r="DQ4" s="19" t="inlineStr">
        <is>
          <t>Overall Width - Side to Side</t>
        </is>
      </c>
      <c r="DR4" s="19" t="inlineStr">
        <is>
          <t>Overall Depth - Front to Back</t>
        </is>
      </c>
      <c r="DS4" s="19" t="inlineStr">
        <is>
          <t>Overall Product Weight</t>
        </is>
      </c>
      <c r="DT4" s="19" t="inlineStr">
        <is>
          <t>Assembly Required</t>
        </is>
      </c>
      <c r="DU4" s="33" t="inlineStr">
        <is>
          <t>Commercial Warranty</t>
        </is>
      </c>
      <c r="DV4" s="34" t="inlineStr">
        <is>
          <t>Commercial Warranty Length</t>
        </is>
      </c>
      <c r="DW4" s="19" t="inlineStr">
        <is>
          <t>Product Warranty</t>
        </is>
      </c>
      <c r="DX4" s="19" t="inlineStr">
        <is>
          <t>Warranty Length</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What material is the product made of?</t>
        </is>
      </c>
      <c r="BQ5" s="35" t="inlineStr">
        <is>
          <t>Is the height of this product adjustable?</t>
        </is>
      </c>
      <c r="BR5" s="35" t="inlineStr">
        <is>
          <t>What type of wood was used to construct this product? This describes the actual materials used, not the product's appearance.</t>
        </is>
      </c>
      <c r="BS5" s="35" t="inlineStr">
        <is>
          <t>[Pounds] What is the weight capacity of the shelf/shelves?</t>
        </is>
      </c>
      <c r="BT5" s="35" t="inlineStr">
        <is>
          <t>Does this product tilt?</t>
        </is>
      </c>
      <c r="BU5" s="35" t="inlineStr">
        <is>
          <t>Does this product include cabinets?</t>
        </is>
      </c>
      <c r="BV5" s="35" t="inlineStr">
        <is>
          <t>Does this product have any drawers?</t>
        </is>
      </c>
      <c r="BW5" s="35" t="inlineStr">
        <is>
          <t>Does this product have legs?</t>
        </is>
      </c>
      <c r="BX5" s="35" t="inlineStr">
        <is>
          <t>Does this product have wheels or casters?</t>
        </is>
      </c>
      <c r="BY5" s="35" t="inlineStr">
        <is>
          <t>[Pounds] What is the weight capacity of the overall product?</t>
        </is>
      </c>
      <c r="BZ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A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B5" s="35" t="inlineStr">
        <is>
          <t>Is the product a battery or does the product include batteries?</t>
        </is>
      </c>
      <c r="CC5" s="35" t="inlineStr">
        <is>
          <t>What type is the battery? Button Cell, Cell, Battery?</t>
        </is>
      </c>
      <c r="CD5" s="35" t="inlineStr">
        <is>
          <t>What is the composition of the batteries included with product?</t>
        </is>
      </c>
      <c r="CE5" s="35" t="inlineStr">
        <is>
          <t>Confirm number of batteries in this product</t>
        </is>
      </c>
      <c r="CF5" s="35" t="inlineStr">
        <is>
          <t>Do the cells/batteries ship stand alone/packed with the equipment/ contained (installed) in the equipment?</t>
        </is>
      </c>
      <c r="CG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H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I5" s="35" t="inlineStr">
        <is>
          <t>What is the net weight of the cells or batteries that ship with the product in grams or kilograms.</t>
        </is>
      </c>
      <c r="CJ5" s="35" t="inlineStr">
        <is>
          <t>Select all product components that can be removed from the base product</t>
        </is>
      </c>
      <c r="CK5" s="35" t="inlineStr">
        <is>
          <t>Does this product have adjustable shelves?</t>
        </is>
      </c>
      <c r="CL5" s="35" t="inlineStr">
        <is>
          <t>Can the wheels be locked to keep the product from moving?</t>
        </is>
      </c>
      <c r="CM5" s="35" t="inlineStr">
        <is>
          <t>Does this product have to be mounted to the wall or is it free standing?</t>
        </is>
      </c>
      <c r="CN5" s="35" t="inlineStr">
        <is>
          <t>What is the color or finish of the product? If your color/finish name is not listed, please type in the value.</t>
        </is>
      </c>
      <c r="CO5" s="35" t="inlineStr">
        <is>
          <t>How many shelves are included in this product?</t>
        </is>
      </c>
      <c r="CP5" s="35" t="inlineStr">
        <is>
          <t>Does this product include any storage elements such as shelves, drawers, cabinets or a hidden storage compartment?</t>
        </is>
      </c>
      <c r="CQ5" s="35" t="inlineStr">
        <is>
          <t>What type of product is the shelf designed for? If this product does not fit any of the listed options, please enter the correct information/value.</t>
        </is>
      </c>
      <c r="CR5" s="35" t="inlineStr">
        <is>
          <t>What pieces are included with this product?</t>
        </is>
      </c>
      <c r="CS5" s="35" t="inlineStr">
        <is>
          <t>How many cabinets does this product have?</t>
        </is>
      </c>
      <c r="CT5" s="35" t="inlineStr">
        <is>
          <t>How many wheels or casters does this product have?</t>
        </is>
      </c>
      <c r="CU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CV5" s="35" t="inlineStr">
        <is>
          <t>Is this product ADA (Americans with Disabilities Act) compliant?</t>
        </is>
      </c>
      <c r="CW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CX5" s="35" t="inlineStr">
        <is>
          <t>Is this product certified compliant for CARB ATCM Phase II formaldehyde emission standards from Composite Wood Products [California Air Resources Board (CARB)- Airborne Toxic Control Measures (ATCM) Phase II]</t>
        </is>
      </c>
      <c r="CY5" s="35" t="inlineStr">
        <is>
          <t>Is this product certified TSCA Title VI compliant regarding formaldehyde emissions from Composite Wood Products [Environmental Protection Agency (EPA)-Toxic Substance Control Act (TSCA)-Title VI]</t>
        </is>
      </c>
      <c r="CZ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A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B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C5" s="35" t="inlineStr">
        <is>
          <t>Please select the reason this product can not ship to Canada?  Please select from the options or write in a reason if not selectable</t>
        </is>
      </c>
      <c r="DD5" s="35" t="inlineStr">
        <is>
          <t>Is this product compliant with the Lacey Act (a set of conservation laws also known as the Lacey Act of 1900)?</t>
        </is>
      </c>
      <c r="DE5" s="35" t="inlineStr">
        <is>
          <t>Does this product have a General Certificate of Conformity (GCC), as required by the U.S. CPSC for certain product classes?</t>
        </is>
      </c>
      <c r="DF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G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H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I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J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K5" s="35"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L5" s="35" t="inlineStr">
        <is>
          <t>Which of the following certification or verification marks does your product have? If the item is not certified/verified with any safety listing, please select Does Not Apply.</t>
        </is>
      </c>
      <c r="DM5" s="35"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DN5" s="35" t="inlineStr">
        <is>
          <t>Is the packaging for this SKU ISTA Certified (1A, 3A, 6A)?</t>
        </is>
      </c>
      <c r="DO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DP5" s="35" t="inlineStr">
        <is>
          <t>[Inches] What is the overall height of the product from top to bottom? Please enter just the number (e.g. 45.5).</t>
        </is>
      </c>
      <c r="DQ5" s="35" t="inlineStr">
        <is>
          <t>[Inches] What is overall width of the product from side to side? Please enter just the number (e.g. 45.5).</t>
        </is>
      </c>
      <c r="DR5" s="35" t="inlineStr">
        <is>
          <t>[Inches] What is the overall depth of the product from front to back? Please enter just the number (e.g. 45.5).</t>
        </is>
      </c>
      <c r="DS5" s="35" t="inlineStr">
        <is>
          <t>[Pounds] What is the total weight of this product once assembled? If this product includes multiples of the same item, add weight of one individual unit (e.g. 1 Dining Chair in a set of 2). Please enter just the number (i.e. 45.5).</t>
        </is>
      </c>
      <c r="DT5" s="35" t="inlineStr">
        <is>
          <t>Does the product require any form of assembly prior to use as intended?</t>
        </is>
      </c>
      <c r="DU5" s="35" t="inlineStr">
        <is>
          <t>Does the manufacturer warranty cover the use of this product in a commercial environment?</t>
        </is>
      </c>
      <c r="DV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DW5" s="35" t="inlineStr">
        <is>
          <t>Please indicate if there is a warranty on this product if it were to be used in a residential setting.</t>
        </is>
      </c>
      <c r="DX5" s="35"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A6" s="35" t="inlineStr">
        <is>
          <t>Read-Only</t>
        </is>
      </c>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Please choose one or more from the following, using a semicolon (;) to separate each value: Polycarbonate (PC); Polyethylene Plastic; Glass; Silicone; Stainless Steel; Melamine; Polypropylene; Cane; Raffia; Mango Wood; Aluminum; Linen Blend; Acrylic; Manufactured Wood; Limestone; Artificial Grass; Antler; HDPE; Jersey; Linen; Foam; Cowhide; Copper / Copper Plated; Engineered Wood; Cast Aluminum; Flat Wire; Crystal; Fleece / Microfiber; Cardboard / Paper; Chenille; Cherry Wood; Handblown Glass; Cement; Flannel; Chrome; Enamelware; Enameled Cast Iron; Agate / Geode; Fiberglass; Bronze; Cast Iron; Bamboo Slat / Seagrass; Beaded; Alpaca; Felt; Denim; Clay; Gel; Coir; Cardboard; Leather; Cashmere; Galvanized Steel; Hemp; Fireclay; Anodized Aluminum; Blended Fabric; Bamboo; Brass; Burlap; Ceramic; Canvas; Composite; Carbon Steel; Compressed Polyester; Ceramic / Porcelain; Bone China; Cedar; Concrete; Cotton; Earthenware; Engineered Stone; Concrete / Cement; Corrugated; Enamel / Lacquer; Cotton Blend; Compressed Stone; Copper; Faux Leather; Fabric; Faux Sheepskin; Fiberstone; Fine Silver; Hard-Anodized Aluminum; Granite; Heavy Gauge Wire; Faux Fur; Faux Mohair; Faux Cowhide; Iron; High Leaded Crystal; Marble; Lead Crystal; Ironstone; Leather / Faux Leather; Latex; Jute; Lead Free Crystal; Lace; Jute / Sisal; Laminate; Marble / Granite; Mercury Glass; Medium Density Fiberboard (MDF); Mesh; Merino Wool; Memory Foam; Natural Stone; Microfiber / Polyester; Natural Fiber; Microfiber; Natural Fibers; Magnet; Muslin; Metal; Microfiber / Microsuede; Paper; Olefin; Nickel; PEVA; Nylon; Oak; Oxford Fabric; Polyamide; Plywood; Pinecones; Plastic / Acrylic; Pewter; Polycarbonate Plastic; Nickel Plated; Plastic; Polyester; Polymer; Polyester Fill; Polystyrene; Polyvinyl Chloride (PVC); Polyurethane; Porcelain China; Powder Coated Steel; Polypropylene Plastic; Porcelain Enameled Steel; Porcelain; Powder Coated Aluminum; Polyester Blend; Polyresin; Polymarble; Polyurethane (PU); Sandstone; Silver; Sheepskin; Sateen; Rayon / Viscose; Rayon from Bamboo; Silver Plated</t>
        </is>
      </c>
      <c r="BQ6" s="35" t="inlineStr">
        <is>
          <t>Yes or No</t>
        </is>
      </c>
      <c r="BR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BS6" s="35" t="inlineStr">
        <is>
          <t>Number</t>
        </is>
      </c>
      <c r="BT6" s="35" t="inlineStr">
        <is>
          <t>Yes or No</t>
        </is>
      </c>
      <c r="BU6" s="35" t="inlineStr">
        <is>
          <t>Yes or No</t>
        </is>
      </c>
      <c r="BV6" s="35" t="inlineStr">
        <is>
          <t>Yes or No</t>
        </is>
      </c>
      <c r="BW6" s="35" t="inlineStr">
        <is>
          <t>Yes or No</t>
        </is>
      </c>
      <c r="BX6" s="35" t="inlineStr">
        <is>
          <t>Yes or No</t>
        </is>
      </c>
      <c r="BY6" s="35" t="inlineStr">
        <is>
          <t>Number</t>
        </is>
      </c>
      <c r="BZ6" s="36" t="inlineStr">
        <is>
          <t>Please choose one or more from the following, using a semicolon (;) to separate each value: Non Residential Use; Residential Use</t>
        </is>
      </c>
      <c r="CA6" s="36" t="inlineStr">
        <is>
          <t>Please choose one or more from the following, using a semicolon (;) to separate each value: Made in USA; Made in USA of Imported Materials; Product of Canada; Made In Canada; Does Not Apply</t>
        </is>
      </c>
      <c r="CB6" s="35" t="inlineStr">
        <is>
          <t>Yes or No</t>
        </is>
      </c>
      <c r="CC6" s="36" t="inlineStr">
        <is>
          <t>Select</t>
        </is>
      </c>
      <c r="CD6" s="36" t="inlineStr">
        <is>
          <t>Select</t>
        </is>
      </c>
      <c r="CE6" s="36" t="inlineStr">
        <is>
          <t>Select</t>
        </is>
      </c>
      <c r="CF6" s="36" t="inlineStr">
        <is>
          <t>Select</t>
        </is>
      </c>
      <c r="CG6" s="36" t="inlineStr">
        <is>
          <t>Select</t>
        </is>
      </c>
      <c r="CH6" s="36" t="inlineStr">
        <is>
          <t>Select</t>
        </is>
      </c>
      <c r="CI6" s="36" t="inlineStr">
        <is>
          <t>Select</t>
        </is>
      </c>
      <c r="CJ6" s="36" t="inlineStr">
        <is>
          <t>Please choose one or more from the following, using a semicolon (;) to separate each value: Wheels / Casters; Seat Cushion; Legs; Cover; Lid; Headboard; Back Cushion; Footboard; Tray; Pillow Top; Cushion Cover; Canopy; Shelves; Drawers; Mirror; Unavailable; Does Not Apply</t>
        </is>
      </c>
      <c r="CK6" s="35" t="inlineStr">
        <is>
          <t>Yes or No</t>
        </is>
      </c>
      <c r="CL6" s="35" t="inlineStr">
        <is>
          <t>Yes or No</t>
        </is>
      </c>
      <c r="CM6" s="36" t="inlineStr">
        <is>
          <t>Select</t>
        </is>
      </c>
      <c r="CN6" s="36"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O6" s="35" t="inlineStr">
        <is>
          <t>Whole Number</t>
        </is>
      </c>
      <c r="CP6" s="35" t="inlineStr">
        <is>
          <t>Yes or No</t>
        </is>
      </c>
      <c r="CQ6" s="36" t="inlineStr">
        <is>
          <t>Please choose one or more from the following, using a semicolon (;) to separate each value: Laptop; Projector; CPU; Printer; Keyboard; TV/Monitor; Unavailable; Does Not Apply</t>
        </is>
      </c>
      <c r="CR6" s="36" t="inlineStr">
        <is>
          <t>Please choose one or more from the following, using a semicolon (;) to separate each value: Drawers; Legs; Storage; TV Mount; Wheels / Casters; Cabinets; Unavailable; Does Not Apply</t>
        </is>
      </c>
      <c r="CS6" s="35" t="inlineStr">
        <is>
          <t>Whole Number</t>
        </is>
      </c>
      <c r="CT6" s="35" t="inlineStr">
        <is>
          <t>Whole Number</t>
        </is>
      </c>
      <c r="CU6" s="36" t="inlineStr">
        <is>
          <t>Select</t>
        </is>
      </c>
      <c r="CV6" s="35" t="inlineStr">
        <is>
          <t>Yes or No</t>
        </is>
      </c>
      <c r="CW6" s="35" t="inlineStr">
        <is>
          <t>Yes or No</t>
        </is>
      </c>
      <c r="CX6" s="36" t="inlineStr">
        <is>
          <t>Select</t>
        </is>
      </c>
      <c r="CY6" s="36" t="inlineStr">
        <is>
          <t>Select</t>
        </is>
      </c>
      <c r="CZ6" s="36" t="inlineStr">
        <is>
          <t>Select</t>
        </is>
      </c>
      <c r="DA6" s="36" t="inlineStr">
        <is>
          <t>Select</t>
        </is>
      </c>
      <c r="DB6" s="35" t="inlineStr">
        <is>
          <t>Yes or No</t>
        </is>
      </c>
      <c r="DC6" s="36" t="inlineStr">
        <is>
          <t>Please choose one or more from the following, using a semicolon (;) to separate each value: Dual Language; Distribution Conflict; Logistics; Does Not Apply</t>
        </is>
      </c>
      <c r="DD6" s="36" t="inlineStr">
        <is>
          <t>Select</t>
        </is>
      </c>
      <c r="DE6" s="36" t="inlineStr">
        <is>
          <t>Select</t>
        </is>
      </c>
      <c r="DF6" s="35" t="inlineStr">
        <is>
          <t>Yes or No</t>
        </is>
      </c>
      <c r="DG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H6" s="36" t="inlineStr">
        <is>
          <t>Select</t>
        </is>
      </c>
      <c r="DI6" s="36" t="inlineStr">
        <is>
          <t>Select</t>
        </is>
      </c>
      <c r="DJ6" s="36" t="inlineStr">
        <is>
          <t>Select</t>
        </is>
      </c>
      <c r="DK6" s="36" t="inlineStr">
        <is>
          <t>Select</t>
        </is>
      </c>
      <c r="DL6" s="36"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M6" s="35" t="inlineStr">
        <is>
          <t>Text</t>
        </is>
      </c>
      <c r="DN6" s="36" t="inlineStr">
        <is>
          <t>Select</t>
        </is>
      </c>
      <c r="DO6" s="35" t="inlineStr">
        <is>
          <t>Yes or No</t>
        </is>
      </c>
      <c r="DP6" s="35" t="inlineStr">
        <is>
          <t>Number</t>
        </is>
      </c>
      <c r="DQ6" s="35" t="inlineStr">
        <is>
          <t>Number</t>
        </is>
      </c>
      <c r="DR6" s="35" t="inlineStr">
        <is>
          <t>Number</t>
        </is>
      </c>
      <c r="DS6" s="35" t="inlineStr">
        <is>
          <t>Number</t>
        </is>
      </c>
      <c r="DT6" s="35" t="inlineStr">
        <is>
          <t>Yes or No</t>
        </is>
      </c>
      <c r="DU6" s="35" t="inlineStr">
        <is>
          <t>Yes or No</t>
        </is>
      </c>
      <c r="DV6" s="36" t="inlineStr">
        <is>
          <t>Select</t>
        </is>
      </c>
      <c r="DW6" s="35" t="inlineStr">
        <is>
          <t>Yes or No</t>
        </is>
      </c>
      <c r="DX6" s="36"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row>
    <row r="8">
      <c r="A8" s="39">
        <f>IF('3 - Carts &amp; Stands'!B8 = "", "", IF('3 - Carts &amp; Stands-WUO_ERR'!A8 = "", "Validated", HYPERLINK("#" &amp; ADDRESS(8, '3 - Carts &amp; Stands-WUO_TRK'!A8),_xlfn.TEXTAFTER('3 - Carts &amp; Stands-WUO_ERR'!A8, ":"))))</f>
        <v/>
      </c>
    </row>
    <row r="9">
      <c r="A9" s="39">
        <f>IF('3 - Carts &amp; Stands'!B9 = "", "", IF('3 - Carts &amp; Stands-WUO_ERR'!A9 = "", "Validated", HYPERLINK("#" &amp; ADDRESS(9, '3 - Carts &amp; Stands-WUO_TRK'!A9),_xlfn.TEXTAFTER('3 - Carts &amp; Stands-WUO_ERR'!A9, ":"))))</f>
        <v/>
      </c>
    </row>
    <row r="10">
      <c r="A10" s="39">
        <f>IF('3 - Carts &amp; Stands'!B10 = "", "", IF('3 - Carts &amp; Stands-WUO_ERR'!A10 = "", "Validated", HYPERLINK("#" &amp; ADDRESS(10, '3 - Carts &amp; Stands-WUO_TRK'!A10),_xlfn.TEXTAFTER('3 - Carts &amp; Stands-WUO_ERR'!A10, ":"))))</f>
        <v/>
      </c>
    </row>
    <row r="11">
      <c r="A11" s="39">
        <f>IF('3 - Carts &amp; Stands'!B11 = "", "", IF('3 - Carts &amp; Stands-WUO_ERR'!A11 = "", "Validated", HYPERLINK("#" &amp; ADDRESS(11, '3 - Carts &amp; Stands-WUO_TRK'!A11),_xlfn.TEXTAFTER('3 - Carts &amp; Stands-WUO_ERR'!A11, ":"))))</f>
        <v/>
      </c>
    </row>
    <row r="12">
      <c r="A12" s="39">
        <f>IF('3 - Carts &amp; Stands'!B12 = "", "", IF('3 - Carts &amp; Stands-WUO_ERR'!A12 = "", "Validated", HYPERLINK("#" &amp; ADDRESS(12, '3 - Carts &amp; Stands-WUO_TRK'!A12),_xlfn.TEXTAFTER('3 - Carts &amp; Stands-WUO_ERR'!A12, ":"))))</f>
        <v/>
      </c>
    </row>
    <row r="13">
      <c r="A13" s="39">
        <f>IF('3 - Carts &amp; Stands'!B13 = "", "", IF('3 - Carts &amp; Stands-WUO_ERR'!A13 = "", "Validated", HYPERLINK("#" &amp; ADDRESS(13, '3 - Carts &amp; Stands-WUO_TRK'!A13),_xlfn.TEXTAFTER('3 - Carts &amp; Stands-WUO_ERR'!A13, ":"))))</f>
        <v/>
      </c>
    </row>
    <row r="14">
      <c r="A14" s="39">
        <f>IF('3 - Carts &amp; Stands'!B14 = "", "", IF('3 - Carts &amp; Stands-WUO_ERR'!A14 = "", "Validated", HYPERLINK("#" &amp; ADDRESS(14, '3 - Carts &amp; Stands-WUO_TRK'!A14),_xlfn.TEXTAFTER('3 - Carts &amp; Stands-WUO_ERR'!A14, ":"))))</f>
        <v/>
      </c>
    </row>
    <row r="15">
      <c r="A15" s="39">
        <f>IF('3 - Carts &amp; Stands'!B15 = "", "", IF('3 - Carts &amp; Stands-WUO_ERR'!A15 = "", "Validated", HYPERLINK("#" &amp; ADDRESS(15, '3 - Carts &amp; Stands-WUO_TRK'!A15),_xlfn.TEXTAFTER('3 - Carts &amp; Stands-WUO_ERR'!A15, ":"))))</f>
        <v/>
      </c>
    </row>
    <row r="16">
      <c r="A16" s="39">
        <f>IF('3 - Carts &amp; Stands'!B16 = "", "", IF('3 - Carts &amp; Stands-WUO_ERR'!A16 = "", "Validated", HYPERLINK("#" &amp; ADDRESS(16, '3 - Carts &amp; Stands-WUO_TRK'!A16),_xlfn.TEXTAFTER('3 - Carts &amp; Stands-WUO_ERR'!A16, ":"))))</f>
        <v/>
      </c>
    </row>
    <row r="17">
      <c r="A17" s="39">
        <f>IF('3 - Carts &amp; Stands'!B17 = "", "", IF('3 - Carts &amp; Stands-WUO_ERR'!A17 = "", "Validated", HYPERLINK("#" &amp; ADDRESS(17, '3 - Carts &amp; Stands-WUO_TRK'!A17),_xlfn.TEXTAFTER('3 - Carts &amp; Stands-WUO_ERR'!A17, ":"))))</f>
        <v/>
      </c>
    </row>
    <row r="18">
      <c r="A18" s="39">
        <f>IF('3 - Carts &amp; Stands'!B18 = "", "", IF('3 - Carts &amp; Stands-WUO_ERR'!A18 = "", "Validated", HYPERLINK("#" &amp; ADDRESS(18, '3 - Carts &amp; Stands-WUO_TRK'!A18),_xlfn.TEXTAFTER('3 - Carts &amp; Stands-WUO_ERR'!A18, ":"))))</f>
        <v/>
      </c>
    </row>
    <row r="19">
      <c r="A19" s="39">
        <f>IF('3 - Carts &amp; Stands'!B19 = "", "", IF('3 - Carts &amp; Stands-WUO_ERR'!A19 = "", "Validated", HYPERLINK("#" &amp; ADDRESS(19, '3 - Carts &amp; Stands-WUO_TRK'!A19),_xlfn.TEXTAFTER('3 - Carts &amp; Stands-WUO_ERR'!A19, ":"))))</f>
        <v/>
      </c>
    </row>
    <row r="20">
      <c r="A20" s="39">
        <f>IF('3 - Carts &amp; Stands'!B20 = "", "", IF('3 - Carts &amp; Stands-WUO_ERR'!A20 = "", "Validated", HYPERLINK("#" &amp; ADDRESS(20, '3 - Carts &amp; Stands-WUO_TRK'!A20),_xlfn.TEXTAFTER('3 - Carts &amp; Stands-WUO_ERR'!A20, ":"))))</f>
        <v/>
      </c>
    </row>
    <row r="21">
      <c r="A21" s="39">
        <f>IF('3 - Carts &amp; Stands'!B21 = "", "", IF('3 - Carts &amp; Stands-WUO_ERR'!A21 = "", "Validated", HYPERLINK("#" &amp; ADDRESS(21, '3 - Carts &amp; Stands-WUO_TRK'!A21),_xlfn.TEXTAFTER('3 - Carts &amp; Stands-WUO_ERR'!A21, ":"))))</f>
        <v/>
      </c>
    </row>
    <row r="22">
      <c r="A22" s="39">
        <f>IF('3 - Carts &amp; Stands'!B22 = "", "", IF('3 - Carts &amp; Stands-WUO_ERR'!A22 = "", "Validated", HYPERLINK("#" &amp; ADDRESS(22, '3 - Carts &amp; Stands-WUO_TRK'!A22),_xlfn.TEXTAFTER('3 - Carts &amp; Stands-WUO_ERR'!A22, ":"))))</f>
        <v/>
      </c>
    </row>
    <row r="23">
      <c r="A23" s="39">
        <f>IF('3 - Carts &amp; Stands'!B23 = "", "", IF('3 - Carts &amp; Stands-WUO_ERR'!A23 = "", "Validated", HYPERLINK("#" &amp; ADDRESS(23, '3 - Carts &amp; Stands-WUO_TRK'!A23),_xlfn.TEXTAFTER('3 - Carts &amp; Stands-WUO_ERR'!A23, ":"))))</f>
        <v/>
      </c>
    </row>
    <row r="24">
      <c r="A24" s="39">
        <f>IF('3 - Carts &amp; Stands'!B24 = "", "", IF('3 - Carts &amp; Stands-WUO_ERR'!A24 = "", "Validated", HYPERLINK("#" &amp; ADDRESS(24, '3 - Carts &amp; Stands-WUO_TRK'!A24),_xlfn.TEXTAFTER('3 - Carts &amp; Stands-WUO_ERR'!A24, ":"))))</f>
        <v/>
      </c>
    </row>
    <row r="25">
      <c r="A25" s="39">
        <f>IF('3 - Carts &amp; Stands'!B25 = "", "", IF('3 - Carts &amp; Stands-WUO_ERR'!A25 = "", "Validated", HYPERLINK("#" &amp; ADDRESS(25, '3 - Carts &amp; Stands-WUO_TRK'!A25),_xlfn.TEXTAFTER('3 - Carts &amp; Stands-WUO_ERR'!A25, ":"))))</f>
        <v/>
      </c>
    </row>
    <row r="26">
      <c r="A26" s="39">
        <f>IF('3 - Carts &amp; Stands'!B26 = "", "", IF('3 - Carts &amp; Stands-WUO_ERR'!A26 = "", "Validated", HYPERLINK("#" &amp; ADDRESS(26, '3 - Carts &amp; Stands-WUO_TRK'!A26),_xlfn.TEXTAFTER('3 - Carts &amp; Stands-WUO_ERR'!A26, ":"))))</f>
        <v/>
      </c>
    </row>
    <row r="27">
      <c r="A27" s="39">
        <f>IF('3 - Carts &amp; Stands'!B27 = "", "", IF('3 - Carts &amp; Stands-WUO_ERR'!A27 = "", "Validated", HYPERLINK("#" &amp; ADDRESS(27, '3 - Carts &amp; Stands-WUO_TRK'!A27),_xlfn.TEXTAFTER('3 - Carts &amp; Stands-WUO_ERR'!A27, ":"))))</f>
        <v/>
      </c>
    </row>
    <row r="28">
      <c r="A28" s="39">
        <f>IF('3 - Carts &amp; Stands'!B28 = "", "", IF('3 - Carts &amp; Stands-WUO_ERR'!A28 = "", "Validated", HYPERLINK("#" &amp; ADDRESS(28, '3 - Carts &amp; Stands-WUO_TRK'!A28),_xlfn.TEXTAFTER('3 - Carts &amp; Stands-WUO_ERR'!A28, ":"))))</f>
        <v/>
      </c>
    </row>
    <row r="29">
      <c r="A29" s="39">
        <f>IF('3 - Carts &amp; Stands'!B29 = "", "", IF('3 - Carts &amp; Stands-WUO_ERR'!A29 = "", "Validated", HYPERLINK("#" &amp; ADDRESS(29, '3 - Carts &amp; Stands-WUO_TRK'!A29),_xlfn.TEXTAFTER('3 - Carts &amp; Stands-WUO_ERR'!A29, ":"))))</f>
        <v/>
      </c>
    </row>
    <row r="30">
      <c r="A30" s="39">
        <f>IF('3 - Carts &amp; Stands'!B30 = "", "", IF('3 - Carts &amp; Stands-WUO_ERR'!A30 = "", "Validated", HYPERLINK("#" &amp; ADDRESS(30, '3 - Carts &amp; Stands-WUO_TRK'!A30),_xlfn.TEXTAFTER('3 - Carts &amp; Stands-WUO_ERR'!A30, ":"))))</f>
        <v/>
      </c>
    </row>
    <row r="31">
      <c r="A31" s="39">
        <f>IF('3 - Carts &amp; Stands'!B31 = "", "", IF('3 - Carts &amp; Stands-WUO_ERR'!A31 = "", "Validated", HYPERLINK("#" &amp; ADDRESS(31, '3 - Carts &amp; Stands-WUO_TRK'!A31),_xlfn.TEXTAFTER('3 - Carts &amp; Stands-WUO_ERR'!A31, ":"))))</f>
        <v/>
      </c>
    </row>
    <row r="32">
      <c r="A32" s="39">
        <f>IF('3 - Carts &amp; Stands'!B32 = "", "", IF('3 - Carts &amp; Stands-WUO_ERR'!A32 = "", "Validated", HYPERLINK("#" &amp; ADDRESS(32, '3 - Carts &amp; Stands-WUO_TRK'!A32),_xlfn.TEXTAFTER('3 - Carts &amp; Stands-WUO_ERR'!A32, ":"))))</f>
        <v/>
      </c>
    </row>
    <row r="33">
      <c r="A33" s="39">
        <f>IF('3 - Carts &amp; Stands'!B33 = "", "", IF('3 - Carts &amp; Stands-WUO_ERR'!A33 = "", "Validated", HYPERLINK("#" &amp; ADDRESS(33, '3 - Carts &amp; Stands-WUO_TRK'!A33),_xlfn.TEXTAFTER('3 - Carts &amp; Stands-WUO_ERR'!A33, ":"))))</f>
        <v/>
      </c>
    </row>
    <row r="34">
      <c r="A34" s="39">
        <f>IF('3 - Carts &amp; Stands'!B34 = "", "", IF('3 - Carts &amp; Stands-WUO_ERR'!A34 = "", "Validated", HYPERLINK("#" &amp; ADDRESS(34, '3 - Carts &amp; Stands-WUO_TRK'!A34),_xlfn.TEXTAFTER('3 - Carts &amp; Stands-WUO_ERR'!A34, ":"))))</f>
        <v/>
      </c>
    </row>
    <row r="35">
      <c r="A35" s="39">
        <f>IF('3 - Carts &amp; Stands'!B35 = "", "", IF('3 - Carts &amp; Stands-WUO_ERR'!A35 = "", "Validated", HYPERLINK("#" &amp; ADDRESS(35, '3 - Carts &amp; Stands-WUO_TRK'!A35),_xlfn.TEXTAFTER('3 - Carts &amp; Stands-WUO_ERR'!A35, ":"))))</f>
        <v/>
      </c>
    </row>
    <row r="36">
      <c r="A36" s="39">
        <f>IF('3 - Carts &amp; Stands'!B36 = "", "", IF('3 - Carts &amp; Stands-WUO_ERR'!A36 = "", "Validated", HYPERLINK("#" &amp; ADDRESS(36, '3 - Carts &amp; Stands-WUO_TRK'!A36),_xlfn.TEXTAFTER('3 - Carts &amp; Stands-WUO_ERR'!A36, ":"))))</f>
        <v/>
      </c>
    </row>
    <row r="37">
      <c r="A37" s="39">
        <f>IF('3 - Carts &amp; Stands'!B37 = "", "", IF('3 - Carts &amp; Stands-WUO_ERR'!A37 = "", "Validated", HYPERLINK("#" &amp; ADDRESS(37, '3 - Carts &amp; Stands-WUO_TRK'!A37),_xlfn.TEXTAFTER('3 - Carts &amp; Stands-WUO_ERR'!A37, ":"))))</f>
        <v/>
      </c>
    </row>
    <row r="38">
      <c r="A38" s="39">
        <f>IF('3 - Carts &amp; Stands'!B38 = "", "", IF('3 - Carts &amp; Stands-WUO_ERR'!A38 = "", "Validated", HYPERLINK("#" &amp; ADDRESS(38, '3 - Carts &amp; Stands-WUO_TRK'!A38),_xlfn.TEXTAFTER('3 - Carts &amp; Stands-WUO_ERR'!A38, ":"))))</f>
        <v/>
      </c>
    </row>
    <row r="39">
      <c r="A39" s="39">
        <f>IF('3 - Carts &amp; Stands'!B39 = "", "", IF('3 - Carts &amp; Stands-WUO_ERR'!A39 = "", "Validated", HYPERLINK("#" &amp; ADDRESS(39, '3 - Carts &amp; Stands-WUO_TRK'!A39),_xlfn.TEXTAFTER('3 - Carts &amp; Stands-WUO_ERR'!A39, ":"))))</f>
        <v/>
      </c>
    </row>
    <row r="40">
      <c r="A40" s="39">
        <f>IF('3 - Carts &amp; Stands'!B40 = "", "", IF('3 - Carts &amp; Stands-WUO_ERR'!A40 = "", "Validated", HYPERLINK("#" &amp; ADDRESS(40, '3 - Carts &amp; Stands-WUO_TRK'!A40),_xlfn.TEXTAFTER('3 - Carts &amp; Stands-WUO_ERR'!A40, ":"))))</f>
        <v/>
      </c>
    </row>
    <row r="41">
      <c r="A41" s="39">
        <f>IF('3 - Carts &amp; Stands'!B41 = "", "", IF('3 - Carts &amp; Stands-WUO_ERR'!A41 = "", "Validated", HYPERLINK("#" &amp; ADDRESS(41, '3 - Carts &amp; Stands-WUO_TRK'!A41),_xlfn.TEXTAFTER('3 - Carts &amp; Stands-WUO_ERR'!A41, ":"))))</f>
        <v/>
      </c>
    </row>
    <row r="42">
      <c r="A42" s="39">
        <f>IF('3 - Carts &amp; Stands'!B42 = "", "", IF('3 - Carts &amp; Stands-WUO_ERR'!A42 = "", "Validated", HYPERLINK("#" &amp; ADDRESS(42, '3 - Carts &amp; Stands-WUO_TRK'!A42),_xlfn.TEXTAFTER('3 - Carts &amp; Stands-WUO_ERR'!A42, ":"))))</f>
        <v/>
      </c>
    </row>
    <row r="43">
      <c r="A43" s="39">
        <f>IF('3 - Carts &amp; Stands'!B43 = "", "", IF('3 - Carts &amp; Stands-WUO_ERR'!A43 = "", "Validated", HYPERLINK("#" &amp; ADDRESS(43, '3 - Carts &amp; Stands-WUO_TRK'!A43),_xlfn.TEXTAFTER('3 - Carts &amp; Stands-WUO_ERR'!A43, ":"))))</f>
        <v/>
      </c>
    </row>
    <row r="44">
      <c r="A44" s="39">
        <f>IF('3 - Carts &amp; Stands'!B44 = "", "", IF('3 - Carts &amp; Stands-WUO_ERR'!A44 = "", "Validated", HYPERLINK("#" &amp; ADDRESS(44, '3 - Carts &amp; Stands-WUO_TRK'!A44),_xlfn.TEXTAFTER('3 - Carts &amp; Stands-WUO_ERR'!A44, ":"))))</f>
        <v/>
      </c>
    </row>
    <row r="45">
      <c r="A45" s="39">
        <f>IF('3 - Carts &amp; Stands'!B45 = "", "", IF('3 - Carts &amp; Stands-WUO_ERR'!A45 = "", "Validated", HYPERLINK("#" &amp; ADDRESS(45, '3 - Carts &amp; Stands-WUO_TRK'!A45),_xlfn.TEXTAFTER('3 - Carts &amp; Stands-WUO_ERR'!A45, ":"))))</f>
        <v/>
      </c>
    </row>
    <row r="46">
      <c r="A46" s="39">
        <f>IF('3 - Carts &amp; Stands'!B46 = "", "", IF('3 - Carts &amp; Stands-WUO_ERR'!A46 = "", "Validated", HYPERLINK("#" &amp; ADDRESS(46, '3 - Carts &amp; Stands-WUO_TRK'!A46),_xlfn.TEXTAFTER('3 - Carts &amp; Stands-WUO_ERR'!A46, ":"))))</f>
        <v/>
      </c>
    </row>
    <row r="47">
      <c r="A47" s="39">
        <f>IF('3 - Carts &amp; Stands'!B47 = "", "", IF('3 - Carts &amp; Stands-WUO_ERR'!A47 = "", "Validated", HYPERLINK("#" &amp; ADDRESS(47, '3 - Carts &amp; Stands-WUO_TRK'!A47),_xlfn.TEXTAFTER('3 - Carts &amp; Stands-WUO_ERR'!A47, ":"))))</f>
        <v/>
      </c>
    </row>
    <row r="48">
      <c r="A48" s="39">
        <f>IF('3 - Carts &amp; Stands'!B48 = "", "", IF('3 - Carts &amp; Stands-WUO_ERR'!A48 = "", "Validated", HYPERLINK("#" &amp; ADDRESS(48, '3 - Carts &amp; Stands-WUO_TRK'!A48),_xlfn.TEXTAFTER('3 - Carts &amp; Stands-WUO_ERR'!A48, ":"))))</f>
        <v/>
      </c>
    </row>
    <row r="49">
      <c r="A49" s="39">
        <f>IF('3 - Carts &amp; Stands'!B49 = "", "", IF('3 - Carts &amp; Stands-WUO_ERR'!A49 = "", "Validated", HYPERLINK("#" &amp; ADDRESS(49, '3 - Carts &amp; Stands-WUO_TRK'!A49),_xlfn.TEXTAFTER('3 - Carts &amp; Stands-WUO_ERR'!A49, ":"))))</f>
        <v/>
      </c>
    </row>
    <row r="50">
      <c r="A50" s="39">
        <f>IF('3 - Carts &amp; Stands'!B50 = "", "", IF('3 - Carts &amp; Stands-WUO_ERR'!A50 = "", "Validated", HYPERLINK("#" &amp; ADDRESS(50, '3 - Carts &amp; Stands-WUO_TRK'!A50),_xlfn.TEXTAFTER('3 - Carts &amp; Stands-WUO_ERR'!A50, ":"))))</f>
        <v/>
      </c>
    </row>
    <row r="51">
      <c r="A51" s="39">
        <f>IF('3 - Carts &amp; Stands'!B51 = "", "", IF('3 - Carts &amp; Stands-WUO_ERR'!A51 = "", "Validated", HYPERLINK("#" &amp; ADDRESS(51, '3 - Carts &amp; Stands-WUO_TRK'!A51),_xlfn.TEXTAFTER('3 - Carts &amp; Stands-WUO_ERR'!A51, ":"))))</f>
        <v/>
      </c>
    </row>
    <row r="52">
      <c r="A52" s="39">
        <f>IF('3 - Carts &amp; Stands'!B52 = "", "", IF('3 - Carts &amp; Stands-WUO_ERR'!A52 = "", "Validated", HYPERLINK("#" &amp; ADDRESS(52, '3 - Carts &amp; Stands-WUO_TRK'!A52),_xlfn.TEXTAFTER('3 - Carts &amp; Stands-WUO_ERR'!A52, ":"))))</f>
        <v/>
      </c>
    </row>
    <row r="53">
      <c r="A53" s="39">
        <f>IF('3 - Carts &amp; Stands'!B53 = "", "", IF('3 - Carts &amp; Stands-WUO_ERR'!A53 = "", "Validated", HYPERLINK("#" &amp; ADDRESS(53, '3 - Carts &amp; Stands-WUO_TRK'!A53),_xlfn.TEXTAFTER('3 - Carts &amp; Stands-WUO_ERR'!A53, ":"))))</f>
        <v/>
      </c>
    </row>
    <row r="54">
      <c r="A54" s="39">
        <f>IF('3 - Carts &amp; Stands'!B54 = "", "", IF('3 - Carts &amp; Stands-WUO_ERR'!A54 = "", "Validated", HYPERLINK("#" &amp; ADDRESS(54, '3 - Carts &amp; Stands-WUO_TRK'!A54),_xlfn.TEXTAFTER('3 - Carts &amp; Stands-WUO_ERR'!A54, ":"))))</f>
        <v/>
      </c>
    </row>
    <row r="55">
      <c r="A55" s="39">
        <f>IF('3 - Carts &amp; Stands'!B55 = "", "", IF('3 - Carts &amp; Stands-WUO_ERR'!A55 = "", "Validated", HYPERLINK("#" &amp; ADDRESS(55, '3 - Carts &amp; Stands-WUO_TRK'!A55),_xlfn.TEXTAFTER('3 - Carts &amp; Stands-WUO_ERR'!A55, ":"))))</f>
        <v/>
      </c>
    </row>
    <row r="56">
      <c r="A56" s="39">
        <f>IF('3 - Carts &amp; Stands'!B56 = "", "", IF('3 - Carts &amp; Stands-WUO_ERR'!A56 = "", "Validated", HYPERLINK("#" &amp; ADDRESS(56, '3 - Carts &amp; Stands-WUO_TRK'!A56),_xlfn.TEXTAFTER('3 - Carts &amp; Stands-WUO_ERR'!A56, ":"))))</f>
        <v/>
      </c>
    </row>
    <row r="57">
      <c r="A57" s="39">
        <f>IF('3 - Carts &amp; Stands'!B57 = "", "", IF('3 - Carts &amp; Stands-WUO_ERR'!A57 = "", "Validated", HYPERLINK("#" &amp; ADDRESS(57, '3 - Carts &amp; Stands-WUO_TRK'!A57),_xlfn.TEXTAFTER('3 - Carts &amp; Stands-WUO_ERR'!A57, ":"))))</f>
        <v/>
      </c>
    </row>
    <row r="58">
      <c r="A58" s="39">
        <f>IF('3 - Carts &amp; Stands'!B58 = "", "", IF('3 - Carts &amp; Stands-WUO_ERR'!A58 = "", "Validated", HYPERLINK("#" &amp; ADDRESS(58, '3 - Carts &amp; Stands-WUO_TRK'!A58),_xlfn.TEXTAFTER('3 - Carts &amp; Stands-WUO_ERR'!A58, ":"))))</f>
        <v/>
      </c>
    </row>
    <row r="59">
      <c r="A59" s="39">
        <f>IF('3 - Carts &amp; Stands'!B59 = "", "", IF('3 - Carts &amp; Stands-WUO_ERR'!A59 = "", "Validated", HYPERLINK("#" &amp; ADDRESS(59, '3 - Carts &amp; Stands-WUO_TRK'!A59),_xlfn.TEXTAFTER('3 - Carts &amp; Stands-WUO_ERR'!A59, ":"))))</f>
        <v/>
      </c>
    </row>
    <row r="60">
      <c r="A60" s="39">
        <f>IF('3 - Carts &amp; Stands'!B60 = "", "", IF('3 - Carts &amp; Stands-WUO_ERR'!A60 = "", "Validated", HYPERLINK("#" &amp; ADDRESS(60, '3 - Carts &amp; Stands-WUO_TRK'!A60),_xlfn.TEXTAFTER('3 - Carts &amp; Stands-WUO_ERR'!A60, ":"))))</f>
        <v/>
      </c>
    </row>
    <row r="61">
      <c r="A61" s="39">
        <f>IF('3 - Carts &amp; Stands'!B61 = "", "", IF('3 - Carts &amp; Stands-WUO_ERR'!A61 = "", "Validated", HYPERLINK("#" &amp; ADDRESS(61, '3 - Carts &amp; Stands-WUO_TRK'!A61),_xlfn.TEXTAFTER('3 - Carts &amp; Stands-WUO_ERR'!A61, ":"))))</f>
        <v/>
      </c>
    </row>
    <row r="62">
      <c r="A62" s="39">
        <f>IF('3 - Carts &amp; Stands'!B62 = "", "", IF('3 - Carts &amp; Stands-WUO_ERR'!A62 = "", "Validated", HYPERLINK("#" &amp; ADDRESS(62, '3 - Carts &amp; Stands-WUO_TRK'!A62),_xlfn.TEXTAFTER('3 - Carts &amp; Stands-WUO_ERR'!A62, ":"))))</f>
        <v/>
      </c>
    </row>
    <row r="63">
      <c r="A63" s="39">
        <f>IF('3 - Carts &amp; Stands'!B63 = "", "", IF('3 - Carts &amp; Stands-WUO_ERR'!A63 = "", "Validated", HYPERLINK("#" &amp; ADDRESS(63, '3 - Carts &amp; Stands-WUO_TRK'!A63),_xlfn.TEXTAFTER('3 - Carts &amp; Stands-WUO_ERR'!A63, ":"))))</f>
        <v/>
      </c>
    </row>
    <row r="64">
      <c r="A64" s="39">
        <f>IF('3 - Carts &amp; Stands'!B64 = "", "", IF('3 - Carts &amp; Stands-WUO_ERR'!A64 = "", "Validated", HYPERLINK("#" &amp; ADDRESS(64, '3 - Carts &amp; Stands-WUO_TRK'!A64),_xlfn.TEXTAFTER('3 - Carts &amp; Stands-WUO_ERR'!A64, ":"))))</f>
        <v/>
      </c>
    </row>
    <row r="65">
      <c r="A65" s="39">
        <f>IF('3 - Carts &amp; Stands'!B65 = "", "", IF('3 - Carts &amp; Stands-WUO_ERR'!A65 = "", "Validated", HYPERLINK("#" &amp; ADDRESS(65, '3 - Carts &amp; Stands-WUO_TRK'!A65),_xlfn.TEXTAFTER('3 - Carts &amp; Stands-WUO_ERR'!A65, ":"))))</f>
        <v/>
      </c>
    </row>
    <row r="66">
      <c r="A66" s="39">
        <f>IF('3 - Carts &amp; Stands'!B66 = "", "", IF('3 - Carts &amp; Stands-WUO_ERR'!A66 = "", "Validated", HYPERLINK("#" &amp; ADDRESS(66, '3 - Carts &amp; Stands-WUO_TRK'!A66),_xlfn.TEXTAFTER('3 - Carts &amp; Stands-WUO_ERR'!A66, ":"))))</f>
        <v/>
      </c>
    </row>
    <row r="67">
      <c r="A67" s="39">
        <f>IF('3 - Carts &amp; Stands'!B67 = "", "", IF('3 - Carts &amp; Stands-WUO_ERR'!A67 = "", "Validated", HYPERLINK("#" &amp; ADDRESS(67, '3 - Carts &amp; Stands-WUO_TRK'!A67),_xlfn.TEXTAFTER('3 - Carts &amp; Stands-WUO_ERR'!A67, ":"))))</f>
        <v/>
      </c>
    </row>
    <row r="68">
      <c r="A68" s="39">
        <f>IF('3 - Carts &amp; Stands'!B68 = "", "", IF('3 - Carts &amp; Stands-WUO_ERR'!A68 = "", "Validated", HYPERLINK("#" &amp; ADDRESS(68, '3 - Carts &amp; Stands-WUO_TRK'!A68),_xlfn.TEXTAFTER('3 - Carts &amp; Stands-WUO_ERR'!A68, ":"))))</f>
        <v/>
      </c>
    </row>
    <row r="69">
      <c r="A69" s="39">
        <f>IF('3 - Carts &amp; Stands'!B69 = "", "", IF('3 - Carts &amp; Stands-WUO_ERR'!A69 = "", "Validated", HYPERLINK("#" &amp; ADDRESS(69, '3 - Carts &amp; Stands-WUO_TRK'!A69),_xlfn.TEXTAFTER('3 - Carts &amp; Stands-WUO_ERR'!A69, ":"))))</f>
        <v/>
      </c>
    </row>
    <row r="70">
      <c r="A70" s="39">
        <f>IF('3 - Carts &amp; Stands'!B70 = "", "", IF('3 - Carts &amp; Stands-WUO_ERR'!A70 = "", "Validated", HYPERLINK("#" &amp; ADDRESS(70, '3 - Carts &amp; Stands-WUO_TRK'!A70),_xlfn.TEXTAFTER('3 - Carts &amp; Stands-WUO_ERR'!A70, ":"))))</f>
        <v/>
      </c>
    </row>
    <row r="71">
      <c r="A71" s="39">
        <f>IF('3 - Carts &amp; Stands'!B71 = "", "", IF('3 - Carts &amp; Stands-WUO_ERR'!A71 = "", "Validated", HYPERLINK("#" &amp; ADDRESS(71, '3 - Carts &amp; Stands-WUO_TRK'!A71),_xlfn.TEXTAFTER('3 - Carts &amp; Stands-WUO_ERR'!A71, ":"))))</f>
        <v/>
      </c>
    </row>
    <row r="72">
      <c r="A72" s="39">
        <f>IF('3 - Carts &amp; Stands'!B72 = "", "", IF('3 - Carts &amp; Stands-WUO_ERR'!A72 = "", "Validated", HYPERLINK("#" &amp; ADDRESS(72, '3 - Carts &amp; Stands-WUO_TRK'!A72),_xlfn.TEXTAFTER('3 - Carts &amp; Stands-WUO_ERR'!A72, ":"))))</f>
        <v/>
      </c>
    </row>
    <row r="73">
      <c r="A73" s="39">
        <f>IF('3 - Carts &amp; Stands'!B73 = "", "", IF('3 - Carts &amp; Stands-WUO_ERR'!A73 = "", "Validated", HYPERLINK("#" &amp; ADDRESS(73, '3 - Carts &amp; Stands-WUO_TRK'!A73),_xlfn.TEXTAFTER('3 - Carts &amp; Stands-WUO_ERR'!A73, ":"))))</f>
        <v/>
      </c>
    </row>
    <row r="74">
      <c r="A74" s="39">
        <f>IF('3 - Carts &amp; Stands'!B74 = "", "", IF('3 - Carts &amp; Stands-WUO_ERR'!A74 = "", "Validated", HYPERLINK("#" &amp; ADDRESS(74, '3 - Carts &amp; Stands-WUO_TRK'!A74),_xlfn.TEXTAFTER('3 - Carts &amp; Stands-WUO_ERR'!A74, ":"))))</f>
        <v/>
      </c>
    </row>
    <row r="75">
      <c r="A75" s="39">
        <f>IF('3 - Carts &amp; Stands'!B75 = "", "", IF('3 - Carts &amp; Stands-WUO_ERR'!A75 = "", "Validated", HYPERLINK("#" &amp; ADDRESS(75, '3 - Carts &amp; Stands-WUO_TRK'!A75),_xlfn.TEXTAFTER('3 - Carts &amp; Stands-WUO_ERR'!A75, ":"))))</f>
        <v/>
      </c>
    </row>
    <row r="76">
      <c r="A76" s="39">
        <f>IF('3 - Carts &amp; Stands'!B76 = "", "", IF('3 - Carts &amp; Stands-WUO_ERR'!A76 = "", "Validated", HYPERLINK("#" &amp; ADDRESS(76, '3 - Carts &amp; Stands-WUO_TRK'!A76),_xlfn.TEXTAFTER('3 - Carts &amp; Stands-WUO_ERR'!A76, ":"))))</f>
        <v/>
      </c>
    </row>
    <row r="77">
      <c r="A77" s="39">
        <f>IF('3 - Carts &amp; Stands'!B77 = "", "", IF('3 - Carts &amp; Stands-WUO_ERR'!A77 = "", "Validated", HYPERLINK("#" &amp; ADDRESS(77, '3 - Carts &amp; Stands-WUO_TRK'!A77),_xlfn.TEXTAFTER('3 - Carts &amp; Stands-WUO_ERR'!A77, ":"))))</f>
        <v/>
      </c>
    </row>
    <row r="78">
      <c r="A78" s="39">
        <f>IF('3 - Carts &amp; Stands'!B78 = "", "", IF('3 - Carts &amp; Stands-WUO_ERR'!A78 = "", "Validated", HYPERLINK("#" &amp; ADDRESS(78, '3 - Carts &amp; Stands-WUO_TRK'!A78),_xlfn.TEXTAFTER('3 - Carts &amp; Stands-WUO_ERR'!A78, ":"))))</f>
        <v/>
      </c>
    </row>
    <row r="79">
      <c r="A79" s="39">
        <f>IF('3 - Carts &amp; Stands'!B79 = "", "", IF('3 - Carts &amp; Stands-WUO_ERR'!A79 = "", "Validated", HYPERLINK("#" &amp; ADDRESS(79, '3 - Carts &amp; Stands-WUO_TRK'!A79),_xlfn.TEXTAFTER('3 - Carts &amp; Stands-WUO_ERR'!A79, ":"))))</f>
        <v/>
      </c>
    </row>
    <row r="80">
      <c r="A80" s="39">
        <f>IF('3 - Carts &amp; Stands'!B80 = "", "", IF('3 - Carts &amp; Stands-WUO_ERR'!A80 = "", "Validated", HYPERLINK("#" &amp; ADDRESS(80, '3 - Carts &amp; Stands-WUO_TRK'!A80),_xlfn.TEXTAFTER('3 - Carts &amp; Stands-WUO_ERR'!A80, ":"))))</f>
        <v/>
      </c>
    </row>
    <row r="81">
      <c r="A81" s="39">
        <f>IF('3 - Carts &amp; Stands'!B81 = "", "", IF('3 - Carts &amp; Stands-WUO_ERR'!A81 = "", "Validated", HYPERLINK("#" &amp; ADDRESS(81, '3 - Carts &amp; Stands-WUO_TRK'!A81),_xlfn.TEXTAFTER('3 - Carts &amp; Stands-WUO_ERR'!A81, ":"))))</f>
        <v/>
      </c>
    </row>
    <row r="82">
      <c r="A82" s="39">
        <f>IF('3 - Carts &amp; Stands'!B82 = "", "", IF('3 - Carts &amp; Stands-WUO_ERR'!A82 = "", "Validated", HYPERLINK("#" &amp; ADDRESS(82, '3 - Carts &amp; Stands-WUO_TRK'!A82),_xlfn.TEXTAFTER('3 - Carts &amp; Stands-WUO_ERR'!A82, ":"))))</f>
        <v/>
      </c>
    </row>
    <row r="83">
      <c r="A83" s="39">
        <f>IF('3 - Carts &amp; Stands'!B83 = "", "", IF('3 - Carts &amp; Stands-WUO_ERR'!A83 = "", "Validated", HYPERLINK("#" &amp; ADDRESS(83, '3 - Carts &amp; Stands-WUO_TRK'!A83),_xlfn.TEXTAFTER('3 - Carts &amp; Stands-WUO_ERR'!A83, ":"))))</f>
        <v/>
      </c>
    </row>
    <row r="84">
      <c r="A84" s="39">
        <f>IF('3 - Carts &amp; Stands'!B84 = "", "", IF('3 - Carts &amp; Stands-WUO_ERR'!A84 = "", "Validated", HYPERLINK("#" &amp; ADDRESS(84, '3 - Carts &amp; Stands-WUO_TRK'!A84),_xlfn.TEXTAFTER('3 - Carts &amp; Stands-WUO_ERR'!A84, ":"))))</f>
        <v/>
      </c>
    </row>
    <row r="85">
      <c r="A85" s="39">
        <f>IF('3 - Carts &amp; Stands'!B85 = "", "", IF('3 - Carts &amp; Stands-WUO_ERR'!A85 = "", "Validated", HYPERLINK("#" &amp; ADDRESS(85, '3 - Carts &amp; Stands-WUO_TRK'!A85),_xlfn.TEXTAFTER('3 - Carts &amp; Stands-WUO_ERR'!A85, ":"))))</f>
        <v/>
      </c>
    </row>
    <row r="86">
      <c r="A86" s="39">
        <f>IF('3 - Carts &amp; Stands'!B86 = "", "", IF('3 - Carts &amp; Stands-WUO_ERR'!A86 = "", "Validated", HYPERLINK("#" &amp; ADDRESS(86, '3 - Carts &amp; Stands-WUO_TRK'!A86),_xlfn.TEXTAFTER('3 - Carts &amp; Stands-WUO_ERR'!A86, ":"))))</f>
        <v/>
      </c>
    </row>
    <row r="87">
      <c r="A87" s="39">
        <f>IF('3 - Carts &amp; Stands'!B87 = "", "", IF('3 - Carts &amp; Stands-WUO_ERR'!A87 = "", "Validated", HYPERLINK("#" &amp; ADDRESS(87, '3 - Carts &amp; Stands-WUO_TRK'!A87),_xlfn.TEXTAFTER('3 - Carts &amp; Stands-WUO_ERR'!A87, ":"))))</f>
        <v/>
      </c>
    </row>
    <row r="88">
      <c r="A88" s="39">
        <f>IF('3 - Carts &amp; Stands'!B88 = "", "", IF('3 - Carts &amp; Stands-WUO_ERR'!A88 = "", "Validated", HYPERLINK("#" &amp; ADDRESS(88, '3 - Carts &amp; Stands-WUO_TRK'!A88),_xlfn.TEXTAFTER('3 - Carts &amp; Stands-WUO_ERR'!A88, ":"))))</f>
        <v/>
      </c>
    </row>
    <row r="89">
      <c r="A89" s="39">
        <f>IF('3 - Carts &amp; Stands'!B89 = "", "", IF('3 - Carts &amp; Stands-WUO_ERR'!A89 = "", "Validated", HYPERLINK("#" &amp; ADDRESS(89, '3 - Carts &amp; Stands-WUO_TRK'!A89),_xlfn.TEXTAFTER('3 - Carts &amp; Stands-WUO_ERR'!A89, ":"))))</f>
        <v/>
      </c>
    </row>
    <row r="90">
      <c r="A90" s="39">
        <f>IF('3 - Carts &amp; Stands'!B90 = "", "", IF('3 - Carts &amp; Stands-WUO_ERR'!A90 = "", "Validated", HYPERLINK("#" &amp; ADDRESS(90, '3 - Carts &amp; Stands-WUO_TRK'!A90),_xlfn.TEXTAFTER('3 - Carts &amp; Stands-WUO_ERR'!A90, ":"))))</f>
        <v/>
      </c>
    </row>
    <row r="91">
      <c r="A91" s="39">
        <f>IF('3 - Carts &amp; Stands'!B91 = "", "", IF('3 - Carts &amp; Stands-WUO_ERR'!A91 = "", "Validated", HYPERLINK("#" &amp; ADDRESS(91, '3 - Carts &amp; Stands-WUO_TRK'!A91),_xlfn.TEXTAFTER('3 - Carts &amp; Stands-WUO_ERR'!A91, ":"))))</f>
        <v/>
      </c>
    </row>
    <row r="92">
      <c r="A92" s="39">
        <f>IF('3 - Carts &amp; Stands'!B92 = "", "", IF('3 - Carts &amp; Stands-WUO_ERR'!A92 = "", "Validated", HYPERLINK("#" &amp; ADDRESS(92, '3 - Carts &amp; Stands-WUO_TRK'!A92),_xlfn.TEXTAFTER('3 - Carts &amp; Stands-WUO_ERR'!A92, ":"))))</f>
        <v/>
      </c>
    </row>
    <row r="93">
      <c r="A93" s="39">
        <f>IF('3 - Carts &amp; Stands'!B93 = "", "", IF('3 - Carts &amp; Stands-WUO_ERR'!A93 = "", "Validated", HYPERLINK("#" &amp; ADDRESS(93, '3 - Carts &amp; Stands-WUO_TRK'!A93),_xlfn.TEXTAFTER('3 - Carts &amp; Stands-WUO_ERR'!A93, ":"))))</f>
        <v/>
      </c>
    </row>
    <row r="94">
      <c r="A94" s="39">
        <f>IF('3 - Carts &amp; Stands'!B94 = "", "", IF('3 - Carts &amp; Stands-WUO_ERR'!A94 = "", "Validated", HYPERLINK("#" &amp; ADDRESS(94, '3 - Carts &amp; Stands-WUO_TRK'!A94),_xlfn.TEXTAFTER('3 - Carts &amp; Stands-WUO_ERR'!A94, ":"))))</f>
        <v/>
      </c>
    </row>
    <row r="95">
      <c r="A95" s="39">
        <f>IF('3 - Carts &amp; Stands'!B95 = "", "", IF('3 - Carts &amp; Stands-WUO_ERR'!A95 = "", "Validated", HYPERLINK("#" &amp; ADDRESS(95, '3 - Carts &amp; Stands-WUO_TRK'!A95),_xlfn.TEXTAFTER('3 - Carts &amp; Stands-WUO_ERR'!A95, ":"))))</f>
        <v/>
      </c>
    </row>
    <row r="96">
      <c r="A96" s="39">
        <f>IF('3 - Carts &amp; Stands'!B96 = "", "", IF('3 - Carts &amp; Stands-WUO_ERR'!A96 = "", "Validated", HYPERLINK("#" &amp; ADDRESS(96, '3 - Carts &amp; Stands-WUO_TRK'!A96),_xlfn.TEXTAFTER('3 - Carts &amp; Stands-WUO_ERR'!A96, ":"))))</f>
        <v/>
      </c>
    </row>
    <row r="97">
      <c r="A97" s="39">
        <f>IF('3 - Carts &amp; Stands'!B97 = "", "", IF('3 - Carts &amp; Stands-WUO_ERR'!A97 = "", "Validated", HYPERLINK("#" &amp; ADDRESS(97, '3 - Carts &amp; Stands-WUO_TRK'!A97),_xlfn.TEXTAFTER('3 - Carts &amp; Stands-WUO_ERR'!A97, ":"))))</f>
        <v/>
      </c>
    </row>
    <row r="98">
      <c r="A98" s="39">
        <f>IF('3 - Carts &amp; Stands'!B98 = "", "", IF('3 - Carts &amp; Stands-WUO_ERR'!A98 = "", "Validated", HYPERLINK("#" &amp; ADDRESS(98, '3 - Carts &amp; Stands-WUO_TRK'!A98),_xlfn.TEXTAFTER('3 - Carts &amp; Stands-WUO_ERR'!A98, ":"))))</f>
        <v/>
      </c>
    </row>
    <row r="99">
      <c r="A99" s="39">
        <f>IF('3 - Carts &amp; Stands'!B99 = "", "", IF('3 - Carts &amp; Stands-WUO_ERR'!A99 = "", "Validated", HYPERLINK("#" &amp; ADDRESS(99, '3 - Carts &amp; Stands-WUO_TRK'!A99),_xlfn.TEXTAFTER('3 - Carts &amp; Stands-WUO_ERR'!A99, ":"))))</f>
        <v/>
      </c>
    </row>
    <row r="100">
      <c r="A100" s="39">
        <f>IF('3 - Carts &amp; Stands'!B100 = "", "", IF('3 - Carts &amp; Stands-WUO_ERR'!A100 = "", "Validated", HYPERLINK("#" &amp; ADDRESS(100, '3 - Carts &amp; Stands-WUO_TRK'!A100),_xlfn.TEXTAFTER('3 - Carts &amp; Stands-WUO_ERR'!A100, ":"))))</f>
        <v/>
      </c>
    </row>
    <row r="101">
      <c r="A101" s="39">
        <f>IF('3 - Carts &amp; Stands'!B101 = "", "", IF('3 - Carts &amp; Stands-WUO_ERR'!A101 = "", "Validated", HYPERLINK("#" &amp; ADDRESS(101, '3 - Carts &amp; Stands-WUO_TRK'!A101),_xlfn.TEXTAFTER('3 - Carts &amp; Stands-WUO_ERR'!A101, ":"))))</f>
        <v/>
      </c>
    </row>
    <row r="102">
      <c r="A102" s="39">
        <f>IF('3 - Carts &amp; Stands'!B102 = "", "", IF('3 - Carts &amp; Stands-WUO_ERR'!A102 = "", "Validated", HYPERLINK("#" &amp; ADDRESS(102, '3 - Carts &amp; Stands-WUO_TRK'!A102),_xlfn.TEXTAFTER('3 - Carts &amp; Stands-WUO_ERR'!A102, ":"))))</f>
        <v/>
      </c>
    </row>
    <row r="103">
      <c r="A103" s="39">
        <f>IF('3 - Carts &amp; Stands'!B103 = "", "", IF('3 - Carts &amp; Stands-WUO_ERR'!A103 = "", "Validated", HYPERLINK("#" &amp; ADDRESS(103, '3 - Carts &amp; Stands-WUO_TRK'!A103),_xlfn.TEXTAFTER('3 - Carts &amp; Stands-WUO_ERR'!A103, ":"))))</f>
        <v/>
      </c>
    </row>
    <row r="104">
      <c r="A104" s="39">
        <f>IF('3 - Carts &amp; Stands'!B104 = "", "", IF('3 - Carts &amp; Stands-WUO_ERR'!A104 = "", "Validated", HYPERLINK("#" &amp; ADDRESS(104, '3 - Carts &amp; Stands-WUO_TRK'!A104),_xlfn.TEXTAFTER('3 - Carts &amp; Stands-WUO_ERR'!A104, ":"))))</f>
        <v/>
      </c>
    </row>
    <row r="105">
      <c r="A105" s="39">
        <f>IF('3 - Carts &amp; Stands'!B105 = "", "", IF('3 - Carts &amp; Stands-WUO_ERR'!A105 = "", "Validated", HYPERLINK("#" &amp; ADDRESS(105, '3 - Carts &amp; Stands-WUO_TRK'!A105),_xlfn.TEXTAFTER('3 - Carts &amp; Stands-WUO_ERR'!A105, ":"))))</f>
        <v/>
      </c>
    </row>
    <row r="106">
      <c r="A106" s="39">
        <f>IF('3 - Carts &amp; Stands'!B106 = "", "", IF('3 - Carts &amp; Stands-WUO_ERR'!A106 = "", "Validated", HYPERLINK("#" &amp; ADDRESS(106, '3 - Carts &amp; Stands-WUO_TRK'!A106),_xlfn.TEXTAFTER('3 - Carts &amp; Stands-WUO_ERR'!A106, ":"))))</f>
        <v/>
      </c>
    </row>
    <row r="107">
      <c r="A107" s="39">
        <f>IF('3 - Carts &amp; Stands'!B107 = "", "", IF('3 - Carts &amp; Stands-WUO_ERR'!A107 = "", "Validated", HYPERLINK("#" &amp; ADDRESS(107, '3 - Carts &amp; Stands-WUO_TRK'!A107),_xlfn.TEXTAFTER('3 - Carts &amp; Stands-WUO_ERR'!A107, ":"))))</f>
        <v/>
      </c>
    </row>
    <row r="108">
      <c r="A108" s="39">
        <f>IF('3 - Carts &amp; Stands'!B108 = "", "", IF('3 - Carts &amp; Stands-WUO_ERR'!A108 = "", "Validated", HYPERLINK("#" &amp; ADDRESS(108, '3 - Carts &amp; Stands-WUO_TRK'!A108),_xlfn.TEXTAFTER('3 - Carts &amp; Stands-WUO_ERR'!A108, ":"))))</f>
        <v/>
      </c>
    </row>
    <row r="109">
      <c r="A109" s="39">
        <f>IF('3 - Carts &amp; Stands'!B109 = "", "", IF('3 - Carts &amp; Stands-WUO_ERR'!A109 = "", "Validated", HYPERLINK("#" &amp; ADDRESS(109, '3 - Carts &amp; Stands-WUO_TRK'!A109),_xlfn.TEXTAFTER('3 - Carts &amp; Stands-WUO_ERR'!A109, ":"))))</f>
        <v/>
      </c>
    </row>
    <row r="110">
      <c r="A110" s="39">
        <f>IF('3 - Carts &amp; Stands'!B110 = "", "", IF('3 - Carts &amp; Stands-WUO_ERR'!A110 = "", "Validated", HYPERLINK("#" &amp; ADDRESS(110, '3 - Carts &amp; Stands-WUO_TRK'!A110),_xlfn.TEXTAFTER('3 - Carts &amp; Stands-WUO_ERR'!A110, ":"))))</f>
        <v/>
      </c>
    </row>
    <row r="111">
      <c r="A111" s="39">
        <f>IF('3 - Carts &amp; Stands'!B111 = "", "", IF('3 - Carts &amp; Stands-WUO_ERR'!A111 = "", "Validated", HYPERLINK("#" &amp; ADDRESS(111, '3 - Carts &amp; Stands-WUO_TRK'!A111),_xlfn.TEXTAFTER('3 - Carts &amp; Stands-WUO_ERR'!A111, ":"))))</f>
        <v/>
      </c>
    </row>
    <row r="112">
      <c r="A112" s="39">
        <f>IF('3 - Carts &amp; Stands'!B112 = "", "", IF('3 - Carts &amp; Stands-WUO_ERR'!A112 = "", "Validated", HYPERLINK("#" &amp; ADDRESS(112, '3 - Carts &amp; Stands-WUO_TRK'!A112),_xlfn.TEXTAFTER('3 - Carts &amp; Stands-WUO_ERR'!A112, ":"))))</f>
        <v/>
      </c>
    </row>
    <row r="113">
      <c r="A113" s="39">
        <f>IF('3 - Carts &amp; Stands'!B113 = "", "", IF('3 - Carts &amp; Stands-WUO_ERR'!A113 = "", "Validated", HYPERLINK("#" &amp; ADDRESS(113, '3 - Carts &amp; Stands-WUO_TRK'!A113),_xlfn.TEXTAFTER('3 - Carts &amp; Stands-WUO_ERR'!A113, ":"))))</f>
        <v/>
      </c>
    </row>
    <row r="114">
      <c r="A114" s="39">
        <f>IF('3 - Carts &amp; Stands'!B114 = "", "", IF('3 - Carts &amp; Stands-WUO_ERR'!A114 = "", "Validated", HYPERLINK("#" &amp; ADDRESS(114, '3 - Carts &amp; Stands-WUO_TRK'!A114),_xlfn.TEXTAFTER('3 - Carts &amp; Stands-WUO_ERR'!A114, ":"))))</f>
        <v/>
      </c>
    </row>
    <row r="115">
      <c r="A115" s="39">
        <f>IF('3 - Carts &amp; Stands'!B115 = "", "", IF('3 - Carts &amp; Stands-WUO_ERR'!A115 = "", "Validated", HYPERLINK("#" &amp; ADDRESS(115, '3 - Carts &amp; Stands-WUO_TRK'!A115),_xlfn.TEXTAFTER('3 - Carts &amp; Stands-WUO_ERR'!A115, ":"))))</f>
        <v/>
      </c>
    </row>
    <row r="116">
      <c r="A116" s="39">
        <f>IF('3 - Carts &amp; Stands'!B116 = "", "", IF('3 - Carts &amp; Stands-WUO_ERR'!A116 = "", "Validated", HYPERLINK("#" &amp; ADDRESS(116, '3 - Carts &amp; Stands-WUO_TRK'!A116),_xlfn.TEXTAFTER('3 - Carts &amp; Stands-WUO_ERR'!A116, ":"))))</f>
        <v/>
      </c>
    </row>
    <row r="117">
      <c r="A117" s="39">
        <f>IF('3 - Carts &amp; Stands'!B117 = "", "", IF('3 - Carts &amp; Stands-WUO_ERR'!A117 = "", "Validated", HYPERLINK("#" &amp; ADDRESS(117, '3 - Carts &amp; Stands-WUO_TRK'!A117),_xlfn.TEXTAFTER('3 - Carts &amp; Stands-WUO_ERR'!A117, ":"))))</f>
        <v/>
      </c>
    </row>
    <row r="118">
      <c r="A118" s="39">
        <f>IF('3 - Carts &amp; Stands'!B118 = "", "", IF('3 - Carts &amp; Stands-WUO_ERR'!A118 = "", "Validated", HYPERLINK("#" &amp; ADDRESS(118, '3 - Carts &amp; Stands-WUO_TRK'!A118),_xlfn.TEXTAFTER('3 - Carts &amp; Stands-WUO_ERR'!A118, ":"))))</f>
        <v/>
      </c>
    </row>
    <row r="119">
      <c r="A119" s="39">
        <f>IF('3 - Carts &amp; Stands'!B119 = "", "", IF('3 - Carts &amp; Stands-WUO_ERR'!A119 = "", "Validated", HYPERLINK("#" &amp; ADDRESS(119, '3 - Carts &amp; Stands-WUO_TRK'!A119),_xlfn.TEXTAFTER('3 - Carts &amp; Stands-WUO_ERR'!A119, ":"))))</f>
        <v/>
      </c>
    </row>
    <row r="120">
      <c r="A120" s="39">
        <f>IF('3 - Carts &amp; Stands'!B120 = "", "", IF('3 - Carts &amp; Stands-WUO_ERR'!A120 = "", "Validated", HYPERLINK("#" &amp; ADDRESS(120, '3 - Carts &amp; Stands-WUO_TRK'!A120),_xlfn.TEXTAFTER('3 - Carts &amp; Stands-WUO_ERR'!A120, ":"))))</f>
        <v/>
      </c>
    </row>
    <row r="121">
      <c r="A121" s="39">
        <f>IF('3 - Carts &amp; Stands'!B121 = "", "", IF('3 - Carts &amp; Stands-WUO_ERR'!A121 = "", "Validated", HYPERLINK("#" &amp; ADDRESS(121, '3 - Carts &amp; Stands-WUO_TRK'!A121),_xlfn.TEXTAFTER('3 - Carts &amp; Stands-WUO_ERR'!A121, ":"))))</f>
        <v/>
      </c>
    </row>
    <row r="122">
      <c r="A122" s="39">
        <f>IF('3 - Carts &amp; Stands'!B122 = "", "", IF('3 - Carts &amp; Stands-WUO_ERR'!A122 = "", "Validated", HYPERLINK("#" &amp; ADDRESS(122, '3 - Carts &amp; Stands-WUO_TRK'!A122),_xlfn.TEXTAFTER('3 - Carts &amp; Stands-WUO_ERR'!A122, ":"))))</f>
        <v/>
      </c>
    </row>
    <row r="123">
      <c r="A123" s="39">
        <f>IF('3 - Carts &amp; Stands'!B123 = "", "", IF('3 - Carts &amp; Stands-WUO_ERR'!A123 = "", "Validated", HYPERLINK("#" &amp; ADDRESS(123, '3 - Carts &amp; Stands-WUO_TRK'!A123),_xlfn.TEXTAFTER('3 - Carts &amp; Stands-WUO_ERR'!A123, ":"))))</f>
        <v/>
      </c>
    </row>
    <row r="124">
      <c r="A124" s="39">
        <f>IF('3 - Carts &amp; Stands'!B124 = "", "", IF('3 - Carts &amp; Stands-WUO_ERR'!A124 = "", "Validated", HYPERLINK("#" &amp; ADDRESS(124, '3 - Carts &amp; Stands-WUO_TRK'!A124),_xlfn.TEXTAFTER('3 - Carts &amp; Stands-WUO_ERR'!A124, ":"))))</f>
        <v/>
      </c>
    </row>
    <row r="125">
      <c r="A125" s="39">
        <f>IF('3 - Carts &amp; Stands'!B125 = "", "", IF('3 - Carts &amp; Stands-WUO_ERR'!A125 = "", "Validated", HYPERLINK("#" &amp; ADDRESS(125, '3 - Carts &amp; Stands-WUO_TRK'!A125),_xlfn.TEXTAFTER('3 - Carts &amp; Stands-WUO_ERR'!A125, ":"))))</f>
        <v/>
      </c>
    </row>
    <row r="126">
      <c r="A126" s="39">
        <f>IF('3 - Carts &amp; Stands'!B126 = "", "", IF('3 - Carts &amp; Stands-WUO_ERR'!A126 = "", "Validated", HYPERLINK("#" &amp; ADDRESS(126, '3 - Carts &amp; Stands-WUO_TRK'!A126),_xlfn.TEXTAFTER('3 - Carts &amp; Stands-WUO_ERR'!A126, ":"))))</f>
        <v/>
      </c>
    </row>
    <row r="127">
      <c r="A127" s="39">
        <f>IF('3 - Carts &amp; Stands'!B127 = "", "", IF('3 - Carts &amp; Stands-WUO_ERR'!A127 = "", "Validated", HYPERLINK("#" &amp; ADDRESS(127, '3 - Carts &amp; Stands-WUO_TRK'!A127),_xlfn.TEXTAFTER('3 - Carts &amp; Stands-WUO_ERR'!A127, ":"))))</f>
        <v/>
      </c>
    </row>
    <row r="128">
      <c r="A128" s="39">
        <f>IF('3 - Carts &amp; Stands'!B128 = "", "", IF('3 - Carts &amp; Stands-WUO_ERR'!A128 = "", "Validated", HYPERLINK("#" &amp; ADDRESS(128, '3 - Carts &amp; Stands-WUO_TRK'!A128),_xlfn.TEXTAFTER('3 - Carts &amp; Stands-WUO_ERR'!A128, ":"))))</f>
        <v/>
      </c>
    </row>
    <row r="129">
      <c r="A129" s="39">
        <f>IF('3 - Carts &amp; Stands'!B129 = "", "", IF('3 - Carts &amp; Stands-WUO_ERR'!A129 = "", "Validated", HYPERLINK("#" &amp; ADDRESS(129, '3 - Carts &amp; Stands-WUO_TRK'!A129),_xlfn.TEXTAFTER('3 - Carts &amp; Stands-WUO_ERR'!A129, ":"))))</f>
        <v/>
      </c>
    </row>
    <row r="130">
      <c r="A130" s="39">
        <f>IF('3 - Carts &amp; Stands'!B130 = "", "", IF('3 - Carts &amp; Stands-WUO_ERR'!A130 = "", "Validated", HYPERLINK("#" &amp; ADDRESS(130, '3 - Carts &amp; Stands-WUO_TRK'!A130),_xlfn.TEXTAFTER('3 - Carts &amp; Stands-WUO_ERR'!A130, ":"))))</f>
        <v/>
      </c>
    </row>
    <row r="131">
      <c r="A131" s="39">
        <f>IF('3 - Carts &amp; Stands'!B131 = "", "", IF('3 - Carts &amp; Stands-WUO_ERR'!A131 = "", "Validated", HYPERLINK("#" &amp; ADDRESS(131, '3 - Carts &amp; Stands-WUO_TRK'!A131),_xlfn.TEXTAFTER('3 - Carts &amp; Stands-WUO_ERR'!A131, ":"))))</f>
        <v/>
      </c>
    </row>
    <row r="132">
      <c r="A132" s="39">
        <f>IF('3 - Carts &amp; Stands'!B132 = "", "", IF('3 - Carts &amp; Stands-WUO_ERR'!A132 = "", "Validated", HYPERLINK("#" &amp; ADDRESS(132, '3 - Carts &amp; Stands-WUO_TRK'!A132),_xlfn.TEXTAFTER('3 - Carts &amp; Stands-WUO_ERR'!A132, ":"))))</f>
        <v/>
      </c>
    </row>
    <row r="133">
      <c r="A133" s="39">
        <f>IF('3 - Carts &amp; Stands'!B133 = "", "", IF('3 - Carts &amp; Stands-WUO_ERR'!A133 = "", "Validated", HYPERLINK("#" &amp; ADDRESS(133, '3 - Carts &amp; Stands-WUO_TRK'!A133),_xlfn.TEXTAFTER('3 - Carts &amp; Stands-WUO_ERR'!A133, ":"))))</f>
        <v/>
      </c>
    </row>
    <row r="134">
      <c r="A134" s="39">
        <f>IF('3 - Carts &amp; Stands'!B134 = "", "", IF('3 - Carts &amp; Stands-WUO_ERR'!A134 = "", "Validated", HYPERLINK("#" &amp; ADDRESS(134, '3 - Carts &amp; Stands-WUO_TRK'!A134),_xlfn.TEXTAFTER('3 - Carts &amp; Stands-WUO_ERR'!A134, ":"))))</f>
        <v/>
      </c>
    </row>
    <row r="135">
      <c r="A135" s="39">
        <f>IF('3 - Carts &amp; Stands'!B135 = "", "", IF('3 - Carts &amp; Stands-WUO_ERR'!A135 = "", "Validated", HYPERLINK("#" &amp; ADDRESS(135, '3 - Carts &amp; Stands-WUO_TRK'!A135),_xlfn.TEXTAFTER('3 - Carts &amp; Stands-WUO_ERR'!A135, ":"))))</f>
        <v/>
      </c>
    </row>
    <row r="136">
      <c r="A136" s="39">
        <f>IF('3 - Carts &amp; Stands'!B136 = "", "", IF('3 - Carts &amp; Stands-WUO_ERR'!A136 = "", "Validated", HYPERLINK("#" &amp; ADDRESS(136, '3 - Carts &amp; Stands-WUO_TRK'!A136),_xlfn.TEXTAFTER('3 - Carts &amp; Stands-WUO_ERR'!A136, ":"))))</f>
        <v/>
      </c>
    </row>
    <row r="137">
      <c r="A137" s="39">
        <f>IF('3 - Carts &amp; Stands'!B137 = "", "", IF('3 - Carts &amp; Stands-WUO_ERR'!A137 = "", "Validated", HYPERLINK("#" &amp; ADDRESS(137, '3 - Carts &amp; Stands-WUO_TRK'!A137),_xlfn.TEXTAFTER('3 - Carts &amp; Stands-WUO_ERR'!A137, ":"))))</f>
        <v/>
      </c>
    </row>
    <row r="138">
      <c r="A138" s="39">
        <f>IF('3 - Carts &amp; Stands'!B138 = "", "", IF('3 - Carts &amp; Stands-WUO_ERR'!A138 = "", "Validated", HYPERLINK("#" &amp; ADDRESS(138, '3 - Carts &amp; Stands-WUO_TRK'!A138),_xlfn.TEXTAFTER('3 - Carts &amp; Stands-WUO_ERR'!A138, ":"))))</f>
        <v/>
      </c>
    </row>
    <row r="139">
      <c r="A139" s="39">
        <f>IF('3 - Carts &amp; Stands'!B139 = "", "", IF('3 - Carts &amp; Stands-WUO_ERR'!A139 = "", "Validated", HYPERLINK("#" &amp; ADDRESS(139, '3 - Carts &amp; Stands-WUO_TRK'!A139),_xlfn.TEXTAFTER('3 - Carts &amp; Stands-WUO_ERR'!A139, ":"))))</f>
        <v/>
      </c>
    </row>
    <row r="140">
      <c r="A140" s="39">
        <f>IF('3 - Carts &amp; Stands'!B140 = "", "", IF('3 - Carts &amp; Stands-WUO_ERR'!A140 = "", "Validated", HYPERLINK("#" &amp; ADDRESS(140, '3 - Carts &amp; Stands-WUO_TRK'!A140),_xlfn.TEXTAFTER('3 - Carts &amp; Stands-WUO_ERR'!A140, ":"))))</f>
        <v/>
      </c>
    </row>
    <row r="141">
      <c r="A141" s="39">
        <f>IF('3 - Carts &amp; Stands'!B141 = "", "", IF('3 - Carts &amp; Stands-WUO_ERR'!A141 = "", "Validated", HYPERLINK("#" &amp; ADDRESS(141, '3 - Carts &amp; Stands-WUO_TRK'!A141),_xlfn.TEXTAFTER('3 - Carts &amp; Stands-WUO_ERR'!A141, ":"))))</f>
        <v/>
      </c>
    </row>
    <row r="142">
      <c r="A142" s="39">
        <f>IF('3 - Carts &amp; Stands'!B142 = "", "", IF('3 - Carts &amp; Stands-WUO_ERR'!A142 = "", "Validated", HYPERLINK("#" &amp; ADDRESS(142, '3 - Carts &amp; Stands-WUO_TRK'!A142),_xlfn.TEXTAFTER('3 - Carts &amp; Stands-WUO_ERR'!A142, ":"))))</f>
        <v/>
      </c>
    </row>
    <row r="143">
      <c r="A143" s="39">
        <f>IF('3 - Carts &amp; Stands'!B143 = "", "", IF('3 - Carts &amp; Stands-WUO_ERR'!A143 = "", "Validated", HYPERLINK("#" &amp; ADDRESS(143, '3 - Carts &amp; Stands-WUO_TRK'!A143),_xlfn.TEXTAFTER('3 - Carts &amp; Stands-WUO_ERR'!A143, ":"))))</f>
        <v/>
      </c>
    </row>
    <row r="144">
      <c r="A144" s="39">
        <f>IF('3 - Carts &amp; Stands'!B144 = "", "", IF('3 - Carts &amp; Stands-WUO_ERR'!A144 = "", "Validated", HYPERLINK("#" &amp; ADDRESS(144, '3 - Carts &amp; Stands-WUO_TRK'!A144),_xlfn.TEXTAFTER('3 - Carts &amp; Stands-WUO_ERR'!A144, ":"))))</f>
        <v/>
      </c>
    </row>
    <row r="145">
      <c r="A145" s="39">
        <f>IF('3 - Carts &amp; Stands'!B145 = "", "", IF('3 - Carts &amp; Stands-WUO_ERR'!A145 = "", "Validated", HYPERLINK("#" &amp; ADDRESS(145, '3 - Carts &amp; Stands-WUO_TRK'!A145),_xlfn.TEXTAFTER('3 - Carts &amp; Stands-WUO_ERR'!A145, ":"))))</f>
        <v/>
      </c>
    </row>
    <row r="146">
      <c r="A146" s="39">
        <f>IF('3 - Carts &amp; Stands'!B146 = "", "", IF('3 - Carts &amp; Stands-WUO_ERR'!A146 = "", "Validated", HYPERLINK("#" &amp; ADDRESS(146, '3 - Carts &amp; Stands-WUO_TRK'!A146),_xlfn.TEXTAFTER('3 - Carts &amp; Stands-WUO_ERR'!A146, ":"))))</f>
        <v/>
      </c>
    </row>
    <row r="147">
      <c r="A147" s="39">
        <f>IF('3 - Carts &amp; Stands'!B147 = "", "", IF('3 - Carts &amp; Stands-WUO_ERR'!A147 = "", "Validated", HYPERLINK("#" &amp; ADDRESS(147, '3 - Carts &amp; Stands-WUO_TRK'!A147),_xlfn.TEXTAFTER('3 - Carts &amp; Stands-WUO_ERR'!A147, ":"))))</f>
        <v/>
      </c>
    </row>
    <row r="148">
      <c r="A148" s="39">
        <f>IF('3 - Carts &amp; Stands'!B148 = "", "", IF('3 - Carts &amp; Stands-WUO_ERR'!A148 = "", "Validated", HYPERLINK("#" &amp; ADDRESS(148, '3 - Carts &amp; Stands-WUO_TRK'!A148),_xlfn.TEXTAFTER('3 - Carts &amp; Stands-WUO_ERR'!A148, ":"))))</f>
        <v/>
      </c>
    </row>
    <row r="149">
      <c r="A149" s="39">
        <f>IF('3 - Carts &amp; Stands'!B149 = "", "", IF('3 - Carts &amp; Stands-WUO_ERR'!A149 = "", "Validated", HYPERLINK("#" &amp; ADDRESS(149, '3 - Carts &amp; Stands-WUO_TRK'!A149),_xlfn.TEXTAFTER('3 - Carts &amp; Stands-WUO_ERR'!A149, ":"))))</f>
        <v/>
      </c>
    </row>
    <row r="150">
      <c r="A150" s="39">
        <f>IF('3 - Carts &amp; Stands'!B150 = "", "", IF('3 - Carts &amp; Stands-WUO_ERR'!A150 = "", "Validated", HYPERLINK("#" &amp; ADDRESS(150, '3 - Carts &amp; Stands-WUO_TRK'!A150),_xlfn.TEXTAFTER('3 - Carts &amp; Stands-WUO_ERR'!A150, ":"))))</f>
        <v/>
      </c>
    </row>
    <row r="151">
      <c r="A151" s="39">
        <f>IF('3 - Carts &amp; Stands'!B151 = "", "", IF('3 - Carts &amp; Stands-WUO_ERR'!A151 = "", "Validated", HYPERLINK("#" &amp; ADDRESS(151, '3 - Carts &amp; Stands-WUO_TRK'!A151),_xlfn.TEXTAFTER('3 - Carts &amp; Stands-WUO_ERR'!A151, ":"))))</f>
        <v/>
      </c>
    </row>
    <row r="152">
      <c r="A152" s="39">
        <f>IF('3 - Carts &amp; Stands'!B152 = "", "", IF('3 - Carts &amp; Stands-WUO_ERR'!A152 = "", "Validated", HYPERLINK("#" &amp; ADDRESS(152, '3 - Carts &amp; Stands-WUO_TRK'!A152),_xlfn.TEXTAFTER('3 - Carts &amp; Stands-WUO_ERR'!A152, ":"))))</f>
        <v/>
      </c>
    </row>
    <row r="153">
      <c r="A153" s="39">
        <f>IF('3 - Carts &amp; Stands'!B153 = "", "", IF('3 - Carts &amp; Stands-WUO_ERR'!A153 = "", "Validated", HYPERLINK("#" &amp; ADDRESS(153, '3 - Carts &amp; Stands-WUO_TRK'!A153),_xlfn.TEXTAFTER('3 - Carts &amp; Stands-WUO_ERR'!A153, ":"))))</f>
        <v/>
      </c>
    </row>
    <row r="154">
      <c r="A154" s="39">
        <f>IF('3 - Carts &amp; Stands'!B154 = "", "", IF('3 - Carts &amp; Stands-WUO_ERR'!A154 = "", "Validated", HYPERLINK("#" &amp; ADDRESS(154, '3 - Carts &amp; Stands-WUO_TRK'!A154),_xlfn.TEXTAFTER('3 - Carts &amp; Stands-WUO_ERR'!A154, ":"))))</f>
        <v/>
      </c>
    </row>
    <row r="155">
      <c r="A155" s="39">
        <f>IF('3 - Carts &amp; Stands'!B155 = "", "", IF('3 - Carts &amp; Stands-WUO_ERR'!A155 = "", "Validated", HYPERLINK("#" &amp; ADDRESS(155, '3 - Carts &amp; Stands-WUO_TRK'!A155),_xlfn.TEXTAFTER('3 - Carts &amp; Stands-WUO_ERR'!A155, ":"))))</f>
        <v/>
      </c>
    </row>
    <row r="156">
      <c r="A156" s="39">
        <f>IF('3 - Carts &amp; Stands'!B156 = "", "", IF('3 - Carts &amp; Stands-WUO_ERR'!A156 = "", "Validated", HYPERLINK("#" &amp; ADDRESS(156, '3 - Carts &amp; Stands-WUO_TRK'!A156),_xlfn.TEXTAFTER('3 - Carts &amp; Stands-WUO_ERR'!A156, ":"))))</f>
        <v/>
      </c>
    </row>
    <row r="157">
      <c r="A157" s="39">
        <f>IF('3 - Carts &amp; Stands'!B157 = "", "", IF('3 - Carts &amp; Stands-WUO_ERR'!A157 = "", "Validated", HYPERLINK("#" &amp; ADDRESS(157, '3 - Carts &amp; Stands-WUO_TRK'!A157),_xlfn.TEXTAFTER('3 - Carts &amp; Stands-WUO_ERR'!A157, ":"))))</f>
        <v/>
      </c>
    </row>
    <row r="158">
      <c r="A158" s="39">
        <f>IF('3 - Carts &amp; Stands'!B158 = "", "", IF('3 - Carts &amp; Stands-WUO_ERR'!A158 = "", "Validated", HYPERLINK("#" &amp; ADDRESS(158, '3 - Carts &amp; Stands-WUO_TRK'!A158),_xlfn.TEXTAFTER('3 - Carts &amp; Stands-WUO_ERR'!A158, ":"))))</f>
        <v/>
      </c>
    </row>
    <row r="159">
      <c r="A159" s="39">
        <f>IF('3 - Carts &amp; Stands'!B159 = "", "", IF('3 - Carts &amp; Stands-WUO_ERR'!A159 = "", "Validated", HYPERLINK("#" &amp; ADDRESS(159, '3 - Carts &amp; Stands-WUO_TRK'!A159),_xlfn.TEXTAFTER('3 - Carts &amp; Stands-WUO_ERR'!A159, ":"))))</f>
        <v/>
      </c>
    </row>
    <row r="160">
      <c r="A160" s="39">
        <f>IF('3 - Carts &amp; Stands'!B160 = "", "", IF('3 - Carts &amp; Stands-WUO_ERR'!A160 = "", "Validated", HYPERLINK("#" &amp; ADDRESS(160, '3 - Carts &amp; Stands-WUO_TRK'!A160),_xlfn.TEXTAFTER('3 - Carts &amp; Stands-WUO_ERR'!A160, ":"))))</f>
        <v/>
      </c>
    </row>
    <row r="161">
      <c r="A161" s="39">
        <f>IF('3 - Carts &amp; Stands'!B161 = "", "", IF('3 - Carts &amp; Stands-WUO_ERR'!A161 = "", "Validated", HYPERLINK("#" &amp; ADDRESS(161, '3 - Carts &amp; Stands-WUO_TRK'!A161),_xlfn.TEXTAFTER('3 - Carts &amp; Stands-WUO_ERR'!A161, ":"))))</f>
        <v/>
      </c>
    </row>
    <row r="162">
      <c r="A162" s="39">
        <f>IF('3 - Carts &amp; Stands'!B162 = "", "", IF('3 - Carts &amp; Stands-WUO_ERR'!A162 = "", "Validated", HYPERLINK("#" &amp; ADDRESS(162, '3 - Carts &amp; Stands-WUO_TRK'!A162),_xlfn.TEXTAFTER('3 - Carts &amp; Stands-WUO_ERR'!A162, ":"))))</f>
        <v/>
      </c>
    </row>
    <row r="163">
      <c r="A163" s="39">
        <f>IF('3 - Carts &amp; Stands'!B163 = "", "", IF('3 - Carts &amp; Stands-WUO_ERR'!A163 = "", "Validated", HYPERLINK("#" &amp; ADDRESS(163, '3 - Carts &amp; Stands-WUO_TRK'!A163),_xlfn.TEXTAFTER('3 - Carts &amp; Stands-WUO_ERR'!A163, ":"))))</f>
        <v/>
      </c>
    </row>
    <row r="164">
      <c r="A164" s="39">
        <f>IF('3 - Carts &amp; Stands'!B164 = "", "", IF('3 - Carts &amp; Stands-WUO_ERR'!A164 = "", "Validated", HYPERLINK("#" &amp; ADDRESS(164, '3 - Carts &amp; Stands-WUO_TRK'!A164),_xlfn.TEXTAFTER('3 - Carts &amp; Stands-WUO_ERR'!A164, ":"))))</f>
        <v/>
      </c>
    </row>
    <row r="165">
      <c r="A165" s="39">
        <f>IF('3 - Carts &amp; Stands'!B165 = "", "", IF('3 - Carts &amp; Stands-WUO_ERR'!A165 = "", "Validated", HYPERLINK("#" &amp; ADDRESS(165, '3 - Carts &amp; Stands-WUO_TRK'!A165),_xlfn.TEXTAFTER('3 - Carts &amp; Stands-WUO_ERR'!A165, ":"))))</f>
        <v/>
      </c>
    </row>
    <row r="166">
      <c r="A166" s="39">
        <f>IF('3 - Carts &amp; Stands'!B166 = "", "", IF('3 - Carts &amp; Stands-WUO_ERR'!A166 = "", "Validated", HYPERLINK("#" &amp; ADDRESS(166, '3 - Carts &amp; Stands-WUO_TRK'!A166),_xlfn.TEXTAFTER('3 - Carts &amp; Stands-WUO_ERR'!A166, ":"))))</f>
        <v/>
      </c>
    </row>
    <row r="167">
      <c r="A167" s="39">
        <f>IF('3 - Carts &amp; Stands'!B167 = "", "", IF('3 - Carts &amp; Stands-WUO_ERR'!A167 = "", "Validated", HYPERLINK("#" &amp; ADDRESS(167, '3 - Carts &amp; Stands-WUO_TRK'!A167),_xlfn.TEXTAFTER('3 - Carts &amp; Stands-WUO_ERR'!A167, ":"))))</f>
        <v/>
      </c>
    </row>
    <row r="168">
      <c r="A168" s="39">
        <f>IF('3 - Carts &amp; Stands'!B168 = "", "", IF('3 - Carts &amp; Stands-WUO_ERR'!A168 = "", "Validated", HYPERLINK("#" &amp; ADDRESS(168, '3 - Carts &amp; Stands-WUO_TRK'!A168),_xlfn.TEXTAFTER('3 - Carts &amp; Stands-WUO_ERR'!A168, ":"))))</f>
        <v/>
      </c>
    </row>
    <row r="169">
      <c r="A169" s="39">
        <f>IF('3 - Carts &amp; Stands'!B169 = "", "", IF('3 - Carts &amp; Stands-WUO_ERR'!A169 = "", "Validated", HYPERLINK("#" &amp; ADDRESS(169, '3 - Carts &amp; Stands-WUO_TRK'!A169),_xlfn.TEXTAFTER('3 - Carts &amp; Stands-WUO_ERR'!A169, ":"))))</f>
        <v/>
      </c>
    </row>
    <row r="170">
      <c r="A170" s="39">
        <f>IF('3 - Carts &amp; Stands'!B170 = "", "", IF('3 - Carts &amp; Stands-WUO_ERR'!A170 = "", "Validated", HYPERLINK("#" &amp; ADDRESS(170, '3 - Carts &amp; Stands-WUO_TRK'!A170),_xlfn.TEXTAFTER('3 - Carts &amp; Stands-WUO_ERR'!A170, ":"))))</f>
        <v/>
      </c>
    </row>
    <row r="171">
      <c r="A171" s="39">
        <f>IF('3 - Carts &amp; Stands'!B171 = "", "", IF('3 - Carts &amp; Stands-WUO_ERR'!A171 = "", "Validated", HYPERLINK("#" &amp; ADDRESS(171, '3 - Carts &amp; Stands-WUO_TRK'!A171),_xlfn.TEXTAFTER('3 - Carts &amp; Stands-WUO_ERR'!A171, ":"))))</f>
        <v/>
      </c>
    </row>
    <row r="172">
      <c r="A172" s="39">
        <f>IF('3 - Carts &amp; Stands'!B172 = "", "", IF('3 - Carts &amp; Stands-WUO_ERR'!A172 = "", "Validated", HYPERLINK("#" &amp; ADDRESS(172, '3 - Carts &amp; Stands-WUO_TRK'!A172),_xlfn.TEXTAFTER('3 - Carts &amp; Stands-WUO_ERR'!A172, ":"))))</f>
        <v/>
      </c>
    </row>
    <row r="173">
      <c r="A173" s="39">
        <f>IF('3 - Carts &amp; Stands'!B173 = "", "", IF('3 - Carts &amp; Stands-WUO_ERR'!A173 = "", "Validated", HYPERLINK("#" &amp; ADDRESS(173, '3 - Carts &amp; Stands-WUO_TRK'!A173),_xlfn.TEXTAFTER('3 - Carts &amp; Stands-WUO_ERR'!A173, ":"))))</f>
        <v/>
      </c>
    </row>
    <row r="174">
      <c r="A174" s="39">
        <f>IF('3 - Carts &amp; Stands'!B174 = "", "", IF('3 - Carts &amp; Stands-WUO_ERR'!A174 = "", "Validated", HYPERLINK("#" &amp; ADDRESS(174, '3 - Carts &amp; Stands-WUO_TRK'!A174),_xlfn.TEXTAFTER('3 - Carts &amp; Stands-WUO_ERR'!A174, ":"))))</f>
        <v/>
      </c>
    </row>
    <row r="175">
      <c r="A175" s="39">
        <f>IF('3 - Carts &amp; Stands'!B175 = "", "", IF('3 - Carts &amp; Stands-WUO_ERR'!A175 = "", "Validated", HYPERLINK("#" &amp; ADDRESS(175, '3 - Carts &amp; Stands-WUO_TRK'!A175),_xlfn.TEXTAFTER('3 - Carts &amp; Stands-WUO_ERR'!A175, ":"))))</f>
        <v/>
      </c>
    </row>
    <row r="176">
      <c r="A176" s="39">
        <f>IF('3 - Carts &amp; Stands'!B176 = "", "", IF('3 - Carts &amp; Stands-WUO_ERR'!A176 = "", "Validated", HYPERLINK("#" &amp; ADDRESS(176, '3 - Carts &amp; Stands-WUO_TRK'!A176),_xlfn.TEXTAFTER('3 - Carts &amp; Stands-WUO_ERR'!A176, ":"))))</f>
        <v/>
      </c>
    </row>
    <row r="177">
      <c r="A177" s="39">
        <f>IF('3 - Carts &amp; Stands'!B177 = "", "", IF('3 - Carts &amp; Stands-WUO_ERR'!A177 = "", "Validated", HYPERLINK("#" &amp; ADDRESS(177, '3 - Carts &amp; Stands-WUO_TRK'!A177),_xlfn.TEXTAFTER('3 - Carts &amp; Stands-WUO_ERR'!A177, ":"))))</f>
        <v/>
      </c>
    </row>
    <row r="178">
      <c r="A178" s="39">
        <f>IF('3 - Carts &amp; Stands'!B178 = "", "", IF('3 - Carts &amp; Stands-WUO_ERR'!A178 = "", "Validated", HYPERLINK("#" &amp; ADDRESS(178, '3 - Carts &amp; Stands-WUO_TRK'!A178),_xlfn.TEXTAFTER('3 - Carts &amp; Stands-WUO_ERR'!A178, ":"))))</f>
        <v/>
      </c>
    </row>
    <row r="179">
      <c r="A179" s="39">
        <f>IF('3 - Carts &amp; Stands'!B179 = "", "", IF('3 - Carts &amp; Stands-WUO_ERR'!A179 = "", "Validated", HYPERLINK("#" &amp; ADDRESS(179, '3 - Carts &amp; Stands-WUO_TRK'!A179),_xlfn.TEXTAFTER('3 - Carts &amp; Stands-WUO_ERR'!A179, ":"))))</f>
        <v/>
      </c>
    </row>
    <row r="180">
      <c r="A180" s="39">
        <f>IF('3 - Carts &amp; Stands'!B180 = "", "", IF('3 - Carts &amp; Stands-WUO_ERR'!A180 = "", "Validated", HYPERLINK("#" &amp; ADDRESS(180, '3 - Carts &amp; Stands-WUO_TRK'!A180),_xlfn.TEXTAFTER('3 - Carts &amp; Stands-WUO_ERR'!A180, ":"))))</f>
        <v/>
      </c>
    </row>
    <row r="181">
      <c r="A181" s="39">
        <f>IF('3 - Carts &amp; Stands'!B181 = "", "", IF('3 - Carts &amp; Stands-WUO_ERR'!A181 = "", "Validated", HYPERLINK("#" &amp; ADDRESS(181, '3 - Carts &amp; Stands-WUO_TRK'!A181),_xlfn.TEXTAFTER('3 - Carts &amp; Stands-WUO_ERR'!A181, ":"))))</f>
        <v/>
      </c>
    </row>
    <row r="182">
      <c r="A182" s="39">
        <f>IF('3 - Carts &amp; Stands'!B182 = "", "", IF('3 - Carts &amp; Stands-WUO_ERR'!A182 = "", "Validated", HYPERLINK("#" &amp; ADDRESS(182, '3 - Carts &amp; Stands-WUO_TRK'!A182),_xlfn.TEXTAFTER('3 - Carts &amp; Stands-WUO_ERR'!A182, ":"))))</f>
        <v/>
      </c>
    </row>
    <row r="183">
      <c r="A183" s="39">
        <f>IF('3 - Carts &amp; Stands'!B183 = "", "", IF('3 - Carts &amp; Stands-WUO_ERR'!A183 = "", "Validated", HYPERLINK("#" &amp; ADDRESS(183, '3 - Carts &amp; Stands-WUO_TRK'!A183),_xlfn.TEXTAFTER('3 - Carts &amp; Stands-WUO_ERR'!A183, ":"))))</f>
        <v/>
      </c>
    </row>
    <row r="184">
      <c r="A184" s="39">
        <f>IF('3 - Carts &amp; Stands'!B184 = "", "", IF('3 - Carts &amp; Stands-WUO_ERR'!A184 = "", "Validated", HYPERLINK("#" &amp; ADDRESS(184, '3 - Carts &amp; Stands-WUO_TRK'!A184),_xlfn.TEXTAFTER('3 - Carts &amp; Stands-WUO_ERR'!A184, ":"))))</f>
        <v/>
      </c>
    </row>
    <row r="185">
      <c r="A185" s="39">
        <f>IF('3 - Carts &amp; Stands'!B185 = "", "", IF('3 - Carts &amp; Stands-WUO_ERR'!A185 = "", "Validated", HYPERLINK("#" &amp; ADDRESS(185, '3 - Carts &amp; Stands-WUO_TRK'!A185),_xlfn.TEXTAFTER('3 - Carts &amp; Stands-WUO_ERR'!A185, ":"))))</f>
        <v/>
      </c>
    </row>
    <row r="186">
      <c r="A186" s="39">
        <f>IF('3 - Carts &amp; Stands'!B186 = "", "", IF('3 - Carts &amp; Stands-WUO_ERR'!A186 = "", "Validated", HYPERLINK("#" &amp; ADDRESS(186, '3 - Carts &amp; Stands-WUO_TRK'!A186),_xlfn.TEXTAFTER('3 - Carts &amp; Stands-WUO_ERR'!A186, ":"))))</f>
        <v/>
      </c>
    </row>
    <row r="187">
      <c r="A187" s="39">
        <f>IF('3 - Carts &amp; Stands'!B187 = "", "", IF('3 - Carts &amp; Stands-WUO_ERR'!A187 = "", "Validated", HYPERLINK("#" &amp; ADDRESS(187, '3 - Carts &amp; Stands-WUO_TRK'!A187),_xlfn.TEXTAFTER('3 - Carts &amp; Stands-WUO_ERR'!A187, ":"))))</f>
        <v/>
      </c>
    </row>
    <row r="188">
      <c r="A188" s="39">
        <f>IF('3 - Carts &amp; Stands'!B188 = "", "", IF('3 - Carts &amp; Stands-WUO_ERR'!A188 = "", "Validated", HYPERLINK("#" &amp; ADDRESS(188, '3 - Carts &amp; Stands-WUO_TRK'!A188),_xlfn.TEXTAFTER('3 - Carts &amp; Stands-WUO_ERR'!A188, ":"))))</f>
        <v/>
      </c>
    </row>
    <row r="189">
      <c r="A189" s="39">
        <f>IF('3 - Carts &amp; Stands'!B189 = "", "", IF('3 - Carts &amp; Stands-WUO_ERR'!A189 = "", "Validated", HYPERLINK("#" &amp; ADDRESS(189, '3 - Carts &amp; Stands-WUO_TRK'!A189),_xlfn.TEXTAFTER('3 - Carts &amp; Stands-WUO_ERR'!A189, ":"))))</f>
        <v/>
      </c>
    </row>
    <row r="190">
      <c r="A190" s="39">
        <f>IF('3 - Carts &amp; Stands'!B190 = "", "", IF('3 - Carts &amp; Stands-WUO_ERR'!A190 = "", "Validated", HYPERLINK("#" &amp; ADDRESS(190, '3 - Carts &amp; Stands-WUO_TRK'!A190),_xlfn.TEXTAFTER('3 - Carts &amp; Stands-WUO_ERR'!A190, ":"))))</f>
        <v/>
      </c>
    </row>
    <row r="191">
      <c r="A191" s="39">
        <f>IF('3 - Carts &amp; Stands'!B191 = "", "", IF('3 - Carts &amp; Stands-WUO_ERR'!A191 = "", "Validated", HYPERLINK("#" &amp; ADDRESS(191, '3 - Carts &amp; Stands-WUO_TRK'!A191),_xlfn.TEXTAFTER('3 - Carts &amp; Stands-WUO_ERR'!A191, ":"))))</f>
        <v/>
      </c>
    </row>
    <row r="192">
      <c r="A192" s="39">
        <f>IF('3 - Carts &amp; Stands'!B192 = "", "", IF('3 - Carts &amp; Stands-WUO_ERR'!A192 = "", "Validated", HYPERLINK("#" &amp; ADDRESS(192, '3 - Carts &amp; Stands-WUO_TRK'!A192),_xlfn.TEXTAFTER('3 - Carts &amp; Stands-WUO_ERR'!A192, ":"))))</f>
        <v/>
      </c>
    </row>
    <row r="193">
      <c r="A193" s="39">
        <f>IF('3 - Carts &amp; Stands'!B193 = "", "", IF('3 - Carts &amp; Stands-WUO_ERR'!A193 = "", "Validated", HYPERLINK("#" &amp; ADDRESS(193, '3 - Carts &amp; Stands-WUO_TRK'!A193),_xlfn.TEXTAFTER('3 - Carts &amp; Stands-WUO_ERR'!A193, ":"))))</f>
        <v/>
      </c>
    </row>
    <row r="194">
      <c r="A194" s="39">
        <f>IF('3 - Carts &amp; Stands'!B194 = "", "", IF('3 - Carts &amp; Stands-WUO_ERR'!A194 = "", "Validated", HYPERLINK("#" &amp; ADDRESS(194, '3 - Carts &amp; Stands-WUO_TRK'!A194),_xlfn.TEXTAFTER('3 - Carts &amp; Stands-WUO_ERR'!A194, ":"))))</f>
        <v/>
      </c>
    </row>
    <row r="195">
      <c r="A195" s="39">
        <f>IF('3 - Carts &amp; Stands'!B195 = "", "", IF('3 - Carts &amp; Stands-WUO_ERR'!A195 = "", "Validated", HYPERLINK("#" &amp; ADDRESS(195, '3 - Carts &amp; Stands-WUO_TRK'!A195),_xlfn.TEXTAFTER('3 - Carts &amp; Stands-WUO_ERR'!A195, ":"))))</f>
        <v/>
      </c>
    </row>
    <row r="196">
      <c r="A196" s="39">
        <f>IF('3 - Carts &amp; Stands'!B196 = "", "", IF('3 - Carts &amp; Stands-WUO_ERR'!A196 = "", "Validated", HYPERLINK("#" &amp; ADDRESS(196, '3 - Carts &amp; Stands-WUO_TRK'!A196),_xlfn.TEXTAFTER('3 - Carts &amp; Stands-WUO_ERR'!A196, ":"))))</f>
        <v/>
      </c>
    </row>
    <row r="197">
      <c r="A197" s="39">
        <f>IF('3 - Carts &amp; Stands'!B197 = "", "", IF('3 - Carts &amp; Stands-WUO_ERR'!A197 = "", "Validated", HYPERLINK("#" &amp; ADDRESS(197, '3 - Carts &amp; Stands-WUO_TRK'!A197),_xlfn.TEXTAFTER('3 - Carts &amp; Stands-WUO_ERR'!A197, ":"))))</f>
        <v/>
      </c>
    </row>
    <row r="198">
      <c r="A198" s="39">
        <f>IF('3 - Carts &amp; Stands'!B198 = "", "", IF('3 - Carts &amp; Stands-WUO_ERR'!A198 = "", "Validated", HYPERLINK("#" &amp; ADDRESS(198, '3 - Carts &amp; Stands-WUO_TRK'!A198),_xlfn.TEXTAFTER('3 - Carts &amp; Stands-WUO_ERR'!A198, ":"))))</f>
        <v/>
      </c>
    </row>
    <row r="199">
      <c r="A199" s="39">
        <f>IF('3 - Carts &amp; Stands'!B199 = "", "", IF('3 - Carts &amp; Stands-WUO_ERR'!A199 = "", "Validated", HYPERLINK("#" &amp; ADDRESS(199, '3 - Carts &amp; Stands-WUO_TRK'!A199),_xlfn.TEXTAFTER('3 - Carts &amp; Stands-WUO_ERR'!A199, ":"))))</f>
        <v/>
      </c>
    </row>
    <row r="200">
      <c r="A200" s="39">
        <f>IF('3 - Carts &amp; Stands'!B200 = "", "", IF('3 - Carts &amp; Stands-WUO_ERR'!A200 = "", "Validated", HYPERLINK("#" &amp; ADDRESS(200, '3 - Carts &amp; Stands-WUO_TRK'!A200),_xlfn.TEXTAFTER('3 - Carts &amp; Stands-WUO_ERR'!A200, ":"))))</f>
        <v/>
      </c>
    </row>
    <row r="201">
      <c r="A201" s="39">
        <f>IF('3 - Carts &amp; Stands'!B201 = "", "", IF('3 - Carts &amp; Stands-WUO_ERR'!A201 = "", "Validated", HYPERLINK("#" &amp; ADDRESS(201, '3 - Carts &amp; Stands-WUO_TRK'!A201),_xlfn.TEXTAFTER('3 - Carts &amp; Stands-WUO_ERR'!A201, ":"))))</f>
        <v/>
      </c>
    </row>
    <row r="202">
      <c r="A202" s="39">
        <f>IF('3 - Carts &amp; Stands'!B202 = "", "", IF('3 - Carts &amp; Stands-WUO_ERR'!A202 = "", "Validated", HYPERLINK("#" &amp; ADDRESS(202, '3 - Carts &amp; Stands-WUO_TRK'!A202),_xlfn.TEXTAFTER('3 - Carts &amp; Stands-WUO_ERR'!A202, ":"))))</f>
        <v/>
      </c>
    </row>
    <row r="203">
      <c r="A203" s="39">
        <f>IF('3 - Carts &amp; Stands'!B203 = "", "", IF('3 - Carts &amp; Stands-WUO_ERR'!A203 = "", "Validated", HYPERLINK("#" &amp; ADDRESS(203, '3 - Carts &amp; Stands-WUO_TRK'!A203),_xlfn.TEXTAFTER('3 - Carts &amp; Stands-WUO_ERR'!A203, ":"))))</f>
        <v/>
      </c>
    </row>
    <row r="204">
      <c r="A204" s="39">
        <f>IF('3 - Carts &amp; Stands'!B204 = "", "", IF('3 - Carts &amp; Stands-WUO_ERR'!A204 = "", "Validated", HYPERLINK("#" &amp; ADDRESS(204, '3 - Carts &amp; Stands-WUO_TRK'!A204),_xlfn.TEXTAFTER('3 - Carts &amp; Stands-WUO_ERR'!A204, ":"))))</f>
        <v/>
      </c>
    </row>
    <row r="205">
      <c r="A205" s="39">
        <f>IF('3 - Carts &amp; Stands'!B205 = "", "", IF('3 - Carts &amp; Stands-WUO_ERR'!A205 = "", "Validated", HYPERLINK("#" &amp; ADDRESS(205, '3 - Carts &amp; Stands-WUO_TRK'!A205),_xlfn.TEXTAFTER('3 - Carts &amp; Stands-WUO_ERR'!A205, ":"))))</f>
        <v/>
      </c>
    </row>
    <row r="206">
      <c r="A206" s="39">
        <f>IF('3 - Carts &amp; Stands'!B206 = "", "", IF('3 - Carts &amp; Stands-WUO_ERR'!A206 = "", "Validated", HYPERLINK("#" &amp; ADDRESS(206, '3 - Carts &amp; Stands-WUO_TRK'!A206),_xlfn.TEXTAFTER('3 - Carts &amp; Stands-WUO_ERR'!A206, ":"))))</f>
        <v/>
      </c>
    </row>
    <row r="207">
      <c r="A207" s="39">
        <f>IF('3 - Carts &amp; Stands'!B207 = "", "", IF('3 - Carts &amp; Stands-WUO_ERR'!A207 = "", "Validated", HYPERLINK("#" &amp; ADDRESS(207, '3 - Carts &amp; Stands-WUO_TRK'!A207),_xlfn.TEXTAFTER('3 - Carts &amp; Stands-WUO_ERR'!A207, ":"))))</f>
        <v/>
      </c>
    </row>
    <row r="208">
      <c r="A208" s="39">
        <f>IF('3 - Carts &amp; Stands'!B208 = "", "", IF('3 - Carts &amp; Stands-WUO_ERR'!A208 = "", "Validated", HYPERLINK("#" &amp; ADDRESS(208, '3 - Carts &amp; Stands-WUO_TRK'!A208),_xlfn.TEXTAFTER('3 - Carts &amp; Stands-WUO_ERR'!A208, ":"))))</f>
        <v/>
      </c>
    </row>
    <row r="209">
      <c r="A209" s="39">
        <f>IF('3 - Carts &amp; Stands'!B209 = "", "", IF('3 - Carts &amp; Stands-WUO_ERR'!A209 = "", "Validated", HYPERLINK("#" &amp; ADDRESS(209, '3 - Carts &amp; Stands-WUO_TRK'!A209),_xlfn.TEXTAFTER('3 - Carts &amp; Stands-WUO_ERR'!A209, ":"))))</f>
        <v/>
      </c>
    </row>
    <row r="210">
      <c r="A210" s="39">
        <f>IF('3 - Carts &amp; Stands'!B210 = "", "", IF('3 - Carts &amp; Stands-WUO_ERR'!A210 = "", "Validated", HYPERLINK("#" &amp; ADDRESS(210, '3 - Carts &amp; Stands-WUO_TRK'!A210),_xlfn.TEXTAFTER('3 - Carts &amp; Stands-WUO_ERR'!A210, ":"))))</f>
        <v/>
      </c>
    </row>
    <row r="211">
      <c r="A211" s="39">
        <f>IF('3 - Carts &amp; Stands'!B211 = "", "", IF('3 - Carts &amp; Stands-WUO_ERR'!A211 = "", "Validated", HYPERLINK("#" &amp; ADDRESS(211, '3 - Carts &amp; Stands-WUO_TRK'!A211),_xlfn.TEXTAFTER('3 - Carts &amp; Stands-WUO_ERR'!A211, ":"))))</f>
        <v/>
      </c>
    </row>
    <row r="212">
      <c r="A212" s="39">
        <f>IF('3 - Carts &amp; Stands'!B212 = "", "", IF('3 - Carts &amp; Stands-WUO_ERR'!A212 = "", "Validated", HYPERLINK("#" &amp; ADDRESS(212, '3 - Carts &amp; Stands-WUO_TRK'!A212),_xlfn.TEXTAFTER('3 - Carts &amp; Stands-WUO_ERR'!A212, ":"))))</f>
        <v/>
      </c>
    </row>
    <row r="213">
      <c r="A213" s="39">
        <f>IF('3 - Carts &amp; Stands'!B213 = "", "", IF('3 - Carts &amp; Stands-WUO_ERR'!A213 = "", "Validated", HYPERLINK("#" &amp; ADDRESS(213, '3 - Carts &amp; Stands-WUO_TRK'!A213),_xlfn.TEXTAFTER('3 - Carts &amp; Stands-WUO_ERR'!A213, ":"))))</f>
        <v/>
      </c>
    </row>
    <row r="214">
      <c r="A214" s="39">
        <f>IF('3 - Carts &amp; Stands'!B214 = "", "", IF('3 - Carts &amp; Stands-WUO_ERR'!A214 = "", "Validated", HYPERLINK("#" &amp; ADDRESS(214, '3 - Carts &amp; Stands-WUO_TRK'!A214),_xlfn.TEXTAFTER('3 - Carts &amp; Stands-WUO_ERR'!A214, ":"))))</f>
        <v/>
      </c>
    </row>
    <row r="215">
      <c r="A215" s="39">
        <f>IF('3 - Carts &amp; Stands'!B215 = "", "", IF('3 - Carts &amp; Stands-WUO_ERR'!A215 = "", "Validated", HYPERLINK("#" &amp; ADDRESS(215, '3 - Carts &amp; Stands-WUO_TRK'!A215),_xlfn.TEXTAFTER('3 - Carts &amp; Stands-WUO_ERR'!A215, ":"))))</f>
        <v/>
      </c>
    </row>
    <row r="216">
      <c r="A216" s="39">
        <f>IF('3 - Carts &amp; Stands'!B216 = "", "", IF('3 - Carts &amp; Stands-WUO_ERR'!A216 = "", "Validated", HYPERLINK("#" &amp; ADDRESS(216, '3 - Carts &amp; Stands-WUO_TRK'!A216),_xlfn.TEXTAFTER('3 - Carts &amp; Stands-WUO_ERR'!A216, ":"))))</f>
        <v/>
      </c>
    </row>
    <row r="217">
      <c r="A217" s="39">
        <f>IF('3 - Carts &amp; Stands'!B217 = "", "", IF('3 - Carts &amp; Stands-WUO_ERR'!A217 = "", "Validated", HYPERLINK("#" &amp; ADDRESS(217, '3 - Carts &amp; Stands-WUO_TRK'!A217),_xlfn.TEXTAFTER('3 - Carts &amp; Stands-WUO_ERR'!A217, ":"))))</f>
        <v/>
      </c>
    </row>
    <row r="218">
      <c r="A218" s="39">
        <f>IF('3 - Carts &amp; Stands'!B218 = "", "", IF('3 - Carts &amp; Stands-WUO_ERR'!A218 = "", "Validated", HYPERLINK("#" &amp; ADDRESS(218, '3 - Carts &amp; Stands-WUO_TRK'!A218),_xlfn.TEXTAFTER('3 - Carts &amp; Stands-WUO_ERR'!A218, ":"))))</f>
        <v/>
      </c>
    </row>
    <row r="219">
      <c r="A219" s="39">
        <f>IF('3 - Carts &amp; Stands'!B219 = "", "", IF('3 - Carts &amp; Stands-WUO_ERR'!A219 = "", "Validated", HYPERLINK("#" &amp; ADDRESS(219, '3 - Carts &amp; Stands-WUO_TRK'!A219),_xlfn.TEXTAFTER('3 - Carts &amp; Stands-WUO_ERR'!A219, ":"))))</f>
        <v/>
      </c>
    </row>
    <row r="220">
      <c r="A220" s="39">
        <f>IF('3 - Carts &amp; Stands'!B220 = "", "", IF('3 - Carts &amp; Stands-WUO_ERR'!A220 = "", "Validated", HYPERLINK("#" &amp; ADDRESS(220, '3 - Carts &amp; Stands-WUO_TRK'!A220),_xlfn.TEXTAFTER('3 - Carts &amp; Stands-WUO_ERR'!A220, ":"))))</f>
        <v/>
      </c>
    </row>
    <row r="221">
      <c r="A221" s="39">
        <f>IF('3 - Carts &amp; Stands'!B221 = "", "", IF('3 - Carts &amp; Stands-WUO_ERR'!A221 = "", "Validated", HYPERLINK("#" &amp; ADDRESS(221, '3 - Carts &amp; Stands-WUO_TRK'!A221),_xlfn.TEXTAFTER('3 - Carts &amp; Stands-WUO_ERR'!A221, ":"))))</f>
        <v/>
      </c>
    </row>
    <row r="222">
      <c r="A222" s="39">
        <f>IF('3 - Carts &amp; Stands'!B222 = "", "", IF('3 - Carts &amp; Stands-WUO_ERR'!A222 = "", "Validated", HYPERLINK("#" &amp; ADDRESS(222, '3 - Carts &amp; Stands-WUO_TRK'!A222),_xlfn.TEXTAFTER('3 - Carts &amp; Stands-WUO_ERR'!A222, ":"))))</f>
        <v/>
      </c>
    </row>
    <row r="223">
      <c r="A223" s="39">
        <f>IF('3 - Carts &amp; Stands'!B223 = "", "", IF('3 - Carts &amp; Stands-WUO_ERR'!A223 = "", "Validated", HYPERLINK("#" &amp; ADDRESS(223, '3 - Carts &amp; Stands-WUO_TRK'!A223),_xlfn.TEXTAFTER('3 - Carts &amp; Stands-WUO_ERR'!A223, ":"))))</f>
        <v/>
      </c>
    </row>
    <row r="224">
      <c r="A224" s="39">
        <f>IF('3 - Carts &amp; Stands'!B224 = "", "", IF('3 - Carts &amp; Stands-WUO_ERR'!A224 = "", "Validated", HYPERLINK("#" &amp; ADDRESS(224, '3 - Carts &amp; Stands-WUO_TRK'!A224),_xlfn.TEXTAFTER('3 - Carts &amp; Stands-WUO_ERR'!A224, ":"))))</f>
        <v/>
      </c>
    </row>
    <row r="225">
      <c r="A225" s="39">
        <f>IF('3 - Carts &amp; Stands'!B225 = "", "", IF('3 - Carts &amp; Stands-WUO_ERR'!A225 = "", "Validated", HYPERLINK("#" &amp; ADDRESS(225, '3 - Carts &amp; Stands-WUO_TRK'!A225),_xlfn.TEXTAFTER('3 - Carts &amp; Stands-WUO_ERR'!A225, ":"))))</f>
        <v/>
      </c>
    </row>
    <row r="226">
      <c r="A226" s="39">
        <f>IF('3 - Carts &amp; Stands'!B226 = "", "", IF('3 - Carts &amp; Stands-WUO_ERR'!A226 = "", "Validated", HYPERLINK("#" &amp; ADDRESS(226, '3 - Carts &amp; Stands-WUO_TRK'!A226),_xlfn.TEXTAFTER('3 - Carts &amp; Stands-WUO_ERR'!A226, ":"))))</f>
        <v/>
      </c>
    </row>
    <row r="227">
      <c r="A227" s="39">
        <f>IF('3 - Carts &amp; Stands'!B227 = "", "", IF('3 - Carts &amp; Stands-WUO_ERR'!A227 = "", "Validated", HYPERLINK("#" &amp; ADDRESS(227, '3 - Carts &amp; Stands-WUO_TRK'!A227),_xlfn.TEXTAFTER('3 - Carts &amp; Stands-WUO_ERR'!A227, ":"))))</f>
        <v/>
      </c>
    </row>
    <row r="228">
      <c r="A228" s="39">
        <f>IF('3 - Carts &amp; Stands'!B228 = "", "", IF('3 - Carts &amp; Stands-WUO_ERR'!A228 = "", "Validated", HYPERLINK("#" &amp; ADDRESS(228, '3 - Carts &amp; Stands-WUO_TRK'!A228),_xlfn.TEXTAFTER('3 - Carts &amp; Stands-WUO_ERR'!A228, ":"))))</f>
        <v/>
      </c>
    </row>
    <row r="229">
      <c r="A229" s="39">
        <f>IF('3 - Carts &amp; Stands'!B229 = "", "", IF('3 - Carts &amp; Stands-WUO_ERR'!A229 = "", "Validated", HYPERLINK("#" &amp; ADDRESS(229, '3 - Carts &amp; Stands-WUO_TRK'!A229),_xlfn.TEXTAFTER('3 - Carts &amp; Stands-WUO_ERR'!A229, ":"))))</f>
        <v/>
      </c>
    </row>
    <row r="230">
      <c r="A230" s="39">
        <f>IF('3 - Carts &amp; Stands'!B230 = "", "", IF('3 - Carts &amp; Stands-WUO_ERR'!A230 = "", "Validated", HYPERLINK("#" &amp; ADDRESS(230, '3 - Carts &amp; Stands-WUO_TRK'!A230),_xlfn.TEXTAFTER('3 - Carts &amp; Stands-WUO_ERR'!A230, ":"))))</f>
        <v/>
      </c>
    </row>
    <row r="231">
      <c r="A231" s="39">
        <f>IF('3 - Carts &amp; Stands'!B231 = "", "", IF('3 - Carts &amp; Stands-WUO_ERR'!A231 = "", "Validated", HYPERLINK("#" &amp; ADDRESS(231, '3 - Carts &amp; Stands-WUO_TRK'!A231),_xlfn.TEXTAFTER('3 - Carts &amp; Stands-WUO_ERR'!A231, ":"))))</f>
        <v/>
      </c>
    </row>
    <row r="232">
      <c r="A232" s="39">
        <f>IF('3 - Carts &amp; Stands'!B232 = "", "", IF('3 - Carts &amp; Stands-WUO_ERR'!A232 = "", "Validated", HYPERLINK("#" &amp; ADDRESS(232, '3 - Carts &amp; Stands-WUO_TRK'!A232),_xlfn.TEXTAFTER('3 - Carts &amp; Stands-WUO_ERR'!A232, ":"))))</f>
        <v/>
      </c>
    </row>
    <row r="233">
      <c r="A233" s="39">
        <f>IF('3 - Carts &amp; Stands'!B233 = "", "", IF('3 - Carts &amp; Stands-WUO_ERR'!A233 = "", "Validated", HYPERLINK("#" &amp; ADDRESS(233, '3 - Carts &amp; Stands-WUO_TRK'!A233),_xlfn.TEXTAFTER('3 - Carts &amp; Stands-WUO_ERR'!A233, ":"))))</f>
        <v/>
      </c>
    </row>
    <row r="234">
      <c r="A234" s="39">
        <f>IF('3 - Carts &amp; Stands'!B234 = "", "", IF('3 - Carts &amp; Stands-WUO_ERR'!A234 = "", "Validated", HYPERLINK("#" &amp; ADDRESS(234, '3 - Carts &amp; Stands-WUO_TRK'!A234),_xlfn.TEXTAFTER('3 - Carts &amp; Stands-WUO_ERR'!A234, ":"))))</f>
        <v/>
      </c>
    </row>
    <row r="235">
      <c r="A235" s="39">
        <f>IF('3 - Carts &amp; Stands'!B235 = "", "", IF('3 - Carts &amp; Stands-WUO_ERR'!A235 = "", "Validated", HYPERLINK("#" &amp; ADDRESS(235, '3 - Carts &amp; Stands-WUO_TRK'!A235),_xlfn.TEXTAFTER('3 - Carts &amp; Stands-WUO_ERR'!A235, ":"))))</f>
        <v/>
      </c>
    </row>
    <row r="236">
      <c r="A236" s="39">
        <f>IF('3 - Carts &amp; Stands'!B236 = "", "", IF('3 - Carts &amp; Stands-WUO_ERR'!A236 = "", "Validated", HYPERLINK("#" &amp; ADDRESS(236, '3 - Carts &amp; Stands-WUO_TRK'!A236),_xlfn.TEXTAFTER('3 - Carts &amp; Stands-WUO_ERR'!A236, ":"))))</f>
        <v/>
      </c>
    </row>
    <row r="237">
      <c r="A237" s="39">
        <f>IF('3 - Carts &amp; Stands'!B237 = "", "", IF('3 - Carts &amp; Stands-WUO_ERR'!A237 = "", "Validated", HYPERLINK("#" &amp; ADDRESS(237, '3 - Carts &amp; Stands-WUO_TRK'!A237),_xlfn.TEXTAFTER('3 - Carts &amp; Stands-WUO_ERR'!A237, ":"))))</f>
        <v/>
      </c>
    </row>
    <row r="238">
      <c r="A238" s="39">
        <f>IF('3 - Carts &amp; Stands'!B238 = "", "", IF('3 - Carts &amp; Stands-WUO_ERR'!A238 = "", "Validated", HYPERLINK("#" &amp; ADDRESS(238, '3 - Carts &amp; Stands-WUO_TRK'!A238),_xlfn.TEXTAFTER('3 - Carts &amp; Stands-WUO_ERR'!A238, ":"))))</f>
        <v/>
      </c>
    </row>
    <row r="239">
      <c r="A239" s="39">
        <f>IF('3 - Carts &amp; Stands'!B239 = "", "", IF('3 - Carts &amp; Stands-WUO_ERR'!A239 = "", "Validated", HYPERLINK("#" &amp; ADDRESS(239, '3 - Carts &amp; Stands-WUO_TRK'!A239),_xlfn.TEXTAFTER('3 - Carts &amp; Stands-WUO_ERR'!A239, ":"))))</f>
        <v/>
      </c>
    </row>
    <row r="240">
      <c r="A240" s="39">
        <f>IF('3 - Carts &amp; Stands'!B240 = "", "", IF('3 - Carts &amp; Stands-WUO_ERR'!A240 = "", "Validated", HYPERLINK("#" &amp; ADDRESS(240, '3 - Carts &amp; Stands-WUO_TRK'!A240),_xlfn.TEXTAFTER('3 - Carts &amp; Stands-WUO_ERR'!A240, ":"))))</f>
        <v/>
      </c>
    </row>
    <row r="241">
      <c r="A241" s="39">
        <f>IF('3 - Carts &amp; Stands'!B241 = "", "", IF('3 - Carts &amp; Stands-WUO_ERR'!A241 = "", "Validated", HYPERLINK("#" &amp; ADDRESS(241, '3 - Carts &amp; Stands-WUO_TRK'!A241),_xlfn.TEXTAFTER('3 - Carts &amp; Stands-WUO_ERR'!A241, ":"))))</f>
        <v/>
      </c>
    </row>
    <row r="242">
      <c r="A242" s="39">
        <f>IF('3 - Carts &amp; Stands'!B242 = "", "", IF('3 - Carts &amp; Stands-WUO_ERR'!A242 = "", "Validated", HYPERLINK("#" &amp; ADDRESS(242, '3 - Carts &amp; Stands-WUO_TRK'!A242),_xlfn.TEXTAFTER('3 - Carts &amp; Stands-WUO_ERR'!A242, ":"))))</f>
        <v/>
      </c>
    </row>
    <row r="243">
      <c r="A243" s="39">
        <f>IF('3 - Carts &amp; Stands'!B243 = "", "", IF('3 - Carts &amp; Stands-WUO_ERR'!A243 = "", "Validated", HYPERLINK("#" &amp; ADDRESS(243, '3 - Carts &amp; Stands-WUO_TRK'!A243),_xlfn.TEXTAFTER('3 - Carts &amp; Stands-WUO_ERR'!A243, ":"))))</f>
        <v/>
      </c>
    </row>
    <row r="244">
      <c r="A244" s="39">
        <f>IF('3 - Carts &amp; Stands'!B244 = "", "", IF('3 - Carts &amp; Stands-WUO_ERR'!A244 = "", "Validated", HYPERLINK("#" &amp; ADDRESS(244, '3 - Carts &amp; Stands-WUO_TRK'!A244),_xlfn.TEXTAFTER('3 - Carts &amp; Stands-WUO_ERR'!A244, ":"))))</f>
        <v/>
      </c>
    </row>
    <row r="245">
      <c r="A245" s="39">
        <f>IF('3 - Carts &amp; Stands'!B245 = "", "", IF('3 - Carts &amp; Stands-WUO_ERR'!A245 = "", "Validated", HYPERLINK("#" &amp; ADDRESS(245, '3 - Carts &amp; Stands-WUO_TRK'!A245),_xlfn.TEXTAFTER('3 - Carts &amp; Stands-WUO_ERR'!A245, ":"))))</f>
        <v/>
      </c>
    </row>
    <row r="246">
      <c r="A246" s="39">
        <f>IF('3 - Carts &amp; Stands'!B246 = "", "", IF('3 - Carts &amp; Stands-WUO_ERR'!A246 = "", "Validated", HYPERLINK("#" &amp; ADDRESS(246, '3 - Carts &amp; Stands-WUO_TRK'!A246),_xlfn.TEXTAFTER('3 - Carts &amp; Stands-WUO_ERR'!A246, ":"))))</f>
        <v/>
      </c>
    </row>
    <row r="247">
      <c r="A247" s="39">
        <f>IF('3 - Carts &amp; Stands'!B247 = "", "", IF('3 - Carts &amp; Stands-WUO_ERR'!A247 = "", "Validated", HYPERLINK("#" &amp; ADDRESS(247, '3 - Carts &amp; Stands-WUO_TRK'!A247),_xlfn.TEXTAFTER('3 - Carts &amp; Stands-WUO_ERR'!A247, ":"))))</f>
        <v/>
      </c>
    </row>
    <row r="248">
      <c r="A248" s="39">
        <f>IF('3 - Carts &amp; Stands'!B248 = "", "", IF('3 - Carts &amp; Stands-WUO_ERR'!A248 = "", "Validated", HYPERLINK("#" &amp; ADDRESS(248, '3 - Carts &amp; Stands-WUO_TRK'!A248),_xlfn.TEXTAFTER('3 - Carts &amp; Stands-WUO_ERR'!A248, ":"))))</f>
        <v/>
      </c>
    </row>
    <row r="249">
      <c r="A249" s="39">
        <f>IF('3 - Carts &amp; Stands'!B249 = "", "", IF('3 - Carts &amp; Stands-WUO_ERR'!A249 = "", "Validated", HYPERLINK("#" &amp; ADDRESS(249, '3 - Carts &amp; Stands-WUO_TRK'!A249),_xlfn.TEXTAFTER('3 - Carts &amp; Stands-WUO_ERR'!A249, ":"))))</f>
        <v/>
      </c>
    </row>
    <row r="250">
      <c r="A250" s="39">
        <f>IF('3 - Carts &amp; Stands'!B250 = "", "", IF('3 - Carts &amp; Stands-WUO_ERR'!A250 = "", "Validated", HYPERLINK("#" &amp; ADDRESS(250, '3 - Carts &amp; Stands-WUO_TRK'!A250),_xlfn.TEXTAFTER('3 - Carts &amp; Stands-WUO_ERR'!A250, ":"))))</f>
        <v/>
      </c>
    </row>
    <row r="251">
      <c r="A251" s="39">
        <f>IF('3 - Carts &amp; Stands'!B251 = "", "", IF('3 - Carts &amp; Stands-WUO_ERR'!A251 = "", "Validated", HYPERLINK("#" &amp; ADDRESS(251, '3 - Carts &amp; Stands-WUO_TRK'!A251),_xlfn.TEXTAFTER('3 - Carts &amp; Stands-WUO_ERR'!A251, ":"))))</f>
        <v/>
      </c>
    </row>
    <row r="252">
      <c r="A252" s="39">
        <f>IF('3 - Carts &amp; Stands'!B252 = "", "", IF('3 - Carts &amp; Stands-WUO_ERR'!A252 = "", "Validated", HYPERLINK("#" &amp; ADDRESS(252, '3 - Carts &amp; Stands-WUO_TRK'!A252),_xlfn.TEXTAFTER('3 - Carts &amp; Stands-WUO_ERR'!A252, ":"))))</f>
        <v/>
      </c>
    </row>
    <row r="253">
      <c r="A253" s="39">
        <f>IF('3 - Carts &amp; Stands'!B253 = "", "", IF('3 - Carts &amp; Stands-WUO_ERR'!A253 = "", "Validated", HYPERLINK("#" &amp; ADDRESS(253, '3 - Carts &amp; Stands-WUO_TRK'!A253),_xlfn.TEXTAFTER('3 - Carts &amp; Stands-WUO_ERR'!A253, ":"))))</f>
        <v/>
      </c>
    </row>
    <row r="254">
      <c r="A254" s="39">
        <f>IF('3 - Carts &amp; Stands'!B254 = "", "", IF('3 - Carts &amp; Stands-WUO_ERR'!A254 = "", "Validated", HYPERLINK("#" &amp; ADDRESS(254, '3 - Carts &amp; Stands-WUO_TRK'!A254),_xlfn.TEXTAFTER('3 - Carts &amp; Stands-WUO_ERR'!A254, ":"))))</f>
        <v/>
      </c>
    </row>
    <row r="255">
      <c r="A255" s="39">
        <f>IF('3 - Carts &amp; Stands'!B255 = "", "", IF('3 - Carts &amp; Stands-WUO_ERR'!A255 = "", "Validated", HYPERLINK("#" &amp; ADDRESS(255, '3 - Carts &amp; Stands-WUO_TRK'!A255),_xlfn.TEXTAFTER('3 - Carts &amp; Stands-WUO_ERR'!A255, ":"))))</f>
        <v/>
      </c>
    </row>
    <row r="256">
      <c r="A256" s="39">
        <f>IF('3 - Carts &amp; Stands'!B256 = "", "", IF('3 - Carts &amp; Stands-WUO_ERR'!A256 = "", "Validated", HYPERLINK("#" &amp; ADDRESS(256, '3 - Carts &amp; Stands-WUO_TRK'!A256),_xlfn.TEXTAFTER('3 - Carts &amp; Stands-WUO_ERR'!A256, ":"))))</f>
        <v/>
      </c>
    </row>
    <row r="257">
      <c r="A257" s="39">
        <f>IF('3 - Carts &amp; Stands'!B257 = "", "", IF('3 - Carts &amp; Stands-WUO_ERR'!A257 = "", "Validated", HYPERLINK("#" &amp; ADDRESS(257, '3 - Carts &amp; Stands-WUO_TRK'!A257),_xlfn.TEXTAFTER('3 - Carts &amp; Stands-WUO_ERR'!A257, ":"))))</f>
        <v/>
      </c>
    </row>
    <row r="258">
      <c r="A258" s="39">
        <f>IF('3 - Carts &amp; Stands'!B258 = "", "", IF('3 - Carts &amp; Stands-WUO_ERR'!A258 = "", "Validated", HYPERLINK("#" &amp; ADDRESS(258, '3 - Carts &amp; Stands-WUO_TRK'!A258),_xlfn.TEXTAFTER('3 - Carts &amp; Stands-WUO_ERR'!A258, ":"))))</f>
        <v/>
      </c>
    </row>
    <row r="259">
      <c r="A259" s="39">
        <f>IF('3 - Carts &amp; Stands'!B259 = "", "", IF('3 - Carts &amp; Stands-WUO_ERR'!A259 = "", "Validated", HYPERLINK("#" &amp; ADDRESS(259, '3 - Carts &amp; Stands-WUO_TRK'!A259),_xlfn.TEXTAFTER('3 - Carts &amp; Stands-WUO_ERR'!A259, ":"))))</f>
        <v/>
      </c>
    </row>
    <row r="260">
      <c r="A260" s="39">
        <f>IF('3 - Carts &amp; Stands'!B260 = "", "", IF('3 - Carts &amp; Stands-WUO_ERR'!A260 = "", "Validated", HYPERLINK("#" &amp; ADDRESS(260, '3 - Carts &amp; Stands-WUO_TRK'!A260),_xlfn.TEXTAFTER('3 - Carts &amp; Stands-WUO_ERR'!A260, ":"))))</f>
        <v/>
      </c>
    </row>
    <row r="261">
      <c r="A261" s="39">
        <f>IF('3 - Carts &amp; Stands'!B261 = "", "", IF('3 - Carts &amp; Stands-WUO_ERR'!A261 = "", "Validated", HYPERLINK("#" &amp; ADDRESS(261, '3 - Carts &amp; Stands-WUO_TRK'!A261),_xlfn.TEXTAFTER('3 - Carts &amp; Stands-WUO_ERR'!A261, ":"))))</f>
        <v/>
      </c>
    </row>
    <row r="262">
      <c r="A262" s="39">
        <f>IF('3 - Carts &amp; Stands'!B262 = "", "", IF('3 - Carts &amp; Stands-WUO_ERR'!A262 = "", "Validated", HYPERLINK("#" &amp; ADDRESS(262, '3 - Carts &amp; Stands-WUO_TRK'!A262),_xlfn.TEXTAFTER('3 - Carts &amp; Stands-WUO_ERR'!A262, ":"))))</f>
        <v/>
      </c>
    </row>
    <row r="263">
      <c r="A263" s="39">
        <f>IF('3 - Carts &amp; Stands'!B263 = "", "", IF('3 - Carts &amp; Stands-WUO_ERR'!A263 = "", "Validated", HYPERLINK("#" &amp; ADDRESS(263, '3 - Carts &amp; Stands-WUO_TRK'!A263),_xlfn.TEXTAFTER('3 - Carts &amp; Stands-WUO_ERR'!A263, ":"))))</f>
        <v/>
      </c>
    </row>
    <row r="264">
      <c r="A264" s="39">
        <f>IF('3 - Carts &amp; Stands'!B264 = "", "", IF('3 - Carts &amp; Stands-WUO_ERR'!A264 = "", "Validated", HYPERLINK("#" &amp; ADDRESS(264, '3 - Carts &amp; Stands-WUO_TRK'!A264),_xlfn.TEXTAFTER('3 - Carts &amp; Stands-WUO_ERR'!A264, ":"))))</f>
        <v/>
      </c>
    </row>
    <row r="265">
      <c r="A265" s="39">
        <f>IF('3 - Carts &amp; Stands'!B265 = "", "", IF('3 - Carts &amp; Stands-WUO_ERR'!A265 = "", "Validated", HYPERLINK("#" &amp; ADDRESS(265, '3 - Carts &amp; Stands-WUO_TRK'!A265),_xlfn.TEXTAFTER('3 - Carts &amp; Stands-WUO_ERR'!A265, ":"))))</f>
        <v/>
      </c>
    </row>
    <row r="266">
      <c r="A266" s="39">
        <f>IF('3 - Carts &amp; Stands'!B266 = "", "", IF('3 - Carts &amp; Stands-WUO_ERR'!A266 = "", "Validated", HYPERLINK("#" &amp; ADDRESS(266, '3 - Carts &amp; Stands-WUO_TRK'!A266),_xlfn.TEXTAFTER('3 - Carts &amp; Stands-WUO_ERR'!A266, ":"))))</f>
        <v/>
      </c>
    </row>
    <row r="267">
      <c r="A267" s="39">
        <f>IF('3 - Carts &amp; Stands'!B267 = "", "", IF('3 - Carts &amp; Stands-WUO_ERR'!A267 = "", "Validated", HYPERLINK("#" &amp; ADDRESS(267, '3 - Carts &amp; Stands-WUO_TRK'!A267),_xlfn.TEXTAFTER('3 - Carts &amp; Stands-WUO_ERR'!A267, ":"))))</f>
        <v/>
      </c>
    </row>
    <row r="268">
      <c r="A268" s="39">
        <f>IF('3 - Carts &amp; Stands'!B268 = "", "", IF('3 - Carts &amp; Stands-WUO_ERR'!A268 = "", "Validated", HYPERLINK("#" &amp; ADDRESS(268, '3 - Carts &amp; Stands-WUO_TRK'!A268),_xlfn.TEXTAFTER('3 - Carts &amp; Stands-WUO_ERR'!A268, ":"))))</f>
        <v/>
      </c>
    </row>
    <row r="269">
      <c r="A269" s="39">
        <f>IF('3 - Carts &amp; Stands'!B269 = "", "", IF('3 - Carts &amp; Stands-WUO_ERR'!A269 = "", "Validated", HYPERLINK("#" &amp; ADDRESS(269, '3 - Carts &amp; Stands-WUO_TRK'!A269),_xlfn.TEXTAFTER('3 - Carts &amp; Stands-WUO_ERR'!A269, ":"))))</f>
        <v/>
      </c>
    </row>
    <row r="270">
      <c r="A270" s="39">
        <f>IF('3 - Carts &amp; Stands'!B270 = "", "", IF('3 - Carts &amp; Stands-WUO_ERR'!A270 = "", "Validated", HYPERLINK("#" &amp; ADDRESS(270, '3 - Carts &amp; Stands-WUO_TRK'!A270),_xlfn.TEXTAFTER('3 - Carts &amp; Stands-WUO_ERR'!A270, ":"))))</f>
        <v/>
      </c>
    </row>
    <row r="271">
      <c r="A271" s="39">
        <f>IF('3 - Carts &amp; Stands'!B271 = "", "", IF('3 - Carts &amp; Stands-WUO_ERR'!A271 = "", "Validated", HYPERLINK("#" &amp; ADDRESS(271, '3 - Carts &amp; Stands-WUO_TRK'!A271),_xlfn.TEXTAFTER('3 - Carts &amp; Stands-WUO_ERR'!A271, ":"))))</f>
        <v/>
      </c>
    </row>
    <row r="272">
      <c r="A272" s="39">
        <f>IF('3 - Carts &amp; Stands'!B272 = "", "", IF('3 - Carts &amp; Stands-WUO_ERR'!A272 = "", "Validated", HYPERLINK("#" &amp; ADDRESS(272, '3 - Carts &amp; Stands-WUO_TRK'!A272),_xlfn.TEXTAFTER('3 - Carts &amp; Stands-WUO_ERR'!A272, ":"))))</f>
        <v/>
      </c>
    </row>
    <row r="273">
      <c r="A273" s="39">
        <f>IF('3 - Carts &amp; Stands'!B273 = "", "", IF('3 - Carts &amp; Stands-WUO_ERR'!A273 = "", "Validated", HYPERLINK("#" &amp; ADDRESS(273, '3 - Carts &amp; Stands-WUO_TRK'!A273),_xlfn.TEXTAFTER('3 - Carts &amp; Stands-WUO_ERR'!A273, ":"))))</f>
        <v/>
      </c>
    </row>
    <row r="274">
      <c r="A274" s="39">
        <f>IF('3 - Carts &amp; Stands'!B274 = "", "", IF('3 - Carts &amp; Stands-WUO_ERR'!A274 = "", "Validated", HYPERLINK("#" &amp; ADDRESS(274, '3 - Carts &amp; Stands-WUO_TRK'!A274),_xlfn.TEXTAFTER('3 - Carts &amp; Stands-WUO_ERR'!A274, ":"))))</f>
        <v/>
      </c>
    </row>
    <row r="275">
      <c r="A275" s="39">
        <f>IF('3 - Carts &amp; Stands'!B275 = "", "", IF('3 - Carts &amp; Stands-WUO_ERR'!A275 = "", "Validated", HYPERLINK("#" &amp; ADDRESS(275, '3 - Carts &amp; Stands-WUO_TRK'!A275),_xlfn.TEXTAFTER('3 - Carts &amp; Stands-WUO_ERR'!A275, ":"))))</f>
        <v/>
      </c>
    </row>
    <row r="276">
      <c r="A276" s="39">
        <f>IF('3 - Carts &amp; Stands'!B276 = "", "", IF('3 - Carts &amp; Stands-WUO_ERR'!A276 = "", "Validated", HYPERLINK("#" &amp; ADDRESS(276, '3 - Carts &amp; Stands-WUO_TRK'!A276),_xlfn.TEXTAFTER('3 - Carts &amp; Stands-WUO_ERR'!A276, ":"))))</f>
        <v/>
      </c>
    </row>
    <row r="277">
      <c r="A277" s="39">
        <f>IF('3 - Carts &amp; Stands'!B277 = "", "", IF('3 - Carts &amp; Stands-WUO_ERR'!A277 = "", "Validated", HYPERLINK("#" &amp; ADDRESS(277, '3 - Carts &amp; Stands-WUO_TRK'!A277),_xlfn.TEXTAFTER('3 - Carts &amp; Stands-WUO_ERR'!A277, ":"))))</f>
        <v/>
      </c>
    </row>
    <row r="278">
      <c r="A278" s="39">
        <f>IF('3 - Carts &amp; Stands'!B278 = "", "", IF('3 - Carts &amp; Stands-WUO_ERR'!A278 = "", "Validated", HYPERLINK("#" &amp; ADDRESS(278, '3 - Carts &amp; Stands-WUO_TRK'!A278),_xlfn.TEXTAFTER('3 - Carts &amp; Stands-WUO_ERR'!A278, ":"))))</f>
        <v/>
      </c>
    </row>
    <row r="279">
      <c r="A279" s="39">
        <f>IF('3 - Carts &amp; Stands'!B279 = "", "", IF('3 - Carts &amp; Stands-WUO_ERR'!A279 = "", "Validated", HYPERLINK("#" &amp; ADDRESS(279, '3 - Carts &amp; Stands-WUO_TRK'!A279),_xlfn.TEXTAFTER('3 - Carts &amp; Stands-WUO_ERR'!A279, ":"))))</f>
        <v/>
      </c>
    </row>
    <row r="280">
      <c r="A280" s="39">
        <f>IF('3 - Carts &amp; Stands'!B280 = "", "", IF('3 - Carts &amp; Stands-WUO_ERR'!A280 = "", "Validated", HYPERLINK("#" &amp; ADDRESS(280, '3 - Carts &amp; Stands-WUO_TRK'!A280),_xlfn.TEXTAFTER('3 - Carts &amp; Stands-WUO_ERR'!A280, ":"))))</f>
        <v/>
      </c>
    </row>
    <row r="281">
      <c r="A281" s="39">
        <f>IF('3 - Carts &amp; Stands'!B281 = "", "", IF('3 - Carts &amp; Stands-WUO_ERR'!A281 = "", "Validated", HYPERLINK("#" &amp; ADDRESS(281, '3 - Carts &amp; Stands-WUO_TRK'!A281),_xlfn.TEXTAFTER('3 - Carts &amp; Stands-WUO_ERR'!A281, ":"))))</f>
        <v/>
      </c>
    </row>
    <row r="282">
      <c r="A282" s="39">
        <f>IF('3 - Carts &amp; Stands'!B282 = "", "", IF('3 - Carts &amp; Stands-WUO_ERR'!A282 = "", "Validated", HYPERLINK("#" &amp; ADDRESS(282, '3 - Carts &amp; Stands-WUO_TRK'!A282),_xlfn.TEXTAFTER('3 - Carts &amp; Stands-WUO_ERR'!A282, ":"))))</f>
        <v/>
      </c>
    </row>
    <row r="283">
      <c r="A283" s="39">
        <f>IF('3 - Carts &amp; Stands'!B283 = "", "", IF('3 - Carts &amp; Stands-WUO_ERR'!A283 = "", "Validated", HYPERLINK("#" &amp; ADDRESS(283, '3 - Carts &amp; Stands-WUO_TRK'!A283),_xlfn.TEXTAFTER('3 - Carts &amp; Stands-WUO_ERR'!A283, ":"))))</f>
        <v/>
      </c>
    </row>
    <row r="284">
      <c r="A284" s="39">
        <f>IF('3 - Carts &amp; Stands'!B284 = "", "", IF('3 - Carts &amp; Stands-WUO_ERR'!A284 = "", "Validated", HYPERLINK("#" &amp; ADDRESS(284, '3 - Carts &amp; Stands-WUO_TRK'!A284),_xlfn.TEXTAFTER('3 - Carts &amp; Stands-WUO_ERR'!A284, ":"))))</f>
        <v/>
      </c>
    </row>
    <row r="285">
      <c r="A285" s="39">
        <f>IF('3 - Carts &amp; Stands'!B285 = "", "", IF('3 - Carts &amp; Stands-WUO_ERR'!A285 = "", "Validated", HYPERLINK("#" &amp; ADDRESS(285, '3 - Carts &amp; Stands-WUO_TRK'!A285),_xlfn.TEXTAFTER('3 - Carts &amp; Stands-WUO_ERR'!A285, ":"))))</f>
        <v/>
      </c>
    </row>
    <row r="286">
      <c r="A286" s="39">
        <f>IF('3 - Carts &amp; Stands'!B286 = "", "", IF('3 - Carts &amp; Stands-WUO_ERR'!A286 = "", "Validated", HYPERLINK("#" &amp; ADDRESS(286, '3 - Carts &amp; Stands-WUO_TRK'!A286),_xlfn.TEXTAFTER('3 - Carts &amp; Stands-WUO_ERR'!A286, ":"))))</f>
        <v/>
      </c>
    </row>
    <row r="287">
      <c r="A287" s="39">
        <f>IF('3 - Carts &amp; Stands'!B287 = "", "", IF('3 - Carts &amp; Stands-WUO_ERR'!A287 = "", "Validated", HYPERLINK("#" &amp; ADDRESS(287, '3 - Carts &amp; Stands-WUO_TRK'!A287),_xlfn.TEXTAFTER('3 - Carts &amp; Stands-WUO_ERR'!A287, ":"))))</f>
        <v/>
      </c>
    </row>
    <row r="288">
      <c r="A288" s="39">
        <f>IF('3 - Carts &amp; Stands'!B288 = "", "", IF('3 - Carts &amp; Stands-WUO_ERR'!A288 = "", "Validated", HYPERLINK("#" &amp; ADDRESS(288, '3 - Carts &amp; Stands-WUO_TRK'!A288),_xlfn.TEXTAFTER('3 - Carts &amp; Stands-WUO_ERR'!A288, ":"))))</f>
        <v/>
      </c>
    </row>
    <row r="289">
      <c r="A289" s="39">
        <f>IF('3 - Carts &amp; Stands'!B289 = "", "", IF('3 - Carts &amp; Stands-WUO_ERR'!A289 = "", "Validated", HYPERLINK("#" &amp; ADDRESS(289, '3 - Carts &amp; Stands-WUO_TRK'!A289),_xlfn.TEXTAFTER('3 - Carts &amp; Stands-WUO_ERR'!A289, ":"))))</f>
        <v/>
      </c>
    </row>
    <row r="290">
      <c r="A290" s="39">
        <f>IF('3 - Carts &amp; Stands'!B290 = "", "", IF('3 - Carts &amp; Stands-WUO_ERR'!A290 = "", "Validated", HYPERLINK("#" &amp; ADDRESS(290, '3 - Carts &amp; Stands-WUO_TRK'!A290),_xlfn.TEXTAFTER('3 - Carts &amp; Stands-WUO_ERR'!A290, ":"))))</f>
        <v/>
      </c>
    </row>
    <row r="291">
      <c r="A291" s="39">
        <f>IF('3 - Carts &amp; Stands'!B291 = "", "", IF('3 - Carts &amp; Stands-WUO_ERR'!A291 = "", "Validated", HYPERLINK("#" &amp; ADDRESS(291, '3 - Carts &amp; Stands-WUO_TRK'!A291),_xlfn.TEXTAFTER('3 - Carts &amp; Stands-WUO_ERR'!A291, ":"))))</f>
        <v/>
      </c>
    </row>
    <row r="292">
      <c r="A292" s="39">
        <f>IF('3 - Carts &amp; Stands'!B292 = "", "", IF('3 - Carts &amp; Stands-WUO_ERR'!A292 = "", "Validated", HYPERLINK("#" &amp; ADDRESS(292, '3 - Carts &amp; Stands-WUO_TRK'!A292),_xlfn.TEXTAFTER('3 - Carts &amp; Stands-WUO_ERR'!A292, ":"))))</f>
        <v/>
      </c>
    </row>
    <row r="293">
      <c r="A293" s="39">
        <f>IF('3 - Carts &amp; Stands'!B293 = "", "", IF('3 - Carts &amp; Stands-WUO_ERR'!A293 = "", "Validated", HYPERLINK("#" &amp; ADDRESS(293, '3 - Carts &amp; Stands-WUO_TRK'!A293),_xlfn.TEXTAFTER('3 - Carts &amp; Stands-WUO_ERR'!A293, ":"))))</f>
        <v/>
      </c>
    </row>
    <row r="294">
      <c r="A294" s="39">
        <f>IF('3 - Carts &amp; Stands'!B294 = "", "", IF('3 - Carts &amp; Stands-WUO_ERR'!A294 = "", "Validated", HYPERLINK("#" &amp; ADDRESS(294, '3 - Carts &amp; Stands-WUO_TRK'!A294),_xlfn.TEXTAFTER('3 - Carts &amp; Stands-WUO_ERR'!A294, ":"))))</f>
        <v/>
      </c>
    </row>
    <row r="295">
      <c r="A295" s="39">
        <f>IF('3 - Carts &amp; Stands'!B295 = "", "", IF('3 - Carts &amp; Stands-WUO_ERR'!A295 = "", "Validated", HYPERLINK("#" &amp; ADDRESS(295, '3 - Carts &amp; Stands-WUO_TRK'!A295),_xlfn.TEXTAFTER('3 - Carts &amp; Stands-WUO_ERR'!A295, ":"))))</f>
        <v/>
      </c>
    </row>
    <row r="296">
      <c r="A296" s="39">
        <f>IF('3 - Carts &amp; Stands'!B296 = "", "", IF('3 - Carts &amp; Stands-WUO_ERR'!A296 = "", "Validated", HYPERLINK("#" &amp; ADDRESS(296, '3 - Carts &amp; Stands-WUO_TRK'!A296),_xlfn.TEXTAFTER('3 - Carts &amp; Stands-WUO_ERR'!A296, ":"))))</f>
        <v/>
      </c>
    </row>
    <row r="297">
      <c r="A297" s="39">
        <f>IF('3 - Carts &amp; Stands'!B297 = "", "", IF('3 - Carts &amp; Stands-WUO_ERR'!A297 = "", "Validated", HYPERLINK("#" &amp; ADDRESS(297, '3 - Carts &amp; Stands-WUO_TRK'!A297),_xlfn.TEXTAFTER('3 - Carts &amp; Stands-WUO_ERR'!A297, ":"))))</f>
        <v/>
      </c>
    </row>
    <row r="298">
      <c r="A298" s="39">
        <f>IF('3 - Carts &amp; Stands'!B298 = "", "", IF('3 - Carts &amp; Stands-WUO_ERR'!A298 = "", "Validated", HYPERLINK("#" &amp; ADDRESS(298, '3 - Carts &amp; Stands-WUO_TRK'!A298),_xlfn.TEXTAFTER('3 - Carts &amp; Stands-WUO_ERR'!A298, ":"))))</f>
        <v/>
      </c>
    </row>
    <row r="299">
      <c r="A299" s="39">
        <f>IF('3 - Carts &amp; Stands'!B299 = "", "", IF('3 - Carts &amp; Stands-WUO_ERR'!A299 = "", "Validated", HYPERLINK("#" &amp; ADDRESS(299, '3 - Carts &amp; Stands-WUO_TRK'!A299),_xlfn.TEXTAFTER('3 - Carts &amp; Stands-WUO_ERR'!A299, ":"))))</f>
        <v/>
      </c>
    </row>
    <row r="300">
      <c r="A300" s="39">
        <f>IF('3 - Carts &amp; Stands'!B300 = "", "", IF('3 - Carts &amp; Stands-WUO_ERR'!A300 = "", "Validated", HYPERLINK("#" &amp; ADDRESS(300, '3 - Carts &amp; Stands-WUO_TRK'!A300),_xlfn.TEXTAFTER('3 - Carts &amp; Stands-WUO_ERR'!A300, ":"))))</f>
        <v/>
      </c>
    </row>
    <row r="301">
      <c r="A301" s="39">
        <f>IF('3 - Carts &amp; Stands'!B301 = "", "", IF('3 - Carts &amp; Stands-WUO_ERR'!A301 = "", "Validated", HYPERLINK("#" &amp; ADDRESS(301, '3 - Carts &amp; Stands-WUO_TRK'!A301),_xlfn.TEXTAFTER('3 - Carts &amp; Stands-WUO_ERR'!A301, ":"))))</f>
        <v/>
      </c>
    </row>
    <row r="302">
      <c r="A302" s="39">
        <f>IF('3 - Carts &amp; Stands'!B302 = "", "", IF('3 - Carts &amp; Stands-WUO_ERR'!A302 = "", "Validated", HYPERLINK("#" &amp; ADDRESS(302, '3 - Carts &amp; Stands-WUO_TRK'!A302),_xlfn.TEXTAFTER('3 - Carts &amp; Stands-WUO_ERR'!A302, ":"))))</f>
        <v/>
      </c>
    </row>
    <row r="303">
      <c r="A303" s="39">
        <f>IF('3 - Carts &amp; Stands'!B303 = "", "", IF('3 - Carts &amp; Stands-WUO_ERR'!A303 = "", "Validated", HYPERLINK("#" &amp; ADDRESS(303, '3 - Carts &amp; Stands-WUO_TRK'!A303),_xlfn.TEXTAFTER('3 - Carts &amp; Stands-WUO_ERR'!A303, ":"))))</f>
        <v/>
      </c>
    </row>
    <row r="304">
      <c r="A304" s="39">
        <f>IF('3 - Carts &amp; Stands'!B304 = "", "", IF('3 - Carts &amp; Stands-WUO_ERR'!A304 = "", "Validated", HYPERLINK("#" &amp; ADDRESS(304, '3 - Carts &amp; Stands-WUO_TRK'!A304),_xlfn.TEXTAFTER('3 - Carts &amp; Stands-WUO_ERR'!A304, ":"))))</f>
        <v/>
      </c>
    </row>
    <row r="305">
      <c r="A305" s="39">
        <f>IF('3 - Carts &amp; Stands'!B305 = "", "", IF('3 - Carts &amp; Stands-WUO_ERR'!A305 = "", "Validated", HYPERLINK("#" &amp; ADDRESS(305, '3 - Carts &amp; Stands-WUO_TRK'!A305),_xlfn.TEXTAFTER('3 - Carts &amp; Stands-WUO_ERR'!A305, ":"))))</f>
        <v/>
      </c>
    </row>
    <row r="306">
      <c r="A306" s="39">
        <f>IF('3 - Carts &amp; Stands'!B306 = "", "", IF('3 - Carts &amp; Stands-WUO_ERR'!A306 = "", "Validated", HYPERLINK("#" &amp; ADDRESS(306, '3 - Carts &amp; Stands-WUO_TRK'!A306),_xlfn.TEXTAFTER('3 - Carts &amp; Stands-WUO_ERR'!A306, ":"))))</f>
        <v/>
      </c>
    </row>
    <row r="307">
      <c r="A307" s="39">
        <f>IF('3 - Carts &amp; Stands'!B307 = "", "", IF('3 - Carts &amp; Stands-WUO_ERR'!A307 = "", "Validated", HYPERLINK("#" &amp; ADDRESS(307, '3 - Carts &amp; Stands-WUO_TRK'!A307),_xlfn.TEXTAFTER('3 - Carts &amp; Stands-WUO_ERR'!A307, ":"))))</f>
        <v/>
      </c>
    </row>
    <row r="308">
      <c r="A308" s="39">
        <f>IF('3 - Carts &amp; Stands'!B308 = "", "", IF('3 - Carts &amp; Stands-WUO_ERR'!A308 = "", "Validated", HYPERLINK("#" &amp; ADDRESS(308, '3 - Carts &amp; Stands-WUO_TRK'!A308),_xlfn.TEXTAFTER('3 - Carts &amp; Stands-WUO_ERR'!A308, ":"))))</f>
        <v/>
      </c>
    </row>
    <row r="309">
      <c r="A309" s="39">
        <f>IF('3 - Carts &amp; Stands'!B309 = "", "", IF('3 - Carts &amp; Stands-WUO_ERR'!A309 = "", "Validated", HYPERLINK("#" &amp; ADDRESS(309, '3 - Carts &amp; Stands-WUO_TRK'!A309),_xlfn.TEXTAFTER('3 - Carts &amp; Stands-WUO_ERR'!A309, ":"))))</f>
        <v/>
      </c>
    </row>
    <row r="310">
      <c r="A310" s="39">
        <f>IF('3 - Carts &amp; Stands'!B310 = "", "", IF('3 - Carts &amp; Stands-WUO_ERR'!A310 = "", "Validated", HYPERLINK("#" &amp; ADDRESS(310, '3 - Carts &amp; Stands-WUO_TRK'!A310),_xlfn.TEXTAFTER('3 - Carts &amp; Stands-WUO_ERR'!A310, ":"))))</f>
        <v/>
      </c>
    </row>
    <row r="311">
      <c r="A311" s="39">
        <f>IF('3 - Carts &amp; Stands'!B311 = "", "", IF('3 - Carts &amp; Stands-WUO_ERR'!A311 = "", "Validated", HYPERLINK("#" &amp; ADDRESS(311, '3 - Carts &amp; Stands-WUO_TRK'!A311),_xlfn.TEXTAFTER('3 - Carts &amp; Stands-WUO_ERR'!A311, ":"))))</f>
        <v/>
      </c>
    </row>
    <row r="312">
      <c r="A312" s="39">
        <f>IF('3 - Carts &amp; Stands'!B312 = "", "", IF('3 - Carts &amp; Stands-WUO_ERR'!A312 = "", "Validated", HYPERLINK("#" &amp; ADDRESS(312, '3 - Carts &amp; Stands-WUO_TRK'!A312),_xlfn.TEXTAFTER('3 - Carts &amp; Stands-WUO_ERR'!A312, ":"))))</f>
        <v/>
      </c>
    </row>
    <row r="313">
      <c r="A313" s="39">
        <f>IF('3 - Carts &amp; Stands'!B313 = "", "", IF('3 - Carts &amp; Stands-WUO_ERR'!A313 = "", "Validated", HYPERLINK("#" &amp; ADDRESS(313, '3 - Carts &amp; Stands-WUO_TRK'!A313),_xlfn.TEXTAFTER('3 - Carts &amp; Stands-WUO_ERR'!A313, ":"))))</f>
        <v/>
      </c>
    </row>
    <row r="314">
      <c r="A314" s="39">
        <f>IF('3 - Carts &amp; Stands'!B314 = "", "", IF('3 - Carts &amp; Stands-WUO_ERR'!A314 = "", "Validated", HYPERLINK("#" &amp; ADDRESS(314, '3 - Carts &amp; Stands-WUO_TRK'!A314),_xlfn.TEXTAFTER('3 - Carts &amp; Stands-WUO_ERR'!A314, ":"))))</f>
        <v/>
      </c>
    </row>
    <row r="315">
      <c r="A315" s="39">
        <f>IF('3 - Carts &amp; Stands'!B315 = "", "", IF('3 - Carts &amp; Stands-WUO_ERR'!A315 = "", "Validated", HYPERLINK("#" &amp; ADDRESS(315, '3 - Carts &amp; Stands-WUO_TRK'!A315),_xlfn.TEXTAFTER('3 - Carts &amp; Stands-WUO_ERR'!A315, ":"))))</f>
        <v/>
      </c>
    </row>
    <row r="316">
      <c r="A316" s="39">
        <f>IF('3 - Carts &amp; Stands'!B316 = "", "", IF('3 - Carts &amp; Stands-WUO_ERR'!A316 = "", "Validated", HYPERLINK("#" &amp; ADDRESS(316, '3 - Carts &amp; Stands-WUO_TRK'!A316),_xlfn.TEXTAFTER('3 - Carts &amp; Stands-WUO_ERR'!A316, ":"))))</f>
        <v/>
      </c>
    </row>
    <row r="317">
      <c r="A317" s="39">
        <f>IF('3 - Carts &amp; Stands'!B317 = "", "", IF('3 - Carts &amp; Stands-WUO_ERR'!A317 = "", "Validated", HYPERLINK("#" &amp; ADDRESS(317, '3 - Carts &amp; Stands-WUO_TRK'!A317),_xlfn.TEXTAFTER('3 - Carts &amp; Stands-WUO_ERR'!A317, ":"))))</f>
        <v/>
      </c>
    </row>
    <row r="318">
      <c r="A318" s="39">
        <f>IF('3 - Carts &amp; Stands'!B318 = "", "", IF('3 - Carts &amp; Stands-WUO_ERR'!A318 = "", "Validated", HYPERLINK("#" &amp; ADDRESS(318, '3 - Carts &amp; Stands-WUO_TRK'!A318),_xlfn.TEXTAFTER('3 - Carts &amp; Stands-WUO_ERR'!A318, ":"))))</f>
        <v/>
      </c>
    </row>
    <row r="319">
      <c r="A319" s="39">
        <f>IF('3 - Carts &amp; Stands'!B319 = "", "", IF('3 - Carts &amp; Stands-WUO_ERR'!A319 = "", "Validated", HYPERLINK("#" &amp; ADDRESS(319, '3 - Carts &amp; Stands-WUO_TRK'!A319),_xlfn.TEXTAFTER('3 - Carts &amp; Stands-WUO_ERR'!A319, ":"))))</f>
        <v/>
      </c>
    </row>
    <row r="320">
      <c r="A320" s="39">
        <f>IF('3 - Carts &amp; Stands'!B320 = "", "", IF('3 - Carts &amp; Stands-WUO_ERR'!A320 = "", "Validated", HYPERLINK("#" &amp; ADDRESS(320, '3 - Carts &amp; Stands-WUO_TRK'!A320),_xlfn.TEXTAFTER('3 - Carts &amp; Stands-WUO_ERR'!A320, ":"))))</f>
        <v/>
      </c>
    </row>
    <row r="321">
      <c r="A321" s="39">
        <f>IF('3 - Carts &amp; Stands'!B321 = "", "", IF('3 - Carts &amp; Stands-WUO_ERR'!A321 = "", "Validated", HYPERLINK("#" &amp; ADDRESS(321, '3 - Carts &amp; Stands-WUO_TRK'!A321),_xlfn.TEXTAFTER('3 - Carts &amp; Stands-WUO_ERR'!A321, ":"))))</f>
        <v/>
      </c>
    </row>
    <row r="322">
      <c r="A322" s="39">
        <f>IF('3 - Carts &amp; Stands'!B322 = "", "", IF('3 - Carts &amp; Stands-WUO_ERR'!A322 = "", "Validated", HYPERLINK("#" &amp; ADDRESS(322, '3 - Carts &amp; Stands-WUO_TRK'!A322),_xlfn.TEXTAFTER('3 - Carts &amp; Stands-WUO_ERR'!A322, ":"))))</f>
        <v/>
      </c>
    </row>
    <row r="323">
      <c r="A323" s="39">
        <f>IF('3 - Carts &amp; Stands'!B323 = "", "", IF('3 - Carts &amp; Stands-WUO_ERR'!A323 = "", "Validated", HYPERLINK("#" &amp; ADDRESS(323, '3 - Carts &amp; Stands-WUO_TRK'!A323),_xlfn.TEXTAFTER('3 - Carts &amp; Stands-WUO_ERR'!A323, ":"))))</f>
        <v/>
      </c>
    </row>
    <row r="324">
      <c r="A324" s="39">
        <f>IF('3 - Carts &amp; Stands'!B324 = "", "", IF('3 - Carts &amp; Stands-WUO_ERR'!A324 = "", "Validated", HYPERLINK("#" &amp; ADDRESS(324, '3 - Carts &amp; Stands-WUO_TRK'!A324),_xlfn.TEXTAFTER('3 - Carts &amp; Stands-WUO_ERR'!A324, ":"))))</f>
        <v/>
      </c>
    </row>
    <row r="325">
      <c r="A325" s="39">
        <f>IF('3 - Carts &amp; Stands'!B325 = "", "", IF('3 - Carts &amp; Stands-WUO_ERR'!A325 = "", "Validated", HYPERLINK("#" &amp; ADDRESS(325, '3 - Carts &amp; Stands-WUO_TRK'!A325),_xlfn.TEXTAFTER('3 - Carts &amp; Stands-WUO_ERR'!A325, ":"))))</f>
        <v/>
      </c>
    </row>
    <row r="326">
      <c r="A326" s="39">
        <f>IF('3 - Carts &amp; Stands'!B326 = "", "", IF('3 - Carts &amp; Stands-WUO_ERR'!A326 = "", "Validated", HYPERLINK("#" &amp; ADDRESS(326, '3 - Carts &amp; Stands-WUO_TRK'!A326),_xlfn.TEXTAFTER('3 - Carts &amp; Stands-WUO_ERR'!A326, ":"))))</f>
        <v/>
      </c>
    </row>
    <row r="327">
      <c r="A327" s="39">
        <f>IF('3 - Carts &amp; Stands'!B327 = "", "", IF('3 - Carts &amp; Stands-WUO_ERR'!A327 = "", "Validated", HYPERLINK("#" &amp; ADDRESS(327, '3 - Carts &amp; Stands-WUO_TRK'!A327),_xlfn.TEXTAFTER('3 - Carts &amp; Stands-WUO_ERR'!A327, ":"))))</f>
        <v/>
      </c>
    </row>
    <row r="328">
      <c r="A328" s="39">
        <f>IF('3 - Carts &amp; Stands'!B328 = "", "", IF('3 - Carts &amp; Stands-WUO_ERR'!A328 = "", "Validated", HYPERLINK("#" &amp; ADDRESS(328, '3 - Carts &amp; Stands-WUO_TRK'!A328),_xlfn.TEXTAFTER('3 - Carts &amp; Stands-WUO_ERR'!A328, ":"))))</f>
        <v/>
      </c>
    </row>
    <row r="329">
      <c r="A329" s="39">
        <f>IF('3 - Carts &amp; Stands'!B329 = "", "", IF('3 - Carts &amp; Stands-WUO_ERR'!A329 = "", "Validated", HYPERLINK("#" &amp; ADDRESS(329, '3 - Carts &amp; Stands-WUO_TRK'!A329),_xlfn.TEXTAFTER('3 - Carts &amp; Stands-WUO_ERR'!A329, ":"))))</f>
        <v/>
      </c>
    </row>
    <row r="330">
      <c r="A330" s="39">
        <f>IF('3 - Carts &amp; Stands'!B330 = "", "", IF('3 - Carts &amp; Stands-WUO_ERR'!A330 = "", "Validated", HYPERLINK("#" &amp; ADDRESS(330, '3 - Carts &amp; Stands-WUO_TRK'!A330),_xlfn.TEXTAFTER('3 - Carts &amp; Stands-WUO_ERR'!A330, ":"))))</f>
        <v/>
      </c>
    </row>
    <row r="331">
      <c r="A331" s="39">
        <f>IF('3 - Carts &amp; Stands'!B331 = "", "", IF('3 - Carts &amp; Stands-WUO_ERR'!A331 = "", "Validated", HYPERLINK("#" &amp; ADDRESS(331, '3 - Carts &amp; Stands-WUO_TRK'!A331),_xlfn.TEXTAFTER('3 - Carts &amp; Stands-WUO_ERR'!A331, ":"))))</f>
        <v/>
      </c>
    </row>
    <row r="332">
      <c r="A332" s="39">
        <f>IF('3 - Carts &amp; Stands'!B332 = "", "", IF('3 - Carts &amp; Stands-WUO_ERR'!A332 = "", "Validated", HYPERLINK("#" &amp; ADDRESS(332, '3 - Carts &amp; Stands-WUO_TRK'!A332),_xlfn.TEXTAFTER('3 - Carts &amp; Stands-WUO_ERR'!A332, ":"))))</f>
        <v/>
      </c>
    </row>
    <row r="333">
      <c r="A333" s="39">
        <f>IF('3 - Carts &amp; Stands'!B333 = "", "", IF('3 - Carts &amp; Stands-WUO_ERR'!A333 = "", "Validated", HYPERLINK("#" &amp; ADDRESS(333, '3 - Carts &amp; Stands-WUO_TRK'!A333),_xlfn.TEXTAFTER('3 - Carts &amp; Stands-WUO_ERR'!A333, ":"))))</f>
        <v/>
      </c>
    </row>
    <row r="334">
      <c r="A334" s="39">
        <f>IF('3 - Carts &amp; Stands'!B334 = "", "", IF('3 - Carts &amp; Stands-WUO_ERR'!A334 = "", "Validated", HYPERLINK("#" &amp; ADDRESS(334, '3 - Carts &amp; Stands-WUO_TRK'!A334),_xlfn.TEXTAFTER('3 - Carts &amp; Stands-WUO_ERR'!A334, ":"))))</f>
        <v/>
      </c>
    </row>
    <row r="335">
      <c r="A335" s="39">
        <f>IF('3 - Carts &amp; Stands'!B335 = "", "", IF('3 - Carts &amp; Stands-WUO_ERR'!A335 = "", "Validated", HYPERLINK("#" &amp; ADDRESS(335, '3 - Carts &amp; Stands-WUO_TRK'!A335),_xlfn.TEXTAFTER('3 - Carts &amp; Stands-WUO_ERR'!A335, ":"))))</f>
        <v/>
      </c>
    </row>
    <row r="336">
      <c r="A336" s="39">
        <f>IF('3 - Carts &amp; Stands'!B336 = "", "", IF('3 - Carts &amp; Stands-WUO_ERR'!A336 = "", "Validated", HYPERLINK("#" &amp; ADDRESS(336, '3 - Carts &amp; Stands-WUO_TRK'!A336),_xlfn.TEXTAFTER('3 - Carts &amp; Stands-WUO_ERR'!A336, ":"))))</f>
        <v/>
      </c>
    </row>
    <row r="337">
      <c r="A337" s="39">
        <f>IF('3 - Carts &amp; Stands'!B337 = "", "", IF('3 - Carts &amp; Stands-WUO_ERR'!A337 = "", "Validated", HYPERLINK("#" &amp; ADDRESS(337, '3 - Carts &amp; Stands-WUO_TRK'!A337),_xlfn.TEXTAFTER('3 - Carts &amp; Stands-WUO_ERR'!A337, ":"))))</f>
        <v/>
      </c>
    </row>
    <row r="338">
      <c r="A338" s="39">
        <f>IF('3 - Carts &amp; Stands'!B338 = "", "", IF('3 - Carts &amp; Stands-WUO_ERR'!A338 = "", "Validated", HYPERLINK("#" &amp; ADDRESS(338, '3 - Carts &amp; Stands-WUO_TRK'!A338),_xlfn.TEXTAFTER('3 - Carts &amp; Stands-WUO_ERR'!A338, ":"))))</f>
        <v/>
      </c>
    </row>
    <row r="339">
      <c r="A339" s="39">
        <f>IF('3 - Carts &amp; Stands'!B339 = "", "", IF('3 - Carts &amp; Stands-WUO_ERR'!A339 = "", "Validated", HYPERLINK("#" &amp; ADDRESS(339, '3 - Carts &amp; Stands-WUO_TRK'!A339),_xlfn.TEXTAFTER('3 - Carts &amp; Stands-WUO_ERR'!A339, ":"))))</f>
        <v/>
      </c>
    </row>
    <row r="340">
      <c r="A340" s="39">
        <f>IF('3 - Carts &amp; Stands'!B340 = "", "", IF('3 - Carts &amp; Stands-WUO_ERR'!A340 = "", "Validated", HYPERLINK("#" &amp; ADDRESS(340, '3 - Carts &amp; Stands-WUO_TRK'!A340),_xlfn.TEXTAFTER('3 - Carts &amp; Stands-WUO_ERR'!A340, ":"))))</f>
        <v/>
      </c>
    </row>
    <row r="341">
      <c r="A341" s="39">
        <f>IF('3 - Carts &amp; Stands'!B341 = "", "", IF('3 - Carts &amp; Stands-WUO_ERR'!A341 = "", "Validated", HYPERLINK("#" &amp; ADDRESS(341, '3 - Carts &amp; Stands-WUO_TRK'!A341),_xlfn.TEXTAFTER('3 - Carts &amp; Stands-WUO_ERR'!A341, ":"))))</f>
        <v/>
      </c>
    </row>
    <row r="342">
      <c r="A342" s="39">
        <f>IF('3 - Carts &amp; Stands'!B342 = "", "", IF('3 - Carts &amp; Stands-WUO_ERR'!A342 = "", "Validated", HYPERLINK("#" &amp; ADDRESS(342, '3 - Carts &amp; Stands-WUO_TRK'!A342),_xlfn.TEXTAFTER('3 - Carts &amp; Stands-WUO_ERR'!A342, ":"))))</f>
        <v/>
      </c>
    </row>
    <row r="343">
      <c r="A343" s="39">
        <f>IF('3 - Carts &amp; Stands'!B343 = "", "", IF('3 - Carts &amp; Stands-WUO_ERR'!A343 = "", "Validated", HYPERLINK("#" &amp; ADDRESS(343, '3 - Carts &amp; Stands-WUO_TRK'!A343),_xlfn.TEXTAFTER('3 - Carts &amp; Stands-WUO_ERR'!A343, ":"))))</f>
        <v/>
      </c>
    </row>
    <row r="344">
      <c r="A344" s="39">
        <f>IF('3 - Carts &amp; Stands'!B344 = "", "", IF('3 - Carts &amp; Stands-WUO_ERR'!A344 = "", "Validated", HYPERLINK("#" &amp; ADDRESS(344, '3 - Carts &amp; Stands-WUO_TRK'!A344),_xlfn.TEXTAFTER('3 - Carts &amp; Stands-WUO_ERR'!A344, ":"))))</f>
        <v/>
      </c>
    </row>
    <row r="345">
      <c r="A345" s="39">
        <f>IF('3 - Carts &amp; Stands'!B345 = "", "", IF('3 - Carts &amp; Stands-WUO_ERR'!A345 = "", "Validated", HYPERLINK("#" &amp; ADDRESS(345, '3 - Carts &amp; Stands-WUO_TRK'!A345),_xlfn.TEXTAFTER('3 - Carts &amp; Stands-WUO_ERR'!A345, ":"))))</f>
        <v/>
      </c>
    </row>
    <row r="346">
      <c r="A346" s="39">
        <f>IF('3 - Carts &amp; Stands'!B346 = "", "", IF('3 - Carts &amp; Stands-WUO_ERR'!A346 = "", "Validated", HYPERLINK("#" &amp; ADDRESS(346, '3 - Carts &amp; Stands-WUO_TRK'!A346),_xlfn.TEXTAFTER('3 - Carts &amp; Stands-WUO_ERR'!A346, ":"))))</f>
        <v/>
      </c>
    </row>
    <row r="347">
      <c r="A347" s="39">
        <f>IF('3 - Carts &amp; Stands'!B347 = "", "", IF('3 - Carts &amp; Stands-WUO_ERR'!A347 = "", "Validated", HYPERLINK("#" &amp; ADDRESS(347, '3 - Carts &amp; Stands-WUO_TRK'!A347),_xlfn.TEXTAFTER('3 - Carts &amp; Stands-WUO_ERR'!A347, ":"))))</f>
        <v/>
      </c>
    </row>
    <row r="348">
      <c r="A348" s="39">
        <f>IF('3 - Carts &amp; Stands'!B348 = "", "", IF('3 - Carts &amp; Stands-WUO_ERR'!A348 = "", "Validated", HYPERLINK("#" &amp; ADDRESS(348, '3 - Carts &amp; Stands-WUO_TRK'!A348),_xlfn.TEXTAFTER('3 - Carts &amp; Stands-WUO_ERR'!A348, ":"))))</f>
        <v/>
      </c>
    </row>
    <row r="349">
      <c r="A349" s="39">
        <f>IF('3 - Carts &amp; Stands'!B349 = "", "", IF('3 - Carts &amp; Stands-WUO_ERR'!A349 = "", "Validated", HYPERLINK("#" &amp; ADDRESS(349, '3 - Carts &amp; Stands-WUO_TRK'!A349),_xlfn.TEXTAFTER('3 - Carts &amp; Stands-WUO_ERR'!A349, ":"))))</f>
        <v/>
      </c>
    </row>
    <row r="350">
      <c r="A350" s="39">
        <f>IF('3 - Carts &amp; Stands'!B350 = "", "", IF('3 - Carts &amp; Stands-WUO_ERR'!A350 = "", "Validated", HYPERLINK("#" &amp; ADDRESS(350, '3 - Carts &amp; Stands-WUO_TRK'!A350),_xlfn.TEXTAFTER('3 - Carts &amp; Stands-WUO_ERR'!A350, ":"))))</f>
        <v/>
      </c>
    </row>
    <row r="351">
      <c r="A351" s="39">
        <f>IF('3 - Carts &amp; Stands'!B351 = "", "", IF('3 - Carts &amp; Stands-WUO_ERR'!A351 = "", "Validated", HYPERLINK("#" &amp; ADDRESS(351, '3 - Carts &amp; Stands-WUO_TRK'!A351),_xlfn.TEXTAFTER('3 - Carts &amp; Stands-WUO_ERR'!A351, ":"))))</f>
        <v/>
      </c>
    </row>
    <row r="352">
      <c r="A352" s="39">
        <f>IF('3 - Carts &amp; Stands'!B352 = "", "", IF('3 - Carts &amp; Stands-WUO_ERR'!A352 = "", "Validated", HYPERLINK("#" &amp; ADDRESS(352, '3 - Carts &amp; Stands-WUO_TRK'!A352),_xlfn.TEXTAFTER('3 - Carts &amp; Stands-WUO_ERR'!A352, ":"))))</f>
        <v/>
      </c>
    </row>
    <row r="353">
      <c r="A353" s="39">
        <f>IF('3 - Carts &amp; Stands'!B353 = "", "", IF('3 - Carts &amp; Stands-WUO_ERR'!A353 = "", "Validated", HYPERLINK("#" &amp; ADDRESS(353, '3 - Carts &amp; Stands-WUO_TRK'!A353),_xlfn.TEXTAFTER('3 - Carts &amp; Stands-WUO_ERR'!A353, ":"))))</f>
        <v/>
      </c>
    </row>
    <row r="354">
      <c r="A354" s="39">
        <f>IF('3 - Carts &amp; Stands'!B354 = "", "", IF('3 - Carts &amp; Stands-WUO_ERR'!A354 = "", "Validated", HYPERLINK("#" &amp; ADDRESS(354, '3 - Carts &amp; Stands-WUO_TRK'!A354),_xlfn.TEXTAFTER('3 - Carts &amp; Stands-WUO_ERR'!A354, ":"))))</f>
        <v/>
      </c>
    </row>
    <row r="355">
      <c r="A355" s="39">
        <f>IF('3 - Carts &amp; Stands'!B355 = "", "", IF('3 - Carts &amp; Stands-WUO_ERR'!A355 = "", "Validated", HYPERLINK("#" &amp; ADDRESS(355, '3 - Carts &amp; Stands-WUO_TRK'!A355),_xlfn.TEXTAFTER('3 - Carts &amp; Stands-WUO_ERR'!A355, ":"))))</f>
        <v/>
      </c>
    </row>
    <row r="356">
      <c r="A356" s="39">
        <f>IF('3 - Carts &amp; Stands'!B356 = "", "", IF('3 - Carts &amp; Stands-WUO_ERR'!A356 = "", "Validated", HYPERLINK("#" &amp; ADDRESS(356, '3 - Carts &amp; Stands-WUO_TRK'!A356),_xlfn.TEXTAFTER('3 - Carts &amp; Stands-WUO_ERR'!A356, ":"))))</f>
        <v/>
      </c>
    </row>
    <row r="357">
      <c r="A357" s="39">
        <f>IF('3 - Carts &amp; Stands'!B357 = "", "", IF('3 - Carts &amp; Stands-WUO_ERR'!A357 = "", "Validated", HYPERLINK("#" &amp; ADDRESS(357, '3 - Carts &amp; Stands-WUO_TRK'!A357),_xlfn.TEXTAFTER('3 - Carts &amp; Stands-WUO_ERR'!A357, ":"))))</f>
        <v/>
      </c>
    </row>
    <row r="358">
      <c r="A358" s="39">
        <f>IF('3 - Carts &amp; Stands'!B358 = "", "", IF('3 - Carts &amp; Stands-WUO_ERR'!A358 = "", "Validated", HYPERLINK("#" &amp; ADDRESS(358, '3 - Carts &amp; Stands-WUO_TRK'!A358),_xlfn.TEXTAFTER('3 - Carts &amp; Stands-WUO_ERR'!A358, ":"))))</f>
        <v/>
      </c>
    </row>
    <row r="359">
      <c r="A359" s="39">
        <f>IF('3 - Carts &amp; Stands'!B359 = "", "", IF('3 - Carts &amp; Stands-WUO_ERR'!A359 = "", "Validated", HYPERLINK("#" &amp; ADDRESS(359, '3 - Carts &amp; Stands-WUO_TRK'!A359),_xlfn.TEXTAFTER('3 - Carts &amp; Stands-WUO_ERR'!A359, ":"))))</f>
        <v/>
      </c>
    </row>
    <row r="360">
      <c r="A360" s="39">
        <f>IF('3 - Carts &amp; Stands'!B360 = "", "", IF('3 - Carts &amp; Stands-WUO_ERR'!A360 = "", "Validated", HYPERLINK("#" &amp; ADDRESS(360, '3 - Carts &amp; Stands-WUO_TRK'!A360),_xlfn.TEXTAFTER('3 - Carts &amp; Stands-WUO_ERR'!A360, ":"))))</f>
        <v/>
      </c>
    </row>
    <row r="361">
      <c r="A361" s="39">
        <f>IF('3 - Carts &amp; Stands'!B361 = "", "", IF('3 - Carts &amp; Stands-WUO_ERR'!A361 = "", "Validated", HYPERLINK("#" &amp; ADDRESS(361, '3 - Carts &amp; Stands-WUO_TRK'!A361),_xlfn.TEXTAFTER('3 - Carts &amp; Stands-WUO_ERR'!A361, ":"))))</f>
        <v/>
      </c>
    </row>
    <row r="362">
      <c r="A362" s="39">
        <f>IF('3 - Carts &amp; Stands'!B362 = "", "", IF('3 - Carts &amp; Stands-WUO_ERR'!A362 = "", "Validated", HYPERLINK("#" &amp; ADDRESS(362, '3 - Carts &amp; Stands-WUO_TRK'!A362),_xlfn.TEXTAFTER('3 - Carts &amp; Stands-WUO_ERR'!A362, ":"))))</f>
        <v/>
      </c>
    </row>
    <row r="363">
      <c r="A363" s="39">
        <f>IF('3 - Carts &amp; Stands'!B363 = "", "", IF('3 - Carts &amp; Stands-WUO_ERR'!A363 = "", "Validated", HYPERLINK("#" &amp; ADDRESS(363, '3 - Carts &amp; Stands-WUO_TRK'!A363),_xlfn.TEXTAFTER('3 - Carts &amp; Stands-WUO_ERR'!A363, ":"))))</f>
        <v/>
      </c>
    </row>
    <row r="364">
      <c r="A364" s="39">
        <f>IF('3 - Carts &amp; Stands'!B364 = "", "", IF('3 - Carts &amp; Stands-WUO_ERR'!A364 = "", "Validated", HYPERLINK("#" &amp; ADDRESS(364, '3 - Carts &amp; Stands-WUO_TRK'!A364),_xlfn.TEXTAFTER('3 - Carts &amp; Stands-WUO_ERR'!A364, ":"))))</f>
        <v/>
      </c>
    </row>
    <row r="365">
      <c r="A365" s="39">
        <f>IF('3 - Carts &amp; Stands'!B365 = "", "", IF('3 - Carts &amp; Stands-WUO_ERR'!A365 = "", "Validated", HYPERLINK("#" &amp; ADDRESS(365, '3 - Carts &amp; Stands-WUO_TRK'!A365),_xlfn.TEXTAFTER('3 - Carts &amp; Stands-WUO_ERR'!A365, ":"))))</f>
        <v/>
      </c>
    </row>
    <row r="366">
      <c r="A366" s="39">
        <f>IF('3 - Carts &amp; Stands'!B366 = "", "", IF('3 - Carts &amp; Stands-WUO_ERR'!A366 = "", "Validated", HYPERLINK("#" &amp; ADDRESS(366, '3 - Carts &amp; Stands-WUO_TRK'!A366),_xlfn.TEXTAFTER('3 - Carts &amp; Stands-WUO_ERR'!A366, ":"))))</f>
        <v/>
      </c>
    </row>
    <row r="367">
      <c r="A367" s="39">
        <f>IF('3 - Carts &amp; Stands'!B367 = "", "", IF('3 - Carts &amp; Stands-WUO_ERR'!A367 = "", "Validated", HYPERLINK("#" &amp; ADDRESS(367, '3 - Carts &amp; Stands-WUO_TRK'!A367),_xlfn.TEXTAFTER('3 - Carts &amp; Stands-WUO_ERR'!A367, ":"))))</f>
        <v/>
      </c>
    </row>
    <row r="368">
      <c r="A368" s="39">
        <f>IF('3 - Carts &amp; Stands'!B368 = "", "", IF('3 - Carts &amp; Stands-WUO_ERR'!A368 = "", "Validated", HYPERLINK("#" &amp; ADDRESS(368, '3 - Carts &amp; Stands-WUO_TRK'!A368),_xlfn.TEXTAFTER('3 - Carts &amp; Stands-WUO_ERR'!A368, ":"))))</f>
        <v/>
      </c>
    </row>
    <row r="369">
      <c r="A369" s="39">
        <f>IF('3 - Carts &amp; Stands'!B369 = "", "", IF('3 - Carts &amp; Stands-WUO_ERR'!A369 = "", "Validated", HYPERLINK("#" &amp; ADDRESS(369, '3 - Carts &amp; Stands-WUO_TRK'!A369),_xlfn.TEXTAFTER('3 - Carts &amp; Stands-WUO_ERR'!A369, ":"))))</f>
        <v/>
      </c>
    </row>
    <row r="370">
      <c r="A370" s="39">
        <f>IF('3 - Carts &amp; Stands'!B370 = "", "", IF('3 - Carts &amp; Stands-WUO_ERR'!A370 = "", "Validated", HYPERLINK("#" &amp; ADDRESS(370, '3 - Carts &amp; Stands-WUO_TRK'!A370),_xlfn.TEXTAFTER('3 - Carts &amp; Stands-WUO_ERR'!A370, ":"))))</f>
        <v/>
      </c>
    </row>
    <row r="371">
      <c r="A371" s="39">
        <f>IF('3 - Carts &amp; Stands'!B371 = "", "", IF('3 - Carts &amp; Stands-WUO_ERR'!A371 = "", "Validated", HYPERLINK("#" &amp; ADDRESS(371, '3 - Carts &amp; Stands-WUO_TRK'!A371),_xlfn.TEXTAFTER('3 - Carts &amp; Stands-WUO_ERR'!A371, ":"))))</f>
        <v/>
      </c>
    </row>
    <row r="372">
      <c r="A372" s="39">
        <f>IF('3 - Carts &amp; Stands'!B372 = "", "", IF('3 - Carts &amp; Stands-WUO_ERR'!A372 = "", "Validated", HYPERLINK("#" &amp; ADDRESS(372, '3 - Carts &amp; Stands-WUO_TRK'!A372),_xlfn.TEXTAFTER('3 - Carts &amp; Stands-WUO_ERR'!A372, ":"))))</f>
        <v/>
      </c>
    </row>
    <row r="373">
      <c r="A373" s="39">
        <f>IF('3 - Carts &amp; Stands'!B373 = "", "", IF('3 - Carts &amp; Stands-WUO_ERR'!A373 = "", "Validated", HYPERLINK("#" &amp; ADDRESS(373, '3 - Carts &amp; Stands-WUO_TRK'!A373),_xlfn.TEXTAFTER('3 - Carts &amp; Stands-WUO_ERR'!A373, ":"))))</f>
        <v/>
      </c>
    </row>
    <row r="374">
      <c r="A374" s="39">
        <f>IF('3 - Carts &amp; Stands'!B374 = "", "", IF('3 - Carts &amp; Stands-WUO_ERR'!A374 = "", "Validated", HYPERLINK("#" &amp; ADDRESS(374, '3 - Carts &amp; Stands-WUO_TRK'!A374),_xlfn.TEXTAFTER('3 - Carts &amp; Stands-WUO_ERR'!A374, ":"))))</f>
        <v/>
      </c>
    </row>
    <row r="375">
      <c r="A375" s="39">
        <f>IF('3 - Carts &amp; Stands'!B375 = "", "", IF('3 - Carts &amp; Stands-WUO_ERR'!A375 = "", "Validated", HYPERLINK("#" &amp; ADDRESS(375, '3 - Carts &amp; Stands-WUO_TRK'!A375),_xlfn.TEXTAFTER('3 - Carts &amp; Stands-WUO_ERR'!A375, ":"))))</f>
        <v/>
      </c>
    </row>
    <row r="376">
      <c r="A376" s="39">
        <f>IF('3 - Carts &amp; Stands'!B376 = "", "", IF('3 - Carts &amp; Stands-WUO_ERR'!A376 = "", "Validated", HYPERLINK("#" &amp; ADDRESS(376, '3 - Carts &amp; Stands-WUO_TRK'!A376),_xlfn.TEXTAFTER('3 - Carts &amp; Stands-WUO_ERR'!A376, ":"))))</f>
        <v/>
      </c>
    </row>
    <row r="377">
      <c r="A377" s="39">
        <f>IF('3 - Carts &amp; Stands'!B377 = "", "", IF('3 - Carts &amp; Stands-WUO_ERR'!A377 = "", "Validated", HYPERLINK("#" &amp; ADDRESS(377, '3 - Carts &amp; Stands-WUO_TRK'!A377),_xlfn.TEXTAFTER('3 - Carts &amp; Stands-WUO_ERR'!A377, ":"))))</f>
        <v/>
      </c>
    </row>
    <row r="378">
      <c r="A378" s="39">
        <f>IF('3 - Carts &amp; Stands'!B378 = "", "", IF('3 - Carts &amp; Stands-WUO_ERR'!A378 = "", "Validated", HYPERLINK("#" &amp; ADDRESS(378, '3 - Carts &amp; Stands-WUO_TRK'!A378),_xlfn.TEXTAFTER('3 - Carts &amp; Stands-WUO_ERR'!A378, ":"))))</f>
        <v/>
      </c>
    </row>
    <row r="379">
      <c r="A379" s="39">
        <f>IF('3 - Carts &amp; Stands'!B379 = "", "", IF('3 - Carts &amp; Stands-WUO_ERR'!A379 = "", "Validated", HYPERLINK("#" &amp; ADDRESS(379, '3 - Carts &amp; Stands-WUO_TRK'!A379),_xlfn.TEXTAFTER('3 - Carts &amp; Stands-WUO_ERR'!A379, ":"))))</f>
        <v/>
      </c>
    </row>
    <row r="380">
      <c r="A380" s="39">
        <f>IF('3 - Carts &amp; Stands'!B380 = "", "", IF('3 - Carts &amp; Stands-WUO_ERR'!A380 = "", "Validated", HYPERLINK("#" &amp; ADDRESS(380, '3 - Carts &amp; Stands-WUO_TRK'!A380),_xlfn.TEXTAFTER('3 - Carts &amp; Stands-WUO_ERR'!A380, ":"))))</f>
        <v/>
      </c>
    </row>
    <row r="381">
      <c r="A381" s="39">
        <f>IF('3 - Carts &amp; Stands'!B381 = "", "", IF('3 - Carts &amp; Stands-WUO_ERR'!A381 = "", "Validated", HYPERLINK("#" &amp; ADDRESS(381, '3 - Carts &amp; Stands-WUO_TRK'!A381),_xlfn.TEXTAFTER('3 - Carts &amp; Stands-WUO_ERR'!A381, ":"))))</f>
        <v/>
      </c>
    </row>
    <row r="382">
      <c r="A382" s="39">
        <f>IF('3 - Carts &amp; Stands'!B382 = "", "", IF('3 - Carts &amp; Stands-WUO_ERR'!A382 = "", "Validated", HYPERLINK("#" &amp; ADDRESS(382, '3 - Carts &amp; Stands-WUO_TRK'!A382),_xlfn.TEXTAFTER('3 - Carts &amp; Stands-WUO_ERR'!A382, ":"))))</f>
        <v/>
      </c>
    </row>
    <row r="383">
      <c r="A383" s="39">
        <f>IF('3 - Carts &amp; Stands'!B383 = "", "", IF('3 - Carts &amp; Stands-WUO_ERR'!A383 = "", "Validated", HYPERLINK("#" &amp; ADDRESS(383, '3 - Carts &amp; Stands-WUO_TRK'!A383),_xlfn.TEXTAFTER('3 - Carts &amp; Stands-WUO_ERR'!A383, ":"))))</f>
        <v/>
      </c>
    </row>
    <row r="384">
      <c r="A384" s="39">
        <f>IF('3 - Carts &amp; Stands'!B384 = "", "", IF('3 - Carts &amp; Stands-WUO_ERR'!A384 = "", "Validated", HYPERLINK("#" &amp; ADDRESS(384, '3 - Carts &amp; Stands-WUO_TRK'!A384),_xlfn.TEXTAFTER('3 - Carts &amp; Stands-WUO_ERR'!A384, ":"))))</f>
        <v/>
      </c>
    </row>
    <row r="385">
      <c r="A385" s="39">
        <f>IF('3 - Carts &amp; Stands'!B385 = "", "", IF('3 - Carts &amp; Stands-WUO_ERR'!A385 = "", "Validated", HYPERLINK("#" &amp; ADDRESS(385, '3 - Carts &amp; Stands-WUO_TRK'!A385),_xlfn.TEXTAFTER('3 - Carts &amp; Stands-WUO_ERR'!A385, ":"))))</f>
        <v/>
      </c>
    </row>
    <row r="386">
      <c r="A386" s="39">
        <f>IF('3 - Carts &amp; Stands'!B386 = "", "", IF('3 - Carts &amp; Stands-WUO_ERR'!A386 = "", "Validated", HYPERLINK("#" &amp; ADDRESS(386, '3 - Carts &amp; Stands-WUO_TRK'!A386),_xlfn.TEXTAFTER('3 - Carts &amp; Stands-WUO_ERR'!A386, ":"))))</f>
        <v/>
      </c>
    </row>
    <row r="387">
      <c r="A387" s="39">
        <f>IF('3 - Carts &amp; Stands'!B387 = "", "", IF('3 - Carts &amp; Stands-WUO_ERR'!A387 = "", "Validated", HYPERLINK("#" &amp; ADDRESS(387, '3 - Carts &amp; Stands-WUO_TRK'!A387),_xlfn.TEXTAFTER('3 - Carts &amp; Stands-WUO_ERR'!A387, ":"))))</f>
        <v/>
      </c>
    </row>
    <row r="388">
      <c r="A388" s="39">
        <f>IF('3 - Carts &amp; Stands'!B388 = "", "", IF('3 - Carts &amp; Stands-WUO_ERR'!A388 = "", "Validated", HYPERLINK("#" &amp; ADDRESS(388, '3 - Carts &amp; Stands-WUO_TRK'!A388),_xlfn.TEXTAFTER('3 - Carts &amp; Stands-WUO_ERR'!A388, ":"))))</f>
        <v/>
      </c>
    </row>
    <row r="389">
      <c r="A389" s="39">
        <f>IF('3 - Carts &amp; Stands'!B389 = "", "", IF('3 - Carts &amp; Stands-WUO_ERR'!A389 = "", "Validated", HYPERLINK("#" &amp; ADDRESS(389, '3 - Carts &amp; Stands-WUO_TRK'!A389),_xlfn.TEXTAFTER('3 - Carts &amp; Stands-WUO_ERR'!A389, ":"))))</f>
        <v/>
      </c>
    </row>
    <row r="390">
      <c r="A390" s="39">
        <f>IF('3 - Carts &amp; Stands'!B390 = "", "", IF('3 - Carts &amp; Stands-WUO_ERR'!A390 = "", "Validated", HYPERLINK("#" &amp; ADDRESS(390, '3 - Carts &amp; Stands-WUO_TRK'!A390),_xlfn.TEXTAFTER('3 - Carts &amp; Stands-WUO_ERR'!A390, ":"))))</f>
        <v/>
      </c>
    </row>
    <row r="391">
      <c r="A391" s="39">
        <f>IF('3 - Carts &amp; Stands'!B391 = "", "", IF('3 - Carts &amp; Stands-WUO_ERR'!A391 = "", "Validated", HYPERLINK("#" &amp; ADDRESS(391, '3 - Carts &amp; Stands-WUO_TRK'!A391),_xlfn.TEXTAFTER('3 - Carts &amp; Stands-WUO_ERR'!A391, ":"))))</f>
        <v/>
      </c>
    </row>
    <row r="392">
      <c r="A392" s="39">
        <f>IF('3 - Carts &amp; Stands'!B392 = "", "", IF('3 - Carts &amp; Stands-WUO_ERR'!A392 = "", "Validated", HYPERLINK("#" &amp; ADDRESS(392, '3 - Carts &amp; Stands-WUO_TRK'!A392),_xlfn.TEXTAFTER('3 - Carts &amp; Stands-WUO_ERR'!A392, ":"))))</f>
        <v/>
      </c>
    </row>
    <row r="393">
      <c r="A393" s="39">
        <f>IF('3 - Carts &amp; Stands'!B393 = "", "", IF('3 - Carts &amp; Stands-WUO_ERR'!A393 = "", "Validated", HYPERLINK("#" &amp; ADDRESS(393, '3 - Carts &amp; Stands-WUO_TRK'!A393),_xlfn.TEXTAFTER('3 - Carts &amp; Stands-WUO_ERR'!A393, ":"))))</f>
        <v/>
      </c>
    </row>
    <row r="394">
      <c r="A394" s="39">
        <f>IF('3 - Carts &amp; Stands'!B394 = "", "", IF('3 - Carts &amp; Stands-WUO_ERR'!A394 = "", "Validated", HYPERLINK("#" &amp; ADDRESS(394, '3 - Carts &amp; Stands-WUO_TRK'!A394),_xlfn.TEXTAFTER('3 - Carts &amp; Stands-WUO_ERR'!A394, ":"))))</f>
        <v/>
      </c>
    </row>
    <row r="395">
      <c r="A395" s="39">
        <f>IF('3 - Carts &amp; Stands'!B395 = "", "", IF('3 - Carts &amp; Stands-WUO_ERR'!A395 = "", "Validated", HYPERLINK("#" &amp; ADDRESS(395, '3 - Carts &amp; Stands-WUO_TRK'!A395),_xlfn.TEXTAFTER('3 - Carts &amp; Stands-WUO_ERR'!A395, ":"))))</f>
        <v/>
      </c>
    </row>
    <row r="396">
      <c r="A396" s="39">
        <f>IF('3 - Carts &amp; Stands'!B396 = "", "", IF('3 - Carts &amp; Stands-WUO_ERR'!A396 = "", "Validated", HYPERLINK("#" &amp; ADDRESS(396, '3 - Carts &amp; Stands-WUO_TRK'!A396),_xlfn.TEXTAFTER('3 - Carts &amp; Stands-WUO_ERR'!A396, ":"))))</f>
        <v/>
      </c>
    </row>
    <row r="397">
      <c r="A397" s="39">
        <f>IF('3 - Carts &amp; Stands'!B397 = "", "", IF('3 - Carts &amp; Stands-WUO_ERR'!A397 = "", "Validated", HYPERLINK("#" &amp; ADDRESS(397, '3 - Carts &amp; Stands-WUO_TRK'!A397),_xlfn.TEXTAFTER('3 - Carts &amp; Stands-WUO_ERR'!A397, ":"))))</f>
        <v/>
      </c>
    </row>
    <row r="398">
      <c r="A398" s="39">
        <f>IF('3 - Carts &amp; Stands'!B398 = "", "", IF('3 - Carts &amp; Stands-WUO_ERR'!A398 = "", "Validated", HYPERLINK("#" &amp; ADDRESS(398, '3 - Carts &amp; Stands-WUO_TRK'!A398),_xlfn.TEXTAFTER('3 - Carts &amp; Stands-WUO_ERR'!A398, ":"))))</f>
        <v/>
      </c>
    </row>
    <row r="399">
      <c r="A399" s="39">
        <f>IF('3 - Carts &amp; Stands'!B399 = "", "", IF('3 - Carts &amp; Stands-WUO_ERR'!A399 = "", "Validated", HYPERLINK("#" &amp; ADDRESS(399, '3 - Carts &amp; Stands-WUO_TRK'!A399),_xlfn.TEXTAFTER('3 - Carts &amp; Stands-WUO_ERR'!A399, ":"))))</f>
        <v/>
      </c>
    </row>
    <row r="400">
      <c r="A400" s="39">
        <f>IF('3 - Carts &amp; Stands'!B400 = "", "", IF('3 - Carts &amp; Stands-WUO_ERR'!A400 = "", "Validated", HYPERLINK("#" &amp; ADDRESS(400, '3 - Carts &amp; Stands-WUO_TRK'!A400),_xlfn.TEXTAFTER('3 - Carts &amp; Stands-WUO_ERR'!A400, ":"))))</f>
        <v/>
      </c>
    </row>
    <row r="401">
      <c r="A401" s="39">
        <f>IF('3 - Carts &amp; Stands'!B401 = "", "", IF('3 - Carts &amp; Stands-WUO_ERR'!A401 = "", "Validated", HYPERLINK("#" &amp; ADDRESS(401, '3 - Carts &amp; Stands-WUO_TRK'!A401),_xlfn.TEXTAFTER('3 - Carts &amp; Stands-WUO_ERR'!A401, ":"))))</f>
        <v/>
      </c>
    </row>
    <row r="402">
      <c r="A402" s="39">
        <f>IF('3 - Carts &amp; Stands'!B402 = "", "", IF('3 - Carts &amp; Stands-WUO_ERR'!A402 = "", "Validated", HYPERLINK("#" &amp; ADDRESS(402, '3 - Carts &amp; Stands-WUO_TRK'!A402),_xlfn.TEXTAFTER('3 - Carts &amp; Stands-WUO_ERR'!A402, ":"))))</f>
        <v/>
      </c>
    </row>
    <row r="403">
      <c r="A403" s="39">
        <f>IF('3 - Carts &amp; Stands'!B403 = "", "", IF('3 - Carts &amp; Stands-WUO_ERR'!A403 = "", "Validated", HYPERLINK("#" &amp; ADDRESS(403, '3 - Carts &amp; Stands-WUO_TRK'!A403),_xlfn.TEXTAFTER('3 - Carts &amp; Stands-WUO_ERR'!A403, ":"))))</f>
        <v/>
      </c>
    </row>
    <row r="404">
      <c r="A404" s="39">
        <f>IF('3 - Carts &amp; Stands'!B404 = "", "", IF('3 - Carts &amp; Stands-WUO_ERR'!A404 = "", "Validated", HYPERLINK("#" &amp; ADDRESS(404, '3 - Carts &amp; Stands-WUO_TRK'!A404),_xlfn.TEXTAFTER('3 - Carts &amp; Stands-WUO_ERR'!A404, ":"))))</f>
        <v/>
      </c>
    </row>
    <row r="405">
      <c r="A405" s="39">
        <f>IF('3 - Carts &amp; Stands'!B405 = "", "", IF('3 - Carts &amp; Stands-WUO_ERR'!A405 = "", "Validated", HYPERLINK("#" &amp; ADDRESS(405, '3 - Carts &amp; Stands-WUO_TRK'!A405),_xlfn.TEXTAFTER('3 - Carts &amp; Stands-WUO_ERR'!A405, ":"))))</f>
        <v/>
      </c>
    </row>
    <row r="406">
      <c r="A406" s="39">
        <f>IF('3 - Carts &amp; Stands'!B406 = "", "", IF('3 - Carts &amp; Stands-WUO_ERR'!A406 = "", "Validated", HYPERLINK("#" &amp; ADDRESS(406, '3 - Carts &amp; Stands-WUO_TRK'!A406),_xlfn.TEXTAFTER('3 - Carts &amp; Stands-WUO_ERR'!A406, ":"))))</f>
        <v/>
      </c>
    </row>
    <row r="407">
      <c r="A407" s="39">
        <f>IF('3 - Carts &amp; Stands'!B407 = "", "", IF('3 - Carts &amp; Stands-WUO_ERR'!A407 = "", "Validated", HYPERLINK("#" &amp; ADDRESS(407, '3 - Carts &amp; Stands-WUO_TRK'!A407),_xlfn.TEXTAFTER('3 - Carts &amp; Stands-WUO_ERR'!A407, ":"))))</f>
        <v/>
      </c>
    </row>
    <row r="408">
      <c r="A408" s="39">
        <f>IF('3 - Carts &amp; Stands'!B408 = "", "", IF('3 - Carts &amp; Stands-WUO_ERR'!A408 = "", "Validated", HYPERLINK("#" &amp; ADDRESS(408, '3 - Carts &amp; Stands-WUO_TRK'!A408),_xlfn.TEXTAFTER('3 - Carts &amp; Stands-WUO_ERR'!A408, ":"))))</f>
        <v/>
      </c>
    </row>
    <row r="409">
      <c r="A409" s="39">
        <f>IF('3 - Carts &amp; Stands'!B409 = "", "", IF('3 - Carts &amp; Stands-WUO_ERR'!A409 = "", "Validated", HYPERLINK("#" &amp; ADDRESS(409, '3 - Carts &amp; Stands-WUO_TRK'!A409),_xlfn.TEXTAFTER('3 - Carts &amp; Stands-WUO_ERR'!A409, ":"))))</f>
        <v/>
      </c>
    </row>
    <row r="410">
      <c r="A410" s="39">
        <f>IF('3 - Carts &amp; Stands'!B410 = "", "", IF('3 - Carts &amp; Stands-WUO_ERR'!A410 = "", "Validated", HYPERLINK("#" &amp; ADDRESS(410, '3 - Carts &amp; Stands-WUO_TRK'!A410),_xlfn.TEXTAFTER('3 - Carts &amp; Stands-WUO_ERR'!A410, ":"))))</f>
        <v/>
      </c>
    </row>
    <row r="411">
      <c r="A411" s="39">
        <f>IF('3 - Carts &amp; Stands'!B411 = "", "", IF('3 - Carts &amp; Stands-WUO_ERR'!A411 = "", "Validated", HYPERLINK("#" &amp; ADDRESS(411, '3 - Carts &amp; Stands-WUO_TRK'!A411),_xlfn.TEXTAFTER('3 - Carts &amp; Stands-WUO_ERR'!A411, ":"))))</f>
        <v/>
      </c>
    </row>
    <row r="412">
      <c r="A412" s="39">
        <f>IF('3 - Carts &amp; Stands'!B412 = "", "", IF('3 - Carts &amp; Stands-WUO_ERR'!A412 = "", "Validated", HYPERLINK("#" &amp; ADDRESS(412, '3 - Carts &amp; Stands-WUO_TRK'!A412),_xlfn.TEXTAFTER('3 - Carts &amp; Stands-WUO_ERR'!A412, ":"))))</f>
        <v/>
      </c>
    </row>
    <row r="413">
      <c r="A413" s="39">
        <f>IF('3 - Carts &amp; Stands'!B413 = "", "", IF('3 - Carts &amp; Stands-WUO_ERR'!A413 = "", "Validated", HYPERLINK("#" &amp; ADDRESS(413, '3 - Carts &amp; Stands-WUO_TRK'!A413),_xlfn.TEXTAFTER('3 - Carts &amp; Stands-WUO_ERR'!A413, ":"))))</f>
        <v/>
      </c>
    </row>
    <row r="414">
      <c r="A414" s="39">
        <f>IF('3 - Carts &amp; Stands'!B414 = "", "", IF('3 - Carts &amp; Stands-WUO_ERR'!A414 = "", "Validated", HYPERLINK("#" &amp; ADDRESS(414, '3 - Carts &amp; Stands-WUO_TRK'!A414),_xlfn.TEXTAFTER('3 - Carts &amp; Stands-WUO_ERR'!A414, ":"))))</f>
        <v/>
      </c>
    </row>
    <row r="415">
      <c r="A415" s="39">
        <f>IF('3 - Carts &amp; Stands'!B415 = "", "", IF('3 - Carts &amp; Stands-WUO_ERR'!A415 = "", "Validated", HYPERLINK("#" &amp; ADDRESS(415, '3 - Carts &amp; Stands-WUO_TRK'!A415),_xlfn.TEXTAFTER('3 - Carts &amp; Stands-WUO_ERR'!A415, ":"))))</f>
        <v/>
      </c>
    </row>
    <row r="416">
      <c r="A416" s="39">
        <f>IF('3 - Carts &amp; Stands'!B416 = "", "", IF('3 - Carts &amp; Stands-WUO_ERR'!A416 = "", "Validated", HYPERLINK("#" &amp; ADDRESS(416, '3 - Carts &amp; Stands-WUO_TRK'!A416),_xlfn.TEXTAFTER('3 - Carts &amp; Stands-WUO_ERR'!A416, ":"))))</f>
        <v/>
      </c>
    </row>
    <row r="417">
      <c r="A417" s="39">
        <f>IF('3 - Carts &amp; Stands'!B417 = "", "", IF('3 - Carts &amp; Stands-WUO_ERR'!A417 = "", "Validated", HYPERLINK("#" &amp; ADDRESS(417, '3 - Carts &amp; Stands-WUO_TRK'!A417),_xlfn.TEXTAFTER('3 - Carts &amp; Stands-WUO_ERR'!A417, ":"))))</f>
        <v/>
      </c>
    </row>
    <row r="418">
      <c r="A418" s="39">
        <f>IF('3 - Carts &amp; Stands'!B418 = "", "", IF('3 - Carts &amp; Stands-WUO_ERR'!A418 = "", "Validated", HYPERLINK("#" &amp; ADDRESS(418, '3 - Carts &amp; Stands-WUO_TRK'!A418),_xlfn.TEXTAFTER('3 - Carts &amp; Stands-WUO_ERR'!A418, ":"))))</f>
        <v/>
      </c>
    </row>
    <row r="419">
      <c r="A419" s="39">
        <f>IF('3 - Carts &amp; Stands'!B419 = "", "", IF('3 - Carts &amp; Stands-WUO_ERR'!A419 = "", "Validated", HYPERLINK("#" &amp; ADDRESS(419, '3 - Carts &amp; Stands-WUO_TRK'!A419),_xlfn.TEXTAFTER('3 - Carts &amp; Stands-WUO_ERR'!A419, ":"))))</f>
        <v/>
      </c>
    </row>
    <row r="420">
      <c r="A420" s="39">
        <f>IF('3 - Carts &amp; Stands'!B420 = "", "", IF('3 - Carts &amp; Stands-WUO_ERR'!A420 = "", "Validated", HYPERLINK("#" &amp; ADDRESS(420, '3 - Carts &amp; Stands-WUO_TRK'!A420),_xlfn.TEXTAFTER('3 - Carts &amp; Stands-WUO_ERR'!A420, ":"))))</f>
        <v/>
      </c>
    </row>
    <row r="421">
      <c r="A421" s="39">
        <f>IF('3 - Carts &amp; Stands'!B421 = "", "", IF('3 - Carts &amp; Stands-WUO_ERR'!A421 = "", "Validated", HYPERLINK("#" &amp; ADDRESS(421, '3 - Carts &amp; Stands-WUO_TRK'!A421),_xlfn.TEXTAFTER('3 - Carts &amp; Stands-WUO_ERR'!A421, ":"))))</f>
        <v/>
      </c>
    </row>
    <row r="422">
      <c r="A422" s="39">
        <f>IF('3 - Carts &amp; Stands'!B422 = "", "", IF('3 - Carts &amp; Stands-WUO_ERR'!A422 = "", "Validated", HYPERLINK("#" &amp; ADDRESS(422, '3 - Carts &amp; Stands-WUO_TRK'!A422),_xlfn.TEXTAFTER('3 - Carts &amp; Stands-WUO_ERR'!A422, ":"))))</f>
        <v/>
      </c>
    </row>
    <row r="423">
      <c r="A423" s="39">
        <f>IF('3 - Carts &amp; Stands'!B423 = "", "", IF('3 - Carts &amp; Stands-WUO_ERR'!A423 = "", "Validated", HYPERLINK("#" &amp; ADDRESS(423, '3 - Carts &amp; Stands-WUO_TRK'!A423),_xlfn.TEXTAFTER('3 - Carts &amp; Stands-WUO_ERR'!A423, ":"))))</f>
        <v/>
      </c>
    </row>
    <row r="424">
      <c r="A424" s="39">
        <f>IF('3 - Carts &amp; Stands'!B424 = "", "", IF('3 - Carts &amp; Stands-WUO_ERR'!A424 = "", "Validated", HYPERLINK("#" &amp; ADDRESS(424, '3 - Carts &amp; Stands-WUO_TRK'!A424),_xlfn.TEXTAFTER('3 - Carts &amp; Stands-WUO_ERR'!A424, ":"))))</f>
        <v/>
      </c>
    </row>
    <row r="425">
      <c r="A425" s="39">
        <f>IF('3 - Carts &amp; Stands'!B425 = "", "", IF('3 - Carts &amp; Stands-WUO_ERR'!A425 = "", "Validated", HYPERLINK("#" &amp; ADDRESS(425, '3 - Carts &amp; Stands-WUO_TRK'!A425),_xlfn.TEXTAFTER('3 - Carts &amp; Stands-WUO_ERR'!A425, ":"))))</f>
        <v/>
      </c>
    </row>
    <row r="426">
      <c r="A426" s="39">
        <f>IF('3 - Carts &amp; Stands'!B426 = "", "", IF('3 - Carts &amp; Stands-WUO_ERR'!A426 = "", "Validated", HYPERLINK("#" &amp; ADDRESS(426, '3 - Carts &amp; Stands-WUO_TRK'!A426),_xlfn.TEXTAFTER('3 - Carts &amp; Stands-WUO_ERR'!A426, ":"))))</f>
        <v/>
      </c>
    </row>
    <row r="427">
      <c r="A427" s="39">
        <f>IF('3 - Carts &amp; Stands'!B427 = "", "", IF('3 - Carts &amp; Stands-WUO_ERR'!A427 = "", "Validated", HYPERLINK("#" &amp; ADDRESS(427, '3 - Carts &amp; Stands-WUO_TRK'!A427),_xlfn.TEXTAFTER('3 - Carts &amp; Stands-WUO_ERR'!A427, ":"))))</f>
        <v/>
      </c>
    </row>
    <row r="428">
      <c r="A428" s="39">
        <f>IF('3 - Carts &amp; Stands'!B428 = "", "", IF('3 - Carts &amp; Stands-WUO_ERR'!A428 = "", "Validated", HYPERLINK("#" &amp; ADDRESS(428, '3 - Carts &amp; Stands-WUO_TRK'!A428),_xlfn.TEXTAFTER('3 - Carts &amp; Stands-WUO_ERR'!A428, ":"))))</f>
        <v/>
      </c>
    </row>
    <row r="429">
      <c r="A429" s="39">
        <f>IF('3 - Carts &amp; Stands'!B429 = "", "", IF('3 - Carts &amp; Stands-WUO_ERR'!A429 = "", "Validated", HYPERLINK("#" &amp; ADDRESS(429, '3 - Carts &amp; Stands-WUO_TRK'!A429),_xlfn.TEXTAFTER('3 - Carts &amp; Stands-WUO_ERR'!A429, ":"))))</f>
        <v/>
      </c>
    </row>
    <row r="430">
      <c r="A430" s="39">
        <f>IF('3 - Carts &amp; Stands'!B430 = "", "", IF('3 - Carts &amp; Stands-WUO_ERR'!A430 = "", "Validated", HYPERLINK("#" &amp; ADDRESS(430, '3 - Carts &amp; Stands-WUO_TRK'!A430),_xlfn.TEXTAFTER('3 - Carts &amp; Stands-WUO_ERR'!A430, ":"))))</f>
        <v/>
      </c>
    </row>
    <row r="431">
      <c r="A431" s="39">
        <f>IF('3 - Carts &amp; Stands'!B431 = "", "", IF('3 - Carts &amp; Stands-WUO_ERR'!A431 = "", "Validated", HYPERLINK("#" &amp; ADDRESS(431, '3 - Carts &amp; Stands-WUO_TRK'!A431),_xlfn.TEXTAFTER('3 - Carts &amp; Stands-WUO_ERR'!A431, ":"))))</f>
        <v/>
      </c>
    </row>
    <row r="432">
      <c r="A432" s="39">
        <f>IF('3 - Carts &amp; Stands'!B432 = "", "", IF('3 - Carts &amp; Stands-WUO_ERR'!A432 = "", "Validated", HYPERLINK("#" &amp; ADDRESS(432, '3 - Carts &amp; Stands-WUO_TRK'!A432),_xlfn.TEXTAFTER('3 - Carts &amp; Stands-WUO_ERR'!A432, ":"))))</f>
        <v/>
      </c>
    </row>
    <row r="433">
      <c r="A433" s="39">
        <f>IF('3 - Carts &amp; Stands'!B433 = "", "", IF('3 - Carts &amp; Stands-WUO_ERR'!A433 = "", "Validated", HYPERLINK("#" &amp; ADDRESS(433, '3 - Carts &amp; Stands-WUO_TRK'!A433),_xlfn.TEXTAFTER('3 - Carts &amp; Stands-WUO_ERR'!A433, ":"))))</f>
        <v/>
      </c>
    </row>
    <row r="434">
      <c r="A434" s="39">
        <f>IF('3 - Carts &amp; Stands'!B434 = "", "", IF('3 - Carts &amp; Stands-WUO_ERR'!A434 = "", "Validated", HYPERLINK("#" &amp; ADDRESS(434, '3 - Carts &amp; Stands-WUO_TRK'!A434),_xlfn.TEXTAFTER('3 - Carts &amp; Stands-WUO_ERR'!A434, ":"))))</f>
        <v/>
      </c>
    </row>
    <row r="435">
      <c r="A435" s="39">
        <f>IF('3 - Carts &amp; Stands'!B435 = "", "", IF('3 - Carts &amp; Stands-WUO_ERR'!A435 = "", "Validated", HYPERLINK("#" &amp; ADDRESS(435, '3 - Carts &amp; Stands-WUO_TRK'!A435),_xlfn.TEXTAFTER('3 - Carts &amp; Stands-WUO_ERR'!A435, ":"))))</f>
        <v/>
      </c>
    </row>
    <row r="436">
      <c r="A436" s="39">
        <f>IF('3 - Carts &amp; Stands'!B436 = "", "", IF('3 - Carts &amp; Stands-WUO_ERR'!A436 = "", "Validated", HYPERLINK("#" &amp; ADDRESS(436, '3 - Carts &amp; Stands-WUO_TRK'!A436),_xlfn.TEXTAFTER('3 - Carts &amp; Stands-WUO_ERR'!A436, ":"))))</f>
        <v/>
      </c>
    </row>
    <row r="437">
      <c r="A437" s="39">
        <f>IF('3 - Carts &amp; Stands'!B437 = "", "", IF('3 - Carts &amp; Stands-WUO_ERR'!A437 = "", "Validated", HYPERLINK("#" &amp; ADDRESS(437, '3 - Carts &amp; Stands-WUO_TRK'!A437),_xlfn.TEXTAFTER('3 - Carts &amp; Stands-WUO_ERR'!A437, ":"))))</f>
        <v/>
      </c>
    </row>
    <row r="438">
      <c r="A438" s="39">
        <f>IF('3 - Carts &amp; Stands'!B438 = "", "", IF('3 - Carts &amp; Stands-WUO_ERR'!A438 = "", "Validated", HYPERLINK("#" &amp; ADDRESS(438, '3 - Carts &amp; Stands-WUO_TRK'!A438),_xlfn.TEXTAFTER('3 - Carts &amp; Stands-WUO_ERR'!A438, ":"))))</f>
        <v/>
      </c>
    </row>
    <row r="439">
      <c r="A439" s="39">
        <f>IF('3 - Carts &amp; Stands'!B439 = "", "", IF('3 - Carts &amp; Stands-WUO_ERR'!A439 = "", "Validated", HYPERLINK("#" &amp; ADDRESS(439, '3 - Carts &amp; Stands-WUO_TRK'!A439),_xlfn.TEXTAFTER('3 - Carts &amp; Stands-WUO_ERR'!A439, ":"))))</f>
        <v/>
      </c>
    </row>
    <row r="440">
      <c r="A440" s="39">
        <f>IF('3 - Carts &amp; Stands'!B440 = "", "", IF('3 - Carts &amp; Stands-WUO_ERR'!A440 = "", "Validated", HYPERLINK("#" &amp; ADDRESS(440, '3 - Carts &amp; Stands-WUO_TRK'!A440),_xlfn.TEXTAFTER('3 - Carts &amp; Stands-WUO_ERR'!A440, ":"))))</f>
        <v/>
      </c>
    </row>
    <row r="441">
      <c r="A441" s="39">
        <f>IF('3 - Carts &amp; Stands'!B441 = "", "", IF('3 - Carts &amp; Stands-WUO_ERR'!A441 = "", "Validated", HYPERLINK("#" &amp; ADDRESS(441, '3 - Carts &amp; Stands-WUO_TRK'!A441),_xlfn.TEXTAFTER('3 - Carts &amp; Stands-WUO_ERR'!A441, ":"))))</f>
        <v/>
      </c>
    </row>
    <row r="442">
      <c r="A442" s="39">
        <f>IF('3 - Carts &amp; Stands'!B442 = "", "", IF('3 - Carts &amp; Stands-WUO_ERR'!A442 = "", "Validated", HYPERLINK("#" &amp; ADDRESS(442, '3 - Carts &amp; Stands-WUO_TRK'!A442),_xlfn.TEXTAFTER('3 - Carts &amp; Stands-WUO_ERR'!A442, ":"))))</f>
        <v/>
      </c>
    </row>
    <row r="443">
      <c r="A443" s="39">
        <f>IF('3 - Carts &amp; Stands'!B443 = "", "", IF('3 - Carts &amp; Stands-WUO_ERR'!A443 = "", "Validated", HYPERLINK("#" &amp; ADDRESS(443, '3 - Carts &amp; Stands-WUO_TRK'!A443),_xlfn.TEXTAFTER('3 - Carts &amp; Stands-WUO_ERR'!A443, ":"))))</f>
        <v/>
      </c>
    </row>
    <row r="444">
      <c r="A444" s="39">
        <f>IF('3 - Carts &amp; Stands'!B444 = "", "", IF('3 - Carts &amp; Stands-WUO_ERR'!A444 = "", "Validated", HYPERLINK("#" &amp; ADDRESS(444, '3 - Carts &amp; Stands-WUO_TRK'!A444),_xlfn.TEXTAFTER('3 - Carts &amp; Stands-WUO_ERR'!A444, ":"))))</f>
        <v/>
      </c>
    </row>
    <row r="445">
      <c r="A445" s="39">
        <f>IF('3 - Carts &amp; Stands'!B445 = "", "", IF('3 - Carts &amp; Stands-WUO_ERR'!A445 = "", "Validated", HYPERLINK("#" &amp; ADDRESS(445, '3 - Carts &amp; Stands-WUO_TRK'!A445),_xlfn.TEXTAFTER('3 - Carts &amp; Stands-WUO_ERR'!A445, ":"))))</f>
        <v/>
      </c>
    </row>
    <row r="446">
      <c r="A446" s="39">
        <f>IF('3 - Carts &amp; Stands'!B446 = "", "", IF('3 - Carts &amp; Stands-WUO_ERR'!A446 = "", "Validated", HYPERLINK("#" &amp; ADDRESS(446, '3 - Carts &amp; Stands-WUO_TRK'!A446),_xlfn.TEXTAFTER('3 - Carts &amp; Stands-WUO_ERR'!A446, ":"))))</f>
        <v/>
      </c>
    </row>
    <row r="447">
      <c r="A447" s="39">
        <f>IF('3 - Carts &amp; Stands'!B447 = "", "", IF('3 - Carts &amp; Stands-WUO_ERR'!A447 = "", "Validated", HYPERLINK("#" &amp; ADDRESS(447, '3 - Carts &amp; Stands-WUO_TRK'!A447),_xlfn.TEXTAFTER('3 - Carts &amp; Stands-WUO_ERR'!A447, ":"))))</f>
        <v/>
      </c>
    </row>
    <row r="448">
      <c r="A448" s="39">
        <f>IF('3 - Carts &amp; Stands'!B448 = "", "", IF('3 - Carts &amp; Stands-WUO_ERR'!A448 = "", "Validated", HYPERLINK("#" &amp; ADDRESS(448, '3 - Carts &amp; Stands-WUO_TRK'!A448),_xlfn.TEXTAFTER('3 - Carts &amp; Stands-WUO_ERR'!A448, ":"))))</f>
        <v/>
      </c>
    </row>
    <row r="449">
      <c r="A449" s="39">
        <f>IF('3 - Carts &amp; Stands'!B449 = "", "", IF('3 - Carts &amp; Stands-WUO_ERR'!A449 = "", "Validated", HYPERLINK("#" &amp; ADDRESS(449, '3 - Carts &amp; Stands-WUO_TRK'!A449),_xlfn.TEXTAFTER('3 - Carts &amp; Stands-WUO_ERR'!A449, ":"))))</f>
        <v/>
      </c>
    </row>
    <row r="450">
      <c r="A450" s="39">
        <f>IF('3 - Carts &amp; Stands'!B450 = "", "", IF('3 - Carts &amp; Stands-WUO_ERR'!A450 = "", "Validated", HYPERLINK("#" &amp; ADDRESS(450, '3 - Carts &amp; Stands-WUO_TRK'!A450),_xlfn.TEXTAFTER('3 - Carts &amp; Stands-WUO_ERR'!A450, ":"))))</f>
        <v/>
      </c>
    </row>
    <row r="451">
      <c r="A451" s="39">
        <f>IF('3 - Carts &amp; Stands'!B451 = "", "", IF('3 - Carts &amp; Stands-WUO_ERR'!A451 = "", "Validated", HYPERLINK("#" &amp; ADDRESS(451, '3 - Carts &amp; Stands-WUO_TRK'!A451),_xlfn.TEXTAFTER('3 - Carts &amp; Stands-WUO_ERR'!A451, ":"))))</f>
        <v/>
      </c>
    </row>
    <row r="452">
      <c r="A452" s="39">
        <f>IF('3 - Carts &amp; Stands'!B452 = "", "", IF('3 - Carts &amp; Stands-WUO_ERR'!A452 = "", "Validated", HYPERLINK("#" &amp; ADDRESS(452, '3 - Carts &amp; Stands-WUO_TRK'!A452),_xlfn.TEXTAFTER('3 - Carts &amp; Stands-WUO_ERR'!A452, ":"))))</f>
        <v/>
      </c>
    </row>
    <row r="453">
      <c r="A453" s="39">
        <f>IF('3 - Carts &amp; Stands'!B453 = "", "", IF('3 - Carts &amp; Stands-WUO_ERR'!A453 = "", "Validated", HYPERLINK("#" &amp; ADDRESS(453, '3 - Carts &amp; Stands-WUO_TRK'!A453),_xlfn.TEXTAFTER('3 - Carts &amp; Stands-WUO_ERR'!A453, ":"))))</f>
        <v/>
      </c>
    </row>
    <row r="454">
      <c r="A454" s="39">
        <f>IF('3 - Carts &amp; Stands'!B454 = "", "", IF('3 - Carts &amp; Stands-WUO_ERR'!A454 = "", "Validated", HYPERLINK("#" &amp; ADDRESS(454, '3 - Carts &amp; Stands-WUO_TRK'!A454),_xlfn.TEXTAFTER('3 - Carts &amp; Stands-WUO_ERR'!A454, ":"))))</f>
        <v/>
      </c>
    </row>
    <row r="455">
      <c r="A455" s="39">
        <f>IF('3 - Carts &amp; Stands'!B455 = "", "", IF('3 - Carts &amp; Stands-WUO_ERR'!A455 = "", "Validated", HYPERLINK("#" &amp; ADDRESS(455, '3 - Carts &amp; Stands-WUO_TRK'!A455),_xlfn.TEXTAFTER('3 - Carts &amp; Stands-WUO_ERR'!A455, ":"))))</f>
        <v/>
      </c>
    </row>
    <row r="456">
      <c r="A456" s="39">
        <f>IF('3 - Carts &amp; Stands'!B456 = "", "", IF('3 - Carts &amp; Stands-WUO_ERR'!A456 = "", "Validated", HYPERLINK("#" &amp; ADDRESS(456, '3 - Carts &amp; Stands-WUO_TRK'!A456),_xlfn.TEXTAFTER('3 - Carts &amp; Stands-WUO_ERR'!A456, ":"))))</f>
        <v/>
      </c>
    </row>
    <row r="457">
      <c r="A457" s="39">
        <f>IF('3 - Carts &amp; Stands'!B457 = "", "", IF('3 - Carts &amp; Stands-WUO_ERR'!A457 = "", "Validated", HYPERLINK("#" &amp; ADDRESS(457, '3 - Carts &amp; Stands-WUO_TRK'!A457),_xlfn.TEXTAFTER('3 - Carts &amp; Stands-WUO_ERR'!A457, ":"))))</f>
        <v/>
      </c>
    </row>
    <row r="458">
      <c r="A458" s="39">
        <f>IF('3 - Carts &amp; Stands'!B458 = "", "", IF('3 - Carts &amp; Stands-WUO_ERR'!A458 = "", "Validated", HYPERLINK("#" &amp; ADDRESS(458, '3 - Carts &amp; Stands-WUO_TRK'!A458),_xlfn.TEXTAFTER('3 - Carts &amp; Stands-WUO_ERR'!A458, ":"))))</f>
        <v/>
      </c>
    </row>
    <row r="459">
      <c r="A459" s="39">
        <f>IF('3 - Carts &amp; Stands'!B459 = "", "", IF('3 - Carts &amp; Stands-WUO_ERR'!A459 = "", "Validated", HYPERLINK("#" &amp; ADDRESS(459, '3 - Carts &amp; Stands-WUO_TRK'!A459),_xlfn.TEXTAFTER('3 - Carts &amp; Stands-WUO_ERR'!A459, ":"))))</f>
        <v/>
      </c>
    </row>
    <row r="460">
      <c r="A460" s="39">
        <f>IF('3 - Carts &amp; Stands'!B460 = "", "", IF('3 - Carts &amp; Stands-WUO_ERR'!A460 = "", "Validated", HYPERLINK("#" &amp; ADDRESS(460, '3 - Carts &amp; Stands-WUO_TRK'!A460),_xlfn.TEXTAFTER('3 - Carts &amp; Stands-WUO_ERR'!A460, ":"))))</f>
        <v/>
      </c>
    </row>
    <row r="461">
      <c r="A461" s="39">
        <f>IF('3 - Carts &amp; Stands'!B461 = "", "", IF('3 - Carts &amp; Stands-WUO_ERR'!A461 = "", "Validated", HYPERLINK("#" &amp; ADDRESS(461, '3 - Carts &amp; Stands-WUO_TRK'!A461),_xlfn.TEXTAFTER('3 - Carts &amp; Stands-WUO_ERR'!A461, ":"))))</f>
        <v/>
      </c>
    </row>
    <row r="462">
      <c r="A462" s="39">
        <f>IF('3 - Carts &amp; Stands'!B462 = "", "", IF('3 - Carts &amp; Stands-WUO_ERR'!A462 = "", "Validated", HYPERLINK("#" &amp; ADDRESS(462, '3 - Carts &amp; Stands-WUO_TRK'!A462),_xlfn.TEXTAFTER('3 - Carts &amp; Stands-WUO_ERR'!A462, ":"))))</f>
        <v/>
      </c>
    </row>
    <row r="463">
      <c r="A463" s="39">
        <f>IF('3 - Carts &amp; Stands'!B463 = "", "", IF('3 - Carts &amp; Stands-WUO_ERR'!A463 = "", "Validated", HYPERLINK("#" &amp; ADDRESS(463, '3 - Carts &amp; Stands-WUO_TRK'!A463),_xlfn.TEXTAFTER('3 - Carts &amp; Stands-WUO_ERR'!A463, ":"))))</f>
        <v/>
      </c>
    </row>
    <row r="464">
      <c r="A464" s="39">
        <f>IF('3 - Carts &amp; Stands'!B464 = "", "", IF('3 - Carts &amp; Stands-WUO_ERR'!A464 = "", "Validated", HYPERLINK("#" &amp; ADDRESS(464, '3 - Carts &amp; Stands-WUO_TRK'!A464),_xlfn.TEXTAFTER('3 - Carts &amp; Stands-WUO_ERR'!A464, ":"))))</f>
        <v/>
      </c>
    </row>
    <row r="465">
      <c r="A465" s="39">
        <f>IF('3 - Carts &amp; Stands'!B465 = "", "", IF('3 - Carts &amp; Stands-WUO_ERR'!A465 = "", "Validated", HYPERLINK("#" &amp; ADDRESS(465, '3 - Carts &amp; Stands-WUO_TRK'!A465),_xlfn.TEXTAFTER('3 - Carts &amp; Stands-WUO_ERR'!A465, ":"))))</f>
        <v/>
      </c>
    </row>
    <row r="466">
      <c r="A466" s="39">
        <f>IF('3 - Carts &amp; Stands'!B466 = "", "", IF('3 - Carts &amp; Stands-WUO_ERR'!A466 = "", "Validated", HYPERLINK("#" &amp; ADDRESS(466, '3 - Carts &amp; Stands-WUO_TRK'!A466),_xlfn.TEXTAFTER('3 - Carts &amp; Stands-WUO_ERR'!A466, ":"))))</f>
        <v/>
      </c>
    </row>
    <row r="467">
      <c r="A467" s="39">
        <f>IF('3 - Carts &amp; Stands'!B467 = "", "", IF('3 - Carts &amp; Stands-WUO_ERR'!A467 = "", "Validated", HYPERLINK("#" &amp; ADDRESS(467, '3 - Carts &amp; Stands-WUO_TRK'!A467),_xlfn.TEXTAFTER('3 - Carts &amp; Stands-WUO_ERR'!A467, ":"))))</f>
        <v/>
      </c>
    </row>
    <row r="468">
      <c r="A468" s="39">
        <f>IF('3 - Carts &amp; Stands'!B468 = "", "", IF('3 - Carts &amp; Stands-WUO_ERR'!A468 = "", "Validated", HYPERLINK("#" &amp; ADDRESS(468, '3 - Carts &amp; Stands-WUO_TRK'!A468),_xlfn.TEXTAFTER('3 - Carts &amp; Stands-WUO_ERR'!A468, ":"))))</f>
        <v/>
      </c>
    </row>
    <row r="469">
      <c r="A469" s="39">
        <f>IF('3 - Carts &amp; Stands'!B469 = "", "", IF('3 - Carts &amp; Stands-WUO_ERR'!A469 = "", "Validated", HYPERLINK("#" &amp; ADDRESS(469, '3 - Carts &amp; Stands-WUO_TRK'!A469),_xlfn.TEXTAFTER('3 - Carts &amp; Stands-WUO_ERR'!A469, ":"))))</f>
        <v/>
      </c>
    </row>
    <row r="470">
      <c r="A470" s="39">
        <f>IF('3 - Carts &amp; Stands'!B470 = "", "", IF('3 - Carts &amp; Stands-WUO_ERR'!A470 = "", "Validated", HYPERLINK("#" &amp; ADDRESS(470, '3 - Carts &amp; Stands-WUO_TRK'!A470),_xlfn.TEXTAFTER('3 - Carts &amp; Stands-WUO_ERR'!A470, ":"))))</f>
        <v/>
      </c>
    </row>
    <row r="471">
      <c r="A471" s="39">
        <f>IF('3 - Carts &amp; Stands'!B471 = "", "", IF('3 - Carts &amp; Stands-WUO_ERR'!A471 = "", "Validated", HYPERLINK("#" &amp; ADDRESS(471, '3 - Carts &amp; Stands-WUO_TRK'!A471),_xlfn.TEXTAFTER('3 - Carts &amp; Stands-WUO_ERR'!A471, ":"))))</f>
        <v/>
      </c>
    </row>
    <row r="472">
      <c r="A472" s="39">
        <f>IF('3 - Carts &amp; Stands'!B472 = "", "", IF('3 - Carts &amp; Stands-WUO_ERR'!A472 = "", "Validated", HYPERLINK("#" &amp; ADDRESS(472, '3 - Carts &amp; Stands-WUO_TRK'!A472),_xlfn.TEXTAFTER('3 - Carts &amp; Stands-WUO_ERR'!A472, ":"))))</f>
        <v/>
      </c>
    </row>
    <row r="473">
      <c r="A473" s="39">
        <f>IF('3 - Carts &amp; Stands'!B473 = "", "", IF('3 - Carts &amp; Stands-WUO_ERR'!A473 = "", "Validated", HYPERLINK("#" &amp; ADDRESS(473, '3 - Carts &amp; Stands-WUO_TRK'!A473),_xlfn.TEXTAFTER('3 - Carts &amp; Stands-WUO_ERR'!A473, ":"))))</f>
        <v/>
      </c>
    </row>
    <row r="474">
      <c r="A474" s="39">
        <f>IF('3 - Carts &amp; Stands'!B474 = "", "", IF('3 - Carts &amp; Stands-WUO_ERR'!A474 = "", "Validated", HYPERLINK("#" &amp; ADDRESS(474, '3 - Carts &amp; Stands-WUO_TRK'!A474),_xlfn.TEXTAFTER('3 - Carts &amp; Stands-WUO_ERR'!A474, ":"))))</f>
        <v/>
      </c>
    </row>
    <row r="475">
      <c r="A475" s="39">
        <f>IF('3 - Carts &amp; Stands'!B475 = "", "", IF('3 - Carts &amp; Stands-WUO_ERR'!A475 = "", "Validated", HYPERLINK("#" &amp; ADDRESS(475, '3 - Carts &amp; Stands-WUO_TRK'!A475),_xlfn.TEXTAFTER('3 - Carts &amp; Stands-WUO_ERR'!A475, ":"))))</f>
        <v/>
      </c>
    </row>
    <row r="476">
      <c r="A476" s="39">
        <f>IF('3 - Carts &amp; Stands'!B476 = "", "", IF('3 - Carts &amp; Stands-WUO_ERR'!A476 = "", "Validated", HYPERLINK("#" &amp; ADDRESS(476, '3 - Carts &amp; Stands-WUO_TRK'!A476),_xlfn.TEXTAFTER('3 - Carts &amp; Stands-WUO_ERR'!A476, ":"))))</f>
        <v/>
      </c>
    </row>
    <row r="477">
      <c r="A477" s="39">
        <f>IF('3 - Carts &amp; Stands'!B477 = "", "", IF('3 - Carts &amp; Stands-WUO_ERR'!A477 = "", "Validated", HYPERLINK("#" &amp; ADDRESS(477, '3 - Carts &amp; Stands-WUO_TRK'!A477),_xlfn.TEXTAFTER('3 - Carts &amp; Stands-WUO_ERR'!A477, ":"))))</f>
        <v/>
      </c>
    </row>
    <row r="478">
      <c r="A478" s="39">
        <f>IF('3 - Carts &amp; Stands'!B478 = "", "", IF('3 - Carts &amp; Stands-WUO_ERR'!A478 = "", "Validated", HYPERLINK("#" &amp; ADDRESS(478, '3 - Carts &amp; Stands-WUO_TRK'!A478),_xlfn.TEXTAFTER('3 - Carts &amp; Stands-WUO_ERR'!A478, ":"))))</f>
        <v/>
      </c>
    </row>
    <row r="479">
      <c r="A479" s="39">
        <f>IF('3 - Carts &amp; Stands'!B479 = "", "", IF('3 - Carts &amp; Stands-WUO_ERR'!A479 = "", "Validated", HYPERLINK("#" &amp; ADDRESS(479, '3 - Carts &amp; Stands-WUO_TRK'!A479),_xlfn.TEXTAFTER('3 - Carts &amp; Stands-WUO_ERR'!A479, ":"))))</f>
        <v/>
      </c>
    </row>
    <row r="480">
      <c r="A480" s="39">
        <f>IF('3 - Carts &amp; Stands'!B480 = "", "", IF('3 - Carts &amp; Stands-WUO_ERR'!A480 = "", "Validated", HYPERLINK("#" &amp; ADDRESS(480, '3 - Carts &amp; Stands-WUO_TRK'!A480),_xlfn.TEXTAFTER('3 - Carts &amp; Stands-WUO_ERR'!A480, ":"))))</f>
        <v/>
      </c>
    </row>
    <row r="481">
      <c r="A481" s="39">
        <f>IF('3 - Carts &amp; Stands'!B481 = "", "", IF('3 - Carts &amp; Stands-WUO_ERR'!A481 = "", "Validated", HYPERLINK("#" &amp; ADDRESS(481, '3 - Carts &amp; Stands-WUO_TRK'!A481),_xlfn.TEXTAFTER('3 - Carts &amp; Stands-WUO_ERR'!A481, ":"))))</f>
        <v/>
      </c>
    </row>
    <row r="482">
      <c r="A482" s="39">
        <f>IF('3 - Carts &amp; Stands'!B482 = "", "", IF('3 - Carts &amp; Stands-WUO_ERR'!A482 = "", "Validated", HYPERLINK("#" &amp; ADDRESS(482, '3 - Carts &amp; Stands-WUO_TRK'!A482),_xlfn.TEXTAFTER('3 - Carts &amp; Stands-WUO_ERR'!A482, ":"))))</f>
        <v/>
      </c>
    </row>
    <row r="483">
      <c r="A483" s="39">
        <f>IF('3 - Carts &amp; Stands'!B483 = "", "", IF('3 - Carts &amp; Stands-WUO_ERR'!A483 = "", "Validated", HYPERLINK("#" &amp; ADDRESS(483, '3 - Carts &amp; Stands-WUO_TRK'!A483),_xlfn.TEXTAFTER('3 - Carts &amp; Stands-WUO_ERR'!A483, ":"))))</f>
        <v/>
      </c>
    </row>
    <row r="484">
      <c r="A484" s="39">
        <f>IF('3 - Carts &amp; Stands'!B484 = "", "", IF('3 - Carts &amp; Stands-WUO_ERR'!A484 = "", "Validated", HYPERLINK("#" &amp; ADDRESS(484, '3 - Carts &amp; Stands-WUO_TRK'!A484),_xlfn.TEXTAFTER('3 - Carts &amp; Stands-WUO_ERR'!A484, ":"))))</f>
        <v/>
      </c>
    </row>
    <row r="485">
      <c r="A485" s="39">
        <f>IF('3 - Carts &amp; Stands'!B485 = "", "", IF('3 - Carts &amp; Stands-WUO_ERR'!A485 = "", "Validated", HYPERLINK("#" &amp; ADDRESS(485, '3 - Carts &amp; Stands-WUO_TRK'!A485),_xlfn.TEXTAFTER('3 - Carts &amp; Stands-WUO_ERR'!A485, ":"))))</f>
        <v/>
      </c>
    </row>
    <row r="486">
      <c r="A486" s="39">
        <f>IF('3 - Carts &amp; Stands'!B486 = "", "", IF('3 - Carts &amp; Stands-WUO_ERR'!A486 = "", "Validated", HYPERLINK("#" &amp; ADDRESS(486, '3 - Carts &amp; Stands-WUO_TRK'!A486),_xlfn.TEXTAFTER('3 - Carts &amp; Stands-WUO_ERR'!A486, ":"))))</f>
        <v/>
      </c>
    </row>
    <row r="487">
      <c r="A487" s="39">
        <f>IF('3 - Carts &amp; Stands'!B487 = "", "", IF('3 - Carts &amp; Stands-WUO_ERR'!A487 = "", "Validated", HYPERLINK("#" &amp; ADDRESS(487, '3 - Carts &amp; Stands-WUO_TRK'!A487),_xlfn.TEXTAFTER('3 - Carts &amp; Stands-WUO_ERR'!A487, ":"))))</f>
        <v/>
      </c>
    </row>
    <row r="488">
      <c r="A488" s="39">
        <f>IF('3 - Carts &amp; Stands'!B488 = "", "", IF('3 - Carts &amp; Stands-WUO_ERR'!A488 = "", "Validated", HYPERLINK("#" &amp; ADDRESS(488, '3 - Carts &amp; Stands-WUO_TRK'!A488),_xlfn.TEXTAFTER('3 - Carts &amp; Stands-WUO_ERR'!A488, ":"))))</f>
        <v/>
      </c>
    </row>
    <row r="489">
      <c r="A489" s="39">
        <f>IF('3 - Carts &amp; Stands'!B489 = "", "", IF('3 - Carts &amp; Stands-WUO_ERR'!A489 = "", "Validated", HYPERLINK("#" &amp; ADDRESS(489, '3 - Carts &amp; Stands-WUO_TRK'!A489),_xlfn.TEXTAFTER('3 - Carts &amp; Stands-WUO_ERR'!A489, ":"))))</f>
        <v/>
      </c>
    </row>
    <row r="490">
      <c r="A490" s="39">
        <f>IF('3 - Carts &amp; Stands'!B490 = "", "", IF('3 - Carts &amp; Stands-WUO_ERR'!A490 = "", "Validated", HYPERLINK("#" &amp; ADDRESS(490, '3 - Carts &amp; Stands-WUO_TRK'!A490),_xlfn.TEXTAFTER('3 - Carts &amp; Stands-WUO_ERR'!A490, ":"))))</f>
        <v/>
      </c>
    </row>
    <row r="491">
      <c r="A491" s="39">
        <f>IF('3 - Carts &amp; Stands'!B491 = "", "", IF('3 - Carts &amp; Stands-WUO_ERR'!A491 = "", "Validated", HYPERLINK("#" &amp; ADDRESS(491, '3 - Carts &amp; Stands-WUO_TRK'!A491),_xlfn.TEXTAFTER('3 - Carts &amp; Stands-WUO_ERR'!A491, ":"))))</f>
        <v/>
      </c>
    </row>
    <row r="492">
      <c r="A492" s="39">
        <f>IF('3 - Carts &amp; Stands'!B492 = "", "", IF('3 - Carts &amp; Stands-WUO_ERR'!A492 = "", "Validated", HYPERLINK("#" &amp; ADDRESS(492, '3 - Carts &amp; Stands-WUO_TRK'!A492),_xlfn.TEXTAFTER('3 - Carts &amp; Stands-WUO_ERR'!A492, ":"))))</f>
        <v/>
      </c>
    </row>
    <row r="493">
      <c r="A493" s="39">
        <f>IF('3 - Carts &amp; Stands'!B493 = "", "", IF('3 - Carts &amp; Stands-WUO_ERR'!A493 = "", "Validated", HYPERLINK("#" &amp; ADDRESS(493, '3 - Carts &amp; Stands-WUO_TRK'!A493),_xlfn.TEXTAFTER('3 - Carts &amp; Stands-WUO_ERR'!A493, ":"))))</f>
        <v/>
      </c>
    </row>
    <row r="494">
      <c r="A494" s="39">
        <f>IF('3 - Carts &amp; Stands'!B494 = "", "", IF('3 - Carts &amp; Stands-WUO_ERR'!A494 = "", "Validated", HYPERLINK("#" &amp; ADDRESS(494, '3 - Carts &amp; Stands-WUO_TRK'!A494),_xlfn.TEXTAFTER('3 - Carts &amp; Stands-WUO_ERR'!A494, ":"))))</f>
        <v/>
      </c>
    </row>
    <row r="495">
      <c r="A495" s="39">
        <f>IF('3 - Carts &amp; Stands'!B495 = "", "", IF('3 - Carts &amp; Stands-WUO_ERR'!A495 = "", "Validated", HYPERLINK("#" &amp; ADDRESS(495, '3 - Carts &amp; Stands-WUO_TRK'!A495),_xlfn.TEXTAFTER('3 - Carts &amp; Stands-WUO_ERR'!A495, ":"))))</f>
        <v/>
      </c>
    </row>
    <row r="496">
      <c r="A496" s="39">
        <f>IF('3 - Carts &amp; Stands'!B496 = "", "", IF('3 - Carts &amp; Stands-WUO_ERR'!A496 = "", "Validated", HYPERLINK("#" &amp; ADDRESS(496, '3 - Carts &amp; Stands-WUO_TRK'!A496),_xlfn.TEXTAFTER('3 - Carts &amp; Stands-WUO_ERR'!A496, ":"))))</f>
        <v/>
      </c>
    </row>
    <row r="497">
      <c r="A497" s="39">
        <f>IF('3 - Carts &amp; Stands'!B497 = "", "", IF('3 - Carts &amp; Stands-WUO_ERR'!A497 = "", "Validated", HYPERLINK("#" &amp; ADDRESS(497, '3 - Carts &amp; Stands-WUO_TRK'!A497),_xlfn.TEXTAFTER('3 - Carts &amp; Stands-WUO_ERR'!A497, ":"))))</f>
        <v/>
      </c>
    </row>
    <row r="498">
      <c r="A498" s="39">
        <f>IF('3 - Carts &amp; Stands'!B498 = "", "", IF('3 - Carts &amp; Stands-WUO_ERR'!A498 = "", "Validated", HYPERLINK("#" &amp; ADDRESS(498, '3 - Carts &amp; Stands-WUO_TRK'!A498),_xlfn.TEXTAFTER('3 - Carts &amp; Stands-WUO_ERR'!A498, ":"))))</f>
        <v/>
      </c>
    </row>
    <row r="499">
      <c r="A499" s="39">
        <f>IF('3 - Carts &amp; Stands'!B499 = "", "", IF('3 - Carts &amp; Stands-WUO_ERR'!A499 = "", "Validated", HYPERLINK("#" &amp; ADDRESS(499, '3 - Carts &amp; Stands-WUO_TRK'!A499),_xlfn.TEXTAFTER('3 - Carts &amp; Stands-WUO_ERR'!A499, ":"))))</f>
        <v/>
      </c>
    </row>
    <row r="500">
      <c r="A500" s="39">
        <f>IF('3 - Carts &amp; Stands'!B500 = "", "", IF('3 - Carts &amp; Stands-WUO_ERR'!A500 = "", "Validated", HYPERLINK("#" &amp; ADDRESS(500, '3 - Carts &amp; Stands-WUO_TRK'!A500),_xlfn.TEXTAFTER('3 - Carts &amp; Stands-WUO_ERR'!A500, ":"))))</f>
        <v/>
      </c>
    </row>
    <row r="501">
      <c r="A501" s="39">
        <f>IF('3 - Carts &amp; Stands'!B501 = "", "", IF('3 - Carts &amp; Stands-WUO_ERR'!A501 = "", "Validated", HYPERLINK("#" &amp; ADDRESS(501, '3 - Carts &amp; Stands-WUO_TRK'!A501),_xlfn.TEXTAFTER('3 - Carts &amp; Stands-WUO_ERR'!A501, ":"))))</f>
        <v/>
      </c>
    </row>
    <row r="502">
      <c r="A502" s="39">
        <f>IF('3 - Carts &amp; Stands'!B502 = "", "", IF('3 - Carts &amp; Stands-WUO_ERR'!A502 = "", "Validated", HYPERLINK("#" &amp; ADDRESS(502, '3 - Carts &amp; Stands-WUO_TRK'!A502),_xlfn.TEXTAFTER('3 - Carts &amp; Stands-WUO_ERR'!A502, ":"))))</f>
        <v/>
      </c>
    </row>
    <row r="503">
      <c r="A503" s="39">
        <f>IF('3 - Carts &amp; Stands'!B503 = "", "", IF('3 - Carts &amp; Stands-WUO_ERR'!A503 = "", "Validated", HYPERLINK("#" &amp; ADDRESS(503, '3 - Carts &amp; Stands-WUO_TRK'!A503),_xlfn.TEXTAFTER('3 - Carts &amp; Stands-WUO_ERR'!A503, ":"))))</f>
        <v/>
      </c>
    </row>
    <row r="504">
      <c r="A504" s="39">
        <f>IF('3 - Carts &amp; Stands'!B504 = "", "", IF('3 - Carts &amp; Stands-WUO_ERR'!A504 = "", "Validated", HYPERLINK("#" &amp; ADDRESS(504, '3 - Carts &amp; Stands-WUO_TRK'!A504),_xlfn.TEXTAFTER('3 - Carts &amp; Stands-WUO_ERR'!A504, ":"))))</f>
        <v/>
      </c>
    </row>
    <row r="505">
      <c r="A505" s="39">
        <f>IF('3 - Carts &amp; Stands'!B505 = "", "", IF('3 - Carts &amp; Stands-WUO_ERR'!A505 = "", "Validated", HYPERLINK("#" &amp; ADDRESS(505, '3 - Carts &amp; Stands-WUO_TRK'!A505),_xlfn.TEXTAFTER('3 - Carts &amp; Stands-WUO_ERR'!A505, ":"))))</f>
        <v/>
      </c>
    </row>
    <row r="506">
      <c r="A506" s="39">
        <f>IF('3 - Carts &amp; Stands'!B506 = "", "", IF('3 - Carts &amp; Stands-WUO_ERR'!A506 = "", "Validated", HYPERLINK("#" &amp; ADDRESS(506, '3 - Carts &amp; Stands-WUO_TRK'!A506),_xlfn.TEXTAFTER('3 - Carts &amp; Stands-WUO_ERR'!A506, ":"))))</f>
        <v/>
      </c>
    </row>
    <row r="507">
      <c r="A507" s="39">
        <f>IF('3 - Carts &amp; Stands'!B507 = "", "", IF('3 - Carts &amp; Stands-WUO_ERR'!A507 = "", "Validated", HYPERLINK("#" &amp; ADDRESS(507, '3 - Carts &amp; Stands-WUO_TRK'!A507),_xlfn.TEXTAFTER('3 - Carts &amp; Stands-WUO_ERR'!A507, ":"))))</f>
        <v/>
      </c>
    </row>
  </sheetData>
  <sheetProtection selectLockedCells="0" selectUnlockedCells="0" sheet="1" objects="1" insertRows="1" insertHyperlinks="1" autoFilter="1" scenarios="1" formatColumns="0" deleteColumns="1" insertColumns="1" pivotTables="1" deleteRows="1" formatCells="1" formatRows="0" sort="1" password="A46A"/>
  <mergeCells count="9">
    <mergeCell ref="AL2:AO2"/>
    <mergeCell ref="AP2:AS2"/>
    <mergeCell ref="U2:Z2"/>
    <mergeCell ref="R2:T2"/>
    <mergeCell ref="B2:I2"/>
    <mergeCell ref="AA2:AK2"/>
    <mergeCell ref="AT2:BN2"/>
    <mergeCell ref="J2:Q2"/>
    <mergeCell ref="BO2:DX2"/>
  </mergeCells>
  <conditionalFormatting sqref="A8:A507">
    <cfRule type="expression" priority="5" dxfId="4">
      <formula>A8="Validated"</formula>
    </cfRule>
    <cfRule type="expression" priority="6" dxfId="5">
      <formula>OR(COUNTIF('3 - Carts &amp; Stands-WUO_TRK'!B8:DY8,"Error"),COUNTIF('3 - Carts &amp; Stands-WUO_TRK'!B8:DY8,"Required"))</formula>
    </cfRule>
    <cfRule type="expression" priority="7" dxfId="6">
      <formula>COUNTIF('3 - Carts &amp; Stands-WUO_TRK'!B8:DY8,"Warning")</formula>
    </cfRule>
  </conditionalFormatting>
  <conditionalFormatting sqref="AA7">
    <cfRule type="notContainsBlanks" priority="38" dxfId="7">
      <formula>LEN(TRIM(AA7))&gt;0</formula>
    </cfRule>
    <cfRule type="containsBlanks" priority="39" dxfId="8">
      <formula>LEN(TRIM(AA7))=0</formula>
    </cfRule>
  </conditionalFormatting>
  <conditionalFormatting sqref="AA8:AA2501">
    <cfRule type="expression" priority="40" dxfId="7">
      <formula>AND($AA$7&lt;&gt;"", AA8="")</formula>
    </cfRule>
  </conditionalFormatting>
  <conditionalFormatting sqref="AB7">
    <cfRule type="notContainsBlanks" priority="41" dxfId="7">
      <formula>LEN(TRIM(AB7))&gt;0</formula>
    </cfRule>
    <cfRule type="containsBlanks" priority="42" dxfId="8">
      <formula>LEN(TRIM(AB7))=0</formula>
    </cfRule>
  </conditionalFormatting>
  <conditionalFormatting sqref="AB8:AB2501">
    <cfRule type="expression" priority="43" dxfId="7">
      <formula>AND($AB$7&lt;&gt;"", AB8="")</formula>
    </cfRule>
  </conditionalFormatting>
  <conditionalFormatting sqref="AC7">
    <cfRule type="notContainsBlanks" priority="44" dxfId="7">
      <formula>LEN(TRIM(AC7))&gt;0</formula>
    </cfRule>
    <cfRule type="containsBlanks" priority="45" dxfId="8">
      <formula>LEN(TRIM(AC7))=0</formula>
    </cfRule>
  </conditionalFormatting>
  <conditionalFormatting sqref="AC8:AC2501">
    <cfRule type="expression" priority="46" dxfId="7">
      <formula>AND($AC$7&lt;&gt;"", AC8="")</formula>
    </cfRule>
  </conditionalFormatting>
  <conditionalFormatting sqref="AD7">
    <cfRule type="notContainsBlanks" priority="47" dxfId="7">
      <formula>LEN(TRIM(AD7))&gt;0</formula>
    </cfRule>
    <cfRule type="containsBlanks" priority="48" dxfId="8">
      <formula>LEN(TRIM(AD7))=0</formula>
    </cfRule>
  </conditionalFormatting>
  <conditionalFormatting sqref="AD8:AD2501">
    <cfRule type="expression" priority="49" dxfId="7">
      <formula>AND($AD$7&lt;&gt;"", AD8="")</formula>
    </cfRule>
  </conditionalFormatting>
  <conditionalFormatting sqref="AE7">
    <cfRule type="notContainsBlanks" priority="50" dxfId="7">
      <formula>LEN(TRIM(AE7))&gt;0</formula>
    </cfRule>
    <cfRule type="containsBlanks" priority="51" dxfId="8">
      <formula>LEN(TRIM(AE7))=0</formula>
    </cfRule>
  </conditionalFormatting>
  <conditionalFormatting sqref="AE8:AE2501">
    <cfRule type="expression" priority="52" dxfId="7">
      <formula>AND($AE$7&lt;&gt;"", AE8="")</formula>
    </cfRule>
  </conditionalFormatting>
  <conditionalFormatting sqref="AF7">
    <cfRule type="notContainsBlanks" priority="53" dxfId="7">
      <formula>LEN(TRIM(AF7))&gt;0</formula>
    </cfRule>
    <cfRule type="containsBlanks" priority="54" dxfId="8">
      <formula>LEN(TRIM(AF7))=0</formula>
    </cfRule>
  </conditionalFormatting>
  <conditionalFormatting sqref="AF8:AF2501">
    <cfRule type="expression" priority="55" dxfId="7">
      <formula>AND($AF$7&lt;&gt;"", AF8="")</formula>
    </cfRule>
  </conditionalFormatting>
  <conditionalFormatting sqref="AG7">
    <cfRule type="notContainsBlanks" priority="56" dxfId="7">
      <formula>LEN(TRIM(AG7))&gt;0</formula>
    </cfRule>
    <cfRule type="containsBlanks" priority="57" dxfId="8">
      <formula>LEN(TRIM(AG7))=0</formula>
    </cfRule>
  </conditionalFormatting>
  <conditionalFormatting sqref="AG8:AG2501">
    <cfRule type="expression" priority="58" dxfId="7">
      <formula>AND($AG$7&lt;&gt;"", AG8="")</formula>
    </cfRule>
  </conditionalFormatting>
  <conditionalFormatting sqref="AH7">
    <cfRule type="notContainsBlanks" priority="59" dxfId="7">
      <formula>LEN(TRIM(AH7))&gt;0</formula>
    </cfRule>
    <cfRule type="containsBlanks" priority="60" dxfId="8">
      <formula>LEN(TRIM(AH7))=0</formula>
    </cfRule>
  </conditionalFormatting>
  <conditionalFormatting sqref="AH8:AH2501">
    <cfRule type="expression" priority="61" dxfId="7">
      <formula>AND($AH$7&lt;&gt;"", AH8="")</formula>
    </cfRule>
  </conditionalFormatting>
  <conditionalFormatting sqref="AI7">
    <cfRule type="notContainsBlanks" priority="62" dxfId="7">
      <formula>LEN(TRIM(AI7))&gt;0</formula>
    </cfRule>
    <cfRule type="containsBlanks" priority="63" dxfId="8">
      <formula>LEN(TRIM(AI7))=0</formula>
    </cfRule>
  </conditionalFormatting>
  <conditionalFormatting sqref="AI8:AI2501">
    <cfRule type="expression" priority="64" dxfId="7">
      <formula>AND($AI$7&lt;&gt;"", AI8="")</formula>
    </cfRule>
  </conditionalFormatting>
  <conditionalFormatting sqref="AJ7">
    <cfRule type="notContainsBlanks" priority="65" dxfId="7">
      <formula>LEN(TRIM(AJ7))&gt;0</formula>
    </cfRule>
    <cfRule type="containsBlanks" priority="66" dxfId="8">
      <formula>LEN(TRIM(AJ7))=0</formula>
    </cfRule>
  </conditionalFormatting>
  <conditionalFormatting sqref="AJ8:AJ2501">
    <cfRule type="expression" priority="67" dxfId="7">
      <formula>AND($AJ$7&lt;&gt;"", AJ8="")</formula>
    </cfRule>
  </conditionalFormatting>
  <conditionalFormatting sqref="AK7">
    <cfRule type="notContainsBlanks" priority="68" dxfId="7">
      <formula>LEN(TRIM(AK7))&gt;0</formula>
    </cfRule>
    <cfRule type="containsBlanks" priority="69" dxfId="8">
      <formula>LEN(TRIM(AK7))=0</formula>
    </cfRule>
  </conditionalFormatting>
  <conditionalFormatting sqref="AK8:AK2501">
    <cfRule type="expression" priority="70" dxfId="7">
      <formula>AND($AK$7&lt;&gt;"", AK8="")</formula>
    </cfRule>
  </conditionalFormatting>
  <conditionalFormatting sqref="AL7">
    <cfRule type="notContainsBlanks" priority="71" dxfId="7">
      <formula>LEN(TRIM(AL7))&gt;0</formula>
    </cfRule>
    <cfRule type="containsBlanks" priority="72" dxfId="8">
      <formula>LEN(TRIM(AL7))=0</formula>
    </cfRule>
  </conditionalFormatting>
  <conditionalFormatting sqref="AL8:AL2501">
    <cfRule type="expression" priority="73" dxfId="7">
      <formula>AND($AL$7&lt;&gt;"", AL8="")</formula>
    </cfRule>
  </conditionalFormatting>
  <conditionalFormatting sqref="AM7">
    <cfRule type="notContainsBlanks" priority="74" dxfId="7">
      <formula>LEN(TRIM(AM7))&gt;0</formula>
    </cfRule>
    <cfRule type="containsBlanks" priority="75" dxfId="8">
      <formula>LEN(TRIM(AM7))=0</formula>
    </cfRule>
  </conditionalFormatting>
  <conditionalFormatting sqref="AM8:AM2501">
    <cfRule type="expression" priority="76" dxfId="7">
      <formula>AND($AM$7&lt;&gt;"", AM8="")</formula>
    </cfRule>
  </conditionalFormatting>
  <conditionalFormatting sqref="AN7">
    <cfRule type="notContainsBlanks" priority="77" dxfId="7">
      <formula>LEN(TRIM(AN7))&gt;0</formula>
    </cfRule>
    <cfRule type="containsBlanks" priority="78" dxfId="8">
      <formula>LEN(TRIM(AN7))=0</formula>
    </cfRule>
  </conditionalFormatting>
  <conditionalFormatting sqref="AN8:AN2501">
    <cfRule type="expression" priority="79" dxfId="7">
      <formula>AND($AN$7&lt;&gt;"", AN8="")</formula>
    </cfRule>
  </conditionalFormatting>
  <conditionalFormatting sqref="AO7">
    <cfRule type="notContainsBlanks" priority="80" dxfId="7">
      <formula>LEN(TRIM(AO7))&gt;0</formula>
    </cfRule>
    <cfRule type="containsBlanks" priority="81" dxfId="8">
      <formula>LEN(TRIM(AO7))=0</formula>
    </cfRule>
  </conditionalFormatting>
  <conditionalFormatting sqref="AO8:AO2501">
    <cfRule type="expression" priority="82" dxfId="7">
      <formula>AND($AO$7&lt;&gt;"", AO8="")</formula>
    </cfRule>
  </conditionalFormatting>
  <conditionalFormatting sqref="AP7">
    <cfRule type="notContainsBlanks" priority="83" dxfId="7">
      <formula>LEN(TRIM(AP7))&gt;0</formula>
    </cfRule>
    <cfRule type="containsBlanks" priority="84" dxfId="8">
      <formula>LEN(TRIM(AP7))=0</formula>
    </cfRule>
  </conditionalFormatting>
  <conditionalFormatting sqref="AP8:AP2501">
    <cfRule type="expression" priority="85" dxfId="7">
      <formula>AND($AP$7&lt;&gt;"", AP8="")</formula>
    </cfRule>
  </conditionalFormatting>
  <conditionalFormatting sqref="AQ7">
    <cfRule type="notContainsBlanks" priority="86" dxfId="7">
      <formula>LEN(TRIM(AQ7))&gt;0</formula>
    </cfRule>
    <cfRule type="containsBlanks" priority="87" dxfId="8">
      <formula>LEN(TRIM(AQ7))=0</formula>
    </cfRule>
  </conditionalFormatting>
  <conditionalFormatting sqref="AQ8:AQ2501">
    <cfRule type="expression" priority="88" dxfId="7">
      <formula>AND($AQ$7&lt;&gt;"", AQ8="")</formula>
    </cfRule>
  </conditionalFormatting>
  <conditionalFormatting sqref="AR7">
    <cfRule type="notContainsBlanks" priority="89" dxfId="7">
      <formula>LEN(TRIM(AR7))&gt;0</formula>
    </cfRule>
    <cfRule type="containsBlanks" priority="90" dxfId="8">
      <formula>LEN(TRIM(AR7))=0</formula>
    </cfRule>
  </conditionalFormatting>
  <conditionalFormatting sqref="AR8:AR2501">
    <cfRule type="expression" priority="91" dxfId="7">
      <formula>AND($AR$7&lt;&gt;"", AR8="")</formula>
    </cfRule>
  </conditionalFormatting>
  <conditionalFormatting sqref="AS7">
    <cfRule type="notContainsBlanks" priority="92" dxfId="7">
      <formula>LEN(TRIM(AS7))&gt;0</formula>
    </cfRule>
    <cfRule type="containsBlanks" priority="93" dxfId="8">
      <formula>LEN(TRIM(AS7))=0</formula>
    </cfRule>
  </conditionalFormatting>
  <conditionalFormatting sqref="AS8:AS2501">
    <cfRule type="expression" priority="94" dxfId="7">
      <formula>AND($AS$7&lt;&gt;"", AS8="")</formula>
    </cfRule>
  </conditionalFormatting>
  <conditionalFormatting sqref="AZ7">
    <cfRule type="notContainsBlanks" priority="95" dxfId="7">
      <formula>LEN(TRIM(AZ7))&gt;0</formula>
    </cfRule>
    <cfRule type="containsBlanks" priority="96" dxfId="8">
      <formula>LEN(TRIM(AZ7))=0</formula>
    </cfRule>
  </conditionalFormatting>
  <conditionalFormatting sqref="AZ8:AZ2501">
    <cfRule type="expression" priority="97" dxfId="7">
      <formula>AND($AZ$7&lt;&gt;"", AZ8="")</formula>
    </cfRule>
  </conditionalFormatting>
  <conditionalFormatting sqref="B8:DY507">
    <cfRule type="expression" priority="1" dxfId="0">
      <formula>'3 - Carts &amp; Stands-WUO_TRK'!B8="Error"</formula>
    </cfRule>
    <cfRule type="expression" priority="2" dxfId="1">
      <formula>'3 - Carts &amp; Stands-WUO_TRK'!B8="Required"</formula>
    </cfRule>
    <cfRule type="expression" priority="3" dxfId="2">
      <formula>'3 - Carts &amp; Stands-WUO_TRK'!B8="Warning"</formula>
    </cfRule>
    <cfRule type="expression" priority="4" dxfId="3">
      <formula>'3 - Carts &amp; Stands-WUO_TRK'!B8="Disabled"</formula>
    </cfRule>
  </conditionalFormatting>
  <conditionalFormatting sqref="BA7">
    <cfRule type="notContainsBlanks" priority="98" dxfId="7">
      <formula>LEN(TRIM(BA7))&gt;0</formula>
    </cfRule>
    <cfRule type="containsBlanks" priority="99" dxfId="8">
      <formula>LEN(TRIM(BA7))=0</formula>
    </cfRule>
  </conditionalFormatting>
  <conditionalFormatting sqref="BA8:BA2501">
    <cfRule type="expression" priority="100" dxfId="7">
      <formula>AND($BA$7&lt;&gt;"", BA8="")</formula>
    </cfRule>
  </conditionalFormatting>
  <conditionalFormatting sqref="BB7">
    <cfRule type="notContainsBlanks" priority="101" dxfId="7">
      <formula>LEN(TRIM(BB7))&gt;0</formula>
    </cfRule>
    <cfRule type="containsBlanks" priority="102" dxfId="8">
      <formula>LEN(TRIM(BB7))=0</formula>
    </cfRule>
  </conditionalFormatting>
  <conditionalFormatting sqref="BB8:BB2501">
    <cfRule type="expression" priority="103" dxfId="7">
      <formula>AND($BB$7&lt;&gt;"", BB8="")</formula>
    </cfRule>
  </conditionalFormatting>
  <conditionalFormatting sqref="BC7">
    <cfRule type="notContainsBlanks" priority="104" dxfId="7">
      <formula>LEN(TRIM(BC7))&gt;0</formula>
    </cfRule>
    <cfRule type="containsBlanks" priority="105" dxfId="8">
      <formula>LEN(TRIM(BC7))=0</formula>
    </cfRule>
  </conditionalFormatting>
  <conditionalFormatting sqref="BC8:BC2501">
    <cfRule type="expression" priority="106" dxfId="7">
      <formula>AND($BC$7&lt;&gt;"", BC8="")</formula>
    </cfRule>
  </conditionalFormatting>
  <conditionalFormatting sqref="BD7">
    <cfRule type="notContainsBlanks" priority="107" dxfId="7">
      <formula>LEN(TRIM(BD7))&gt;0</formula>
    </cfRule>
    <cfRule type="containsBlanks" priority="108" dxfId="8">
      <formula>LEN(TRIM(BD7))=0</formula>
    </cfRule>
  </conditionalFormatting>
  <conditionalFormatting sqref="BD8:BD2501">
    <cfRule type="expression" priority="109" dxfId="7">
      <formula>AND($BD$7&lt;&gt;"", BD8="")</formula>
    </cfRule>
  </conditionalFormatting>
  <conditionalFormatting sqref="BE7">
    <cfRule type="notContainsBlanks" priority="110" dxfId="7">
      <formula>LEN(TRIM(BE7))&gt;0</formula>
    </cfRule>
    <cfRule type="containsBlanks" priority="111" dxfId="8">
      <formula>LEN(TRIM(BE7))=0</formula>
    </cfRule>
  </conditionalFormatting>
  <conditionalFormatting sqref="BE8:BE2501">
    <cfRule type="expression" priority="112" dxfId="7">
      <formula>AND($BE$7&lt;&gt;"", BE8="")</formula>
    </cfRule>
  </conditionalFormatting>
  <conditionalFormatting sqref="BF7">
    <cfRule type="notContainsBlanks" priority="113" dxfId="7">
      <formula>LEN(TRIM(BF7))&gt;0</formula>
    </cfRule>
    <cfRule type="containsBlanks" priority="114" dxfId="8">
      <formula>LEN(TRIM(BF7))=0</formula>
    </cfRule>
  </conditionalFormatting>
  <conditionalFormatting sqref="BF8:BF2501">
    <cfRule type="expression" priority="115" dxfId="7">
      <formula>AND($BF$7&lt;&gt;"", BF8="")</formula>
    </cfRule>
  </conditionalFormatting>
  <conditionalFormatting sqref="BG7">
    <cfRule type="notContainsBlanks" priority="116" dxfId="7">
      <formula>LEN(TRIM(BG7))&gt;0</formula>
    </cfRule>
    <cfRule type="containsBlanks" priority="117" dxfId="8">
      <formula>LEN(TRIM(BG7))=0</formula>
    </cfRule>
  </conditionalFormatting>
  <conditionalFormatting sqref="BG8:BG2501">
    <cfRule type="expression" priority="118" dxfId="7">
      <formula>AND($BG$7&lt;&gt;"", BG8="")</formula>
    </cfRule>
  </conditionalFormatting>
  <conditionalFormatting sqref="BH7">
    <cfRule type="notContainsBlanks" priority="119" dxfId="7">
      <formula>LEN(TRIM(BH7))&gt;0</formula>
    </cfRule>
    <cfRule type="containsBlanks" priority="120" dxfId="8">
      <formula>LEN(TRIM(BH7))=0</formula>
    </cfRule>
  </conditionalFormatting>
  <conditionalFormatting sqref="BH8:BH2501">
    <cfRule type="expression" priority="121" dxfId="7">
      <formula>AND($BH$7&lt;&gt;"", BH8="")</formula>
    </cfRule>
  </conditionalFormatting>
  <conditionalFormatting sqref="BI7">
    <cfRule type="notContainsBlanks" priority="122" dxfId="7">
      <formula>LEN(TRIM(BI7))&gt;0</formula>
    </cfRule>
    <cfRule type="containsBlanks" priority="123" dxfId="8">
      <formula>LEN(TRIM(BI7))=0</formula>
    </cfRule>
  </conditionalFormatting>
  <conditionalFormatting sqref="BI8:BI2501">
    <cfRule type="expression" priority="124" dxfId="7">
      <formula>AND($BI$7&lt;&gt;"", BI8="")</formula>
    </cfRule>
  </conditionalFormatting>
  <conditionalFormatting sqref="BJ7">
    <cfRule type="notContainsBlanks" priority="125" dxfId="7">
      <formula>LEN(TRIM(BJ7))&gt;0</formula>
    </cfRule>
    <cfRule type="containsBlanks" priority="126" dxfId="8">
      <formula>LEN(TRIM(BJ7))=0</formula>
    </cfRule>
  </conditionalFormatting>
  <conditionalFormatting sqref="BJ8:BJ2501">
    <cfRule type="expression" priority="127" dxfId="7">
      <formula>AND($BJ$7&lt;&gt;"", BJ8="")</formula>
    </cfRule>
  </conditionalFormatting>
  <conditionalFormatting sqref="BK7">
    <cfRule type="notContainsBlanks" priority="128" dxfId="7">
      <formula>LEN(TRIM(BK7))&gt;0</formula>
    </cfRule>
    <cfRule type="containsBlanks" priority="129" dxfId="8">
      <formula>LEN(TRIM(BK7))=0</formula>
    </cfRule>
  </conditionalFormatting>
  <conditionalFormatting sqref="BK8:BK2501">
    <cfRule type="expression" priority="130" dxfId="7">
      <formula>AND($BK$7&lt;&gt;"", BK8="")</formula>
    </cfRule>
  </conditionalFormatting>
  <conditionalFormatting sqref="BL7">
    <cfRule type="notContainsBlanks" priority="131" dxfId="7">
      <formula>LEN(TRIM(BL7))&gt;0</formula>
    </cfRule>
    <cfRule type="containsBlanks" priority="132" dxfId="8">
      <formula>LEN(TRIM(BL7))=0</formula>
    </cfRule>
  </conditionalFormatting>
  <conditionalFormatting sqref="BL8:BL2501">
    <cfRule type="expression" priority="133" dxfId="7">
      <formula>AND($BL$7&lt;&gt;"", BL8="")</formula>
    </cfRule>
  </conditionalFormatting>
  <conditionalFormatting sqref="BM7">
    <cfRule type="notContainsBlanks" priority="134" dxfId="7">
      <formula>LEN(TRIM(BM7))&gt;0</formula>
    </cfRule>
    <cfRule type="containsBlanks" priority="135" dxfId="8">
      <formula>LEN(TRIM(BM7))=0</formula>
    </cfRule>
  </conditionalFormatting>
  <conditionalFormatting sqref="BM8:BM2501">
    <cfRule type="expression" priority="136" dxfId="7">
      <formula>AND($BM$7&lt;&gt;"", BM8="")</formula>
    </cfRule>
  </conditionalFormatting>
  <conditionalFormatting sqref="BN7">
    <cfRule type="notContainsBlanks" priority="137" dxfId="7">
      <formula>LEN(TRIM(BN7))&gt;0</formula>
    </cfRule>
    <cfRule type="containsBlanks" priority="138" dxfId="8">
      <formula>LEN(TRIM(BN7))=0</formula>
    </cfRule>
  </conditionalFormatting>
  <conditionalFormatting sqref="BN8:BN2501">
    <cfRule type="expression" priority="139" dxfId="7">
      <formula>AND($BN$7&lt;&gt;"", BN8="")</formula>
    </cfRule>
  </conditionalFormatting>
  <conditionalFormatting sqref="BO7">
    <cfRule type="notContainsBlanks" priority="140" dxfId="7">
      <formula>LEN(TRIM(BO7))&gt;0</formula>
    </cfRule>
    <cfRule type="containsBlanks" priority="141" dxfId="8">
      <formula>LEN(TRIM(BO7))=0</formula>
    </cfRule>
  </conditionalFormatting>
  <conditionalFormatting sqref="BO8:BO2501">
    <cfRule type="expression" priority="142" dxfId="7">
      <formula>AND($BO$7&lt;&gt;"", BO8="")</formula>
    </cfRule>
  </conditionalFormatting>
  <conditionalFormatting sqref="BP7">
    <cfRule type="notContainsBlanks" priority="143" dxfId="7">
      <formula>LEN(TRIM(BP7))&gt;0</formula>
    </cfRule>
    <cfRule type="containsBlanks" priority="144" dxfId="8">
      <formula>LEN(TRIM(BP7))=0</formula>
    </cfRule>
  </conditionalFormatting>
  <conditionalFormatting sqref="BP8:BP2501">
    <cfRule type="expression" priority="145" dxfId="7">
      <formula>AND($BP$7&lt;&gt;"", BP8="")</formula>
    </cfRule>
  </conditionalFormatting>
  <conditionalFormatting sqref="BQ7">
    <cfRule type="notContainsBlanks" priority="146" dxfId="7">
      <formula>LEN(TRIM(BQ7))&gt;0</formula>
    </cfRule>
    <cfRule type="containsBlanks" priority="147" dxfId="8">
      <formula>LEN(TRIM(BQ7))=0</formula>
    </cfRule>
  </conditionalFormatting>
  <conditionalFormatting sqref="BQ8:BQ2501">
    <cfRule type="expression" priority="148" dxfId="7">
      <formula>AND($BQ$7&lt;&gt;"", BQ8="")</formula>
    </cfRule>
  </conditionalFormatting>
  <conditionalFormatting sqref="BR7">
    <cfRule type="notContainsBlanks" priority="149" dxfId="7">
      <formula>LEN(TRIM(BR7))&gt;0</formula>
    </cfRule>
    <cfRule type="containsBlanks" priority="150" dxfId="8">
      <formula>LEN(TRIM(BR7))=0</formula>
    </cfRule>
  </conditionalFormatting>
  <conditionalFormatting sqref="BR8:BR2501">
    <cfRule type="expression" priority="151" dxfId="7">
      <formula>AND($BR$7&lt;&gt;"", BR8="")</formula>
    </cfRule>
  </conditionalFormatting>
  <conditionalFormatting sqref="BS7">
    <cfRule type="notContainsBlanks" priority="152" dxfId="7">
      <formula>LEN(TRIM(BS7))&gt;0</formula>
    </cfRule>
    <cfRule type="containsBlanks" priority="153" dxfId="8">
      <formula>LEN(TRIM(BS7))=0</formula>
    </cfRule>
  </conditionalFormatting>
  <conditionalFormatting sqref="BS8:BS2501">
    <cfRule type="expression" priority="154" dxfId="7">
      <formula>AND($BS$7&lt;&gt;"", BS8="")</formula>
    </cfRule>
  </conditionalFormatting>
  <conditionalFormatting sqref="BT7">
    <cfRule type="notContainsBlanks" priority="155" dxfId="7">
      <formula>LEN(TRIM(BT7))&gt;0</formula>
    </cfRule>
    <cfRule type="containsBlanks" priority="156" dxfId="8">
      <formula>LEN(TRIM(BT7))=0</formula>
    </cfRule>
  </conditionalFormatting>
  <conditionalFormatting sqref="BT8:BT2501">
    <cfRule type="expression" priority="157" dxfId="7">
      <formula>AND($BT$7&lt;&gt;"", BT8="")</formula>
    </cfRule>
  </conditionalFormatting>
  <conditionalFormatting sqref="BU7">
    <cfRule type="notContainsBlanks" priority="158" dxfId="7">
      <formula>LEN(TRIM(BU7))&gt;0</formula>
    </cfRule>
    <cfRule type="containsBlanks" priority="159" dxfId="8">
      <formula>LEN(TRIM(BU7))=0</formula>
    </cfRule>
  </conditionalFormatting>
  <conditionalFormatting sqref="BU8:BU2501">
    <cfRule type="expression" priority="160" dxfId="7">
      <formula>AND($BU$7&lt;&gt;"", BU8="")</formula>
    </cfRule>
  </conditionalFormatting>
  <conditionalFormatting sqref="BV7">
    <cfRule type="notContainsBlanks" priority="161" dxfId="7">
      <formula>LEN(TRIM(BV7))&gt;0</formula>
    </cfRule>
    <cfRule type="containsBlanks" priority="162" dxfId="8">
      <formula>LEN(TRIM(BV7))=0</formula>
    </cfRule>
  </conditionalFormatting>
  <conditionalFormatting sqref="BV8:BV2501">
    <cfRule type="expression" priority="163" dxfId="7">
      <formula>AND($BV$7&lt;&gt;"", BV8="")</formula>
    </cfRule>
  </conditionalFormatting>
  <conditionalFormatting sqref="BW7">
    <cfRule type="notContainsBlanks" priority="164" dxfId="7">
      <formula>LEN(TRIM(BW7))&gt;0</formula>
    </cfRule>
    <cfRule type="containsBlanks" priority="165" dxfId="8">
      <formula>LEN(TRIM(BW7))=0</formula>
    </cfRule>
  </conditionalFormatting>
  <conditionalFormatting sqref="BW8:BW2501">
    <cfRule type="expression" priority="166" dxfId="7">
      <formula>AND($BW$7&lt;&gt;"", BW8="")</formula>
    </cfRule>
  </conditionalFormatting>
  <conditionalFormatting sqref="BX7">
    <cfRule type="notContainsBlanks" priority="167" dxfId="7">
      <formula>LEN(TRIM(BX7))&gt;0</formula>
    </cfRule>
    <cfRule type="containsBlanks" priority="168" dxfId="8">
      <formula>LEN(TRIM(BX7))=0</formula>
    </cfRule>
  </conditionalFormatting>
  <conditionalFormatting sqref="BX8:BX2501">
    <cfRule type="expression" priority="169" dxfId="7">
      <formula>AND($BX$7&lt;&gt;"", BX8="")</formula>
    </cfRule>
  </conditionalFormatting>
  <conditionalFormatting sqref="BY7">
    <cfRule type="notContainsBlanks" priority="170" dxfId="7">
      <formula>LEN(TRIM(BY7))&gt;0</formula>
    </cfRule>
    <cfRule type="containsBlanks" priority="171" dxfId="8">
      <formula>LEN(TRIM(BY7))=0</formula>
    </cfRule>
  </conditionalFormatting>
  <conditionalFormatting sqref="BY8:BY2501">
    <cfRule type="expression" priority="172" dxfId="7">
      <formula>AND($BY$7&lt;&gt;"", BY8="")</formula>
    </cfRule>
  </conditionalFormatting>
  <conditionalFormatting sqref="BZ7">
    <cfRule type="notContainsBlanks" priority="173" dxfId="7">
      <formula>LEN(TRIM(BZ7))&gt;0</formula>
    </cfRule>
    <cfRule type="containsBlanks" priority="174" dxfId="8">
      <formula>LEN(TRIM(BZ7))=0</formula>
    </cfRule>
  </conditionalFormatting>
  <conditionalFormatting sqref="BZ8:BZ2501">
    <cfRule type="expression" priority="175" dxfId="7">
      <formula>AND($BZ$7&lt;&gt;"", BZ8="")</formula>
    </cfRule>
  </conditionalFormatting>
  <conditionalFormatting sqref="CA7">
    <cfRule type="notContainsBlanks" priority="176" dxfId="7">
      <formula>LEN(TRIM(CA7))&gt;0</formula>
    </cfRule>
    <cfRule type="containsBlanks" priority="177" dxfId="8">
      <formula>LEN(TRIM(CA7))=0</formula>
    </cfRule>
  </conditionalFormatting>
  <conditionalFormatting sqref="CA8:CA2501">
    <cfRule type="expression" priority="178" dxfId="7">
      <formula>AND($CA$7&lt;&gt;"", CA8="")</formula>
    </cfRule>
  </conditionalFormatting>
  <conditionalFormatting sqref="CB7">
    <cfRule type="notContainsBlanks" priority="179" dxfId="7">
      <formula>LEN(TRIM(CB7))&gt;0</formula>
    </cfRule>
    <cfRule type="containsBlanks" priority="180" dxfId="8">
      <formula>LEN(TRIM(CB7))=0</formula>
    </cfRule>
  </conditionalFormatting>
  <conditionalFormatting sqref="CB8:CB2501">
    <cfRule type="expression" priority="181" dxfId="7">
      <formula>AND($CB$7&lt;&gt;"", CB8="")</formula>
    </cfRule>
  </conditionalFormatting>
  <conditionalFormatting sqref="CC7">
    <cfRule type="notContainsBlanks" priority="182" dxfId="7">
      <formula>LEN(TRIM(CC7))&gt;0</formula>
    </cfRule>
    <cfRule type="containsBlanks" priority="183" dxfId="8">
      <formula>LEN(TRIM(CC7))=0</formula>
    </cfRule>
  </conditionalFormatting>
  <conditionalFormatting sqref="CC8:CC2501">
    <cfRule type="expression" priority="184" dxfId="7">
      <formula>AND($CC$7&lt;&gt;"", CC8="")</formula>
    </cfRule>
  </conditionalFormatting>
  <conditionalFormatting sqref="CD7">
    <cfRule type="notContainsBlanks" priority="185" dxfId="7">
      <formula>LEN(TRIM(CD7))&gt;0</formula>
    </cfRule>
    <cfRule type="containsBlanks" priority="186" dxfId="8">
      <formula>LEN(TRIM(CD7))=0</formula>
    </cfRule>
  </conditionalFormatting>
  <conditionalFormatting sqref="CD8:CD2501">
    <cfRule type="expression" priority="187" dxfId="7">
      <formula>AND($CD$7&lt;&gt;"", CD8="")</formula>
    </cfRule>
  </conditionalFormatting>
  <conditionalFormatting sqref="CE7">
    <cfRule type="notContainsBlanks" priority="188" dxfId="7">
      <formula>LEN(TRIM(CE7))&gt;0</formula>
    </cfRule>
    <cfRule type="containsBlanks" priority="189" dxfId="8">
      <formula>LEN(TRIM(CE7))=0</formula>
    </cfRule>
  </conditionalFormatting>
  <conditionalFormatting sqref="CE8:CE2501">
    <cfRule type="expression" priority="190" dxfId="7">
      <formula>AND($CE$7&lt;&gt;"", CE8="")</formula>
    </cfRule>
  </conditionalFormatting>
  <conditionalFormatting sqref="CF7">
    <cfRule type="notContainsBlanks" priority="191" dxfId="7">
      <formula>LEN(TRIM(CF7))&gt;0</formula>
    </cfRule>
    <cfRule type="containsBlanks" priority="192" dxfId="8">
      <formula>LEN(TRIM(CF7))=0</formula>
    </cfRule>
  </conditionalFormatting>
  <conditionalFormatting sqref="CF8:CF2501">
    <cfRule type="expression" priority="193" dxfId="7">
      <formula>AND($CF$7&lt;&gt;"", CF8="")</formula>
    </cfRule>
  </conditionalFormatting>
  <conditionalFormatting sqref="CG7">
    <cfRule type="notContainsBlanks" priority="194" dxfId="7">
      <formula>LEN(TRIM(CG7))&gt;0</formula>
    </cfRule>
    <cfRule type="containsBlanks" priority="195" dxfId="8">
      <formula>LEN(TRIM(CG7))=0</formula>
    </cfRule>
  </conditionalFormatting>
  <conditionalFormatting sqref="CG8:CG2501">
    <cfRule type="expression" priority="196" dxfId="7">
      <formula>AND($CG$7&lt;&gt;"", CG8="")</formula>
    </cfRule>
  </conditionalFormatting>
  <conditionalFormatting sqref="CH7">
    <cfRule type="notContainsBlanks" priority="197" dxfId="7">
      <formula>LEN(TRIM(CH7))&gt;0</formula>
    </cfRule>
    <cfRule type="containsBlanks" priority="198" dxfId="8">
      <formula>LEN(TRIM(CH7))=0</formula>
    </cfRule>
  </conditionalFormatting>
  <conditionalFormatting sqref="CH8:CH2501">
    <cfRule type="expression" priority="199" dxfId="7">
      <formula>AND($CH$7&lt;&gt;"", CH8="")</formula>
    </cfRule>
  </conditionalFormatting>
  <conditionalFormatting sqref="CI7">
    <cfRule type="notContainsBlanks" priority="200" dxfId="7">
      <formula>LEN(TRIM(CI7))&gt;0</formula>
    </cfRule>
    <cfRule type="containsBlanks" priority="201" dxfId="8">
      <formula>LEN(TRIM(CI7))=0</formula>
    </cfRule>
  </conditionalFormatting>
  <conditionalFormatting sqref="CI8:CI2501">
    <cfRule type="expression" priority="202" dxfId="7">
      <formula>AND($CI$7&lt;&gt;"", CI8="")</formula>
    </cfRule>
  </conditionalFormatting>
  <conditionalFormatting sqref="CJ7">
    <cfRule type="notContainsBlanks" priority="203" dxfId="7">
      <formula>LEN(TRIM(CJ7))&gt;0</formula>
    </cfRule>
    <cfRule type="containsBlanks" priority="204" dxfId="8">
      <formula>LEN(TRIM(CJ7))=0</formula>
    </cfRule>
  </conditionalFormatting>
  <conditionalFormatting sqref="CJ8:CJ2501">
    <cfRule type="expression" priority="205" dxfId="7">
      <formula>AND($CJ$7&lt;&gt;"", CJ8="")</formula>
    </cfRule>
  </conditionalFormatting>
  <conditionalFormatting sqref="CK7">
    <cfRule type="notContainsBlanks" priority="206" dxfId="7">
      <formula>LEN(TRIM(CK7))&gt;0</formula>
    </cfRule>
    <cfRule type="containsBlanks" priority="207" dxfId="8">
      <formula>LEN(TRIM(CK7))=0</formula>
    </cfRule>
  </conditionalFormatting>
  <conditionalFormatting sqref="CK8:CK2501">
    <cfRule type="expression" priority="208" dxfId="7">
      <formula>AND($CK$7&lt;&gt;"", CK8="")</formula>
    </cfRule>
  </conditionalFormatting>
  <conditionalFormatting sqref="CL7">
    <cfRule type="notContainsBlanks" priority="209" dxfId="7">
      <formula>LEN(TRIM(CL7))&gt;0</formula>
    </cfRule>
    <cfRule type="containsBlanks" priority="210" dxfId="8">
      <formula>LEN(TRIM(CL7))=0</formula>
    </cfRule>
  </conditionalFormatting>
  <conditionalFormatting sqref="CL8:CL2501">
    <cfRule type="expression" priority="211" dxfId="7">
      <formula>AND($CL$7&lt;&gt;"", CL8="")</formula>
    </cfRule>
  </conditionalFormatting>
  <conditionalFormatting sqref="CM7">
    <cfRule type="notContainsBlanks" priority="212" dxfId="7">
      <formula>LEN(TRIM(CM7))&gt;0</formula>
    </cfRule>
    <cfRule type="containsBlanks" priority="213" dxfId="8">
      <formula>LEN(TRIM(CM7))=0</formula>
    </cfRule>
  </conditionalFormatting>
  <conditionalFormatting sqref="CM8:CM2501">
    <cfRule type="expression" priority="214" dxfId="7">
      <formula>AND($CM$7&lt;&gt;"", CM8="")</formula>
    </cfRule>
  </conditionalFormatting>
  <conditionalFormatting sqref="CN7">
    <cfRule type="notContainsBlanks" priority="215" dxfId="7">
      <formula>LEN(TRIM(CN7))&gt;0</formula>
    </cfRule>
    <cfRule type="containsBlanks" priority="216" dxfId="8">
      <formula>LEN(TRIM(CN7))=0</formula>
    </cfRule>
  </conditionalFormatting>
  <conditionalFormatting sqref="CN8:CN2501">
    <cfRule type="expression" priority="217" dxfId="7">
      <formula>AND($CN$7&lt;&gt;"", CN8="")</formula>
    </cfRule>
  </conditionalFormatting>
  <conditionalFormatting sqref="CO7">
    <cfRule type="notContainsBlanks" priority="218" dxfId="7">
      <formula>LEN(TRIM(CO7))&gt;0</formula>
    </cfRule>
    <cfRule type="containsBlanks" priority="219" dxfId="8">
      <formula>LEN(TRIM(CO7))=0</formula>
    </cfRule>
  </conditionalFormatting>
  <conditionalFormatting sqref="CO8:CO2501">
    <cfRule type="expression" priority="220" dxfId="7">
      <formula>AND($CO$7&lt;&gt;"", CO8="")</formula>
    </cfRule>
  </conditionalFormatting>
  <conditionalFormatting sqref="CP7">
    <cfRule type="notContainsBlanks" priority="221" dxfId="7">
      <formula>LEN(TRIM(CP7))&gt;0</formula>
    </cfRule>
    <cfRule type="containsBlanks" priority="222" dxfId="8">
      <formula>LEN(TRIM(CP7))=0</formula>
    </cfRule>
  </conditionalFormatting>
  <conditionalFormatting sqref="CP8:CP2501">
    <cfRule type="expression" priority="223" dxfId="7">
      <formula>AND($CP$7&lt;&gt;"", CP8="")</formula>
    </cfRule>
  </conditionalFormatting>
  <conditionalFormatting sqref="CQ7">
    <cfRule type="notContainsBlanks" priority="224" dxfId="7">
      <formula>LEN(TRIM(CQ7))&gt;0</formula>
    </cfRule>
    <cfRule type="containsBlanks" priority="225" dxfId="8">
      <formula>LEN(TRIM(CQ7))=0</formula>
    </cfRule>
  </conditionalFormatting>
  <conditionalFormatting sqref="CQ8:CQ2501">
    <cfRule type="expression" priority="226" dxfId="7">
      <formula>AND($CQ$7&lt;&gt;"", CQ8="")</formula>
    </cfRule>
  </conditionalFormatting>
  <conditionalFormatting sqref="CR7">
    <cfRule type="notContainsBlanks" priority="227" dxfId="7">
      <formula>LEN(TRIM(CR7))&gt;0</formula>
    </cfRule>
    <cfRule type="containsBlanks" priority="228" dxfId="8">
      <formula>LEN(TRIM(CR7))=0</formula>
    </cfRule>
  </conditionalFormatting>
  <conditionalFormatting sqref="CR8:CR2501">
    <cfRule type="expression" priority="229" dxfId="7">
      <formula>AND($CR$7&lt;&gt;"", CR8="")</formula>
    </cfRule>
  </conditionalFormatting>
  <conditionalFormatting sqref="CS7">
    <cfRule type="notContainsBlanks" priority="230" dxfId="7">
      <formula>LEN(TRIM(CS7))&gt;0</formula>
    </cfRule>
    <cfRule type="containsBlanks" priority="231" dxfId="8">
      <formula>LEN(TRIM(CS7))=0</formula>
    </cfRule>
  </conditionalFormatting>
  <conditionalFormatting sqref="CS8:CS2501">
    <cfRule type="expression" priority="232" dxfId="7">
      <formula>AND($CS$7&lt;&gt;"", CS8="")</formula>
    </cfRule>
  </conditionalFormatting>
  <conditionalFormatting sqref="CT7">
    <cfRule type="notContainsBlanks" priority="233" dxfId="7">
      <formula>LEN(TRIM(CT7))&gt;0</formula>
    </cfRule>
    <cfRule type="containsBlanks" priority="234" dxfId="8">
      <formula>LEN(TRIM(CT7))=0</formula>
    </cfRule>
  </conditionalFormatting>
  <conditionalFormatting sqref="CT8:CT2501">
    <cfRule type="expression" priority="235" dxfId="7">
      <formula>AND($CT$7&lt;&gt;"", CT8="")</formula>
    </cfRule>
  </conditionalFormatting>
  <conditionalFormatting sqref="CU7">
    <cfRule type="notContainsBlanks" priority="236" dxfId="7">
      <formula>LEN(TRIM(CU7))&gt;0</formula>
    </cfRule>
    <cfRule type="containsBlanks" priority="237" dxfId="8">
      <formula>LEN(TRIM(CU7))=0</formula>
    </cfRule>
  </conditionalFormatting>
  <conditionalFormatting sqref="CU8:CU2501">
    <cfRule type="expression" priority="238" dxfId="7">
      <formula>AND($CU$7&lt;&gt;"", CU8="")</formula>
    </cfRule>
  </conditionalFormatting>
  <conditionalFormatting sqref="CV7">
    <cfRule type="notContainsBlanks" priority="239" dxfId="7">
      <formula>LEN(TRIM(CV7))&gt;0</formula>
    </cfRule>
    <cfRule type="containsBlanks" priority="240" dxfId="8">
      <formula>LEN(TRIM(CV7))=0</formula>
    </cfRule>
  </conditionalFormatting>
  <conditionalFormatting sqref="CV8:CV2501">
    <cfRule type="expression" priority="241" dxfId="7">
      <formula>AND($CV$7&lt;&gt;"", CV8="")</formula>
    </cfRule>
  </conditionalFormatting>
  <conditionalFormatting sqref="CW7">
    <cfRule type="notContainsBlanks" priority="242" dxfId="7">
      <formula>LEN(TRIM(CW7))&gt;0</formula>
    </cfRule>
    <cfRule type="containsBlanks" priority="243" dxfId="8">
      <formula>LEN(TRIM(CW7))=0</formula>
    </cfRule>
  </conditionalFormatting>
  <conditionalFormatting sqref="CW8:CW2501">
    <cfRule type="expression" priority="244" dxfId="7">
      <formula>AND($CW$7&lt;&gt;"", CW8="")</formula>
    </cfRule>
  </conditionalFormatting>
  <conditionalFormatting sqref="CX7">
    <cfRule type="notContainsBlanks" priority="245" dxfId="7">
      <formula>LEN(TRIM(CX7))&gt;0</formula>
    </cfRule>
    <cfRule type="containsBlanks" priority="246" dxfId="8">
      <formula>LEN(TRIM(CX7))=0</formula>
    </cfRule>
  </conditionalFormatting>
  <conditionalFormatting sqref="CX8:CX2501">
    <cfRule type="expression" priority="247" dxfId="7">
      <formula>AND($CX$7&lt;&gt;"", CX8="")</formula>
    </cfRule>
  </conditionalFormatting>
  <conditionalFormatting sqref="CY7">
    <cfRule type="notContainsBlanks" priority="248" dxfId="7">
      <formula>LEN(TRIM(CY7))&gt;0</formula>
    </cfRule>
    <cfRule type="containsBlanks" priority="249" dxfId="8">
      <formula>LEN(TRIM(CY7))=0</formula>
    </cfRule>
  </conditionalFormatting>
  <conditionalFormatting sqref="CY8:CY2501">
    <cfRule type="expression" priority="250" dxfId="7">
      <formula>AND($CY$7&lt;&gt;"", CY8="")</formula>
    </cfRule>
  </conditionalFormatting>
  <conditionalFormatting sqref="CZ7">
    <cfRule type="notContainsBlanks" priority="251" dxfId="7">
      <formula>LEN(TRIM(CZ7))&gt;0</formula>
    </cfRule>
    <cfRule type="containsBlanks" priority="252" dxfId="8">
      <formula>LEN(TRIM(CZ7))=0</formula>
    </cfRule>
  </conditionalFormatting>
  <conditionalFormatting sqref="CZ8:CZ2501">
    <cfRule type="expression" priority="253"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54" dxfId="7">
      <formula>LEN(TRIM(DA7))&gt;0</formula>
    </cfRule>
    <cfRule type="containsBlanks" priority="255" dxfId="8">
      <formula>LEN(TRIM(DA7))=0</formula>
    </cfRule>
  </conditionalFormatting>
  <conditionalFormatting sqref="DA8:DA2501">
    <cfRule type="expression" priority="256" dxfId="7">
      <formula>AND($DA$7&lt;&gt;"", DA8="")</formula>
    </cfRule>
  </conditionalFormatting>
  <conditionalFormatting sqref="DB7">
    <cfRule type="notContainsBlanks" priority="257" dxfId="7">
      <formula>LEN(TRIM(DB7))&gt;0</formula>
    </cfRule>
    <cfRule type="containsBlanks" priority="258" dxfId="8">
      <formula>LEN(TRIM(DB7))=0</formula>
    </cfRule>
  </conditionalFormatting>
  <conditionalFormatting sqref="DB8:DB2501">
    <cfRule type="expression" priority="259" dxfId="7">
      <formula>AND($DB$7&lt;&gt;"", DB8="")</formula>
    </cfRule>
  </conditionalFormatting>
  <conditionalFormatting sqref="DC7">
    <cfRule type="notContainsBlanks" priority="260" dxfId="7">
      <formula>LEN(TRIM(DC7))&gt;0</formula>
    </cfRule>
    <cfRule type="containsBlanks" priority="261" dxfId="8">
      <formula>LEN(TRIM(DC7))=0</formula>
    </cfRule>
  </conditionalFormatting>
  <conditionalFormatting sqref="DC8:DC2501">
    <cfRule type="expression" priority="262" dxfId="7">
      <formula>AND($DC$7&lt;&gt;"", DC8="")</formula>
    </cfRule>
  </conditionalFormatting>
  <conditionalFormatting sqref="DD7">
    <cfRule type="notContainsBlanks" priority="263" dxfId="7">
      <formula>LEN(TRIM(DD7))&gt;0</formula>
    </cfRule>
    <cfRule type="containsBlanks" priority="264" dxfId="8">
      <formula>LEN(TRIM(DD7))=0</formula>
    </cfRule>
  </conditionalFormatting>
  <conditionalFormatting sqref="DD8:DD2501">
    <cfRule type="expression" priority="265" dxfId="7">
      <formula>AND($DD$7&lt;&gt;"", DD8="")</formula>
    </cfRule>
  </conditionalFormatting>
  <conditionalFormatting sqref="DE7">
    <cfRule type="notContainsBlanks" priority="266" dxfId="7">
      <formula>LEN(TRIM(DE7))&gt;0</formula>
    </cfRule>
    <cfRule type="containsBlanks" priority="267" dxfId="8">
      <formula>LEN(TRIM(DE7))=0</formula>
    </cfRule>
  </conditionalFormatting>
  <conditionalFormatting sqref="DE8:DE2501">
    <cfRule type="expression" priority="268" dxfId="7">
      <formula>AND($DE$7&lt;&gt;"", DE8="")</formula>
    </cfRule>
  </conditionalFormatting>
  <conditionalFormatting sqref="DF7">
    <cfRule type="notContainsBlanks" priority="269" dxfId="7">
      <formula>LEN(TRIM(DF7))&gt;0</formula>
    </cfRule>
    <cfRule type="containsBlanks" priority="270" dxfId="8">
      <formula>LEN(TRIM(DF7))=0</formula>
    </cfRule>
  </conditionalFormatting>
  <conditionalFormatting sqref="DF8:DF2501">
    <cfRule type="expression" priority="271" dxfId="7">
      <formula>AND($DF$7&lt;&gt;"", DF8="")</formula>
    </cfRule>
  </conditionalFormatting>
  <conditionalFormatting sqref="DG7">
    <cfRule type="notContainsBlanks" priority="272" dxfId="7">
      <formula>LEN(TRIM(DG7))&gt;0</formula>
    </cfRule>
    <cfRule type="containsBlanks" priority="273" dxfId="8">
      <formula>LEN(TRIM(DG7))=0</formula>
    </cfRule>
  </conditionalFormatting>
  <conditionalFormatting sqref="DG8:DG2501">
    <cfRule type="expression" priority="274" dxfId="7">
      <formula>AND($DG$7&lt;&gt;"", DG8="")</formula>
    </cfRule>
  </conditionalFormatting>
  <conditionalFormatting sqref="DH7">
    <cfRule type="notContainsBlanks" priority="275" dxfId="7">
      <formula>LEN(TRIM(DH7))&gt;0</formula>
    </cfRule>
    <cfRule type="containsBlanks" priority="276" dxfId="8">
      <formula>LEN(TRIM(DH7))=0</formula>
    </cfRule>
  </conditionalFormatting>
  <conditionalFormatting sqref="DH8:DH2501">
    <cfRule type="expression" priority="277" dxfId="7">
      <formula>AND($DH$7&lt;&gt;"", DH8="")</formula>
    </cfRule>
  </conditionalFormatting>
  <conditionalFormatting sqref="DI7">
    <cfRule type="notContainsBlanks" priority="278" dxfId="7">
      <formula>LEN(TRIM(DI7))&gt;0</formula>
    </cfRule>
    <cfRule type="containsBlanks" priority="279" dxfId="8">
      <formula>LEN(TRIM(DI7))=0</formula>
    </cfRule>
  </conditionalFormatting>
  <conditionalFormatting sqref="DI8:DI2501">
    <cfRule type="expression" priority="280" dxfId="7">
      <formula>AND($DI$7&lt;&gt;"", DI8="")</formula>
    </cfRule>
  </conditionalFormatting>
  <conditionalFormatting sqref="DJ7">
    <cfRule type="notContainsBlanks" priority="281" dxfId="7">
      <formula>LEN(TRIM(DJ7))&gt;0</formula>
    </cfRule>
    <cfRule type="containsBlanks" priority="282" dxfId="8">
      <formula>LEN(TRIM(DJ7))=0</formula>
    </cfRule>
  </conditionalFormatting>
  <conditionalFormatting sqref="DJ8:DJ2501">
    <cfRule type="expression" priority="283" dxfId="7">
      <formula>AND($DJ$7&lt;&gt;"", DJ8="")</formula>
    </cfRule>
  </conditionalFormatting>
  <conditionalFormatting sqref="DK7">
    <cfRule type="notContainsBlanks" priority="284" dxfId="7">
      <formula>LEN(TRIM(DK7))&gt;0</formula>
    </cfRule>
    <cfRule type="containsBlanks" priority="285" dxfId="8">
      <formula>LEN(TRIM(DK7))=0</formula>
    </cfRule>
  </conditionalFormatting>
  <conditionalFormatting sqref="DK8:DK2501">
    <cfRule type="expression" priority="286" dxfId="7">
      <formula>AND($DK$7&lt;&gt;"", DK8="")</formula>
    </cfRule>
  </conditionalFormatting>
  <conditionalFormatting sqref="DL7">
    <cfRule type="notContainsBlanks" priority="287" dxfId="7">
      <formula>LEN(TRIM(DL7))&gt;0</formula>
    </cfRule>
    <cfRule type="containsBlanks" priority="288" dxfId="8">
      <formula>LEN(TRIM(DL7))=0</formula>
    </cfRule>
  </conditionalFormatting>
  <conditionalFormatting sqref="DL8:DL2501">
    <cfRule type="expression" priority="289" dxfId="7">
      <formula>AND($DL$7&lt;&gt;"", DL8="")</formula>
    </cfRule>
  </conditionalFormatting>
  <conditionalFormatting sqref="DM7">
    <cfRule type="notContainsBlanks" priority="290" dxfId="7">
      <formula>LEN(TRIM(DM7))&gt;0</formula>
    </cfRule>
    <cfRule type="containsBlanks" priority="291" dxfId="8">
      <formula>LEN(TRIM(DM7))=0</formula>
    </cfRule>
  </conditionalFormatting>
  <conditionalFormatting sqref="DM8:DM2501">
    <cfRule type="expression" priority="292" dxfId="7">
      <formula>AND($DM$7&lt;&gt;"", DM8="")</formula>
    </cfRule>
  </conditionalFormatting>
  <conditionalFormatting sqref="DN7">
    <cfRule type="notContainsBlanks" priority="293" dxfId="7">
      <formula>LEN(TRIM(DN7))&gt;0</formula>
    </cfRule>
    <cfRule type="containsBlanks" priority="294" dxfId="8">
      <formula>LEN(TRIM(DN7))=0</formula>
    </cfRule>
  </conditionalFormatting>
  <conditionalFormatting sqref="DN8:DN2501">
    <cfRule type="expression" priority="295" dxfId="7">
      <formula>AND($DN$7&lt;&gt;"", DN8="")</formula>
    </cfRule>
  </conditionalFormatting>
  <conditionalFormatting sqref="DO7">
    <cfRule type="notContainsBlanks" priority="296" dxfId="7">
      <formula>LEN(TRIM(DO7))&gt;0</formula>
    </cfRule>
    <cfRule type="containsBlanks" priority="297" dxfId="8">
      <formula>LEN(TRIM(DO7))=0</formula>
    </cfRule>
  </conditionalFormatting>
  <conditionalFormatting sqref="DO8:DO2501">
    <cfRule type="expression" priority="298" dxfId="7">
      <formula>AND($DO$7&lt;&gt;"", DO8="")</formula>
    </cfRule>
  </conditionalFormatting>
  <conditionalFormatting sqref="DP7">
    <cfRule type="notContainsBlanks" priority="299" dxfId="7">
      <formula>LEN(TRIM(DP7))&gt;0</formula>
    </cfRule>
    <cfRule type="containsBlanks" priority="300" dxfId="8">
      <formula>LEN(TRIM(DP7))=0</formula>
    </cfRule>
  </conditionalFormatting>
  <conditionalFormatting sqref="DP8:DP2501">
    <cfRule type="expression" priority="301" dxfId="7">
      <formula>AND($DP$7&lt;&gt;"", DP8="")</formula>
    </cfRule>
  </conditionalFormatting>
  <conditionalFormatting sqref="DQ7">
    <cfRule type="notContainsBlanks" priority="302" dxfId="7">
      <formula>LEN(TRIM(DQ7))&gt;0</formula>
    </cfRule>
    <cfRule type="containsBlanks" priority="303" dxfId="8">
      <formula>LEN(TRIM(DQ7))=0</formula>
    </cfRule>
  </conditionalFormatting>
  <conditionalFormatting sqref="DQ8:DQ2501">
    <cfRule type="expression" priority="304" dxfId="7">
      <formula>AND($DQ$7&lt;&gt;"", DQ8="")</formula>
    </cfRule>
  </conditionalFormatting>
  <conditionalFormatting sqref="DR7">
    <cfRule type="notContainsBlanks" priority="305" dxfId="7">
      <formula>LEN(TRIM(DR7))&gt;0</formula>
    </cfRule>
    <cfRule type="containsBlanks" priority="306" dxfId="8">
      <formula>LEN(TRIM(DR7))=0</formula>
    </cfRule>
  </conditionalFormatting>
  <conditionalFormatting sqref="DR8:DR2501">
    <cfRule type="expression" priority="307" dxfId="7">
      <formula>AND($DR$7&lt;&gt;"", DR8="")</formula>
    </cfRule>
  </conditionalFormatting>
  <conditionalFormatting sqref="DS7">
    <cfRule type="notContainsBlanks" priority="308" dxfId="7">
      <formula>LEN(TRIM(DS7))&gt;0</formula>
    </cfRule>
    <cfRule type="containsBlanks" priority="309" dxfId="8">
      <formula>LEN(TRIM(DS7))=0</formula>
    </cfRule>
  </conditionalFormatting>
  <conditionalFormatting sqref="DS8:DS2501">
    <cfRule type="expression" priority="310" dxfId="7">
      <formula>AND($DS$7&lt;&gt;"", DS8="")</formula>
    </cfRule>
  </conditionalFormatting>
  <conditionalFormatting sqref="DT7">
    <cfRule type="notContainsBlanks" priority="311" dxfId="7">
      <formula>LEN(TRIM(DT7))&gt;0</formula>
    </cfRule>
    <cfRule type="containsBlanks" priority="312" dxfId="8">
      <formula>LEN(TRIM(DT7))=0</formula>
    </cfRule>
  </conditionalFormatting>
  <conditionalFormatting sqref="DT8:DT2501">
    <cfRule type="expression" priority="313" dxfId="7">
      <formula>AND($DT$7&lt;&gt;"", DT8="")</formula>
    </cfRule>
  </conditionalFormatting>
  <conditionalFormatting sqref="DU7">
    <cfRule type="notContainsBlanks" priority="314" dxfId="7">
      <formula>LEN(TRIM(DU7))&gt;0</formula>
    </cfRule>
    <cfRule type="containsBlanks" priority="315" dxfId="8">
      <formula>LEN(TRIM(DU7))=0</formula>
    </cfRule>
  </conditionalFormatting>
  <conditionalFormatting sqref="DU8:DU2501">
    <cfRule type="expression" priority="316" dxfId="7">
      <formula>AND($DU$7&lt;&gt;"", DU8="")</formula>
    </cfRule>
  </conditionalFormatting>
  <conditionalFormatting sqref="DV7">
    <cfRule type="notContainsBlanks" priority="317" dxfId="7">
      <formula>LEN(TRIM(DV7))&gt;0</formula>
    </cfRule>
    <cfRule type="containsBlanks" priority="318" dxfId="8">
      <formula>LEN(TRIM(DV7))=0</formula>
    </cfRule>
  </conditionalFormatting>
  <conditionalFormatting sqref="DV8:DV2501">
    <cfRule type="expression" priority="319" dxfId="7">
      <formula>AND($DV$7&lt;&gt;"", DV8="")</formula>
    </cfRule>
  </conditionalFormatting>
  <conditionalFormatting sqref="DW7">
    <cfRule type="notContainsBlanks" priority="320" dxfId="7">
      <formula>LEN(TRIM(DW7))&gt;0</formula>
    </cfRule>
    <cfRule type="containsBlanks" priority="321" dxfId="8">
      <formula>LEN(TRIM(DW7))=0</formula>
    </cfRule>
  </conditionalFormatting>
  <conditionalFormatting sqref="DW8:DW2501">
    <cfRule type="expression" priority="322" dxfId="7">
      <formula>AND($DW$7&lt;&gt;"", DW8="")</formula>
    </cfRule>
  </conditionalFormatting>
  <conditionalFormatting sqref="DX7">
    <cfRule type="notContainsBlanks" priority="323" dxfId="7">
      <formula>LEN(TRIM(DX7))&gt;0</formula>
    </cfRule>
    <cfRule type="containsBlanks" priority="324" dxfId="8">
      <formula>LEN(TRIM(DX7))=0</formula>
    </cfRule>
  </conditionalFormatting>
  <conditionalFormatting sqref="DX8:DX2501">
    <cfRule type="expression" priority="325" dxfId="7">
      <formula>AND($DX$7&lt;&gt;"", DX8="")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S7">
    <cfRule type="notContainsBlanks" priority="14" dxfId="7">
      <formula>LEN(TRIM(S7))&gt;0</formula>
    </cfRule>
    <cfRule type="containsBlanks" priority="15" dxfId="8">
      <formula>LEN(TRIM(S7))=0</formula>
    </cfRule>
  </conditionalFormatting>
  <conditionalFormatting sqref="S8:S2501">
    <cfRule type="expression" priority="16" dxfId="7">
      <formula>AND($S$7&lt;&gt;"", S8="")</formula>
    </cfRule>
  </conditionalFormatting>
  <conditionalFormatting sqref="T7">
    <cfRule type="notContainsBlanks" priority="17" dxfId="7">
      <formula>LEN(TRIM(T7))&gt;0</formula>
    </cfRule>
    <cfRule type="containsBlanks" priority="18" dxfId="8">
      <formula>LEN(TRIM(T7))=0</formula>
    </cfRule>
  </conditionalFormatting>
  <conditionalFormatting sqref="T8:T2501">
    <cfRule type="expression" priority="19" dxfId="7">
      <formula>AND($T$7&lt;&gt;"", T8="")</formula>
    </cfRule>
  </conditionalFormatting>
  <conditionalFormatting sqref="U7">
    <cfRule type="notContainsBlanks" priority="20" dxfId="7">
      <formula>LEN(TRIM(U7))&gt;0</formula>
    </cfRule>
    <cfRule type="containsBlanks" priority="21" dxfId="8">
      <formula>LEN(TRIM(U7))=0</formula>
    </cfRule>
  </conditionalFormatting>
  <conditionalFormatting sqref="U8:U2501">
    <cfRule type="expression" priority="22" dxfId="7">
      <formula>AND($U$7&lt;&gt;"", U8="")</formula>
    </cfRule>
  </conditionalFormatting>
  <conditionalFormatting sqref="V7">
    <cfRule type="notContainsBlanks" priority="23" dxfId="7">
      <formula>LEN(TRIM(V7))&gt;0</formula>
    </cfRule>
    <cfRule type="containsBlanks" priority="24" dxfId="8">
      <formula>LEN(TRIM(V7))=0</formula>
    </cfRule>
  </conditionalFormatting>
  <conditionalFormatting sqref="V8:V2501">
    <cfRule type="expression" priority="25" dxfId="7">
      <formula>AND($V$7&lt;&gt;"", V8="")</formula>
    </cfRule>
  </conditionalFormatting>
  <conditionalFormatting sqref="W7">
    <cfRule type="notContainsBlanks" priority="26" dxfId="7">
      <formula>LEN(TRIM(W7))&gt;0</formula>
    </cfRule>
    <cfRule type="containsBlanks" priority="27" dxfId="8">
      <formula>LEN(TRIM(W7))=0</formula>
    </cfRule>
  </conditionalFormatting>
  <conditionalFormatting sqref="W8:W2501">
    <cfRule type="expression" priority="28" dxfId="7">
      <formula>AND($W$7&lt;&gt;"", W8="")</formula>
    </cfRule>
  </conditionalFormatting>
  <conditionalFormatting sqref="X7">
    <cfRule type="notContainsBlanks" priority="29" dxfId="7">
      <formula>LEN(TRIM(X7))&gt;0</formula>
    </cfRule>
    <cfRule type="containsBlanks" priority="30" dxfId="8">
      <formula>LEN(TRIM(X7))=0</formula>
    </cfRule>
  </conditionalFormatting>
  <conditionalFormatting sqref="X8:X2501">
    <cfRule type="expression" priority="31" dxfId="7">
      <formula>AND($X$7&lt;&gt;"", X8="")</formula>
    </cfRule>
  </conditionalFormatting>
  <conditionalFormatting sqref="Y7">
    <cfRule type="notContainsBlanks" priority="32" dxfId="7">
      <formula>LEN(TRIM(Y7))&gt;0</formula>
    </cfRule>
    <cfRule type="containsBlanks" priority="33" dxfId="8">
      <formula>LEN(TRIM(Y7))=0</formula>
    </cfRule>
  </conditionalFormatting>
  <conditionalFormatting sqref="Y8:Y2501">
    <cfRule type="expression" priority="34" dxfId="7">
      <formula>AND($Y$7&lt;&gt;"", Y8="")</formula>
    </cfRule>
  </conditionalFormatting>
  <conditionalFormatting sqref="Z7">
    <cfRule type="notContainsBlanks" priority="35" dxfId="7">
      <formula>LEN(TRIM(Z7))&gt;0</formula>
    </cfRule>
    <cfRule type="containsBlanks" priority="36" dxfId="8">
      <formula>LEN(TRIM(Z7))=0</formula>
    </cfRule>
  </conditionalFormatting>
  <conditionalFormatting sqref="Z8:Z2501">
    <cfRule type="expression" priority="37" dxfId="7">
      <formula>AND($Z$7&lt;&gt;"", Z8="")</formula>
    </cfRule>
  </conditionalFormatting>
  <dataValidations count="231">
    <dataValidation sqref="B8:B250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C250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D2500" showDropDown="0" showInputMessage="1" showErrorMessage="1" allowBlank="1" errorTitle="Invalid Brand" error="The value provided is not a valid Brand." promptTitle="Brand" prompt="Please select a valid Brand" type="list">
      <formula1>'WAYFAIR_USE_ONLY'!$AP$7:$AP7</formula1>
    </dataValidation>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E8:E250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F250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Please enter Text" type="custom">
      <formula1>AND(LEN(F8)&lt;32767, IF(F8&lt;&gt;"",COUNTIF($F$8:$F$2500,F8)=1,""))</formula1>
    </dataValidation>
    <dataValidation sqref="G8:G250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H250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I8:I250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J2500" showDropDown="0" showInputMessage="1" showErrorMessage="1" allowBlank="1" errorTitle="Invalid Variant Type" error="The value provided is not a valid Variant Type." promptTitle="Variant Type" prompt="Please select a valid Variant Type" type="list">
      <formula1>'WAYFAIR_USE_ONLY'!$BB$7:$BB10</formula1>
    </dataValidation>
    <dataValidation sqref="K8:K2500" showDropDown="0" showInputMessage="1" showErrorMessage="1" allowBlank="0" errorTitle="Invalid Text" error="The value provided is not a valid Text." promptTitle="Group Reference ID" prompt="Please enter Text" type="textLength" errorStyle="warning" operator="lessThanOrEqual">
      <formula1>32767</formula1>
    </dataValidation>
    <dataValidation sqref="L8:L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'WAYFAIR_USE_ONLY'!$BC$7:$BC10</formula1>
    </dataValidation>
    <dataValidation sqref="M8:M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N8:N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'WAYFAIR_USE_ONLY'!$BC$7:$BC10</formula1>
    </dataValidation>
    <dataValidation sqref="O8:O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P8:P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'WAYFAIR_USE_ONLY'!$BC$7:$BC10</formula1>
    </dataValidation>
    <dataValidation sqref="Q8:Q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R8:R250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S8:S250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8:T250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8:U250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8:V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8:W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8:X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8:Y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8:Z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8:AA250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8:AB250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8:AC250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8:AD250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8:AE2500" showDropDown="0" showInputMessage="1" showErrorMessage="1" allowBlank="1" errorTitle="Invalid Ship Type" error="The value provided is not a valid Ship Type." promptTitle="Ship Type" prompt="Please select a valid Ship Type" type="list">
      <formula1>'WAYFAIR_USE_ONLY'!$AV$7:$AV9</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8:AF2500" showDropDown="0" showInputMessage="1" showErrorMessage="1" allowBlank="1" errorTitle="Invalid Freight Class" error="The value provided is not a valid Freight Class." promptTitle="Freight Class" prompt="Please select a valid Freight Class" type="list">
      <formula1>'WAYFAIR_USE_ONLY'!$AW$7:$AW25</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8:AG2500" showDropDown="0" showInputMessage="1" showErrorMessage="1" allowBlank="1" errorTitle="Invalid Lead Time" error="The value provided is not a valid Lead Time." promptTitle="Lead Time" prompt="Please select a valid Lead Time" type="list">
      <formula1>'WAYFAIR_USE_ONLY'!$AX$7:$AX24</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8:AH2500" showDropDown="0" showInputMessage="1" showErrorMessage="1" allowBlank="1" errorTitle="Invalid Replacement Lead Time" error="The value provided is not a valid Replacement Lead Time." promptTitle="Replacement Lead Time" prompt="Please select a valid Replacement Lead Time" type="list">
      <formula1>'WAYFAIR_USE_ONLY'!$AY$7:$AY13</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8:AI250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8:AJ2500" showDropDown="0" showInputMessage="1" showErrorMessage="1" allowBlank="1" errorTitle="Invalid Flat Pack" error="The value provided is not a valid Flat Pack." promptTitle="Flat Pack" prompt="Please select a valid Flat Pack" type="list">
      <formula1>'WAYFAIR_USE_ONLY'!$AZ$7:$AZ9</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8:AK2500" showDropDown="0" showInputMessage="1" showErrorMessage="1" allowBlank="1" errorTitle="Invalid Ship Palletized" error="The value provided is not a valid Ship Palletized." promptTitle="Ship Palletized" prompt="Please select a valid Ship Palletized" type="list">
      <formula1>'WAYFAIR_USE_ONLY'!$BA$7:$BA9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8:AL250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8:AM250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8:AN250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8:AO250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8:AP2500" showDropDown="0" showInputMessage="1" showErrorMessage="1" allowBlank="1" errorTitle="Invalid Warning Required" error="The value provided is not a valid Warning Required." promptTitle="Warning Required" prompt="Please select a valid Warning Required" type="list">
      <formula1>'WAYFAIR_USE_ONLY'!$AS$7:$AS9</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8:AQ2500" showDropDown="0" showInputMessage="1" showErrorMessage="1" allowBlank="1" errorTitle="Invalid Chemical" error="The value provided is not a valid Chemical." promptTitle="Chemical" prompt="Please select a valid Chemical" type="list">
      <formula1>'WAYFAIR_USE_ONLY'!$AT$7:$AT908</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8:AS250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'WAYFAIR_USE_ONLY'!$AU$7:$AU254</formula1>
    </dataValidation>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T8:AT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U8:AU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V8:AV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W8:AW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X8:AX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Y8:AY250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Z8:AZ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8:BC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8:BD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8:BE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8:BH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8:BI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8:BJ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8:BM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8:BN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8:BO250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'WAYFAIR_USE_ONLY'!$B$7:$B15</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'WAYFAIR_USE_ONLY'!$B$7:$B15</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8:BQ2500" showDropDown="0" showInputMessage="1" showErrorMessage="1" allowBlank="1" errorTitle="Invalid Adjustable Height" error="The value provided is not a valid Adjustable Height." promptTitle="Adjustable Height" prompt="Please select a valid Adjustable Height" type="list">
      <formula1>'WAYFAIR_USE_ONLY'!$C$7:$C10</formula1>
    </dataValidation>
    <dataValidation sqref="BQ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8:BS2500" showDropDown="0" showInputMessage="1" showErrorMessage="1" allowBlank="0" errorTitle="Invalid Number" error="The value provided is not a valid Number." promptTitle="Shelf Weight Capacity" prompt="Please enter Number" type="textLength" errorStyle="warning" operator="lessThanOrEqual">
      <formula1>32767</formula1>
    </dataValidation>
    <dataValidation sqref="B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T8:BT2500" showDropDown="0" showInputMessage="1" showErrorMessage="1" allowBlank="1" errorTitle="Invalid Tilting" error="The value provided is not a valid Tilting." promptTitle="Tilting" prompt="Please select a valid Tilting" type="list">
      <formula1>'WAYFAIR_USE_ONLY'!$D$7:$D10</formula1>
    </dataValidation>
    <dataValidation sqref="BT7" showDropDown="0" showInputMessage="1" showErrorMessage="1" allowBlank="1" errorTitle="Invalid Tilting" error="The value provided is not a valid Tilting." promptTitle="" prompt="If all products in this class consistently have the same answer, you can set a default value to apply automatically. For any exceptions, you can modify the answer for specific products without changing the default." type="list">
      <formula1>'WAYFAIR_USE_ONLY'!$D$7:$D10</formula1>
    </dataValidation>
    <dataValidation sqref="BU8:BU250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U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V8:BV2500" showDropDown="0" showInputMessage="1" showErrorMessage="1" allowBlank="1" errorTitle="Invalid Drawers Included" error="The value provided is not a valid Drawers Included." promptTitle="Drawers Included" prompt="Please select a valid Drawers Included" type="list">
      <formula1>'WAYFAIR_USE_ONLY'!$F$7:$F9</formula1>
    </dataValidation>
    <dataValidation sqref="BV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'WAYFAIR_USE_ONLY'!$F$7:$F9</formula1>
    </dataValidation>
    <dataValidation sqref="BW8:BW2500" showDropDown="0" showInputMessage="1" showErrorMessage="1" allowBlank="1" errorTitle="Invalid Legs Included" error="The value provided is not a valid Legs Included." promptTitle="Legs Included" prompt="Please select a valid Legs Included" type="list">
      <formula1>'WAYFAIR_USE_ONLY'!$G$7:$G10</formula1>
    </dataValidation>
    <dataValidation sqref="BW7" showDropDown="0" showInputMessage="1" showErrorMessage="1" allowBlank="1" errorTitle="Invalid Legs Included" error="The value provided is not a valid Legs Included." promptTitle="" prompt="If all products in this class consistently have the same answer, you can set a default value to apply automatically. For any exceptions, you can modify the answer for specific products without changing the default." type="list">
      <formula1>'WAYFAIR_USE_ONLY'!$G$7:$G10</formula1>
    </dataValidation>
    <dataValidation sqref="BX8:BX250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'WAYFAIR_USE_ONLY'!$H$7:$H9</formula1>
    </dataValidation>
    <dataValidation sqref="BX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'WAYFAIR_USE_ONLY'!$H$7:$H9</formula1>
    </dataValidation>
    <dataValidation sqref="BY8:BY2500" showDropDown="0" showInputMessage="1" showErrorMessage="1" allowBlank="0" errorTitle="Invalid Number" error="The value provided is not a valid Number." promptTitle="Overall Weight Capacity" prompt="Please enter Number" type="textLength" errorStyle="warning" operator="lessThanOrEqual">
      <formula1>32767</formula1>
    </dataValidation>
    <dataValidation sqref="BY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8:CB250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'WAYFAIR_USE_ONLY'!$P$7:$P10</formula1>
    </dataValidation>
    <dataValidation sqref="CB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'WAYFAIR_USE_ONLY'!$P$7:$P10</formula1>
    </dataValidation>
    <dataValidation sqref="CC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C8:CC2500" showDropDown="0" showInputMessage="1" showErrorMessage="1" allowBlank="1" errorTitle="Invalid Battery Type" error="The value provided is not a valid Battery Type." promptTitle="Battery Type" prompt="Please select a valid Battery Type" type="list">
      <formula1>'WAYFAIR_USE_ONLY'!$J$7:$J11</formula1>
    </dataValidation>
    <dataValidation sqref="CC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'WAYFAIR_USE_ONLY'!$J$7:$J11</formula1>
    </dataValidation>
    <dataValidation sqref="CD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D8:CD2500" showDropDown="0" showInputMessage="1" showErrorMessage="1" allowBlank="1" errorTitle="Invalid Battery Composition" error="The value provided is not a valid Battery Composition." promptTitle="Battery Composition" prompt="Please select a valid Battery Composition" type="list">
      <formula1>'WAYFAIR_USE_ONLY'!$I$7:$I17</formula1>
    </dataValidation>
    <dataValidation sqref="CD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'WAYFAIR_USE_ONLY'!$I$7:$I17</formula1>
    </dataValidation>
    <dataValidation sqref="CE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E8:CE2500"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'WAYFAIR_USE_ONLY'!$K$7:$K19</formula1>
    </dataValidation>
    <dataValidation sqref="CE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'WAYFAIR_USE_ONLY'!$K$7:$K19</formula1>
    </dataValidation>
    <dataValidation sqref="CF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F8:CF2500" showDropDown="0" showInputMessage="1" showErrorMessage="1" allowBlank="1" errorTitle="Invalid Battery Shipment" error="The value provided is not a valid Battery Shipment." promptTitle="Battery Shipment" prompt="Please select a valid Battery Shipment" type="list">
      <formula1>'WAYFAIR_USE_ONLY'!$L$7:$L11</formula1>
    </dataValidation>
    <dataValidation sqref="CF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'WAYFAIR_USE_ONLY'!$L$7:$L11</formula1>
    </dataValidation>
    <dataValidation sqref="CG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G8:CG2500" showDropDown="0" showInputMessage="1" showErrorMessage="1" allowBlank="1" errorTitle="Invalid Lithium Content" error="The value provided is not a valid Lithium Content." promptTitle="Lithium Content" prompt="Please select a valid Lithium Content" type="list">
      <formula1>'WAYFAIR_USE_ONLY'!$M$7:$M14</formula1>
    </dataValidation>
    <dataValidation sqref="CG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'WAYFAIR_USE_ONLY'!$M$7:$M14</formula1>
    </dataValidation>
    <dataValidation sqref="CH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H8:CH250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'WAYFAIR_USE_ONLY'!$N$7:$N14</formula1>
    </dataValidation>
    <dataValidation sqref="CH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'WAYFAIR_USE_ONLY'!$N$7:$N14</formula1>
    </dataValidation>
    <dataValidation sqref="CI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I8:CI250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'WAYFAIR_USE_ONLY'!$O$7:$O12</formula1>
    </dataValidation>
    <dataValidation sqref="CI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'WAYFAIR_USE_ONLY'!$O$7:$O12</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8:CK2500" showDropDown="0" showInputMessage="1" showErrorMessage="1" allowBlank="1" errorTitle="Invalid Adjustable Shelves" error="The value provided is not a valid Adjustable Shelves." promptTitle="Adjustable Shelves" prompt="Please select a valid Adjustable Shelves" type="list">
      <formula1>'WAYFAIR_USE_ONLY'!$Q$7:$Q11</formula1>
    </dataValidation>
    <dataValidation sqref="CK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'WAYFAIR_USE_ONLY'!$Q$7:$Q11</formula1>
    </dataValidation>
    <dataValidation sqref="CL8:CL2500" showDropDown="0" showInputMessage="1" showErrorMessage="1" allowBlank="1" errorTitle="Invalid Locking Wheels" error="The value provided is not a valid Locking Wheels." promptTitle="Locking Wheels" prompt="Please select a valid Locking Wheels" type="list">
      <formula1>'WAYFAIR_USE_ONLY'!$R$7:$R10</formula1>
    </dataValidation>
    <dataValidation sqref="CL7" showDropDown="0" showInputMessage="1" showErrorMessage="1" allowBlank="1" errorTitle="Invalid Locking Wheels" error="The value provided is not a valid Locking Wheels." promptTitle="" prompt="If all products in this class consistently have the same answer, you can set a default value to apply automatically. For any exceptions, you can modify the answer for specific products without changing the default." type="list">
      <formula1>'WAYFAIR_USE_ONLY'!$R$7:$R10</formula1>
    </dataValidation>
    <dataValidation sqref="CM8:CM2500" showDropDown="0" showInputMessage="1" showErrorMessage="1" allowBlank="1" errorTitle="Invalid Mount Type" error="The value provided is not a valid Mount Type. Would you like to provide a custom answer?" promptTitle="Mount Type" prompt="Please select a valid Mount Type" type="list" errorStyle="warning">
      <formula1>'WAYFAIR_USE_ONLY'!$S$7:$S15</formula1>
    </dataValidation>
    <dataValidation sqref="CM7" showDropDown="0" showInputMessage="1" showErrorMessage="1" allowBlank="1" errorTitle="Invalid Mount Type" error="The value provided is not a valid Moun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'WAYFAIR_USE_ONLY'!$S$7:$S15</formula1>
    </dataValidation>
    <dataValidation sqref="C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O8:CO2500" showDropDown="0" showInputMessage="1" showErrorMessage="1" allowBlank="0" errorTitle="Invalid Whole Number" error="The value provided is not a valid Whole Number." promptTitle="Number of Shelves" prompt="Please enter Whole Number" type="textLength" errorStyle="warning" operator="lessThanOrEqual">
      <formula1>32767</formula1>
    </dataValidation>
    <dataValidation sqref="CO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P8:CP2500" showDropDown="0" showInputMessage="1" showErrorMessage="1" allowBlank="1" errorTitle="Invalid Storage Included" error="The value provided is not a valid Storage Included." promptTitle="Storage Included" prompt="Please select a valid Storage Included" type="list">
      <formula1>'WAYFAIR_USE_ONLY'!$T$7:$T10</formula1>
    </dataValidation>
    <dataValidation sqref="CP7" showDropDown="0" showInputMessage="1" showErrorMessage="1" allowBlank="1" errorTitle="Invalid Storage Included" error="The value provided is not a valid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8:CS250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C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T8:CT2500" showDropDown="0" showInputMessage="1" showErrorMessage="1" allowBlank="0" errorTitle="Invalid Whole Number" error="The value provided is not a valid Whole Number." promptTitle="Number of Wheels / Casters Inclu" prompt="Please enter Whole Number" type="textLength" errorStyle="warning" operator="lessThanOrEqual">
      <formula1>32767</formula1>
    </dataValidation>
    <dataValidation sqref="C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U8:CU2500" showDropDown="0" showInputMessage="1" showErrorMessage="1" allowBlank="1" errorTitle="Invalid CPSC - 16 CFR 1303 Compl" error="The value provided is not a valid CPSC - 16 CFR 1303 Compliant." promptTitle="CPSC - 16 CFR 1303 Compliant" prompt="Please select a valid CPSC - 16 CFR 1303 Compliant" type="list">
      <formula1>'WAYFAIR_USE_ONLY'!$U$7:$U10</formula1>
    </dataValidation>
    <dataValidation sqref="CU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V8:CV2500" showDropDown="0" showInputMessage="1" showErrorMessage="1" allowBlank="1" errorTitle="Invalid ADA Compliant" error="The value provided is not a valid ADA Compliant." promptTitle="ADA Compliant" prompt="Please select a valid ADA Compliant" type="list">
      <formula1>'WAYFAIR_USE_ONLY'!$V$7:$V10</formula1>
    </dataValidation>
    <dataValidation sqref="CV7" showDropDown="0" showInputMessage="1" showErrorMessage="1" allowBlank="1" errorTitle="Invalid ADA Compliant" error="The value provided is not a valid ADA Compliant." promptTitle="" prompt="If all products in this class consistently have the same answer, you can set a default value to apply automatically. For any exceptions, you can modify the answer for specific products without changing the default." type="list">
      <formula1>'WAYFAIR_USE_ONLY'!$V$7:$V10</formula1>
    </dataValidation>
    <dataValidation sqref="CW8:CW250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'WAYFAIR_USE_ONLY'!$Z$7:$Z10</formula1>
    </dataValidation>
    <dataValidation sqref="CW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'WAYFAIR_USE_ONLY'!$Z$7:$Z10</formula1>
    </dataValidation>
    <dataValidation sqref="CX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X8:CX2500"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'WAYFAIR_USE_ONLY'!$W$7:$W11</formula1>
    </dataValidation>
    <dataValidation sqref="CX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Y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Y8:CY2500"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'WAYFAIR_USE_ONLY'!$X$7:$X11</formula1>
    </dataValidation>
    <dataValidation sqref="CY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'WAYFAIR_USE_ONLY'!$X$7:$X11</formula1>
    </dataValidation>
    <dataValidation sqref="CZ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Z8:CZ2500" showDropDown="0" showInputMessage="1" showErrorMessage="1" allowBlank="1" errorTitle="Invalid CANFER Compliant" error="The value provided is not a valid CANFER Compliant." promptTitle="CANFER Compliant" prompt="Please select a valid CANFER Compliant" type="list">
      <formula1>'WAYFAIR_USE_ONLY'!$Y$7:$Y11</formula1>
    </dataValidation>
    <dataValidation sqref="CZ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DA8:DA250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'WAYFAIR_USE_ONLY'!$AA$7:$AA10</formula1>
    </dataValidation>
    <dataValidation sqref="DA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'WAYFAIR_USE_ONLY'!$AA$7:$AA10</formula1>
    </dataValidation>
    <dataValidation sqref="DB8:DB250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'WAYFAIR_USE_ONLY'!$AB$7:$AB9</formula1>
    </dataValidation>
    <dataValidation sqref="DB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'WAYFAIR_USE_ONLY'!$AB$7:$AB9</formula1>
    </dataValidation>
    <dataValidation sqref="DC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8:DD2500" showDropDown="0" showInputMessage="1" showErrorMessage="1" allowBlank="1" errorTitle="Invalid Lacey Act Compliant" error="The value provided is not a valid Lacey Act Compliant." promptTitle="Lacey Act Compliant" prompt="Please select a valid Lacey Act Compliant" type="list">
      <formula1>'WAYFAIR_USE_ONLY'!$AC$7:$AC11</formula1>
    </dataValidation>
    <dataValidation sqref="DD7" showDropDown="0" showInputMessage="1" showErrorMessage="1" allowBlank="1" errorTitle="Invalid Lacey Act Compliant" error="The value provided is not a valid Lacey Act Compliant." promptTitle="" prompt="If all products in this class consistently have the same answer, you can set a default value to apply automatically. For any exceptions, you can modify the answer for specific products without changing the default." type="list">
      <formula1>'WAYFAIR_USE_ONLY'!$AC$7:$AC11</formula1>
    </dataValidation>
    <dataValidation sqref="DE8:DE250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'WAYFAIR_USE_ONLY'!$AD$7:$AD11</formula1>
    </dataValidation>
    <dataValidation sqref="DE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'WAYFAIR_USE_ONLY'!$AD$7:$AD11</formula1>
    </dataValidation>
    <dataValidation sqref="DF8:DF250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'WAYFAIR_USE_ONLY'!$AH$7:$AH9</formula1>
    </dataValidation>
    <dataValidation sqref="DF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'WAYFAIR_USE_ONLY'!$AH$7:$AH9</formula1>
    </dataValidation>
    <dataValidation sqref="DG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H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H8:DH2500" showDropDown="0" showInputMessage="1" showErrorMessage="1" allowBlank="1" errorTitle="Invalid Hazard Class(es)" error="The value provided is not a valid Hazard Class(es)." promptTitle="Hazard Class(es)" prompt="Please select a valid Hazard Class(es)" type="list">
      <formula1>'WAYFAIR_USE_ONLY'!$AE$7:$AE23</formula1>
    </dataValidation>
    <dataValidation sqref="DH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'WAYFAIR_USE_ONLY'!$AE$7:$AE23</formula1>
    </dataValidation>
    <dataValidation sqref="DI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I8:DI2500" showDropDown="0" showInputMessage="1" showErrorMessage="1" allowBlank="1" errorTitle="Invalid Packing Group" error="The value provided is not a valid Packing Group." promptTitle="Packing Group" prompt="Please select a valid Packing Group" type="list">
      <formula1>'WAYFAIR_USE_ONLY'!$AF$7:$AF12</formula1>
    </dataValidation>
    <dataValidation sqref="DI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'WAYFAIR_USE_ONLY'!$AF$7:$AF12</formula1>
    </dataValidation>
    <dataValidation sqref="DJ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J8:DJ250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'WAYFAIR_USE_ONLY'!$AG$7:$AG19</formula1>
    </dataValidation>
    <dataValidation sqref="DJ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'WAYFAIR_USE_ONLY'!$AG$7:$AG19</formula1>
    </dataValidation>
    <dataValidation sqref="DK8:DK2500"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'WAYFAIR_USE_ONLY'!$AI$7:$AI12</formula1>
    </dataValidation>
    <dataValidation sqref="DK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'WAYFAIR_USE_ONLY'!$AI$7:$AI12</formula1>
    </dataValidation>
    <dataValidation sqref="D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M4" showDropDown="0" showInputMessage="1" showErrorMessage="1" allowBlank="1" promptTitle="Class Specific Child Question" prompt="This Question is directly related to the tag &quot;Safety Listing(s) Your answer to the related question may influence which answers are accepted here."/>
    <dataValidation sqref="DM8:DM2500"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D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N8:DN2500" showDropDown="0" showInputMessage="1" showErrorMessage="1" allowBlank="1" errorTitle="Invalid ISTA Certified" error="The value provided is not a valid ISTA Certified." promptTitle="ISTA Certified" prompt="Please select a valid ISTA Certified" type="list">
      <formula1>'WAYFAIR_USE_ONLY'!$AJ$7:$AJ10</formula1>
    </dataValidation>
    <dataValidation sqref="DN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'WAYFAIR_USE_ONLY'!$AJ$7:$AJ10</formula1>
    </dataValidation>
    <dataValidation sqref="DO8:DO250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'WAYFAIR_USE_ONLY'!$AK$7:$AK10</formula1>
    </dataValidation>
    <dataValidation sqref="DO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'WAYFAIR_USE_ONLY'!$AK$7:$AK10</formula1>
    </dataValidation>
    <dataValidation sqref="DP8:DP2500" showDropDown="0" showInputMessage="1" showErrorMessage="1" allowBlank="0" errorTitle="Invalid Number" error="The value provided is not a valid Number." promptTitle="Overall Height - Top to Bottom" prompt="Please enter Number" type="textLength" errorStyle="warning" operator="lessThanOrEqual">
      <formula1>32767</formula1>
    </dataValidation>
    <dataValidation sqref="D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Q8:DQ2500" showDropDown="0" showInputMessage="1" showErrorMessage="1" allowBlank="0" errorTitle="Invalid Number" error="The value provided is not a valid Number." promptTitle="Overall Width - Side to Side" prompt="Please enter Number" type="textLength" errorStyle="warning" operator="lessThanOrEqual">
      <formula1>32767</formula1>
    </dataValidation>
    <dataValidation sqref="D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R8:DR2500" showDropDown="0" showInputMessage="1" showErrorMessage="1" allowBlank="0" errorTitle="Invalid Number" error="The value provided is not a valid Number." promptTitle="Overall Depth - Front to Back" prompt="Please enter Number" type="textLength" errorStyle="warning" operator="lessThanOrEqual">
      <formula1>32767</formula1>
    </dataValidation>
    <dataValidation sqref="D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S8:DS250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D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T8:DT2500" showDropDown="0" showInputMessage="1" showErrorMessage="1" allowBlank="1" errorTitle="Invalid Assembly Required" error="The value provided is not a valid Assembly Required." promptTitle="Assembly Required" prompt="Please select a valid Assembly Required" type="list">
      <formula1>'WAYFAIR_USE_ONLY'!$AL$7:$AL9</formula1>
    </dataValidation>
    <dataValidation sqref="DT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'WAYFAIR_USE_ONLY'!$AL$7:$AL9</formula1>
    </dataValidation>
    <dataValidation sqref="DU8:DU2500" showDropDown="0" showInputMessage="1" showErrorMessage="1" allowBlank="1" errorTitle="Invalid Commercial Warranty" error="The value provided is not a valid Commercial Warranty." promptTitle="Commercial Warranty" prompt="Please select a valid Commercial Warranty" type="list">
      <formula1>'WAYFAIR_USE_ONLY'!$AN$7:$AN10</formula1>
    </dataValidation>
    <dataValidation sqref="DU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V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DV8:DV250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'WAYFAIR_USE_ONLY'!$AM$7:$AM32</formula1>
    </dataValidation>
    <dataValidation sqref="DV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'WAYFAIR_USE_ONLY'!$AM$7:$AM32</formula1>
    </dataValidation>
    <dataValidation sqref="DW8:DW2500" showDropDown="0" showInputMessage="1" showErrorMessage="1" allowBlank="1" errorTitle="Invalid Product Warranty" error="The value provided is not a valid Product Warranty." promptTitle="Product Warranty" prompt="Please select a valid Product Warranty" type="list">
      <formula1>'WAYFAIR_USE_ONLY'!$AO$7:$AO9</formula1>
    </dataValidation>
    <dataValidation sqref="DW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'WAYFAIR_USE_ONLY'!$AO$7:$AO9</formula1>
    </dataValidation>
    <dataValidation sqref="D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J6" location="'Valid Values'!B1" display="Select"/>
    <hyperlink ref="L6" location="'Valid Values'!C1" display="Select"/>
    <hyperlink ref="N6" location="'Valid Values'!C1" display="Select"/>
    <hyperlink ref="P6" location="'Valid Values'!C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S1" display="Select"/>
    <hyperlink ref="BP6" location="'Valid Values'!T1" display="Please choose one or more from the following, using a semicolon (;) to separate each value: Polycarbonate (PC); Polyethylene Plastic; Glass; Silicone; Stainless Steel; Melamine; Polypropylene; Cane; Raffia; Mango Wood; Aluminum; Linen Blend; Acrylic; Manufactured Wood; Limestone; Artificial Grass; Antler; HDPE; Jersey; Linen; Foam; Cowhide; Copper / Copper Plated; Engineered Wood; Cast Aluminum; Flat Wire; Crystal; Fleece / Microfiber; Cardboard / Paper; Chenille; Cherry Wood; Handblown Glass; Cement; Flannel; Chrome; Enamelware; Enameled Cast Iron; Agate / Geode; Fiberglass; Bronze; Cast Iron; Bamboo Slat / Seagrass; Beaded; Alpaca; Felt; Denim; Clay; Gel; Coir; Cardboard; Leather; Cashmere; Galvanized Steel; Hemp; Fireclay; Anodized Aluminum; Blended Fabric; Bamboo; Brass; Burlap; Ceramic; Canvas; Composite; Carbon Steel; Compressed Polyester; Ceramic / Porcelain; Bone China; Cedar; Concrete; Cotton; Earthenware; Engineered Stone; Concrete / Cement; Corrugated; Enamel / Lacquer; Cotton Blend; Compressed Stone; Copper; Faux Leather; Fabric; Faux Sheepskin; Fiberstone; Fine Silver; Hard-Anodized Aluminum; Granite; Heavy Gauge Wire; Faux Fur; Faux Mohair; Faux Cowhide; Iron; High Leaded Crystal; Marble; Lead Crystal; Ironstone; Leather / Faux Leather; Latex; Jute; Lead Free Crystal; Lace; Jute / Sisal; Laminate; Marble / Granite; Mercury Glass; Medium Density Fiberboard (MDF); Mesh; Merino Wool; Memory Foam; Natural Stone; Microfiber / Polyester; Natural Fiber; Microfiber; Natural Fibers; Magnet; Muslin; Metal; Microfiber / Microsuede; Paper; Olefin; Nickel; PEVA; Nylon; Oak; Oxford Fabric; Polyamide; Plywood; Pinecones; Plastic / Acrylic; Pewter; Polycarbonate Plastic; Nickel Plated; Plastic; Polyester; Polymer; Polyester Fill; Polystyrene; Polyvinyl Chloride (PVC); Polyurethane; Porcelain China; Powder Coated Steel; Polypropylene Plastic; Porcelain Enameled Steel; Porcelain; Powder Coated Aluminum; Polyester Blend; Polyresin; Polymarble; Polyurethane (PU); Sandstone; Silver; Sheepskin; Sateen; Rayon / Viscose; Rayon from Bamboo; Silver Plated"/>
    <hyperlink ref="BR6" location="'Valid Values'!U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BZ6" location="'Valid Values'!V1" display="Please choose one or more from the following, using a semicolon (;) to separate each value: Non Residential Use; Residential Use"/>
    <hyperlink ref="CA6" location="'Valid Values'!W1" display="Please choose one or more from the following, using a semicolon (;) to separate each value: Made in USA; Made in USA of Imported Materials; Product of Canada; Made In Canada; Does Not Apply"/>
    <hyperlink ref="CC6" location="'Valid Values'!X1" display="Select"/>
    <hyperlink ref="CD6" location="'Valid Values'!Y1" display="Select"/>
    <hyperlink ref="CE6" location="'Valid Values'!Z1" display="Select"/>
    <hyperlink ref="CF6" location="'Valid Values'!AA1" display="Select"/>
    <hyperlink ref="CG6" location="'Valid Values'!AB1" display="Select"/>
    <hyperlink ref="CH6" location="'Valid Values'!AC1" display="Select"/>
    <hyperlink ref="CI6" location="'Valid Values'!AD1" display="Select"/>
    <hyperlink ref="CJ6" location="'Valid Values'!AE1" display="Please choose one or more from the following, using a semicolon (;) to separate each value: Wheels / Casters; Seat Cushion; Legs; Cover; Lid; Headboard; Back Cushion; Footboard; Tray; Pillow Top; Cushion Cover; Canopy; Shelves; Drawers; Mirror; Unavailable; Does Not Apply"/>
    <hyperlink ref="CM6" location="'Valid Values'!AF1" display="Select"/>
    <hyperlink ref="CN6" location="'Valid Values'!AG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Q6" location="'Valid Values'!AH1" display="Please choose one or more from the following, using a semicolon (;) to separate each value: Laptop; Projector; CPU; Printer; Keyboard; TV/Monitor; Unavailable; Does Not Apply"/>
    <hyperlink ref="CR6" location="'Valid Values'!AI1" display="Please choose one or more from the following, using a semicolon (;) to separate each value: Drawers; Legs; Storage; TV Mount; Wheels / Casters; Cabinets; Unavailable; Does Not Apply"/>
    <hyperlink ref="CU6" location="'Valid Values'!AJ1" display="Select"/>
    <hyperlink ref="CX6" location="'Valid Values'!AK1" display="Select"/>
    <hyperlink ref="CY6" location="'Valid Values'!AL1" display="Select"/>
    <hyperlink ref="CZ6" location="'Valid Values'!AM1" display="Select"/>
    <hyperlink ref="DA6" location="'Valid Values'!AN1" display="Select"/>
    <hyperlink ref="DC6" location="'Valid Values'!AO1" display="Please choose one or more from the following, using a semicolon (;) to separate each value: Dual Language; Distribution Conflict; Logistics; Does Not Apply"/>
    <hyperlink ref="DD6" location="'Valid Values'!AP1" display="Select"/>
    <hyperlink ref="DE6" location="'Valid Values'!AQ1" display="Select"/>
    <hyperlink ref="DG6" location="'Valid Values'!AR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H6" location="'Valid Values'!AS1" display="Select"/>
    <hyperlink ref="DI6" location="'Valid Values'!AT1" display="Select"/>
    <hyperlink ref="DJ6" location="'Valid Values'!AU1" display="Select"/>
    <hyperlink ref="DK6" location="'Valid Values'!AV1" display="Select"/>
    <hyperlink ref="DL6" location="'Valid Values'!AW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DN6" location="'Valid Values'!AX1" display="Select"/>
    <hyperlink ref="DV6" location="'Valid Values'!AY1" display="Select"/>
    <hyperlink ref="DX6" location="'Valid Values'!AZ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DX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13.7109375" customWidth="1" style="22" min="68" max="68"/>
    <col width="22.7109375" customWidth="1" style="22" min="69" max="69"/>
    <col width="17.7109375" customWidth="1" style="22" min="70" max="70"/>
    <col width="26.7109375" customWidth="1" style="22" min="71" max="71"/>
    <col width="12.7109375" customWidth="1" style="22" min="72" max="72"/>
    <col width="22.7109375" customWidth="1" style="22" min="73" max="73"/>
    <col width="21.7109375" customWidth="1" style="22" min="74" max="74"/>
    <col width="18.7109375" customWidth="1" style="22" min="75" max="75"/>
    <col width="30.7109375" customWidth="1" style="22" min="76" max="76"/>
    <col width="28.7109375" customWidth="1" style="22" min="77" max="77"/>
    <col width="39.7109375" customWidth="1" style="22" min="78" max="78"/>
    <col width="43.7109375" customWidth="1" style="22" min="79" max="79"/>
    <col width="34.7109375" customWidth="1" style="22" min="80" max="80"/>
    <col width="17.7109375" customWidth="1" style="22" min="81" max="81"/>
    <col width="24.7109375" customWidth="1" style="22" min="82" max="83"/>
    <col width="21.7109375" customWidth="1" style="22" min="84" max="84"/>
    <col width="20.7109375" customWidth="1" style="22" min="85" max="85"/>
    <col width="35.7109375" customWidth="1" style="22" min="86" max="86"/>
    <col width="30.7109375" customWidth="1" style="22" min="87" max="87"/>
    <col width="25.7109375" customWidth="1" style="22" min="88" max="88"/>
    <col width="23.7109375" customWidth="1" style="22" min="89" max="89"/>
    <col width="19.7109375" customWidth="1" style="22" min="90" max="90"/>
    <col width="15.7109375" customWidth="1" style="22" min="91" max="91"/>
    <col width="19.7109375" customWidth="1" style="22" min="92" max="92"/>
    <col width="22.7109375" customWidth="1" style="22" min="93" max="93"/>
    <col width="21.7109375" customWidth="1" style="22" min="94" max="94"/>
    <col width="15.7109375" customWidth="1" style="22" min="95" max="95"/>
    <col width="20.7109375" customWidth="1" style="22" min="96" max="96"/>
    <col width="23.7109375" customWidth="1" style="22" min="97" max="97"/>
    <col width="40.7109375" customWidth="1" style="22" min="98" max="98"/>
    <col width="33.7109375" customWidth="1" style="22" min="99" max="99"/>
    <col width="18.7109375" customWidth="1" style="22" min="100" max="100"/>
    <col width="33.7109375" customWidth="1" style="22" min="101" max="101"/>
    <col width="53.7109375" customWidth="1" style="22" min="102" max="103"/>
    <col width="21.7109375" customWidth="1" style="22" min="104" max="104"/>
    <col width="64.7109375" customWidth="1" style="22" min="105" max="105"/>
    <col width="31.7109375" customWidth="1" style="22" min="106" max="106"/>
    <col width="27.7109375" customWidth="1" style="22" min="107" max="107"/>
    <col width="24.7109375" customWidth="1" style="22" min="108" max="108"/>
    <col width="44.7109375" customWidth="1" style="22" min="109" max="109"/>
    <col width="41.7109375" customWidth="1" style="22" min="110" max="110"/>
    <col width="20.7109375" customWidth="1" style="22" min="111" max="111"/>
    <col width="21.7109375" customWidth="1" style="22" min="112" max="112"/>
    <col width="18.7109375" customWidth="1" style="22" min="113" max="113"/>
    <col width="30.7109375" customWidth="1" style="22" min="114" max="114"/>
    <col width="44.7109375" customWidth="1" style="22" min="115" max="115"/>
    <col width="22.7109375" customWidth="1" style="22" min="116" max="116"/>
    <col width="42.7109375" customWidth="1" style="22" min="117" max="117"/>
    <col width="19.7109375" customWidth="1" style="22" min="118" max="118"/>
    <col width="79.7109375" customWidth="1" style="22" min="119" max="119"/>
    <col width="35.7109375" customWidth="1" style="22" min="120" max="120"/>
    <col width="33.7109375" customWidth="1" style="22" min="121" max="121"/>
    <col width="34.7109375" customWidth="1" style="22" min="122" max="122"/>
    <col width="27.7109375" customWidth="1" style="22" min="123" max="123"/>
    <col width="22.7109375" customWidth="1" style="22" min="124" max="124"/>
    <col width="24.7109375" customWidth="1" style="22" min="125" max="125"/>
    <col width="31.7109375" customWidth="1" style="22" min="126" max="126"/>
    <col width="21.7109375" customWidth="1" style="22" min="127" max="127"/>
    <col width="20.7109375" customWidth="1" style="22" min="128" max="128"/>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70212</t>
        </is>
      </c>
      <c r="BP1" s="22" t="inlineStr">
        <is>
          <t>149726</t>
        </is>
      </c>
      <c r="BQ1" s="22" t="inlineStr">
        <is>
          <t>149770</t>
        </is>
      </c>
      <c r="BR1" s="22" t="inlineStr">
        <is>
          <t>185252</t>
        </is>
      </c>
      <c r="BS1" s="22" t="inlineStr">
        <is>
          <t>149785</t>
        </is>
      </c>
      <c r="BT1" s="22" t="inlineStr">
        <is>
          <t>182057</t>
        </is>
      </c>
      <c r="BU1" s="22" t="inlineStr">
        <is>
          <t>164399</t>
        </is>
      </c>
      <c r="BV1" s="22" t="inlineStr">
        <is>
          <t>149748</t>
        </is>
      </c>
      <c r="BW1" s="22" t="inlineStr">
        <is>
          <t>149749</t>
        </is>
      </c>
      <c r="BX1" s="22" t="inlineStr">
        <is>
          <t>149750</t>
        </is>
      </c>
      <c r="BY1" s="22" t="inlineStr">
        <is>
          <t>149753</t>
        </is>
      </c>
      <c r="BZ1" s="22" t="inlineStr">
        <is>
          <t>229333</t>
        </is>
      </c>
      <c r="CA1" s="22" t="inlineStr">
        <is>
          <t>245268</t>
        </is>
      </c>
      <c r="CB1" s="22" t="inlineStr">
        <is>
          <t>344983</t>
        </is>
      </c>
      <c r="CC1" s="22" t="inlineStr">
        <is>
          <t>351568</t>
        </is>
      </c>
      <c r="CD1" s="22" t="inlineStr">
        <is>
          <t>346774</t>
        </is>
      </c>
      <c r="CE1" s="22" t="inlineStr">
        <is>
          <t>367308</t>
        </is>
      </c>
      <c r="CF1" s="22" t="inlineStr">
        <is>
          <t>351573</t>
        </is>
      </c>
      <c r="CG1" s="22" t="inlineStr">
        <is>
          <t>352308</t>
        </is>
      </c>
      <c r="CH1" s="22" t="inlineStr">
        <is>
          <t>352295</t>
        </is>
      </c>
      <c r="CI1" s="22" t="inlineStr">
        <is>
          <t>351604</t>
        </is>
      </c>
      <c r="CJ1" s="22" t="inlineStr">
        <is>
          <t>363032</t>
        </is>
      </c>
      <c r="CK1" s="22" t="inlineStr">
        <is>
          <t>149782</t>
        </is>
      </c>
      <c r="CL1" s="22" t="inlineStr">
        <is>
          <t>382561</t>
        </is>
      </c>
      <c r="CM1" s="22" t="inlineStr">
        <is>
          <t>149965</t>
        </is>
      </c>
      <c r="CN1" s="22" t="inlineStr">
        <is>
          <t>383797</t>
        </is>
      </c>
      <c r="CO1" s="22" t="inlineStr">
        <is>
          <t>149784</t>
        </is>
      </c>
      <c r="CP1" s="22" t="inlineStr">
        <is>
          <t>384383</t>
        </is>
      </c>
      <c r="CQ1" s="22" t="inlineStr">
        <is>
          <t>149964</t>
        </is>
      </c>
      <c r="CR1" s="22" t="inlineStr">
        <is>
          <t>419944</t>
        </is>
      </c>
      <c r="CS1" s="22" t="inlineStr">
        <is>
          <t>149794</t>
        </is>
      </c>
      <c r="CT1" s="22" t="inlineStr">
        <is>
          <t>149810</t>
        </is>
      </c>
      <c r="CU1" s="22" t="inlineStr">
        <is>
          <t>192864</t>
        </is>
      </c>
      <c r="CV1" s="22" t="inlineStr">
        <is>
          <t>149754</t>
        </is>
      </c>
      <c r="CW1" s="22" t="inlineStr">
        <is>
          <t>201408</t>
        </is>
      </c>
      <c r="CX1" s="22" t="inlineStr">
        <is>
          <t>224843</t>
        </is>
      </c>
      <c r="CY1" s="22" t="inlineStr">
        <is>
          <t>225064</t>
        </is>
      </c>
      <c r="CZ1" s="22" t="inlineStr">
        <is>
          <t>364709</t>
        </is>
      </c>
      <c r="DA1" s="22" t="inlineStr">
        <is>
          <t>236080</t>
        </is>
      </c>
      <c r="DB1" s="22" t="inlineStr">
        <is>
          <t>249312</t>
        </is>
      </c>
      <c r="DC1" s="22" t="inlineStr">
        <is>
          <t>251061</t>
        </is>
      </c>
      <c r="DD1" s="22" t="inlineStr">
        <is>
          <t>192875</t>
        </is>
      </c>
      <c r="DE1" s="22" t="inlineStr">
        <is>
          <t>149756</t>
        </is>
      </c>
      <c r="DF1" s="22" t="inlineStr">
        <is>
          <t>339306</t>
        </is>
      </c>
      <c r="DG1" s="22" t="inlineStr">
        <is>
          <t>373554</t>
        </is>
      </c>
      <c r="DH1" s="22" t="inlineStr">
        <is>
          <t>340804</t>
        </is>
      </c>
      <c r="DI1" s="22" t="inlineStr">
        <is>
          <t>341056</t>
        </is>
      </c>
      <c r="DJ1" s="22" t="inlineStr">
        <is>
          <t>369616</t>
        </is>
      </c>
      <c r="DK1" s="22" t="inlineStr">
        <is>
          <t>368261</t>
        </is>
      </c>
      <c r="DL1" s="22" t="inlineStr">
        <is>
          <t>375301</t>
        </is>
      </c>
      <c r="DM1" s="22" t="inlineStr">
        <is>
          <t>376200</t>
        </is>
      </c>
      <c r="DN1" s="22" t="inlineStr">
        <is>
          <t>385918</t>
        </is>
      </c>
      <c r="DO1" s="22" t="inlineStr">
        <is>
          <t>415201</t>
        </is>
      </c>
      <c r="DP1" s="22" t="inlineStr">
        <is>
          <t>149771</t>
        </is>
      </c>
      <c r="DQ1" s="22" t="inlineStr">
        <is>
          <t>70234</t>
        </is>
      </c>
      <c r="DR1" s="22" t="inlineStr">
        <is>
          <t>70239</t>
        </is>
      </c>
      <c r="DS1" s="22" t="inlineStr">
        <is>
          <t>70240</t>
        </is>
      </c>
      <c r="DT1" s="22" t="inlineStr">
        <is>
          <t>70241</t>
        </is>
      </c>
      <c r="DU1" s="22" t="inlineStr">
        <is>
          <t>229332</t>
        </is>
      </c>
      <c r="DV1" s="22" t="inlineStr">
        <is>
          <t>334763</t>
        </is>
      </c>
      <c r="DW1" s="22" t="inlineStr">
        <is>
          <t>254003</t>
        </is>
      </c>
      <c r="DX1" s="22" t="inlineStr">
        <is>
          <t>255912</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Required</t>
        </is>
      </c>
      <c r="BQ3" s="32" t="inlineStr">
        <is>
          <t>Recommended</t>
        </is>
      </c>
      <c r="BR3" s="32" t="inlineStr">
        <is>
          <t>Recommended</t>
        </is>
      </c>
      <c r="BS3" s="32" t="inlineStr">
        <is>
          <t>Recommended</t>
        </is>
      </c>
      <c r="BT3" s="32" t="inlineStr">
        <is>
          <t>Recommended</t>
        </is>
      </c>
      <c r="BU3" s="32" t="inlineStr">
        <is>
          <t>Recommended</t>
        </is>
      </c>
      <c r="BV3" s="32" t="inlineStr">
        <is>
          <t>Recommended</t>
        </is>
      </c>
      <c r="BW3" s="32" t="inlineStr">
        <is>
          <t>Recommended</t>
        </is>
      </c>
      <c r="BX3" s="32" t="inlineStr">
        <is>
          <t>Recommended</t>
        </is>
      </c>
      <c r="BY3" s="32" t="inlineStr">
        <is>
          <t>Recommended</t>
        </is>
      </c>
      <c r="BZ3" s="32" t="inlineStr">
        <is>
          <t>Required</t>
        </is>
      </c>
      <c r="CA3" s="32" t="inlineStr">
        <is>
          <t>Additional</t>
        </is>
      </c>
      <c r="CB3" s="32" t="inlineStr">
        <is>
          <t>Additional</t>
        </is>
      </c>
      <c r="CC3" s="32" t="inlineStr">
        <is>
          <t>Additional</t>
        </is>
      </c>
      <c r="CD3" s="32" t="inlineStr">
        <is>
          <t>Additional</t>
        </is>
      </c>
      <c r="CE3" s="32" t="inlineStr">
        <is>
          <t>Additional</t>
        </is>
      </c>
      <c r="CF3" s="32" t="inlineStr">
        <is>
          <t>Additional</t>
        </is>
      </c>
      <c r="CG3" s="32" t="inlineStr">
        <is>
          <t>Additional</t>
        </is>
      </c>
      <c r="CH3" s="32" t="inlineStr">
        <is>
          <t>Additional</t>
        </is>
      </c>
      <c r="CI3" s="32" t="inlineStr">
        <is>
          <t>Additional</t>
        </is>
      </c>
      <c r="CJ3" s="32" t="inlineStr">
        <is>
          <t>Recommended</t>
        </is>
      </c>
      <c r="CK3" s="32" t="inlineStr">
        <is>
          <t>Recommended</t>
        </is>
      </c>
      <c r="CL3" s="32" t="inlineStr">
        <is>
          <t>Recommended</t>
        </is>
      </c>
      <c r="CM3" s="32" t="inlineStr">
        <is>
          <t>Recommended</t>
        </is>
      </c>
      <c r="CN3" s="32" t="inlineStr">
        <is>
          <t>Required</t>
        </is>
      </c>
      <c r="CO3" s="32" t="inlineStr">
        <is>
          <t>Recommended</t>
        </is>
      </c>
      <c r="CP3" s="32" t="inlineStr">
        <is>
          <t>Recommended</t>
        </is>
      </c>
      <c r="CQ3" s="32" t="inlineStr">
        <is>
          <t>Recommended</t>
        </is>
      </c>
      <c r="CR3" s="32" t="inlineStr">
        <is>
          <t>Recommended</t>
        </is>
      </c>
      <c r="CS3" s="32" t="inlineStr">
        <is>
          <t>Recommended</t>
        </is>
      </c>
      <c r="CT3" s="32" t="inlineStr">
        <is>
          <t>Recommended</t>
        </is>
      </c>
      <c r="CU3" s="32" t="inlineStr">
        <is>
          <t>Required</t>
        </is>
      </c>
      <c r="CV3" s="32" t="inlineStr">
        <is>
          <t>Additional</t>
        </is>
      </c>
      <c r="CW3" s="32" t="inlineStr">
        <is>
          <t>Required</t>
        </is>
      </c>
      <c r="CX3" s="32" t="inlineStr">
        <is>
          <t>Required</t>
        </is>
      </c>
      <c r="CY3" s="32" t="inlineStr">
        <is>
          <t>Required</t>
        </is>
      </c>
      <c r="CZ3" s="32" t="inlineStr">
        <is>
          <t>Required</t>
        </is>
      </c>
      <c r="DA3" s="32" t="inlineStr">
        <is>
          <t>Required</t>
        </is>
      </c>
      <c r="DB3" s="32" t="inlineStr">
        <is>
          <t>Required</t>
        </is>
      </c>
      <c r="DC3" s="32" t="inlineStr">
        <is>
          <t>Required</t>
        </is>
      </c>
      <c r="DD3" s="32" t="inlineStr">
        <is>
          <t>Required</t>
        </is>
      </c>
      <c r="DE3" s="32" t="inlineStr">
        <is>
          <t>Required</t>
        </is>
      </c>
      <c r="DF3" s="32" t="inlineStr">
        <is>
          <t>Additional</t>
        </is>
      </c>
      <c r="DG3" s="32" t="inlineStr">
        <is>
          <t>Additional</t>
        </is>
      </c>
      <c r="DH3" s="32" t="inlineStr">
        <is>
          <t>Additional</t>
        </is>
      </c>
      <c r="DI3" s="32" t="inlineStr">
        <is>
          <t>Additional</t>
        </is>
      </c>
      <c r="DJ3" s="32" t="inlineStr">
        <is>
          <t>Additional</t>
        </is>
      </c>
      <c r="DK3" s="32" t="inlineStr">
        <is>
          <t>Required</t>
        </is>
      </c>
      <c r="DL3" s="32" t="inlineStr">
        <is>
          <t>Required</t>
        </is>
      </c>
      <c r="DM3" s="32" t="inlineStr">
        <is>
          <t>Additional</t>
        </is>
      </c>
      <c r="DN3" s="32" t="inlineStr">
        <is>
          <t>Recommended</t>
        </is>
      </c>
      <c r="DO3" s="32" t="inlineStr">
        <is>
          <t>Recommended</t>
        </is>
      </c>
      <c r="DP3" s="32" t="inlineStr">
        <is>
          <t>Required</t>
        </is>
      </c>
      <c r="DQ3" s="32" t="inlineStr">
        <is>
          <t>Required</t>
        </is>
      </c>
      <c r="DR3" s="32" t="inlineStr">
        <is>
          <t>Required</t>
        </is>
      </c>
      <c r="DS3" s="32" t="inlineStr">
        <is>
          <t>Recommended</t>
        </is>
      </c>
      <c r="DT3" s="32" t="inlineStr">
        <is>
          <t>Required</t>
        </is>
      </c>
      <c r="DU3" s="32" t="inlineStr">
        <is>
          <t>Required</t>
        </is>
      </c>
      <c r="DV3" s="32" t="inlineStr">
        <is>
          <t>Recommended</t>
        </is>
      </c>
      <c r="DW3" s="32" t="inlineStr">
        <is>
          <t>Recommended</t>
        </is>
      </c>
      <c r="DX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Material</t>
        </is>
      </c>
      <c r="BQ4" s="19" t="inlineStr">
        <is>
          <t>Adjustable Height</t>
        </is>
      </c>
      <c r="BR4" s="19" t="inlineStr">
        <is>
          <t>Wood Species</t>
        </is>
      </c>
      <c r="BS4" s="19" t="inlineStr">
        <is>
          <t>Shelf Weight Capacity</t>
        </is>
      </c>
      <c r="BT4" s="19" t="inlineStr">
        <is>
          <t>Tilting</t>
        </is>
      </c>
      <c r="BU4" s="19" t="inlineStr">
        <is>
          <t>Cabinets Included</t>
        </is>
      </c>
      <c r="BV4" s="19" t="inlineStr">
        <is>
          <t>Drawers Included</t>
        </is>
      </c>
      <c r="BW4" s="19" t="inlineStr">
        <is>
          <t>Legs Included</t>
        </is>
      </c>
      <c r="BX4" s="19" t="inlineStr">
        <is>
          <t>Wheels / Casters Included</t>
        </is>
      </c>
      <c r="BY4" s="19" t="inlineStr">
        <is>
          <t>Overall Weight Capacity</t>
        </is>
      </c>
      <c r="BZ4" s="19" t="inlineStr">
        <is>
          <t>Supplier Intended and Approved Use</t>
        </is>
      </c>
      <c r="CA4" s="19" t="inlineStr">
        <is>
          <t>Country of Origin - Additional Details</t>
        </is>
      </c>
      <c r="CB4" s="33" t="inlineStr">
        <is>
          <t>Battery or Batteries Included</t>
        </is>
      </c>
      <c r="CC4" s="34" t="inlineStr">
        <is>
          <t>Battery Type</t>
        </is>
      </c>
      <c r="CD4" s="34" t="inlineStr">
        <is>
          <t>Battery Composition</t>
        </is>
      </c>
      <c r="CE4" s="34" t="inlineStr">
        <is>
          <t>Number of Batteries</t>
        </is>
      </c>
      <c r="CF4" s="34" t="inlineStr">
        <is>
          <t>Battery Shipment</t>
        </is>
      </c>
      <c r="CG4" s="34" t="inlineStr">
        <is>
          <t>Lithium Content</t>
        </is>
      </c>
      <c r="CH4" s="34" t="inlineStr">
        <is>
          <t>Watt Rating of Cells / Battery</t>
        </is>
      </c>
      <c r="CI4" s="34" t="inlineStr">
        <is>
          <t>Weight of Cells / Battery</t>
        </is>
      </c>
      <c r="CJ4" s="19" t="inlineStr">
        <is>
          <t>Removable Components</t>
        </is>
      </c>
      <c r="CK4" s="19" t="inlineStr">
        <is>
          <t>Adjustable Shelves</t>
        </is>
      </c>
      <c r="CL4" s="19" t="inlineStr">
        <is>
          <t>Locking Wheels</t>
        </is>
      </c>
      <c r="CM4" s="19" t="inlineStr">
        <is>
          <t>Mount Type</t>
        </is>
      </c>
      <c r="CN4" s="19" t="inlineStr">
        <is>
          <t>Color / Finish</t>
        </is>
      </c>
      <c r="CO4" s="19" t="inlineStr">
        <is>
          <t>Number of Shelves</t>
        </is>
      </c>
      <c r="CP4" s="19" t="inlineStr">
        <is>
          <t>Storage Included</t>
        </is>
      </c>
      <c r="CQ4" s="19" t="inlineStr">
        <is>
          <t>Shelf Type</t>
        </is>
      </c>
      <c r="CR4" s="19" t="inlineStr">
        <is>
          <t>Pieces Included</t>
        </is>
      </c>
      <c r="CS4" s="19" t="inlineStr">
        <is>
          <t>Number of Cabinets</t>
        </is>
      </c>
      <c r="CT4" s="19" t="inlineStr">
        <is>
          <t>Number of Wheels / Casters Included</t>
        </is>
      </c>
      <c r="CU4" s="19" t="inlineStr">
        <is>
          <t>CPSC - 16 CFR 1303 Compliant</t>
        </is>
      </c>
      <c r="CV4" s="19" t="inlineStr">
        <is>
          <t>ADA Compliant</t>
        </is>
      </c>
      <c r="CW4" s="33" t="inlineStr">
        <is>
          <t>Composite Wood Product (CWP)</t>
        </is>
      </c>
      <c r="CX4" s="34" t="inlineStr">
        <is>
          <t>CARB Phase II Compliant (formaldehyde emissions)</t>
        </is>
      </c>
      <c r="CY4" s="34" t="inlineStr">
        <is>
          <t>TSCA Title VI Compliant (formaldehyde emissions)</t>
        </is>
      </c>
      <c r="CZ4" s="34" t="inlineStr">
        <is>
          <t>CANFER Compliant</t>
        </is>
      </c>
      <c r="DA4" s="19" t="inlineStr">
        <is>
          <t>Uniform Packaging and Labeling Regulations (UPLR) Compliant</t>
        </is>
      </c>
      <c r="DB4" s="33" t="inlineStr">
        <is>
          <t>Canada Product Restriction</t>
        </is>
      </c>
      <c r="DC4" s="34" t="inlineStr">
        <is>
          <t>Reason for Restriction</t>
        </is>
      </c>
      <c r="DD4" s="19" t="inlineStr">
        <is>
          <t>Lacey Act Compliant</t>
        </is>
      </c>
      <c r="DE4" s="19" t="inlineStr">
        <is>
          <t>General Certificate of Conformity (GCC)</t>
        </is>
      </c>
      <c r="DF4" s="33" t="inlineStr">
        <is>
          <t>Hazardous Material / Dangerous Goods</t>
        </is>
      </c>
      <c r="DG4" s="34" t="inlineStr">
        <is>
          <t>UN or ID number</t>
        </is>
      </c>
      <c r="DH4" s="34" t="inlineStr">
        <is>
          <t>Hazard Class(es)</t>
        </is>
      </c>
      <c r="DI4" s="34" t="inlineStr">
        <is>
          <t>Packing Group</t>
        </is>
      </c>
      <c r="DJ4" s="34" t="inlineStr">
        <is>
          <t>Hazardous Material Weight</t>
        </is>
      </c>
      <c r="DK4" s="19" t="inlineStr">
        <is>
          <t>Energy Efficiency Regulations Compliant</t>
        </is>
      </c>
      <c r="DL4" s="33" t="inlineStr">
        <is>
          <t>Safety Listing(s)</t>
        </is>
      </c>
      <c r="DM4" s="34" t="inlineStr">
        <is>
          <t>Safety Listing(s) Registration Number</t>
        </is>
      </c>
      <c r="DN4" s="19" t="inlineStr">
        <is>
          <t>ISTA Certified</t>
        </is>
      </c>
      <c r="DO4" s="19" t="inlineStr">
        <is>
          <t>Sustainability &amp; Social Responsibility Certifications (North America Only)</t>
        </is>
      </c>
      <c r="DP4" s="19" t="inlineStr">
        <is>
          <t>Overall Height - Top to Bottom</t>
        </is>
      </c>
      <c r="DQ4" s="19" t="inlineStr">
        <is>
          <t>Overall Width - Side to Side</t>
        </is>
      </c>
      <c r="DR4" s="19" t="inlineStr">
        <is>
          <t>Overall Depth - Front to Back</t>
        </is>
      </c>
      <c r="DS4" s="19" t="inlineStr">
        <is>
          <t>Overall Product Weight</t>
        </is>
      </c>
      <c r="DT4" s="19" t="inlineStr">
        <is>
          <t>Assembly Required</t>
        </is>
      </c>
      <c r="DU4" s="33" t="inlineStr">
        <is>
          <t>Commercial Warranty</t>
        </is>
      </c>
      <c r="DV4" s="34" t="inlineStr">
        <is>
          <t>Commercial Warranty Length</t>
        </is>
      </c>
      <c r="DW4" s="19" t="inlineStr">
        <is>
          <t>Product Warranty</t>
        </is>
      </c>
      <c r="DX4" s="19" t="inlineStr">
        <is>
          <t>Warranty Length</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What material is the product made of?</t>
        </is>
      </c>
      <c r="BQ5" s="35" t="inlineStr">
        <is>
          <t>Is the height of this product adjustable?</t>
        </is>
      </c>
      <c r="BR5" s="35" t="inlineStr">
        <is>
          <t>What type of wood was used to construct this product? This describes the actual materials used, not the product's appearance.</t>
        </is>
      </c>
      <c r="BS5" s="35" t="inlineStr">
        <is>
          <t>[Pounds] What is the weight capacity of the shelf/shelves?</t>
        </is>
      </c>
      <c r="BT5" s="35" t="inlineStr">
        <is>
          <t>Does this product tilt?</t>
        </is>
      </c>
      <c r="BU5" s="35" t="inlineStr">
        <is>
          <t>Does this product include cabinets?</t>
        </is>
      </c>
      <c r="BV5" s="35" t="inlineStr">
        <is>
          <t>Does this product have any drawers?</t>
        </is>
      </c>
      <c r="BW5" s="35" t="inlineStr">
        <is>
          <t>Does this product have legs?</t>
        </is>
      </c>
      <c r="BX5" s="35" t="inlineStr">
        <is>
          <t>Does this product have wheels or casters?</t>
        </is>
      </c>
      <c r="BY5" s="35" t="inlineStr">
        <is>
          <t>[Pounds] What is the weight capacity of the overall product?</t>
        </is>
      </c>
      <c r="BZ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A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B5" s="35" t="inlineStr">
        <is>
          <t>Is the product a battery or does the product include batteries?</t>
        </is>
      </c>
      <c r="CC5" s="35" t="inlineStr">
        <is>
          <t>What type is the battery? Button Cell, Cell, Battery?</t>
        </is>
      </c>
      <c r="CD5" s="35" t="inlineStr">
        <is>
          <t>What is the composition of the batteries included with product?</t>
        </is>
      </c>
      <c r="CE5" s="35" t="inlineStr">
        <is>
          <t>Confirm number of batteries in this product</t>
        </is>
      </c>
      <c r="CF5" s="35" t="inlineStr">
        <is>
          <t>Do the cells/batteries ship stand alone/packed with the equipment/ contained (installed) in the equipment?</t>
        </is>
      </c>
      <c r="CG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H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I5" s="35" t="inlineStr">
        <is>
          <t>What is the net weight of the cells or batteries that ship with the product in grams or kilograms.</t>
        </is>
      </c>
      <c r="CJ5" s="35" t="inlineStr">
        <is>
          <t>Select all product components that can be removed from the base product</t>
        </is>
      </c>
      <c r="CK5" s="35" t="inlineStr">
        <is>
          <t>Does this product have adjustable shelves?</t>
        </is>
      </c>
      <c r="CL5" s="35" t="inlineStr">
        <is>
          <t>Can the wheels be locked to keep the product from moving?</t>
        </is>
      </c>
      <c r="CM5" s="35" t="inlineStr">
        <is>
          <t>Does this product have to be mounted to the wall or is it free standing?</t>
        </is>
      </c>
      <c r="CN5" s="35" t="inlineStr">
        <is>
          <t>What is the color or finish of the product? If your color/finish name is not listed, please type in the value.</t>
        </is>
      </c>
      <c r="CO5" s="35" t="inlineStr">
        <is>
          <t>How many shelves are included in this product?</t>
        </is>
      </c>
      <c r="CP5" s="35" t="inlineStr">
        <is>
          <t>Does this product include any storage elements such as shelves, drawers, cabinets or a hidden storage compartment?</t>
        </is>
      </c>
      <c r="CQ5" s="35" t="inlineStr">
        <is>
          <t>What type of product is the shelf designed for? If this product does not fit any of the listed options, please enter the correct information/value.</t>
        </is>
      </c>
      <c r="CR5" s="35" t="inlineStr">
        <is>
          <t>What pieces are included with this product?</t>
        </is>
      </c>
      <c r="CS5" s="35" t="inlineStr">
        <is>
          <t>How many cabinets does this product have?</t>
        </is>
      </c>
      <c r="CT5" s="35" t="inlineStr">
        <is>
          <t>How many wheels or casters does this product have?</t>
        </is>
      </c>
      <c r="CU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CV5" s="35" t="inlineStr">
        <is>
          <t>Is this product ADA (Americans with Disabilities Act) compliant?</t>
        </is>
      </c>
      <c r="CW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CX5" s="35" t="inlineStr">
        <is>
          <t>Is this product certified compliant for CARB ATCM Phase II formaldehyde emission standards from Composite Wood Products [California Air Resources Board (CARB)- Airborne Toxic Control Measures (ATCM) Phase II]</t>
        </is>
      </c>
      <c r="CY5" s="35" t="inlineStr">
        <is>
          <t>Is this product certified TSCA Title VI compliant regarding formaldehyde emissions from Composite Wood Products [Environmental Protection Agency (EPA)-Toxic Substance Control Act (TSCA)-Title VI]</t>
        </is>
      </c>
      <c r="CZ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A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B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C5" s="35" t="inlineStr">
        <is>
          <t>Please select the reason this product can not ship to Canada?  Please select from the options or write in a reason if not selectable</t>
        </is>
      </c>
      <c r="DD5" s="35" t="inlineStr">
        <is>
          <t>Is this product compliant with the Lacey Act (a set of conservation laws also known as the Lacey Act of 1900)?</t>
        </is>
      </c>
      <c r="DE5" s="35" t="inlineStr">
        <is>
          <t>Does this product have a General Certificate of Conformity (GCC), as required by the U.S. CPSC for certain product classes?</t>
        </is>
      </c>
      <c r="DF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G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H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I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J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K5" s="35"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L5" s="35" t="inlineStr">
        <is>
          <t>Which of the following certification or verification marks does your product have? If the item is not certified/verified with any safety listing, please select Does Not Apply.</t>
        </is>
      </c>
      <c r="DM5" s="35"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DN5" s="35" t="inlineStr">
        <is>
          <t>Is the packaging for this SKU ISTA Certified (1A, 3A, 6A)?</t>
        </is>
      </c>
      <c r="DO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DP5" s="35" t="inlineStr">
        <is>
          <t>[Inches] What is the overall height of the product from top to bottom? Please enter just the number (e.g. 45.5).</t>
        </is>
      </c>
      <c r="DQ5" s="35" t="inlineStr">
        <is>
          <t>[Inches] What is overall width of the product from side to side? Please enter just the number (e.g. 45.5).</t>
        </is>
      </c>
      <c r="DR5" s="35" t="inlineStr">
        <is>
          <t>[Inches] What is the overall depth of the product from front to back? Please enter just the number (e.g. 45.5).</t>
        </is>
      </c>
      <c r="DS5" s="35" t="inlineStr">
        <is>
          <t>[Pounds] What is the total weight of this product once assembled? If this product includes multiples of the same item, add weight of one individual unit (e.g. 1 Dining Chair in a set of 2). Please enter just the number (i.e. 45.5).</t>
        </is>
      </c>
      <c r="DT5" s="35" t="inlineStr">
        <is>
          <t>Does the product require any form of assembly prior to use as intended?</t>
        </is>
      </c>
      <c r="DU5" s="35" t="inlineStr">
        <is>
          <t>Does the manufacturer warranty cover the use of this product in a commercial environment?</t>
        </is>
      </c>
      <c r="DV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DW5" s="35" t="inlineStr">
        <is>
          <t>Please indicate if there is a warranty on this product if it were to be used in a residential setting.</t>
        </is>
      </c>
      <c r="DX5" s="35"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Please choose one or more from the following, using a semicolon (;) to separate each value: Polycarbonate (PC); Polyethylene Plastic; Glass; Silicone; Stainless Steel; Melamine; Polypropylene; Cane; Raffia; Mango Wood; Aluminum; Linen Blend; Acrylic; Manufactured Wood; Limestone; Artificial Grass; Antler; HDPE; Jersey; Linen; Foam; Cowhide; Copper / Copper Plated; Engineered Wood; Cast Aluminum; Flat Wire; Crystal; Fleece / Microfiber; Cardboard / Paper; Chenille; Cherry Wood; Handblown Glass; Cement; Flannel; Chrome; Enamelware; Enameled Cast Iron; Agate / Geode; Fiberglass; Bronze; Cast Iron; Bamboo Slat / Seagrass; Beaded; Alpaca; Felt; Denim; Clay; Gel; Coir; Cardboard; Leather; Cashmere; Galvanized Steel; Hemp; Fireclay; Anodized Aluminum; Blended Fabric; Bamboo; Brass; Burlap; Ceramic; Canvas; Composite; Carbon Steel; Compressed Polyester; Ceramic / Porcelain; Bone China; Cedar; Concrete; Cotton; Earthenware; Engineered Stone; Concrete / Cement; Corrugated; Enamel / Lacquer; Cotton Blend; Compressed Stone; Copper; Faux Leather; Fabric; Faux Sheepskin; Fiberstone; Fine Silver; Hard-Anodized Aluminum; Granite; Heavy Gauge Wire; Faux Fur; Faux Mohair; Faux Cowhide; Iron; High Leaded Crystal; Marble; Lead Crystal; Ironstone; Leather / Faux Leather; Latex; Jute; Lead Free Crystal; Lace; Jute / Sisal; Laminate; Marble / Granite; Mercury Glass; Medium Density Fiberboard (MDF); Mesh; Merino Wool; Memory Foam; Natural Stone; Microfiber / Polyester; Natural Fiber; Microfiber; Natural Fibers; Magnet; Muslin; Metal; Microfiber / Microsuede; Paper; Olefin; Nickel; PEVA; Nylon; Oak; Oxford Fabric; Polyamide; Plywood; Pinecones; Plastic / Acrylic; Pewter; Polycarbonate Plastic; Nickel Plated; Plastic; Polyester; Polymer; Polyester Fill; Polystyrene; Polyvinyl Chloride (PVC); Polyurethane; Porcelain China; Powder Coated Steel; Polypropylene Plastic; Porcelain Enameled Steel; Porcelain; Powder Coated Aluminum; Polyester Blend; Polyresin; Polymarble; Polyurethane (PU); Sandstone; Silver; Sheepskin; Sateen; Rayon / Viscose; Rayon from Bamboo; Silver Plated</t>
        </is>
      </c>
      <c r="BQ6" s="35" t="inlineStr">
        <is>
          <t>Yes or No</t>
        </is>
      </c>
      <c r="BR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BS6" s="35" t="inlineStr">
        <is>
          <t>Number</t>
        </is>
      </c>
      <c r="BT6" s="35" t="inlineStr">
        <is>
          <t>Yes or No</t>
        </is>
      </c>
      <c r="BU6" s="35" t="inlineStr">
        <is>
          <t>Yes or No</t>
        </is>
      </c>
      <c r="BV6" s="35" t="inlineStr">
        <is>
          <t>Yes or No</t>
        </is>
      </c>
      <c r="BW6" s="35" t="inlineStr">
        <is>
          <t>Yes or No</t>
        </is>
      </c>
      <c r="BX6" s="35" t="inlineStr">
        <is>
          <t>Yes or No</t>
        </is>
      </c>
      <c r="BY6" s="35" t="inlineStr">
        <is>
          <t>Number</t>
        </is>
      </c>
      <c r="BZ6" s="36" t="inlineStr">
        <is>
          <t>Please choose one or more from the following, using a semicolon (;) to separate each value: Non Residential Use; Residential Use</t>
        </is>
      </c>
      <c r="CA6" s="36" t="inlineStr">
        <is>
          <t>Please choose one or more from the following, using a semicolon (;) to separate each value: Made in USA; Made in USA of Imported Materials; Product of Canada; Made In Canada; Does Not Apply</t>
        </is>
      </c>
      <c r="CB6" s="35" t="inlineStr">
        <is>
          <t>Yes or No</t>
        </is>
      </c>
      <c r="CC6" s="36" t="inlineStr">
        <is>
          <t>Select</t>
        </is>
      </c>
      <c r="CD6" s="36" t="inlineStr">
        <is>
          <t>Select</t>
        </is>
      </c>
      <c r="CE6" s="36" t="inlineStr">
        <is>
          <t>Select</t>
        </is>
      </c>
      <c r="CF6" s="36" t="inlineStr">
        <is>
          <t>Select</t>
        </is>
      </c>
      <c r="CG6" s="36" t="inlineStr">
        <is>
          <t>Select</t>
        </is>
      </c>
      <c r="CH6" s="36" t="inlineStr">
        <is>
          <t>Select</t>
        </is>
      </c>
      <c r="CI6" s="36" t="inlineStr">
        <is>
          <t>Select</t>
        </is>
      </c>
      <c r="CJ6" s="36" t="inlineStr">
        <is>
          <t>Please choose one or more from the following, using a semicolon (;) to separate each value: Wheels / Casters; Seat Cushion; Legs; Cover; Lid; Headboard; Back Cushion; Footboard; Tray; Pillow Top; Cushion Cover; Canopy; Shelves; Drawers; Mirror; Unavailable; Does Not Apply</t>
        </is>
      </c>
      <c r="CK6" s="35" t="inlineStr">
        <is>
          <t>Yes or No</t>
        </is>
      </c>
      <c r="CL6" s="35" t="inlineStr">
        <is>
          <t>Yes or No</t>
        </is>
      </c>
      <c r="CM6" s="36" t="inlineStr">
        <is>
          <t>Select</t>
        </is>
      </c>
      <c r="CN6" s="36"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O6" s="35" t="inlineStr">
        <is>
          <t>Whole Number</t>
        </is>
      </c>
      <c r="CP6" s="35" t="inlineStr">
        <is>
          <t>Yes or No</t>
        </is>
      </c>
      <c r="CQ6" s="36" t="inlineStr">
        <is>
          <t>Please choose one or more from the following, using a semicolon (;) to separate each value: Laptop; Projector; CPU; Printer; Keyboard; TV/Monitor; Unavailable; Does Not Apply</t>
        </is>
      </c>
      <c r="CR6" s="36" t="inlineStr">
        <is>
          <t>Please choose one or more from the following, using a semicolon (;) to separate each value: Drawers; Legs; Storage; TV Mount; Wheels / Casters; Cabinets; Unavailable; Does Not Apply</t>
        </is>
      </c>
      <c r="CS6" s="35" t="inlineStr">
        <is>
          <t>Whole Number</t>
        </is>
      </c>
      <c r="CT6" s="35" t="inlineStr">
        <is>
          <t>Whole Number</t>
        </is>
      </c>
      <c r="CU6" s="36" t="inlineStr">
        <is>
          <t>Select</t>
        </is>
      </c>
      <c r="CV6" s="35" t="inlineStr">
        <is>
          <t>Yes or No</t>
        </is>
      </c>
      <c r="CW6" s="35" t="inlineStr">
        <is>
          <t>Yes or No</t>
        </is>
      </c>
      <c r="CX6" s="36" t="inlineStr">
        <is>
          <t>Select</t>
        </is>
      </c>
      <c r="CY6" s="36" t="inlineStr">
        <is>
          <t>Select</t>
        </is>
      </c>
      <c r="CZ6" s="36" t="inlineStr">
        <is>
          <t>Select</t>
        </is>
      </c>
      <c r="DA6" s="36" t="inlineStr">
        <is>
          <t>Select</t>
        </is>
      </c>
      <c r="DB6" s="35" t="inlineStr">
        <is>
          <t>Yes or No</t>
        </is>
      </c>
      <c r="DC6" s="36" t="inlineStr">
        <is>
          <t>Please choose one or more from the following, using a semicolon (;) to separate each value: Dual Language; Distribution Conflict; Logistics; Does Not Apply</t>
        </is>
      </c>
      <c r="DD6" s="36" t="inlineStr">
        <is>
          <t>Select</t>
        </is>
      </c>
      <c r="DE6" s="36" t="inlineStr">
        <is>
          <t>Select</t>
        </is>
      </c>
      <c r="DF6" s="35" t="inlineStr">
        <is>
          <t>Yes or No</t>
        </is>
      </c>
      <c r="DG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H6" s="36" t="inlineStr">
        <is>
          <t>Select</t>
        </is>
      </c>
      <c r="DI6" s="36" t="inlineStr">
        <is>
          <t>Select</t>
        </is>
      </c>
      <c r="DJ6" s="36" t="inlineStr">
        <is>
          <t>Select</t>
        </is>
      </c>
      <c r="DK6" s="36" t="inlineStr">
        <is>
          <t>Select</t>
        </is>
      </c>
      <c r="DL6" s="36"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M6" s="35" t="inlineStr">
        <is>
          <t>Text</t>
        </is>
      </c>
      <c r="DN6" s="36" t="inlineStr">
        <is>
          <t>Select</t>
        </is>
      </c>
      <c r="DO6" s="35" t="inlineStr">
        <is>
          <t>Yes or No</t>
        </is>
      </c>
      <c r="DP6" s="35" t="inlineStr">
        <is>
          <t>Number</t>
        </is>
      </c>
      <c r="DQ6" s="35" t="inlineStr">
        <is>
          <t>Number</t>
        </is>
      </c>
      <c r="DR6" s="35" t="inlineStr">
        <is>
          <t>Number</t>
        </is>
      </c>
      <c r="DS6" s="35" t="inlineStr">
        <is>
          <t>Number</t>
        </is>
      </c>
      <c r="DT6" s="35" t="inlineStr">
        <is>
          <t>Yes or No</t>
        </is>
      </c>
      <c r="DU6" s="35" t="inlineStr">
        <is>
          <t>Yes or No</t>
        </is>
      </c>
      <c r="DV6" s="36" t="inlineStr">
        <is>
          <t>Select</t>
        </is>
      </c>
      <c r="DW6" s="35" t="inlineStr">
        <is>
          <t>Yes or No</t>
        </is>
      </c>
      <c r="DX6" s="36"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row>
    <row r="8">
      <c r="A8">
        <f t="array" ref="A8">_xlfn.BYROW(B8:DY507, _xlfn.LAMBDA(_xlpm.r, _xlfn.LET(_xlpm.high_priority, IFERROR(INDEX(_xlpm.r, MATCH(TRUE, (_xlpm.r &lt;&gt; "") * ((LEFT(_xlpm.r, 2) = "1:") + (LEFT(_xlpm.r, 2) = "3:")) &gt; 0, 0)), ""), IF(_xlpm.high_priority &lt;&gt; "", _xlpm.high_priority, IFERROR(INDEX(_xlpm.r, MATCH(TRUE, (_xlpm.r &lt;&gt; "") * (LEFT(_xlpm.r, 2) = "4:") &gt; 0, 0)), "")))))</f>
        <v/>
      </c>
      <c r="B8" s="22">
        <f t="array" ref="B8">_xlfn.MAP('3 - Carts &amp; Stands'!B8:B507, '3 - Carts &amp; Stands'!B8:B507,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IF(OR('3 - Carts &amp; Stands'!B$7 = "", '3 - Carts &amp; Stands'!B$7 = "N/A"), "3:Supplier Part Number - Value is required", ""), ""))))))))</f>
        <v/>
      </c>
      <c r="C8" s="22">
        <f t="array" ref="C8">_xlfn.MAP('3 - Carts &amp; Stands'!B8:B507, '3 - Carts &amp; Stands'!C8:C507, _xlfn.LAMBDA(_xlpm.part, _xlpm.val, IF(_xlpm.part = "", "", IF(AND(_xlpm.val = "", C$3="Required"), IF(OR('3 - Carts &amp; Stands'!C$7 = "", '3 - Carts &amp; Stands'!C$7 = "N/A"), "3:ASIN or Amazon Seller SKU - Value is required", ""), ""))))</f>
        <v/>
      </c>
      <c r="D8" s="22">
        <f t="array" ref="D8">_xlfn.MAP('3 - Carts &amp; Stands'!B8:B507, '3 - Carts &amp; Stands'!D8:D507, '3 - Carts &amp; Stands'!J8:J507, _xlfn.LAMBDA(_xlpm.part, _xlpm.val, _xlpm.dep1, IF(_xlpm.part = "", "", _xlfn.LET(_xlpm.check1, IF(AND(_xlpm.val = "", _xlpm.dep1 = "NON-PRIMARY VARIANT"), "2:Autofill", ""), IF(LEN(_xlpm.check1) &gt; 0, _xlpm.check1, IF(AND(_xlpm.val = "", D$3="Required"), IF(OR('3 - Carts &amp; Stands'!D$7 = "", '3 - Carts &amp; Stands'!D$7 = "N/A"), "3:Brand - Value is required", ""), ""))))))</f>
        <v/>
      </c>
      <c r="E8" s="22">
        <f t="array" ref="E8">_xlfn.MAP('3 - Carts &amp; Stands'!B8:B507, '3 - Carts &amp; Stands'!E8:E507, _xlfn.LAMBDA(_xlpm.part, _xlpm.val, IF(_xlpm.part = "", "",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IF(OR('3 - Carts &amp; Stands'!E$7 = "", '3 - Carts &amp; Stands'!E$7 = "N/A"), "3:Manufacturer Part Number - Value is required", ""), ""))))))))))</f>
        <v/>
      </c>
      <c r="F8" s="22">
        <f t="array" ref="F8">_xlfn.MAP('3 - Carts &amp; Stands'!B8:B507, '3 - Carts &amp; Stands'!F8:F507, _xlfn.LAMBDA(_xlpm.part, _xlpm.val, IF(_xlpm.part = "", "",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IF(OR('3 - Carts &amp; Stands'!F$7 = "", '3 - Carts &amp; Stands'!F$7 = "N/A"), "3:Universal Product Code - Value is required", ""), ""))))))))</f>
        <v/>
      </c>
      <c r="G8" s="22">
        <f t="array" ref="G8">_xlfn.MAP('3 - Carts &amp; Stands'!B8:B507, '3 - Carts &amp; Stands'!G8:G507, _xlfn.LAMBDA(_xlpm.part, _xlpm.val, IF(_xlpm.part = "", "", _xlfn.LET(_xlpm.check1, IF(OR(ISNUMBER(SEARCH({"&lt;","&gt;","^","Ø","•","‣","⁃","⁌","™","∙","⌀","◦"}, _xlpm.val))), "1:Product name cannot contain special characters ([™Ø⌀•‣◦⁃⁌⁍∙&lt;&gt;])", ""), IF(LEN(_xlpm.check1) &gt; 0, _xlpm.check1, IF(AND(_xlpm.val = "", G$3="Required"), IF(OR('3 - Carts &amp; Stands'!G$7 = "", '3 - Carts &amp; Stands'!G$7 = "N/A"), "3:Product Name - Value is required", ""), ""))))))</f>
        <v/>
      </c>
      <c r="H8" s="22">
        <f t="array" ref="H8">_xlfn.MAP('3 - Carts &amp; Stands'!B8:B507, '3 - Carts &amp; Stands'!H8:H507, '3 - Carts &amp; Stands'!J8:J507, _xlfn.LAMBDA(_xlpm.part, _xlpm.val, _xlpm.dep1, IF(_xlpm.part = "", "", _xlfn.LET(_xlpm.check1, IF(AND(_xlpm.val = "", _xlpm.dep1 = "NON-PRIMARY VARIANT"), "2:Autofill", ""), IF(LEN(_xlpm.check1) &gt; 0, _xlpm.check1, IF(AND(_xlpm.val = "", H$3="Required"), IF(OR('3 - Carts &amp; Stands'!H$7 = "", '3 - Carts &amp; Stands'!H$7 = "N/A"), "3:Collection Name - Value is required", ""), ""))))))</f>
        <v/>
      </c>
      <c r="I8" s="22">
        <f t="array" ref="I8">_xlfn.MAP('3 - Carts &amp; Stands'!B8:B507, '3 - Carts &amp; Stands'!I8:I507, _xlfn.LAMBDA(_xlpm.part, _xlpm.val, IF(_xlpm.part = "", "", IF(AND(_xlpm.val = "", I$3="Required"), IF(OR('3 - Carts &amp; Stands'!I$7 = "", '3 - Carts &amp; Stands'!I$7 = "N/A"), "3:Manufacturer Product URL - Value is required", ""), ""))))</f>
        <v/>
      </c>
      <c r="J8" s="22">
        <f t="array" ref="J8">_xlfn.MAP('3 - Carts &amp; Stands'!B8:B507, '3 - Carts &amp; Stands'!J8:J507, _xlfn.LAMBDA(_xlpm.part, _xlpm.val, IF(_xlpm.part = "", "", IF(AND(_xlpm.val = "", J$3="Required"), IF(OR('3 - Carts &amp; Stands'!J$7 = "", '3 - Carts &amp; Stands'!J$7 = "N/A"), "3:Variant Type - Value is required", ""), ""))))</f>
        <v/>
      </c>
      <c r="K8" s="22">
        <f t="array" ref="K8">_xlfn.MAP('3 - Carts &amp; Stands'!B8:B507, '3 - Carts &amp; Stands'!K8:K507, '3 - Carts &amp; Stands'!J8:J507, _xlfn.LAMBDA(_xlpm.part, _xlpm.val, _xlpm.dep1, IF(_xlpm.part = "", "", _xlfn.LET(_xlpm.check1, IF(OR(_xlpm.dep1 = "NOT VARIANT", _xlpm.dep1 = ""), IF(_xlpm.val = "", "2:Disable", "1:Variant fields are not accepted when Variant Type is 'Not Variant' or blank. Please remove variant data or set a valid Variant Type."), ""), IF(LEN(_xlpm.check1) &gt; 0, _xlpm.check1, _xlfn.LET(_xlpm.check2, IF(AND(_xlpm.val = "", K$3="Required"), IF(OR('3 - Carts &amp; Stands'!K$7 = "", '3 - Carts &amp; Stands'!K$7 = "N/A"), "3:Group Reference ID - Value is required", ""), ""), IF(LEN(_xlpm.check2) &gt; 0, _xlpm.check2, _xlfn.LET(_xlpm.check3, IF(_xlpm.dep1 = "PRIMARY VARIANT", IF(_xlpm.val = "", IF(OR('3 - Carts &amp; Stands'!K$7 = "", '3 - Carts &amp; Stands'!K$7 = "N/A"), "3:Variant Group Reference Id is required for primary-variant", ""), ""), ""), IF(LEN(_xlpm.check3) &gt; 0, _xlpm.check3, IF(_xlpm.dep1 = "NON-PRIMARY VARIANT", IF(_xlpm.val = "", IF(OR('3 - Carts &amp; Stands'!K$7 = "", '3 - Carts &amp; Stands'!K$7 = "N/A"), "3:Variant Group Reference Id is required for non-primary variant", ""), ""), ""))))))))))</f>
        <v/>
      </c>
      <c r="L8" s="22">
        <f t="array" ref="L8">_xlfn.MAP('3 - Carts &amp; Stands'!B8:B507, '3 - Carts &amp; Stands'!L8:L507, '3 - Carts &amp; Stands'!J8:J507,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_xlfn.LET(_xlpm.check5, IF(AND(_xlpm.val = "", L$3="Required"), IF(OR('3 - Carts &amp; Stands'!L$7 = "", '3 - Carts &amp; Stands'!L$7 = "N/A"), "3:Variant Grouping - Value is required", ""), ""), IF(LEN(_xlpm.check5) &gt; 0, _xlpm.check5, IF(_xlpm.dep1 = "PRIMARY VARIANT", IF(_xlpm.val = "", IF(OR('3 - Carts &amp; Stands'!L$7 = "", '3 - Carts &amp; Stands'!L$7 = "N/A"), "3:Variant grouping value must be specified for primary variant", ""), ""), ""))))))))))))))</f>
        <v/>
      </c>
      <c r="M8" s="22">
        <f t="array" ref="M8">_xlfn.MAP('3 - Carts &amp; Stands'!B8:B507, '3 - Carts &amp; Stands'!M8:M507, '3 - Carts &amp; Stands'!J8:J507, '3 - Carts &amp; Stands'!L8:L507,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M$3="Required"), IF(OR('3 - Carts &amp; Stands'!M$7 = "", '3 - Carts &amp; Stands'!M$7 = "N/A"), "3:Variant Attribute Name On Site - Value is required", ""), ""), IF(LEN(_xlpm.check3) &gt; 0, _xlpm.check3, _xlfn.LET(_xlpm.check4, IF(AND(_xlpm.dep2 &lt;&gt; "", _xlpm.dep2 &lt;&gt; "Finish", _xlpm.dep2 &lt;&gt; "Assembly"), IF(_xlpm.val = "", IF(OR('3 - Carts &amp; Stands'!M$7 = "", '3 - Carts &amp; Stands'!M$7 = "N/A"), "3:Name on site is required when variant grouping value is provided", ""), ""), ""), IF(LEN(_xlpm.check4) &gt; 0, _xlpm.check4, _xlfn.LET(_xlpm.check5, IF(AND(_xlpm.dep2 &lt;&gt; "", _xlpm.dep2 &lt;&gt; "Color", _xlpm.dep2 &lt;&gt; "Material", _xlpm.dep2 &lt;&gt; "Size", _xlpm.dep2 &lt;&gt; "Fireplace Included"), IF(_xlpm.val = "", IF(OR('3 - Carts &amp; Stands'!M$7 = "", '3 - Carts &amp; Stands'!M$7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IF(OR('3 - Carts &amp; Stands'!M$7 = "", '3 - Carts &amp; Stands'!M$7 = "N/A"), "3:Name on site is required when variant grouping value is provided", ""), ""), ""), IF(LEN(_xlpm.check6) &gt; 0, _xlpm.check6, _xlfn.LET(_xlpm.check7, IF(AND(_xlpm.dep2 &lt;&gt; "", _xlpm.dep2 &lt;&gt; "Color"), IF(_xlpm.val = "", IF(OR('3 - Carts &amp; Stands'!M$7 = "", '3 - Carts &amp; Stands'!M$7 = "N/A"), "3:Name on site is required when variant grouping value is provided", ""), ""), ""), IF(LEN(_xlpm.check7) &gt; 0, _xlpm.check7, IF(AND(_xlpm.dep2 &lt;&gt; "", _xlpm.dep2 &lt;&gt; "Size", _xlpm.dep2 &lt;&gt; "Color", _xlpm.dep2 &lt;&gt; "Frame Material", _xlpm.dep2 &lt;&gt; "Print/Pattern", _xlpm.dep2 &lt;&gt; "Storage"), IF(_xlpm.val = "", IF(OR('3 - Carts &amp; Stands'!M$7 = "", '3 - Carts &amp; Stands'!M$7 = "N/A"), "3:Name on site is required when variant grouping value is provided", ""), ""), ""))))))))))))))))))</f>
        <v/>
      </c>
      <c r="N8" s="22">
        <f t="array" ref="N8">_xlfn.MAP('3 - Carts &amp; Stands'!B8:B507, '3 - Carts &amp; Stands'!N8:N507, '3 - Carts &amp; Stands'!J8:J507,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N$3="Required"), IF(OR('3 - Carts &amp; Stands'!N$7 = "", '3 - Carts &amp; Stands'!N$7 = "N/A"), "3:Variant Grouping - Value is required", ""), ""))))))))))))</f>
        <v/>
      </c>
      <c r="O8" s="22">
        <f t="array" ref="O8">_xlfn.MAP('3 - Carts &amp; Stands'!B8:B507, '3 - Carts &amp; Stands'!O8:O507, '3 - Carts &amp; Stands'!J8:J507, '3 - Carts &amp; Stands'!N8:N507,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O$3="Required"), IF(OR('3 - Carts &amp; Stands'!O$7 = "", '3 - Carts &amp; Stands'!O$7 = "N/A"), "3:Variant Attribute Name On Site - Value is required", ""), ""), IF(LEN(_xlpm.check3) &gt; 0, _xlpm.check3, _xlfn.LET(_xlpm.check4, IF(AND(_xlpm.dep2 &lt;&gt; "", _xlpm.dep2 &lt;&gt; "Finish", _xlpm.dep2 &lt;&gt; "Assembly"), IF(_xlpm.val = "", IF(OR('3 - Carts &amp; Stands'!O$7 = "", '3 - Carts &amp; Stands'!O$7 = "N/A"), "3:Name on site is required when variant grouping value is provided", ""), ""), ""), IF(LEN(_xlpm.check4) &gt; 0, _xlpm.check4, _xlfn.LET(_xlpm.check5, IF(AND(_xlpm.dep2 &lt;&gt; "", _xlpm.dep2 &lt;&gt; "Color", _xlpm.dep2 &lt;&gt; "Material", _xlpm.dep2 &lt;&gt; "Size", _xlpm.dep2 &lt;&gt; "Fireplace Included"), IF(_xlpm.val = "", IF(OR('3 - Carts &amp; Stands'!O$7 = "", '3 - Carts &amp; Stands'!O$7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IF(OR('3 - Carts &amp; Stands'!O$7 = "", '3 - Carts &amp; Stands'!O$7 = "N/A"), "3:Name on site is required when variant grouping value is provided", ""), ""), ""), IF(LEN(_xlpm.check6) &gt; 0, _xlpm.check6, _xlfn.LET(_xlpm.check7, IF(AND(_xlpm.dep2 &lt;&gt; "", _xlpm.dep2 &lt;&gt; "Color"), IF(_xlpm.val = "", IF(OR('3 - Carts &amp; Stands'!O$7 = "", '3 - Carts &amp; Stands'!O$7 = "N/A"), "3:Name on site is required when variant grouping value is provided", ""), ""), ""), IF(LEN(_xlpm.check7) &gt; 0, _xlpm.check7, IF(AND(_xlpm.dep2 &lt;&gt; "", _xlpm.dep2 &lt;&gt; "Size", _xlpm.dep2 &lt;&gt; "Color", _xlpm.dep2 &lt;&gt; "Frame Material", _xlpm.dep2 &lt;&gt; "Print/Pattern", _xlpm.dep2 &lt;&gt; "Storage"), IF(_xlpm.val = "", IF(OR('3 - Carts &amp; Stands'!O$7 = "", '3 - Carts &amp; Stands'!O$7 = "N/A"), "3:Name on site is required when variant grouping value is provided", ""), ""), ""))))))))))))))))))</f>
        <v/>
      </c>
      <c r="P8" s="22">
        <f t="array" ref="P8">_xlfn.MAP('3 - Carts &amp; Stands'!B8:B507, '3 - Carts &amp; Stands'!P8:P507, '3 - Carts &amp; Stands'!J8:J507,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P$3="Required"), IF(OR('3 - Carts &amp; Stands'!P$7 = "", '3 - Carts &amp; Stands'!P$7 = "N/A"), "3:Variant Grouping - Value is required", ""), ""))))))))))))</f>
        <v/>
      </c>
      <c r="Q8" s="22">
        <f t="array" ref="Q8">_xlfn.MAP('3 - Carts &amp; Stands'!B8:B507, '3 - Carts &amp; Stands'!Q8:Q507, '3 - Carts &amp; Stands'!J8:J507, '3 - Carts &amp; Stands'!P8:P507,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Q$3="Required"), IF(OR('3 - Carts &amp; Stands'!Q$7 = "", '3 - Carts &amp; Stands'!Q$7 = "N/A"), "3:Variant Attribute Name On Site - Value is required", ""), ""), IF(LEN(_xlpm.check3) &gt; 0, _xlpm.check3, _xlfn.LET(_xlpm.check4, IF(AND(_xlpm.dep2 &lt;&gt; "", _xlpm.dep2 &lt;&gt; "Finish", _xlpm.dep2 &lt;&gt; "Assembly"), IF(_xlpm.val = "", IF(OR('3 - Carts &amp; Stands'!Q$7 = "", '3 - Carts &amp; Stands'!Q$7 = "N/A"), "3:Name on site is required when variant grouping value is provided", ""), ""), ""), IF(LEN(_xlpm.check4) &gt; 0, _xlpm.check4, _xlfn.LET(_xlpm.check5, IF(AND(_xlpm.dep2 &lt;&gt; "", _xlpm.dep2 &lt;&gt; "Color", _xlpm.dep2 &lt;&gt; "Material", _xlpm.dep2 &lt;&gt; "Size", _xlpm.dep2 &lt;&gt; "Fireplace Included"), IF(_xlpm.val = "", IF(OR('3 - Carts &amp; Stands'!Q$7 = "", '3 - Carts &amp; Stands'!Q$7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IF(OR('3 - Carts &amp; Stands'!Q$7 = "", '3 - Carts &amp; Stands'!Q$7 = "N/A"), "3:Name on site is required when variant grouping value is provided", ""), ""), ""), IF(LEN(_xlpm.check6) &gt; 0, _xlpm.check6, _xlfn.LET(_xlpm.check7, IF(AND(_xlpm.dep2 &lt;&gt; "", _xlpm.dep2 &lt;&gt; "Color"), IF(_xlpm.val = "", IF(OR('3 - Carts &amp; Stands'!Q$7 = "", '3 - Carts &amp; Stands'!Q$7 = "N/A"), "3:Name on site is required when variant grouping value is provided", ""), ""), ""), IF(LEN(_xlpm.check7) &gt; 0, _xlpm.check7, IF(AND(_xlpm.dep2 &lt;&gt; "", _xlpm.dep2 &lt;&gt; "Size", _xlpm.dep2 &lt;&gt; "Color", _xlpm.dep2 &lt;&gt; "Frame Material", _xlpm.dep2 &lt;&gt; "Print/Pattern", _xlpm.dep2 &lt;&gt; "Storage"), IF(_xlpm.val = "", IF(OR('3 - Carts &amp; Stands'!Q$7 = "", '3 - Carts &amp; Stands'!Q$7 = "N/A"), "3:Name on site is required when variant grouping value is provided", ""), ""), ""))))))))))))))))))</f>
        <v/>
      </c>
      <c r="R8" s="22">
        <f t="array" ref="R8">_xlfn.MAP('3 - Carts &amp; Stands'!B8:B507, '3 - Carts &amp; Stands'!R8:R507, _xlfn.LAMBDA(_xlpm.part, _xlpm.val, IF(_xlpm.part = "", "", _xlfn.LET(_xlpm.check1, IF(AND(NOT(ISBLANK(_xlpm.val)),OR(NOT(ISNUMBER(IFERROR(VALUE(_xlpm.val), ""))), IFERROR(VALUE(_xlpm.val), -1) &lt; 0)), "1:Base Cost - Value should be numeric", ""), IF(LEN(_xlpm.check1) &gt; 0, _xlpm.check1, IF(AND(_xlpm.val = "", R$3="Required"), IF(OR('3 - Carts &amp; Stands'!R$7 = "", '3 - Carts &amp; Stands'!R$7 = "N/A"), "3:Base Cost - Value is required", ""), ""))))))</f>
        <v/>
      </c>
      <c r="S8" s="22">
        <f t="array" ref="S8">_xlfn.MAP('3 - Carts &amp; Stands'!B8:B507, '3 - Carts &amp; Stands'!S8:S507, _xlfn.LAMBDA(_xlpm.part, _xlpm.val, IF(_xlpm.part = "", "", _xlfn.LET(_xlpm.check1, IF(AND(NOT(ISBLANK(_xlpm.val)),OR(NOT(ISNUMBER(IFERROR(VALUE(_xlpm.val), ""))), IFERROR(VALUE(_xlpm.val), -1) &lt; 0)), "1:Minimum Advertised Price - Value should be numeric", ""), IF(LEN(_xlpm.check1) &gt; 0, _xlpm.check1, IF(AND(_xlpm.val = "", S$3="Required"), IF(OR('3 - Carts &amp; Stands'!S$7 = "", '3 - Carts &amp; Stands'!S$7 = "N/A"), "3:Minimum Advertised Price - Value is required", ""), ""))))))</f>
        <v/>
      </c>
      <c r="T8" s="22">
        <f t="array" ref="T8">_xlfn.MAP('3 - Carts &amp; Stands'!B8:B507, '3 - Carts &amp; Stands'!T8:T507, _xlfn.LAMBDA(_xlpm.part, _xlpm.val, IF(_xlpm.part = "", "", _xlfn.LET(_xlpm.check1, IF(AND(NOT(ISBLANK(_xlpm.val)),OR(NOT(ISNUMBER(IFERROR(VALUE(_xlpm.val), ""))), IFERROR(VALUE(_xlpm.val), -1) &lt; 0)), "1:Manufacturer Suggested Retail Price - Value should be numeric", ""), IF(LEN(_xlpm.check1) &gt; 0, _xlpm.check1, IF(AND(_xlpm.val = "", T$3="Required"), IF(OR('3 - Carts &amp; Stands'!T$7 = "", '3 - Carts &amp; Stands'!T$7 = "N/A"), "3:Manufacturer Suggested Retail Price - Value is required", ""), ""))))))</f>
        <v/>
      </c>
      <c r="U8" s="22">
        <f t="array" ref="U8">_xlfn.MAP('3 - Carts &amp; Stands'!B8:B507, '3 - Carts &amp; Stands'!U8:U507, '3 - Carts &amp; Stands'!J8:J507, '3 - Carts &amp; Stands'!V8:V507, '3 - Carts &amp; Stands'!W8:W507, '3 - Carts &amp; Stands'!X8:X507, _xlfn.LAMBDA(_xlpm.part, _xlpm.val, _xlpm.dep1, _xlpm.dep2, _xlpm.dep3, _xlpm.dep4, IF(_xlpm.part = "", "", _xlfn.LET(_xlpm.check1, IF(AND(_xlpm.val = "", _xlpm.dep1 = "NON-PRIMARY VARIANT"), "2:Autofill", ""), IF(LEN(_xlpm.check1) &gt; 0, _xlpm.check1, _xlfn.LET(_xlpm.check2, IF(OR(ISNUMBER(SEARCH({"&lt;","&gt;","^","Ø","•","‣","⁃","⁌","™","∙","⌀","◦"}, _xlpm.val))), "1:Marketing Copy cannot contain special characters ([™Ø⌀•‣◦⁃⁌⁍∙&lt;&gt;])", ""), IF(LEN(_xlpm.check2) &gt; 0, _xlpm.check2, _xlfn.LET(_xlpm.check3, IF(AND(_xlpm.val &lt;&gt; "", LEN(_xlpm.val) &lt; 16), "1:Marketing Copy should be more than 15 characters", ""), IF(LEN(_xlpm.check3) &gt; 0, _xlpm.check3, _xlfn.LET(_xlpm.check4, IF(AND(_xlpm.val = "", U$3="Required"), IF(OR('3 - Carts &amp; Stands'!U$7 = "", '3 - Carts &amp; Stands'!U$7 = "N/A"), "3:Marketing Copy - Value is required", ""), ""), IF(LEN(_xlpm.check4) &gt; 0, _xlpm.check4, IF(OR(_xlpm.dep2 = "", _xlpm.dep3 = "", _xlpm.dep4 = ""), IF(_xlpm.val = "", IF(OR('3 - Carts &amp; Stands'!U$7 = "", '3 - Carts &amp; Stands'!U$7 = "N/A"), "3:Either the Marketing Copy or at least three Feature Bullets are required for this part.", ""), ""), ""))))))))))))</f>
        <v/>
      </c>
      <c r="V8" s="22">
        <f t="array" ref="V8">_xlfn.MAP('3 - Carts &amp; Stands'!B8:B507, '3 - Carts &amp; Stands'!V8:V507, '3 - Carts &amp; Stands'!J8:J507, '3 - Carts &amp; Stands'!W8:W507, '3 - Carts &amp; Stands'!X8:X507, '3 - Carts &amp; Stands'!U8:U507,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V$3="Required"), IF(OR('3 - Carts &amp; Stands'!V$7 = "", '3 - Carts &amp; Stands'!V$7 = "N/A"), "3:Feature Bullet - Value is required", ""), ""), IF(LEN(_xlpm.check3) &gt; 0, _xlpm.check3, _xlfn.LET(_xlpm.check4, IF(AND(AND(_xlpm.dep2 = "", _xlpm.dep3 = ""), _xlpm.dep4 = ""), IF(_xlpm.val = "", IF(OR('3 - Carts &amp; Stands'!V$7 = "", '3 - Carts &amp; Stands'!V$7 = "N/A"), "3:Either the Marketing Copy or at least three Feature Bullets are required for this part.", ""), ""), ""), IF(LEN(_xlpm.check4) &gt; 0, _xlpm.check4, IF(_xlpm.dep4 = "", IF(_xlpm.val = "", IF(OR('3 - Carts &amp; Stands'!V$7 = "", '3 - Carts &amp; Stands'!V$7 = "N/A"), "3:Three feature bullets must be filled", ""), ""), ""))))))))))))</f>
        <v/>
      </c>
      <c r="W8" s="22">
        <f t="array" ref="W8">_xlfn.MAP('3 - Carts &amp; Stands'!B8:B507, '3 - Carts &amp; Stands'!W8:W507, '3 - Carts &amp; Stands'!J8:J507, '3 - Carts &amp; Stands'!V8:V507, '3 - Carts &amp; Stands'!X8:X507, '3 - Carts &amp; Stands'!U8:U507,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W$3="Required"), IF(OR('3 - Carts &amp; Stands'!W$7 = "", '3 - Carts &amp; Stands'!W$7 = "N/A"), "3:Feature Bullet - Value is required", ""), ""), IF(LEN(_xlpm.check3) &gt; 0, _xlpm.check3, _xlfn.LET(_xlpm.check4, IF(AND(AND(_xlpm.dep2 = "", _xlpm.dep3 = ""), _xlpm.dep4 = ""), IF(_xlpm.val = "", IF(OR('3 - Carts &amp; Stands'!W$7 = "", '3 - Carts &amp; Stands'!W$7 = "N/A"), "3:Either the Marketing Copy or at least three Feature Bullets are required for this part.", ""), ""), ""), IF(LEN(_xlpm.check4) &gt; 0, _xlpm.check4, IF(_xlpm.dep4 = "", IF(_xlpm.val = "", IF(OR('3 - Carts &amp; Stands'!W$7 = "", '3 - Carts &amp; Stands'!W$7 = "N/A"), "3:Three feature bullets must be filled", ""), ""), ""))))))))))))</f>
        <v/>
      </c>
      <c r="X8" s="22">
        <f t="array" ref="X8">_xlfn.MAP('3 - Carts &amp; Stands'!B8:B507, '3 - Carts &amp; Stands'!X8:X507, '3 - Carts &amp; Stands'!J8:J507, '3 - Carts &amp; Stands'!V8:V507, '3 - Carts &amp; Stands'!W8:W507, '3 - Carts &amp; Stands'!U8:U507,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X$3="Required"), IF(OR('3 - Carts &amp; Stands'!X$7 = "", '3 - Carts &amp; Stands'!X$7 = "N/A"), "3:Feature Bullet - Value is required", ""), ""), IF(LEN(_xlpm.check3) &gt; 0, _xlpm.check3, _xlfn.LET(_xlpm.check4, IF(AND(AND(_xlpm.dep2 = "", _xlpm.dep3 = ""), _xlpm.dep4 = ""), IF(_xlpm.val = "", IF(OR('3 - Carts &amp; Stands'!X$7 = "", '3 - Carts &amp; Stands'!X$7 = "N/A"), "3:Either the Marketing Copy or at least three Feature Bullets are required for this part.", ""), ""), ""), IF(LEN(_xlpm.check4) &gt; 0, _xlpm.check4, IF(_xlpm.dep4 = "", IF(_xlpm.val = "", IF(OR('3 - Carts &amp; Stands'!X$7 = "", '3 - Carts &amp; Stands'!X$7 = "N/A"), "3:Three feature bullets must be filled", ""), ""), ""))))))))))))</f>
        <v/>
      </c>
      <c r="Y8" s="22">
        <f t="array" ref="Y8">_xlfn.MAP('3 - Carts &amp; Stands'!B8:B507, '3 - Carts &amp; Stands'!Y8:Y507, '3 - Carts &amp; Stands'!J8:J507,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Y$3="Required"), IF(OR('3 - Carts &amp; Stands'!Y$7 = "", '3 - Carts &amp; Stands'!Y$7 = "N/A"), "3:Feature Bullet - Value is required", ""), ""))))))))</f>
        <v/>
      </c>
      <c r="Z8" s="22">
        <f t="array" ref="Z8">_xlfn.MAP('3 - Carts &amp; Stands'!B8:B507, '3 - Carts &amp; Stands'!Z8:Z507, '3 - Carts &amp; Stands'!J8:J507,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Z$3="Required"), IF(OR('3 - Carts &amp; Stands'!Z$7 = "", '3 - Carts &amp; Stands'!Z$7 = "N/A"), "3:Feature Bullet - Value is required", ""), ""))))))))</f>
        <v/>
      </c>
      <c r="AA8" s="22">
        <f t="array" ref="AA8">_xlfn.MAP('3 - Carts &amp; Stands'!B8:B507, '3 - Carts &amp; Stands'!AA8:AA507, '3 - Carts &amp; Stands'!J8:J507,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"1:Minimum Order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AA$3="Required"), IF(OR('3 - Carts &amp; Stands'!AA$7 = "", '3 - Carts &amp; Stands'!AA$7 = "N/A"), "3:Minimum Order Quantity - Value is required", ""), ""))))))))))))</f>
        <v/>
      </c>
      <c r="AB8" s="22">
        <f t="array" ref="AB8">_xlfn.MAP('3 - Carts &amp; Stands'!B8:B507, '3 - Carts &amp; Stands'!AB8:AB507, '3 - Carts &amp; Stands'!J8:J507,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"1:Force Quantity Multiplier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AB$3="Required"), IF(OR('3 - Carts &amp; Stands'!AB$7 = "", '3 - Carts &amp; Stands'!AB$7 = "N/A"), "3:Force Quantity Multiplier - Value is required", ""), ""))))))))))))</f>
        <v/>
      </c>
      <c r="AC8" s="22">
        <f t="array" ref="AC8">_xlfn.MAP('3 - Carts &amp; Stands'!B8:B507, '3 - Carts &amp; Stands'!AC8:AC507, '3 - Carts &amp; Stands'!J8:J507,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"1:Display Set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AC$3="Required"), IF(OR('3 - Carts &amp; Stands'!AC$7 = "", '3 - Carts &amp; Stands'!AC$7 = "N/A"), "3:Display Set Quantity - Value is required", ""), ""))))))))))))</f>
        <v/>
      </c>
      <c r="AD8" s="22">
        <f t="array" ref="AD8">_xlfn.MAP('3 - Carts &amp; Stands'!B8:B507, '3 - Carts &amp; Stands'!AD8:AD507, '3 - Carts &amp; Stands'!J8:J507,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"1:Product Weight - Value should be numeric", ""), IF(LEN(_xlpm.check2) &gt; 0, _xlpm.check2, _xlfn.LET(_xlpm.check3, IF(AND(_xlpm.val &lt;&gt; "" ,IFERROR(VALUE(_xlpm.val), _xlpm.val)&lt;0), "1:Product weight must be a positive number", ""), IF(LEN(_xlpm.check3) &gt; 0, _xlpm.check3, IF(AND(_xlpm.val = "", AD$3="Required"), IF(OR('3 - Carts &amp; Stands'!AD$7 = "", '3 - Carts &amp; Stands'!AD$7 = "N/A"), "3:Product Weight - Value is required", ""), ""))))))))))</f>
        <v/>
      </c>
      <c r="AE8" s="22">
        <f t="array" ref="AE8">_xlfn.MAP('3 - Carts &amp; Stands'!B8:B507, '3 - Carts &amp; Stands'!AE8:AE507, '3 - Carts &amp; Stands'!J8:J507, _xlfn.LAMBDA(_xlpm.part, _xlpm.val, _xlpm.dep1, IF(_xlpm.part = "", "", _xlfn.LET(_xlpm.check1, IF(AND(_xlpm.val = "", _xlpm.dep1 = "NON-PRIMARY VARIANT"), "2:Autofill", ""), IF(LEN(_xlpm.check1) &gt; 0, _xlpm.check1, IF(AND(_xlpm.val = "", AE$3="Required"), IF(OR('3 - Carts &amp; Stands'!AE$7 = "", '3 - Carts &amp; Stands'!AE$7 = "N/A"), "3:Ship Type - Value is required", ""), ""))))))</f>
        <v/>
      </c>
      <c r="AF8" s="22">
        <f t="array" ref="AF8">_xlfn.MAP('3 - Carts &amp; Stands'!B8:B507, '3 - Carts &amp; Stands'!AF8:AF507, '3 - Carts &amp; Stands'!J8:J507, _xlfn.LAMBDA(_xlpm.part, _xlpm.val, _xlpm.dep1, IF(_xlpm.part = "", "", _xlfn.LET(_xlpm.check1, IF(AND(_xlpm.val = "", _xlpm.dep1 = "NON-PRIMARY VARIANT"), "2:Autofill", ""), IF(LEN(_xlpm.check1) &gt; 0, _xlpm.check1, IF(AND(_xlpm.val = "", AF$3="Required"), IF(OR('3 - Carts &amp; Stands'!AF$7 = "", '3 - Carts &amp; Stands'!AF$7 = "N/A"), "3:Freight Class - Value is required", ""), ""))))))</f>
        <v/>
      </c>
      <c r="AG8" s="22">
        <f t="array" ref="AG8">_xlfn.MAP('3 - Carts &amp; Stands'!B8:B507, '3 - Carts &amp; Stands'!AG8:AG507, '3 - Carts &amp; Stands'!J8:J507, _xlfn.LAMBDA(_xlpm.part, _xlpm.val, _xlpm.dep1, IF(_xlpm.part = "", "", _xlfn.LET(_xlpm.check1, IF(AND(_xlpm.val = "", _xlpm.dep1 = "NON-PRIMARY VARIANT"), "2:Autofill", ""), IF(LEN(_xlpm.check1) &gt; 0, _xlpm.check1, IF(AND(_xlpm.val = "", AG$3="Required"), IF(OR('3 - Carts &amp; Stands'!AG$7 = "", '3 - Carts &amp; Stands'!AG$7 = "N/A"), "3:Lead Time - Value is required", ""), ""))))))</f>
        <v/>
      </c>
      <c r="AH8" s="22">
        <f t="array" ref="AH8">_xlfn.MAP('3 - Carts &amp; Stands'!B8:B507, '3 - Carts &amp; Stands'!AH8:AH507, '3 - Carts &amp; Stands'!J8:J507, _xlfn.LAMBDA(_xlpm.part, _xlpm.val, _xlpm.dep1, IF(_xlpm.part = "", "", _xlfn.LET(_xlpm.check1, IF(AND(_xlpm.val = "", _xlpm.dep1 = "NON-PRIMARY VARIANT"), "2:Autofill", ""), IF(LEN(_xlpm.check1) &gt; 0, _xlpm.check1, IF(AND(_xlpm.val = "", AH$3="Required"), IF(OR('3 - Carts &amp; Stands'!AH$7 = "", '3 - Carts &amp; Stands'!AH$7 = "N/A"), "3:Replacement Lead Time - Value is required", ""), ""))))))</f>
        <v/>
      </c>
      <c r="AI8" s="22">
        <f t="array" ref="AI8">_xlfn.MAP('3 - Carts &amp; Stands'!B8:B507, '3 - Carts &amp; Stands'!AI8:AI507, '3 - Carts &amp; Stands'!J8:J507, _xlfn.LAMBDA(_xlpm.part, _xlpm.val, _xlpm.dep1, IF(_xlpm.part = "", "", _xlfn.LET(_xlpm.check1, IF(AND(_xlpm.val = "", _xlpm.dep1 = "NON-PRIMARY VARIANT"), "2:Autofill", ""), IF(LEN(_xlpm.check1) &gt; 0, _xlpm.check1, _xlfn.LET(_xlpm.check2, IF(AND(_xlpm.val &lt;&gt; "", LEN(_xlpm.val) &lt; 5), "1:NMFC must contain at least 5 digits", ""), IF(LEN(_xlpm.check2) &gt; 0, _xlpm.check2, IF(AND(_xlpm.val = "", AI$3="Required"), IF(OR('3 - Carts &amp; Stands'!AI$7 = "", '3 - Carts &amp; Stands'!AI$7 = "N/A"), "3:National Motor Freight Class - Value is required", ""), ""))))))))</f>
        <v/>
      </c>
      <c r="AJ8" s="22">
        <f t="array" ref="AJ8">_xlfn.MAP('3 - Carts &amp; Stands'!B8:B507, '3 - Carts &amp; Stands'!AJ8:AJ507, '3 - Carts &amp; Stands'!J8:J507, _xlfn.LAMBDA(_xlpm.part, _xlpm.val, _xlpm.dep1, IF(_xlpm.part = "", "", _xlfn.LET(_xlpm.check1, IF(AND(_xlpm.val = "", _xlpm.dep1 = "NON-PRIMARY VARIANT"), "2:Autofill", ""), IF(LEN(_xlpm.check1) &gt; 0, _xlpm.check1, IF(AND(_xlpm.val = "", AJ$3="Required"), IF(OR('3 - Carts &amp; Stands'!AJ$7 = "", '3 - Carts &amp; Stands'!AJ$7 = "N/A"), "3:Flat Pack - Value is required", ""), ""))))))</f>
        <v/>
      </c>
      <c r="AK8" s="22">
        <f t="array" ref="AK8">_xlfn.MAP('3 - Carts &amp; Stands'!B8:B507, '3 - Carts &amp; Stands'!AK8:AK507, '3 - Carts &amp; Stands'!J8:J507, _xlfn.LAMBDA(_xlpm.part, _xlpm.val, _xlpm.dep1, IF(_xlpm.part = "", "", _xlfn.LET(_xlpm.check1, IF(AND(_xlpm.val = "", _xlpm.dep1 = "NON-PRIMARY VARIANT"), "2:Autofill", ""), IF(LEN(_xlpm.check1) &gt; 0, _xlpm.check1, IF(AND(_xlpm.val = "", AK$3="Required"), IF(OR('3 - Carts &amp; Stands'!AK$7 = "", '3 - Carts &amp; Stands'!AK$7 = "N/A"), "3:Ship Palletized - Value is required", ""), ""))))))</f>
        <v/>
      </c>
      <c r="AL8" s="22">
        <f t="array" ref="AL8">_xlfn.MAP('3 - Carts &amp; Stands'!B8:B507, '3 - Carts &amp; Stands'!AL8:AL507, '3 - Carts &amp; Stands'!AM8:AM507, '3 - Carts &amp; Stands'!AN8:AN507, '3 - Carts &amp; Stands'!AO8:AO507,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AL$3="Required"), IF(OR('3 - Carts &amp; Stands'!AL$7 = "", '3 - Carts &amp; Stands'!AL$7 = "N/A"), "3:Carton Weight - Value is required", ""), ""), IF(LEN(_xlpm.check3) &gt; 0, _xlpm.check3, _xlfn.LET(_xlpm.check4, IF(OR(_xlpm.dep1 &lt;&gt; "", _xlpm.dep2 &lt;&gt; "", _xlpm.dep3 &lt;&gt; ""), IF(_xlpm.val = "", IF(OR('3 - Carts &amp; Stands'!AL$7 = "", '3 - Carts &amp; Stands'!AL$7 = "N/A"), "3:Shipping weight is required", ""), ""), ""), IF(LEN(_xlpm.check4) &gt; 0, _xlpm.check4, IF(AND(_xlpm.dep3 = "", _xlpm.dep1 = "", _xlpm.dep2 = ""), IF(_xlpm.val = "", IF(OR('3 - Carts &amp; Stands'!AL$7 = "", '3 - Carts &amp; Stands'!AL$7 = "N/A"), "3:Shipping weight is required", ""), ""), ""))))))))))))</f>
        <v/>
      </c>
      <c r="AM8" s="22">
        <f t="array" ref="AM8">_xlfn.MAP('3 - Carts &amp; Stands'!B8:B507, '3 - Carts &amp; Stands'!AM8:AM507, '3 - Carts &amp; Stands'!AL8:AL507, '3 - Carts &amp; Stands'!AN8:AN507, '3 - Carts &amp; Stands'!AO8:AO507,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AM$3="Required"), IF(OR('3 - Carts &amp; Stands'!AM$7 = "", '3 - Carts &amp; Stands'!AM$7 = "N/A"), "3:Carton Height - Value is required", ""), ""), IF(LEN(_xlpm.check3) &gt; 0, _xlpm.check3, _xlfn.LET(_xlpm.check4, IF(OR(_xlpm.dep1 &lt;&gt; "", _xlpm.dep2 &lt;&gt; "", _xlpm.dep3 &lt;&gt; ""), IF(_xlpm.val = "", IF(OR('3 - Carts &amp; Stands'!AM$7 = "", '3 - Carts &amp; Stands'!AM$7 = "N/A"), "3:Carton height is required", ""), ""), ""), IF(LEN(_xlpm.check4) &gt; 0, _xlpm.check4, IF(AND(_xlpm.dep1 = "", _xlpm.dep3 = "", _xlpm.dep2 = ""), IF(_xlpm.val = "", IF(OR('3 - Carts &amp; Stands'!AM$7 = "", '3 - Carts &amp; Stands'!AM$7 = "N/A"), "3:Carton height is required", ""), ""), ""))))))))))))</f>
        <v/>
      </c>
      <c r="AN8" s="22">
        <f t="array" ref="AN8">_xlfn.MAP('3 - Carts &amp; Stands'!B8:B507, '3 - Carts &amp; Stands'!AN8:AN507, '3 - Carts &amp; Stands'!AL8:AL507, '3 - Carts &amp; Stands'!AM8:AM507, '3 - Carts &amp; Stands'!AO8:AO507,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AN$3="Required"), IF(OR('3 - Carts &amp; Stands'!AN$7 = "", '3 - Carts &amp; Stands'!AN$7 = "N/A"), "3:Carton Width - Value is required", ""), ""), IF(LEN(_xlpm.check3) &gt; 0, _xlpm.check3, _xlfn.LET(_xlpm.check4, IF(OR(_xlpm.dep1 &lt;&gt; "", _xlpm.dep2 &lt;&gt; "", _xlpm.dep3 &lt;&gt; ""), IF(_xlpm.val = "", IF(OR('3 - Carts &amp; Stands'!AN$7 = "", '3 - Carts &amp; Stands'!AN$7 = "N/A"), "3:Carton width is required", ""), ""), ""), IF(LEN(_xlpm.check4) &gt; 0, _xlpm.check4, IF(AND(_xlpm.dep1 = "", _xlpm.dep2 = "", _xlpm.dep3 = ""), IF(_xlpm.val = "", IF(OR('3 - Carts &amp; Stands'!AN$7 = "", '3 - Carts &amp; Stands'!AN$7 = "N/A"), "3:Carton width is required", ""), ""), ""))))))))))))</f>
        <v/>
      </c>
      <c r="AO8" s="22">
        <f t="array" ref="AO8">_xlfn.MAP('3 - Carts &amp; Stands'!B8:B507, '3 - Carts &amp; Stands'!AO8:AO507, '3 - Carts &amp; Stands'!AL8:AL507, '3 - Carts &amp; Stands'!AM8:AM507, '3 - Carts &amp; Stands'!AN8:AN507,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AO$3="Required"), IF(OR('3 - Carts &amp; Stands'!AO$7 = "", '3 - Carts &amp; Stands'!AO$7 = "N/A"), "3:Carton Depth - Value is required", ""), ""), IF(LEN(_xlpm.check3) &gt; 0, _xlpm.check3, _xlfn.LET(_xlpm.check4, IF(OR(_xlpm.dep1 &lt;&gt; "", _xlpm.dep2 &lt;&gt; "", _xlpm.dep3 &lt;&gt; ""), IF(_xlpm.val = "", IF(OR('3 - Carts &amp; Stands'!AO$7 = "", '3 - Carts &amp; Stands'!AO$7 = "N/A"), "3:Carton depth is required", ""), ""), ""), IF(LEN(_xlpm.check4) &gt; 0, _xlpm.check4, IF(AND(_xlpm.dep1 = "", _xlpm.dep2 = "", _xlpm.dep3 = ""), IF(_xlpm.val = "", IF(OR('3 - Carts &amp; Stands'!AO$7 = "", '3 - Carts &amp; Stands'!AO$7 = "N/A"), "3:Carton depth is required", ""), ""), ""))))))))))))</f>
        <v/>
      </c>
      <c r="AP8" s="22">
        <f t="array" ref="AP8">_xlfn.MAP('3 - Carts &amp; Stands'!B8:B507, '3 - Carts &amp; Stands'!AP8:AP507, _xlfn.LAMBDA(_xlpm.part, _xlpm.val, IF(_xlpm.part = "", "", IF(AND(_xlpm.val = "", AP$3="Required"), IF(OR('3 - Carts &amp; Stands'!AP$7 = "", '3 - Carts &amp; Stands'!AP$7 = "N/A"), "3:Warning Required - Value is required", ""), ""))))</f>
        <v/>
      </c>
      <c r="AQ8" s="22">
        <f t="array" ref="AQ8">_xlfn.MAP('3 - Carts &amp; Stands'!B8:B507, '3 - Carts &amp; Stands'!AQ8:AQ507, '3 - Carts &amp; Stands'!AR8:AR507, '3 - Carts &amp; Stands'!AP8:AP507, _xlfn.LAMBDA(_xlpm.part, _xlpm.val, _xlpm.dep1, _xlpm.dep2, IF(_xlpm.part = "", "", _xlfn.LET(_xlpm.check1, IF(AND(_xlpm.val = "", AQ$3="Required"), IF(OR('3 - Carts &amp; Stands'!AQ$7 = "", '3 - Carts &amp; Stands'!AQ$7 = "N/A"), "3:Chemical - Value is required", ""), ""), IF(LEN(_xlpm.check1) &gt; 0, _xlpm.check1, _xlfn.LET(_xlpm.check2, IF(_xlpm.dep1 &lt;&gt; "", IF(_xlpm.val = "", IF(OR('3 - Carts &amp; Stands'!AQ$7 = "", '3 - Carts &amp; Stands'!AQ$7 = "N/A"), "3:Please provide a chemical", ""), ""), ""), IF(LEN(_xlpm.check2) &gt; 0, _xlpm.check2, IF(_xlpm.dep2 = "Yes", IF(_xlpm.val = "", IF(OR('3 - Carts &amp; Stands'!AQ$7 = "", '3 - Carts &amp; Stands'!AQ$7 = "N/A"), "3:If a warning is required, then a chemical must also be provided", ""), ""), ""))))))))</f>
        <v/>
      </c>
      <c r="AR8" s="22">
        <f t="array" ref="AR8">_xlfn.MAP('3 - Carts &amp; Stands'!B8:B507, '3 - Carts &amp; Stands'!AR8:AR507, '3 - Carts &amp; Stands'!AQ8:AQ507, '3 - Carts &amp; Stands'!AP8:AP507, _xlfn.LAMBDA(_xlpm.part, _xlpm.val, _xlpm.dep1, _xlpm.dep2,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AR$3="Required"), IF(OR('3 - Carts &amp; Stands'!AR$7 = "", '3 - Carts &amp; Stands'!AR$7 = "N/A"), "3:Toxicity - Value is required", ""), ""), IF(LEN(_xlpm.check2) &gt; 0, _xlpm.check2, _xlfn.LET(_xlpm.check3, IF(_xlpm.dep1 &lt;&gt; "", IF(_xlpm.val = "", IF(OR('3 - Carts &amp; Stands'!AR$7 = "", '3 - Carts &amp; Stands'!AR$7 = "N/A"), "3:Please select a toxicity from the provided dropdown", ""), ""), ""), IF(LEN(_xlpm.check3) &gt; 0, _xlpm.check3, IF(_xlpm.dep2 = "Yes", IF(_xlpm.val = "", IF(OR('3 - Carts &amp; Stands'!AR$7 = "", '3 - Carts &amp; Stands'!AR$7 = "N/A"), "3:If a warning is required, then a chemical must also be provided", ""), ""), ""))))))))))</f>
        <v/>
      </c>
      <c r="AS8" s="22">
        <f t="array" ref="AS8">_xlfn.MAP('3 - Carts &amp; Stands'!B8:B507, '3 - Carts &amp; Stands'!AS8:AS507, '3 - Carts &amp; Stands'!J8:J507, _xlfn.LAMBDA(_xlpm.part, _xlpm.val, _xlpm.dep1, IF(_xlpm.part = "", "", _xlfn.LET(_xlpm.check1, IF(AND(_xlpm.val = "", _xlpm.dep1 = "NON-PRIMARY VARIANT"), "2:Autofill", ""), IF(LEN(_xlpm.check1) &gt; 0, _xlpm.check1, IF(AND(_xlpm.val = "", AS$3="Required"), IF(OR('3 - Carts &amp; Stands'!AS$7 = "", '3 - Carts &amp; Stands'!AS$7 = "N/A"), "3:Country Of Manufacturer - Value is required", ""), ""))))))</f>
        <v/>
      </c>
      <c r="AT8" s="22">
        <f t="array" ref="AT8">_xlfn.MAP('3 - Carts &amp; Stands'!B8:B507, '3 - Carts &amp; Stands'!AT8:AT507, _xlfn.LAMBDA(_xlpm.part, _xlpm.val, IF(_xlpm.part = "", "", IF(AND(_xlpm.val = "", AT$3="Required"), IF(OR('3 - Carts &amp; Stands'!AT$7 = "", '3 - Carts &amp; Stands'!AT$7 = "N/A"), "3:Image File Name or URL - Value is required", ""), ""))))</f>
        <v/>
      </c>
      <c r="AU8" s="22">
        <f t="array" ref="AU8">_xlfn.MAP('3 - Carts &amp; Stands'!B8:B507, '3 - Carts &amp; Stands'!AU8:AU507, _xlfn.LAMBDA(_xlpm.part, _xlpm.val, IF(_xlpm.part = "", "", IF(AND(_xlpm.val = "", AU$3="Required"), IF(OR('3 - Carts &amp; Stands'!AU$7 = "", '3 - Carts &amp; Stands'!AU$7 = "N/A"), "3:Image File Name or URL - Value is required", ""), ""))))</f>
        <v/>
      </c>
      <c r="AV8" s="22">
        <f t="array" ref="AV8">_xlfn.MAP('3 - Carts &amp; Stands'!B8:B507, '3 - Carts &amp; Stands'!AV8:AV507, _xlfn.LAMBDA(_xlpm.part, _xlpm.val, IF(_xlpm.part = "", "", IF(AND(_xlpm.val = "", AV$3="Required"), IF(OR('3 - Carts &amp; Stands'!AV$7 = "", '3 - Carts &amp; Stands'!AV$7 = "N/A"), "3:Image File Name or URL - Value is required", ""), ""))))</f>
        <v/>
      </c>
      <c r="AW8" s="22">
        <f t="array" ref="AW8">_xlfn.MAP('3 - Carts &amp; Stands'!B8:B507, '3 - Carts &amp; Stands'!AW8:AW507, _xlfn.LAMBDA(_xlpm.part, _xlpm.val, IF(_xlpm.part = "", "", IF(AND(_xlpm.val = "", AW$3="Required"), IF(OR('3 - Carts &amp; Stands'!AW$7 = "", '3 - Carts &amp; Stands'!AW$7 = "N/A"), "3:Image File Name or URL - Value is required", ""), ""))))</f>
        <v/>
      </c>
      <c r="AX8" s="22">
        <f t="array" ref="AX8">_xlfn.MAP('3 - Carts &amp; Stands'!B8:B507, '3 - Carts &amp; Stands'!AX8:AX507, _xlfn.LAMBDA(_xlpm.part, _xlpm.val, IF(_xlpm.part = "", "", IF(AND(_xlpm.val = "", AX$3="Required"), IF(OR('3 - Carts &amp; Stands'!AX$7 = "", '3 - Carts &amp; Stands'!AX$7 = "N/A"), "3:Image File Name or URL - Value is required", ""), ""))))</f>
        <v/>
      </c>
      <c r="AY8" s="22">
        <f t="array" ref="AY8">_xlfn.MAP('3 - Carts &amp; Stands'!B8:B507, '3 - Carts &amp; Stands'!AY8:AY507, _xlfn.LAMBDA(_xlpm.part, _xlpm.val, IF(_xlpm.part = "", "", IF(AND(_xlpm.val = "", AY$3="Required"), IF(OR('3 - Carts &amp; Stands'!AY$7 = "", '3 - Carts &amp; Stands'!AY$7 = "N/A"), "3:Video File Name or URL - Value is required", ""), ""))))</f>
        <v/>
      </c>
      <c r="AZ8" s="22">
        <f t="array" ref="AZ8">_xlfn.MAP('3 - Carts &amp; Stands'!B8:B507, '3 - Carts &amp; Stands'!AZ8:AZ507, '3 - Carts &amp; Stands'!BA8:BA507, '3 - Carts &amp; Stands'!BB8:BB507, '3 - Carts &amp; Stands'!BC8:BC507, '3 - Carts &amp; Stands'!BD8:BD507, _xlfn.LAMBDA(_xlpm.part, _xlpm.val, _xlpm.dep1, _xlpm.dep2, _xlpm.dep3, _xlpm.dep4, IF(_xlpm.part = "", "", _xlfn.LET(_xlpm.check1, IF(AND(_xlpm.val = "", AZ$3="Required"), IF(OR('3 - Carts &amp; Stands'!AZ$7 = "", '3 - Carts &amp; Stands'!AZ$7 = "N/A"), "3:Document File Name or URL - Value is required", ""), ""), IF(LEN(_xlpm.check1) &gt; 0, _xlpm.check1, IF(OR(_xlpm.dep1 &lt;&gt; "", _xlpm.dep2 &lt;&gt; "", _xlpm.dep3 &lt;&gt; "", _xlpm.dep4 &lt;&gt; ""), IF(_xlpm.val = "", IF(OR('3 - Carts &amp; Stands'!AZ$7 = "", '3 - Carts &amp; Stands'!AZ$7 = "N/A"), "3:Document value is required", ""), ""), ""))))))</f>
        <v/>
      </c>
      <c r="BA8" s="22">
        <f t="array" ref="BA8">_xlfn.MAP('3 - Carts &amp; Stands'!B8:B507, '3 - Carts &amp; Stands'!BA8:BA507,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BA$3="Required"), IF(OR('3 - Carts &amp; Stands'!BA$7 = "", '3 - Carts &amp; Stands'!BA$7 = "N/A"), "3:Document Type - Value is required", ""), ""))))))</f>
        <v/>
      </c>
      <c r="BB8" s="22">
        <f t="array" ref="BB8">_xlfn.MAP('3 - Carts &amp; Stands'!B8:B507, '3 - Carts &amp; Stands'!BB8:BB507,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BB$3="Required"), IF(OR('3 - Carts &amp; Stands'!BB$7 = "", '3 - Carts &amp; Stands'!BB$7 = "N/A"), "3:Legal Document Type - Value is required", ""), ""))))))</f>
        <v/>
      </c>
      <c r="BC8" s="22">
        <f t="array" ref="BC8">_xlfn.MAP('3 - Carts &amp; Stands'!B8:B507, '3 - Carts &amp; Stands'!BC8:BC507, _xlfn.LAMBDA(_xlpm.part, _xlpm.val, IF(_xlpm.part = "", "", IF(AND(_xlpm.val = "", BC$3="Required"), IF(OR('3 - Carts &amp; Stands'!BC$7 = "", '3 - Carts &amp; Stands'!BC$7 = "N/A"), "3:Document Region - Value is required", ""), ""))))</f>
        <v/>
      </c>
      <c r="BD8" s="22">
        <f t="array" ref="BD8">_xlfn.MAP('3 - Carts &amp; Stands'!B8:B507, '3 - Carts &amp; Stands'!BD8:BD507, _xlfn.LAMBDA(_xlpm.part, _xlpm.val, IF(_xlpm.part = "", "", IF(AND(_xlpm.val = "", BD$3="Required"), IF(OR('3 - Carts &amp; Stands'!BD$7 = "", '3 - Carts &amp; Stands'!BD$7 = "N/A"), "3:Document Language - Value is required", ""), ""))))</f>
        <v/>
      </c>
      <c r="BE8" s="22">
        <f t="array" ref="BE8">_xlfn.MAP('3 - Carts &amp; Stands'!B8:B507, '3 - Carts &amp; Stands'!BE8:BE507, '3 - Carts &amp; Stands'!BF8:BF507, '3 - Carts &amp; Stands'!BG8:BG507, '3 - Carts &amp; Stands'!BH8:BH507, '3 - Carts &amp; Stands'!BI8:BI507, _xlfn.LAMBDA(_xlpm.part, _xlpm.val, _xlpm.dep1, _xlpm.dep2, _xlpm.dep3, _xlpm.dep4, IF(_xlpm.part = "", "", _xlfn.LET(_xlpm.check1, IF(AND(_xlpm.val = "", BE$3="Required"), IF(OR('3 - Carts &amp; Stands'!BE$7 = "", '3 - Carts &amp; Stands'!BE$7 = "N/A"), "3:Document File Name or URL - Value is required", ""), ""), IF(LEN(_xlpm.check1) &gt; 0, _xlpm.check1, IF(OR(_xlpm.dep1 &lt;&gt; "", _xlpm.dep2 &lt;&gt; "", _xlpm.dep3 &lt;&gt; "", _xlpm.dep4 &lt;&gt; ""), IF(_xlpm.val = "", IF(OR('3 - Carts &amp; Stands'!BE$7 = "", '3 - Carts &amp; Stands'!BE$7 = "N/A"), "3:Document value is required", ""), ""), ""))))))</f>
        <v/>
      </c>
      <c r="BF8" s="22">
        <f t="array" ref="BF8">_xlfn.MAP('3 - Carts &amp; Stands'!B8:B507, '3 - Carts &amp; Stands'!BF8:BF507,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BF$3="Required"), IF(OR('3 - Carts &amp; Stands'!BF$7 = "", '3 - Carts &amp; Stands'!BF$7 = "N/A"), "3:Document Type - Value is required", ""), ""))))))</f>
        <v/>
      </c>
      <c r="BG8" s="22">
        <f t="array" ref="BG8">_xlfn.MAP('3 - Carts &amp; Stands'!B8:B507, '3 - Carts &amp; Stands'!BG8:BG507,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BG$3="Required"), IF(OR('3 - Carts &amp; Stands'!BG$7 = "", '3 - Carts &amp; Stands'!BG$7 = "N/A"), "3:Legal Document Type - Value is required", ""), ""))))))</f>
        <v/>
      </c>
      <c r="BH8" s="22">
        <f t="array" ref="BH8">_xlfn.MAP('3 - Carts &amp; Stands'!B8:B507, '3 - Carts &amp; Stands'!BH8:BH507, _xlfn.LAMBDA(_xlpm.part, _xlpm.val, IF(_xlpm.part = "", "", IF(AND(_xlpm.val = "", BH$3="Required"), IF(OR('3 - Carts &amp; Stands'!BH$7 = "", '3 - Carts &amp; Stands'!BH$7 = "N/A"), "3:Document Region - Value is required", ""), ""))))</f>
        <v/>
      </c>
      <c r="BI8" s="22">
        <f t="array" ref="BI8">_xlfn.MAP('3 - Carts &amp; Stands'!B8:B507, '3 - Carts &amp; Stands'!BI8:BI507, _xlfn.LAMBDA(_xlpm.part, _xlpm.val, IF(_xlpm.part = "", "", IF(AND(_xlpm.val = "", BI$3="Required"), IF(OR('3 - Carts &amp; Stands'!BI$7 = "", '3 - Carts &amp; Stands'!BI$7 = "N/A"), "3:Document Language - Value is required", ""), ""))))</f>
        <v/>
      </c>
      <c r="BJ8" s="22">
        <f t="array" ref="BJ8">_xlfn.MAP('3 - Carts &amp; Stands'!B8:B507, '3 - Carts &amp; Stands'!BJ8:BJ507, '3 - Carts &amp; Stands'!BK8:BK507, '3 - Carts &amp; Stands'!BL8:BL507, '3 - Carts &amp; Stands'!BM8:BM507, '3 - Carts &amp; Stands'!BN8:BN507, _xlfn.LAMBDA(_xlpm.part, _xlpm.val, _xlpm.dep1, _xlpm.dep2, _xlpm.dep3, _xlpm.dep4, IF(_xlpm.part = "", "", _xlfn.LET(_xlpm.check1, IF(AND(_xlpm.val = "", BJ$3="Required"), IF(OR('3 - Carts &amp; Stands'!BJ$7 = "", '3 - Carts &amp; Stands'!BJ$7 = "N/A"), "3:Document File Name or URL - Value is required", ""), ""), IF(LEN(_xlpm.check1) &gt; 0, _xlpm.check1, IF(OR(_xlpm.dep1 &lt;&gt; "", _xlpm.dep2 &lt;&gt; "", _xlpm.dep3 &lt;&gt; "", _xlpm.dep4 &lt;&gt; ""), IF(_xlpm.val = "", IF(OR('3 - Carts &amp; Stands'!BJ$7 = "", '3 - Carts &amp; Stands'!BJ$7 = "N/A"), "3:Document value is required", ""), ""), ""))))))</f>
        <v/>
      </c>
      <c r="BK8" s="22">
        <f t="array" ref="BK8">_xlfn.MAP('3 - Carts &amp; Stands'!B8:B507, '3 - Carts &amp; Stands'!BK8:BK507,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BK$3="Required"), IF(OR('3 - Carts &amp; Stands'!BK$7 = "", '3 - Carts &amp; Stands'!BK$7 = "N/A"), "3:Document Type - Value is required", ""), ""))))))</f>
        <v/>
      </c>
      <c r="BL8" s="22">
        <f t="array" ref="BL8">_xlfn.MAP('3 - Carts &amp; Stands'!B8:B507, '3 - Carts &amp; Stands'!BL8:BL507,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BL$3="Required"), IF(OR('3 - Carts &amp; Stands'!BL$7 = "", '3 - Carts &amp; Stands'!BL$7 = "N/A"), "3:Legal Document Type - Value is required", ""), ""))))))</f>
        <v/>
      </c>
      <c r="BM8" s="22">
        <f t="array" ref="BM8">_xlfn.MAP('3 - Carts &amp; Stands'!B8:B507, '3 - Carts &amp; Stands'!BM8:BM507, _xlfn.LAMBDA(_xlpm.part, _xlpm.val, IF(_xlpm.part = "", "", IF(AND(_xlpm.val = "", BM$3="Required"), IF(OR('3 - Carts &amp; Stands'!BM$7 = "", '3 - Carts &amp; Stands'!BM$7 = "N/A"), "3:Document Region - Value is required", ""), ""))))</f>
        <v/>
      </c>
      <c r="BN8" s="22">
        <f t="array" ref="BN8">_xlfn.MAP('3 - Carts &amp; Stands'!B8:B507, '3 - Carts &amp; Stands'!BN8:BN507, _xlfn.LAMBDA(_xlpm.part, _xlpm.val, IF(_xlpm.part = "", "", IF(AND(_xlpm.val = "", BN$3="Required"), IF(OR('3 - Carts &amp; Stands'!BN$7 = "", '3 - Carts &amp; Stands'!BN$7 = "N/A"), "3:Document Language - Value is required", ""), ""))))</f>
        <v/>
      </c>
      <c r="BO8" s="22">
        <f t="array" ref="BO8">_xlfn.MAP('3 - Carts &amp; Stands'!B8:B507, '3 - Carts &amp; Stands'!BO8:BO507, _xlfn.LAMBDA(_xlpm.part, _xlpm.val, IF(_xlpm.part = "", "", IF(AND(_xlpm.val = "", BO$3="Required"), IF(OR('3 - Carts &amp; Stands'!BO$7 = "", '3 - Carts &amp; Stands'!BO$7 = "N/A"), "3:Product Type - Value is required", ""), ""))))</f>
        <v/>
      </c>
      <c r="BP8" s="22">
        <f t="array" ref="BP8">_xlfn.MAP('3 - Carts &amp; Stands'!B8:B507, '3 - Carts &amp; Stands'!BP8:BP507, _xlfn.LAMBDA(_xlpm.part, _xlpm.val, IF(_xlpm.part = "", "", IF(AND(_xlpm.val = "", BP$3="Required"), IF(OR('3 - Carts &amp; Stands'!BP$7 = "", '3 - Carts &amp; Stands'!BP$7 = "N/A"), "3:Material - Value is required", ""), ""))))</f>
        <v/>
      </c>
      <c r="BQ8" s="22">
        <f t="array" ref="BQ8">_xlfn.MAP('3 - Carts &amp; Stands'!B8:B507, '3 - Carts &amp; Stands'!BQ8:BQ507, _xlfn.LAMBDA(_xlpm.part, _xlpm.val, IF(_xlpm.part = "", "", IF(AND(_xlpm.val = "", BQ$3="Required"), IF(OR('3 - Carts &amp; Stands'!BQ$7 = "", '3 - Carts &amp; Stands'!BQ$7 = "N/A"), "3:Adjustable Height - Value is required", ""), ""))))</f>
        <v/>
      </c>
      <c r="BR8" s="22">
        <f t="array" ref="BR8">_xlfn.MAP('3 - Carts &amp; Stands'!B8:B507, '3 - Carts &amp; Stands'!BR8:BR507, _xlfn.LAMBDA(_xlpm.part, _xlpm.val, IF(_xlpm.part = "", "", IF(AND(_xlpm.val = "", BR$3="Required"), IF(OR('3 - Carts &amp; Stands'!BR$7 = "", '3 - Carts &amp; Stands'!BR$7 = "N/A"), "3:Wood Species - Value is required", ""), ""))))</f>
        <v/>
      </c>
      <c r="BS8" s="22">
        <f t="array" ref="BS8">_xlfn.MAP('3 - Carts &amp; Stands'!B8:B507, '3 - Carts &amp; Stands'!BS8:BS507, _xlfn.LAMBDA(_xlpm.part, _xlpm.val, IF(_xlpm.part = "", "", IF(AND(_xlpm.val = "", BS$3="Required"), IF(OR('3 - Carts &amp; Stands'!BS$7 = "", '3 - Carts &amp; Stands'!BS$7 = "N/A"), "3:Shelf Weight Capacity - Value is required", ""), ""))))</f>
        <v/>
      </c>
      <c r="BT8" s="22">
        <f t="array" ref="BT8">_xlfn.MAP('3 - Carts &amp; Stands'!B8:B507, '3 - Carts &amp; Stands'!BT8:BT507, _xlfn.LAMBDA(_xlpm.part, _xlpm.val, IF(_xlpm.part = "", "", IF(AND(_xlpm.val = "", BT$3="Required"), IF(OR('3 - Carts &amp; Stands'!BT$7 = "", '3 - Carts &amp; Stands'!BT$7 = "N/A"), "3:Tilting - Value is required", ""), ""))))</f>
        <v/>
      </c>
      <c r="BU8" s="22">
        <f t="array" ref="BU8">_xlfn.MAP('3 - Carts &amp; Stands'!B8:B507, '3 - Carts &amp; Stands'!BU8:BU507, _xlfn.LAMBDA(_xlpm.part, _xlpm.val, IF(_xlpm.part = "", "", IF(AND(_xlpm.val = "", BU$3="Required"), IF(OR('3 - Carts &amp; Stands'!BU$7 = "", '3 - Carts &amp; Stands'!BU$7 = "N/A"), "3:Cabinets Included - Value is required", ""), ""))))</f>
        <v/>
      </c>
      <c r="BV8" s="22">
        <f t="array" ref="BV8">_xlfn.MAP('3 - Carts &amp; Stands'!B8:B507, '3 - Carts &amp; Stands'!BV8:BV507, _xlfn.LAMBDA(_xlpm.part, _xlpm.val, IF(_xlpm.part = "", "", IF(AND(_xlpm.val = "", BV$3="Required"), IF(OR('3 - Carts &amp; Stands'!BV$7 = "", '3 - Carts &amp; Stands'!BV$7 = "N/A"), "3:Drawers Included - Value is required", ""), ""))))</f>
        <v/>
      </c>
      <c r="BW8" s="22">
        <f t="array" ref="BW8">_xlfn.MAP('3 - Carts &amp; Stands'!B8:B507, '3 - Carts &amp; Stands'!BW8:BW507, _xlfn.LAMBDA(_xlpm.part, _xlpm.val, IF(_xlpm.part = "", "", IF(AND(_xlpm.val = "", BW$3="Required"), IF(OR('3 - Carts &amp; Stands'!BW$7 = "", '3 - Carts &amp; Stands'!BW$7 = "N/A"), "3:Legs Included - Value is required", ""), ""))))</f>
        <v/>
      </c>
      <c r="BX8" s="22">
        <f t="array" ref="BX8">_xlfn.MAP('3 - Carts &amp; Stands'!B8:B507, '3 - Carts &amp; Stands'!BX8:BX507, _xlfn.LAMBDA(_xlpm.part, _xlpm.val, IF(_xlpm.part = "", "", IF(AND(_xlpm.val = "", BX$3="Required"), IF(OR('3 - Carts &amp; Stands'!BX$7 = "", '3 - Carts &amp; Stands'!BX$7 = "N/A"), "3:Wheels / Casters Included - Value is required", ""), ""))))</f>
        <v/>
      </c>
      <c r="BY8" s="22">
        <f t="array" ref="BY8">_xlfn.MAP('3 - Carts &amp; Stands'!B8:B507, '3 - Carts &amp; Stands'!BY8:BY507, _xlfn.LAMBDA(_xlpm.part, _xlpm.val, IF(_xlpm.part = "", "", IF(AND(_xlpm.val = "", BY$3="Required"), IF(OR('3 - Carts &amp; Stands'!BY$7 = "", '3 - Carts &amp; Stands'!BY$7 = "N/A"), "3:Overall Weight Capacity - Value is required", ""), ""))))</f>
        <v/>
      </c>
      <c r="BZ8" s="22">
        <f t="array" ref="BZ8">_xlfn.MAP('3 - Carts &amp; Stands'!B8:B507, '3 - Carts &amp; Stands'!BZ8:BZ507, _xlfn.LAMBDA(_xlpm.part, _xlpm.val, IF(_xlpm.part = "", "", _xlfn.LET(_xlpm.check1, IF(NOT(ISBLANK(_xlpm.val)),_xlfn.LET(_xlpm.items, _xlfn.TEXTSPLIT(_xlpm.val, ";"),_xlpm.trimmed, _xlfn.MAP(_xlpm.items, _xlfn.LAMBDA(_xlpm.x, TRIM(_xlpm.x))),_xlpm.invalid, _xlfn._xlws.FILTER(_xlpm.trimmed, ISNA(MATCH(_xlpm.trimmed, allowed229333, 0)), ""),IF(AND(_xlpm.invalid&lt;&gt;"", COUNTA(_xlpm.invalid)&gt;0),"1:Please select valid values from the provided list. Answers are case-sensitive and must be separated by a semicolon.","")), ""), IF(LEN(_xlpm.check1) &gt; 0, _xlpm.check1, IF(AND(_xlpm.val = "", BZ$3="Required"), IF(OR('3 - Carts &amp; Stands'!BZ$7 = "", '3 - Carts &amp; Stands'!BZ$7 = "N/A"), "3:Supplier Intended and Approved Use - Value is required", ""), ""))))))</f>
        <v/>
      </c>
      <c r="CA8" s="22">
        <f t="array" ref="CA8">_xlfn.MAP('3 - Carts &amp; Stands'!B8:B507, '3 - Carts &amp; Stands'!CA8:CA507, _xlfn.LAMBDA(_xlpm.part, _xlpm.val, IF(_xlpm.part = "", "", IF(AND(_xlpm.val = "", CA$3="Required"), IF(OR('3 - Carts &amp; Stands'!CA$7 = "", '3 - Carts &amp; Stands'!CA$7 = "N/A"), "3:Country of Origin - Additional Details - Value is required", ""), ""))))</f>
        <v/>
      </c>
      <c r="CB8" s="22">
        <f t="array" ref="CB8">_xlfn.MAP('3 - Carts &amp; Stands'!B8:B507, '3 - Carts &amp; Stands'!CB8:CB507, _xlfn.LAMBDA(_xlpm.part, _xlpm.val, IF(_xlpm.part = "", "", IF(AND(_xlpm.val = "", CB$3="Required"), IF(OR('3 - Carts &amp; Stands'!CB$7 = "", '3 - Carts &amp; Stands'!CB$7 = "N/A"), "3:Battery or Batteries Included - Value is required", ""), ""))))</f>
        <v/>
      </c>
      <c r="CC8" s="22">
        <f t="array" ref="CC8">_xlfn.MAP('3 - Carts &amp; Stands'!B8:B507, '3 - Carts &amp; Stands'!CC8:CC507, '3 - Carts &amp; Stands'!CB8:CB507,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IF(OR('3 - Carts &amp; Stands'!CC$7 = "", '3 - Carts &amp; Stands'!CC$7 = "N/A"), "3:Since Battery or Batteries Included equals 'Yes', this field is required", ""), ""), ""), IF(LEN(_xlpm.check3) &gt; 0, _xlpm.check3, IF(AND(_xlpm.val = "", CC$3="Required"), IF(OR('3 - Carts &amp; Stands'!CC$7 = "", '3 - Carts &amp; Stands'!CC$7 = "N/A"), "3:Battery Type - Value is required", ""), ""))))))))))</f>
        <v/>
      </c>
      <c r="CD8" s="22">
        <f t="array" ref="CD8">_xlfn.MAP('3 - Carts &amp; Stands'!B8:B507, '3 - Carts &amp; Stands'!CD8:CD507, '3 - Carts &amp; Stands'!CB8:CB507,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IF(OR('3 - Carts &amp; Stands'!CD$7 = "", '3 - Carts &amp; Stands'!CD$7 = "N/A"), "3:Since Battery or Batteries Included equals 'Yes', this field is required", ""), ""), ""), IF(LEN(_xlpm.check3) &gt; 0, _xlpm.check3, IF(AND(_xlpm.val = "", CD$3="Required"), IF(OR('3 - Carts &amp; Stands'!CD$7 = "", '3 - Carts &amp; Stands'!CD$7 = "N/A"), "3:Battery Composition - Value is required", ""), ""))))))))))</f>
        <v/>
      </c>
      <c r="CE8" s="22">
        <f t="array" ref="CE8">_xlfn.MAP('3 - Carts &amp; Stands'!B8:B507, '3 - Carts &amp; Stands'!CE8:CE507, '3 - Carts &amp; Stands'!CB8:CB507,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IF(OR('3 - Carts &amp; Stands'!CE$7 = "", '3 - Carts &amp; Stands'!CE$7 = "N/A"), "3:Since Battery or Batteries Included equals 'Yes', this field is required", ""), ""), ""), IF(LEN(_xlpm.check3) &gt; 0, _xlpm.check3, IF(AND(_xlpm.val = "", CE$3="Required"), IF(OR('3 - Carts &amp; Stands'!CE$7 = "", '3 - Carts &amp; Stands'!CE$7 = "N/A"), "3:Number of Batteries - Value is required", ""), ""))))))))))</f>
        <v/>
      </c>
      <c r="CF8" s="22">
        <f t="array" ref="CF8">_xlfn.MAP('3 - Carts &amp; Stands'!B8:B507, '3 - Carts &amp; Stands'!CF8:CF507, '3 - Carts &amp; Stands'!CB8:CB507, '3 - Carts &amp; Stands'!CD8:CD507, _xlfn.LAMBDA(_xlpm.part, _xlpm.val, _xlpm.dep1, _xlpm.dep2, IF(_xlpm.part = "", "",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IF(OR('3 - Carts &amp; Stands'!CF$7 = "", '3 - Carts &amp; Stands'!CF$7 = "N/A"), "3:Since Battery or Batteries Included equals 'Yes', this field is required", ""), ""), ""), IF(LEN(_xlpm.check4) &gt; 0, _xlpm.check4, IF(AND(_xlpm.val = "", CF$3="Required"), IF(OR('3 - Carts &amp; Stands'!CF$7 = "", '3 - Carts &amp; Stands'!CF$7 = "N/A"), "3:Battery Shipment - Value is required", ""), ""))))))))))))</f>
        <v/>
      </c>
      <c r="CG8" s="22">
        <f t="array" ref="CG8">_xlfn.MAP('3 - Carts &amp; Stands'!B8:B507, '3 - Carts &amp; Stands'!CG8:CG507, '3 - Carts &amp; Stands'!CB8:CB507, '3 - Carts &amp; Stands'!CD8:CD507, _xlfn.LAMBDA(_xlpm.part, _xlpm.val, _xlpm.dep1, _xlpm.dep2, IF(_xlpm.part = "", "", _xlfn.LET(_xlpm.check1, IF(AND(_xlpm.val = "", OR(_xlpm.dep1 = "No", _xlpm.dep2 = "Lithium Ion / Lithium Polymer",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Ion / Lithium Polymer",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IF(_xlpm.dep1 = "Yes", IF(_xlpm.val = "", IF(OR('3 - Carts &amp; Stands'!CG$7 = "", '3 - Carts &amp; Stands'!CG$7 = "N/A"), "3:Since Battery or Batteries Included equals 'Yes', this field is required", ""), ""), ""), IF(LEN(_xlpm.check5) &gt; 0, _xlpm.check5, IF(AND(_xlpm.val = "", CG$3="Required"), IF(OR('3 - Carts &amp; Stands'!CG$7 = "", '3 - Carts &amp; Stands'!CG$7 = "N/A"), "3:Lithium Content - Value is required", ""), ""))))))))))))))</f>
        <v/>
      </c>
      <c r="CH8" s="22">
        <f t="array" ref="CH8">_xlfn.MAP('3 - Carts &amp; Stands'!B8:B507, '3 - Carts &amp; Stands'!CH8:CH507, '3 - Carts &amp; Stands'!CB8:CB507, '3 - Carts &amp; Stands'!CD8:CD507, '3 - Carts &amp; Stands'!CC8:CC507, _xlfn.LAMBDA(_xlpm.part, _xlpm.val, _xlpm.dep1, _xlpm.dep2, _xlpm.dep3, IF(_xlpm.part = "", "", _xlfn.LET(_xlpm.check1, IF(AND(_xlpm.val = "", OR(_xlpm.dep1 = "No", _xlpm.dep2 = "Lithium Metal",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Metal",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IF(OR(ISNUMBER(SEARCH("Cell", _xlpm.dep3)), ISNUMBER(SEARCH("Button Cell", _xlpm.dep3))), IF(OR(_xlpm.val = "Batteries exceeding 300w/h", _xlpm.val = "Batteries of between 100w/h and 300 w/h", _xlpm.val = "Batteries of 100w/h or less"), "1:Based on Battery Type, value should not be Batteries exceeding 300w/h, Batteries of between 100w/h and 300 w/h, Batteries of 100w/h or less", ""), ""), IF(LEN(_xlpm.check5) &gt; 0, _xlpm.check5, _xlfn.LET(_xlpm.check6, IF(ISNUMBER(SEARCH("Battery", _xlpm.dep3)), IF(OR(_xlpm.val = "Cells of between 20w/h and 60w/h", _xlpm.val = "Cells exceeding 60w/h", _xlpm.val = "Cells of 20w/h or less"), "1:Based on Battery Type, value should not be Cells of between 20w/h and 60w/h, Cells exceeding 60w/h, Cells of 20w/h or less", ""), ""), IF(LEN(_xlpm.check6) &gt; 0, _xlpm.check6, _xlfn.LET(_xlpm.check7, IF(_xlpm.dep1 = "Yes", IF(_xlpm.val = "", IF(OR('3 - Carts &amp; Stands'!CH$7 = "", '3 - Carts &amp; Stands'!CH$7 = "N/A"), "3:Since Battery or Batteries Included equals 'Yes', this field is required", ""), ""), ""), IF(LEN(_xlpm.check7) &gt; 0, _xlpm.check7, IF(AND(_xlpm.val = "", CH$3="Required"), IF(OR('3 - Carts &amp; Stands'!CH$7 = "", '3 - Carts &amp; Stands'!CH$7 = "N/A"), "3:Watt Rating of Cells / Battery - Value is required", ""), ""))))))))))))))))))</f>
        <v/>
      </c>
      <c r="CI8" s="22">
        <f t="array" ref="CI8">_xlfn.MAP('3 - Carts &amp; Stands'!B8:B507, '3 - Carts &amp; Stands'!CI8:CI507, '3 - Carts &amp; Stands'!CB8:CB507, '3 - Carts &amp; Stands'!CD8:CD507, _xlfn.LAMBDA(_xlpm.part, _xlpm.val, _xlpm.dep1, _xlpm.dep2, IF(_xlpm.part = "", "",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IF(OR('3 - Carts &amp; Stands'!CI$7 = "", '3 - Carts &amp; Stands'!CI$7 = "N/A"), "3:Since Battery or Batteries Included equals 'Yes', this field is required", ""), ""), ""), IF(LEN(_xlpm.check4) &gt; 0, _xlpm.check4, IF(AND(_xlpm.val = "", CI$3="Required"), IF(OR('3 - Carts &amp; Stands'!CI$7 = "", '3 - Carts &amp; Stands'!CI$7 = "N/A"), "3:Weight of Cells / Battery - Value is required", ""), ""))))))))))))</f>
        <v/>
      </c>
      <c r="CJ8" s="22">
        <f t="array" ref="CJ8">_xlfn.MAP('3 - Carts &amp; Stands'!B8:B507, '3 - Carts &amp; Stands'!CJ8:CJ507, _xlfn.LAMBDA(_xlpm.part, _xlpm.val, IF(_xlpm.part = "", "", IF(AND(_xlpm.val = "", CJ$3="Required"), IF(OR('3 - Carts &amp; Stands'!CJ$7 = "", '3 - Carts &amp; Stands'!CJ$7 = "N/A"), "3:Removable Components - Value is required", ""), ""))))</f>
        <v/>
      </c>
      <c r="CK8" s="22">
        <f t="array" ref="CK8">_xlfn.MAP('3 - Carts &amp; Stands'!B8:B507, '3 - Carts &amp; Stands'!CK8:CK507, _xlfn.LAMBDA(_xlpm.part, _xlpm.val, IF(_xlpm.part = "", "", IF(AND(_xlpm.val = "", CK$3="Required"), IF(OR('3 - Carts &amp; Stands'!CK$7 = "", '3 - Carts &amp; Stands'!CK$7 = "N/A"), "3:Adjustable Shelves - Value is required", ""), ""))))</f>
        <v/>
      </c>
      <c r="CL8" s="22">
        <f t="array" ref="CL8">_xlfn.MAP('3 - Carts &amp; Stands'!B8:B507, '3 - Carts &amp; Stands'!CL8:CL507, _xlfn.LAMBDA(_xlpm.part, _xlpm.val, IF(_xlpm.part = "", "", IF(AND(_xlpm.val = "", CL$3="Required"), IF(OR('3 - Carts &amp; Stands'!CL$7 = "", '3 - Carts &amp; Stands'!CL$7 = "N/A"), "3:Locking Wheels - Value is required", ""), ""))))</f>
        <v/>
      </c>
      <c r="CM8" s="22">
        <f t="array" ref="CM8">_xlfn.MAP('3 - Carts &amp; Stands'!B8:B507, '3 - Carts &amp; Stands'!CM8:CM507, _xlfn.LAMBDA(_xlpm.part, _xlpm.val, IF(_xlpm.part = "", "", IF(AND(_xlpm.val = "", CM$3="Required"), IF(OR('3 - Carts &amp; Stands'!CM$7 = "", '3 - Carts &amp; Stands'!CM$7 = "N/A"), "3:Mount Type - Value is required", ""), ""))))</f>
        <v/>
      </c>
      <c r="CN8" s="22">
        <f t="array" ref="CN8">_xlfn.MAP('3 - Carts &amp; Stands'!B8:B507, '3 - Carts &amp; Stands'!CN8:CN507, _xlfn.LAMBDA(_xlpm.part, _xlpm.val, IF(_xlpm.part = "", "", IF(AND(_xlpm.val = "", CN$3="Required"), IF(OR('3 - Carts &amp; Stands'!CN$7 = "", '3 - Carts &amp; Stands'!CN$7 = "N/A"), "3:Color / Finish - Value is required", ""), ""))))</f>
        <v/>
      </c>
      <c r="CO8" s="22">
        <f t="array" ref="CO8">_xlfn.MAP('3 - Carts &amp; Stands'!B8:B507, '3 - Carts &amp; Stands'!CO8:CO507, _xlfn.LAMBDA(_xlpm.part, _xlpm.val, IF(_xlpm.part = "", "", IF(AND(_xlpm.val = "", CO$3="Required"), IF(OR('3 - Carts &amp; Stands'!CO$7 = "", '3 - Carts &amp; Stands'!CO$7 = "N/A"), "3:Number of Shelves - Value is required", ""), ""))))</f>
        <v/>
      </c>
      <c r="CP8" s="22">
        <f t="array" ref="CP8">_xlfn.MAP('3 - Carts &amp; Stands'!B8:B507, '3 - Carts &amp; Stands'!CP8:CP507, _xlfn.LAMBDA(_xlpm.part, _xlpm.val, IF(_xlpm.part = "", "", IF(AND(_xlpm.val = "", CP$3="Required"), IF(OR('3 - Carts &amp; Stands'!CP$7 = "", '3 - Carts &amp; Stands'!CP$7 = "N/A"), "3:Storage Included - Value is required", ""), ""))))</f>
        <v/>
      </c>
      <c r="CQ8" s="22">
        <f t="array" ref="CQ8">_xlfn.MAP('3 - Carts &amp; Stands'!B8:B507, '3 - Carts &amp; Stands'!CQ8:CQ507, _xlfn.LAMBDA(_xlpm.part, _xlpm.val, IF(_xlpm.part = "", "", IF(AND(_xlpm.val = "", CQ$3="Required"), IF(OR('3 - Carts &amp; Stands'!CQ$7 = "", '3 - Carts &amp; Stands'!CQ$7 = "N/A"), "3:Shelf Type - Value is required", ""), ""))))</f>
        <v/>
      </c>
      <c r="CR8" s="22">
        <f t="array" ref="CR8">_xlfn.MAP('3 - Carts &amp; Stands'!B8:B507, '3 - Carts &amp; Stands'!CR8:CR507, _xlfn.LAMBDA(_xlpm.part, _xlpm.val, IF(_xlpm.part = "", "", _xlfn.LET(_xlpm.check1, IF(NOT(ISBLANK(_xlpm.val)),_xlfn.LET(_xlpm.items, _xlfn.TEXTSPLIT(_xlpm.val, ";"),_xlpm.trimmed, _xlfn.MAP(_xlpm.items, _xlfn.LAMBDA(_xlpm.x, TRIM(_xlpm.x))),_xlpm.invalid, _xlfn._xlws.FILTER(_xlpm.trimmed, ISNA(MATCH(_xlpm.trimmed, allowed419944, 0)), ""),IF(AND(_xlpm.invalid&lt;&gt;"", COUNTA(_xlpm.invalid)&gt;0),"1:Please select valid values from the provided list. Answers are case-sensitive and must be separated by a semicolon.","")), ""), IF(LEN(_xlpm.check1) &gt; 0, _xlpm.check1, IF(AND(_xlpm.val = "", CR$3="Required"), IF(OR('3 - Carts &amp; Stands'!CR$7 = "", '3 - Carts &amp; Stands'!CR$7 = "N/A"), "3:Pieces Included - Value is required", ""), ""))))))</f>
        <v/>
      </c>
      <c r="CS8" s="22">
        <f t="array" ref="CS8">_xlfn.MAP('3 - Carts &amp; Stands'!B8:B507, '3 - Carts &amp; Stands'!CS8:CS507, _xlfn.LAMBDA(_xlpm.part, _xlpm.val, IF(_xlpm.part = "", "", IF(AND(_xlpm.val = "", CS$3="Required"), IF(OR('3 - Carts &amp; Stands'!CS$7 = "", '3 - Carts &amp; Stands'!CS$7 = "N/A"), "3:Number of Cabinets - Value is required", ""), ""))))</f>
        <v/>
      </c>
      <c r="CT8" s="22">
        <f t="array" ref="CT8">_xlfn.MAP('3 - Carts &amp; Stands'!B8:B507, '3 - Carts &amp; Stands'!CT8:CT507, _xlfn.LAMBDA(_xlpm.part, _xlpm.val, IF(_xlpm.part = "", "", IF(AND(_xlpm.val = "", CT$3="Required"), IF(OR('3 - Carts &amp; Stands'!CT$7 = "", '3 - Carts &amp; Stands'!CT$7 = "N/A"), "3:Number of Wheels / Casters Included - Value is required", ""), ""))))</f>
        <v/>
      </c>
      <c r="CU8" s="22">
        <f t="array" ref="CU8">_xlfn.MAP('3 - Carts &amp; Stands'!B8:B507, '3 - Carts &amp; Stands'!CU8:CU507, _xlfn.LAMBDA(_xlpm.part, _xlpm.val, IF(_xlpm.part = "", "", IF(AND(_xlpm.val = "", CU$3="Required"), IF(OR('3 - Carts &amp; Stands'!CU$7 = "", '3 - Carts &amp; Stands'!CU$7 = "N/A"), "3:CPSC - 16 CFR 1303 Compliant - Value is required", ""), ""))))</f>
        <v/>
      </c>
      <c r="CV8" s="22">
        <f t="array" ref="CV8">_xlfn.MAP('3 - Carts &amp; Stands'!B8:B507, '3 - Carts &amp; Stands'!CV8:CV507, _xlfn.LAMBDA(_xlpm.part, _xlpm.val, IF(_xlpm.part = "", "", IF(AND(_xlpm.val = "", CV$3="Required"), IF(OR('3 - Carts &amp; Stands'!CV$7 = "", '3 - Carts &amp; Stands'!CV$7 = "N/A"), "3:ADA Compliant - Value is required", ""), ""))))</f>
        <v/>
      </c>
      <c r="CW8" s="22">
        <f t="array" ref="CW8">_xlfn.MAP('3 - Carts &amp; Stands'!B8:B507, '3 - Carts &amp; Stands'!CW8:CW507, '3 - Carts &amp; Stands'!BP8:BP507, _xlfn.LAMBDA(_xlpm.part, _xlpm.val, _xlpm.dep1, IF(_xlpm.part = "", "", _xlfn.LET(_xlpm.check1, IF(AND(_xlpm.val = "", OR(AND(NOT(ISNUMBER(SEARCH("Manufactured Wood", _xlpm.dep1))), _xlpm.dep1 &lt;&gt; ""), AND(NOT(ISNUMBER(SEARCH("Engineered Wood", _xlpm.dep1))), _xlpm.dep1 &lt;&gt; ""), AND(NOT(ISNUMBER(SEARCH("Laminate", _xlpm.dep1))), _xlpm.dep1 &lt;&gt; ""), AND(NOT(ISNUMBER(SEARCH("Medium Density Fiberboard (MDF)", _xlpm.dep1))), _xlpm.dep1 &lt;&gt; ""), AND(NOT(ISNUMBER(SEARCH("Plywood", _xlpm.dep1))), _xlpm.dep1 &lt;&gt; ""), AND(NOT(ISNUMBER(SEARCH("Solid + Manufactured Wood", _xlpm.dep1))), _xlpm.dep1 &lt;&gt; ""), AND(NOT(ISNUMBER(SEARCH("Solid Wood", _xlpm.dep1))), _xlpm.dep1 &lt;&gt; ""), AND(NOT(ISNUMBER(SEARCH("Wood", _xlpm.dep1))), _xlpm.dep1 &lt;&gt; ""))), "2:Autofill", ""), IF(LEN(_xlpm.check1) &gt; 0, _xlpm.check1, IF(AND(_xlpm.val = "", CW$3="Required"), IF(OR('3 - Carts &amp; Stands'!CW$7 = "", '3 - Carts &amp; Stands'!CW$7 = "N/A"), "3:Composite Wood Product (CWP) - Value is required", ""), ""))))))</f>
        <v/>
      </c>
      <c r="CX8" s="22">
        <f t="array" ref="CX8">_xlfn.MAP('3 - Carts &amp; Stands'!B8:B507, '3 - Carts &amp; Stands'!CX8:CX507, '3 - Carts &amp; Stands'!CW8:CW507,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IF(OR('3 - Carts &amp; Stands'!CX$7 = "", '3 - Carts &amp; Stands'!CX$7 = "N/A"), "3:Since Composite Wood Product (CWP) equals 'Yes', this field is required", ""), ""), ""), IF(LEN(_xlpm.check4) &gt; 0, _xlpm.check4, IF(AND(_xlpm.val = "", CX$3="Required"), IF(OR('3 - Carts &amp; Stands'!CX$7 = "", '3 - Carts &amp; Stands'!CX$7 = "N/A"), "3:CARB Phase II Compliant (formaldehyde emissions) - Value is required", ""), ""))))))))))))</f>
        <v/>
      </c>
      <c r="CY8" s="22">
        <f t="array" ref="CY8">_xlfn.MAP('3 - Carts &amp; Stands'!B8:B507, '3 - Carts &amp; Stands'!CY8:CY507, '3 - Carts &amp; Stands'!CW8:CW507,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IF(OR('3 - Carts &amp; Stands'!CY$7 = "", '3 - Carts &amp; Stands'!CY$7 = "N/A"), "3:Since Composite Wood Product (CWP) equals 'Yes', this field is required", ""), ""), ""), IF(LEN(_xlpm.check4) &gt; 0, _xlpm.check4, IF(AND(_xlpm.val = "", CY$3="Required"), IF(OR('3 - Carts &amp; Stands'!CY$7 = "", '3 - Carts &amp; Stands'!CY$7 = "N/A"), "3:TSCA Title VI Compliant (formaldehyde emissions) - Value is required", ""), ""))))))))))))</f>
        <v/>
      </c>
      <c r="CZ8" s="22">
        <f t="array" ref="CZ8">_xlfn.MAP('3 - Carts &amp; Stands'!B8:B507, '3 - Carts &amp; Stands'!CZ8:CZ507, '3 - Carts &amp; Stands'!CW8:CW507,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IF(OR('3 - Carts &amp; Stands'!CZ$7 = "", '3 - Carts &amp; Stands'!CZ$7 = "N/A"), "3:Since Composite Wood Product (CWP) equals 'Yes', this field is required", ""), ""), ""), IF(LEN(_xlpm.check4) &gt; 0, _xlpm.check4, IF(AND(_xlpm.val = "", CZ$3="Required"), IF(OR('3 - Carts &amp; Stands'!CZ$7 = "", '3 - Carts &amp; Stands'!CZ$7 = "N/A"), "3:CANFER Compliant - Value is required", ""), ""))))))))))))</f>
        <v/>
      </c>
      <c r="DA8" s="22">
        <f t="array" ref="DA8">_xlfn.MAP('3 - Carts &amp; Stands'!B8:B507, '3 - Carts &amp; Stands'!DA8:DA507, _xlfn.LAMBDA(_xlpm.part, _xlpm.val, IF(_xlpm.part = "", "", IF(AND(_xlpm.val = "", DA$3="Required"), IF(OR('3 - Carts &amp; Stands'!DA$7 = "", '3 - Carts &amp; Stands'!DA$7 = "N/A"), "3:Uniform Packaging and Labeling Regulations (UPLR) Compliant - Value is required", ""), ""))))</f>
        <v/>
      </c>
      <c r="DB8" s="22">
        <f t="array" ref="DB8">_xlfn.MAP('3 - Carts &amp; Stands'!B8:B507, '3 - Carts &amp; Stands'!DB8:DB507, _xlfn.LAMBDA(_xlpm.part, _xlpm.val, IF(_xlpm.part = "", "", IF(AND(_xlpm.val = "", DB$3="Required"), IF(OR('3 - Carts &amp; Stands'!DB$7 = "", '3 - Carts &amp; Stands'!DB$7 = "N/A"), "3:Canada Product Restriction - Value is required", ""), ""))))</f>
        <v/>
      </c>
      <c r="DC8" s="22">
        <f t="array" ref="DC8">_xlfn.MAP('3 - Carts &amp; Stands'!B8:B507, '3 - Carts &amp; Stands'!DC8:DC507, '3 - Carts &amp; Stands'!DB8:DB507, _xlfn.LAMBDA(_xlpm.part, _xlpm.val, _xlpm.dep1, IF(_xlpm.part = "", "",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allowed251061, 0)), ""),IF(AND(_xlpm.invalid&lt;&gt;"", COUNTA(_xlpm.invalid)&gt;0),"1:Please select valid values from the provided list. Answers are case-sensitive and must be separated by a semicolon.","")), ""), IF(LEN(_xlpm.check3) &gt; 0, _xlpm.check3, _xlfn.LET(_xlpm.check4, IF(_xlpm.dep1 = "Yes", IF(_xlpm.val = "", IF(OR('3 - Carts &amp; Stands'!DC$7 = "", '3 - Carts &amp; Stands'!DC$7 = "N/A"), "3:Since Canada Product Restriction equals 'Yes', this field is required", ""), ""), ""), IF(LEN(_xlpm.check4) &gt; 0, _xlpm.check4, IF(AND(_xlpm.val = "", DC$3="Required"), IF(OR('3 - Carts &amp; Stands'!DC$7 = "", '3 - Carts &amp; Stands'!DC$7 = "N/A"), "3:Reason for Restriction - Value is required", ""), ""))))))))))))</f>
        <v/>
      </c>
      <c r="DD8" s="22">
        <f t="array" ref="DD8">_xlfn.MAP('3 - Carts &amp; Stands'!B8:B507, '3 - Carts &amp; Stands'!DD8:DD507, _xlfn.LAMBDA(_xlpm.part, _xlpm.val, IF(_xlpm.part = "", "", IF(AND(_xlpm.val = "", DD$3="Required"), IF(OR('3 - Carts &amp; Stands'!DD$7 = "", '3 - Carts &amp; Stands'!DD$7 = "N/A"), "3:Lacey Act Compliant - Value is required", ""), ""))))</f>
        <v/>
      </c>
      <c r="DE8" s="22">
        <f t="array" ref="DE8">_xlfn.MAP('3 - Carts &amp; Stands'!B8:B507, '3 - Carts &amp; Stands'!DE8:DE507, _xlfn.LAMBDA(_xlpm.part, _xlpm.val, IF(_xlpm.part = "", "", IF(AND(_xlpm.val = "", DE$3="Required"), IF(OR('3 - Carts &amp; Stands'!DE$7 = "", '3 - Carts &amp; Stands'!DE$7 = "N/A"), "3:General Certificate of Conformity (GCC) - Value is required", ""), ""))))</f>
        <v/>
      </c>
      <c r="DF8" s="22">
        <f t="array" ref="DF8">_xlfn.MAP('3 - Carts &amp; Stands'!B8:B507, '3 - Carts &amp; Stands'!DF8:DF507, '3 - Carts &amp; Stands'!CD8:CD507, _xlfn.LAMBDA(_xlpm.part, _xlpm.val, _xlpm.dep1, IF(_xlpm.part = "", "", _xlfn.LET(_xlpm.check1, IF(AND(_xlpm.val = "", OR(OR(ISNUMBER(SEARCH("Lead Acid (Spillable)", _xlpm.dep1)), ISNUMBER(SEARCH("Lead Acid (Non-Spillable)", _xlpm.dep1))), _xlpm.dep1 = "Lithium Metal", _xlpm.dep1 = "Lithium Ion / Lithium Polymer")), "2:Autofill", ""), IF(LEN(_xlpm.check1) &gt; 0, _xlpm.check1, _xlfn.LET(_xlpm.check2, IF(OR(ISNUMBER(SEARCH("Lead Acid (Spillable)", _xlpm.dep1)), ISNUMBER(SEARCH("Lead Acid (Non-Spillable)", _xlpm.dep1))), IF(_xlpm.val &lt;&gt; "Yes", "1:Based on Battery Composition, value should be Yes", ""), ""), IF(LEN(_xlpm.check2) &gt; 0, _xlpm.check2, _xlfn.LET(_xlpm.check3, IF(_xlpm.dep1 = "Lithium Metal", IF(_xlpm.val &lt;&gt; "Yes", "1:Based on Battery Composition, value should be Yes", ""), ""), IF(LEN(_xlpm.check3) &gt; 0, _xlpm.check3, _xlfn.LET(_xlpm.check4, IF(_xlpm.dep1 = "Lithium Ion / Lithium Polymer", IF(_xlpm.val &lt;&gt; "Yes", "1:Based on Battery Composition, value should be Yes", ""), ""), IF(LEN(_xlpm.check4) &gt; 0, _xlpm.check4, IF(AND(_xlpm.val = "", DF$3="Required"), IF(OR('3 - Carts &amp; Stands'!DF$7 = "", '3 - Carts &amp; Stands'!DF$7 = "N/A"), "3:Hazardous Material / Dangerous Goods - Value is required", ""), ""))))))))))))</f>
        <v/>
      </c>
      <c r="DG8" s="22">
        <f t="array" ref="DG8">_xlfn.MAP('3 - Carts &amp; Stands'!B8:B507, '3 - Carts &amp; Stands'!DG8:DG507, '3 - Carts &amp; Stands'!DF8:DF507,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allowed373554, 0)), ""),IF(AND(_xlpm.invalid&lt;&gt;"", COUNTA(_xlpm.invalid)&gt;0),"1:Please select valid values from the provided list. Answers are case-sensitive and must be separated by a semicolon.","")), ""), IF(LEN(_xlpm.check3) &gt; 0, _xlpm.check3, _xlfn.LET(_xlpm.check4, IF(_xlpm.dep1 = "Yes", IF(_xlpm.val = "", IF(OR('3 - Carts &amp; Stands'!DG$7 = "", '3 - Carts &amp; Stands'!DG$7 = "N/A"), "3:Since Hazardous Material / Dangerous Goods equals 'Yes', this field is required", ""), ""), ""), IF(LEN(_xlpm.check4) &gt; 0, _xlpm.check4, IF(AND(_xlpm.val = "", DG$3="Required"), IF(OR('3 - Carts &amp; Stands'!DG$7 = "", '3 - Carts &amp; Stands'!DG$7 = "N/A"), "3:UN or ID number - Value is required", ""), ""))))))))))))</f>
        <v/>
      </c>
      <c r="DH8" s="22">
        <f t="array" ref="DH8">_xlfn.MAP('3 - Carts &amp; Stands'!B8:B507, '3 - Carts &amp; Stands'!DH8:DH507, '3 - Carts &amp; Stands'!DF8:DF507, '3 - Carts &amp; Stands'!DG8:DG507, _xlfn.LAMBDA(_xlpm.part, _xlpm.val, _xlpm.dep1, _xlpm.dep2, IF(_xlpm.part = "", "", _xlfn.LET(_xlpm.check1, IF(AND(_xlpm.val = "", OR(_xlpm.dep1 = "No", _xlpm.dep2 = "UN3091", _xlpm.dep2 = "UN3481", _xlpm.dep2 = "UN2800", _xlpm.dep2 = "ID8000", _xlpm.dep2 = "UN1013", _xlpm.dep2 = "UN3082", _xlpm.dep2 = "UN3077", _xlpm.dep2 = "UN3480", _xlpm.dep2 = "UN2857", _xlpm.dep2 = "UN3358", _xlpm.dep2 = "UN3090", _xlpm.dep2 = "UN1266", _xlpm.dep2 = "UN1993", _xlpm.dep2 = "UN1944", _xlpm.dep2 = "UN1070", _xlpm.dep2 = "UN1044", _xlpm.dep2 = "UN3163", _xlpm.dep2 = "UN1268", _xlpm.dep2 = "UN1760", _xlpm.dep2 = "UN1011", _xlpm.dep2 = "UN2794", _xlpm.dep2 = "UN1759",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"UN3091", IF(_xlpm.val &lt;&gt; "9", "1:Based on UN or ID number, value should be 9", ""), ""), IF(LEN(_xlpm.check3) &gt; 0, _xlpm.check3, _xlfn.LET(_xlpm.check4, IF(_xlpm.dep2 = "UN3481", IF(_xlpm.val &lt;&gt; "9", "1:Based on UN or ID number, value should be 9", ""), ""), IF(LEN(_xlpm.check4) &gt; 0, _xlpm.check4, _xlfn.LET(_xlpm.check5, IF(_xlpm.dep2 = "UN2800", IF(_xlpm.val &lt;&gt; "8", "1:Based on UN or ID number, value should be 8", ""), ""), IF(LEN(_xlpm.check5) &gt; 0, _xlpm.check5, _xlfn.LET(_xlpm.check6, IF(_xlpm.dep2 = "UN1950", IF(OR(_xlpm.val = "1", _xlpm.val = "7", _xlpm.val = "5.2", _xlpm.val = "6.1", _xlpm.val = "3", _xlpm.val = "4.1", _xlpm.val = "4.3", _xlpm.val = "4.2", _xlpm.val = "5.1", _xlpm.val = "2.3", _xlpm.val = "6.2", _xlpm.val = "9", _xlpm.val = "8"), "1:Based on UN or ID number, value should not be 1, 7, 5.2, 6.1, 3, 4.1, 4.3, 4.2, 5.1, 2.3, 6.2, 9, 8", ""), ""), IF(LEN(_xlpm.check6) &gt; 0, _xlpm.check6, _xlfn.LET(_xlpm.check7, IF(_xlpm.dep2 = "ID8000", IF(_xlpm.val &lt;&gt; "9", "1:Based on UN or ID number, value should be 9", ""), ""), IF(LEN(_xlpm.check7) &gt; 0, _xlpm.check7, _xlfn.LET(_xlpm.check8, IF(_xlpm.dep2 = "UN1013", IF(_xlpm.val &lt;&gt; "2.2", "1:Based on UN or ID number, value should be 2.2", ""), ""), IF(LEN(_xlpm.check8) &gt; 0, _xlpm.check8, _xlfn.LET(_xlpm.check9, IF(_xlpm.dep2 = "UN3082", IF(_xlpm.val &lt;&gt; "9", "1:Based on UN or ID number, value should be 9", ""), ""), IF(LEN(_xlpm.check9) &gt; 0, _xlpm.check9, _xlfn.LET(_xlpm.check10, IF(_xlpm.dep2 = "UN3077", IF(_xlpm.val &lt;&gt; "9", "1:Based on UN or ID number, value should be 9", ""), ""), IF(LEN(_xlpm.check10) &gt; 0, _xlpm.check10, _xlfn.LET(_xlpm.check11, IF(_xlpm.dep2 = "UN3480", IF(_xlpm.val &lt;&gt; "9", "1:Based on UN or ID number, value should be 9", ""), ""), IF(LEN(_xlpm.check11) &gt; 0, _xlpm.check11, _xlfn.LET(_xlpm.check12, IF(_xlpm.dep2 = "UN2857", IF(_xlpm.val &lt;&gt; "2.2", "1:Based on UN or ID number, value should be 2.2", ""), ""), IF(LEN(_xlpm.check12) &gt; 0, _xlpm.check12, _xlfn.LET(_xlpm.check13, IF(_xlpm.dep2 = "UN3358", IF(_xlpm.val &lt;&gt; "2.1", "1:Based on UN or ID number, value should be 2.1", ""), ""), IF(LEN(_xlpm.check13) &gt; 0, _xlpm.check13, _xlfn.LET(_xlpm.check14, IF(_xlpm.dep2 = "UN3090", IF(_xlpm.val &lt;&gt; "9", "1:Based on UN or ID number, value should be 9", ""), ""), IF(LEN(_xlpm.check14) &gt; 0, _xlpm.check14, _xlfn.LET(_xlpm.check15, IF(_xlpm.dep2 = "UN1266", IF(_xlpm.val &lt;&gt; "3", "1:Based on UN or ID number, value should be 3", ""), ""), IF(LEN(_xlpm.check15) &gt; 0, _xlpm.check15, _xlfn.LET(_xlpm.check16, IF(_xlpm.dep2 = "UN1993", IF(_xlpm.val &lt;&gt; "3", "1:Based on UN or ID number, value should be 3", ""), ""), IF(LEN(_xlpm.check16) &gt; 0, _xlpm.check16, _xlfn.LET(_xlpm.check17, IF(_xlpm.dep2 = "UN1944", IF(_xlpm.val &lt;&gt; "4.1", "1:Based on UN or ID number, value should be 4.1", ""), ""), IF(LEN(_xlpm.check17) &gt; 0, _xlpm.check17, _xlfn.LET(_xlpm.check18, IF(_xlpm.dep2 = "UN1070", IF(_xlpm.val &lt;&gt; "2.2", "1:Based on UN or ID number, value should be 2.2", ""), ""), IF(LEN(_xlpm.check18) &gt; 0, _xlpm.check18, _xlfn.LET(_xlpm.check19, IF(_xlpm.dep2 = "UN1044", IF(_xlpm.val &lt;&gt; "2.2", "1:Based on UN or ID number, value should be 2.2", ""), ""), IF(LEN(_xlpm.check19) &gt; 0, _xlpm.check19, _xlfn.LET(_xlpm.check20, IF(_xlpm.dep2 = "UN3163", IF(_xlpm.val &lt;&gt; "2.2", "1:Based on UN or ID number, value should be 2.2", ""), ""), IF(LEN(_xlpm.check20) &gt; 0, _xlpm.check20, _xlfn.LET(_xlpm.check21, IF(_xlpm.dep2 = "UN1268", IF(_xlpm.val &lt;&gt; "3", "1:Based on UN or ID number, value should be 3", ""), ""), IF(LEN(_xlpm.check21) &gt; 0, _xlpm.check21, _xlfn.LET(_xlpm.check22, IF(_xlpm.dep2 = "UN1760", IF(_xlpm.val &lt;&gt; "8", "1:Based on UN or ID number, value should be 8", ""), ""), IF(LEN(_xlpm.check22) &gt; 0, _xlpm.check22, _xlfn.LET(_xlpm.check23, IF(_xlpm.dep2 = "UN1011", IF(_xlpm.val &lt;&gt; "2.1", "1:Based on UN or ID number, value should be 2.1", ""), ""), IF(LEN(_xlpm.check23) &gt; 0, _xlpm.check23, _xlfn.LET(_xlpm.check24, IF(_xlpm.dep2 = "UN2794", IF(_xlpm.val &lt;&gt; "8", "1:Based on UN or ID number, value should be 8", ""), ""), IF(LEN(_xlpm.check24) &gt; 0, _xlpm.check24, _xlfn.LET(_xlpm.check25, IF(_xlpm.dep2 = "UN1759", IF(_xlpm.val &lt;&gt; "8", "1:Based on UN or ID number, value should be 8", ""), ""), IF(LEN(_xlpm.check25) &gt; 0, _xlpm.check25, _xlfn.LET(_xlpm.check26, IF(_xlpm.dep2 = "UN3171", IF(_xlpm.val &lt;&gt; "9", "1:Based on UN or ID number, value should be 9", ""), ""), IF(LEN(_xlpm.check26) &gt; 0, _xlpm.check26, _xlfn.LET(_xlpm.check27, IF(_xlpm.dep1 = "Yes", IF(_xlpm.val = "", IF(OR('3 - Carts &amp; Stands'!DH$7 = "", '3 - Carts &amp; Stands'!DH$7 = "N/A"), "3:Since Hazardous Material / Dangerous Goods equals 'Yes', this field is required", ""), ""), ""), IF(LEN(_xlpm.check27) &gt; 0, _xlpm.check27, IF(AND(_xlpm.val = "", DH$3="Required"), IF(OR('3 - Carts &amp; Stands'!DH$7 = "", '3 - Carts &amp; Stands'!DH$7 = "N/A"), "3:Hazard Class(es) - Value is required", ""), ""))))))))))))))))))))))))))))))))))))))))))))))))))))))))))</f>
        <v/>
      </c>
      <c r="DI8" s="22">
        <f t="array" ref="DI8">_xlfn.MAP('3 - Carts &amp; Stands'!B8:B507, '3 - Carts &amp; Stands'!DI8:DI507, '3 - Carts &amp; Stands'!DF8:DF507, '3 - Carts &amp; Stands'!DG8:DG507, _xlfn.LAMBDA(_xlpm.part, _xlpm.val, _xlpm.dep1, _xlpm.dep2, IF(_xlpm.part = "", "", _xlfn.LET(_xlpm.check1, IF(AND(_xlpm.val = "", OR(_xlpm.dep1 = "No", _xlpm.dep2 = "UN3091", _xlpm.dep2 = "UN3481", _xlpm.dep2 = "UN2800", _xlpm.dep2 = "UN1950", _xlpm.dep2 = "ID8000", _xlpm.dep2 = "UN1013", _xlpm.dep2 = "UN3082", _xlpm.dep2 = "UN3077", _xlpm.dep2 = "UN3480", _xlpm.dep2 = "UN2857", _xlpm.dep2 = "UN3358", _xlpm.dep2 = "UN3090", _xlpm.dep2 = "UN1944", _xlpm.dep2 = "UN1070", _xlpm.dep2 = "UN1044", _xlpm.dep2 = "UN3163", _xlpm.dep2 = "UN1011", _xlpm.dep2 = "UN2794",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"UN3091", IF(_xlpm.val &lt;&gt; "No Packing Group", "1:Based on UN or ID number, value should be No Packing Group", ""), ""), IF(LEN(_xlpm.check3) &gt; 0, _xlpm.check3, _xlfn.LET(_xlpm.check4, IF(_xlpm.dep2 = "UN3481", IF(_xlpm.val &lt;&gt; "No Packing Group", "1:Based on UN or ID number, value should be No Packing Group", ""), ""), IF(LEN(_xlpm.check4) &gt; 0, _xlpm.check4, _xlfn.LET(_xlpm.check5, IF(_xlpm.dep2 = "UN2800", IF(_xlpm.val &lt;&gt; "No Packing Group", "1:Based on UN or ID number, value should be No Packing Group", ""), ""), IF(LEN(_xlpm.check5) &gt; 0, _xlpm.check5, _xlfn.LET(_xlpm.check6, IF(_xlpm.dep2 = "UN1950", IF(_xlpm.val &lt;&gt; "No Packing Group", "1:Based on UN or ID number, value should be No Packing Group", ""), ""), IF(LEN(_xlpm.check6) &gt; 0, _xlpm.check6, _xlfn.LET(_xlpm.check7, IF(_xlpm.dep2 = "ID8000", IF(_xlpm.val &lt;&gt; "No Packing Group", "1:Based on UN or ID number, value should be No Packing Group", ""), ""), IF(LEN(_xlpm.check7) &gt; 0, _xlpm.check7, _xlfn.LET(_xlpm.check8, IF(_xlpm.dep2 = "UN1013", IF(_xlpm.val &lt;&gt; "No Packing Group", "1:Based on UN or ID number, value should be No Packing Group", ""), ""), IF(LEN(_xlpm.check8) &gt; 0, _xlpm.check8, _xlfn.LET(_xlpm.check9, IF(_xlpm.dep2 = "UN3082", IF(_xlpm.val &lt;&gt; "III", "1:Based on UN or ID number, value should be III", ""), ""), IF(LEN(_xlpm.check9) &gt; 0, _xlpm.check9, _xlfn.LET(_xlpm.check10, IF(_xlpm.dep2 = "UN3077", IF(_xlpm.val &lt;&gt; "III", "1:Based on UN or ID number, value should be III", ""), ""), IF(LEN(_xlpm.check10) &gt; 0, _xlpm.check10, _xlfn.LET(_xlpm.check11, IF(_xlpm.dep2 = "UN3480", IF(_xlpm.val &lt;&gt; "No Packing Group", "1:Based on UN or ID number, value should be No Packing Group", ""), ""), IF(LEN(_xlpm.check11) &gt; 0, _xlpm.check11, _xlfn.LET(_xlpm.check12, IF(_xlpm.dep2 = "UN2857", IF(_xlpm.val &lt;&gt; "No Packing Group", "1:Based on UN or ID number, value should be No Packing Group", ""), ""), IF(LEN(_xlpm.check12) &gt; 0, _xlpm.check12, _xlfn.LET(_xlpm.check13, IF(_xlpm.dep2 = "UN3358", IF(_xlpm.val &lt;&gt; "No Packing Group", "1:Based on UN or ID number, value should be No Packing Group", ""), ""), IF(LEN(_xlpm.check13) &gt; 0, _xlpm.check13, _xlfn.LET(_xlpm.check14, IF(_xlpm.dep2 = "UN3090", IF(_xlpm.val &lt;&gt; "No Packing Group", "1:Based on UN or ID number, value should be No Packing Group", ""), ""), IF(LEN(_xlpm.check14) &gt; 0, _xlpm.check14, _xlfn.LET(_xlpm.check15, IF(_xlpm.dep2 = "UN1944", IF(_xlpm.val &lt;&gt; "III", "1:Based on UN or ID number, value should be III", ""), ""), IF(LEN(_xlpm.check15) &gt; 0, _xlpm.check15, _xlfn.LET(_xlpm.check16, IF(_xlpm.dep2 = "UN1070", IF(_xlpm.val &lt;&gt; "No Packing Group", "1:Based on UN or ID number, value should be No Packing Group", ""), ""), IF(LEN(_xlpm.check16) &gt; 0, _xlpm.check16, _xlfn.LET(_xlpm.check17, IF(_xlpm.dep2 = "UN1044", IF(_xlpm.val &lt;&gt; "No Packing Group", "1:Based on UN or ID number, value should be No Packing Group", ""), ""), IF(LEN(_xlpm.check17) &gt; 0, _xlpm.check17, _xlfn.LET(_xlpm.check18, IF(_xlpm.dep2 = "UN3163", IF(_xlpm.val &lt;&gt; "No Packing Group", "1:Based on UN or ID number, value should be No Packing Group", ""), ""), IF(LEN(_xlpm.check18) &gt; 0, _xlpm.check18, _xlfn.LET(_xlpm.check19, IF(_xlpm.dep2 = "UN1760", IF(_xlpm.val = "No Packing Group", "1:Based on UN or ID number, value should not be No Packing Group", ""), ""), IF(LEN(_xlpm.check19) &gt; 0, _xlpm.check19, _xlfn.LET(_xlpm.check20, IF(_xlpm.dep2 = "UN1011", IF(_xlpm.val &lt;&gt; "No Packing Group", "1:Based on UN or ID number, value should be No Packing Group", ""), ""), IF(LEN(_xlpm.check20) &gt; 0, _xlpm.check20, _xlfn.LET(_xlpm.check21, IF(_xlpm.dep2 = "UN2794", IF(_xlpm.val &lt;&gt; "No Packing Group", "1:Based on UN or ID number, value should be No Packing Group", ""), ""), IF(LEN(_xlpm.check21) &gt; 0, _xlpm.check21, _xlfn.LET(_xlpm.check22, IF(_xlpm.dep2 = "UN1759", IF(_xlpm.val = "No Packing Group", "1:Based on UN or ID number, value should not be No Packing Group", ""), ""), IF(LEN(_xlpm.check22) &gt; 0, _xlpm.check22, _xlfn.LET(_xlpm.check23, IF(_xlpm.dep2 = "UN3171", IF(_xlpm.val &lt;&gt; "No Packing Group", "1:Based on UN or ID number, value should be No Packing Group", ""), ""), IF(LEN(_xlpm.check23) &gt; 0, _xlpm.check23, _xlfn.LET(_xlpm.check24, IF(_xlpm.dep1 = "Yes", IF(_xlpm.val = "", IF(OR('3 - Carts &amp; Stands'!DI$7 = "", '3 - Carts &amp; Stands'!DI$7 = "N/A"), "3:Since Hazardous Material / Dangerous Goods equals 'Yes', this field is required", ""), ""), ""), IF(LEN(_xlpm.check24) &gt; 0, _xlpm.check24, IF(AND(_xlpm.val = "", DI$3="Required"), IF(OR('3 - Carts &amp; Stands'!DI$7 = "", '3 - Carts &amp; Stands'!DI$7 = "N/A"), "3:Packing Group - Value is required", ""), ""))))))))))))))))))))))))))))))))))))))))))))))))))))</f>
        <v/>
      </c>
      <c r="DJ8" s="22">
        <f t="array" ref="DJ8">_xlfn.MAP('3 - Carts &amp; Stands'!B8:B507, '3 - Carts &amp; Stands'!DJ8:DJ507, '3 - Carts &amp; Stands'!DF8:DF507,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IF(OR('3 - Carts &amp; Stands'!DJ$7 = "", '3 - Carts &amp; Stands'!DJ$7 = "N/A"), "3:Since Hazardous Material / Dangerous Goods equals 'Yes', this field is required", ""), ""), ""), IF(LEN(_xlpm.check3) &gt; 0, _xlpm.check3, IF(AND(_xlpm.val = "", DJ$3="Required"), IF(OR('3 - Carts &amp; Stands'!DJ$7 = "", '3 - Carts &amp; Stands'!DJ$7 = "N/A"), "3:Hazardous Material Weight - Value is required", ""), ""))))))))))</f>
        <v/>
      </c>
      <c r="DK8" s="22">
        <f t="array" ref="DK8">_xlfn.MAP('3 - Carts &amp; Stands'!B8:B507, '3 - Carts &amp; Stands'!DK8:DK507, _xlfn.LAMBDA(_xlpm.part, _xlpm.val, IF(_xlpm.part = "", "", IF(AND(_xlpm.val = "", DK$3="Required"), IF(OR('3 - Carts &amp; Stands'!DK$7 = "", '3 - Carts &amp; Stands'!DK$7 = "N/A"), "3:Energy Efficiency Regulations Compliant - Value is required", ""), ""))))</f>
        <v/>
      </c>
      <c r="DL8" s="22">
        <f t="array" ref="DL8">_xlfn.MAP('3 - Carts &amp; Stands'!B8:B507, '3 - Carts &amp; Stands'!DL8:DL507, _xlfn.LAMBDA(_xlpm.part, _xlpm.val, IF(_xlpm.part = "", "", IF(AND(_xlpm.val = "", DL$3="Required"), IF(OR('3 - Carts &amp; Stands'!DL$7 = "", '3 - Carts &amp; Stands'!DL$7 = "N/A"), "3:Safety Listing(s) - Value is required", ""), ""))))</f>
        <v/>
      </c>
      <c r="DM8" s="22">
        <f t="array" ref="DM8">_xlfn.MAP('3 - Carts &amp; Stands'!B8:B507, '3 - Carts &amp; Stands'!DM8:DM507, _xlfn.LAMBDA(_xlpm.part, _xlpm.val, IF(_xlpm.part = "", "", IF(AND(_xlpm.val = "", DM$3="Required"), IF(OR('3 - Carts &amp; Stands'!DM$7 = "", '3 - Carts &amp; Stands'!DM$7 = "N/A"), "3:Safety Listing(s) Registration Number - Value is required", ""), ""))))</f>
        <v/>
      </c>
      <c r="DN8" s="22">
        <f t="array" ref="DN8">_xlfn.MAP('3 - Carts &amp; Stands'!B8:B507, '3 - Carts &amp; Stands'!DN8:DN507, _xlfn.LAMBDA(_xlpm.part, _xlpm.val, IF(_xlpm.part = "", "", IF(AND(_xlpm.val = "", DN$3="Required"), IF(OR('3 - Carts &amp; Stands'!DN$7 = "", '3 - Carts &amp; Stands'!DN$7 = "N/A"), "3:ISTA Certified - Value is required", ""), ""))))</f>
        <v/>
      </c>
      <c r="DO8" s="22">
        <f t="array" ref="DO8">_xlfn.MAP('3 - Carts &amp; Stands'!B8:B507, '3 - Carts &amp; Stands'!DO8:DO507, _xlfn.LAMBDA(_xlpm.part, _xlpm.val, IF(_xlpm.part = "", "", IF(AND(_xlpm.val = "", DO$3="Required"), IF(OR('3 - Carts &amp; Stands'!DO$7 = "", '3 - Carts &amp; Stands'!DO$7 = "N/A"), "3:Sustainability &amp; Social Responsibility Certifications (North America Only) - Value is required", ""), ""))))</f>
        <v/>
      </c>
      <c r="DP8" s="22">
        <f t="array" ref="DP8">_xlfn.MAP('3 - Carts &amp; Stands'!B8:B507, '3 - Carts &amp; Stands'!DP8:DP507, _xlfn.LAMBDA(_xlpm.part, _xlpm.val, IF(_xlpm.part = "", "", IF(AND(_xlpm.val = "", DP$3="Required"), IF(OR('3 - Carts &amp; Stands'!DP$7 = "", '3 - Carts &amp; Stands'!DP$7 = "N/A"), "3:Overall Height - Top to Bottom - Value is required", ""), ""))))</f>
        <v/>
      </c>
      <c r="DQ8" s="22">
        <f t="array" ref="DQ8">_xlfn.MAP('3 - Carts &amp; Stands'!B8:B507, '3 - Carts &amp; Stands'!DQ8:DQ507, _xlfn.LAMBDA(_xlpm.part, _xlpm.val, IF(_xlpm.part = "", "", _xlfn.LET(_xlpm.check1, IF(AND(NOT(ISBLANK(_xlpm.val)),OR(NOT(ISNUMBER(IFERROR(VALUE(_xlpm.val), ""))), IFERROR(VALUE(_xlpm.val), -1) &lt; 0)), "1:Overall Width - Side to Side - Value should be numeric", ""), IF(LEN(_xlpm.check1) &gt; 0, _xlpm.check1, IF(AND(_xlpm.val = "", DQ$3="Required"), IF(OR('3 - Carts &amp; Stands'!DQ$7 = "", '3 - Carts &amp; Stands'!DQ$7 = "N/A"), "3:Overall Width - Side to Side - Value is required", ""), ""))))))</f>
        <v/>
      </c>
      <c r="DR8" s="22">
        <f t="array" ref="DR8">_xlfn.MAP('3 - Carts &amp; Stands'!B8:B507, '3 - Carts &amp; Stands'!DR8:DR507, _xlfn.LAMBDA(_xlpm.part, _xlpm.val, IF(_xlpm.part = "", "", _xlfn.LET(_xlpm.check1, IF(AND(NOT(ISBLANK(_xlpm.val)),OR(NOT(ISNUMBER(IFERROR(VALUE(_xlpm.val), ""))), IFERROR(VALUE(_xlpm.val), -1) &lt; 0)), "1:Overall Depth - Front to Back - Value should be numeric", ""), IF(LEN(_xlpm.check1) &gt; 0, _xlpm.check1, IF(AND(_xlpm.val = "", DR$3="Required"), IF(OR('3 - Carts &amp; Stands'!DR$7 = "", '3 - Carts &amp; Stands'!DR$7 = "N/A"), "3:Overall Depth - Front to Back - Value is required", ""), ""))))))</f>
        <v/>
      </c>
      <c r="DS8" s="22">
        <f t="array" ref="DS8">_xlfn.MAP('3 - Carts &amp; Stands'!B8:B507, '3 - Carts &amp; Stands'!DS8:DS507, _xlfn.LAMBDA(_xlpm.part, _xlpm.val, IF(_xlpm.part = "", "", IF(AND(_xlpm.val = "", DS$3="Required"), IF(OR('3 - Carts &amp; Stands'!DS$7 = "", '3 - Carts &amp; Stands'!DS$7 = "N/A"), "3:Overall Product Weight - Value is required", ""), ""))))</f>
        <v/>
      </c>
      <c r="DT8" s="22">
        <f t="array" ref="DT8">_xlfn.MAP('3 - Carts &amp; Stands'!B8:B507, '3 - Carts &amp; Stands'!DT8:DT507, _xlfn.LAMBDA(_xlpm.part, _xlpm.val, IF(_xlpm.part = "", "", IF(AND(_xlpm.val = "", DT$3="Required"), IF(OR('3 - Carts &amp; Stands'!DT$7 = "", '3 - Carts &amp; Stands'!DT$7 = "N/A"), "3:Assembly Required - Value is required", ""), ""))))</f>
        <v/>
      </c>
      <c r="DU8" s="22">
        <f t="array" ref="DU8">_xlfn.MAP('3 - Carts &amp; Stands'!B8:B507, '3 - Carts &amp; Stands'!DU8:DU507, _xlfn.LAMBDA(_xlpm.part, _xlpm.val, IF(_xlpm.part = "", "", IF(AND(_xlpm.val = "", DU$3="Required"), IF(OR('3 - Carts &amp; Stands'!DU$7 = "", '3 - Carts &amp; Stands'!DU$7 = "N/A"), "3:Commercial Warranty - Value is required", ""), ""))))</f>
        <v/>
      </c>
      <c r="DV8" s="22">
        <f t="array" ref="DV8">_xlfn.MAP('3 - Carts &amp; Stands'!B8:B507, '3 - Carts &amp; Stands'!DV8:DV507, '3 - Carts &amp; Stands'!DU8:DU507, _xlfn.LAMBDA(_xlpm.part, _xlpm.val, _xlpm.dep1, IF(_xlpm.part = "", "",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IF(OR('3 - Carts &amp; Stands'!DV$7 = "", '3 - Carts &amp; Stands'!DV$7 = "N/A"), "3:Since Commercial Warranty equals 'Yes', this field is required", ""), ""), ""), IF(LEN(_xlpm.check3) &gt; 0, _xlpm.check3, IF(AND(_xlpm.val = "", DV$3="Required"), IF(OR('3 - Carts &amp; Stands'!DV$7 = "", '3 - Carts &amp; Stands'!DV$7 = "N/A"), "3:Commercial Warranty Length - Value is required", ""), ""))))))))))</f>
        <v/>
      </c>
      <c r="DW8" s="22">
        <f t="array" ref="DW8">_xlfn.MAP('3 - Carts &amp; Stands'!B8:B507, '3 - Carts &amp; Stands'!DW8:DW507, _xlfn.LAMBDA(_xlpm.part, _xlpm.val, IF(_xlpm.part = "", "", IF(AND(_xlpm.val = "", DW$3="Required"), IF(OR('3 - Carts &amp; Stands'!DW$7 = "", '3 - Carts &amp; Stands'!DW$7 = "N/A"), "3:Product Warranty - Value is required", ""), ""))))</f>
        <v/>
      </c>
      <c r="DX8" s="22">
        <f t="array" ref="DX8">_xlfn.MAP('3 - Carts &amp; Stands'!B8:B507, '3 - Carts &amp; Stands'!DX8:DX507, _xlfn.LAMBDA(_xlpm.part, _xlpm.val, IF(_xlpm.part = "", "", IF(AND(_xlpm.val = "", DX$3="Required"), IF(OR('3 - Carts &amp; Stands'!DX$7 = "", '3 - Carts &amp; Stands'!DX$7 = "N/A"), "3:Warranty Length - Value is required", ""), ""))))</f>
        <v/>
      </c>
    </row>
  </sheetData>
  <sheetProtection selectLockedCells="0" selectUnlockedCells="0" sheet="1" objects="1" insertRows="1" insertHyperlinks="1" autoFilter="1" scenarios="1" formatColumns="1" deleteColumns="1" insertColumns="1" pivotTables="1" deleteRows="1" formatCells="1" formatRows="1" sort="1" password="9394"/>
  <mergeCells count="9">
    <mergeCell ref="AL2:AO2"/>
    <mergeCell ref="AP2:AS2"/>
    <mergeCell ref="U2:Z2"/>
    <mergeCell ref="R2:T2"/>
    <mergeCell ref="B2:I2"/>
    <mergeCell ref="AA2:AK2"/>
    <mergeCell ref="AT2:BN2"/>
    <mergeCell ref="J2:Q2"/>
    <mergeCell ref="BO2:DX2"/>
  </mergeCells>
  <dataValidations count="12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'WAYFAIR_USE_ONLY'!$B$7:$B15</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T7" showDropDown="0" showInputMessage="1" showErrorMessage="1" allowBlank="1" errorTitle="Invalid Tilting" error="The value provided is not a valid Tilting." promptTitle="" prompt="If all products in this class consistently have the same answer, you can set a default value to apply automatically. For any exceptions, you can modify the answer for specific products without changing the default." type="list">
      <formula1>'WAYFAIR_USE_ONLY'!$D$7:$D10</formula1>
    </dataValidation>
    <dataValidation sqref="BU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V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'WAYFAIR_USE_ONLY'!$F$7:$F9</formula1>
    </dataValidation>
    <dataValidation sqref="BW7" showDropDown="0" showInputMessage="1" showErrorMessage="1" allowBlank="1" errorTitle="Invalid Legs Included" error="The value provided is not a valid Legs Included." promptTitle="" prompt="If all products in this class consistently have the same answer, you can set a default value to apply automatically. For any exceptions, you can modify the answer for specific products without changing the default." type="list">
      <formula1>'WAYFAIR_USE_ONLY'!$G$7:$G10</formula1>
    </dataValidation>
    <dataValidation sqref="BX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'WAYFAIR_USE_ONLY'!$H$7:$H9</formula1>
    </dataValidation>
    <dataValidation sqref="BY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'WAYFAIR_USE_ONLY'!$P$7:$P10</formula1>
    </dataValidation>
    <dataValidation sqref="CC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C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'WAYFAIR_USE_ONLY'!$J$7:$J11</formula1>
    </dataValidation>
    <dataValidation sqref="CD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D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'WAYFAIR_USE_ONLY'!$I$7:$I17</formula1>
    </dataValidation>
    <dataValidation sqref="CE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E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'WAYFAIR_USE_ONLY'!$K$7:$K19</formula1>
    </dataValidation>
    <dataValidation sqref="CF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F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'WAYFAIR_USE_ONLY'!$L$7:$L11</formula1>
    </dataValidation>
    <dataValidation sqref="CG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G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'WAYFAIR_USE_ONLY'!$M$7:$M14</formula1>
    </dataValidation>
    <dataValidation sqref="CH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H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'WAYFAIR_USE_ONLY'!$N$7:$N14</formula1>
    </dataValidation>
    <dataValidation sqref="CI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I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'WAYFAIR_USE_ONLY'!$O$7:$O12</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'WAYFAIR_USE_ONLY'!$Q$7:$Q11</formula1>
    </dataValidation>
    <dataValidation sqref="CL7" showDropDown="0" showInputMessage="1" showErrorMessage="1" allowBlank="1" errorTitle="Invalid Locking Wheels" error="The value provided is not a valid Locking Wheels." promptTitle="" prompt="If all products in this class consistently have the same answer, you can set a default value to apply automatically. For any exceptions, you can modify the answer for specific products without changing the default." type="list">
      <formula1>'WAYFAIR_USE_ONLY'!$R$7:$R10</formula1>
    </dataValidation>
    <dataValidation sqref="CM7" showDropDown="0" showInputMessage="1" showErrorMessage="1" allowBlank="1" errorTitle="Invalid Mount Type" error="The value provided is not a valid Moun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'WAYFAIR_USE_ONLY'!$S$7:$S15</formula1>
    </dataValidation>
    <dataValidation sqref="C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O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P7" showDropDown="0" showInputMessage="1" showErrorMessage="1" allowBlank="1" errorTitle="Invalid Storage Included" error="The value provided is not a valid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U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V7" showDropDown="0" showInputMessage="1" showErrorMessage="1" allowBlank="1" errorTitle="Invalid ADA Compliant" error="The value provided is not a valid ADA Compliant." promptTitle="" prompt="If all products in this class consistently have the same answer, you can set a default value to apply automatically. For any exceptions, you can modify the answer for specific products without changing the default." type="list">
      <formula1>'WAYFAIR_USE_ONLY'!$V$7:$V10</formula1>
    </dataValidation>
    <dataValidation sqref="CW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'WAYFAIR_USE_ONLY'!$Z$7:$Z10</formula1>
    </dataValidation>
    <dataValidation sqref="CX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X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Y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Y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'WAYFAIR_USE_ONLY'!$X$7:$X11</formula1>
    </dataValidation>
    <dataValidation sqref="CZ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Z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DA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'WAYFAIR_USE_ONLY'!$AA$7:$AA10</formula1>
    </dataValidation>
    <dataValidation sqref="DB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'WAYFAIR_USE_ONLY'!$AB$7:$AB9</formula1>
    </dataValidation>
    <dataValidation sqref="DC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Lacey Act Compliant" error="The value provided is not a valid Lacey Act Compliant." promptTitle="" prompt="If all products in this class consistently have the same answer, you can set a default value to apply automatically. For any exceptions, you can modify the answer for specific products without changing the default." type="list">
      <formula1>'WAYFAIR_USE_ONLY'!$AC$7:$AC11</formula1>
    </dataValidation>
    <dataValidation sqref="DE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'WAYFAIR_USE_ONLY'!$AD$7:$AD11</formula1>
    </dataValidation>
    <dataValidation sqref="DF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'WAYFAIR_USE_ONLY'!$AH$7:$AH9</formula1>
    </dataValidation>
    <dataValidation sqref="DG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H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H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'WAYFAIR_USE_ONLY'!$AE$7:$AE23</formula1>
    </dataValidation>
    <dataValidation sqref="DI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I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'WAYFAIR_USE_ONLY'!$AF$7:$AF12</formula1>
    </dataValidation>
    <dataValidation sqref="DJ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J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'WAYFAIR_USE_ONLY'!$AG$7:$AG19</formula1>
    </dataValidation>
    <dataValidation sqref="DK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'WAYFAIR_USE_ONLY'!$AI$7:$AI12</formula1>
    </dataValidation>
    <dataValidation sqref="D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M4" showDropDown="0" showInputMessage="1" showErrorMessage="1" allowBlank="1" promptTitle="Class Specific Child Question" prompt="This Question is directly related to the tag &quot;Safety Listing(s) Your answer to the related question may influence which answers are accepted here."/>
    <dataValidation sqref="D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N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'WAYFAIR_USE_ONLY'!$AJ$7:$AJ10</formula1>
    </dataValidation>
    <dataValidation sqref="DO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'WAYFAIR_USE_ONLY'!$AK$7:$AK10</formula1>
    </dataValidation>
    <dataValidation sqref="D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T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'WAYFAIR_USE_ONLY'!$AL$7:$AL9</formula1>
    </dataValidation>
    <dataValidation sqref="DU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V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DV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'WAYFAIR_USE_ONLY'!$AM$7:$AM32</formula1>
    </dataValidation>
    <dataValidation sqref="DW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'WAYFAIR_USE_ONLY'!$AO$7:$AO9</formula1>
    </dataValidation>
    <dataValidation sqref="D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J6" location="'Valid Values'!B1" display="Select"/>
    <hyperlink ref="L6" location="'Valid Values'!C1" display="Select"/>
    <hyperlink ref="N6" location="'Valid Values'!C1" display="Select"/>
    <hyperlink ref="P6" location="'Valid Values'!C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S1" display="Select"/>
    <hyperlink ref="BP6" location="'Valid Values'!T1" display="Please choose one or more from the following, using a semicolon (;) to separate each value: Polycarbonate (PC); Polyethylene Plastic; Glass; Silicone; Stainless Steel; Melamine; Polypropylene; Cane; Raffia; Mango Wood; Aluminum; Linen Blend; Acrylic; Manufactured Wood; Limestone; Artificial Grass; Antler; HDPE; Jersey; Linen; Foam; Cowhide; Copper / Copper Plated; Engineered Wood; Cast Aluminum; Flat Wire; Crystal; Fleece / Microfiber; Cardboard / Paper; Chenille; Cherry Wood; Handblown Glass; Cement; Flannel; Chrome; Enamelware; Enameled Cast Iron; Agate / Geode; Fiberglass; Bronze; Cast Iron; Bamboo Slat / Seagrass; Beaded; Alpaca; Felt; Denim; Clay; Gel; Coir; Cardboard; Leather; Cashmere; Galvanized Steel; Hemp; Fireclay; Anodized Aluminum; Blended Fabric; Bamboo; Brass; Burlap; Ceramic; Canvas; Composite; Carbon Steel; Compressed Polyester; Ceramic / Porcelain; Bone China; Cedar; Concrete; Cotton; Earthenware; Engineered Stone; Concrete / Cement; Corrugated; Enamel / Lacquer; Cotton Blend; Compressed Stone; Copper; Faux Leather; Fabric; Faux Sheepskin; Fiberstone; Fine Silver; Hard-Anodized Aluminum; Granite; Heavy Gauge Wire; Faux Fur; Faux Mohair; Faux Cowhide; Iron; High Leaded Crystal; Marble; Lead Crystal; Ironstone; Leather / Faux Leather; Latex; Jute; Lead Free Crystal; Lace; Jute / Sisal; Laminate; Marble / Granite; Mercury Glass; Medium Density Fiberboard (MDF); Mesh; Merino Wool; Memory Foam; Natural Stone; Microfiber / Polyester; Natural Fiber; Microfiber; Natural Fibers; Magnet; Muslin; Metal; Microfiber / Microsuede; Paper; Olefin; Nickel; PEVA; Nylon; Oak; Oxford Fabric; Polyamide; Plywood; Pinecones; Plastic / Acrylic; Pewter; Polycarbonate Plastic; Nickel Plated; Plastic; Polyester; Polymer; Polyester Fill; Polystyrene; Polyvinyl Chloride (PVC); Polyurethane; Porcelain China; Powder Coated Steel; Polypropylene Plastic; Porcelain Enameled Steel; Porcelain; Powder Coated Aluminum; Polyester Blend; Polyresin; Polymarble; Polyurethane (PU); Sandstone; Silver; Sheepskin; Sateen; Rayon / Viscose; Rayon from Bamboo; Silver Plated"/>
    <hyperlink ref="BR6" location="'Valid Values'!U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BZ6" location="'Valid Values'!V1" display="Please choose one or more from the following, using a semicolon (;) to separate each value: Non Residential Use; Residential Use"/>
    <hyperlink ref="CA6" location="'Valid Values'!W1" display="Please choose one or more from the following, using a semicolon (;) to separate each value: Made in USA; Made in USA of Imported Materials; Product of Canada; Made In Canada; Does Not Apply"/>
    <hyperlink ref="CC6" location="'Valid Values'!X1" display="Select"/>
    <hyperlink ref="CD6" location="'Valid Values'!Y1" display="Select"/>
    <hyperlink ref="CE6" location="'Valid Values'!Z1" display="Select"/>
    <hyperlink ref="CF6" location="'Valid Values'!AA1" display="Select"/>
    <hyperlink ref="CG6" location="'Valid Values'!AB1" display="Select"/>
    <hyperlink ref="CH6" location="'Valid Values'!AC1" display="Select"/>
    <hyperlink ref="CI6" location="'Valid Values'!AD1" display="Select"/>
    <hyperlink ref="CJ6" location="'Valid Values'!AE1" display="Please choose one or more from the following, using a semicolon (;) to separate each value: Wheels / Casters; Seat Cushion; Legs; Cover; Lid; Headboard; Back Cushion; Footboard; Tray; Pillow Top; Cushion Cover; Canopy; Shelves; Drawers; Mirror; Unavailable; Does Not Apply"/>
    <hyperlink ref="CM6" location="'Valid Values'!AF1" display="Select"/>
    <hyperlink ref="CN6" location="'Valid Values'!AG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Q6" location="'Valid Values'!AH1" display="Please choose one or more from the following, using a semicolon (;) to separate each value: Laptop; Projector; CPU; Printer; Keyboard; TV/Monitor; Unavailable; Does Not Apply"/>
    <hyperlink ref="CR6" location="'Valid Values'!AI1" display="Please choose one or more from the following, using a semicolon (;) to separate each value: Drawers; Legs; Storage; TV Mount; Wheels / Casters; Cabinets; Unavailable; Does Not Apply"/>
    <hyperlink ref="CU6" location="'Valid Values'!AJ1" display="Select"/>
    <hyperlink ref="CX6" location="'Valid Values'!AK1" display="Select"/>
    <hyperlink ref="CY6" location="'Valid Values'!AL1" display="Select"/>
    <hyperlink ref="CZ6" location="'Valid Values'!AM1" display="Select"/>
    <hyperlink ref="DA6" location="'Valid Values'!AN1" display="Select"/>
    <hyperlink ref="DC6" location="'Valid Values'!AO1" display="Please choose one or more from the following, using a semicolon (;) to separate each value: Dual Language; Distribution Conflict; Logistics; Does Not Apply"/>
    <hyperlink ref="DD6" location="'Valid Values'!AP1" display="Select"/>
    <hyperlink ref="DE6" location="'Valid Values'!AQ1" display="Select"/>
    <hyperlink ref="DG6" location="'Valid Values'!AR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H6" location="'Valid Values'!AS1" display="Select"/>
    <hyperlink ref="DI6" location="'Valid Values'!AT1" display="Select"/>
    <hyperlink ref="DJ6" location="'Valid Values'!AU1" display="Select"/>
    <hyperlink ref="DK6" location="'Valid Values'!AV1" display="Select"/>
    <hyperlink ref="DL6" location="'Valid Values'!AW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DN6" location="'Valid Values'!AX1" display="Select"/>
    <hyperlink ref="DV6" location="'Valid Values'!AY1" display="Select"/>
    <hyperlink ref="DX6" location="'Valid Values'!AZ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DX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13.7109375" customWidth="1" style="22" min="68" max="68"/>
    <col width="22.7109375" customWidth="1" style="22" min="69" max="69"/>
    <col width="17.7109375" customWidth="1" style="22" min="70" max="70"/>
    <col width="26.7109375" customWidth="1" style="22" min="71" max="71"/>
    <col width="12.7109375" customWidth="1" style="22" min="72" max="72"/>
    <col width="22.7109375" customWidth="1" style="22" min="73" max="73"/>
    <col width="21.7109375" customWidth="1" style="22" min="74" max="74"/>
    <col width="18.7109375" customWidth="1" style="22" min="75" max="75"/>
    <col width="30.7109375" customWidth="1" style="22" min="76" max="76"/>
    <col width="28.7109375" customWidth="1" style="22" min="77" max="77"/>
    <col width="39.7109375" customWidth="1" style="22" min="78" max="78"/>
    <col width="43.7109375" customWidth="1" style="22" min="79" max="79"/>
    <col width="34.7109375" customWidth="1" style="22" min="80" max="80"/>
    <col width="17.7109375" customWidth="1" style="22" min="81" max="81"/>
    <col width="24.7109375" customWidth="1" style="22" min="82" max="83"/>
    <col width="21.7109375" customWidth="1" style="22" min="84" max="84"/>
    <col width="20.7109375" customWidth="1" style="22" min="85" max="85"/>
    <col width="35.7109375" customWidth="1" style="22" min="86" max="86"/>
    <col width="30.7109375" customWidth="1" style="22" min="87" max="87"/>
    <col width="25.7109375" customWidth="1" style="22" min="88" max="88"/>
    <col width="23.7109375" customWidth="1" style="22" min="89" max="89"/>
    <col width="19.7109375" customWidth="1" style="22" min="90" max="90"/>
    <col width="15.7109375" customWidth="1" style="22" min="91" max="91"/>
    <col width="19.7109375" customWidth="1" style="22" min="92" max="92"/>
    <col width="22.7109375" customWidth="1" style="22" min="93" max="93"/>
    <col width="21.7109375" customWidth="1" style="22" min="94" max="94"/>
    <col width="15.7109375" customWidth="1" style="22" min="95" max="95"/>
    <col width="20.7109375" customWidth="1" style="22" min="96" max="96"/>
    <col width="23.7109375" customWidth="1" style="22" min="97" max="97"/>
    <col width="40.7109375" customWidth="1" style="22" min="98" max="98"/>
    <col width="33.7109375" customWidth="1" style="22" min="99" max="99"/>
    <col width="18.7109375" customWidth="1" style="22" min="100" max="100"/>
    <col width="33.7109375" customWidth="1" style="22" min="101" max="101"/>
    <col width="53.7109375" customWidth="1" style="22" min="102" max="103"/>
    <col width="21.7109375" customWidth="1" style="22" min="104" max="104"/>
    <col width="64.7109375" customWidth="1" style="22" min="105" max="105"/>
    <col width="31.7109375" customWidth="1" style="22" min="106" max="106"/>
    <col width="27.7109375" customWidth="1" style="22" min="107" max="107"/>
    <col width="24.7109375" customWidth="1" style="22" min="108" max="108"/>
    <col width="44.7109375" customWidth="1" style="22" min="109" max="109"/>
    <col width="41.7109375" customWidth="1" style="22" min="110" max="110"/>
    <col width="20.7109375" customWidth="1" style="22" min="111" max="111"/>
    <col width="21.7109375" customWidth="1" style="22" min="112" max="112"/>
    <col width="18.7109375" customWidth="1" style="22" min="113" max="113"/>
    <col width="30.7109375" customWidth="1" style="22" min="114" max="114"/>
    <col width="44.7109375" customWidth="1" style="22" min="115" max="115"/>
    <col width="22.7109375" customWidth="1" style="22" min="116" max="116"/>
    <col width="42.7109375" customWidth="1" style="22" min="117" max="117"/>
    <col width="19.7109375" customWidth="1" style="22" min="118" max="118"/>
    <col width="79.7109375" customWidth="1" style="22" min="119" max="119"/>
    <col width="35.7109375" customWidth="1" style="22" min="120" max="120"/>
    <col width="33.7109375" customWidth="1" style="22" min="121" max="121"/>
    <col width="34.7109375" customWidth="1" style="22" min="122" max="122"/>
    <col width="27.7109375" customWidth="1" style="22" min="123" max="123"/>
    <col width="22.7109375" customWidth="1" style="22" min="124" max="124"/>
    <col width="24.7109375" customWidth="1" style="22" min="125" max="125"/>
    <col width="31.7109375" customWidth="1" style="22" min="126" max="126"/>
    <col width="21.7109375" customWidth="1" style="22" min="127" max="127"/>
    <col width="20.7109375" customWidth="1" style="22" min="128" max="128"/>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70212</t>
        </is>
      </c>
      <c r="BP1" s="22" t="inlineStr">
        <is>
          <t>149726</t>
        </is>
      </c>
      <c r="BQ1" s="22" t="inlineStr">
        <is>
          <t>149770</t>
        </is>
      </c>
      <c r="BR1" s="22" t="inlineStr">
        <is>
          <t>185252</t>
        </is>
      </c>
      <c r="BS1" s="22" t="inlineStr">
        <is>
          <t>149785</t>
        </is>
      </c>
      <c r="BT1" s="22" t="inlineStr">
        <is>
          <t>182057</t>
        </is>
      </c>
      <c r="BU1" s="22" t="inlineStr">
        <is>
          <t>164399</t>
        </is>
      </c>
      <c r="BV1" s="22" t="inlineStr">
        <is>
          <t>149748</t>
        </is>
      </c>
      <c r="BW1" s="22" t="inlineStr">
        <is>
          <t>149749</t>
        </is>
      </c>
      <c r="BX1" s="22" t="inlineStr">
        <is>
          <t>149750</t>
        </is>
      </c>
      <c r="BY1" s="22" t="inlineStr">
        <is>
          <t>149753</t>
        </is>
      </c>
      <c r="BZ1" s="22" t="inlineStr">
        <is>
          <t>229333</t>
        </is>
      </c>
      <c r="CA1" s="22" t="inlineStr">
        <is>
          <t>245268</t>
        </is>
      </c>
      <c r="CB1" s="22" t="inlineStr">
        <is>
          <t>344983</t>
        </is>
      </c>
      <c r="CC1" s="22" t="inlineStr">
        <is>
          <t>351568</t>
        </is>
      </c>
      <c r="CD1" s="22" t="inlineStr">
        <is>
          <t>346774</t>
        </is>
      </c>
      <c r="CE1" s="22" t="inlineStr">
        <is>
          <t>367308</t>
        </is>
      </c>
      <c r="CF1" s="22" t="inlineStr">
        <is>
          <t>351573</t>
        </is>
      </c>
      <c r="CG1" s="22" t="inlineStr">
        <is>
          <t>352308</t>
        </is>
      </c>
      <c r="CH1" s="22" t="inlineStr">
        <is>
          <t>352295</t>
        </is>
      </c>
      <c r="CI1" s="22" t="inlineStr">
        <is>
          <t>351604</t>
        </is>
      </c>
      <c r="CJ1" s="22" t="inlineStr">
        <is>
          <t>363032</t>
        </is>
      </c>
      <c r="CK1" s="22" t="inlineStr">
        <is>
          <t>149782</t>
        </is>
      </c>
      <c r="CL1" s="22" t="inlineStr">
        <is>
          <t>382561</t>
        </is>
      </c>
      <c r="CM1" s="22" t="inlineStr">
        <is>
          <t>149965</t>
        </is>
      </c>
      <c r="CN1" s="22" t="inlineStr">
        <is>
          <t>383797</t>
        </is>
      </c>
      <c r="CO1" s="22" t="inlineStr">
        <is>
          <t>149784</t>
        </is>
      </c>
      <c r="CP1" s="22" t="inlineStr">
        <is>
          <t>384383</t>
        </is>
      </c>
      <c r="CQ1" s="22" t="inlineStr">
        <is>
          <t>149964</t>
        </is>
      </c>
      <c r="CR1" s="22" t="inlineStr">
        <is>
          <t>419944</t>
        </is>
      </c>
      <c r="CS1" s="22" t="inlineStr">
        <is>
          <t>149794</t>
        </is>
      </c>
      <c r="CT1" s="22" t="inlineStr">
        <is>
          <t>149810</t>
        </is>
      </c>
      <c r="CU1" s="22" t="inlineStr">
        <is>
          <t>192864</t>
        </is>
      </c>
      <c r="CV1" s="22" t="inlineStr">
        <is>
          <t>149754</t>
        </is>
      </c>
      <c r="CW1" s="22" t="inlineStr">
        <is>
          <t>201408</t>
        </is>
      </c>
      <c r="CX1" s="22" t="inlineStr">
        <is>
          <t>224843</t>
        </is>
      </c>
      <c r="CY1" s="22" t="inlineStr">
        <is>
          <t>225064</t>
        </is>
      </c>
      <c r="CZ1" s="22" t="inlineStr">
        <is>
          <t>364709</t>
        </is>
      </c>
      <c r="DA1" s="22" t="inlineStr">
        <is>
          <t>236080</t>
        </is>
      </c>
      <c r="DB1" s="22" t="inlineStr">
        <is>
          <t>249312</t>
        </is>
      </c>
      <c r="DC1" s="22" t="inlineStr">
        <is>
          <t>251061</t>
        </is>
      </c>
      <c r="DD1" s="22" t="inlineStr">
        <is>
          <t>192875</t>
        </is>
      </c>
      <c r="DE1" s="22" t="inlineStr">
        <is>
          <t>149756</t>
        </is>
      </c>
      <c r="DF1" s="22" t="inlineStr">
        <is>
          <t>339306</t>
        </is>
      </c>
      <c r="DG1" s="22" t="inlineStr">
        <is>
          <t>373554</t>
        </is>
      </c>
      <c r="DH1" s="22" t="inlineStr">
        <is>
          <t>340804</t>
        </is>
      </c>
      <c r="DI1" s="22" t="inlineStr">
        <is>
          <t>341056</t>
        </is>
      </c>
      <c r="DJ1" s="22" t="inlineStr">
        <is>
          <t>369616</t>
        </is>
      </c>
      <c r="DK1" s="22" t="inlineStr">
        <is>
          <t>368261</t>
        </is>
      </c>
      <c r="DL1" s="22" t="inlineStr">
        <is>
          <t>375301</t>
        </is>
      </c>
      <c r="DM1" s="22" t="inlineStr">
        <is>
          <t>376200</t>
        </is>
      </c>
      <c r="DN1" s="22" t="inlineStr">
        <is>
          <t>385918</t>
        </is>
      </c>
      <c r="DO1" s="22" t="inlineStr">
        <is>
          <t>415201</t>
        </is>
      </c>
      <c r="DP1" s="22" t="inlineStr">
        <is>
          <t>149771</t>
        </is>
      </c>
      <c r="DQ1" s="22" t="inlineStr">
        <is>
          <t>70234</t>
        </is>
      </c>
      <c r="DR1" s="22" t="inlineStr">
        <is>
          <t>70239</t>
        </is>
      </c>
      <c r="DS1" s="22" t="inlineStr">
        <is>
          <t>70240</t>
        </is>
      </c>
      <c r="DT1" s="22" t="inlineStr">
        <is>
          <t>70241</t>
        </is>
      </c>
      <c r="DU1" s="22" t="inlineStr">
        <is>
          <t>229332</t>
        </is>
      </c>
      <c r="DV1" s="22" t="inlineStr">
        <is>
          <t>334763</t>
        </is>
      </c>
      <c r="DW1" s="22" t="inlineStr">
        <is>
          <t>254003</t>
        </is>
      </c>
      <c r="DX1" s="22" t="inlineStr">
        <is>
          <t>255912</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Required</t>
        </is>
      </c>
      <c r="BQ3" s="32" t="inlineStr">
        <is>
          <t>Recommended</t>
        </is>
      </c>
      <c r="BR3" s="32" t="inlineStr">
        <is>
          <t>Recommended</t>
        </is>
      </c>
      <c r="BS3" s="32" t="inlineStr">
        <is>
          <t>Recommended</t>
        </is>
      </c>
      <c r="BT3" s="32" t="inlineStr">
        <is>
          <t>Recommended</t>
        </is>
      </c>
      <c r="BU3" s="32" t="inlineStr">
        <is>
          <t>Recommended</t>
        </is>
      </c>
      <c r="BV3" s="32" t="inlineStr">
        <is>
          <t>Recommended</t>
        </is>
      </c>
      <c r="BW3" s="32" t="inlineStr">
        <is>
          <t>Recommended</t>
        </is>
      </c>
      <c r="BX3" s="32" t="inlineStr">
        <is>
          <t>Recommended</t>
        </is>
      </c>
      <c r="BY3" s="32" t="inlineStr">
        <is>
          <t>Recommended</t>
        </is>
      </c>
      <c r="BZ3" s="32" t="inlineStr">
        <is>
          <t>Required</t>
        </is>
      </c>
      <c r="CA3" s="32" t="inlineStr">
        <is>
          <t>Additional</t>
        </is>
      </c>
      <c r="CB3" s="32" t="inlineStr">
        <is>
          <t>Additional</t>
        </is>
      </c>
      <c r="CC3" s="32" t="inlineStr">
        <is>
          <t>Additional</t>
        </is>
      </c>
      <c r="CD3" s="32" t="inlineStr">
        <is>
          <t>Additional</t>
        </is>
      </c>
      <c r="CE3" s="32" t="inlineStr">
        <is>
          <t>Additional</t>
        </is>
      </c>
      <c r="CF3" s="32" t="inlineStr">
        <is>
          <t>Additional</t>
        </is>
      </c>
      <c r="CG3" s="32" t="inlineStr">
        <is>
          <t>Additional</t>
        </is>
      </c>
      <c r="CH3" s="32" t="inlineStr">
        <is>
          <t>Additional</t>
        </is>
      </c>
      <c r="CI3" s="32" t="inlineStr">
        <is>
          <t>Additional</t>
        </is>
      </c>
      <c r="CJ3" s="32" t="inlineStr">
        <is>
          <t>Recommended</t>
        </is>
      </c>
      <c r="CK3" s="32" t="inlineStr">
        <is>
          <t>Recommended</t>
        </is>
      </c>
      <c r="CL3" s="32" t="inlineStr">
        <is>
          <t>Recommended</t>
        </is>
      </c>
      <c r="CM3" s="32" t="inlineStr">
        <is>
          <t>Recommended</t>
        </is>
      </c>
      <c r="CN3" s="32" t="inlineStr">
        <is>
          <t>Required</t>
        </is>
      </c>
      <c r="CO3" s="32" t="inlineStr">
        <is>
          <t>Recommended</t>
        </is>
      </c>
      <c r="CP3" s="32" t="inlineStr">
        <is>
          <t>Recommended</t>
        </is>
      </c>
      <c r="CQ3" s="32" t="inlineStr">
        <is>
          <t>Recommended</t>
        </is>
      </c>
      <c r="CR3" s="32" t="inlineStr">
        <is>
          <t>Recommended</t>
        </is>
      </c>
      <c r="CS3" s="32" t="inlineStr">
        <is>
          <t>Recommended</t>
        </is>
      </c>
      <c r="CT3" s="32" t="inlineStr">
        <is>
          <t>Recommended</t>
        </is>
      </c>
      <c r="CU3" s="32" t="inlineStr">
        <is>
          <t>Required</t>
        </is>
      </c>
      <c r="CV3" s="32" t="inlineStr">
        <is>
          <t>Additional</t>
        </is>
      </c>
      <c r="CW3" s="32" t="inlineStr">
        <is>
          <t>Required</t>
        </is>
      </c>
      <c r="CX3" s="32" t="inlineStr">
        <is>
          <t>Required</t>
        </is>
      </c>
      <c r="CY3" s="32" t="inlineStr">
        <is>
          <t>Required</t>
        </is>
      </c>
      <c r="CZ3" s="32" t="inlineStr">
        <is>
          <t>Required</t>
        </is>
      </c>
      <c r="DA3" s="32" t="inlineStr">
        <is>
          <t>Required</t>
        </is>
      </c>
      <c r="DB3" s="32" t="inlineStr">
        <is>
          <t>Required</t>
        </is>
      </c>
      <c r="DC3" s="32" t="inlineStr">
        <is>
          <t>Required</t>
        </is>
      </c>
      <c r="DD3" s="32" t="inlineStr">
        <is>
          <t>Required</t>
        </is>
      </c>
      <c r="DE3" s="32" t="inlineStr">
        <is>
          <t>Required</t>
        </is>
      </c>
      <c r="DF3" s="32" t="inlineStr">
        <is>
          <t>Additional</t>
        </is>
      </c>
      <c r="DG3" s="32" t="inlineStr">
        <is>
          <t>Additional</t>
        </is>
      </c>
      <c r="DH3" s="32" t="inlineStr">
        <is>
          <t>Additional</t>
        </is>
      </c>
      <c r="DI3" s="32" t="inlineStr">
        <is>
          <t>Additional</t>
        </is>
      </c>
      <c r="DJ3" s="32" t="inlineStr">
        <is>
          <t>Additional</t>
        </is>
      </c>
      <c r="DK3" s="32" t="inlineStr">
        <is>
          <t>Required</t>
        </is>
      </c>
      <c r="DL3" s="32" t="inlineStr">
        <is>
          <t>Required</t>
        </is>
      </c>
      <c r="DM3" s="32" t="inlineStr">
        <is>
          <t>Additional</t>
        </is>
      </c>
      <c r="DN3" s="32" t="inlineStr">
        <is>
          <t>Recommended</t>
        </is>
      </c>
      <c r="DO3" s="32" t="inlineStr">
        <is>
          <t>Recommended</t>
        </is>
      </c>
      <c r="DP3" s="32" t="inlineStr">
        <is>
          <t>Required</t>
        </is>
      </c>
      <c r="DQ3" s="32" t="inlineStr">
        <is>
          <t>Required</t>
        </is>
      </c>
      <c r="DR3" s="32" t="inlineStr">
        <is>
          <t>Required</t>
        </is>
      </c>
      <c r="DS3" s="32" t="inlineStr">
        <is>
          <t>Recommended</t>
        </is>
      </c>
      <c r="DT3" s="32" t="inlineStr">
        <is>
          <t>Required</t>
        </is>
      </c>
      <c r="DU3" s="32" t="inlineStr">
        <is>
          <t>Required</t>
        </is>
      </c>
      <c r="DV3" s="32" t="inlineStr">
        <is>
          <t>Recommended</t>
        </is>
      </c>
      <c r="DW3" s="32" t="inlineStr">
        <is>
          <t>Recommended</t>
        </is>
      </c>
      <c r="DX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Material</t>
        </is>
      </c>
      <c r="BQ4" s="19" t="inlineStr">
        <is>
          <t>Adjustable Height</t>
        </is>
      </c>
      <c r="BR4" s="19" t="inlineStr">
        <is>
          <t>Wood Species</t>
        </is>
      </c>
      <c r="BS4" s="19" t="inlineStr">
        <is>
          <t>Shelf Weight Capacity</t>
        </is>
      </c>
      <c r="BT4" s="19" t="inlineStr">
        <is>
          <t>Tilting</t>
        </is>
      </c>
      <c r="BU4" s="19" t="inlineStr">
        <is>
          <t>Cabinets Included</t>
        </is>
      </c>
      <c r="BV4" s="19" t="inlineStr">
        <is>
          <t>Drawers Included</t>
        </is>
      </c>
      <c r="BW4" s="19" t="inlineStr">
        <is>
          <t>Legs Included</t>
        </is>
      </c>
      <c r="BX4" s="19" t="inlineStr">
        <is>
          <t>Wheels / Casters Included</t>
        </is>
      </c>
      <c r="BY4" s="19" t="inlineStr">
        <is>
          <t>Overall Weight Capacity</t>
        </is>
      </c>
      <c r="BZ4" s="19" t="inlineStr">
        <is>
          <t>Supplier Intended and Approved Use</t>
        </is>
      </c>
      <c r="CA4" s="19" t="inlineStr">
        <is>
          <t>Country of Origin - Additional Details</t>
        </is>
      </c>
      <c r="CB4" s="33" t="inlineStr">
        <is>
          <t>Battery or Batteries Included</t>
        </is>
      </c>
      <c r="CC4" s="34" t="inlineStr">
        <is>
          <t>Battery Type</t>
        </is>
      </c>
      <c r="CD4" s="34" t="inlineStr">
        <is>
          <t>Battery Composition</t>
        </is>
      </c>
      <c r="CE4" s="34" t="inlineStr">
        <is>
          <t>Number of Batteries</t>
        </is>
      </c>
      <c r="CF4" s="34" t="inlineStr">
        <is>
          <t>Battery Shipment</t>
        </is>
      </c>
      <c r="CG4" s="34" t="inlineStr">
        <is>
          <t>Lithium Content</t>
        </is>
      </c>
      <c r="CH4" s="34" t="inlineStr">
        <is>
          <t>Watt Rating of Cells / Battery</t>
        </is>
      </c>
      <c r="CI4" s="34" t="inlineStr">
        <is>
          <t>Weight of Cells / Battery</t>
        </is>
      </c>
      <c r="CJ4" s="19" t="inlineStr">
        <is>
          <t>Removable Components</t>
        </is>
      </c>
      <c r="CK4" s="19" t="inlineStr">
        <is>
          <t>Adjustable Shelves</t>
        </is>
      </c>
      <c r="CL4" s="19" t="inlineStr">
        <is>
          <t>Locking Wheels</t>
        </is>
      </c>
      <c r="CM4" s="19" t="inlineStr">
        <is>
          <t>Mount Type</t>
        </is>
      </c>
      <c r="CN4" s="19" t="inlineStr">
        <is>
          <t>Color / Finish</t>
        </is>
      </c>
      <c r="CO4" s="19" t="inlineStr">
        <is>
          <t>Number of Shelves</t>
        </is>
      </c>
      <c r="CP4" s="19" t="inlineStr">
        <is>
          <t>Storage Included</t>
        </is>
      </c>
      <c r="CQ4" s="19" t="inlineStr">
        <is>
          <t>Shelf Type</t>
        </is>
      </c>
      <c r="CR4" s="19" t="inlineStr">
        <is>
          <t>Pieces Included</t>
        </is>
      </c>
      <c r="CS4" s="19" t="inlineStr">
        <is>
          <t>Number of Cabinets</t>
        </is>
      </c>
      <c r="CT4" s="19" t="inlineStr">
        <is>
          <t>Number of Wheels / Casters Included</t>
        </is>
      </c>
      <c r="CU4" s="19" t="inlineStr">
        <is>
          <t>CPSC - 16 CFR 1303 Compliant</t>
        </is>
      </c>
      <c r="CV4" s="19" t="inlineStr">
        <is>
          <t>ADA Compliant</t>
        </is>
      </c>
      <c r="CW4" s="33" t="inlineStr">
        <is>
          <t>Composite Wood Product (CWP)</t>
        </is>
      </c>
      <c r="CX4" s="34" t="inlineStr">
        <is>
          <t>CARB Phase II Compliant (formaldehyde emissions)</t>
        </is>
      </c>
      <c r="CY4" s="34" t="inlineStr">
        <is>
          <t>TSCA Title VI Compliant (formaldehyde emissions)</t>
        </is>
      </c>
      <c r="CZ4" s="34" t="inlineStr">
        <is>
          <t>CANFER Compliant</t>
        </is>
      </c>
      <c r="DA4" s="19" t="inlineStr">
        <is>
          <t>Uniform Packaging and Labeling Regulations (UPLR) Compliant</t>
        </is>
      </c>
      <c r="DB4" s="33" t="inlineStr">
        <is>
          <t>Canada Product Restriction</t>
        </is>
      </c>
      <c r="DC4" s="34" t="inlineStr">
        <is>
          <t>Reason for Restriction</t>
        </is>
      </c>
      <c r="DD4" s="19" t="inlineStr">
        <is>
          <t>Lacey Act Compliant</t>
        </is>
      </c>
      <c r="DE4" s="19" t="inlineStr">
        <is>
          <t>General Certificate of Conformity (GCC)</t>
        </is>
      </c>
      <c r="DF4" s="33" t="inlineStr">
        <is>
          <t>Hazardous Material / Dangerous Goods</t>
        </is>
      </c>
      <c r="DG4" s="34" t="inlineStr">
        <is>
          <t>UN or ID number</t>
        </is>
      </c>
      <c r="DH4" s="34" t="inlineStr">
        <is>
          <t>Hazard Class(es)</t>
        </is>
      </c>
      <c r="DI4" s="34" t="inlineStr">
        <is>
          <t>Packing Group</t>
        </is>
      </c>
      <c r="DJ4" s="34" t="inlineStr">
        <is>
          <t>Hazardous Material Weight</t>
        </is>
      </c>
      <c r="DK4" s="19" t="inlineStr">
        <is>
          <t>Energy Efficiency Regulations Compliant</t>
        </is>
      </c>
      <c r="DL4" s="33" t="inlineStr">
        <is>
          <t>Safety Listing(s)</t>
        </is>
      </c>
      <c r="DM4" s="34" t="inlineStr">
        <is>
          <t>Safety Listing(s) Registration Number</t>
        </is>
      </c>
      <c r="DN4" s="19" t="inlineStr">
        <is>
          <t>ISTA Certified</t>
        </is>
      </c>
      <c r="DO4" s="19" t="inlineStr">
        <is>
          <t>Sustainability &amp; Social Responsibility Certifications (North America Only)</t>
        </is>
      </c>
      <c r="DP4" s="19" t="inlineStr">
        <is>
          <t>Overall Height - Top to Bottom</t>
        </is>
      </c>
      <c r="DQ4" s="19" t="inlineStr">
        <is>
          <t>Overall Width - Side to Side</t>
        </is>
      </c>
      <c r="DR4" s="19" t="inlineStr">
        <is>
          <t>Overall Depth - Front to Back</t>
        </is>
      </c>
      <c r="DS4" s="19" t="inlineStr">
        <is>
          <t>Overall Product Weight</t>
        </is>
      </c>
      <c r="DT4" s="19" t="inlineStr">
        <is>
          <t>Assembly Required</t>
        </is>
      </c>
      <c r="DU4" s="33" t="inlineStr">
        <is>
          <t>Commercial Warranty</t>
        </is>
      </c>
      <c r="DV4" s="34" t="inlineStr">
        <is>
          <t>Commercial Warranty Length</t>
        </is>
      </c>
      <c r="DW4" s="19" t="inlineStr">
        <is>
          <t>Product Warranty</t>
        </is>
      </c>
      <c r="DX4" s="19" t="inlineStr">
        <is>
          <t>Warranty Length</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What material is the product made of?</t>
        </is>
      </c>
      <c r="BQ5" s="35" t="inlineStr">
        <is>
          <t>Is the height of this product adjustable?</t>
        </is>
      </c>
      <c r="BR5" s="35" t="inlineStr">
        <is>
          <t>What type of wood was used to construct this product? This describes the actual materials used, not the product's appearance.</t>
        </is>
      </c>
      <c r="BS5" s="35" t="inlineStr">
        <is>
          <t>[Pounds] What is the weight capacity of the shelf/shelves?</t>
        </is>
      </c>
      <c r="BT5" s="35" t="inlineStr">
        <is>
          <t>Does this product tilt?</t>
        </is>
      </c>
      <c r="BU5" s="35" t="inlineStr">
        <is>
          <t>Does this product include cabinets?</t>
        </is>
      </c>
      <c r="BV5" s="35" t="inlineStr">
        <is>
          <t>Does this product have any drawers?</t>
        </is>
      </c>
      <c r="BW5" s="35" t="inlineStr">
        <is>
          <t>Does this product have legs?</t>
        </is>
      </c>
      <c r="BX5" s="35" t="inlineStr">
        <is>
          <t>Does this product have wheels or casters?</t>
        </is>
      </c>
      <c r="BY5" s="35" t="inlineStr">
        <is>
          <t>[Pounds] What is the weight capacity of the overall product?</t>
        </is>
      </c>
      <c r="BZ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A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B5" s="35" t="inlineStr">
        <is>
          <t>Is the product a battery or does the product include batteries?</t>
        </is>
      </c>
      <c r="CC5" s="35" t="inlineStr">
        <is>
          <t>What type is the battery? Button Cell, Cell, Battery?</t>
        </is>
      </c>
      <c r="CD5" s="35" t="inlineStr">
        <is>
          <t>What is the composition of the batteries included with product?</t>
        </is>
      </c>
      <c r="CE5" s="35" t="inlineStr">
        <is>
          <t>Confirm number of batteries in this product</t>
        </is>
      </c>
      <c r="CF5" s="35" t="inlineStr">
        <is>
          <t>Do the cells/batteries ship stand alone/packed with the equipment/ contained (installed) in the equipment?</t>
        </is>
      </c>
      <c r="CG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H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I5" s="35" t="inlineStr">
        <is>
          <t>What is the net weight of the cells or batteries that ship with the product in grams or kilograms.</t>
        </is>
      </c>
      <c r="CJ5" s="35" t="inlineStr">
        <is>
          <t>Select all product components that can be removed from the base product</t>
        </is>
      </c>
      <c r="CK5" s="35" t="inlineStr">
        <is>
          <t>Does this product have adjustable shelves?</t>
        </is>
      </c>
      <c r="CL5" s="35" t="inlineStr">
        <is>
          <t>Can the wheels be locked to keep the product from moving?</t>
        </is>
      </c>
      <c r="CM5" s="35" t="inlineStr">
        <is>
          <t>Does this product have to be mounted to the wall or is it free standing?</t>
        </is>
      </c>
      <c r="CN5" s="35" t="inlineStr">
        <is>
          <t>What is the color or finish of the product? If your color/finish name is not listed, please type in the value.</t>
        </is>
      </c>
      <c r="CO5" s="35" t="inlineStr">
        <is>
          <t>How many shelves are included in this product?</t>
        </is>
      </c>
      <c r="CP5" s="35" t="inlineStr">
        <is>
          <t>Does this product include any storage elements such as shelves, drawers, cabinets or a hidden storage compartment?</t>
        </is>
      </c>
      <c r="CQ5" s="35" t="inlineStr">
        <is>
          <t>What type of product is the shelf designed for? If this product does not fit any of the listed options, please enter the correct information/value.</t>
        </is>
      </c>
      <c r="CR5" s="35" t="inlineStr">
        <is>
          <t>What pieces are included with this product?</t>
        </is>
      </c>
      <c r="CS5" s="35" t="inlineStr">
        <is>
          <t>How many cabinets does this product have?</t>
        </is>
      </c>
      <c r="CT5" s="35" t="inlineStr">
        <is>
          <t>How many wheels or casters does this product have?</t>
        </is>
      </c>
      <c r="CU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CV5" s="35" t="inlineStr">
        <is>
          <t>Is this product ADA (Americans with Disabilities Act) compliant?</t>
        </is>
      </c>
      <c r="CW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CX5" s="35" t="inlineStr">
        <is>
          <t>Is this product certified compliant for CARB ATCM Phase II formaldehyde emission standards from Composite Wood Products [California Air Resources Board (CARB)- Airborne Toxic Control Measures (ATCM) Phase II]</t>
        </is>
      </c>
      <c r="CY5" s="35" t="inlineStr">
        <is>
          <t>Is this product certified TSCA Title VI compliant regarding formaldehyde emissions from Composite Wood Products [Environmental Protection Agency (EPA)-Toxic Substance Control Act (TSCA)-Title VI]</t>
        </is>
      </c>
      <c r="CZ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A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B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C5" s="35" t="inlineStr">
        <is>
          <t>Please select the reason this product can not ship to Canada?  Please select from the options or write in a reason if not selectable</t>
        </is>
      </c>
      <c r="DD5" s="35" t="inlineStr">
        <is>
          <t>Is this product compliant with the Lacey Act (a set of conservation laws also known as the Lacey Act of 1900)?</t>
        </is>
      </c>
      <c r="DE5" s="35" t="inlineStr">
        <is>
          <t>Does this product have a General Certificate of Conformity (GCC), as required by the U.S. CPSC for certain product classes?</t>
        </is>
      </c>
      <c r="DF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G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H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I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J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K5" s="35"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L5" s="35" t="inlineStr">
        <is>
          <t>Which of the following certification or verification marks does your product have? If the item is not certified/verified with any safety listing, please select Does Not Apply.</t>
        </is>
      </c>
      <c r="DM5" s="35"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DN5" s="35" t="inlineStr">
        <is>
          <t>Is the packaging for this SKU ISTA Certified (1A, 3A, 6A)?</t>
        </is>
      </c>
      <c r="DO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DP5" s="35" t="inlineStr">
        <is>
          <t>[Inches] What is the overall height of the product from top to bottom? Please enter just the number (e.g. 45.5).</t>
        </is>
      </c>
      <c r="DQ5" s="35" t="inlineStr">
        <is>
          <t>[Inches] What is overall width of the product from side to side? Please enter just the number (e.g. 45.5).</t>
        </is>
      </c>
      <c r="DR5" s="35" t="inlineStr">
        <is>
          <t>[Inches] What is the overall depth of the product from front to back? Please enter just the number (e.g. 45.5).</t>
        </is>
      </c>
      <c r="DS5" s="35" t="inlineStr">
        <is>
          <t>[Pounds] What is the total weight of this product once assembled? If this product includes multiples of the same item, add weight of one individual unit (e.g. 1 Dining Chair in a set of 2). Please enter just the number (i.e. 45.5).</t>
        </is>
      </c>
      <c r="DT5" s="35" t="inlineStr">
        <is>
          <t>Does the product require any form of assembly prior to use as intended?</t>
        </is>
      </c>
      <c r="DU5" s="35" t="inlineStr">
        <is>
          <t>Does the manufacturer warranty cover the use of this product in a commercial environment?</t>
        </is>
      </c>
      <c r="DV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DW5" s="35" t="inlineStr">
        <is>
          <t>Please indicate if there is a warranty on this product if it were to be used in a residential setting.</t>
        </is>
      </c>
      <c r="DX5" s="35"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Please choose one or more from the following, using a semicolon (;) to separate each value: Polycarbonate (PC); Polyethylene Plastic; Glass; Silicone; Stainless Steel; Melamine; Polypropylene; Cane; Raffia; Mango Wood; Aluminum; Linen Blend; Acrylic; Manufactured Wood; Limestone; Artificial Grass; Antler; HDPE; Jersey; Linen; Foam; Cowhide; Copper / Copper Plated; Engineered Wood; Cast Aluminum; Flat Wire; Crystal; Fleece / Microfiber; Cardboard / Paper; Chenille; Cherry Wood; Handblown Glass; Cement; Flannel; Chrome; Enamelware; Enameled Cast Iron; Agate / Geode; Fiberglass; Bronze; Cast Iron; Bamboo Slat / Seagrass; Beaded; Alpaca; Felt; Denim; Clay; Gel; Coir; Cardboard; Leather; Cashmere; Galvanized Steel; Hemp; Fireclay; Anodized Aluminum; Blended Fabric; Bamboo; Brass; Burlap; Ceramic; Canvas; Composite; Carbon Steel; Compressed Polyester; Ceramic / Porcelain; Bone China; Cedar; Concrete; Cotton; Earthenware; Engineered Stone; Concrete / Cement; Corrugated; Enamel / Lacquer; Cotton Blend; Compressed Stone; Copper; Faux Leather; Fabric; Faux Sheepskin; Fiberstone; Fine Silver; Hard-Anodized Aluminum; Granite; Heavy Gauge Wire; Faux Fur; Faux Mohair; Faux Cowhide; Iron; High Leaded Crystal; Marble; Lead Crystal; Ironstone; Leather / Faux Leather; Latex; Jute; Lead Free Crystal; Lace; Jute / Sisal; Laminate; Marble / Granite; Mercury Glass; Medium Density Fiberboard (MDF); Mesh; Merino Wool; Memory Foam; Natural Stone; Microfiber / Polyester; Natural Fiber; Microfiber; Natural Fibers; Magnet; Muslin; Metal; Microfiber / Microsuede; Paper; Olefin; Nickel; PEVA; Nylon; Oak; Oxford Fabric; Polyamide; Plywood; Pinecones; Plastic / Acrylic; Pewter; Polycarbonate Plastic; Nickel Plated; Plastic; Polyester; Polymer; Polyester Fill; Polystyrene; Polyvinyl Chloride (PVC); Polyurethane; Porcelain China; Powder Coated Steel; Polypropylene Plastic; Porcelain Enameled Steel; Porcelain; Powder Coated Aluminum; Polyester Blend; Polyresin; Polymarble; Polyurethane (PU); Sandstone; Silver; Sheepskin; Sateen; Rayon / Viscose; Rayon from Bamboo; Silver Plated</t>
        </is>
      </c>
      <c r="BQ6" s="35" t="inlineStr">
        <is>
          <t>Yes or No</t>
        </is>
      </c>
      <c r="BR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BS6" s="35" t="inlineStr">
        <is>
          <t>Number</t>
        </is>
      </c>
      <c r="BT6" s="35" t="inlineStr">
        <is>
          <t>Yes or No</t>
        </is>
      </c>
      <c r="BU6" s="35" t="inlineStr">
        <is>
          <t>Yes or No</t>
        </is>
      </c>
      <c r="BV6" s="35" t="inlineStr">
        <is>
          <t>Yes or No</t>
        </is>
      </c>
      <c r="BW6" s="35" t="inlineStr">
        <is>
          <t>Yes or No</t>
        </is>
      </c>
      <c r="BX6" s="35" t="inlineStr">
        <is>
          <t>Yes or No</t>
        </is>
      </c>
      <c r="BY6" s="35" t="inlineStr">
        <is>
          <t>Number</t>
        </is>
      </c>
      <c r="BZ6" s="36" t="inlineStr">
        <is>
          <t>Please choose one or more from the following, using a semicolon (;) to separate each value: Non Residential Use; Residential Use</t>
        </is>
      </c>
      <c r="CA6" s="36" t="inlineStr">
        <is>
          <t>Please choose one or more from the following, using a semicolon (;) to separate each value: Made in USA; Made in USA of Imported Materials; Product of Canada; Made In Canada; Does Not Apply</t>
        </is>
      </c>
      <c r="CB6" s="35" t="inlineStr">
        <is>
          <t>Yes or No</t>
        </is>
      </c>
      <c r="CC6" s="36" t="inlineStr">
        <is>
          <t>Select</t>
        </is>
      </c>
      <c r="CD6" s="36" t="inlineStr">
        <is>
          <t>Select</t>
        </is>
      </c>
      <c r="CE6" s="36" t="inlineStr">
        <is>
          <t>Select</t>
        </is>
      </c>
      <c r="CF6" s="36" t="inlineStr">
        <is>
          <t>Select</t>
        </is>
      </c>
      <c r="CG6" s="36" t="inlineStr">
        <is>
          <t>Select</t>
        </is>
      </c>
      <c r="CH6" s="36" t="inlineStr">
        <is>
          <t>Select</t>
        </is>
      </c>
      <c r="CI6" s="36" t="inlineStr">
        <is>
          <t>Select</t>
        </is>
      </c>
      <c r="CJ6" s="36" t="inlineStr">
        <is>
          <t>Please choose one or more from the following, using a semicolon (;) to separate each value: Wheels / Casters; Seat Cushion; Legs; Cover; Lid; Headboard; Back Cushion; Footboard; Tray; Pillow Top; Cushion Cover; Canopy; Shelves; Drawers; Mirror; Unavailable; Does Not Apply</t>
        </is>
      </c>
      <c r="CK6" s="35" t="inlineStr">
        <is>
          <t>Yes or No</t>
        </is>
      </c>
      <c r="CL6" s="35" t="inlineStr">
        <is>
          <t>Yes or No</t>
        </is>
      </c>
      <c r="CM6" s="36" t="inlineStr">
        <is>
          <t>Select</t>
        </is>
      </c>
      <c r="CN6" s="36"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O6" s="35" t="inlineStr">
        <is>
          <t>Whole Number</t>
        </is>
      </c>
      <c r="CP6" s="35" t="inlineStr">
        <is>
          <t>Yes or No</t>
        </is>
      </c>
      <c r="CQ6" s="36" t="inlineStr">
        <is>
          <t>Please choose one or more from the following, using a semicolon (;) to separate each value: Laptop; Projector; CPU; Printer; Keyboard; TV/Monitor; Unavailable; Does Not Apply</t>
        </is>
      </c>
      <c r="CR6" s="36" t="inlineStr">
        <is>
          <t>Please choose one or more from the following, using a semicolon (;) to separate each value: Drawers; Legs; Storage; TV Mount; Wheels / Casters; Cabinets; Unavailable; Does Not Apply</t>
        </is>
      </c>
      <c r="CS6" s="35" t="inlineStr">
        <is>
          <t>Whole Number</t>
        </is>
      </c>
      <c r="CT6" s="35" t="inlineStr">
        <is>
          <t>Whole Number</t>
        </is>
      </c>
      <c r="CU6" s="36" t="inlineStr">
        <is>
          <t>Select</t>
        </is>
      </c>
      <c r="CV6" s="35" t="inlineStr">
        <is>
          <t>Yes or No</t>
        </is>
      </c>
      <c r="CW6" s="35" t="inlineStr">
        <is>
          <t>Yes or No</t>
        </is>
      </c>
      <c r="CX6" s="36" t="inlineStr">
        <is>
          <t>Select</t>
        </is>
      </c>
      <c r="CY6" s="36" t="inlineStr">
        <is>
          <t>Select</t>
        </is>
      </c>
      <c r="CZ6" s="36" t="inlineStr">
        <is>
          <t>Select</t>
        </is>
      </c>
      <c r="DA6" s="36" t="inlineStr">
        <is>
          <t>Select</t>
        </is>
      </c>
      <c r="DB6" s="35" t="inlineStr">
        <is>
          <t>Yes or No</t>
        </is>
      </c>
      <c r="DC6" s="36" t="inlineStr">
        <is>
          <t>Please choose one or more from the following, using a semicolon (;) to separate each value: Dual Language; Distribution Conflict; Logistics; Does Not Apply</t>
        </is>
      </c>
      <c r="DD6" s="36" t="inlineStr">
        <is>
          <t>Select</t>
        </is>
      </c>
      <c r="DE6" s="36" t="inlineStr">
        <is>
          <t>Select</t>
        </is>
      </c>
      <c r="DF6" s="35" t="inlineStr">
        <is>
          <t>Yes or No</t>
        </is>
      </c>
      <c r="DG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H6" s="36" t="inlineStr">
        <is>
          <t>Select</t>
        </is>
      </c>
      <c r="DI6" s="36" t="inlineStr">
        <is>
          <t>Select</t>
        </is>
      </c>
      <c r="DJ6" s="36" t="inlineStr">
        <is>
          <t>Select</t>
        </is>
      </c>
      <c r="DK6" s="36" t="inlineStr">
        <is>
          <t>Select</t>
        </is>
      </c>
      <c r="DL6" s="36"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M6" s="35" t="inlineStr">
        <is>
          <t>Text</t>
        </is>
      </c>
      <c r="DN6" s="36" t="inlineStr">
        <is>
          <t>Select</t>
        </is>
      </c>
      <c r="DO6" s="35" t="inlineStr">
        <is>
          <t>Yes or No</t>
        </is>
      </c>
      <c r="DP6" s="35" t="inlineStr">
        <is>
          <t>Number</t>
        </is>
      </c>
      <c r="DQ6" s="35" t="inlineStr">
        <is>
          <t>Number</t>
        </is>
      </c>
      <c r="DR6" s="35" t="inlineStr">
        <is>
          <t>Number</t>
        </is>
      </c>
      <c r="DS6" s="35" t="inlineStr">
        <is>
          <t>Number</t>
        </is>
      </c>
      <c r="DT6" s="35" t="inlineStr">
        <is>
          <t>Yes or No</t>
        </is>
      </c>
      <c r="DU6" s="35" t="inlineStr">
        <is>
          <t>Yes or No</t>
        </is>
      </c>
      <c r="DV6" s="36" t="inlineStr">
        <is>
          <t>Select</t>
        </is>
      </c>
      <c r="DW6" s="35" t="inlineStr">
        <is>
          <t>Yes or No</t>
        </is>
      </c>
      <c r="DX6" s="36"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row>
    <row r="8">
      <c r="A8">
        <f t="array" ref="A8">_xlfn.BYROW(B8:DY507, _xlfn.LAMBDA(_xlpm.r, _xlfn.LET(_xlpm.high_priority_idx, IFERROR(MATCH(TRUE, (_xlpm.r = "Error") + (_xlpm.r = "Required") &gt; 0, 0), 0), IF(_xlpm.high_priority_idx &gt; 0, _xlpm.high_priority_idx + 1, IFERROR(MATCH(1, (_xlpm.r = "Warning") * 1, 0) + 1, "")))))</f>
        <v/>
      </c>
      <c r="B8" s="22">
        <f t="array" ref="B8">_xlfn.MAP('3 - Carts &amp; Stands'!B8:B507, '3 - Carts &amp; Stands'!B8:B507, '3 - Carts &amp; Stands-WUO_ERR'!B8:B507, _xlfn.LAMBDA(_xlpm.part, _xlpm.val, _xlpm.error, IF(_xlpm.part = "", "", IF(LEN(_xlpm.error), _xlfn.SWITCH(IFERROR(_xlfn.TEXTBEFORE(_xlpm.error,":"), ""), "1", "Error", "2", "Disabled", "3", "Required", "4", "Warning", "Valid"), "Valid"))))</f>
        <v/>
      </c>
      <c r="C8" s="22">
        <f t="array" ref="C8">_xlfn.MAP('3 - Carts &amp; Stands'!B8:B507, '3 - Carts &amp; Stands'!C8:C507, '3 - Carts &amp; Stands-WUO_ERR'!C8:C507, _xlfn.LAMBDA(_xlpm.part, _xlpm.val, _xlpm.error, IF(_xlpm.part = "", "", IF(LEN(_xlpm.error), _xlfn.SWITCH(IFERROR(_xlfn.TEXTBEFORE(_xlpm.error,":"), ""), "1", "Error", "2", "Disabled", "3", "Required", "4", "Warning", "Valid"), "Valid"))))</f>
        <v/>
      </c>
      <c r="D8" s="22">
        <f t="array" ref="D8">_xlfn.MAP('3 - Carts &amp; Stands'!B8:B507, '3 - Carts &amp; Stands'!D8:D507, '3 - Carts &amp; Stands-WUO_ERR'!D8:D507, _xlfn.LAMBDA(_xlpm.part, _xlpm.val, _xlpm.error, IF(_xlpm.part = "", "", IF(LEN(_xlpm.error), _xlfn.SWITCH(IFERROR(_xlfn.TEXTBEFORE(_xlpm.error,":"), ""), "1", "Error", "2", "Disabled", "3", "Required", "4", "Warning", "Valid"), "Valid"))))</f>
        <v/>
      </c>
      <c r="E8" s="22">
        <f t="array" ref="E8">_xlfn.MAP('3 - Carts &amp; Stands'!B8:B507, '3 - Carts &amp; Stands'!E8:E507, '3 - Carts &amp; Stands-WUO_ERR'!E8:E507, _xlfn.LAMBDA(_xlpm.part, _xlpm.val, _xlpm.error, IF(_xlpm.part = "", "", IF(LEN(_xlpm.error), _xlfn.SWITCH(IFERROR(_xlfn.TEXTBEFORE(_xlpm.error,":"), ""), "1", "Error", "2", "Disabled", "3", "Required", "4", "Warning", "Valid"), "Valid"))))</f>
        <v/>
      </c>
      <c r="F8" s="22">
        <f t="array" ref="F8">_xlfn.MAP('3 - Carts &amp; Stands'!B8:B507, '3 - Carts &amp; Stands'!F8:F507, '3 - Carts &amp; Stands-WUO_ERR'!F8:F507, _xlfn.LAMBDA(_xlpm.part, _xlpm.val, _xlpm.error, IF(_xlpm.part = "", "", IF(LEN(_xlpm.error), _xlfn.SWITCH(IFERROR(_xlfn.TEXTBEFORE(_xlpm.error,":"), ""), "1", "Error", "2", "Disabled", "3", "Required", "4", "Warning", "Valid"), "Valid"))))</f>
        <v/>
      </c>
      <c r="G8" s="22">
        <f t="array" ref="G8">_xlfn.MAP('3 - Carts &amp; Stands'!B8:B507, '3 - Carts &amp; Stands'!G8:G507, '3 - Carts &amp; Stands-WUO_ERR'!G8:G507, _xlfn.LAMBDA(_xlpm.part, _xlpm.val, _xlpm.error, IF(_xlpm.part = "", "", IF(LEN(_xlpm.error), _xlfn.SWITCH(IFERROR(_xlfn.TEXTBEFORE(_xlpm.error,":"), ""), "1", "Error", "2", "Disabled", "3", "Required", "4", "Warning", "Valid"), "Valid"))))</f>
        <v/>
      </c>
      <c r="H8" s="22">
        <f t="array" ref="H8">_xlfn.MAP('3 - Carts &amp; Stands'!B8:B507, '3 - Carts &amp; Stands'!H8:H507, '3 - Carts &amp; Stands-WUO_ERR'!H8:H507, _xlfn.LAMBDA(_xlpm.part, _xlpm.val, _xlpm.error, IF(_xlpm.part = "", "", IF(LEN(_xlpm.error), _xlfn.SWITCH(IFERROR(_xlfn.TEXTBEFORE(_xlpm.error,":"), ""), "1", "Error", "2", "Disabled", "3", "Required", "4", "Warning", "Valid"), "Valid"))))</f>
        <v/>
      </c>
      <c r="I8" s="22">
        <f t="array" ref="I8">_xlfn.MAP('3 - Carts &amp; Stands'!B8:B507, '3 - Carts &amp; Stands'!I8:I507, '3 - Carts &amp; Stands-WUO_ERR'!I8:I507, _xlfn.LAMBDA(_xlpm.part, _xlpm.val, _xlpm.error, IF(_xlpm.part = "", "", IF(LEN(_xlpm.error), _xlfn.SWITCH(IFERROR(_xlfn.TEXTBEFORE(_xlpm.error,":"), ""), "1", "Error", "2", "Disabled", "3", "Required", "4", "Warning", "Valid"), "Valid"))))</f>
        <v/>
      </c>
      <c r="J8" s="22">
        <f t="array" ref="J8">_xlfn.MAP('3 - Carts &amp; Stands'!B8:B507, '3 - Carts &amp; Stands'!J8:J507, '3 - Carts &amp; Stands-WUO_ERR'!J8:J507, _xlfn.LAMBDA(_xlpm.part, _xlpm.val, _xlpm.error, IF(_xlpm.part = "", "", IF(LEN(_xlpm.error), _xlfn.SWITCH(IFERROR(_xlfn.TEXTBEFORE(_xlpm.error,":"), ""), "1", "Error", "2", "Disabled", "3", "Required", "4", "Warning", "Valid"), "Valid"))))</f>
        <v/>
      </c>
      <c r="K8" s="22">
        <f t="array" ref="K8">_xlfn.MAP('3 - Carts &amp; Stands'!B8:B507, '3 - Carts &amp; Stands'!K8:K507, '3 - Carts &amp; Stands-WUO_ERR'!K8:K507, _xlfn.LAMBDA(_xlpm.part, _xlpm.val, _xlpm.error, IF(_xlpm.part = "", "", IF(LEN(_xlpm.error), _xlfn.SWITCH(IFERROR(_xlfn.TEXTBEFORE(_xlpm.error,":"), ""), "1", "Error", "2", "Disabled", "3", "Required", "4", "Warning", "Valid"), "Valid"))))</f>
        <v/>
      </c>
      <c r="L8" s="22">
        <f t="array" ref="L8">_xlfn.MAP('3 - Carts &amp; Stands'!B8:B507, '3 - Carts &amp; Stands'!L8:L507, '3 - Carts &amp; Stands-WUO_ERR'!L8:L507, _xlfn.LAMBDA(_xlpm.part, _xlpm.val, _xlpm.error, IF(_xlpm.part = "", "", IF(LEN(_xlpm.error), _xlfn.SWITCH(IFERROR(_xlfn.TEXTBEFORE(_xlpm.error,":"), ""), "1", "Error", "2", "Disabled", "3", "Required", "4", "Warning", "Valid"), "Valid"))))</f>
        <v/>
      </c>
      <c r="M8" s="22">
        <f t="array" ref="M8">_xlfn.MAP('3 - Carts &amp; Stands'!B8:B507, '3 - Carts &amp; Stands'!M8:M507, '3 - Carts &amp; Stands-WUO_ERR'!M8:M507, _xlfn.LAMBDA(_xlpm.part, _xlpm.val, _xlpm.error, IF(_xlpm.part = "", "", IF(LEN(_xlpm.error), _xlfn.SWITCH(IFERROR(_xlfn.TEXTBEFORE(_xlpm.error,":"), ""), "1", "Error", "2", "Disabled", "3", "Required", "4", "Warning", "Valid"), "Valid"))))</f>
        <v/>
      </c>
      <c r="N8" s="22">
        <f t="array" ref="N8">_xlfn.MAP('3 - Carts &amp; Stands'!B8:B507, '3 - Carts &amp; Stands'!N8:N507, '3 - Carts &amp; Stands-WUO_ERR'!N8:N507, _xlfn.LAMBDA(_xlpm.part, _xlpm.val, _xlpm.error, IF(_xlpm.part = "", "", IF(LEN(_xlpm.error), _xlfn.SWITCH(IFERROR(_xlfn.TEXTBEFORE(_xlpm.error,":"), ""), "1", "Error", "2", "Disabled", "3", "Required", "4", "Warning", "Valid"), "Valid"))))</f>
        <v/>
      </c>
      <c r="O8" s="22">
        <f t="array" ref="O8">_xlfn.MAP('3 - Carts &amp; Stands'!B8:B507, '3 - Carts &amp; Stands'!O8:O507, '3 - Carts &amp; Stands-WUO_ERR'!O8:O507, _xlfn.LAMBDA(_xlpm.part, _xlpm.val, _xlpm.error, IF(_xlpm.part = "", "", IF(LEN(_xlpm.error), _xlfn.SWITCH(IFERROR(_xlfn.TEXTBEFORE(_xlpm.error,":"), ""), "1", "Error", "2", "Disabled", "3", "Required", "4", "Warning", "Valid"), "Valid"))))</f>
        <v/>
      </c>
      <c r="P8" s="22">
        <f t="array" ref="P8">_xlfn.MAP('3 - Carts &amp; Stands'!B8:B507, '3 - Carts &amp; Stands'!P8:P507, '3 - Carts &amp; Stands-WUO_ERR'!P8:P507, _xlfn.LAMBDA(_xlpm.part, _xlpm.val, _xlpm.error, IF(_xlpm.part = "", "", IF(LEN(_xlpm.error), _xlfn.SWITCH(IFERROR(_xlfn.TEXTBEFORE(_xlpm.error,":"), ""), "1", "Error", "2", "Disabled", "3", "Required", "4", "Warning", "Valid"), "Valid"))))</f>
        <v/>
      </c>
      <c r="Q8" s="22">
        <f t="array" ref="Q8">_xlfn.MAP('3 - Carts &amp; Stands'!B8:B507, '3 - Carts &amp; Stands'!Q8:Q507, '3 - Carts &amp; Stands-WUO_ERR'!Q8:Q507, _xlfn.LAMBDA(_xlpm.part, _xlpm.val, _xlpm.error, IF(_xlpm.part = "", "", IF(LEN(_xlpm.error), _xlfn.SWITCH(IFERROR(_xlfn.TEXTBEFORE(_xlpm.error,":"), ""), "1", "Error", "2", "Disabled", "3", "Required", "4", "Warning", "Valid"), "Valid"))))</f>
        <v/>
      </c>
      <c r="R8" s="22">
        <f t="array" ref="R8">_xlfn.MAP('3 - Carts &amp; Stands'!B8:B507, '3 - Carts &amp; Stands'!R8:R507, '3 - Carts &amp; Stands-WUO_ERR'!R8:R507, _xlfn.LAMBDA(_xlpm.part, _xlpm.val, _xlpm.error, IF(_xlpm.part = "", "", IF(LEN(_xlpm.error), _xlfn.SWITCH(IFERROR(_xlfn.TEXTBEFORE(_xlpm.error,":"), ""), "1", "Error", "2", "Disabled", "3", "Required", "4", "Warning", "Valid"), "Valid"))))</f>
        <v/>
      </c>
      <c r="S8" s="22">
        <f t="array" ref="S8">_xlfn.MAP('3 - Carts &amp; Stands'!B8:B507, '3 - Carts &amp; Stands'!S8:S507, '3 - Carts &amp; Stands-WUO_ERR'!S8:S507, _xlfn.LAMBDA(_xlpm.part, _xlpm.val, _xlpm.error, IF(_xlpm.part = "", "", IF(LEN(_xlpm.error), _xlfn.SWITCH(IFERROR(_xlfn.TEXTBEFORE(_xlpm.error,":"), ""), "1", "Error", "2", "Disabled", "3", "Required", "4", "Warning", "Valid"), "Valid"))))</f>
        <v/>
      </c>
      <c r="T8" s="22">
        <f t="array" ref="T8">_xlfn.MAP('3 - Carts &amp; Stands'!B8:B507, '3 - Carts &amp; Stands'!T8:T507, '3 - Carts &amp; Stands-WUO_ERR'!T8:T507, _xlfn.LAMBDA(_xlpm.part, _xlpm.val, _xlpm.error, IF(_xlpm.part = "", "", IF(LEN(_xlpm.error), _xlfn.SWITCH(IFERROR(_xlfn.TEXTBEFORE(_xlpm.error,":"), ""), "1", "Error", "2", "Disabled", "3", "Required", "4", "Warning", "Valid"), "Valid"))))</f>
        <v/>
      </c>
      <c r="U8" s="22">
        <f t="array" ref="U8">_xlfn.MAP('3 - Carts &amp; Stands'!B8:B507, '3 - Carts &amp; Stands'!U8:U507, '3 - Carts &amp; Stands-WUO_ERR'!U8:U507, _xlfn.LAMBDA(_xlpm.part, _xlpm.val, _xlpm.error, IF(_xlpm.part = "", "", IF(LEN(_xlpm.error), _xlfn.SWITCH(IFERROR(_xlfn.TEXTBEFORE(_xlpm.error,":"), ""), "1", "Error", "2", "Disabled", "3", "Required", "4", "Warning", "Valid"), "Valid"))))</f>
        <v/>
      </c>
      <c r="V8" s="22">
        <f t="array" ref="V8">_xlfn.MAP('3 - Carts &amp; Stands'!B8:B507, '3 - Carts &amp; Stands'!V8:V507, '3 - Carts &amp; Stands-WUO_ERR'!V8:V507, _xlfn.LAMBDA(_xlpm.part, _xlpm.val, _xlpm.error, IF(_xlpm.part = "", "", IF(LEN(_xlpm.error), _xlfn.SWITCH(IFERROR(_xlfn.TEXTBEFORE(_xlpm.error,":"), ""), "1", "Error", "2", "Disabled", "3", "Required", "4", "Warning", "Valid"), "Valid"))))</f>
        <v/>
      </c>
      <c r="W8" s="22">
        <f t="array" ref="W8">_xlfn.MAP('3 - Carts &amp; Stands'!B8:B507, '3 - Carts &amp; Stands'!W8:W507, '3 - Carts &amp; Stands-WUO_ERR'!W8:W507, _xlfn.LAMBDA(_xlpm.part, _xlpm.val, _xlpm.error, IF(_xlpm.part = "", "", IF(LEN(_xlpm.error), _xlfn.SWITCH(IFERROR(_xlfn.TEXTBEFORE(_xlpm.error,":"), ""), "1", "Error", "2", "Disabled", "3", "Required", "4", "Warning", "Valid"), "Valid"))))</f>
        <v/>
      </c>
      <c r="X8" s="22">
        <f t="array" ref="X8">_xlfn.MAP('3 - Carts &amp; Stands'!B8:B507, '3 - Carts &amp; Stands'!X8:X507, '3 - Carts &amp; Stands-WUO_ERR'!X8:X507, _xlfn.LAMBDA(_xlpm.part, _xlpm.val, _xlpm.error, IF(_xlpm.part = "", "", IF(LEN(_xlpm.error), _xlfn.SWITCH(IFERROR(_xlfn.TEXTBEFORE(_xlpm.error,":"), ""), "1", "Error", "2", "Disabled", "3", "Required", "4", "Warning", "Valid"), "Valid"))))</f>
        <v/>
      </c>
      <c r="Y8" s="22">
        <f t="array" ref="Y8">_xlfn.MAP('3 - Carts &amp; Stands'!B8:B507, '3 - Carts &amp; Stands'!Y8:Y507, '3 - Carts &amp; Stands-WUO_ERR'!Y8:Y507, _xlfn.LAMBDA(_xlpm.part, _xlpm.val, _xlpm.error, IF(_xlpm.part = "", "", IF(LEN(_xlpm.error), _xlfn.SWITCH(IFERROR(_xlfn.TEXTBEFORE(_xlpm.error,":"), ""), "1", "Error", "2", "Disabled", "3", "Required", "4", "Warning", "Valid"), "Valid"))))</f>
        <v/>
      </c>
      <c r="Z8" s="22">
        <f t="array" ref="Z8">_xlfn.MAP('3 - Carts &amp; Stands'!B8:B507, '3 - Carts &amp; Stands'!Z8:Z507, '3 - Carts &amp; Stands-WUO_ERR'!Z8:Z507, _xlfn.LAMBDA(_xlpm.part, _xlpm.val, _xlpm.error, IF(_xlpm.part = "", "", IF(LEN(_xlpm.error), _xlfn.SWITCH(IFERROR(_xlfn.TEXTBEFORE(_xlpm.error,":"), ""), "1", "Error", "2", "Disabled", "3", "Required", "4", "Warning", "Valid"), "Valid"))))</f>
        <v/>
      </c>
      <c r="AA8" s="22">
        <f t="array" ref="AA8">_xlfn.MAP('3 - Carts &amp; Stands'!B8:B507, '3 - Carts &amp; Stands'!AA8:AA507, '3 - Carts &amp; Stands-WUO_ERR'!AA8:AA507, _xlfn.LAMBDA(_xlpm.part, _xlpm.val, _xlpm.error, IF(_xlpm.part = "", "", IF(LEN(_xlpm.error), _xlfn.SWITCH(IFERROR(_xlfn.TEXTBEFORE(_xlpm.error,":"), ""), "1", "Error", "2", "Disabled", "3", "Required", "4", "Warning", "Valid"), "Valid"))))</f>
        <v/>
      </c>
      <c r="AB8" s="22">
        <f t="array" ref="AB8">_xlfn.MAP('3 - Carts &amp; Stands'!B8:B507, '3 - Carts &amp; Stands'!AB8:AB507, '3 - Carts &amp; Stands-WUO_ERR'!AB8:AB507, _xlfn.LAMBDA(_xlpm.part, _xlpm.val, _xlpm.error, IF(_xlpm.part = "", "", IF(LEN(_xlpm.error), _xlfn.SWITCH(IFERROR(_xlfn.TEXTBEFORE(_xlpm.error,":"), ""), "1", "Error", "2", "Disabled", "3", "Required", "4", "Warning", "Valid"), "Valid"))))</f>
        <v/>
      </c>
      <c r="AC8" s="22">
        <f t="array" ref="AC8">_xlfn.MAP('3 - Carts &amp; Stands'!B8:B507, '3 - Carts &amp; Stands'!AC8:AC507, '3 - Carts &amp; Stands-WUO_ERR'!AC8:AC507, _xlfn.LAMBDA(_xlpm.part, _xlpm.val, _xlpm.error, IF(_xlpm.part = "", "", IF(LEN(_xlpm.error), _xlfn.SWITCH(IFERROR(_xlfn.TEXTBEFORE(_xlpm.error,":"), ""), "1", "Error", "2", "Disabled", "3", "Required", "4", "Warning", "Valid"), "Valid"))))</f>
        <v/>
      </c>
      <c r="AD8" s="22">
        <f t="array" ref="AD8">_xlfn.MAP('3 - Carts &amp; Stands'!B8:B507, '3 - Carts &amp; Stands'!AD8:AD507, '3 - Carts &amp; Stands-WUO_ERR'!AD8:AD507, _xlfn.LAMBDA(_xlpm.part, _xlpm.val, _xlpm.error, IF(_xlpm.part = "", "", IF(LEN(_xlpm.error), _xlfn.SWITCH(IFERROR(_xlfn.TEXTBEFORE(_xlpm.error,":"), ""), "1", "Error", "2", "Disabled", "3", "Required", "4", "Warning", "Valid"), "Valid"))))</f>
        <v/>
      </c>
      <c r="AE8" s="22">
        <f t="array" ref="AE8">_xlfn.MAP('3 - Carts &amp; Stands'!B8:B507, '3 - Carts &amp; Stands'!AE8:AE507, '3 - Carts &amp; Stands-WUO_ERR'!AE8:AE507, _xlfn.LAMBDA(_xlpm.part, _xlpm.val, _xlpm.error, IF(_xlpm.part = "", "", IF(LEN(_xlpm.error), _xlfn.SWITCH(IFERROR(_xlfn.TEXTBEFORE(_xlpm.error,":"), ""), "1", "Error", "2", "Disabled", "3", "Required", "4", "Warning", "Valid"), "Valid"))))</f>
        <v/>
      </c>
      <c r="AF8" s="22">
        <f t="array" ref="AF8">_xlfn.MAP('3 - Carts &amp; Stands'!B8:B507, '3 - Carts &amp; Stands'!AF8:AF507, '3 - Carts &amp; Stands-WUO_ERR'!AF8:AF507, _xlfn.LAMBDA(_xlpm.part, _xlpm.val, _xlpm.error, IF(_xlpm.part = "", "", IF(LEN(_xlpm.error), _xlfn.SWITCH(IFERROR(_xlfn.TEXTBEFORE(_xlpm.error,":"), ""), "1", "Error", "2", "Disabled", "3", "Required", "4", "Warning", "Valid"), "Valid"))))</f>
        <v/>
      </c>
      <c r="AG8" s="22">
        <f t="array" ref="AG8">_xlfn.MAP('3 - Carts &amp; Stands'!B8:B507, '3 - Carts &amp; Stands'!AG8:AG507, '3 - Carts &amp; Stands-WUO_ERR'!AG8:AG507, _xlfn.LAMBDA(_xlpm.part, _xlpm.val, _xlpm.error, IF(_xlpm.part = "", "", IF(LEN(_xlpm.error), _xlfn.SWITCH(IFERROR(_xlfn.TEXTBEFORE(_xlpm.error,":"), ""), "1", "Error", "2", "Disabled", "3", "Required", "4", "Warning", "Valid"), "Valid"))))</f>
        <v/>
      </c>
      <c r="AH8" s="22">
        <f t="array" ref="AH8">_xlfn.MAP('3 - Carts &amp; Stands'!B8:B507, '3 - Carts &amp; Stands'!AH8:AH507, '3 - Carts &amp; Stands-WUO_ERR'!AH8:AH507, _xlfn.LAMBDA(_xlpm.part, _xlpm.val, _xlpm.error, IF(_xlpm.part = "", "", IF(LEN(_xlpm.error), _xlfn.SWITCH(IFERROR(_xlfn.TEXTBEFORE(_xlpm.error,":"), ""), "1", "Error", "2", "Disabled", "3", "Required", "4", "Warning", "Valid"), "Valid"))))</f>
        <v/>
      </c>
      <c r="AI8" s="22">
        <f t="array" ref="AI8">_xlfn.MAP('3 - Carts &amp; Stands'!B8:B507, '3 - Carts &amp; Stands'!AI8:AI507, '3 - Carts &amp; Stands-WUO_ERR'!AI8:AI507, _xlfn.LAMBDA(_xlpm.part, _xlpm.val, _xlpm.error, IF(_xlpm.part = "", "", IF(LEN(_xlpm.error), _xlfn.SWITCH(IFERROR(_xlfn.TEXTBEFORE(_xlpm.error,":"), ""), "1", "Error", "2", "Disabled", "3", "Required", "4", "Warning", "Valid"), "Valid"))))</f>
        <v/>
      </c>
      <c r="AJ8" s="22">
        <f t="array" ref="AJ8">_xlfn.MAP('3 - Carts &amp; Stands'!B8:B507, '3 - Carts &amp; Stands'!AJ8:AJ507, '3 - Carts &amp; Stands-WUO_ERR'!AJ8:AJ507, _xlfn.LAMBDA(_xlpm.part, _xlpm.val, _xlpm.error, IF(_xlpm.part = "", "", IF(LEN(_xlpm.error), _xlfn.SWITCH(IFERROR(_xlfn.TEXTBEFORE(_xlpm.error,":"), ""), "1", "Error", "2", "Disabled", "3", "Required", "4", "Warning", "Valid"), "Valid"))))</f>
        <v/>
      </c>
      <c r="AK8" s="22">
        <f t="array" ref="AK8">_xlfn.MAP('3 - Carts &amp; Stands'!B8:B507, '3 - Carts &amp; Stands'!AK8:AK507, '3 - Carts &amp; Stands-WUO_ERR'!AK8:AK507, _xlfn.LAMBDA(_xlpm.part, _xlpm.val, _xlpm.error, IF(_xlpm.part = "", "", IF(LEN(_xlpm.error), _xlfn.SWITCH(IFERROR(_xlfn.TEXTBEFORE(_xlpm.error,":"), ""), "1", "Error", "2", "Disabled", "3", "Required", "4", "Warning", "Valid"), "Valid"))))</f>
        <v/>
      </c>
      <c r="AL8" s="22">
        <f t="array" ref="AL8">_xlfn.MAP('3 - Carts &amp; Stands'!B8:B507, '3 - Carts &amp; Stands'!AL8:AL507, '3 - Carts &amp; Stands-WUO_ERR'!AL8:AL507, _xlfn.LAMBDA(_xlpm.part, _xlpm.val, _xlpm.error, IF(_xlpm.part = "", "", IF(LEN(_xlpm.error), _xlfn.SWITCH(IFERROR(_xlfn.TEXTBEFORE(_xlpm.error,":"), ""), "1", "Error", "2", "Disabled", "3", "Required", "4", "Warning", "Valid"), "Valid"))))</f>
        <v/>
      </c>
      <c r="AM8" s="22">
        <f t="array" ref="AM8">_xlfn.MAP('3 - Carts &amp; Stands'!B8:B507, '3 - Carts &amp; Stands'!AM8:AM507, '3 - Carts &amp; Stands-WUO_ERR'!AM8:AM507, _xlfn.LAMBDA(_xlpm.part, _xlpm.val, _xlpm.error, IF(_xlpm.part = "", "", IF(LEN(_xlpm.error), _xlfn.SWITCH(IFERROR(_xlfn.TEXTBEFORE(_xlpm.error,":"), ""), "1", "Error", "2", "Disabled", "3", "Required", "4", "Warning", "Valid"), "Valid"))))</f>
        <v/>
      </c>
      <c r="AN8" s="22">
        <f t="array" ref="AN8">_xlfn.MAP('3 - Carts &amp; Stands'!B8:B507, '3 - Carts &amp; Stands'!AN8:AN507, '3 - Carts &amp; Stands-WUO_ERR'!AN8:AN507, _xlfn.LAMBDA(_xlpm.part, _xlpm.val, _xlpm.error, IF(_xlpm.part = "", "", IF(LEN(_xlpm.error), _xlfn.SWITCH(IFERROR(_xlfn.TEXTBEFORE(_xlpm.error,":"), ""), "1", "Error", "2", "Disabled", "3", "Required", "4", "Warning", "Valid"), "Valid"))))</f>
        <v/>
      </c>
      <c r="AO8" s="22">
        <f t="array" ref="AO8">_xlfn.MAP('3 - Carts &amp; Stands'!B8:B507, '3 - Carts &amp; Stands'!AO8:AO507, '3 - Carts &amp; Stands-WUO_ERR'!AO8:AO507, _xlfn.LAMBDA(_xlpm.part, _xlpm.val, _xlpm.error, IF(_xlpm.part = "", "", IF(LEN(_xlpm.error), _xlfn.SWITCH(IFERROR(_xlfn.TEXTBEFORE(_xlpm.error,":"), ""), "1", "Error", "2", "Disabled", "3", "Required", "4", "Warning", "Valid"), "Valid"))))</f>
        <v/>
      </c>
      <c r="AP8" s="22">
        <f t="array" ref="AP8">_xlfn.MAP('3 - Carts &amp; Stands'!B8:B507, '3 - Carts &amp; Stands'!AP8:AP507, '3 - Carts &amp; Stands-WUO_ERR'!AP8:AP507, _xlfn.LAMBDA(_xlpm.part, _xlpm.val, _xlpm.error, IF(_xlpm.part = "", "", IF(LEN(_xlpm.error), _xlfn.SWITCH(IFERROR(_xlfn.TEXTBEFORE(_xlpm.error,":"), ""), "1", "Error", "2", "Disabled", "3", "Required", "4", "Warning", "Valid"), "Valid"))))</f>
        <v/>
      </c>
      <c r="AQ8" s="22">
        <f t="array" ref="AQ8">_xlfn.MAP('3 - Carts &amp; Stands'!B8:B507, '3 - Carts &amp; Stands'!AQ8:AQ507, '3 - Carts &amp; Stands-WUO_ERR'!AQ8:AQ507, _xlfn.LAMBDA(_xlpm.part, _xlpm.val, _xlpm.error, IF(_xlpm.part = "", "", IF(LEN(_xlpm.error), _xlfn.SWITCH(IFERROR(_xlfn.TEXTBEFORE(_xlpm.error,":"), ""), "1", "Error", "2", "Disabled", "3", "Required", "4", "Warning", "Valid"), "Valid"))))</f>
        <v/>
      </c>
      <c r="AR8" s="22">
        <f t="array" ref="AR8">_xlfn.MAP('3 - Carts &amp; Stands'!B8:B507, '3 - Carts &amp; Stands'!AR8:AR507, '3 - Carts &amp; Stands-WUO_ERR'!AR8:AR507, _xlfn.LAMBDA(_xlpm.part, _xlpm.val, _xlpm.error, IF(_xlpm.part = "", "", IF(LEN(_xlpm.error), _xlfn.SWITCH(IFERROR(_xlfn.TEXTBEFORE(_xlpm.error,":"), ""), "1", "Error", "2", "Disabled", "3", "Required", "4", "Warning", "Valid"), "Valid"))))</f>
        <v/>
      </c>
      <c r="AS8" s="22">
        <f t="array" ref="AS8">_xlfn.MAP('3 - Carts &amp; Stands'!B8:B507, '3 - Carts &amp; Stands'!AS8:AS507, '3 - Carts &amp; Stands-WUO_ERR'!AS8:AS507, _xlfn.LAMBDA(_xlpm.part, _xlpm.val, _xlpm.error, IF(_xlpm.part = "", "", IF(LEN(_xlpm.error), _xlfn.SWITCH(IFERROR(_xlfn.TEXTBEFORE(_xlpm.error,":"), ""), "1", "Error", "2", "Disabled", "3", "Required", "4", "Warning", "Valid"), "Valid"))))</f>
        <v/>
      </c>
      <c r="AT8" s="22">
        <f t="array" ref="AT8">_xlfn.MAP('3 - Carts &amp; Stands'!B8:B507, '3 - Carts &amp; Stands'!AT8:AT507, '3 - Carts &amp; Stands-WUO_ERR'!AT8:AT507, _xlfn.LAMBDA(_xlpm.part, _xlpm.val, _xlpm.error, IF(_xlpm.part = "", "", IF(LEN(_xlpm.error), _xlfn.SWITCH(IFERROR(_xlfn.TEXTBEFORE(_xlpm.error,":"), ""), "1", "Error", "2", "Disabled", "3", "Required", "4", "Warning", "Valid"), "Valid"))))</f>
        <v/>
      </c>
      <c r="AU8" s="22">
        <f t="array" ref="AU8">_xlfn.MAP('3 - Carts &amp; Stands'!B8:B507, '3 - Carts &amp; Stands'!AU8:AU507, '3 - Carts &amp; Stands-WUO_ERR'!AU8:AU507, _xlfn.LAMBDA(_xlpm.part, _xlpm.val, _xlpm.error, IF(_xlpm.part = "", "", IF(LEN(_xlpm.error), _xlfn.SWITCH(IFERROR(_xlfn.TEXTBEFORE(_xlpm.error,":"), ""), "1", "Error", "2", "Disabled", "3", "Required", "4", "Warning", "Valid"), "Valid"))))</f>
        <v/>
      </c>
      <c r="AV8" s="22">
        <f t="array" ref="AV8">_xlfn.MAP('3 - Carts &amp; Stands'!B8:B507, '3 - Carts &amp; Stands'!AV8:AV507, '3 - Carts &amp; Stands-WUO_ERR'!AV8:AV507, _xlfn.LAMBDA(_xlpm.part, _xlpm.val, _xlpm.error, IF(_xlpm.part = "", "", IF(LEN(_xlpm.error), _xlfn.SWITCH(IFERROR(_xlfn.TEXTBEFORE(_xlpm.error,":"), ""), "1", "Error", "2", "Disabled", "3", "Required", "4", "Warning", "Valid"), "Valid"))))</f>
        <v/>
      </c>
      <c r="AW8" s="22">
        <f t="array" ref="AW8">_xlfn.MAP('3 - Carts &amp; Stands'!B8:B507, '3 - Carts &amp; Stands'!AW8:AW507, '3 - Carts &amp; Stands-WUO_ERR'!AW8:AW507, _xlfn.LAMBDA(_xlpm.part, _xlpm.val, _xlpm.error, IF(_xlpm.part = "", "", IF(LEN(_xlpm.error), _xlfn.SWITCH(IFERROR(_xlfn.TEXTBEFORE(_xlpm.error,":"), ""), "1", "Error", "2", "Disabled", "3", "Required", "4", "Warning", "Valid"), "Valid"))))</f>
        <v/>
      </c>
      <c r="AX8" s="22">
        <f t="array" ref="AX8">_xlfn.MAP('3 - Carts &amp; Stands'!B8:B507, '3 - Carts &amp; Stands'!AX8:AX507, '3 - Carts &amp; Stands-WUO_ERR'!AX8:AX507, _xlfn.LAMBDA(_xlpm.part, _xlpm.val, _xlpm.error, IF(_xlpm.part = "", "", IF(LEN(_xlpm.error), _xlfn.SWITCH(IFERROR(_xlfn.TEXTBEFORE(_xlpm.error,":"), ""), "1", "Error", "2", "Disabled", "3", "Required", "4", "Warning", "Valid"), "Valid"))))</f>
        <v/>
      </c>
      <c r="AY8" s="22">
        <f t="array" ref="AY8">_xlfn.MAP('3 - Carts &amp; Stands'!B8:B507, '3 - Carts &amp; Stands'!AY8:AY507, '3 - Carts &amp; Stands-WUO_ERR'!AY8:AY507, _xlfn.LAMBDA(_xlpm.part, _xlpm.val, _xlpm.error, IF(_xlpm.part = "", "", IF(LEN(_xlpm.error), _xlfn.SWITCH(IFERROR(_xlfn.TEXTBEFORE(_xlpm.error,":"), ""), "1", "Error", "2", "Disabled", "3", "Required", "4", "Warning", "Valid"), "Valid"))))</f>
        <v/>
      </c>
      <c r="AZ8" s="22">
        <f t="array" ref="AZ8">_xlfn.MAP('3 - Carts &amp; Stands'!B8:B507, '3 - Carts &amp; Stands'!AZ8:AZ507, '3 - Carts &amp; Stands-WUO_ERR'!AZ8:AZ507, _xlfn.LAMBDA(_xlpm.part, _xlpm.val, _xlpm.error, IF(_xlpm.part = "", "", IF(LEN(_xlpm.error), _xlfn.SWITCH(IFERROR(_xlfn.TEXTBEFORE(_xlpm.error,":"), ""), "1", "Error", "2", "Disabled", "3", "Required", "4", "Warning", "Valid"), "Valid"))))</f>
        <v/>
      </c>
      <c r="BA8" s="22">
        <f t="array" ref="BA8">_xlfn.MAP('3 - Carts &amp; Stands'!B8:B507, '3 - Carts &amp; Stands'!BA8:BA507, '3 - Carts &amp; Stands-WUO_ERR'!BA8:BA507, _xlfn.LAMBDA(_xlpm.part, _xlpm.val, _xlpm.error, IF(_xlpm.part = "", "", IF(LEN(_xlpm.error), _xlfn.SWITCH(IFERROR(_xlfn.TEXTBEFORE(_xlpm.error,":"), ""), "1", "Error", "2", "Disabled", "3", "Required", "4", "Warning", "Valid"), "Valid"))))</f>
        <v/>
      </c>
      <c r="BB8" s="22">
        <f t="array" ref="BB8">_xlfn.MAP('3 - Carts &amp; Stands'!B8:B507, '3 - Carts &amp; Stands'!BB8:BB507, '3 - Carts &amp; Stands-WUO_ERR'!BB8:BB507, _xlfn.LAMBDA(_xlpm.part, _xlpm.val, _xlpm.error, IF(_xlpm.part = "", "", IF(LEN(_xlpm.error), _xlfn.SWITCH(IFERROR(_xlfn.TEXTBEFORE(_xlpm.error,":"), ""), "1", "Error", "2", "Disabled", "3", "Required", "4", "Warning", "Valid"), "Valid"))))</f>
        <v/>
      </c>
      <c r="BC8" s="22">
        <f t="array" ref="BC8">_xlfn.MAP('3 - Carts &amp; Stands'!B8:B507, '3 - Carts &amp; Stands'!BC8:BC507, '3 - Carts &amp; Stands-WUO_ERR'!BC8:BC507, _xlfn.LAMBDA(_xlpm.part, _xlpm.val, _xlpm.error, IF(_xlpm.part = "", "", IF(LEN(_xlpm.error), _xlfn.SWITCH(IFERROR(_xlfn.TEXTBEFORE(_xlpm.error,":"), ""), "1", "Error", "2", "Disabled", "3", "Required", "4", "Warning", "Valid"), "Valid"))))</f>
        <v/>
      </c>
      <c r="BD8" s="22">
        <f t="array" ref="BD8">_xlfn.MAP('3 - Carts &amp; Stands'!B8:B507, '3 - Carts &amp; Stands'!BD8:BD507, '3 - Carts &amp; Stands-WUO_ERR'!BD8:BD507, _xlfn.LAMBDA(_xlpm.part, _xlpm.val, _xlpm.error, IF(_xlpm.part = "", "", IF(LEN(_xlpm.error), _xlfn.SWITCH(IFERROR(_xlfn.TEXTBEFORE(_xlpm.error,":"), ""), "1", "Error", "2", "Disabled", "3", "Required", "4", "Warning", "Valid"), "Valid"))))</f>
        <v/>
      </c>
      <c r="BE8" s="22">
        <f t="array" ref="BE8">_xlfn.MAP('3 - Carts &amp; Stands'!B8:B507, '3 - Carts &amp; Stands'!BE8:BE507, '3 - Carts &amp; Stands-WUO_ERR'!BE8:BE507, _xlfn.LAMBDA(_xlpm.part, _xlpm.val, _xlpm.error, IF(_xlpm.part = "", "", IF(LEN(_xlpm.error), _xlfn.SWITCH(IFERROR(_xlfn.TEXTBEFORE(_xlpm.error,":"), ""), "1", "Error", "2", "Disabled", "3", "Required", "4", "Warning", "Valid"), "Valid"))))</f>
        <v/>
      </c>
      <c r="BF8" s="22">
        <f t="array" ref="BF8">_xlfn.MAP('3 - Carts &amp; Stands'!B8:B507, '3 - Carts &amp; Stands'!BF8:BF507, '3 - Carts &amp; Stands-WUO_ERR'!BF8:BF507, _xlfn.LAMBDA(_xlpm.part, _xlpm.val, _xlpm.error, IF(_xlpm.part = "", "", IF(LEN(_xlpm.error), _xlfn.SWITCH(IFERROR(_xlfn.TEXTBEFORE(_xlpm.error,":"), ""), "1", "Error", "2", "Disabled", "3", "Required", "4", "Warning", "Valid"), "Valid"))))</f>
        <v/>
      </c>
      <c r="BG8" s="22">
        <f t="array" ref="BG8">_xlfn.MAP('3 - Carts &amp; Stands'!B8:B507, '3 - Carts &amp; Stands'!BG8:BG507, '3 - Carts &amp; Stands-WUO_ERR'!BG8:BG507, _xlfn.LAMBDA(_xlpm.part, _xlpm.val, _xlpm.error, IF(_xlpm.part = "", "", IF(LEN(_xlpm.error), _xlfn.SWITCH(IFERROR(_xlfn.TEXTBEFORE(_xlpm.error,":"), ""), "1", "Error", "2", "Disabled", "3", "Required", "4", "Warning", "Valid"), "Valid"))))</f>
        <v/>
      </c>
      <c r="BH8" s="22">
        <f t="array" ref="BH8">_xlfn.MAP('3 - Carts &amp; Stands'!B8:B507, '3 - Carts &amp; Stands'!BH8:BH507, '3 - Carts &amp; Stands-WUO_ERR'!BH8:BH507, _xlfn.LAMBDA(_xlpm.part, _xlpm.val, _xlpm.error, IF(_xlpm.part = "", "", IF(LEN(_xlpm.error), _xlfn.SWITCH(IFERROR(_xlfn.TEXTBEFORE(_xlpm.error,":"), ""), "1", "Error", "2", "Disabled", "3", "Required", "4", "Warning", "Valid"), "Valid"))))</f>
        <v/>
      </c>
      <c r="BI8" s="22">
        <f t="array" ref="BI8">_xlfn.MAP('3 - Carts &amp; Stands'!B8:B507, '3 - Carts &amp; Stands'!BI8:BI507, '3 - Carts &amp; Stands-WUO_ERR'!BI8:BI507, _xlfn.LAMBDA(_xlpm.part, _xlpm.val, _xlpm.error, IF(_xlpm.part = "", "", IF(LEN(_xlpm.error), _xlfn.SWITCH(IFERROR(_xlfn.TEXTBEFORE(_xlpm.error,":"), ""), "1", "Error", "2", "Disabled", "3", "Required", "4", "Warning", "Valid"), "Valid"))))</f>
        <v/>
      </c>
      <c r="BJ8" s="22">
        <f t="array" ref="BJ8">_xlfn.MAP('3 - Carts &amp; Stands'!B8:B507, '3 - Carts &amp; Stands'!BJ8:BJ507, '3 - Carts &amp; Stands-WUO_ERR'!BJ8:BJ507, _xlfn.LAMBDA(_xlpm.part, _xlpm.val, _xlpm.error, IF(_xlpm.part = "", "", IF(LEN(_xlpm.error), _xlfn.SWITCH(IFERROR(_xlfn.TEXTBEFORE(_xlpm.error,":"), ""), "1", "Error", "2", "Disabled", "3", "Required", "4", "Warning", "Valid"), "Valid"))))</f>
        <v/>
      </c>
      <c r="BK8" s="22">
        <f t="array" ref="BK8">_xlfn.MAP('3 - Carts &amp; Stands'!B8:B507, '3 - Carts &amp; Stands'!BK8:BK507, '3 - Carts &amp; Stands-WUO_ERR'!BK8:BK507, _xlfn.LAMBDA(_xlpm.part, _xlpm.val, _xlpm.error, IF(_xlpm.part = "", "", IF(LEN(_xlpm.error), _xlfn.SWITCH(IFERROR(_xlfn.TEXTBEFORE(_xlpm.error,":"), ""), "1", "Error", "2", "Disabled", "3", "Required", "4", "Warning", "Valid"), "Valid"))))</f>
        <v/>
      </c>
      <c r="BL8" s="22">
        <f t="array" ref="BL8">_xlfn.MAP('3 - Carts &amp; Stands'!B8:B507, '3 - Carts &amp; Stands'!BL8:BL507, '3 - Carts &amp; Stands-WUO_ERR'!BL8:BL507, _xlfn.LAMBDA(_xlpm.part, _xlpm.val, _xlpm.error, IF(_xlpm.part = "", "", IF(LEN(_xlpm.error), _xlfn.SWITCH(IFERROR(_xlfn.TEXTBEFORE(_xlpm.error,":"), ""), "1", "Error", "2", "Disabled", "3", "Required", "4", "Warning", "Valid"), "Valid"))))</f>
        <v/>
      </c>
      <c r="BM8" s="22">
        <f t="array" ref="BM8">_xlfn.MAP('3 - Carts &amp; Stands'!B8:B507, '3 - Carts &amp; Stands'!BM8:BM507, '3 - Carts &amp; Stands-WUO_ERR'!BM8:BM507, _xlfn.LAMBDA(_xlpm.part, _xlpm.val, _xlpm.error, IF(_xlpm.part = "", "", IF(LEN(_xlpm.error), _xlfn.SWITCH(IFERROR(_xlfn.TEXTBEFORE(_xlpm.error,":"), ""), "1", "Error", "2", "Disabled", "3", "Required", "4", "Warning", "Valid"), "Valid"))))</f>
        <v/>
      </c>
      <c r="BN8" s="22">
        <f t="array" ref="BN8">_xlfn.MAP('3 - Carts &amp; Stands'!B8:B507, '3 - Carts &amp; Stands'!BN8:BN507, '3 - Carts &amp; Stands-WUO_ERR'!BN8:BN507, _xlfn.LAMBDA(_xlpm.part, _xlpm.val, _xlpm.error, IF(_xlpm.part = "", "", IF(LEN(_xlpm.error), _xlfn.SWITCH(IFERROR(_xlfn.TEXTBEFORE(_xlpm.error,":"), ""), "1", "Error", "2", "Disabled", "3", "Required", "4", "Warning", "Valid"), "Valid"))))</f>
        <v/>
      </c>
      <c r="BO8" s="22">
        <f t="array" ref="BO8">_xlfn.MAP('3 - Carts &amp; Stands'!B8:B507, '3 - Carts &amp; Stands'!BO8:BO507, '3 - Carts &amp; Stands-WUO_ERR'!BO8:BO507, _xlfn.LAMBDA(_xlpm.part, _xlpm.val, _xlpm.error, IF(_xlpm.part = "", "", IF(LEN(_xlpm.error), _xlfn.SWITCH(IFERROR(_xlfn.TEXTBEFORE(_xlpm.error,":"), ""), "1", "Error", "2", "Disabled", "3", "Required", "4", "Warning", "Valid"), "Valid"))))</f>
        <v/>
      </c>
      <c r="BP8" s="22">
        <f t="array" ref="BP8">_xlfn.MAP('3 - Carts &amp; Stands'!B8:B507, '3 - Carts &amp; Stands'!BP8:BP507, '3 - Carts &amp; Stands-WUO_ERR'!BP8:BP507, _xlfn.LAMBDA(_xlpm.part, _xlpm.val, _xlpm.error, IF(_xlpm.part = "", "", IF(LEN(_xlpm.error), _xlfn.SWITCH(IFERROR(_xlfn.TEXTBEFORE(_xlpm.error,":"), ""), "1", "Error", "2", "Disabled", "3", "Required", "4", "Warning", "Valid"), "Valid"))))</f>
        <v/>
      </c>
      <c r="BQ8" s="22">
        <f t="array" ref="BQ8">_xlfn.MAP('3 - Carts &amp; Stands'!B8:B507, '3 - Carts &amp; Stands'!BQ8:BQ507, '3 - Carts &amp; Stands-WUO_ERR'!BQ8:BQ507, _xlfn.LAMBDA(_xlpm.part, _xlpm.val, _xlpm.error, IF(_xlpm.part = "", "", IF(LEN(_xlpm.error), _xlfn.SWITCH(IFERROR(_xlfn.TEXTBEFORE(_xlpm.error,":"), ""), "1", "Error", "2", "Disabled", "3", "Required", "4", "Warning", "Valid"), "Valid"))))</f>
        <v/>
      </c>
      <c r="BR8" s="22">
        <f t="array" ref="BR8">_xlfn.MAP('3 - Carts &amp; Stands'!B8:B507, '3 - Carts &amp; Stands'!BR8:BR507, '3 - Carts &amp; Stands-WUO_ERR'!BR8:BR507, _xlfn.LAMBDA(_xlpm.part, _xlpm.val, _xlpm.error, IF(_xlpm.part = "", "", IF(LEN(_xlpm.error), _xlfn.SWITCH(IFERROR(_xlfn.TEXTBEFORE(_xlpm.error,":"), ""), "1", "Error", "2", "Disabled", "3", "Required", "4", "Warning", "Valid"), "Valid"))))</f>
        <v/>
      </c>
      <c r="BS8" s="22">
        <f t="array" ref="BS8">_xlfn.MAP('3 - Carts &amp; Stands'!B8:B507, '3 - Carts &amp; Stands'!BS8:BS507, '3 - Carts &amp; Stands-WUO_ERR'!BS8:BS507, _xlfn.LAMBDA(_xlpm.part, _xlpm.val, _xlpm.error, IF(_xlpm.part = "", "", IF(LEN(_xlpm.error), _xlfn.SWITCH(IFERROR(_xlfn.TEXTBEFORE(_xlpm.error,":"), ""), "1", "Error", "2", "Disabled", "3", "Required", "4", "Warning", "Valid"), "Valid"))))</f>
        <v/>
      </c>
      <c r="BT8" s="22">
        <f t="array" ref="BT8">_xlfn.MAP('3 - Carts &amp; Stands'!B8:B507, '3 - Carts &amp; Stands'!BT8:BT507, '3 - Carts &amp; Stands-WUO_ERR'!BT8:BT507, _xlfn.LAMBDA(_xlpm.part, _xlpm.val, _xlpm.error, IF(_xlpm.part = "", "", IF(LEN(_xlpm.error), _xlfn.SWITCH(IFERROR(_xlfn.TEXTBEFORE(_xlpm.error,":"), ""), "1", "Error", "2", "Disabled", "3", "Required", "4", "Warning", "Valid"), "Valid"))))</f>
        <v/>
      </c>
      <c r="BU8" s="22">
        <f t="array" ref="BU8">_xlfn.MAP('3 - Carts &amp; Stands'!B8:B507, '3 - Carts &amp; Stands'!BU8:BU507, '3 - Carts &amp; Stands-WUO_ERR'!BU8:BU507, _xlfn.LAMBDA(_xlpm.part, _xlpm.val, _xlpm.error, IF(_xlpm.part = "", "", IF(LEN(_xlpm.error), _xlfn.SWITCH(IFERROR(_xlfn.TEXTBEFORE(_xlpm.error,":"), ""), "1", "Error", "2", "Disabled", "3", "Required", "4", "Warning", "Valid"), "Valid"))))</f>
        <v/>
      </c>
      <c r="BV8" s="22">
        <f t="array" ref="BV8">_xlfn.MAP('3 - Carts &amp; Stands'!B8:B507, '3 - Carts &amp; Stands'!BV8:BV507, '3 - Carts &amp; Stands-WUO_ERR'!BV8:BV507, _xlfn.LAMBDA(_xlpm.part, _xlpm.val, _xlpm.error, IF(_xlpm.part = "", "", IF(LEN(_xlpm.error), _xlfn.SWITCH(IFERROR(_xlfn.TEXTBEFORE(_xlpm.error,":"), ""), "1", "Error", "2", "Disabled", "3", "Required", "4", "Warning", "Valid"), "Valid"))))</f>
        <v/>
      </c>
      <c r="BW8" s="22">
        <f t="array" ref="BW8">_xlfn.MAP('3 - Carts &amp; Stands'!B8:B507, '3 - Carts &amp; Stands'!BW8:BW507, '3 - Carts &amp; Stands-WUO_ERR'!BW8:BW507, _xlfn.LAMBDA(_xlpm.part, _xlpm.val, _xlpm.error, IF(_xlpm.part = "", "", IF(LEN(_xlpm.error), _xlfn.SWITCH(IFERROR(_xlfn.TEXTBEFORE(_xlpm.error,":"), ""), "1", "Error", "2", "Disabled", "3", "Required", "4", "Warning", "Valid"), "Valid"))))</f>
        <v/>
      </c>
      <c r="BX8" s="22">
        <f t="array" ref="BX8">_xlfn.MAP('3 - Carts &amp; Stands'!B8:B507, '3 - Carts &amp; Stands'!BX8:BX507, '3 - Carts &amp; Stands-WUO_ERR'!BX8:BX507, _xlfn.LAMBDA(_xlpm.part, _xlpm.val, _xlpm.error, IF(_xlpm.part = "", "", IF(LEN(_xlpm.error), _xlfn.SWITCH(IFERROR(_xlfn.TEXTBEFORE(_xlpm.error,":"), ""), "1", "Error", "2", "Disabled", "3", "Required", "4", "Warning", "Valid"), "Valid"))))</f>
        <v/>
      </c>
      <c r="BY8" s="22">
        <f t="array" ref="BY8">_xlfn.MAP('3 - Carts &amp; Stands'!B8:B507, '3 - Carts &amp; Stands'!BY8:BY507, '3 - Carts &amp; Stands-WUO_ERR'!BY8:BY507, _xlfn.LAMBDA(_xlpm.part, _xlpm.val, _xlpm.error, IF(_xlpm.part = "", "", IF(LEN(_xlpm.error), _xlfn.SWITCH(IFERROR(_xlfn.TEXTBEFORE(_xlpm.error,":"), ""), "1", "Error", "2", "Disabled", "3", "Required", "4", "Warning", "Valid"), "Valid"))))</f>
        <v/>
      </c>
      <c r="BZ8" s="22">
        <f t="array" ref="BZ8">_xlfn.MAP('3 - Carts &amp; Stands'!B8:B507, '3 - Carts &amp; Stands'!BZ8:BZ507, '3 - Carts &amp; Stands-WUO_ERR'!BZ8:BZ507, _xlfn.LAMBDA(_xlpm.part, _xlpm.val, _xlpm.error, IF(_xlpm.part = "", "", IF(LEN(_xlpm.error), _xlfn.SWITCH(IFERROR(_xlfn.TEXTBEFORE(_xlpm.error,":"), ""), "1", "Error", "2", "Disabled", "3", "Required", "4", "Warning", "Valid"), "Valid"))))</f>
        <v/>
      </c>
      <c r="CA8" s="22">
        <f t="array" ref="CA8">_xlfn.MAP('3 - Carts &amp; Stands'!B8:B507, '3 - Carts &amp; Stands'!CA8:CA507, '3 - Carts &amp; Stands-WUO_ERR'!CA8:CA507, _xlfn.LAMBDA(_xlpm.part, _xlpm.val, _xlpm.error, IF(_xlpm.part = "", "", IF(LEN(_xlpm.error), _xlfn.SWITCH(IFERROR(_xlfn.TEXTBEFORE(_xlpm.error,":"), ""), "1", "Error", "2", "Disabled", "3", "Required", "4", "Warning", "Valid"), "Valid"))))</f>
        <v/>
      </c>
      <c r="CB8" s="22">
        <f t="array" ref="CB8">_xlfn.MAP('3 - Carts &amp; Stands'!B8:B507, '3 - Carts &amp; Stands'!CB8:CB507, '3 - Carts &amp; Stands-WUO_ERR'!CB8:CB507, _xlfn.LAMBDA(_xlpm.part, _xlpm.val, _xlpm.error, IF(_xlpm.part = "", "", IF(LEN(_xlpm.error), _xlfn.SWITCH(IFERROR(_xlfn.TEXTBEFORE(_xlpm.error,":"), ""), "1", "Error", "2", "Disabled", "3", "Required", "4", "Warning", "Valid"), "Valid"))))</f>
        <v/>
      </c>
      <c r="CC8" s="22">
        <f t="array" ref="CC8">_xlfn.MAP('3 - Carts &amp; Stands'!B8:B507, '3 - Carts &amp; Stands'!CC8:CC507, '3 - Carts &amp; Stands-WUO_ERR'!CC8:CC507, _xlfn.LAMBDA(_xlpm.part, _xlpm.val, _xlpm.error, IF(_xlpm.part = "", "", IF(LEN(_xlpm.error), _xlfn.SWITCH(IFERROR(_xlfn.TEXTBEFORE(_xlpm.error,":"), ""), "1", "Error", "2", "Disabled", "3", "Required", "4", "Warning", "Valid"), "Valid"))))</f>
        <v/>
      </c>
      <c r="CD8" s="22">
        <f t="array" ref="CD8">_xlfn.MAP('3 - Carts &amp; Stands'!B8:B507, '3 - Carts &amp; Stands'!CD8:CD507, '3 - Carts &amp; Stands-WUO_ERR'!CD8:CD507, _xlfn.LAMBDA(_xlpm.part, _xlpm.val, _xlpm.error, IF(_xlpm.part = "", "", IF(LEN(_xlpm.error), _xlfn.SWITCH(IFERROR(_xlfn.TEXTBEFORE(_xlpm.error,":"), ""), "1", "Error", "2", "Disabled", "3", "Required", "4", "Warning", "Valid"), "Valid"))))</f>
        <v/>
      </c>
      <c r="CE8" s="22">
        <f t="array" ref="CE8">_xlfn.MAP('3 - Carts &amp; Stands'!B8:B507, '3 - Carts &amp; Stands'!CE8:CE507, '3 - Carts &amp; Stands-WUO_ERR'!CE8:CE507, _xlfn.LAMBDA(_xlpm.part, _xlpm.val, _xlpm.error, IF(_xlpm.part = "", "", IF(LEN(_xlpm.error), _xlfn.SWITCH(IFERROR(_xlfn.TEXTBEFORE(_xlpm.error,":"), ""), "1", "Error", "2", "Disabled", "3", "Required", "4", "Warning", "Valid"), "Valid"))))</f>
        <v/>
      </c>
      <c r="CF8" s="22">
        <f t="array" ref="CF8">_xlfn.MAP('3 - Carts &amp; Stands'!B8:B507, '3 - Carts &amp; Stands'!CF8:CF507, '3 - Carts &amp; Stands-WUO_ERR'!CF8:CF507, _xlfn.LAMBDA(_xlpm.part, _xlpm.val, _xlpm.error, IF(_xlpm.part = "", "", IF(LEN(_xlpm.error), _xlfn.SWITCH(IFERROR(_xlfn.TEXTBEFORE(_xlpm.error,":"), ""), "1", "Error", "2", "Disabled", "3", "Required", "4", "Warning", "Valid"), "Valid"))))</f>
        <v/>
      </c>
      <c r="CG8" s="22">
        <f t="array" ref="CG8">_xlfn.MAP('3 - Carts &amp; Stands'!B8:B507, '3 - Carts &amp; Stands'!CG8:CG507, '3 - Carts &amp; Stands-WUO_ERR'!CG8:CG507, _xlfn.LAMBDA(_xlpm.part, _xlpm.val, _xlpm.error, IF(_xlpm.part = "", "", IF(LEN(_xlpm.error), _xlfn.SWITCH(IFERROR(_xlfn.TEXTBEFORE(_xlpm.error,":"), ""), "1", "Error", "2", "Disabled", "3", "Required", "4", "Warning", "Valid"), "Valid"))))</f>
        <v/>
      </c>
      <c r="CH8" s="22">
        <f t="array" ref="CH8">_xlfn.MAP('3 - Carts &amp; Stands'!B8:B507, '3 - Carts &amp; Stands'!CH8:CH507, '3 - Carts &amp; Stands-WUO_ERR'!CH8:CH507, _xlfn.LAMBDA(_xlpm.part, _xlpm.val, _xlpm.error, IF(_xlpm.part = "", "", IF(LEN(_xlpm.error), _xlfn.SWITCH(IFERROR(_xlfn.TEXTBEFORE(_xlpm.error,":"), ""), "1", "Error", "2", "Disabled", "3", "Required", "4", "Warning", "Valid"), "Valid"))))</f>
        <v/>
      </c>
      <c r="CI8" s="22">
        <f t="array" ref="CI8">_xlfn.MAP('3 - Carts &amp; Stands'!B8:B507, '3 - Carts &amp; Stands'!CI8:CI507, '3 - Carts &amp; Stands-WUO_ERR'!CI8:CI507, _xlfn.LAMBDA(_xlpm.part, _xlpm.val, _xlpm.error, IF(_xlpm.part = "", "", IF(LEN(_xlpm.error), _xlfn.SWITCH(IFERROR(_xlfn.TEXTBEFORE(_xlpm.error,":"), ""), "1", "Error", "2", "Disabled", "3", "Required", "4", "Warning", "Valid"), "Valid"))))</f>
        <v/>
      </c>
      <c r="CJ8" s="22">
        <f t="array" ref="CJ8">_xlfn.MAP('3 - Carts &amp; Stands'!B8:B507, '3 - Carts &amp; Stands'!CJ8:CJ507, '3 - Carts &amp; Stands-WUO_ERR'!CJ8:CJ507, _xlfn.LAMBDA(_xlpm.part, _xlpm.val, _xlpm.error, IF(_xlpm.part = "", "", IF(LEN(_xlpm.error), _xlfn.SWITCH(IFERROR(_xlfn.TEXTBEFORE(_xlpm.error,":"), ""), "1", "Error", "2", "Disabled", "3", "Required", "4", "Warning", "Valid"), "Valid"))))</f>
        <v/>
      </c>
      <c r="CK8" s="22">
        <f t="array" ref="CK8">_xlfn.MAP('3 - Carts &amp; Stands'!B8:B507, '3 - Carts &amp; Stands'!CK8:CK507, '3 - Carts &amp; Stands-WUO_ERR'!CK8:CK507, _xlfn.LAMBDA(_xlpm.part, _xlpm.val, _xlpm.error, IF(_xlpm.part = "", "", IF(LEN(_xlpm.error), _xlfn.SWITCH(IFERROR(_xlfn.TEXTBEFORE(_xlpm.error,":"), ""), "1", "Error", "2", "Disabled", "3", "Required", "4", "Warning", "Valid"), "Valid"))))</f>
        <v/>
      </c>
      <c r="CL8" s="22">
        <f t="array" ref="CL8">_xlfn.MAP('3 - Carts &amp; Stands'!B8:B507, '3 - Carts &amp; Stands'!CL8:CL507, '3 - Carts &amp; Stands-WUO_ERR'!CL8:CL507, _xlfn.LAMBDA(_xlpm.part, _xlpm.val, _xlpm.error, IF(_xlpm.part = "", "", IF(LEN(_xlpm.error), _xlfn.SWITCH(IFERROR(_xlfn.TEXTBEFORE(_xlpm.error,":"), ""), "1", "Error", "2", "Disabled", "3", "Required", "4", "Warning", "Valid"), "Valid"))))</f>
        <v/>
      </c>
      <c r="CM8" s="22">
        <f t="array" ref="CM8">_xlfn.MAP('3 - Carts &amp; Stands'!B8:B507, '3 - Carts &amp; Stands'!CM8:CM507, '3 - Carts &amp; Stands-WUO_ERR'!CM8:CM507, _xlfn.LAMBDA(_xlpm.part, _xlpm.val, _xlpm.error, IF(_xlpm.part = "", "", IF(LEN(_xlpm.error), _xlfn.SWITCH(IFERROR(_xlfn.TEXTBEFORE(_xlpm.error,":"), ""), "1", "Error", "2", "Disabled", "3", "Required", "4", "Warning", "Valid"), "Valid"))))</f>
        <v/>
      </c>
      <c r="CN8" s="22">
        <f t="array" ref="CN8">_xlfn.MAP('3 - Carts &amp; Stands'!B8:B507, '3 - Carts &amp; Stands'!CN8:CN507, '3 - Carts &amp; Stands-WUO_ERR'!CN8:CN507, _xlfn.LAMBDA(_xlpm.part, _xlpm.val, _xlpm.error, IF(_xlpm.part = "", "", IF(LEN(_xlpm.error), _xlfn.SWITCH(IFERROR(_xlfn.TEXTBEFORE(_xlpm.error,":"), ""), "1", "Error", "2", "Disabled", "3", "Required", "4", "Warning", "Valid"), "Valid"))))</f>
        <v/>
      </c>
      <c r="CO8" s="22">
        <f t="array" ref="CO8">_xlfn.MAP('3 - Carts &amp; Stands'!B8:B507, '3 - Carts &amp; Stands'!CO8:CO507, '3 - Carts &amp; Stands-WUO_ERR'!CO8:CO507, _xlfn.LAMBDA(_xlpm.part, _xlpm.val, _xlpm.error, IF(_xlpm.part = "", "", IF(LEN(_xlpm.error), _xlfn.SWITCH(IFERROR(_xlfn.TEXTBEFORE(_xlpm.error,":"), ""), "1", "Error", "2", "Disabled", "3", "Required", "4", "Warning", "Valid"), "Valid"))))</f>
        <v/>
      </c>
      <c r="CP8" s="22">
        <f t="array" ref="CP8">_xlfn.MAP('3 - Carts &amp; Stands'!B8:B507, '3 - Carts &amp; Stands'!CP8:CP507, '3 - Carts &amp; Stands-WUO_ERR'!CP8:CP507, _xlfn.LAMBDA(_xlpm.part, _xlpm.val, _xlpm.error, IF(_xlpm.part = "", "", IF(LEN(_xlpm.error), _xlfn.SWITCH(IFERROR(_xlfn.TEXTBEFORE(_xlpm.error,":"), ""), "1", "Error", "2", "Disabled", "3", "Required", "4", "Warning", "Valid"), "Valid"))))</f>
        <v/>
      </c>
      <c r="CQ8" s="22">
        <f t="array" ref="CQ8">_xlfn.MAP('3 - Carts &amp; Stands'!B8:B507, '3 - Carts &amp; Stands'!CQ8:CQ507, '3 - Carts &amp; Stands-WUO_ERR'!CQ8:CQ507, _xlfn.LAMBDA(_xlpm.part, _xlpm.val, _xlpm.error, IF(_xlpm.part = "", "", IF(LEN(_xlpm.error), _xlfn.SWITCH(IFERROR(_xlfn.TEXTBEFORE(_xlpm.error,":"), ""), "1", "Error", "2", "Disabled", "3", "Required", "4", "Warning", "Valid"), "Valid"))))</f>
        <v/>
      </c>
      <c r="CR8" s="22">
        <f t="array" ref="CR8">_xlfn.MAP('3 - Carts &amp; Stands'!B8:B507, '3 - Carts &amp; Stands'!CR8:CR507, '3 - Carts &amp; Stands-WUO_ERR'!CR8:CR507, _xlfn.LAMBDA(_xlpm.part, _xlpm.val, _xlpm.error, IF(_xlpm.part = "", "", IF(LEN(_xlpm.error), _xlfn.SWITCH(IFERROR(_xlfn.TEXTBEFORE(_xlpm.error,":"), ""), "1", "Error", "2", "Disabled", "3", "Required", "4", "Warning", "Valid"), "Valid"))))</f>
        <v/>
      </c>
      <c r="CS8" s="22">
        <f t="array" ref="CS8">_xlfn.MAP('3 - Carts &amp; Stands'!B8:B507, '3 - Carts &amp; Stands'!CS8:CS507, '3 - Carts &amp; Stands-WUO_ERR'!CS8:CS507, _xlfn.LAMBDA(_xlpm.part, _xlpm.val, _xlpm.error, IF(_xlpm.part = "", "", IF(LEN(_xlpm.error), _xlfn.SWITCH(IFERROR(_xlfn.TEXTBEFORE(_xlpm.error,":"), ""), "1", "Error", "2", "Disabled", "3", "Required", "4", "Warning", "Valid"), "Valid"))))</f>
        <v/>
      </c>
      <c r="CT8" s="22">
        <f t="array" ref="CT8">_xlfn.MAP('3 - Carts &amp; Stands'!B8:B507, '3 - Carts &amp; Stands'!CT8:CT507, '3 - Carts &amp; Stands-WUO_ERR'!CT8:CT507, _xlfn.LAMBDA(_xlpm.part, _xlpm.val, _xlpm.error, IF(_xlpm.part = "", "", IF(LEN(_xlpm.error), _xlfn.SWITCH(IFERROR(_xlfn.TEXTBEFORE(_xlpm.error,":"), ""), "1", "Error", "2", "Disabled", "3", "Required", "4", "Warning", "Valid"), "Valid"))))</f>
        <v/>
      </c>
      <c r="CU8" s="22">
        <f t="array" ref="CU8">_xlfn.MAP('3 - Carts &amp; Stands'!B8:B507, '3 - Carts &amp; Stands'!CU8:CU507, '3 - Carts &amp; Stands-WUO_ERR'!CU8:CU507, _xlfn.LAMBDA(_xlpm.part, _xlpm.val, _xlpm.error, IF(_xlpm.part = "", "", IF(LEN(_xlpm.error), _xlfn.SWITCH(IFERROR(_xlfn.TEXTBEFORE(_xlpm.error,":"), ""), "1", "Error", "2", "Disabled", "3", "Required", "4", "Warning", "Valid"), "Valid"))))</f>
        <v/>
      </c>
      <c r="CV8" s="22">
        <f t="array" ref="CV8">_xlfn.MAP('3 - Carts &amp; Stands'!B8:B507, '3 - Carts &amp; Stands'!CV8:CV507, '3 - Carts &amp; Stands-WUO_ERR'!CV8:CV507, _xlfn.LAMBDA(_xlpm.part, _xlpm.val, _xlpm.error, IF(_xlpm.part = "", "", IF(LEN(_xlpm.error), _xlfn.SWITCH(IFERROR(_xlfn.TEXTBEFORE(_xlpm.error,":"), ""), "1", "Error", "2", "Disabled", "3", "Required", "4", "Warning", "Valid"), "Valid"))))</f>
        <v/>
      </c>
      <c r="CW8" s="22">
        <f t="array" ref="CW8">_xlfn.MAP('3 - Carts &amp; Stands'!B8:B507, '3 - Carts &amp; Stands'!CW8:CW507, '3 - Carts &amp; Stands-WUO_ERR'!CW8:CW507, _xlfn.LAMBDA(_xlpm.part, _xlpm.val, _xlpm.error, IF(_xlpm.part = "", "", IF(LEN(_xlpm.error), _xlfn.SWITCH(IFERROR(_xlfn.TEXTBEFORE(_xlpm.error,":"), ""), "1", "Error", "2", "Disabled", "3", "Required", "4", "Warning", "Valid"), "Valid"))))</f>
        <v/>
      </c>
      <c r="CX8" s="22">
        <f t="array" ref="CX8">_xlfn.MAP('3 - Carts &amp; Stands'!B8:B507, '3 - Carts &amp; Stands'!CX8:CX507, '3 - Carts &amp; Stands-WUO_ERR'!CX8:CX507, _xlfn.LAMBDA(_xlpm.part, _xlpm.val, _xlpm.error, IF(_xlpm.part = "", "", IF(LEN(_xlpm.error), _xlfn.SWITCH(IFERROR(_xlfn.TEXTBEFORE(_xlpm.error,":"), ""), "1", "Error", "2", "Disabled", "3", "Required", "4", "Warning", "Valid"), "Valid"))))</f>
        <v/>
      </c>
      <c r="CY8" s="22">
        <f t="array" ref="CY8">_xlfn.MAP('3 - Carts &amp; Stands'!B8:B507, '3 - Carts &amp; Stands'!CY8:CY507, '3 - Carts &amp; Stands-WUO_ERR'!CY8:CY507, _xlfn.LAMBDA(_xlpm.part, _xlpm.val, _xlpm.error, IF(_xlpm.part = "", "", IF(LEN(_xlpm.error), _xlfn.SWITCH(IFERROR(_xlfn.TEXTBEFORE(_xlpm.error,":"), ""), "1", "Error", "2", "Disabled", "3", "Required", "4", "Warning", "Valid"), "Valid"))))</f>
        <v/>
      </c>
      <c r="CZ8" s="22">
        <f t="array" ref="CZ8">_xlfn.MAP('3 - Carts &amp; Stands'!B8:B507, '3 - Carts &amp; Stands'!CZ8:CZ507, '3 - Carts &amp; Stands-WUO_ERR'!CZ8:CZ507, _xlfn.LAMBDA(_xlpm.part, _xlpm.val, _xlpm.error, IF(_xlpm.part = "", "", IF(LEN(_xlpm.error), _xlfn.SWITCH(IFERROR(_xlfn.TEXTBEFORE(_xlpm.error,":"), ""), "1", "Error", "2", "Disabled", "3", "Required", "4", "Warning", "Valid"), "Valid"))))</f>
        <v/>
      </c>
      <c r="DA8" s="22">
        <f t="array" ref="DA8">_xlfn.MAP('3 - Carts &amp; Stands'!B8:B507, '3 - Carts &amp; Stands'!DA8:DA507, '3 - Carts &amp; Stands-WUO_ERR'!DA8:DA507, _xlfn.LAMBDA(_xlpm.part, _xlpm.val, _xlpm.error, IF(_xlpm.part = "", "", IF(LEN(_xlpm.error), _xlfn.SWITCH(IFERROR(_xlfn.TEXTBEFORE(_xlpm.error,":"), ""), "1", "Error", "2", "Disabled", "3", "Required", "4", "Warning", "Valid"), "Valid"))))</f>
        <v/>
      </c>
      <c r="DB8" s="22">
        <f t="array" ref="DB8">_xlfn.MAP('3 - Carts &amp; Stands'!B8:B507, '3 - Carts &amp; Stands'!DB8:DB507, '3 - Carts &amp; Stands-WUO_ERR'!DB8:DB507, _xlfn.LAMBDA(_xlpm.part, _xlpm.val, _xlpm.error, IF(_xlpm.part = "", "", IF(LEN(_xlpm.error), _xlfn.SWITCH(IFERROR(_xlfn.TEXTBEFORE(_xlpm.error,":"), ""), "1", "Error", "2", "Disabled", "3", "Required", "4", "Warning", "Valid"), "Valid"))))</f>
        <v/>
      </c>
      <c r="DC8" s="22">
        <f t="array" ref="DC8">_xlfn.MAP('3 - Carts &amp; Stands'!B8:B507, '3 - Carts &amp; Stands'!DC8:DC507, '3 - Carts &amp; Stands-WUO_ERR'!DC8:DC507, _xlfn.LAMBDA(_xlpm.part, _xlpm.val, _xlpm.error, IF(_xlpm.part = "", "", IF(LEN(_xlpm.error), _xlfn.SWITCH(IFERROR(_xlfn.TEXTBEFORE(_xlpm.error,":"), ""), "1", "Error", "2", "Disabled", "3", "Required", "4", "Warning", "Valid"), "Valid"))))</f>
        <v/>
      </c>
      <c r="DD8" s="22">
        <f t="array" ref="DD8">_xlfn.MAP('3 - Carts &amp; Stands'!B8:B507, '3 - Carts &amp; Stands'!DD8:DD507, '3 - Carts &amp; Stands-WUO_ERR'!DD8:DD507, _xlfn.LAMBDA(_xlpm.part, _xlpm.val, _xlpm.error, IF(_xlpm.part = "", "", IF(LEN(_xlpm.error), _xlfn.SWITCH(IFERROR(_xlfn.TEXTBEFORE(_xlpm.error,":"), ""), "1", "Error", "2", "Disabled", "3", "Required", "4", "Warning", "Valid"), "Valid"))))</f>
        <v/>
      </c>
      <c r="DE8" s="22">
        <f t="array" ref="DE8">_xlfn.MAP('3 - Carts &amp; Stands'!B8:B507, '3 - Carts &amp; Stands'!DE8:DE507, '3 - Carts &amp; Stands-WUO_ERR'!DE8:DE507, _xlfn.LAMBDA(_xlpm.part, _xlpm.val, _xlpm.error, IF(_xlpm.part = "", "", IF(LEN(_xlpm.error), _xlfn.SWITCH(IFERROR(_xlfn.TEXTBEFORE(_xlpm.error,":"), ""), "1", "Error", "2", "Disabled", "3", "Required", "4", "Warning", "Valid"), "Valid"))))</f>
        <v/>
      </c>
      <c r="DF8" s="22">
        <f t="array" ref="DF8">_xlfn.MAP('3 - Carts &amp; Stands'!B8:B507, '3 - Carts &amp; Stands'!DF8:DF507, '3 - Carts &amp; Stands-WUO_ERR'!DF8:DF507, _xlfn.LAMBDA(_xlpm.part, _xlpm.val, _xlpm.error, IF(_xlpm.part = "", "", IF(LEN(_xlpm.error), _xlfn.SWITCH(IFERROR(_xlfn.TEXTBEFORE(_xlpm.error,":"), ""), "1", "Error", "2", "Disabled", "3", "Required", "4", "Warning", "Valid"), "Valid"))))</f>
        <v/>
      </c>
      <c r="DG8" s="22">
        <f t="array" ref="DG8">_xlfn.MAP('3 - Carts &amp; Stands'!B8:B507, '3 - Carts &amp; Stands'!DG8:DG507, '3 - Carts &amp; Stands-WUO_ERR'!DG8:DG507, _xlfn.LAMBDA(_xlpm.part, _xlpm.val, _xlpm.error, IF(_xlpm.part = "", "", IF(LEN(_xlpm.error), _xlfn.SWITCH(IFERROR(_xlfn.TEXTBEFORE(_xlpm.error,":"), ""), "1", "Error", "2", "Disabled", "3", "Required", "4", "Warning", "Valid"), "Valid"))))</f>
        <v/>
      </c>
      <c r="DH8" s="22">
        <f t="array" ref="DH8">_xlfn.MAP('3 - Carts &amp; Stands'!B8:B507, '3 - Carts &amp; Stands'!DH8:DH507, '3 - Carts &amp; Stands-WUO_ERR'!DH8:DH507, _xlfn.LAMBDA(_xlpm.part, _xlpm.val, _xlpm.error, IF(_xlpm.part = "", "", IF(LEN(_xlpm.error), _xlfn.SWITCH(IFERROR(_xlfn.TEXTBEFORE(_xlpm.error,":"), ""), "1", "Error", "2", "Disabled", "3", "Required", "4", "Warning", "Valid"), "Valid"))))</f>
        <v/>
      </c>
      <c r="DI8" s="22">
        <f t="array" ref="DI8">_xlfn.MAP('3 - Carts &amp; Stands'!B8:B507, '3 - Carts &amp; Stands'!DI8:DI507, '3 - Carts &amp; Stands-WUO_ERR'!DI8:DI507, _xlfn.LAMBDA(_xlpm.part, _xlpm.val, _xlpm.error, IF(_xlpm.part = "", "", IF(LEN(_xlpm.error), _xlfn.SWITCH(IFERROR(_xlfn.TEXTBEFORE(_xlpm.error,":"), ""), "1", "Error", "2", "Disabled", "3", "Required", "4", "Warning", "Valid"), "Valid"))))</f>
        <v/>
      </c>
      <c r="DJ8" s="22">
        <f t="array" ref="DJ8">_xlfn.MAP('3 - Carts &amp; Stands'!B8:B507, '3 - Carts &amp; Stands'!DJ8:DJ507, '3 - Carts &amp; Stands-WUO_ERR'!DJ8:DJ507, _xlfn.LAMBDA(_xlpm.part, _xlpm.val, _xlpm.error, IF(_xlpm.part = "", "", IF(LEN(_xlpm.error), _xlfn.SWITCH(IFERROR(_xlfn.TEXTBEFORE(_xlpm.error,":"), ""), "1", "Error", "2", "Disabled", "3", "Required", "4", "Warning", "Valid"), "Valid"))))</f>
        <v/>
      </c>
      <c r="DK8" s="22">
        <f t="array" ref="DK8">_xlfn.MAP('3 - Carts &amp; Stands'!B8:B507, '3 - Carts &amp; Stands'!DK8:DK507, '3 - Carts &amp; Stands-WUO_ERR'!DK8:DK507, _xlfn.LAMBDA(_xlpm.part, _xlpm.val, _xlpm.error, IF(_xlpm.part = "", "", IF(LEN(_xlpm.error), _xlfn.SWITCH(IFERROR(_xlfn.TEXTBEFORE(_xlpm.error,":"), ""), "1", "Error", "2", "Disabled", "3", "Required", "4", "Warning", "Valid"), "Valid"))))</f>
        <v/>
      </c>
      <c r="DL8" s="22">
        <f t="array" ref="DL8">_xlfn.MAP('3 - Carts &amp; Stands'!B8:B507, '3 - Carts &amp; Stands'!DL8:DL507, '3 - Carts &amp; Stands-WUO_ERR'!DL8:DL507, _xlfn.LAMBDA(_xlpm.part, _xlpm.val, _xlpm.error, IF(_xlpm.part = "", "", IF(LEN(_xlpm.error), _xlfn.SWITCH(IFERROR(_xlfn.TEXTBEFORE(_xlpm.error,":"), ""), "1", "Error", "2", "Disabled", "3", "Required", "4", "Warning", "Valid"), "Valid"))))</f>
        <v/>
      </c>
      <c r="DM8" s="22">
        <f t="array" ref="DM8">_xlfn.MAP('3 - Carts &amp; Stands'!B8:B507, '3 - Carts &amp; Stands'!DM8:DM507, '3 - Carts &amp; Stands-WUO_ERR'!DM8:DM507, _xlfn.LAMBDA(_xlpm.part, _xlpm.val, _xlpm.error, IF(_xlpm.part = "", "", IF(LEN(_xlpm.error), _xlfn.SWITCH(IFERROR(_xlfn.TEXTBEFORE(_xlpm.error,":"), ""), "1", "Error", "2", "Disabled", "3", "Required", "4", "Warning", "Valid"), "Valid"))))</f>
        <v/>
      </c>
      <c r="DN8" s="22">
        <f t="array" ref="DN8">_xlfn.MAP('3 - Carts &amp; Stands'!B8:B507, '3 - Carts &amp; Stands'!DN8:DN507, '3 - Carts &amp; Stands-WUO_ERR'!DN8:DN507, _xlfn.LAMBDA(_xlpm.part, _xlpm.val, _xlpm.error, IF(_xlpm.part = "", "", IF(LEN(_xlpm.error), _xlfn.SWITCH(IFERROR(_xlfn.TEXTBEFORE(_xlpm.error,":"), ""), "1", "Error", "2", "Disabled", "3", "Required", "4", "Warning", "Valid"), "Valid"))))</f>
        <v/>
      </c>
      <c r="DO8" s="22">
        <f t="array" ref="DO8">_xlfn.MAP('3 - Carts &amp; Stands'!B8:B507, '3 - Carts &amp; Stands'!DO8:DO507, '3 - Carts &amp; Stands-WUO_ERR'!DO8:DO507, _xlfn.LAMBDA(_xlpm.part, _xlpm.val, _xlpm.error, IF(_xlpm.part = "", "", IF(LEN(_xlpm.error), _xlfn.SWITCH(IFERROR(_xlfn.TEXTBEFORE(_xlpm.error,":"), ""), "1", "Error", "2", "Disabled", "3", "Required", "4", "Warning", "Valid"), "Valid"))))</f>
        <v/>
      </c>
      <c r="DP8" s="22">
        <f t="array" ref="DP8">_xlfn.MAP('3 - Carts &amp; Stands'!B8:B507, '3 - Carts &amp; Stands'!DP8:DP507, '3 - Carts &amp; Stands-WUO_ERR'!DP8:DP507, _xlfn.LAMBDA(_xlpm.part, _xlpm.val, _xlpm.error, IF(_xlpm.part = "", "", IF(LEN(_xlpm.error), _xlfn.SWITCH(IFERROR(_xlfn.TEXTBEFORE(_xlpm.error,":"), ""), "1", "Error", "2", "Disabled", "3", "Required", "4", "Warning", "Valid"), "Valid"))))</f>
        <v/>
      </c>
      <c r="DQ8" s="22">
        <f t="array" ref="DQ8">_xlfn.MAP('3 - Carts &amp; Stands'!B8:B507, '3 - Carts &amp; Stands'!DQ8:DQ507, '3 - Carts &amp; Stands-WUO_ERR'!DQ8:DQ507, _xlfn.LAMBDA(_xlpm.part, _xlpm.val, _xlpm.error, IF(_xlpm.part = "", "", IF(LEN(_xlpm.error), _xlfn.SWITCH(IFERROR(_xlfn.TEXTBEFORE(_xlpm.error,":"), ""), "1", "Error", "2", "Disabled", "3", "Required", "4", "Warning", "Valid"), "Valid"))))</f>
        <v/>
      </c>
      <c r="DR8" s="22">
        <f t="array" ref="DR8">_xlfn.MAP('3 - Carts &amp; Stands'!B8:B507, '3 - Carts &amp; Stands'!DR8:DR507, '3 - Carts &amp; Stands-WUO_ERR'!DR8:DR507, _xlfn.LAMBDA(_xlpm.part, _xlpm.val, _xlpm.error, IF(_xlpm.part = "", "", IF(LEN(_xlpm.error), _xlfn.SWITCH(IFERROR(_xlfn.TEXTBEFORE(_xlpm.error,":"), ""), "1", "Error", "2", "Disabled", "3", "Required", "4", "Warning", "Valid"), "Valid"))))</f>
        <v/>
      </c>
      <c r="DS8" s="22">
        <f t="array" ref="DS8">_xlfn.MAP('3 - Carts &amp; Stands'!B8:B507, '3 - Carts &amp; Stands'!DS8:DS507, '3 - Carts &amp; Stands-WUO_ERR'!DS8:DS507, _xlfn.LAMBDA(_xlpm.part, _xlpm.val, _xlpm.error, IF(_xlpm.part = "", "", IF(LEN(_xlpm.error), _xlfn.SWITCH(IFERROR(_xlfn.TEXTBEFORE(_xlpm.error,":"), ""), "1", "Error", "2", "Disabled", "3", "Required", "4", "Warning", "Valid"), "Valid"))))</f>
        <v/>
      </c>
      <c r="DT8" s="22">
        <f t="array" ref="DT8">_xlfn.MAP('3 - Carts &amp; Stands'!B8:B507, '3 - Carts &amp; Stands'!DT8:DT507, '3 - Carts &amp; Stands-WUO_ERR'!DT8:DT507, _xlfn.LAMBDA(_xlpm.part, _xlpm.val, _xlpm.error, IF(_xlpm.part = "", "", IF(LEN(_xlpm.error), _xlfn.SWITCH(IFERROR(_xlfn.TEXTBEFORE(_xlpm.error,":"), ""), "1", "Error", "2", "Disabled", "3", "Required", "4", "Warning", "Valid"), "Valid"))))</f>
        <v/>
      </c>
      <c r="DU8" s="22">
        <f t="array" ref="DU8">_xlfn.MAP('3 - Carts &amp; Stands'!B8:B507, '3 - Carts &amp; Stands'!DU8:DU507, '3 - Carts &amp; Stands-WUO_ERR'!DU8:DU507, _xlfn.LAMBDA(_xlpm.part, _xlpm.val, _xlpm.error, IF(_xlpm.part = "", "", IF(LEN(_xlpm.error), _xlfn.SWITCH(IFERROR(_xlfn.TEXTBEFORE(_xlpm.error,":"), ""), "1", "Error", "2", "Disabled", "3", "Required", "4", "Warning", "Valid"), "Valid"))))</f>
        <v/>
      </c>
      <c r="DV8" s="22">
        <f t="array" ref="DV8">_xlfn.MAP('3 - Carts &amp; Stands'!B8:B507, '3 - Carts &amp; Stands'!DV8:DV507, '3 - Carts &amp; Stands-WUO_ERR'!DV8:DV507, _xlfn.LAMBDA(_xlpm.part, _xlpm.val, _xlpm.error, IF(_xlpm.part = "", "", IF(LEN(_xlpm.error), _xlfn.SWITCH(IFERROR(_xlfn.TEXTBEFORE(_xlpm.error,":"), ""), "1", "Error", "2", "Disabled", "3", "Required", "4", "Warning", "Valid"), "Valid"))))</f>
        <v/>
      </c>
      <c r="DW8" s="22">
        <f t="array" ref="DW8">_xlfn.MAP('3 - Carts &amp; Stands'!B8:B507, '3 - Carts &amp; Stands'!DW8:DW507, '3 - Carts &amp; Stands-WUO_ERR'!DW8:DW507, _xlfn.LAMBDA(_xlpm.part, _xlpm.val, _xlpm.error, IF(_xlpm.part = "", "", IF(LEN(_xlpm.error), _xlfn.SWITCH(IFERROR(_xlfn.TEXTBEFORE(_xlpm.error,":"), ""), "1", "Error", "2", "Disabled", "3", "Required", "4", "Warning", "Valid"), "Valid"))))</f>
        <v/>
      </c>
      <c r="DX8" s="22">
        <f t="array" ref="DX8">_xlfn.MAP('3 - Carts &amp; Stands'!B8:B507, '3 - Carts &amp; Stands'!DX8:DX507, '3 - Carts &amp; Stands-WUO_ERR'!DX8:DX507,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F995"/>
  <mergeCells count="9">
    <mergeCell ref="AL2:AO2"/>
    <mergeCell ref="AP2:AS2"/>
    <mergeCell ref="U2:Z2"/>
    <mergeCell ref="R2:T2"/>
    <mergeCell ref="B2:I2"/>
    <mergeCell ref="AA2:AK2"/>
    <mergeCell ref="AT2:BN2"/>
    <mergeCell ref="J2:Q2"/>
    <mergeCell ref="BO2:DX2"/>
  </mergeCells>
  <dataValidations count="12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'WAYFAIR_USE_ONLY'!$B$7:$B15</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T7" showDropDown="0" showInputMessage="1" showErrorMessage="1" allowBlank="1" errorTitle="Invalid Tilting" error="The value provided is not a valid Tilting." promptTitle="" prompt="If all products in this class consistently have the same answer, you can set a default value to apply automatically. For any exceptions, you can modify the answer for specific products without changing the default." type="list">
      <formula1>'WAYFAIR_USE_ONLY'!$D$7:$D10</formula1>
    </dataValidation>
    <dataValidation sqref="BU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V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'WAYFAIR_USE_ONLY'!$F$7:$F9</formula1>
    </dataValidation>
    <dataValidation sqref="BW7" showDropDown="0" showInputMessage="1" showErrorMessage="1" allowBlank="1" errorTitle="Invalid Legs Included" error="The value provided is not a valid Legs Included." promptTitle="" prompt="If all products in this class consistently have the same answer, you can set a default value to apply automatically. For any exceptions, you can modify the answer for specific products without changing the default." type="list">
      <formula1>'WAYFAIR_USE_ONLY'!$G$7:$G10</formula1>
    </dataValidation>
    <dataValidation sqref="BX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'WAYFAIR_USE_ONLY'!$H$7:$H9</formula1>
    </dataValidation>
    <dataValidation sqref="BY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'WAYFAIR_USE_ONLY'!$P$7:$P10</formula1>
    </dataValidation>
    <dataValidation sqref="CC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C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'WAYFAIR_USE_ONLY'!$J$7:$J11</formula1>
    </dataValidation>
    <dataValidation sqref="CD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D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'WAYFAIR_USE_ONLY'!$I$7:$I17</formula1>
    </dataValidation>
    <dataValidation sqref="CE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E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'WAYFAIR_USE_ONLY'!$K$7:$K19</formula1>
    </dataValidation>
    <dataValidation sqref="CF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F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'WAYFAIR_USE_ONLY'!$L$7:$L11</formula1>
    </dataValidation>
    <dataValidation sqref="CG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G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'WAYFAIR_USE_ONLY'!$M$7:$M14</formula1>
    </dataValidation>
    <dataValidation sqref="CH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H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'WAYFAIR_USE_ONLY'!$N$7:$N14</formula1>
    </dataValidation>
    <dataValidation sqref="CI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I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'WAYFAIR_USE_ONLY'!$O$7:$O12</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'WAYFAIR_USE_ONLY'!$Q$7:$Q11</formula1>
    </dataValidation>
    <dataValidation sqref="CL7" showDropDown="0" showInputMessage="1" showErrorMessage="1" allowBlank="1" errorTitle="Invalid Locking Wheels" error="The value provided is not a valid Locking Wheels." promptTitle="" prompt="If all products in this class consistently have the same answer, you can set a default value to apply automatically. For any exceptions, you can modify the answer for specific products without changing the default." type="list">
      <formula1>'WAYFAIR_USE_ONLY'!$R$7:$R10</formula1>
    </dataValidation>
    <dataValidation sqref="CM7" showDropDown="0" showInputMessage="1" showErrorMessage="1" allowBlank="1" errorTitle="Invalid Mount Type" error="The value provided is not a valid Moun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'WAYFAIR_USE_ONLY'!$S$7:$S15</formula1>
    </dataValidation>
    <dataValidation sqref="C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O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P7" showDropDown="0" showInputMessage="1" showErrorMessage="1" allowBlank="1" errorTitle="Invalid Storage Included" error="The value provided is not a valid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U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V7" showDropDown="0" showInputMessage="1" showErrorMessage="1" allowBlank="1" errorTitle="Invalid ADA Compliant" error="The value provided is not a valid ADA Compliant." promptTitle="" prompt="If all products in this class consistently have the same answer, you can set a default value to apply automatically. For any exceptions, you can modify the answer for specific products without changing the default." type="list">
      <formula1>'WAYFAIR_USE_ONLY'!$V$7:$V10</formula1>
    </dataValidation>
    <dataValidation sqref="CW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'WAYFAIR_USE_ONLY'!$Z$7:$Z10</formula1>
    </dataValidation>
    <dataValidation sqref="CX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X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Y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Y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'WAYFAIR_USE_ONLY'!$X$7:$X11</formula1>
    </dataValidation>
    <dataValidation sqref="CZ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Z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DA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'WAYFAIR_USE_ONLY'!$AA$7:$AA10</formula1>
    </dataValidation>
    <dataValidation sqref="DB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'WAYFAIR_USE_ONLY'!$AB$7:$AB9</formula1>
    </dataValidation>
    <dataValidation sqref="DC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Lacey Act Compliant" error="The value provided is not a valid Lacey Act Compliant." promptTitle="" prompt="If all products in this class consistently have the same answer, you can set a default value to apply automatically. For any exceptions, you can modify the answer for specific products without changing the default." type="list">
      <formula1>'WAYFAIR_USE_ONLY'!$AC$7:$AC11</formula1>
    </dataValidation>
    <dataValidation sqref="DE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'WAYFAIR_USE_ONLY'!$AD$7:$AD11</formula1>
    </dataValidation>
    <dataValidation sqref="DF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'WAYFAIR_USE_ONLY'!$AH$7:$AH9</formula1>
    </dataValidation>
    <dataValidation sqref="DG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H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H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'WAYFAIR_USE_ONLY'!$AE$7:$AE23</formula1>
    </dataValidation>
    <dataValidation sqref="DI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I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'WAYFAIR_USE_ONLY'!$AF$7:$AF12</formula1>
    </dataValidation>
    <dataValidation sqref="DJ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J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'WAYFAIR_USE_ONLY'!$AG$7:$AG19</formula1>
    </dataValidation>
    <dataValidation sqref="DK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'WAYFAIR_USE_ONLY'!$AI$7:$AI12</formula1>
    </dataValidation>
    <dataValidation sqref="D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M4" showDropDown="0" showInputMessage="1" showErrorMessage="1" allowBlank="1" promptTitle="Class Specific Child Question" prompt="This Question is directly related to the tag &quot;Safety Listing(s) Your answer to the related question may influence which answers are accepted here."/>
    <dataValidation sqref="D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N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'WAYFAIR_USE_ONLY'!$AJ$7:$AJ10</formula1>
    </dataValidation>
    <dataValidation sqref="DO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'WAYFAIR_USE_ONLY'!$AK$7:$AK10</formula1>
    </dataValidation>
    <dataValidation sqref="D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T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'WAYFAIR_USE_ONLY'!$AL$7:$AL9</formula1>
    </dataValidation>
    <dataValidation sqref="DU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V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DV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'WAYFAIR_USE_ONLY'!$AM$7:$AM32</formula1>
    </dataValidation>
    <dataValidation sqref="DW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'WAYFAIR_USE_ONLY'!$AO$7:$AO9</formula1>
    </dataValidation>
    <dataValidation sqref="D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J6" location="'Valid Values'!B1" display="Select"/>
    <hyperlink ref="L6" location="'Valid Values'!C1" display="Select"/>
    <hyperlink ref="N6" location="'Valid Values'!C1" display="Select"/>
    <hyperlink ref="P6" location="'Valid Values'!C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S1" display="Select"/>
    <hyperlink ref="BP6" location="'Valid Values'!T1" display="Please choose one or more from the following, using a semicolon (;) to separate each value: Polycarbonate (PC); Polyethylene Plastic; Glass; Silicone; Stainless Steel; Melamine; Polypropylene; Cane; Raffia; Mango Wood; Aluminum; Linen Blend; Acrylic; Manufactured Wood; Limestone; Artificial Grass; Antler; HDPE; Jersey; Linen; Foam; Cowhide; Copper / Copper Plated; Engineered Wood; Cast Aluminum; Flat Wire; Crystal; Fleece / Microfiber; Cardboard / Paper; Chenille; Cherry Wood; Handblown Glass; Cement; Flannel; Chrome; Enamelware; Enameled Cast Iron; Agate / Geode; Fiberglass; Bronze; Cast Iron; Bamboo Slat / Seagrass; Beaded; Alpaca; Felt; Denim; Clay; Gel; Coir; Cardboard; Leather; Cashmere; Galvanized Steel; Hemp; Fireclay; Anodized Aluminum; Blended Fabric; Bamboo; Brass; Burlap; Ceramic; Canvas; Composite; Carbon Steel; Compressed Polyester; Ceramic / Porcelain; Bone China; Cedar; Concrete; Cotton; Earthenware; Engineered Stone; Concrete / Cement; Corrugated; Enamel / Lacquer; Cotton Blend; Compressed Stone; Copper; Faux Leather; Fabric; Faux Sheepskin; Fiberstone; Fine Silver; Hard-Anodized Aluminum; Granite; Heavy Gauge Wire; Faux Fur; Faux Mohair; Faux Cowhide; Iron; High Leaded Crystal; Marble; Lead Crystal; Ironstone; Leather / Faux Leather; Latex; Jute; Lead Free Crystal; Lace; Jute / Sisal; Laminate; Marble / Granite; Mercury Glass; Medium Density Fiberboard (MDF); Mesh; Merino Wool; Memory Foam; Natural Stone; Microfiber / Polyester; Natural Fiber; Microfiber; Natural Fibers; Magnet; Muslin; Metal; Microfiber / Microsuede; Paper; Olefin; Nickel; PEVA; Nylon; Oak; Oxford Fabric; Polyamide; Plywood; Pinecones; Plastic / Acrylic; Pewter; Polycarbonate Plastic; Nickel Plated; Plastic; Polyester; Polymer; Polyester Fill; Polystyrene; Polyvinyl Chloride (PVC); Polyurethane; Porcelain China; Powder Coated Steel; Polypropylene Plastic; Porcelain Enameled Steel; Porcelain; Powder Coated Aluminum; Polyester Blend; Polyresin; Polymarble; Polyurethane (PU); Sandstone; Silver; Sheepskin; Sateen; Rayon / Viscose; Rayon from Bamboo; Silver Plated"/>
    <hyperlink ref="BR6" location="'Valid Values'!U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BZ6" location="'Valid Values'!V1" display="Please choose one or more from the following, using a semicolon (;) to separate each value: Non Residential Use; Residential Use"/>
    <hyperlink ref="CA6" location="'Valid Values'!W1" display="Please choose one or more from the following, using a semicolon (;) to separate each value: Made in USA; Made in USA of Imported Materials; Product of Canada; Made In Canada; Does Not Apply"/>
    <hyperlink ref="CC6" location="'Valid Values'!X1" display="Select"/>
    <hyperlink ref="CD6" location="'Valid Values'!Y1" display="Select"/>
    <hyperlink ref="CE6" location="'Valid Values'!Z1" display="Select"/>
    <hyperlink ref="CF6" location="'Valid Values'!AA1" display="Select"/>
    <hyperlink ref="CG6" location="'Valid Values'!AB1" display="Select"/>
    <hyperlink ref="CH6" location="'Valid Values'!AC1" display="Select"/>
    <hyperlink ref="CI6" location="'Valid Values'!AD1" display="Select"/>
    <hyperlink ref="CJ6" location="'Valid Values'!AE1" display="Please choose one or more from the following, using a semicolon (;) to separate each value: Wheels / Casters; Seat Cushion; Legs; Cover; Lid; Headboard; Back Cushion; Footboard; Tray; Pillow Top; Cushion Cover; Canopy; Shelves; Drawers; Mirror; Unavailable; Does Not Apply"/>
    <hyperlink ref="CM6" location="'Valid Values'!AF1" display="Select"/>
    <hyperlink ref="CN6" location="'Valid Values'!AG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Q6" location="'Valid Values'!AH1" display="Please choose one or more from the following, using a semicolon (;) to separate each value: Laptop; Projector; CPU; Printer; Keyboard; TV/Monitor; Unavailable; Does Not Apply"/>
    <hyperlink ref="CR6" location="'Valid Values'!AI1" display="Please choose one or more from the following, using a semicolon (;) to separate each value: Drawers; Legs; Storage; TV Mount; Wheels / Casters; Cabinets; Unavailable; Does Not Apply"/>
    <hyperlink ref="CU6" location="'Valid Values'!AJ1" display="Select"/>
    <hyperlink ref="CX6" location="'Valid Values'!AK1" display="Select"/>
    <hyperlink ref="CY6" location="'Valid Values'!AL1" display="Select"/>
    <hyperlink ref="CZ6" location="'Valid Values'!AM1" display="Select"/>
    <hyperlink ref="DA6" location="'Valid Values'!AN1" display="Select"/>
    <hyperlink ref="DC6" location="'Valid Values'!AO1" display="Please choose one or more from the following, using a semicolon (;) to separate each value: Dual Language; Distribution Conflict; Logistics; Does Not Apply"/>
    <hyperlink ref="DD6" location="'Valid Values'!AP1" display="Select"/>
    <hyperlink ref="DE6" location="'Valid Values'!AQ1" display="Select"/>
    <hyperlink ref="DG6" location="'Valid Values'!AR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H6" location="'Valid Values'!AS1" display="Select"/>
    <hyperlink ref="DI6" location="'Valid Values'!AT1" display="Select"/>
    <hyperlink ref="DJ6" location="'Valid Values'!AU1" display="Select"/>
    <hyperlink ref="DK6" location="'Valid Values'!AV1" display="Select"/>
    <hyperlink ref="DL6" location="'Valid Values'!AW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DN6" location="'Valid Values'!AX1" display="Select"/>
    <hyperlink ref="DV6" location="'Valid Values'!AY1" display="Select"/>
    <hyperlink ref="DX6" location="'Valid Values'!AZ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FB507"/>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29.7109375" customWidth="1" style="22" min="68" max="68"/>
    <col width="21.7109375" customWidth="1" style="22" min="69" max="69"/>
    <col width="22.7109375" customWidth="1" style="22" min="70" max="71"/>
    <col width="21.7109375" customWidth="1" style="22" min="72" max="72"/>
    <col width="30.7109375" customWidth="1" style="22" min="73" max="74"/>
    <col width="20.7109375" customWidth="1" style="22" min="75" max="75"/>
    <col width="21.7109375" customWidth="1" style="22" min="76" max="76"/>
    <col width="13.7109375" customWidth="1" style="22" min="77" max="77"/>
    <col width="32.7109375" customWidth="1" style="22" min="78" max="78"/>
    <col width="27.7109375" customWidth="1" style="22" min="79" max="79"/>
    <col width="17.7109375" customWidth="1" style="22" min="80" max="80"/>
    <col width="13.7109375" customWidth="1" style="22" min="81" max="81"/>
    <col width="29.7109375" customWidth="1" style="22" min="82" max="82"/>
    <col width="23.7109375" customWidth="1" style="22" min="83" max="83"/>
    <col width="27.7109375" customWidth="1" style="22" min="84" max="84"/>
    <col width="21.7109375" customWidth="1" style="22" min="85" max="85"/>
    <col width="30.7109375" customWidth="1" style="22" min="86" max="86"/>
    <col width="23.7109375" customWidth="1" style="22" min="87" max="87"/>
    <col width="12.7109375" customWidth="1" style="22" min="88" max="88"/>
    <col width="38.7109375" customWidth="1" style="22" min="89" max="89"/>
    <col width="33.7109375" customWidth="1" style="22" min="90" max="90"/>
    <col width="22.7109375" customWidth="1" style="22" min="91" max="91"/>
    <col width="39.7109375" customWidth="1" style="22" min="92" max="92"/>
    <col width="43.7109375" customWidth="1" style="22" min="93" max="93"/>
    <col width="29.7109375" customWidth="1" style="22" min="94" max="94"/>
    <col width="20.7109375" customWidth="1" style="22" min="95" max="95"/>
    <col width="17.7109375" customWidth="1" style="22" min="96" max="96"/>
    <col width="34.7109375" customWidth="1" style="22" min="97" max="97"/>
    <col width="24.7109375" customWidth="1" style="22" min="98" max="98"/>
    <col width="17.7109375" customWidth="1" style="22" min="99" max="99"/>
    <col width="24.7109375" customWidth="1" style="22" min="100" max="100"/>
    <col width="21.7109375" customWidth="1" style="22" min="101" max="101"/>
    <col width="20.7109375" customWidth="1" style="22" min="102" max="102"/>
    <col width="35.7109375" customWidth="1" style="22" min="103" max="103"/>
    <col width="30.7109375" customWidth="1" style="22" min="104" max="104"/>
    <col width="27.7109375" customWidth="1" style="22" min="105" max="105"/>
    <col width="21.7109375" customWidth="1" style="22" min="106" max="106"/>
    <col width="20.7109375" customWidth="1" style="22" min="107" max="107"/>
    <col width="17.7109375" customWidth="1" style="22" min="108" max="108"/>
    <col width="15.7109375" customWidth="1" style="22" min="109" max="109"/>
    <col width="19.7109375" customWidth="1" style="22" min="110" max="111"/>
    <col width="34.7109375" customWidth="1" style="22" min="112" max="112"/>
    <col width="14.7109375" customWidth="1" style="22" min="113" max="114"/>
    <col width="16.7109375" customWidth="1" style="22" min="115" max="115"/>
    <col width="21.7109375" customWidth="1" style="22" min="116" max="117"/>
    <col width="20.7109375" customWidth="1" style="22" min="118" max="118"/>
    <col width="23.7109375" customWidth="1" style="22" min="119" max="120"/>
    <col width="19.7109375" customWidth="1" style="22" min="121" max="121"/>
    <col width="44.7109375" customWidth="1" style="22" min="122" max="122"/>
    <col width="33.7109375" customWidth="1" style="22" min="123" max="123"/>
    <col width="53.7109375" customWidth="1" style="22" min="124" max="125"/>
    <col width="21.7109375" customWidth="1" style="22" min="126" max="126"/>
    <col width="64.7109375" customWidth="1" style="22" min="127" max="127"/>
    <col width="31.7109375" customWidth="1" style="22" min="128" max="128"/>
    <col width="27.7109375" customWidth="1" style="22" min="129" max="129"/>
    <col width="19.7109375" customWidth="1" style="22" min="130" max="130"/>
    <col width="41.7109375" customWidth="1" style="22" min="131" max="131"/>
    <col width="20.7109375" customWidth="1" style="22" min="132" max="132"/>
    <col width="21.7109375" customWidth="1" style="22" min="133" max="133"/>
    <col width="18.7109375" customWidth="1" style="22" min="134" max="134"/>
    <col width="30.7109375" customWidth="1" style="22" min="135" max="135"/>
    <col width="44.7109375" customWidth="1" style="22" min="136" max="136"/>
    <col width="22.7109375" customWidth="1" style="22" min="137" max="137"/>
    <col width="42.7109375" customWidth="1" style="22" min="138" max="138"/>
    <col width="47.7109375" customWidth="1" style="22" min="139" max="139"/>
    <col width="19.7109375" customWidth="1" style="22" min="140" max="140"/>
    <col width="79.7109375" customWidth="1" style="22" min="141" max="141"/>
    <col width="30.7109375" customWidth="1" style="22" min="142" max="142"/>
    <col width="34.7109375" customWidth="1" style="22" min="143" max="143"/>
    <col width="35.7109375" customWidth="1" style="22" min="144" max="144"/>
    <col width="56.7109375" customWidth="1" style="22" min="145" max="145"/>
    <col width="54.7109375" customWidth="1" style="22" min="146" max="146"/>
    <col width="55.7109375" customWidth="1" style="22" min="147" max="147"/>
    <col width="27.7109375" customWidth="1" style="22" min="148" max="148"/>
    <col width="40.7109375" customWidth="1" style="22" min="149" max="149"/>
    <col width="44.7109375" customWidth="1" style="22" min="150" max="150"/>
    <col width="22.7109375" customWidth="1" style="22" min="151" max="152"/>
    <col width="45.7109375" customWidth="1" style="22" min="153" max="153"/>
    <col width="24.7109375" customWidth="1" style="22" min="154" max="154"/>
    <col width="31.7109375" customWidth="1" style="22" min="155" max="155"/>
    <col width="21.7109375" customWidth="1" style="22" min="156" max="156"/>
    <col width="29.7109375" customWidth="1" style="22" min="157" max="157"/>
    <col width="20.7109375" customWidth="1" style="22" min="158" max="158"/>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5620</t>
        </is>
      </c>
      <c r="BP1" s="22" t="inlineStr">
        <is>
          <t>252622</t>
        </is>
      </c>
      <c r="BQ1" s="22" t="inlineStr">
        <is>
          <t>5635</t>
        </is>
      </c>
      <c r="BR1" s="22" t="inlineStr">
        <is>
          <t>5911</t>
        </is>
      </c>
      <c r="BS1" s="22" t="inlineStr">
        <is>
          <t>5636</t>
        </is>
      </c>
      <c r="BT1" s="22" t="inlineStr">
        <is>
          <t>382543</t>
        </is>
      </c>
      <c r="BU1" s="22" t="inlineStr">
        <is>
          <t>5634</t>
        </is>
      </c>
      <c r="BV1" s="22" t="inlineStr">
        <is>
          <t>5678</t>
        </is>
      </c>
      <c r="BW1" s="22" t="inlineStr">
        <is>
          <t>252625</t>
        </is>
      </c>
      <c r="BX1" s="22" t="inlineStr">
        <is>
          <t>5621</t>
        </is>
      </c>
      <c r="BY1" s="22" t="inlineStr">
        <is>
          <t>5625</t>
        </is>
      </c>
      <c r="BZ1" s="22" t="inlineStr">
        <is>
          <t>222860</t>
        </is>
      </c>
      <c r="CA1" s="22" t="inlineStr">
        <is>
          <t>222861</t>
        </is>
      </c>
      <c r="CB1" s="22" t="inlineStr">
        <is>
          <t>5624</t>
        </is>
      </c>
      <c r="CC1" s="22" t="inlineStr">
        <is>
          <t>220722</t>
        </is>
      </c>
      <c r="CD1" s="22" t="inlineStr">
        <is>
          <t>221251</t>
        </is>
      </c>
      <c r="CE1" s="22" t="inlineStr">
        <is>
          <t>218007</t>
        </is>
      </c>
      <c r="CF1" s="22" t="inlineStr">
        <is>
          <t>5648</t>
        </is>
      </c>
      <c r="CG1" s="22" t="inlineStr">
        <is>
          <t>5649</t>
        </is>
      </c>
      <c r="CH1" s="22" t="inlineStr">
        <is>
          <t>5643</t>
        </is>
      </c>
      <c r="CI1" s="22" t="inlineStr">
        <is>
          <t>5645</t>
        </is>
      </c>
      <c r="CJ1" s="22" t="inlineStr">
        <is>
          <t>189876</t>
        </is>
      </c>
      <c r="CK1" s="22" t="inlineStr">
        <is>
          <t>201479</t>
        </is>
      </c>
      <c r="CL1" s="22" t="inlineStr">
        <is>
          <t>5663</t>
        </is>
      </c>
      <c r="CM1" s="22" t="inlineStr">
        <is>
          <t>242478</t>
        </is>
      </c>
      <c r="CN1" s="22" t="inlineStr">
        <is>
          <t>227966</t>
        </is>
      </c>
      <c r="CO1" s="22" t="inlineStr">
        <is>
          <t>244566</t>
        </is>
      </c>
      <c r="CP1" s="22" t="inlineStr">
        <is>
          <t>293480</t>
        </is>
      </c>
      <c r="CQ1" s="22" t="inlineStr">
        <is>
          <t>293547</t>
        </is>
      </c>
      <c r="CR1" s="22" t="inlineStr">
        <is>
          <t>185254</t>
        </is>
      </c>
      <c r="CS1" s="22" t="inlineStr">
        <is>
          <t>344955</t>
        </is>
      </c>
      <c r="CT1" s="22" t="inlineStr">
        <is>
          <t>346869</t>
        </is>
      </c>
      <c r="CU1" s="22" t="inlineStr">
        <is>
          <t>351619</t>
        </is>
      </c>
      <c r="CV1" s="22" t="inlineStr">
        <is>
          <t>367149</t>
        </is>
      </c>
      <c r="CW1" s="22" t="inlineStr">
        <is>
          <t>351641</t>
        </is>
      </c>
      <c r="CX1" s="22" t="inlineStr">
        <is>
          <t>352351</t>
        </is>
      </c>
      <c r="CY1" s="22" t="inlineStr">
        <is>
          <t>352342</t>
        </is>
      </c>
      <c r="CZ1" s="22" t="inlineStr">
        <is>
          <t>351649</t>
        </is>
      </c>
      <c r="DA1" s="22" t="inlineStr">
        <is>
          <t>5949</t>
        </is>
      </c>
      <c r="DB1" s="22" t="inlineStr">
        <is>
          <t>5950</t>
        </is>
      </c>
      <c r="DC1" s="22" t="inlineStr">
        <is>
          <t>5654</t>
        </is>
      </c>
      <c r="DD1" s="22" t="inlineStr">
        <is>
          <t>368645</t>
        </is>
      </c>
      <c r="DE1" s="22" t="inlineStr">
        <is>
          <t>370848</t>
        </is>
      </c>
      <c r="DF1" s="22" t="inlineStr">
        <is>
          <t>5910</t>
        </is>
      </c>
      <c r="DG1" s="22" t="inlineStr">
        <is>
          <t>379875</t>
        </is>
      </c>
      <c r="DH1" s="22" t="inlineStr">
        <is>
          <t>292794</t>
        </is>
      </c>
      <c r="DI1" s="22" t="inlineStr">
        <is>
          <t>220267</t>
        </is>
      </c>
      <c r="DJ1" s="22" t="inlineStr">
        <is>
          <t>220265</t>
        </is>
      </c>
      <c r="DK1" s="22" t="inlineStr">
        <is>
          <t>384286</t>
        </is>
      </c>
      <c r="DL1" s="22" t="inlineStr">
        <is>
          <t>393970</t>
        </is>
      </c>
      <c r="DM1" s="22" t="inlineStr">
        <is>
          <t>400764</t>
        </is>
      </c>
      <c r="DN1" s="22" t="inlineStr">
        <is>
          <t>420139</t>
        </is>
      </c>
      <c r="DO1" s="22" t="inlineStr">
        <is>
          <t>5920</t>
        </is>
      </c>
      <c r="DP1" s="22" t="inlineStr">
        <is>
          <t>5916</t>
        </is>
      </c>
      <c r="DQ1" s="22" t="inlineStr">
        <is>
          <t>5938</t>
        </is>
      </c>
      <c r="DR1" s="22" t="inlineStr">
        <is>
          <t>5671</t>
        </is>
      </c>
      <c r="DS1" s="22" t="inlineStr">
        <is>
          <t>201426</t>
        </is>
      </c>
      <c r="DT1" s="22" t="inlineStr">
        <is>
          <t>224759</t>
        </is>
      </c>
      <c r="DU1" s="22" t="inlineStr">
        <is>
          <t>224980</t>
        </is>
      </c>
      <c r="DV1" s="22" t="inlineStr">
        <is>
          <t>364708</t>
        </is>
      </c>
      <c r="DW1" s="22" t="inlineStr">
        <is>
          <t>236083</t>
        </is>
      </c>
      <c r="DX1" s="22" t="inlineStr">
        <is>
          <t>249364</t>
        </is>
      </c>
      <c r="DY1" s="22" t="inlineStr">
        <is>
          <t>251110</t>
        </is>
      </c>
      <c r="DZ1" s="22" t="inlineStr">
        <is>
          <t>310560</t>
        </is>
      </c>
      <c r="EA1" s="22" t="inlineStr">
        <is>
          <t>339330</t>
        </is>
      </c>
      <c r="EB1" s="22" t="inlineStr">
        <is>
          <t>373560</t>
        </is>
      </c>
      <c r="EC1" s="22" t="inlineStr">
        <is>
          <t>340810</t>
        </is>
      </c>
      <c r="ED1" s="22" t="inlineStr">
        <is>
          <t>341070</t>
        </is>
      </c>
      <c r="EE1" s="22" t="inlineStr">
        <is>
          <t>369614</t>
        </is>
      </c>
      <c r="EF1" s="22" t="inlineStr">
        <is>
          <t>368262</t>
        </is>
      </c>
      <c r="EG1" s="22" t="inlineStr">
        <is>
          <t>375302</t>
        </is>
      </c>
      <c r="EH1" s="22" t="inlineStr">
        <is>
          <t>376202</t>
        </is>
      </c>
      <c r="EI1" s="22" t="inlineStr">
        <is>
          <t>382060</t>
        </is>
      </c>
      <c r="EJ1" s="22" t="inlineStr">
        <is>
          <t>385921</t>
        </is>
      </c>
      <c r="EK1" s="22" t="inlineStr">
        <is>
          <t>415242</t>
        </is>
      </c>
      <c r="EL1" s="22" t="inlineStr">
        <is>
          <t>421601</t>
        </is>
      </c>
      <c r="EM1" s="22" t="inlineStr">
        <is>
          <t>5675</t>
        </is>
      </c>
      <c r="EN1" s="22" t="inlineStr">
        <is>
          <t>5676</t>
        </is>
      </c>
      <c r="EO1" s="22" t="inlineStr">
        <is>
          <t>252485</t>
        </is>
      </c>
      <c r="EP1" s="22" t="inlineStr">
        <is>
          <t>252486</t>
        </is>
      </c>
      <c r="EQ1" s="22" t="inlineStr">
        <is>
          <t>252487</t>
        </is>
      </c>
      <c r="ER1" s="22" t="inlineStr">
        <is>
          <t>5681</t>
        </is>
      </c>
      <c r="ES1" s="22" t="inlineStr">
        <is>
          <t>217965</t>
        </is>
      </c>
      <c r="ET1" s="22" t="inlineStr">
        <is>
          <t>5674</t>
        </is>
      </c>
      <c r="EU1" s="22" t="inlineStr">
        <is>
          <t>5682</t>
        </is>
      </c>
      <c r="EV1" s="22" t="inlineStr">
        <is>
          <t>222775</t>
        </is>
      </c>
      <c r="EW1" s="22" t="inlineStr">
        <is>
          <t>222778</t>
        </is>
      </c>
      <c r="EX1" s="22" t="inlineStr">
        <is>
          <t>228934</t>
        </is>
      </c>
      <c r="EY1" s="22" t="inlineStr">
        <is>
          <t>333812</t>
        </is>
      </c>
      <c r="EZ1" s="22" t="inlineStr">
        <is>
          <t>254186</t>
        </is>
      </c>
      <c r="FA1" s="22" t="inlineStr">
        <is>
          <t>255305</t>
        </is>
      </c>
      <c r="FB1" s="22" t="inlineStr">
        <is>
          <t>256090</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1" t="n"/>
      <c r="EU2" s="41" t="n"/>
      <c r="EV2" s="41" t="n"/>
      <c r="EW2" s="41" t="n"/>
      <c r="EX2" s="41" t="n"/>
      <c r="EY2" s="41" t="n"/>
      <c r="EZ2" s="41" t="n"/>
      <c r="FA2" s="41" t="n"/>
      <c r="FB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Recommended</t>
        </is>
      </c>
      <c r="BQ3" s="32" t="inlineStr">
        <is>
          <t>Required</t>
        </is>
      </c>
      <c r="BR3" s="32" t="inlineStr">
        <is>
          <t>Required</t>
        </is>
      </c>
      <c r="BS3" s="32" t="inlineStr">
        <is>
          <t>Required</t>
        </is>
      </c>
      <c r="BT3" s="32" t="inlineStr">
        <is>
          <t>Recommended</t>
        </is>
      </c>
      <c r="BU3" s="32" t="inlineStr">
        <is>
          <t>Recommended</t>
        </is>
      </c>
      <c r="BV3" s="32" t="inlineStr">
        <is>
          <t>Recommended</t>
        </is>
      </c>
      <c r="BW3" s="32" t="inlineStr">
        <is>
          <t>Recommended</t>
        </is>
      </c>
      <c r="BX3" s="32" t="inlineStr">
        <is>
          <t>Required</t>
        </is>
      </c>
      <c r="BY3" s="32" t="inlineStr">
        <is>
          <t>Required</t>
        </is>
      </c>
      <c r="BZ3" s="32" t="inlineStr">
        <is>
          <t>Recommended</t>
        </is>
      </c>
      <c r="CA3" s="32" t="inlineStr">
        <is>
          <t>Recommended</t>
        </is>
      </c>
      <c r="CB3" s="32" t="inlineStr">
        <is>
          <t>Recommended</t>
        </is>
      </c>
      <c r="CC3" s="32" t="inlineStr">
        <is>
          <t>Recommended</t>
        </is>
      </c>
      <c r="CD3" s="32" t="inlineStr">
        <is>
          <t>Recommended</t>
        </is>
      </c>
      <c r="CE3" s="32" t="inlineStr">
        <is>
          <t>Recommended</t>
        </is>
      </c>
      <c r="CF3" s="32" t="inlineStr">
        <is>
          <t>Recommended</t>
        </is>
      </c>
      <c r="CG3" s="32" t="inlineStr">
        <is>
          <t>Recommended</t>
        </is>
      </c>
      <c r="CH3" s="32" t="inlineStr">
        <is>
          <t>Recommended</t>
        </is>
      </c>
      <c r="CI3" s="32" t="inlineStr">
        <is>
          <t>Required</t>
        </is>
      </c>
      <c r="CJ3" s="32" t="inlineStr">
        <is>
          <t>Required</t>
        </is>
      </c>
      <c r="CK3" s="32" t="inlineStr">
        <is>
          <t>Required</t>
        </is>
      </c>
      <c r="CL3" s="32" t="inlineStr">
        <is>
          <t>Recommended</t>
        </is>
      </c>
      <c r="CM3" s="32" t="inlineStr">
        <is>
          <t>Recommended</t>
        </is>
      </c>
      <c r="CN3" s="32" t="inlineStr">
        <is>
          <t>Required</t>
        </is>
      </c>
      <c r="CO3" s="32" t="inlineStr">
        <is>
          <t>Additional</t>
        </is>
      </c>
      <c r="CP3" s="32" t="inlineStr">
        <is>
          <t>Recommended</t>
        </is>
      </c>
      <c r="CQ3" s="32" t="inlineStr">
        <is>
          <t>Recommended</t>
        </is>
      </c>
      <c r="CR3" s="32" t="inlineStr">
        <is>
          <t>Recommended</t>
        </is>
      </c>
      <c r="CS3" s="32" t="inlineStr">
        <is>
          <t>Required</t>
        </is>
      </c>
      <c r="CT3" s="32" t="inlineStr">
        <is>
          <t>Required</t>
        </is>
      </c>
      <c r="CU3" s="32" t="inlineStr">
        <is>
          <t>Required</t>
        </is>
      </c>
      <c r="CV3" s="32" t="inlineStr">
        <is>
          <t>Required</t>
        </is>
      </c>
      <c r="CW3" s="32" t="inlineStr">
        <is>
          <t>Additional</t>
        </is>
      </c>
      <c r="CX3" s="32" t="inlineStr">
        <is>
          <t>Additional</t>
        </is>
      </c>
      <c r="CY3" s="32" t="inlineStr">
        <is>
          <t>Additional</t>
        </is>
      </c>
      <c r="CZ3" s="32" t="inlineStr">
        <is>
          <t>Additional</t>
        </is>
      </c>
      <c r="DA3" s="32" t="inlineStr">
        <is>
          <t>Recommended</t>
        </is>
      </c>
      <c r="DB3" s="32" t="inlineStr">
        <is>
          <t>Recommended</t>
        </is>
      </c>
      <c r="DC3" s="32" t="inlineStr">
        <is>
          <t>Required</t>
        </is>
      </c>
      <c r="DD3" s="32" t="inlineStr">
        <is>
          <t>Recommended</t>
        </is>
      </c>
      <c r="DE3" s="32" t="inlineStr">
        <is>
          <t>Recommended</t>
        </is>
      </c>
      <c r="DF3" s="32" t="inlineStr">
        <is>
          <t>Recommended</t>
        </is>
      </c>
      <c r="DG3" s="32" t="inlineStr">
        <is>
          <t>Required</t>
        </is>
      </c>
      <c r="DH3" s="32" t="inlineStr">
        <is>
          <t>Recommended</t>
        </is>
      </c>
      <c r="DI3" s="32" t="inlineStr">
        <is>
          <t>Required</t>
        </is>
      </c>
      <c r="DJ3" s="32" t="inlineStr">
        <is>
          <t>Required</t>
        </is>
      </c>
      <c r="DK3" s="32" t="inlineStr">
        <is>
          <t>Recommended</t>
        </is>
      </c>
      <c r="DL3" s="32" t="inlineStr">
        <is>
          <t>Recommended</t>
        </is>
      </c>
      <c r="DM3" s="32" t="inlineStr">
        <is>
          <t>Recommended</t>
        </is>
      </c>
      <c r="DN3" s="32" t="inlineStr">
        <is>
          <t>Required</t>
        </is>
      </c>
      <c r="DO3" s="32" t="inlineStr">
        <is>
          <t>Required</t>
        </is>
      </c>
      <c r="DP3" s="32" t="inlineStr">
        <is>
          <t>Recommended</t>
        </is>
      </c>
      <c r="DQ3" s="32" t="inlineStr">
        <is>
          <t>Recommended</t>
        </is>
      </c>
      <c r="DR3" s="32" t="inlineStr">
        <is>
          <t>Required</t>
        </is>
      </c>
      <c r="DS3" s="32" t="inlineStr">
        <is>
          <t>Required</t>
        </is>
      </c>
      <c r="DT3" s="32" t="inlineStr">
        <is>
          <t>Required</t>
        </is>
      </c>
      <c r="DU3" s="32" t="inlineStr">
        <is>
          <t>Required</t>
        </is>
      </c>
      <c r="DV3" s="32" t="inlineStr">
        <is>
          <t>Required</t>
        </is>
      </c>
      <c r="DW3" s="32" t="inlineStr">
        <is>
          <t>Required</t>
        </is>
      </c>
      <c r="DX3" s="32" t="inlineStr">
        <is>
          <t>Required</t>
        </is>
      </c>
      <c r="DY3" s="32" t="inlineStr">
        <is>
          <t>Required</t>
        </is>
      </c>
      <c r="DZ3" s="32" t="inlineStr">
        <is>
          <t>Recommended</t>
        </is>
      </c>
      <c r="EA3" s="32" t="inlineStr">
        <is>
          <t>Recommended</t>
        </is>
      </c>
      <c r="EB3" s="32" t="inlineStr">
        <is>
          <t>Recommended</t>
        </is>
      </c>
      <c r="EC3" s="32" t="inlineStr">
        <is>
          <t>Recommended</t>
        </is>
      </c>
      <c r="ED3" s="32" t="inlineStr">
        <is>
          <t>Recommended</t>
        </is>
      </c>
      <c r="EE3" s="32" t="inlineStr">
        <is>
          <t>Recommended</t>
        </is>
      </c>
      <c r="EF3" s="32" t="inlineStr">
        <is>
          <t>Required</t>
        </is>
      </c>
      <c r="EG3" s="32" t="inlineStr">
        <is>
          <t>Required</t>
        </is>
      </c>
      <c r="EH3" s="32" t="inlineStr">
        <is>
          <t>Required</t>
        </is>
      </c>
      <c r="EI3" s="32" t="inlineStr">
        <is>
          <t>Required</t>
        </is>
      </c>
      <c r="EJ3" s="32" t="inlineStr">
        <is>
          <t>Recommended</t>
        </is>
      </c>
      <c r="EK3" s="32" t="inlineStr">
        <is>
          <t>Recommended</t>
        </is>
      </c>
      <c r="EL3" s="32" t="inlineStr">
        <is>
          <t>Recommended</t>
        </is>
      </c>
      <c r="EM3" s="32" t="inlineStr">
        <is>
          <t>Required</t>
        </is>
      </c>
      <c r="EN3" s="32" t="inlineStr">
        <is>
          <t>Required</t>
        </is>
      </c>
      <c r="EO3" s="32" t="inlineStr">
        <is>
          <t>Required</t>
        </is>
      </c>
      <c r="EP3" s="32" t="inlineStr">
        <is>
          <t>Required</t>
        </is>
      </c>
      <c r="EQ3" s="32" t="inlineStr">
        <is>
          <t>Required</t>
        </is>
      </c>
      <c r="ER3" s="32" t="inlineStr">
        <is>
          <t>Recommended</t>
        </is>
      </c>
      <c r="ES3" s="32" t="inlineStr">
        <is>
          <t>Required</t>
        </is>
      </c>
      <c r="ET3" s="32" t="inlineStr">
        <is>
          <t>Required</t>
        </is>
      </c>
      <c r="EU3" s="32" t="inlineStr">
        <is>
          <t>Required</t>
        </is>
      </c>
      <c r="EV3" s="32" t="inlineStr">
        <is>
          <t>Required</t>
        </is>
      </c>
      <c r="EW3" s="32" t="inlineStr">
        <is>
          <t>Recommended</t>
        </is>
      </c>
      <c r="EX3" s="32" t="inlineStr">
        <is>
          <t>Required</t>
        </is>
      </c>
      <c r="EY3" s="32" t="inlineStr">
        <is>
          <t>Recommended</t>
        </is>
      </c>
      <c r="EZ3" s="32" t="inlineStr">
        <is>
          <t>Recommended</t>
        </is>
      </c>
      <c r="FA3" s="32" t="inlineStr">
        <is>
          <t>Recommended</t>
        </is>
      </c>
      <c r="FB3" s="32"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Pier / Bookcase Included</t>
        </is>
      </c>
      <c r="BQ4" s="19" t="inlineStr">
        <is>
          <t>Drawers Included</t>
        </is>
      </c>
      <c r="BR4" s="19" t="inlineStr">
        <is>
          <t>Number of Drawers</t>
        </is>
      </c>
      <c r="BS4" s="19" t="inlineStr">
        <is>
          <t>Cabinets Included</t>
        </is>
      </c>
      <c r="BT4" s="19" t="inlineStr">
        <is>
          <t>Shelves Included</t>
        </is>
      </c>
      <c r="BU4" s="19" t="inlineStr">
        <is>
          <t>Exterior Shelves Included</t>
        </is>
      </c>
      <c r="BV4" s="19" t="inlineStr">
        <is>
          <t>Interior Shelves Included</t>
        </is>
      </c>
      <c r="BW4" s="19" t="inlineStr">
        <is>
          <t>Bridge Included</t>
        </is>
      </c>
      <c r="BX4" s="19" t="inlineStr">
        <is>
          <t>Furniture Design</t>
        </is>
      </c>
      <c r="BY4" s="19" t="inlineStr">
        <is>
          <t>Material</t>
        </is>
      </c>
      <c r="BZ4" s="19" t="inlineStr">
        <is>
          <t>Purposeful Distressing Type</t>
        </is>
      </c>
      <c r="CA4" s="19" t="inlineStr">
        <is>
          <t>Natural Variation Type</t>
        </is>
      </c>
      <c r="CB4" s="19" t="inlineStr">
        <is>
          <t>Gloss Finish</t>
        </is>
      </c>
      <c r="CC4" s="19" t="inlineStr">
        <is>
          <t>Mirrored</t>
        </is>
      </c>
      <c r="CD4" s="19" t="inlineStr">
        <is>
          <t>Sound Bar Shelf Included</t>
        </is>
      </c>
      <c r="CE4" s="19" t="inlineStr">
        <is>
          <t>Adjustable Shelves</t>
        </is>
      </c>
      <c r="CF4" s="19" t="inlineStr">
        <is>
          <t>Media Storage Included</t>
        </is>
      </c>
      <c r="CG4" s="19" t="inlineStr">
        <is>
          <t>Cable Management</t>
        </is>
      </c>
      <c r="CH4" s="19" t="inlineStr">
        <is>
          <t>Wheels / Casters Included</t>
        </is>
      </c>
      <c r="CI4" s="19" t="inlineStr">
        <is>
          <t>Fireplace Included</t>
        </is>
      </c>
      <c r="CJ4" s="19" t="inlineStr">
        <is>
          <t>Plug-In</t>
        </is>
      </c>
      <c r="CK4" s="19" t="inlineStr">
        <is>
          <t>Tipover Restraint Device Included</t>
        </is>
      </c>
      <c r="CL4" s="19" t="inlineStr">
        <is>
          <t>Integrated TV Mount Included</t>
        </is>
      </c>
      <c r="CM4" s="19" t="inlineStr">
        <is>
          <t>Adjustable Height</t>
        </is>
      </c>
      <c r="CN4" s="19" t="inlineStr">
        <is>
          <t>Supplier Intended and Approved Use</t>
        </is>
      </c>
      <c r="CO4" s="19" t="inlineStr">
        <is>
          <t>Country of Origin - Additional Details</t>
        </is>
      </c>
      <c r="CP4" s="19" t="inlineStr">
        <is>
          <t>Main Wood Joinery Method</t>
        </is>
      </c>
      <c r="CQ4" s="19" t="inlineStr">
        <is>
          <t>Kiln-Dried Wood</t>
        </is>
      </c>
      <c r="CR4" s="19" t="inlineStr">
        <is>
          <t>Wood Species</t>
        </is>
      </c>
      <c r="CS4" s="33" t="inlineStr">
        <is>
          <t>Battery or Batteries Included</t>
        </is>
      </c>
      <c r="CT4" s="34" t="inlineStr">
        <is>
          <t>Battery Composition</t>
        </is>
      </c>
      <c r="CU4" s="34" t="inlineStr">
        <is>
          <t>Battery Type</t>
        </is>
      </c>
      <c r="CV4" s="34" t="inlineStr">
        <is>
          <t>Number of Batteries</t>
        </is>
      </c>
      <c r="CW4" s="34" t="inlineStr">
        <is>
          <t>Battery Shipment</t>
        </is>
      </c>
      <c r="CX4" s="34" t="inlineStr">
        <is>
          <t>Lithium Content</t>
        </is>
      </c>
      <c r="CY4" s="34" t="inlineStr">
        <is>
          <t>Watt Rating of Cells / Battery</t>
        </is>
      </c>
      <c r="CZ4" s="34" t="inlineStr">
        <is>
          <t>Weight of Cells / Battery</t>
        </is>
      </c>
      <c r="DA4" s="19" t="inlineStr">
        <is>
          <t>Adjustable Temperature</t>
        </is>
      </c>
      <c r="DB4" s="19" t="inlineStr">
        <is>
          <t>Adjustable Flame</t>
        </is>
      </c>
      <c r="DC4" s="19" t="inlineStr">
        <is>
          <t>Weight Capacity</t>
        </is>
      </c>
      <c r="DD4" s="19" t="inlineStr">
        <is>
          <t>Product Care</t>
        </is>
      </c>
      <c r="DE4" s="19" t="inlineStr">
        <is>
          <t>Unfinished</t>
        </is>
      </c>
      <c r="DF4" s="19" t="inlineStr">
        <is>
          <t>Shelf Material</t>
        </is>
      </c>
      <c r="DG4" s="19" t="inlineStr">
        <is>
          <t>Color / Finish</t>
        </is>
      </c>
      <c r="DH4" s="19" t="inlineStr">
        <is>
          <t>Drawer Glide Type &amp; Extension</t>
        </is>
      </c>
      <c r="DI4" s="19" t="inlineStr">
        <is>
          <t>Vent Type</t>
        </is>
      </c>
      <c r="DJ4" s="19" t="inlineStr">
        <is>
          <t>Fuel Type</t>
        </is>
      </c>
      <c r="DK4" s="19" t="inlineStr">
        <is>
          <t>Door Design</t>
        </is>
      </c>
      <c r="DL4" s="19" t="inlineStr">
        <is>
          <t>Ribbed Detailing</t>
        </is>
      </c>
      <c r="DM4" s="19" t="inlineStr">
        <is>
          <t>Fluted Detailing</t>
        </is>
      </c>
      <c r="DN4" s="19" t="inlineStr">
        <is>
          <t>Pieces Included</t>
        </is>
      </c>
      <c r="DO4" s="19" t="inlineStr">
        <is>
          <t>Number of Cabinets</t>
        </is>
      </c>
      <c r="DP4" s="19" t="inlineStr">
        <is>
          <t>Drawer Safety Stop</t>
        </is>
      </c>
      <c r="DQ4" s="19" t="inlineStr">
        <is>
          <t>Fireplace Type</t>
        </is>
      </c>
      <c r="DR4" s="19" t="inlineStr">
        <is>
          <t>General Certificate of Conformity (GCC)</t>
        </is>
      </c>
      <c r="DS4" s="33" t="inlineStr">
        <is>
          <t>Composite Wood Product (CWP)</t>
        </is>
      </c>
      <c r="DT4" s="34" t="inlineStr">
        <is>
          <t>CARB Phase II Compliant (formaldehyde emissions)</t>
        </is>
      </c>
      <c r="DU4" s="34" t="inlineStr">
        <is>
          <t>TSCA Title VI Compliant (formaldehyde emissions)</t>
        </is>
      </c>
      <c r="DV4" s="34" t="inlineStr">
        <is>
          <t>CANFER Compliant</t>
        </is>
      </c>
      <c r="DW4" s="19" t="inlineStr">
        <is>
          <t>Uniform Packaging and Labeling Regulations (UPLR) Compliant</t>
        </is>
      </c>
      <c r="DX4" s="33" t="inlineStr">
        <is>
          <t>Canada Product Restriction</t>
        </is>
      </c>
      <c r="DY4" s="34" t="inlineStr">
        <is>
          <t>Reason for Restriction</t>
        </is>
      </c>
      <c r="DZ4" s="19" t="inlineStr">
        <is>
          <t>UL 1678 Listed</t>
        </is>
      </c>
      <c r="EA4" s="33" t="inlineStr">
        <is>
          <t>Hazardous Material / Dangerous Goods</t>
        </is>
      </c>
      <c r="EB4" s="34" t="inlineStr">
        <is>
          <t>UN or ID number</t>
        </is>
      </c>
      <c r="EC4" s="34" t="inlineStr">
        <is>
          <t>Hazard Class(es)</t>
        </is>
      </c>
      <c r="ED4" s="34" t="inlineStr">
        <is>
          <t>Packing Group</t>
        </is>
      </c>
      <c r="EE4" s="34" t="inlineStr">
        <is>
          <t>Hazardous Material Weight</t>
        </is>
      </c>
      <c r="EF4" s="19" t="inlineStr">
        <is>
          <t>Energy Efficiency Regulations Compliant</t>
        </is>
      </c>
      <c r="EG4" s="33" t="inlineStr">
        <is>
          <t>Safety Listing(s)</t>
        </is>
      </c>
      <c r="EH4" s="34" t="inlineStr">
        <is>
          <t>Safety Listing(s) Registration Number</t>
        </is>
      </c>
      <c r="EI4" s="19" t="inlineStr">
        <is>
          <t>CPSC - 16 CFR 1263 Compliant (Reese's Law)</t>
        </is>
      </c>
      <c r="EJ4" s="19" t="inlineStr">
        <is>
          <t>ISTA Certified</t>
        </is>
      </c>
      <c r="EK4" s="19" t="inlineStr">
        <is>
          <t>Sustainability &amp; Social Responsibility Certifications (North America Only)</t>
        </is>
      </c>
      <c r="EL4" s="19" t="inlineStr">
        <is>
          <t>Commercial Certifications</t>
        </is>
      </c>
      <c r="EM4" s="19" t="inlineStr">
        <is>
          <t>TV Stand Width - Side to Side</t>
        </is>
      </c>
      <c r="EN4" s="19" t="inlineStr">
        <is>
          <t>TV Stand Depth - Front to Back</t>
        </is>
      </c>
      <c r="EO4" s="19" t="inlineStr">
        <is>
          <t>Overall Entertainment Center Height - Top to Bottom</t>
        </is>
      </c>
      <c r="EP4" s="19" t="inlineStr">
        <is>
          <t>Overall Entertainment Center Width - Side to Side</t>
        </is>
      </c>
      <c r="EQ4" s="19" t="inlineStr">
        <is>
          <t>Overall Entertainment Center Depth - Front to Back</t>
        </is>
      </c>
      <c r="ER4" s="19" t="inlineStr">
        <is>
          <t>Overall Product Weight</t>
        </is>
      </c>
      <c r="ES4" s="19" t="inlineStr">
        <is>
          <t>Maximum TV Screen Size Accommodated</t>
        </is>
      </c>
      <c r="ET4" s="19" t="inlineStr">
        <is>
          <t>TV Stand Overall Height - Top to Bottom</t>
        </is>
      </c>
      <c r="EU4" s="19" t="inlineStr">
        <is>
          <t>Assembly Required</t>
        </is>
      </c>
      <c r="EV4" s="19" t="inlineStr">
        <is>
          <t>Level of Assembly</t>
        </is>
      </c>
      <c r="EW4" s="19" t="inlineStr">
        <is>
          <t>Additional Tools Required (Not Included)</t>
        </is>
      </c>
      <c r="EX4" s="33" t="inlineStr">
        <is>
          <t>Commercial Warranty</t>
        </is>
      </c>
      <c r="EY4" s="34" t="inlineStr">
        <is>
          <t>Commercial Warranty Length</t>
        </is>
      </c>
      <c r="EZ4" s="19" t="inlineStr">
        <is>
          <t>Product Warranty</t>
        </is>
      </c>
      <c r="FA4" s="19" t="inlineStr">
        <is>
          <t>Full or Limited Warranty</t>
        </is>
      </c>
      <c r="FB4" s="19" t="inlineStr">
        <is>
          <t>Warranty Length</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Does this product have a pier / bookcase included?</t>
        </is>
      </c>
      <c r="BQ5" s="35" t="inlineStr">
        <is>
          <t>Does this product have any drawers?</t>
        </is>
      </c>
      <c r="BR5" s="35" t="inlineStr">
        <is>
          <t>How many drawers are included in this product?</t>
        </is>
      </c>
      <c r="BS5" s="35" t="inlineStr">
        <is>
          <t>Does this product include cabinets?</t>
        </is>
      </c>
      <c r="BT5" s="35" t="inlineStr">
        <is>
          <t>Does this product include shelves?</t>
        </is>
      </c>
      <c r="BU5" s="35" t="inlineStr">
        <is>
          <t>Does this product have an open space with either another shelf above it or the top surface of the product above it? We do not define the top surface of the Accent Chest/Cabinet as an exterior shelf.</t>
        </is>
      </c>
      <c r="BV5" s="35" t="inlineStr">
        <is>
          <t>Does this product have interior shelves included?</t>
        </is>
      </c>
      <c r="BW5" s="35" t="inlineStr">
        <is>
          <t>Does this product have a bridge included?</t>
        </is>
      </c>
      <c r="BX5" s="35" t="inlineStr">
        <is>
          <t>What is the design of the piece of furniture?</t>
        </is>
      </c>
      <c r="BY5" s="35" t="inlineStr">
        <is>
          <t>What material is the product made of?</t>
        </is>
      </c>
      <c r="BZ5" s="35" t="inlineStr">
        <is>
          <t>What specific type of distressing does this product have? Select all that apply.</t>
        </is>
      </c>
      <c r="CA5" s="35" t="inlineStr">
        <is>
          <t>Which of the following types of natural variation and texture does the product have? Multiple can be selected if applicable. If the product does NOT have natural variation, please select No Natural Variation.</t>
        </is>
      </c>
      <c r="CB5" s="35" t="inlineStr">
        <is>
          <t>Does this product have a shiny and sheer gloss finish over the normal painted finish?</t>
        </is>
      </c>
      <c r="CC5" s="35" t="inlineStr">
        <is>
          <t>Is the surface of the product mirrored? Please do not select “yes” if the product only features a mirror. This question refers to the surface material of the product, and if it is reflective.</t>
        </is>
      </c>
      <c r="CD5" s="35" t="inlineStr">
        <is>
          <t>Does this product have a sound bar shelf included?</t>
        </is>
      </c>
      <c r="CE5" s="35" t="inlineStr">
        <is>
          <t>Does this product have adjustable shelves?</t>
        </is>
      </c>
      <c r="CF5" s="35" t="inlineStr">
        <is>
          <t>Does this product have media storage included?</t>
        </is>
      </c>
      <c r="CG5" s="35" t="inlineStr">
        <is>
          <t>Does this product have any built-in cable or wire management, such as a hole specifically for wires (a grommet) or a tray where wires can be stored?</t>
        </is>
      </c>
      <c r="CH5" s="35" t="inlineStr">
        <is>
          <t>Does this product have wheels or casters?</t>
        </is>
      </c>
      <c r="CI5" s="35" t="inlineStr">
        <is>
          <t>Does this product have a fireplace included?</t>
        </is>
      </c>
      <c r="CJ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K5" s="35" t="inlineStr">
        <is>
          <t>Does this product include a device to prevent the product from tipping over? Tipover restraint devices (TRDs) include brackets, straps, or other specialized hardware</t>
        </is>
      </c>
      <c r="CL5" s="35" t="inlineStr">
        <is>
          <t>Does this product have an integrated tv mount included?</t>
        </is>
      </c>
      <c r="CM5" s="35" t="inlineStr">
        <is>
          <t>Is the height of this product adjustable?</t>
        </is>
      </c>
      <c r="CN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O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P5" s="35" t="inlineStr">
        <is>
          <t>Which technique was used to join together the main pieces of wood to construct the overall product?</t>
        </is>
      </c>
      <c r="CQ5" s="35" t="inlineStr">
        <is>
          <t>Is the wood kiln-dried? If product is not made of wood, please select "does not apply."</t>
        </is>
      </c>
      <c r="CR5" s="35" t="inlineStr">
        <is>
          <t>What type of wood was used to construct this product? This describes the actual materials used, not the product's appearance.</t>
        </is>
      </c>
      <c r="CS5" s="35" t="inlineStr">
        <is>
          <t>Is the product a battery or does the product include batteries?</t>
        </is>
      </c>
      <c r="CT5" s="35" t="inlineStr">
        <is>
          <t>What is the composition of the batteries included with product?</t>
        </is>
      </c>
      <c r="CU5" s="35" t="inlineStr">
        <is>
          <t>What type is the battery? Button Cell, Cell, Battery?</t>
        </is>
      </c>
      <c r="CV5" s="35" t="inlineStr">
        <is>
          <t>Confirm number of batteries in this product</t>
        </is>
      </c>
      <c r="CW5" s="35" t="inlineStr">
        <is>
          <t>Do the cells/batteries ship stand alone/packed with the equipment/ contained (installed) in the equipment?</t>
        </is>
      </c>
      <c r="CX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Y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Z5" s="35" t="inlineStr">
        <is>
          <t>What is the net weight of the cells or batteries that ship with the product in grams or kilograms.</t>
        </is>
      </c>
      <c r="DA5" s="35" t="inlineStr">
        <is>
          <t>Can the amount of heat be adjusted?</t>
        </is>
      </c>
      <c r="DB5" s="35" t="inlineStr">
        <is>
          <t>Can the brightness, size, or color of the flame be adjusted?</t>
        </is>
      </c>
      <c r="DC5" s="35" t="inlineStr">
        <is>
          <t>[Pounds] What is the maximum weight capacity of the product? Please enter just the number (i.e., 45.5).</t>
        </is>
      </c>
      <c r="DD5" s="35" t="inlineStr">
        <is>
          <t>What is the appropriate way to clean and/or care for this product? Please select as many answers as applicable.</t>
        </is>
      </c>
      <c r="DE5" s="35" t="inlineStr">
        <is>
          <t>Is this product unfinished (no paint, stain, or varnish)?</t>
        </is>
      </c>
      <c r="DF5" s="35" t="inlineStr">
        <is>
          <t>What material are the shelves made of?</t>
        </is>
      </c>
      <c r="DG5" s="35" t="inlineStr">
        <is>
          <t>What is the color or finish of the product? If your color/finish name is not listed, please type in the value.</t>
        </is>
      </c>
      <c r="DH5" s="35" t="inlineStr">
        <is>
          <t>Please select which type of glide the drawer features and/or how far it can extend.</t>
        </is>
      </c>
      <c r="DI5" s="35" t="inlineStr">
        <is>
          <t>What type of vent does this product have?</t>
        </is>
      </c>
      <c r="DJ5" s="35" t="inlineStr">
        <is>
          <t>What is the source of fuel needed in order for this product to function?</t>
        </is>
      </c>
      <c r="DK5" s="35" t="inlineStr">
        <is>
          <t>Please select the design of the product.</t>
        </is>
      </c>
      <c r="DL5" s="35" t="inlineStr">
        <is>
          <t>Is there a a raised pattern of parallel lines on a surface of this product?</t>
        </is>
      </c>
      <c r="DM5" s="35" t="inlineStr">
        <is>
          <t>Is there a a concave pattern of parallel lines on a surface of this product?</t>
        </is>
      </c>
      <c r="DN5" s="35" t="inlineStr">
        <is>
          <t>What pieces are included with this product?</t>
        </is>
      </c>
      <c r="DO5" s="35" t="inlineStr">
        <is>
          <t>How many cabinets does this product have?</t>
        </is>
      </c>
      <c r="DP5" s="35" t="inlineStr">
        <is>
          <t>Do any drawers feature safety stops (intended to keep the drawers from pulling all the way out)?</t>
        </is>
      </c>
      <c r="DQ5" s="35" t="inlineStr">
        <is>
          <t>What type of Fireplace is included?</t>
        </is>
      </c>
      <c r="DR5" s="35" t="inlineStr">
        <is>
          <t>Does this product have a General Certificate of Conformity (GCC), as required by the U.S. CPSC for certain product classes?</t>
        </is>
      </c>
      <c r="DS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T5" s="35" t="inlineStr">
        <is>
          <t>Is this product certified compliant for CARB ATCM Phase II formaldehyde emission standards from Composite Wood Products [California Air Resources Board (CARB)- Airborne Toxic Control Measures (ATCM) Phase II]</t>
        </is>
      </c>
      <c r="DU5" s="35" t="inlineStr">
        <is>
          <t>Is this product certified TSCA Title VI compliant regarding formaldehyde emissions from Composite Wood Products [Environmental Protection Agency (EPA)-Toxic Substance Control Act (TSCA)-Title VI]</t>
        </is>
      </c>
      <c r="DV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W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X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Y5" s="35" t="inlineStr">
        <is>
          <t>Please select the reason this product can not ship to Canada?  Please select from the options or write in a reason if not selectable</t>
        </is>
      </c>
      <c r="DZ5" s="35" t="inlineStr">
        <is>
          <t>Is this product UL 1678 Listed? This means that the international standards testing company UL (Underwriters' Laboratories) has tested this product and found it to be in compliance with Category 1678 safety standards.</t>
        </is>
      </c>
      <c r="EA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EB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EC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ED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EE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EF5" s="35"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EG5" s="35" t="inlineStr">
        <is>
          <t>Which of the following certification or verification marks does your product have? If the item is not certified/verified with any safety listing, please select Does Not Apply.</t>
        </is>
      </c>
      <c r="EH5" s="35"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I5" s="35"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J5" s="35" t="inlineStr">
        <is>
          <t>Is the packaging for this SKU ISTA Certified (1A, 3A, 6A)?</t>
        </is>
      </c>
      <c r="EK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L5" s="35"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M5" s="35" t="inlineStr">
        <is>
          <t>[Inches] What is the overall width of the TV Stand (side to side)? Please enter just the number (i.e. 45.5). Please DO NOT duplicate this tag - any additional information can be stored in Shelf Dimensions, Cabinet Dimensions, or as a bullet.</t>
        </is>
      </c>
      <c r="EN5" s="35" t="inlineStr">
        <is>
          <t>[Inches] What is the overall depth of the TV Stand (front to back)? Please enter just the number (i.e. 45.5).</t>
        </is>
      </c>
      <c r="EO5" s="35" t="inlineStr">
        <is>
          <t>[Inches] What is the overall height of the Entertainment Center (top to bottom)? Enter just the value (i.e., 45.5).</t>
        </is>
      </c>
      <c r="EP5" s="35" t="inlineStr">
        <is>
          <t>[Inches] What is the overall width of the Entertainment Center (side to side)? Please enter just the number (i.e. 45.5). Please DO NOT duplicate this tag - any additional information can be stored in Shelf Dimensions, Cabinet Dimensions, or as a bullet.</t>
        </is>
      </c>
      <c r="EQ5" s="35" t="inlineStr">
        <is>
          <t>[Inches] What is the overall depth of the Entertainment Center (front to back)? Enter just the value (i.e., 45.5).</t>
        </is>
      </c>
      <c r="ER5" s="35" t="inlineStr">
        <is>
          <t>[Pounds] What is the total weight of this product once assembled? If this product includes multiples of the same item, add weight of one individual unit (e.g. 1 Dining Chair in a set of 2). Please enter just the number (i.e. 45.5).</t>
        </is>
      </c>
      <c r="ES5" s="35"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T5" s="35" t="inlineStr">
        <is>
          <t>[Inches] What is the overall height of the TV stand (top to bottom)? Enter just the value (i.e., 45.5).</t>
        </is>
      </c>
      <c r="EU5" s="35" t="inlineStr">
        <is>
          <t>Does the product require any form of assembly prior to use as intended?</t>
        </is>
      </c>
      <c r="EV5" s="35" t="inlineStr">
        <is>
          <t>What is the level of assembly required?</t>
        </is>
      </c>
      <c r="EW5" s="35" t="inlineStr">
        <is>
          <t>What additional tools will the customer need to set-up this product that are NOT included with purchase?</t>
        </is>
      </c>
      <c r="EX5" s="35" t="inlineStr">
        <is>
          <t>Does the manufacturer warranty cover the use of this product in a commercial environment?</t>
        </is>
      </c>
      <c r="EY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Z5" s="35" t="inlineStr">
        <is>
          <t>Please indicate if there is a warranty on this product if it were to be used in a residential setting.</t>
        </is>
      </c>
      <c r="FA5" s="35" t="inlineStr">
        <is>
          <t>Please indicate if the warranty is Full or Limited.</t>
        </is>
      </c>
      <c r="FB5" s="35"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A6" s="35" t="inlineStr">
        <is>
          <t>Read-Only</t>
        </is>
      </c>
      <c r="B6" s="35" t="inlineStr">
        <is>
          <t>CASA-TV-018</t>
        </is>
      </c>
      <c r="C6" s="35" t="inlineStr">
        <is>
          <t>Text</t>
        </is>
      </c>
      <c r="D6" s="36" t="inlineStr">
        <is>
          <t>Casa Design Furniture</t>
        </is>
      </c>
      <c r="E6" s="35" t="inlineStr">
        <is>
          <t>Text</t>
        </is>
      </c>
      <c r="F6" s="35" t="inlineStr">
        <is>
          <t>Text</t>
        </is>
      </c>
      <c r="G6" s="35" t="inlineStr">
        <is>
          <t>#018 NORALIE TV STAND &amp; FIREPLACE</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n">
        <v>899</v>
      </c>
      <c r="S6" s="35" t="inlineStr">
        <is>
          <t>Number</t>
        </is>
      </c>
      <c r="T6" s="35" t="inlineStr">
        <is>
          <t>Number</t>
        </is>
      </c>
      <c r="U6" s="35" t="inlineStr">
        <is>
          <t>Elevate your entertainment area with the Noralie TV Stand &amp; Fireplace. Featuring a beveled mirrored finish and elegant faux diamond inlays, this free-standing unit adds a touch of luxury to any room. Includes a built-in LED electric fireplace with touch control and remote, providing 4777 BTUs of heat for areas up to 400 sq ft.</t>
        </is>
      </c>
      <c r="V6" s="35" t="inlineStr">
        <is>
          <t>Mirrored finish with beveled edges</t>
        </is>
      </c>
      <c r="W6" s="35" t="inlineStr">
        <is>
          <t>Faux diamond inlay accents</t>
        </is>
      </c>
      <c r="X6" s="35" t="inlineStr">
        <is>
          <t>Built-in 4777 BTU LED electric fireplace</t>
        </is>
      </c>
      <c r="Y6" s="35" t="inlineStr">
        <is>
          <t>Includes remote control and touch panel</t>
        </is>
      </c>
      <c r="Z6" s="35" t="inlineStr">
        <is>
          <t>Two storage doors with internal compartments</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5" t="inlineStr">
        <is>
          <t>Yes or No</t>
        </is>
      </c>
      <c r="BQ6" s="35" t="inlineStr">
        <is>
          <t>Yes or No</t>
        </is>
      </c>
      <c r="BR6" s="35" t="inlineStr">
        <is>
          <t>Whole Number</t>
        </is>
      </c>
      <c r="BS6" s="35" t="inlineStr">
        <is>
          <t>Yes or No</t>
        </is>
      </c>
      <c r="BT6" s="35" t="inlineStr">
        <is>
          <t>Yes or No</t>
        </is>
      </c>
      <c r="BU6" s="35" t="inlineStr">
        <is>
          <t>Yes or No</t>
        </is>
      </c>
      <c r="BV6" s="35" t="inlineStr">
        <is>
          <t>Yes or No</t>
        </is>
      </c>
      <c r="BW6" s="35" t="inlineStr">
        <is>
          <t>Yes or No</t>
        </is>
      </c>
      <c r="BX6" s="36"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Y6" s="36"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Z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A6" s="36" t="inlineStr">
        <is>
          <t>Please choose one or more from the following, using a semicolon (;) to separate each value: No Natural Variation; Natural Wood Grain Color Variation; Weathered Steel; Wood Knots; Natural Stone Color Variation; Unavailable</t>
        </is>
      </c>
      <c r="CB6" s="35" t="inlineStr">
        <is>
          <t>Yes or No</t>
        </is>
      </c>
      <c r="CC6" s="35" t="inlineStr">
        <is>
          <t>Yes or No</t>
        </is>
      </c>
      <c r="CD6" s="35" t="inlineStr">
        <is>
          <t>Yes or No</t>
        </is>
      </c>
      <c r="CE6" s="35" t="inlineStr">
        <is>
          <t>Yes or No</t>
        </is>
      </c>
      <c r="CF6" s="35" t="inlineStr">
        <is>
          <t>Yes or No</t>
        </is>
      </c>
      <c r="CG6" s="35" t="inlineStr">
        <is>
          <t>Yes or No</t>
        </is>
      </c>
      <c r="CH6" s="35" t="inlineStr">
        <is>
          <t>Yes or No</t>
        </is>
      </c>
      <c r="CI6" s="35" t="inlineStr">
        <is>
          <t>Yes or No</t>
        </is>
      </c>
      <c r="CJ6" s="35" t="inlineStr">
        <is>
          <t>Yes or No</t>
        </is>
      </c>
      <c r="CK6" s="36" t="inlineStr">
        <is>
          <t>Select</t>
        </is>
      </c>
      <c r="CL6" s="35" t="inlineStr">
        <is>
          <t>Yes or No</t>
        </is>
      </c>
      <c r="CM6" s="35" t="inlineStr">
        <is>
          <t>Yes or No</t>
        </is>
      </c>
      <c r="CN6" s="36" t="inlineStr">
        <is>
          <t>Please choose one or more from the following, using a semicolon (;) to separate each value: Non Residential Use; Residential Use</t>
        </is>
      </c>
      <c r="CO6" s="36" t="inlineStr">
        <is>
          <t>Please choose one or more from the following, using a semicolon (;) to separate each value: Made in USA; Made in USA of Imported Materials; Product of Canada; Made In Canada; Does Not Apply</t>
        </is>
      </c>
      <c r="CP6" s="36" t="inlineStr">
        <is>
          <t>Select</t>
        </is>
      </c>
      <c r="CQ6" s="35" t="inlineStr">
        <is>
          <t>Yes or No</t>
        </is>
      </c>
      <c r="CR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S6" s="35" t="inlineStr">
        <is>
          <t>Yes or No</t>
        </is>
      </c>
      <c r="CT6" s="36" t="inlineStr">
        <is>
          <t>Select</t>
        </is>
      </c>
      <c r="CU6" s="36" t="inlineStr">
        <is>
          <t>Select</t>
        </is>
      </c>
      <c r="CV6" s="36" t="inlineStr">
        <is>
          <t>Select</t>
        </is>
      </c>
      <c r="CW6" s="36" t="inlineStr">
        <is>
          <t>Select</t>
        </is>
      </c>
      <c r="CX6" s="36" t="inlineStr">
        <is>
          <t>Select</t>
        </is>
      </c>
      <c r="CY6" s="36" t="inlineStr">
        <is>
          <t>Select</t>
        </is>
      </c>
      <c r="CZ6" s="36" t="inlineStr">
        <is>
          <t>Select</t>
        </is>
      </c>
      <c r="DA6" s="35" t="inlineStr">
        <is>
          <t>Yes or No</t>
        </is>
      </c>
      <c r="DB6" s="35" t="inlineStr">
        <is>
          <t>Yes or No</t>
        </is>
      </c>
      <c r="DC6" s="35" t="inlineStr">
        <is>
          <t>Number</t>
        </is>
      </c>
      <c r="DD6" s="36"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DE6" s="35" t="inlineStr">
        <is>
          <t>Yes or No</t>
        </is>
      </c>
      <c r="DF6" s="36"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DG6" s="36"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DH6" s="36"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I6" s="36" t="inlineStr">
        <is>
          <t>Select</t>
        </is>
      </c>
      <c r="DJ6" s="36" t="inlineStr">
        <is>
          <t>Please choose one or more from the following, using a semicolon (;) to separate each value: Electric; Dual Fuel; Induction; Wood Pellets; Natural Gas; Liquid Propane; Wood Burning; Gel Fuel; Bio-Ethanol; Propane; Butane; Charcoal; Ethanol; Alcohol; Does Not Apply</t>
        </is>
      </c>
      <c r="DK6" s="36" t="inlineStr">
        <is>
          <t>Please choose one or more from the following, using a semicolon (;) to separate each value: Flush; Glass; Louvered; Paneled; Mirrored; Barn Doors; Frosted; Insulated; Contoured; Tinted; See Through; Double Pane; Does Not Apply</t>
        </is>
      </c>
      <c r="DL6" s="35" t="inlineStr">
        <is>
          <t>Yes or No</t>
        </is>
      </c>
      <c r="DM6" s="35" t="inlineStr">
        <is>
          <t>Yes or No</t>
        </is>
      </c>
      <c r="DN6" s="36"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O6" s="35" t="inlineStr">
        <is>
          <t>Whole Number</t>
        </is>
      </c>
      <c r="DP6" s="35" t="inlineStr">
        <is>
          <t>Yes or No</t>
        </is>
      </c>
      <c r="DQ6" s="36" t="inlineStr">
        <is>
          <t>Please choose one or more from the following, using a semicolon (;) to separate each value: Gel; Gas; Wood; Electric; Unavailable; Does Not Apply</t>
        </is>
      </c>
      <c r="DR6" s="36" t="inlineStr">
        <is>
          <t>Select</t>
        </is>
      </c>
      <c r="DS6" s="35" t="inlineStr">
        <is>
          <t>Yes or No</t>
        </is>
      </c>
      <c r="DT6" s="36" t="inlineStr">
        <is>
          <t>Select</t>
        </is>
      </c>
      <c r="DU6" s="36" t="inlineStr">
        <is>
          <t>Select</t>
        </is>
      </c>
      <c r="DV6" s="36" t="inlineStr">
        <is>
          <t>Select</t>
        </is>
      </c>
      <c r="DW6" s="36" t="inlineStr">
        <is>
          <t>Select</t>
        </is>
      </c>
      <c r="DX6" s="35" t="inlineStr">
        <is>
          <t>Yes or No</t>
        </is>
      </c>
      <c r="DY6" s="36" t="inlineStr">
        <is>
          <t>Please choose one or more from the following, using a semicolon (;) to separate each value: Dual Language; Distribution Conflict; Logistics; Does Not Apply</t>
        </is>
      </c>
      <c r="DZ6" s="36" t="inlineStr">
        <is>
          <t>Select</t>
        </is>
      </c>
      <c r="EA6" s="35" t="inlineStr">
        <is>
          <t>Yes or No</t>
        </is>
      </c>
      <c r="EB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EC6" s="36" t="inlineStr">
        <is>
          <t>Select</t>
        </is>
      </c>
      <c r="ED6" s="36" t="inlineStr">
        <is>
          <t>Select</t>
        </is>
      </c>
      <c r="EE6" s="36" t="inlineStr">
        <is>
          <t>Select</t>
        </is>
      </c>
      <c r="EF6" s="36" t="inlineStr">
        <is>
          <t>Select</t>
        </is>
      </c>
      <c r="EG6" s="36"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EH6" s="35" t="inlineStr">
        <is>
          <t>Text</t>
        </is>
      </c>
      <c r="EI6" s="36" t="inlineStr">
        <is>
          <t>Select</t>
        </is>
      </c>
      <c r="EJ6" s="36" t="inlineStr">
        <is>
          <t>Select</t>
        </is>
      </c>
      <c r="EK6" s="35" t="inlineStr">
        <is>
          <t>Yes or No</t>
        </is>
      </c>
      <c r="EL6" s="36" t="inlineStr">
        <is>
          <t>Select</t>
        </is>
      </c>
      <c r="EM6" s="35" t="inlineStr">
        <is>
          <t>Number</t>
        </is>
      </c>
      <c r="EN6" s="35" t="inlineStr">
        <is>
          <t>Number</t>
        </is>
      </c>
      <c r="EO6" s="35" t="inlineStr">
        <is>
          <t>Number</t>
        </is>
      </c>
      <c r="EP6" s="35" t="inlineStr">
        <is>
          <t>Number</t>
        </is>
      </c>
      <c r="EQ6" s="35" t="inlineStr">
        <is>
          <t>Number</t>
        </is>
      </c>
      <c r="ER6" s="35" t="inlineStr">
        <is>
          <t>Number</t>
        </is>
      </c>
      <c r="ES6" s="36" t="inlineStr">
        <is>
          <t>Select</t>
        </is>
      </c>
      <c r="ET6" s="35" t="inlineStr">
        <is>
          <t>Number</t>
        </is>
      </c>
      <c r="EU6" s="35" t="inlineStr">
        <is>
          <t>Yes or No</t>
        </is>
      </c>
      <c r="EV6" s="36" t="inlineStr">
        <is>
          <t>Select</t>
        </is>
      </c>
      <c r="EW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X6" s="35" t="inlineStr">
        <is>
          <t>Yes or No</t>
        </is>
      </c>
      <c r="EY6" s="36" t="inlineStr">
        <is>
          <t>Select</t>
        </is>
      </c>
      <c r="EZ6" s="35" t="inlineStr">
        <is>
          <t>Yes or No</t>
        </is>
      </c>
      <c r="FA6" s="36" t="inlineStr">
        <is>
          <t>Select</t>
        </is>
      </c>
      <c r="FB6" s="36"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7" t="inlineStr">
        <is>
          <t>CASA-TV-013</t>
        </is>
      </c>
      <c r="C7" s="37" t="inlineStr">
        <is>
          <t>N/A</t>
        </is>
      </c>
      <c r="D7" s="38" t="inlineStr">
        <is>
          <t>Casa Design Furniture</t>
        </is>
      </c>
      <c r="E7" s="37" t="inlineStr">
        <is>
          <t>N/A</t>
        </is>
      </c>
      <c r="F7" s="37" t="inlineStr">
        <is>
          <t>N/A</t>
        </is>
      </c>
      <c r="G7" s="37" t="inlineStr">
        <is>
          <t>#013 TV STAND IN WHITE LACQUER</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n">
        <v>799</v>
      </c>
      <c r="S7" s="38" t="n"/>
      <c r="T7" s="38" t="n"/>
      <c r="U7" s="38" t="inlineStr">
        <is>
          <t>Modern TV stand in white lacquer with polished stainless steel legs. Features self-closing doors and drawers with extension rails for a sleek, organized living space.</t>
        </is>
      </c>
      <c r="V7" s="38" t="inlineStr">
        <is>
          <t>High-gloss white lacquer finish</t>
        </is>
      </c>
      <c r="W7" s="38" t="inlineStr">
        <is>
          <t>Polished stainless steel legs</t>
        </is>
      </c>
      <c r="X7" s="38" t="inlineStr">
        <is>
          <t>Self-closing doors and drawers</t>
        </is>
      </c>
      <c r="Y7" s="38" t="inlineStr">
        <is>
          <t>Extension rails for smooth operation</t>
        </is>
      </c>
      <c r="Z7" s="38" t="inlineStr">
        <is>
          <t>Pre-assembled for convenience</t>
        </is>
      </c>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c r="DZ7" s="38" t="n"/>
      <c r="EA7" s="38" t="n"/>
      <c r="EB7" s="38" t="n"/>
      <c r="EC7" s="38" t="n"/>
      <c r="ED7" s="38" t="n"/>
      <c r="EE7" s="38" t="n"/>
      <c r="EF7" s="38" t="n"/>
      <c r="EG7" s="38" t="n"/>
      <c r="EH7" s="38" t="n"/>
      <c r="EI7" s="38" t="n"/>
      <c r="EJ7" s="38" t="n"/>
      <c r="EK7" s="38" t="n"/>
      <c r="EL7" s="38" t="n"/>
      <c r="EM7" s="38" t="n"/>
      <c r="EN7" s="38" t="n"/>
      <c r="EO7" s="38" t="n"/>
      <c r="EP7" s="38" t="n"/>
      <c r="EQ7" s="38" t="n"/>
      <c r="ER7" s="38" t="n"/>
      <c r="ES7" s="38" t="n"/>
      <c r="ET7" s="38" t="n"/>
      <c r="EU7" s="38" t="n"/>
      <c r="EV7" s="38" t="n"/>
      <c r="EW7" s="38" t="n"/>
      <c r="EX7" s="38" t="n"/>
      <c r="EY7" s="38" t="n"/>
      <c r="EZ7" s="38" t="n"/>
      <c r="FA7" s="38" t="n"/>
      <c r="FB7" s="38" t="n"/>
    </row>
    <row r="8">
      <c r="A8" s="39">
        <f>IF('6 - TV Stands &amp; Enterta'!B8 = "", "", IF('6 - TV Stands &amp; Enterta-WUO_ERR'!A8 = "", "Validated", HYPERLINK("#" &amp; ADDRESS(8, '6 - TV Stands &amp; Enterta-WUO_TRK'!A8),_xlfn.TEXTAFTER('6 - TV Stands &amp; Enterta-WUO_ERR'!A8, ":"))))</f>
        <v/>
      </c>
      <c r="B8" t="inlineStr">
        <is>
          <t>CASA-TV-015</t>
        </is>
      </c>
      <c r="D8" t="inlineStr">
        <is>
          <t>Casa Design Furniture</t>
        </is>
      </c>
      <c r="G8" t="inlineStr">
        <is>
          <t>#015 LED LIGHT TV STAND</t>
        </is>
      </c>
      <c r="R8" t="n">
        <v>649</v>
      </c>
      <c r="U8" t="inlineStr">
        <is>
          <t>A contemporary TV stand designed to brighten your living room. Features integrated LED lighting for a modern aesthetic and ample storage for media devices.</t>
        </is>
      </c>
      <c r="V8" t="inlineStr">
        <is>
          <t>Integrated LED lighting system</t>
        </is>
      </c>
      <c r="W8" t="inlineStr">
        <is>
          <t>Contemporary modern design</t>
        </is>
      </c>
      <c r="X8" t="inlineStr">
        <is>
          <t>Ample storage for electronic devices</t>
        </is>
      </c>
      <c r="Y8" t="inlineStr">
        <is>
          <t>High-quality wood and laminate construction</t>
        </is>
      </c>
      <c r="Z8" t="inlineStr">
        <is>
          <t>Sleek hardware-free appearance</t>
        </is>
      </c>
    </row>
    <row r="9">
      <c r="A9" s="39">
        <f>IF('6 - TV Stands &amp; Enterta'!B9 = "", "", IF('6 - TV Stands &amp; Enterta-WUO_ERR'!A9 = "", "Validated", HYPERLINK("#" &amp; ADDRESS(9, '6 - TV Stands &amp; Enterta-WUO_TRK'!A9),_xlfn.TEXTAFTER('6 - TV Stands &amp; Enterta-WUO_ERR'!A9, ":"))))</f>
        <v/>
      </c>
      <c r="B9" t="inlineStr">
        <is>
          <t>CASA-TV-016</t>
        </is>
      </c>
      <c r="D9" t="inlineStr">
        <is>
          <t>Casa Design Furniture</t>
        </is>
      </c>
      <c r="G9" t="inlineStr">
        <is>
          <t>#016 TV STAND WHITE &amp; LED LIGHT</t>
        </is>
      </c>
      <c r="R9" t="n">
        <v>699</v>
      </c>
      <c r="U9" t="inlineStr">
        <is>
          <t>Modern and stylish TV stand with two door-compartments and a center drawer. Includes a spacious exposed area for electronic devices and integrated white LED light for a sophisticated look.</t>
        </is>
      </c>
      <c r="V9" t="inlineStr">
        <is>
          <t>Modern white finish with integrated LED</t>
        </is>
      </c>
      <c r="W9" t="inlineStr">
        <is>
          <t>Two self-closing side doors</t>
        </is>
      </c>
      <c r="X9" t="inlineStr">
        <is>
          <t>Center storage drawer for organization</t>
        </is>
      </c>
      <c r="Y9" t="inlineStr">
        <is>
          <t>Exposed media shelving for electronics</t>
        </is>
      </c>
      <c r="Z9" t="inlineStr">
        <is>
          <t>Perfect for apartments and contemporary homes</t>
        </is>
      </c>
    </row>
    <row r="10">
      <c r="A10" s="39">
        <f>IF('6 - TV Stands &amp; Enterta'!B10 = "", "", IF('6 - TV Stands &amp; Enterta-WUO_ERR'!A10 = "", "Validated", HYPERLINK("#" &amp; ADDRESS(10, '6 - TV Stands &amp; Enterta-WUO_TRK'!A10),_xlfn.TEXTAFTER('6 - TV Stands &amp; Enterta-WUO_ERR'!A10, ":"))))</f>
        <v/>
      </c>
      <c r="B10" t="inlineStr">
        <is>
          <t>CASA-TV-017</t>
        </is>
      </c>
      <c r="D10" t="inlineStr">
        <is>
          <t>Casa Design Furniture</t>
        </is>
      </c>
      <c r="G10" t="inlineStr">
        <is>
          <t>#017 KL TV STAND</t>
        </is>
      </c>
      <c r="R10" t="n">
        <v>549</v>
      </c>
      <c r="U10" t="inlineStr">
        <is>
          <t>The KL TV Stand offers a minimalist yet functional design, providing a stable and stylish base for your home entertainment system.</t>
        </is>
      </c>
      <c r="V10" t="inlineStr">
        <is>
          <t>Minimalist modern silhouette</t>
        </is>
      </c>
      <c r="W10" t="inlineStr">
        <is>
          <t>Durable construction for heavy TVs</t>
        </is>
      </c>
      <c r="X10" t="inlineStr">
        <is>
          <t>Versatile finish that fits any decor</t>
        </is>
      </c>
      <c r="Y10" t="inlineStr">
        <is>
          <t>Hidden cable management features</t>
        </is>
      </c>
      <c r="Z10" t="inlineStr">
        <is>
          <t>Easy to clean and maintain surface</t>
        </is>
      </c>
    </row>
    <row r="11">
      <c r="A11" s="39">
        <f>IF('6 - TV Stands &amp; Enterta'!B11 = "", "", IF('6 - TV Stands &amp; Enterta-WUO_ERR'!A11 = "", "Validated", HYPERLINK("#" &amp; ADDRESS(11, '6 - TV Stands &amp; Enterta-WUO_TRK'!A11),_xlfn.TEXTAFTER('6 - TV Stands &amp; Enterta-WUO_ERR'!A11, ":"))))</f>
        <v/>
      </c>
      <c r="B11" t="inlineStr">
        <is>
          <t>CASA-TV-019</t>
        </is>
      </c>
      <c r="D11" t="inlineStr">
        <is>
          <t>Casa Design Furniture</t>
        </is>
      </c>
      <c r="G11" t="inlineStr">
        <is>
          <t>#019 TV STAND MIRRORED &amp; DIAMONDS</t>
        </is>
      </c>
      <c r="R11" t="n">
        <v>1099</v>
      </c>
      <c r="U11" t="inlineStr">
        <is>
          <t>Add a spectacular contemporary touch with the Noralie Mirrored TV Stand. Featuring a fully mirrored base and top with faux diamond inlay fronts, this piece holds up to a 50 inch flat screen.</t>
        </is>
      </c>
      <c r="V11" t="inlineStr">
        <is>
          <t>Fully mirrored base and top</t>
        </is>
      </c>
      <c r="W11" t="inlineStr">
        <is>
          <t>Faux diamond inlay on drawer and cabinet fronts</t>
        </is>
      </c>
      <c r="X11" t="inlineStr">
        <is>
          <t>Holds up to 50 inch flat screen TV</t>
        </is>
      </c>
      <c r="Y11" t="inlineStr">
        <is>
          <t>One storage drawer and two cabinets</t>
        </is>
      </c>
      <c r="Z11" t="inlineStr">
        <is>
          <t>Open media compartment for easy access</t>
        </is>
      </c>
    </row>
    <row r="12">
      <c r="A12" s="39">
        <f>IF('6 - TV Stands &amp; Enterta'!B12 = "", "", IF('6 - TV Stands &amp; Enterta-WUO_ERR'!A12 = "", "Validated", HYPERLINK("#" &amp; ADDRESS(12, '6 - TV Stands &amp; Enterta-WUO_TRK'!A12),_xlfn.TEXTAFTER('6 - TV Stands &amp; Enterta-WUO_ERR'!A12, ":"))))</f>
        <v/>
      </c>
      <c r="B12" t="inlineStr">
        <is>
          <t>CASA-TV-020</t>
        </is>
      </c>
      <c r="D12" t="inlineStr">
        <is>
          <t>Casa Design Furniture</t>
        </is>
      </c>
      <c r="G12" t="inlineStr">
        <is>
          <t>#020 TV STAND ELECTRIC FIREPLACE</t>
        </is>
      </c>
      <c r="R12" t="n">
        <v>1299</v>
      </c>
      <c r="U12" t="inlineStr">
        <is>
          <t>Combine warmth and luxury with this rectangular TV stand featuring a beveled mirrored finish and faux diamond inlays. Includes a 4777 BTU LED fireplace for 400 sq ft heating.</t>
        </is>
      </c>
      <c r="V12" t="inlineStr">
        <is>
          <t>Mirrored case-frame with sled base</t>
        </is>
      </c>
      <c r="W12" t="inlineStr">
        <is>
          <t>4777 BTU LED electric fireplace included</t>
        </is>
      </c>
      <c r="X12" t="inlineStr">
        <is>
          <t>Touch control panel and remote control</t>
        </is>
      </c>
      <c r="Y12" t="inlineStr">
        <is>
          <t>Flame light can be used without heat</t>
        </is>
      </c>
      <c r="Z12" t="inlineStr">
        <is>
          <t>Large storage compartments with doors</t>
        </is>
      </c>
    </row>
    <row r="13">
      <c r="A13" s="39">
        <f>IF('6 - TV Stands &amp; Enterta'!B13 = "", "", IF('6 - TV Stands &amp; Enterta-WUO_ERR'!A13 = "", "Validated", HYPERLINK("#" &amp; ADDRESS(13, '6 - TV Stands &amp; Enterta-WUO_TRK'!A13),_xlfn.TEXTAFTER('6 - TV Stands &amp; Enterta-WUO_ERR'!A13, ":"))))</f>
        <v/>
      </c>
    </row>
    <row r="14">
      <c r="A14" s="39">
        <f>IF('6 - TV Stands &amp; Enterta'!B14 = "", "", IF('6 - TV Stands &amp; Enterta-WUO_ERR'!A14 = "", "Validated", HYPERLINK("#" &amp; ADDRESS(14, '6 - TV Stands &amp; Enterta-WUO_TRK'!A14),_xlfn.TEXTAFTER('6 - TV Stands &amp; Enterta-WUO_ERR'!A14, ":"))))</f>
        <v/>
      </c>
    </row>
    <row r="15">
      <c r="A15" s="39">
        <f>IF('6 - TV Stands &amp; Enterta'!B15 = "", "", IF('6 - TV Stands &amp; Enterta-WUO_ERR'!A15 = "", "Validated", HYPERLINK("#" &amp; ADDRESS(15, '6 - TV Stands &amp; Enterta-WUO_TRK'!A15),_xlfn.TEXTAFTER('6 - TV Stands &amp; Enterta-WUO_ERR'!A15, ":"))))</f>
        <v/>
      </c>
    </row>
    <row r="16">
      <c r="A16" s="39">
        <f>IF('6 - TV Stands &amp; Enterta'!B16 = "", "", IF('6 - TV Stands &amp; Enterta-WUO_ERR'!A16 = "", "Validated", HYPERLINK("#" &amp; ADDRESS(16, '6 - TV Stands &amp; Enterta-WUO_TRK'!A16),_xlfn.TEXTAFTER('6 - TV Stands &amp; Enterta-WUO_ERR'!A16, ":"))))</f>
        <v/>
      </c>
    </row>
    <row r="17">
      <c r="A17" s="39">
        <f>IF('6 - TV Stands &amp; Enterta'!B17 = "", "", IF('6 - TV Stands &amp; Enterta-WUO_ERR'!A17 = "", "Validated", HYPERLINK("#" &amp; ADDRESS(17, '6 - TV Stands &amp; Enterta-WUO_TRK'!A17),_xlfn.TEXTAFTER('6 - TV Stands &amp; Enterta-WUO_ERR'!A17, ":"))))</f>
        <v/>
      </c>
    </row>
    <row r="18">
      <c r="A18" s="39">
        <f>IF('6 - TV Stands &amp; Enterta'!B18 = "", "", IF('6 - TV Stands &amp; Enterta-WUO_ERR'!A18 = "", "Validated", HYPERLINK("#" &amp; ADDRESS(18, '6 - TV Stands &amp; Enterta-WUO_TRK'!A18),_xlfn.TEXTAFTER('6 - TV Stands &amp; Enterta-WUO_ERR'!A18, ":"))))</f>
        <v/>
      </c>
    </row>
    <row r="19">
      <c r="A19" s="39">
        <f>IF('6 - TV Stands &amp; Enterta'!B19 = "", "", IF('6 - TV Stands &amp; Enterta-WUO_ERR'!A19 = "", "Validated", HYPERLINK("#" &amp; ADDRESS(19, '6 - TV Stands &amp; Enterta-WUO_TRK'!A19),_xlfn.TEXTAFTER('6 - TV Stands &amp; Enterta-WUO_ERR'!A19, ":"))))</f>
        <v/>
      </c>
    </row>
    <row r="20">
      <c r="A20" s="39">
        <f>IF('6 - TV Stands &amp; Enterta'!B20 = "", "", IF('6 - TV Stands &amp; Enterta-WUO_ERR'!A20 = "", "Validated", HYPERLINK("#" &amp; ADDRESS(20, '6 - TV Stands &amp; Enterta-WUO_TRK'!A20),_xlfn.TEXTAFTER('6 - TV Stands &amp; Enterta-WUO_ERR'!A20, ":"))))</f>
        <v/>
      </c>
    </row>
    <row r="21">
      <c r="A21" s="39">
        <f>IF('6 - TV Stands &amp; Enterta'!B21 = "", "", IF('6 - TV Stands &amp; Enterta-WUO_ERR'!A21 = "", "Validated", HYPERLINK("#" &amp; ADDRESS(21, '6 - TV Stands &amp; Enterta-WUO_TRK'!A21),_xlfn.TEXTAFTER('6 - TV Stands &amp; Enterta-WUO_ERR'!A21, ":"))))</f>
        <v/>
      </c>
    </row>
    <row r="22">
      <c r="A22" s="39">
        <f>IF('6 - TV Stands &amp; Enterta'!B22 = "", "", IF('6 - TV Stands &amp; Enterta-WUO_ERR'!A22 = "", "Validated", HYPERLINK("#" &amp; ADDRESS(22, '6 - TV Stands &amp; Enterta-WUO_TRK'!A22),_xlfn.TEXTAFTER('6 - TV Stands &amp; Enterta-WUO_ERR'!A22, ":"))))</f>
        <v/>
      </c>
    </row>
    <row r="23">
      <c r="A23" s="39">
        <f>IF('6 - TV Stands &amp; Enterta'!B23 = "", "", IF('6 - TV Stands &amp; Enterta-WUO_ERR'!A23 = "", "Validated", HYPERLINK("#" &amp; ADDRESS(23, '6 - TV Stands &amp; Enterta-WUO_TRK'!A23),_xlfn.TEXTAFTER('6 - TV Stands &amp; Enterta-WUO_ERR'!A23, ":"))))</f>
        <v/>
      </c>
    </row>
    <row r="24">
      <c r="A24" s="39">
        <f>IF('6 - TV Stands &amp; Enterta'!B24 = "", "", IF('6 - TV Stands &amp; Enterta-WUO_ERR'!A24 = "", "Validated", HYPERLINK("#" &amp; ADDRESS(24, '6 - TV Stands &amp; Enterta-WUO_TRK'!A24),_xlfn.TEXTAFTER('6 - TV Stands &amp; Enterta-WUO_ERR'!A24, ":"))))</f>
        <v/>
      </c>
    </row>
    <row r="25">
      <c r="A25" s="39">
        <f>IF('6 - TV Stands &amp; Enterta'!B25 = "", "", IF('6 - TV Stands &amp; Enterta-WUO_ERR'!A25 = "", "Validated", HYPERLINK("#" &amp; ADDRESS(25, '6 - TV Stands &amp; Enterta-WUO_TRK'!A25),_xlfn.TEXTAFTER('6 - TV Stands &amp; Enterta-WUO_ERR'!A25, ":"))))</f>
        <v/>
      </c>
    </row>
    <row r="26">
      <c r="A26" s="39">
        <f>IF('6 - TV Stands &amp; Enterta'!B26 = "", "", IF('6 - TV Stands &amp; Enterta-WUO_ERR'!A26 = "", "Validated", HYPERLINK("#" &amp; ADDRESS(26, '6 - TV Stands &amp; Enterta-WUO_TRK'!A26),_xlfn.TEXTAFTER('6 - TV Stands &amp; Enterta-WUO_ERR'!A26, ":"))))</f>
        <v/>
      </c>
    </row>
    <row r="27">
      <c r="A27" s="39">
        <f>IF('6 - TV Stands &amp; Enterta'!B27 = "", "", IF('6 - TV Stands &amp; Enterta-WUO_ERR'!A27 = "", "Validated", HYPERLINK("#" &amp; ADDRESS(27, '6 - TV Stands &amp; Enterta-WUO_TRK'!A27),_xlfn.TEXTAFTER('6 - TV Stands &amp; Enterta-WUO_ERR'!A27, ":"))))</f>
        <v/>
      </c>
    </row>
    <row r="28">
      <c r="A28" s="39">
        <f>IF('6 - TV Stands &amp; Enterta'!B28 = "", "", IF('6 - TV Stands &amp; Enterta-WUO_ERR'!A28 = "", "Validated", HYPERLINK("#" &amp; ADDRESS(28, '6 - TV Stands &amp; Enterta-WUO_TRK'!A28),_xlfn.TEXTAFTER('6 - TV Stands &amp; Enterta-WUO_ERR'!A28, ":"))))</f>
        <v/>
      </c>
    </row>
    <row r="29">
      <c r="A29" s="39">
        <f>IF('6 - TV Stands &amp; Enterta'!B29 = "", "", IF('6 - TV Stands &amp; Enterta-WUO_ERR'!A29 = "", "Validated", HYPERLINK("#" &amp; ADDRESS(29, '6 - TV Stands &amp; Enterta-WUO_TRK'!A29),_xlfn.TEXTAFTER('6 - TV Stands &amp; Enterta-WUO_ERR'!A29, ":"))))</f>
        <v/>
      </c>
    </row>
    <row r="30">
      <c r="A30" s="39">
        <f>IF('6 - TV Stands &amp; Enterta'!B30 = "", "", IF('6 - TV Stands &amp; Enterta-WUO_ERR'!A30 = "", "Validated", HYPERLINK("#" &amp; ADDRESS(30, '6 - TV Stands &amp; Enterta-WUO_TRK'!A30),_xlfn.TEXTAFTER('6 - TV Stands &amp; Enterta-WUO_ERR'!A30, ":"))))</f>
        <v/>
      </c>
    </row>
    <row r="31">
      <c r="A31" s="39">
        <f>IF('6 - TV Stands &amp; Enterta'!B31 = "", "", IF('6 - TV Stands &amp; Enterta-WUO_ERR'!A31 = "", "Validated", HYPERLINK("#" &amp; ADDRESS(31, '6 - TV Stands &amp; Enterta-WUO_TRK'!A31),_xlfn.TEXTAFTER('6 - TV Stands &amp; Enterta-WUO_ERR'!A31, ":"))))</f>
        <v/>
      </c>
    </row>
    <row r="32">
      <c r="A32" s="39">
        <f>IF('6 - TV Stands &amp; Enterta'!B32 = "", "", IF('6 - TV Stands &amp; Enterta-WUO_ERR'!A32 = "", "Validated", HYPERLINK("#" &amp; ADDRESS(32, '6 - TV Stands &amp; Enterta-WUO_TRK'!A32),_xlfn.TEXTAFTER('6 - TV Stands &amp; Enterta-WUO_ERR'!A32, ":"))))</f>
        <v/>
      </c>
    </row>
    <row r="33">
      <c r="A33" s="39">
        <f>IF('6 - TV Stands &amp; Enterta'!B33 = "", "", IF('6 - TV Stands &amp; Enterta-WUO_ERR'!A33 = "", "Validated", HYPERLINK("#" &amp; ADDRESS(33, '6 - TV Stands &amp; Enterta-WUO_TRK'!A33),_xlfn.TEXTAFTER('6 - TV Stands &amp; Enterta-WUO_ERR'!A33, ":"))))</f>
        <v/>
      </c>
    </row>
    <row r="34">
      <c r="A34" s="39">
        <f>IF('6 - TV Stands &amp; Enterta'!B34 = "", "", IF('6 - TV Stands &amp; Enterta-WUO_ERR'!A34 = "", "Validated", HYPERLINK("#" &amp; ADDRESS(34, '6 - TV Stands &amp; Enterta-WUO_TRK'!A34),_xlfn.TEXTAFTER('6 - TV Stands &amp; Enterta-WUO_ERR'!A34, ":"))))</f>
        <v/>
      </c>
    </row>
    <row r="35">
      <c r="A35" s="39">
        <f>IF('6 - TV Stands &amp; Enterta'!B35 = "", "", IF('6 - TV Stands &amp; Enterta-WUO_ERR'!A35 = "", "Validated", HYPERLINK("#" &amp; ADDRESS(35, '6 - TV Stands &amp; Enterta-WUO_TRK'!A35),_xlfn.TEXTAFTER('6 - TV Stands &amp; Enterta-WUO_ERR'!A35, ":"))))</f>
        <v/>
      </c>
    </row>
    <row r="36">
      <c r="A36" s="39">
        <f>IF('6 - TV Stands &amp; Enterta'!B36 = "", "", IF('6 - TV Stands &amp; Enterta-WUO_ERR'!A36 = "", "Validated", HYPERLINK("#" &amp; ADDRESS(36, '6 - TV Stands &amp; Enterta-WUO_TRK'!A36),_xlfn.TEXTAFTER('6 - TV Stands &amp; Enterta-WUO_ERR'!A36, ":"))))</f>
        <v/>
      </c>
    </row>
    <row r="37">
      <c r="A37" s="39">
        <f>IF('6 - TV Stands &amp; Enterta'!B37 = "", "", IF('6 - TV Stands &amp; Enterta-WUO_ERR'!A37 = "", "Validated", HYPERLINK("#" &amp; ADDRESS(37, '6 - TV Stands &amp; Enterta-WUO_TRK'!A37),_xlfn.TEXTAFTER('6 - TV Stands &amp; Enterta-WUO_ERR'!A37, ":"))))</f>
        <v/>
      </c>
    </row>
    <row r="38">
      <c r="A38" s="39">
        <f>IF('6 - TV Stands &amp; Enterta'!B38 = "", "", IF('6 - TV Stands &amp; Enterta-WUO_ERR'!A38 = "", "Validated", HYPERLINK("#" &amp; ADDRESS(38, '6 - TV Stands &amp; Enterta-WUO_TRK'!A38),_xlfn.TEXTAFTER('6 - TV Stands &amp; Enterta-WUO_ERR'!A38, ":"))))</f>
        <v/>
      </c>
    </row>
    <row r="39">
      <c r="A39" s="39">
        <f>IF('6 - TV Stands &amp; Enterta'!B39 = "", "", IF('6 - TV Stands &amp; Enterta-WUO_ERR'!A39 = "", "Validated", HYPERLINK("#" &amp; ADDRESS(39, '6 - TV Stands &amp; Enterta-WUO_TRK'!A39),_xlfn.TEXTAFTER('6 - TV Stands &amp; Enterta-WUO_ERR'!A39, ":"))))</f>
        <v/>
      </c>
    </row>
    <row r="40">
      <c r="A40" s="39">
        <f>IF('6 - TV Stands &amp; Enterta'!B40 = "", "", IF('6 - TV Stands &amp; Enterta-WUO_ERR'!A40 = "", "Validated", HYPERLINK("#" &amp; ADDRESS(40, '6 - TV Stands &amp; Enterta-WUO_TRK'!A40),_xlfn.TEXTAFTER('6 - TV Stands &amp; Enterta-WUO_ERR'!A40, ":"))))</f>
        <v/>
      </c>
    </row>
    <row r="41">
      <c r="A41" s="39">
        <f>IF('6 - TV Stands &amp; Enterta'!B41 = "", "", IF('6 - TV Stands &amp; Enterta-WUO_ERR'!A41 = "", "Validated", HYPERLINK("#" &amp; ADDRESS(41, '6 - TV Stands &amp; Enterta-WUO_TRK'!A41),_xlfn.TEXTAFTER('6 - TV Stands &amp; Enterta-WUO_ERR'!A41, ":"))))</f>
        <v/>
      </c>
    </row>
    <row r="42">
      <c r="A42" s="39">
        <f>IF('6 - TV Stands &amp; Enterta'!B42 = "", "", IF('6 - TV Stands &amp; Enterta-WUO_ERR'!A42 = "", "Validated", HYPERLINK("#" &amp; ADDRESS(42, '6 - TV Stands &amp; Enterta-WUO_TRK'!A42),_xlfn.TEXTAFTER('6 - TV Stands &amp; Enterta-WUO_ERR'!A42, ":"))))</f>
        <v/>
      </c>
    </row>
    <row r="43">
      <c r="A43" s="39">
        <f>IF('6 - TV Stands &amp; Enterta'!B43 = "", "", IF('6 - TV Stands &amp; Enterta-WUO_ERR'!A43 = "", "Validated", HYPERLINK("#" &amp; ADDRESS(43, '6 - TV Stands &amp; Enterta-WUO_TRK'!A43),_xlfn.TEXTAFTER('6 - TV Stands &amp; Enterta-WUO_ERR'!A43, ":"))))</f>
        <v/>
      </c>
    </row>
    <row r="44">
      <c r="A44" s="39">
        <f>IF('6 - TV Stands &amp; Enterta'!B44 = "", "", IF('6 - TV Stands &amp; Enterta-WUO_ERR'!A44 = "", "Validated", HYPERLINK("#" &amp; ADDRESS(44, '6 - TV Stands &amp; Enterta-WUO_TRK'!A44),_xlfn.TEXTAFTER('6 - TV Stands &amp; Enterta-WUO_ERR'!A44, ":"))))</f>
        <v/>
      </c>
    </row>
    <row r="45">
      <c r="A45" s="39">
        <f>IF('6 - TV Stands &amp; Enterta'!B45 = "", "", IF('6 - TV Stands &amp; Enterta-WUO_ERR'!A45 = "", "Validated", HYPERLINK("#" &amp; ADDRESS(45, '6 - TV Stands &amp; Enterta-WUO_TRK'!A45),_xlfn.TEXTAFTER('6 - TV Stands &amp; Enterta-WUO_ERR'!A45, ":"))))</f>
        <v/>
      </c>
    </row>
    <row r="46">
      <c r="A46" s="39">
        <f>IF('6 - TV Stands &amp; Enterta'!B46 = "", "", IF('6 - TV Stands &amp; Enterta-WUO_ERR'!A46 = "", "Validated", HYPERLINK("#" &amp; ADDRESS(46, '6 - TV Stands &amp; Enterta-WUO_TRK'!A46),_xlfn.TEXTAFTER('6 - TV Stands &amp; Enterta-WUO_ERR'!A46, ":"))))</f>
        <v/>
      </c>
    </row>
    <row r="47">
      <c r="A47" s="39">
        <f>IF('6 - TV Stands &amp; Enterta'!B47 = "", "", IF('6 - TV Stands &amp; Enterta-WUO_ERR'!A47 = "", "Validated", HYPERLINK("#" &amp; ADDRESS(47, '6 - TV Stands &amp; Enterta-WUO_TRK'!A47),_xlfn.TEXTAFTER('6 - TV Stands &amp; Enterta-WUO_ERR'!A47, ":"))))</f>
        <v/>
      </c>
    </row>
    <row r="48">
      <c r="A48" s="39">
        <f>IF('6 - TV Stands &amp; Enterta'!B48 = "", "", IF('6 - TV Stands &amp; Enterta-WUO_ERR'!A48 = "", "Validated", HYPERLINK("#" &amp; ADDRESS(48, '6 - TV Stands &amp; Enterta-WUO_TRK'!A48),_xlfn.TEXTAFTER('6 - TV Stands &amp; Enterta-WUO_ERR'!A48, ":"))))</f>
        <v/>
      </c>
    </row>
    <row r="49">
      <c r="A49" s="39">
        <f>IF('6 - TV Stands &amp; Enterta'!B49 = "", "", IF('6 - TV Stands &amp; Enterta-WUO_ERR'!A49 = "", "Validated", HYPERLINK("#" &amp; ADDRESS(49, '6 - TV Stands &amp; Enterta-WUO_TRK'!A49),_xlfn.TEXTAFTER('6 - TV Stands &amp; Enterta-WUO_ERR'!A49, ":"))))</f>
        <v/>
      </c>
    </row>
    <row r="50">
      <c r="A50" s="39">
        <f>IF('6 - TV Stands &amp; Enterta'!B50 = "", "", IF('6 - TV Stands &amp; Enterta-WUO_ERR'!A50 = "", "Validated", HYPERLINK("#" &amp; ADDRESS(50, '6 - TV Stands &amp; Enterta-WUO_TRK'!A50),_xlfn.TEXTAFTER('6 - TV Stands &amp; Enterta-WUO_ERR'!A50, ":"))))</f>
        <v/>
      </c>
    </row>
    <row r="51">
      <c r="A51" s="39">
        <f>IF('6 - TV Stands &amp; Enterta'!B51 = "", "", IF('6 - TV Stands &amp; Enterta-WUO_ERR'!A51 = "", "Validated", HYPERLINK("#" &amp; ADDRESS(51, '6 - TV Stands &amp; Enterta-WUO_TRK'!A51),_xlfn.TEXTAFTER('6 - TV Stands &amp; Enterta-WUO_ERR'!A51, ":"))))</f>
        <v/>
      </c>
    </row>
    <row r="52">
      <c r="A52" s="39">
        <f>IF('6 - TV Stands &amp; Enterta'!B52 = "", "", IF('6 - TV Stands &amp; Enterta-WUO_ERR'!A52 = "", "Validated", HYPERLINK("#" &amp; ADDRESS(52, '6 - TV Stands &amp; Enterta-WUO_TRK'!A52),_xlfn.TEXTAFTER('6 - TV Stands &amp; Enterta-WUO_ERR'!A52, ":"))))</f>
        <v/>
      </c>
    </row>
    <row r="53">
      <c r="A53" s="39">
        <f>IF('6 - TV Stands &amp; Enterta'!B53 = "", "", IF('6 - TV Stands &amp; Enterta-WUO_ERR'!A53 = "", "Validated", HYPERLINK("#" &amp; ADDRESS(53, '6 - TV Stands &amp; Enterta-WUO_TRK'!A53),_xlfn.TEXTAFTER('6 - TV Stands &amp; Enterta-WUO_ERR'!A53, ":"))))</f>
        <v/>
      </c>
    </row>
    <row r="54">
      <c r="A54" s="39">
        <f>IF('6 - TV Stands &amp; Enterta'!B54 = "", "", IF('6 - TV Stands &amp; Enterta-WUO_ERR'!A54 = "", "Validated", HYPERLINK("#" &amp; ADDRESS(54, '6 - TV Stands &amp; Enterta-WUO_TRK'!A54),_xlfn.TEXTAFTER('6 - TV Stands &amp; Enterta-WUO_ERR'!A54, ":"))))</f>
        <v/>
      </c>
    </row>
    <row r="55">
      <c r="A55" s="39">
        <f>IF('6 - TV Stands &amp; Enterta'!B55 = "", "", IF('6 - TV Stands &amp; Enterta-WUO_ERR'!A55 = "", "Validated", HYPERLINK("#" &amp; ADDRESS(55, '6 - TV Stands &amp; Enterta-WUO_TRK'!A55),_xlfn.TEXTAFTER('6 - TV Stands &amp; Enterta-WUO_ERR'!A55, ":"))))</f>
        <v/>
      </c>
    </row>
    <row r="56">
      <c r="A56" s="39">
        <f>IF('6 - TV Stands &amp; Enterta'!B56 = "", "", IF('6 - TV Stands &amp; Enterta-WUO_ERR'!A56 = "", "Validated", HYPERLINK("#" &amp; ADDRESS(56, '6 - TV Stands &amp; Enterta-WUO_TRK'!A56),_xlfn.TEXTAFTER('6 - TV Stands &amp; Enterta-WUO_ERR'!A56, ":"))))</f>
        <v/>
      </c>
    </row>
    <row r="57">
      <c r="A57" s="39">
        <f>IF('6 - TV Stands &amp; Enterta'!B57 = "", "", IF('6 - TV Stands &amp; Enterta-WUO_ERR'!A57 = "", "Validated", HYPERLINK("#" &amp; ADDRESS(57, '6 - TV Stands &amp; Enterta-WUO_TRK'!A57),_xlfn.TEXTAFTER('6 - TV Stands &amp; Enterta-WUO_ERR'!A57, ":"))))</f>
        <v/>
      </c>
    </row>
    <row r="58">
      <c r="A58" s="39">
        <f>IF('6 - TV Stands &amp; Enterta'!B58 = "", "", IF('6 - TV Stands &amp; Enterta-WUO_ERR'!A58 = "", "Validated", HYPERLINK("#" &amp; ADDRESS(58, '6 - TV Stands &amp; Enterta-WUO_TRK'!A58),_xlfn.TEXTAFTER('6 - TV Stands &amp; Enterta-WUO_ERR'!A58, ":"))))</f>
        <v/>
      </c>
    </row>
    <row r="59">
      <c r="A59" s="39">
        <f>IF('6 - TV Stands &amp; Enterta'!B59 = "", "", IF('6 - TV Stands &amp; Enterta-WUO_ERR'!A59 = "", "Validated", HYPERLINK("#" &amp; ADDRESS(59, '6 - TV Stands &amp; Enterta-WUO_TRK'!A59),_xlfn.TEXTAFTER('6 - TV Stands &amp; Enterta-WUO_ERR'!A59, ":"))))</f>
        <v/>
      </c>
    </row>
    <row r="60">
      <c r="A60" s="39">
        <f>IF('6 - TV Stands &amp; Enterta'!B60 = "", "", IF('6 - TV Stands &amp; Enterta-WUO_ERR'!A60 = "", "Validated", HYPERLINK("#" &amp; ADDRESS(60, '6 - TV Stands &amp; Enterta-WUO_TRK'!A60),_xlfn.TEXTAFTER('6 - TV Stands &amp; Enterta-WUO_ERR'!A60, ":"))))</f>
        <v/>
      </c>
    </row>
    <row r="61">
      <c r="A61" s="39">
        <f>IF('6 - TV Stands &amp; Enterta'!B61 = "", "", IF('6 - TV Stands &amp; Enterta-WUO_ERR'!A61 = "", "Validated", HYPERLINK("#" &amp; ADDRESS(61, '6 - TV Stands &amp; Enterta-WUO_TRK'!A61),_xlfn.TEXTAFTER('6 - TV Stands &amp; Enterta-WUO_ERR'!A61, ":"))))</f>
        <v/>
      </c>
    </row>
    <row r="62">
      <c r="A62" s="39">
        <f>IF('6 - TV Stands &amp; Enterta'!B62 = "", "", IF('6 - TV Stands &amp; Enterta-WUO_ERR'!A62 = "", "Validated", HYPERLINK("#" &amp; ADDRESS(62, '6 - TV Stands &amp; Enterta-WUO_TRK'!A62),_xlfn.TEXTAFTER('6 - TV Stands &amp; Enterta-WUO_ERR'!A62, ":"))))</f>
        <v/>
      </c>
    </row>
    <row r="63">
      <c r="A63" s="39">
        <f>IF('6 - TV Stands &amp; Enterta'!B63 = "", "", IF('6 - TV Stands &amp; Enterta-WUO_ERR'!A63 = "", "Validated", HYPERLINK("#" &amp; ADDRESS(63, '6 - TV Stands &amp; Enterta-WUO_TRK'!A63),_xlfn.TEXTAFTER('6 - TV Stands &amp; Enterta-WUO_ERR'!A63, ":"))))</f>
        <v/>
      </c>
    </row>
    <row r="64">
      <c r="A64" s="39">
        <f>IF('6 - TV Stands &amp; Enterta'!B64 = "", "", IF('6 - TV Stands &amp; Enterta-WUO_ERR'!A64 = "", "Validated", HYPERLINK("#" &amp; ADDRESS(64, '6 - TV Stands &amp; Enterta-WUO_TRK'!A64),_xlfn.TEXTAFTER('6 - TV Stands &amp; Enterta-WUO_ERR'!A64, ":"))))</f>
        <v/>
      </c>
    </row>
    <row r="65">
      <c r="A65" s="39">
        <f>IF('6 - TV Stands &amp; Enterta'!B65 = "", "", IF('6 - TV Stands &amp; Enterta-WUO_ERR'!A65 = "", "Validated", HYPERLINK("#" &amp; ADDRESS(65, '6 - TV Stands &amp; Enterta-WUO_TRK'!A65),_xlfn.TEXTAFTER('6 - TV Stands &amp; Enterta-WUO_ERR'!A65, ":"))))</f>
        <v/>
      </c>
    </row>
    <row r="66">
      <c r="A66" s="39">
        <f>IF('6 - TV Stands &amp; Enterta'!B66 = "", "", IF('6 - TV Stands &amp; Enterta-WUO_ERR'!A66 = "", "Validated", HYPERLINK("#" &amp; ADDRESS(66, '6 - TV Stands &amp; Enterta-WUO_TRK'!A66),_xlfn.TEXTAFTER('6 - TV Stands &amp; Enterta-WUO_ERR'!A66, ":"))))</f>
        <v/>
      </c>
    </row>
    <row r="67">
      <c r="A67" s="39">
        <f>IF('6 - TV Stands &amp; Enterta'!B67 = "", "", IF('6 - TV Stands &amp; Enterta-WUO_ERR'!A67 = "", "Validated", HYPERLINK("#" &amp; ADDRESS(67, '6 - TV Stands &amp; Enterta-WUO_TRK'!A67),_xlfn.TEXTAFTER('6 - TV Stands &amp; Enterta-WUO_ERR'!A67, ":"))))</f>
        <v/>
      </c>
    </row>
    <row r="68">
      <c r="A68" s="39">
        <f>IF('6 - TV Stands &amp; Enterta'!B68 = "", "", IF('6 - TV Stands &amp; Enterta-WUO_ERR'!A68 = "", "Validated", HYPERLINK("#" &amp; ADDRESS(68, '6 - TV Stands &amp; Enterta-WUO_TRK'!A68),_xlfn.TEXTAFTER('6 - TV Stands &amp; Enterta-WUO_ERR'!A68, ":"))))</f>
        <v/>
      </c>
    </row>
    <row r="69">
      <c r="A69" s="39">
        <f>IF('6 - TV Stands &amp; Enterta'!B69 = "", "", IF('6 - TV Stands &amp; Enterta-WUO_ERR'!A69 = "", "Validated", HYPERLINK("#" &amp; ADDRESS(69, '6 - TV Stands &amp; Enterta-WUO_TRK'!A69),_xlfn.TEXTAFTER('6 - TV Stands &amp; Enterta-WUO_ERR'!A69, ":"))))</f>
        <v/>
      </c>
    </row>
    <row r="70">
      <c r="A70" s="39">
        <f>IF('6 - TV Stands &amp; Enterta'!B70 = "", "", IF('6 - TV Stands &amp; Enterta-WUO_ERR'!A70 = "", "Validated", HYPERLINK("#" &amp; ADDRESS(70, '6 - TV Stands &amp; Enterta-WUO_TRK'!A70),_xlfn.TEXTAFTER('6 - TV Stands &amp; Enterta-WUO_ERR'!A70, ":"))))</f>
        <v/>
      </c>
    </row>
    <row r="71">
      <c r="A71" s="39">
        <f>IF('6 - TV Stands &amp; Enterta'!B71 = "", "", IF('6 - TV Stands &amp; Enterta-WUO_ERR'!A71 = "", "Validated", HYPERLINK("#" &amp; ADDRESS(71, '6 - TV Stands &amp; Enterta-WUO_TRK'!A71),_xlfn.TEXTAFTER('6 - TV Stands &amp; Enterta-WUO_ERR'!A71, ":"))))</f>
        <v/>
      </c>
    </row>
    <row r="72">
      <c r="A72" s="39">
        <f>IF('6 - TV Stands &amp; Enterta'!B72 = "", "", IF('6 - TV Stands &amp; Enterta-WUO_ERR'!A72 = "", "Validated", HYPERLINK("#" &amp; ADDRESS(72, '6 - TV Stands &amp; Enterta-WUO_TRK'!A72),_xlfn.TEXTAFTER('6 - TV Stands &amp; Enterta-WUO_ERR'!A72, ":"))))</f>
        <v/>
      </c>
    </row>
    <row r="73">
      <c r="A73" s="39">
        <f>IF('6 - TV Stands &amp; Enterta'!B73 = "", "", IF('6 - TV Stands &amp; Enterta-WUO_ERR'!A73 = "", "Validated", HYPERLINK("#" &amp; ADDRESS(73, '6 - TV Stands &amp; Enterta-WUO_TRK'!A73),_xlfn.TEXTAFTER('6 - TV Stands &amp; Enterta-WUO_ERR'!A73, ":"))))</f>
        <v/>
      </c>
    </row>
    <row r="74">
      <c r="A74" s="39">
        <f>IF('6 - TV Stands &amp; Enterta'!B74 = "", "", IF('6 - TV Stands &amp; Enterta-WUO_ERR'!A74 = "", "Validated", HYPERLINK("#" &amp; ADDRESS(74, '6 - TV Stands &amp; Enterta-WUO_TRK'!A74),_xlfn.TEXTAFTER('6 - TV Stands &amp; Enterta-WUO_ERR'!A74, ":"))))</f>
        <v/>
      </c>
    </row>
    <row r="75">
      <c r="A75" s="39">
        <f>IF('6 - TV Stands &amp; Enterta'!B75 = "", "", IF('6 - TV Stands &amp; Enterta-WUO_ERR'!A75 = "", "Validated", HYPERLINK("#" &amp; ADDRESS(75, '6 - TV Stands &amp; Enterta-WUO_TRK'!A75),_xlfn.TEXTAFTER('6 - TV Stands &amp; Enterta-WUO_ERR'!A75, ":"))))</f>
        <v/>
      </c>
    </row>
    <row r="76">
      <c r="A76" s="39">
        <f>IF('6 - TV Stands &amp; Enterta'!B76 = "", "", IF('6 - TV Stands &amp; Enterta-WUO_ERR'!A76 = "", "Validated", HYPERLINK("#" &amp; ADDRESS(76, '6 - TV Stands &amp; Enterta-WUO_TRK'!A76),_xlfn.TEXTAFTER('6 - TV Stands &amp; Enterta-WUO_ERR'!A76, ":"))))</f>
        <v/>
      </c>
    </row>
    <row r="77">
      <c r="A77" s="39">
        <f>IF('6 - TV Stands &amp; Enterta'!B77 = "", "", IF('6 - TV Stands &amp; Enterta-WUO_ERR'!A77 = "", "Validated", HYPERLINK("#" &amp; ADDRESS(77, '6 - TV Stands &amp; Enterta-WUO_TRK'!A77),_xlfn.TEXTAFTER('6 - TV Stands &amp; Enterta-WUO_ERR'!A77, ":"))))</f>
        <v/>
      </c>
    </row>
    <row r="78">
      <c r="A78" s="39">
        <f>IF('6 - TV Stands &amp; Enterta'!B78 = "", "", IF('6 - TV Stands &amp; Enterta-WUO_ERR'!A78 = "", "Validated", HYPERLINK("#" &amp; ADDRESS(78, '6 - TV Stands &amp; Enterta-WUO_TRK'!A78),_xlfn.TEXTAFTER('6 - TV Stands &amp; Enterta-WUO_ERR'!A78, ":"))))</f>
        <v/>
      </c>
    </row>
    <row r="79">
      <c r="A79" s="39">
        <f>IF('6 - TV Stands &amp; Enterta'!B79 = "", "", IF('6 - TV Stands &amp; Enterta-WUO_ERR'!A79 = "", "Validated", HYPERLINK("#" &amp; ADDRESS(79, '6 - TV Stands &amp; Enterta-WUO_TRK'!A79),_xlfn.TEXTAFTER('6 - TV Stands &amp; Enterta-WUO_ERR'!A79, ":"))))</f>
        <v/>
      </c>
    </row>
    <row r="80">
      <c r="A80" s="39">
        <f>IF('6 - TV Stands &amp; Enterta'!B80 = "", "", IF('6 - TV Stands &amp; Enterta-WUO_ERR'!A80 = "", "Validated", HYPERLINK("#" &amp; ADDRESS(80, '6 - TV Stands &amp; Enterta-WUO_TRK'!A80),_xlfn.TEXTAFTER('6 - TV Stands &amp; Enterta-WUO_ERR'!A80, ":"))))</f>
        <v/>
      </c>
    </row>
    <row r="81">
      <c r="A81" s="39">
        <f>IF('6 - TV Stands &amp; Enterta'!B81 = "", "", IF('6 - TV Stands &amp; Enterta-WUO_ERR'!A81 = "", "Validated", HYPERLINK("#" &amp; ADDRESS(81, '6 - TV Stands &amp; Enterta-WUO_TRK'!A81),_xlfn.TEXTAFTER('6 - TV Stands &amp; Enterta-WUO_ERR'!A81, ":"))))</f>
        <v/>
      </c>
    </row>
    <row r="82">
      <c r="A82" s="39">
        <f>IF('6 - TV Stands &amp; Enterta'!B82 = "", "", IF('6 - TV Stands &amp; Enterta-WUO_ERR'!A82 = "", "Validated", HYPERLINK("#" &amp; ADDRESS(82, '6 - TV Stands &amp; Enterta-WUO_TRK'!A82),_xlfn.TEXTAFTER('6 - TV Stands &amp; Enterta-WUO_ERR'!A82, ":"))))</f>
        <v/>
      </c>
    </row>
    <row r="83">
      <c r="A83" s="39">
        <f>IF('6 - TV Stands &amp; Enterta'!B83 = "", "", IF('6 - TV Stands &amp; Enterta-WUO_ERR'!A83 = "", "Validated", HYPERLINK("#" &amp; ADDRESS(83, '6 - TV Stands &amp; Enterta-WUO_TRK'!A83),_xlfn.TEXTAFTER('6 - TV Stands &amp; Enterta-WUO_ERR'!A83, ":"))))</f>
        <v/>
      </c>
    </row>
    <row r="84">
      <c r="A84" s="39">
        <f>IF('6 - TV Stands &amp; Enterta'!B84 = "", "", IF('6 - TV Stands &amp; Enterta-WUO_ERR'!A84 = "", "Validated", HYPERLINK("#" &amp; ADDRESS(84, '6 - TV Stands &amp; Enterta-WUO_TRK'!A84),_xlfn.TEXTAFTER('6 - TV Stands &amp; Enterta-WUO_ERR'!A84, ":"))))</f>
        <v/>
      </c>
    </row>
    <row r="85">
      <c r="A85" s="39">
        <f>IF('6 - TV Stands &amp; Enterta'!B85 = "", "", IF('6 - TV Stands &amp; Enterta-WUO_ERR'!A85 = "", "Validated", HYPERLINK("#" &amp; ADDRESS(85, '6 - TV Stands &amp; Enterta-WUO_TRK'!A85),_xlfn.TEXTAFTER('6 - TV Stands &amp; Enterta-WUO_ERR'!A85, ":"))))</f>
        <v/>
      </c>
    </row>
    <row r="86">
      <c r="A86" s="39">
        <f>IF('6 - TV Stands &amp; Enterta'!B86 = "", "", IF('6 - TV Stands &amp; Enterta-WUO_ERR'!A86 = "", "Validated", HYPERLINK("#" &amp; ADDRESS(86, '6 - TV Stands &amp; Enterta-WUO_TRK'!A86),_xlfn.TEXTAFTER('6 - TV Stands &amp; Enterta-WUO_ERR'!A86, ":"))))</f>
        <v/>
      </c>
    </row>
    <row r="87">
      <c r="A87" s="39">
        <f>IF('6 - TV Stands &amp; Enterta'!B87 = "", "", IF('6 - TV Stands &amp; Enterta-WUO_ERR'!A87 = "", "Validated", HYPERLINK("#" &amp; ADDRESS(87, '6 - TV Stands &amp; Enterta-WUO_TRK'!A87),_xlfn.TEXTAFTER('6 - TV Stands &amp; Enterta-WUO_ERR'!A87, ":"))))</f>
        <v/>
      </c>
    </row>
    <row r="88">
      <c r="A88" s="39">
        <f>IF('6 - TV Stands &amp; Enterta'!B88 = "", "", IF('6 - TV Stands &amp; Enterta-WUO_ERR'!A88 = "", "Validated", HYPERLINK("#" &amp; ADDRESS(88, '6 - TV Stands &amp; Enterta-WUO_TRK'!A88),_xlfn.TEXTAFTER('6 - TV Stands &amp; Enterta-WUO_ERR'!A88, ":"))))</f>
        <v/>
      </c>
    </row>
    <row r="89">
      <c r="A89" s="39">
        <f>IF('6 - TV Stands &amp; Enterta'!B89 = "", "", IF('6 - TV Stands &amp; Enterta-WUO_ERR'!A89 = "", "Validated", HYPERLINK("#" &amp; ADDRESS(89, '6 - TV Stands &amp; Enterta-WUO_TRK'!A89),_xlfn.TEXTAFTER('6 - TV Stands &amp; Enterta-WUO_ERR'!A89, ":"))))</f>
        <v/>
      </c>
    </row>
    <row r="90">
      <c r="A90" s="39">
        <f>IF('6 - TV Stands &amp; Enterta'!B90 = "", "", IF('6 - TV Stands &amp; Enterta-WUO_ERR'!A90 = "", "Validated", HYPERLINK("#" &amp; ADDRESS(90, '6 - TV Stands &amp; Enterta-WUO_TRK'!A90),_xlfn.TEXTAFTER('6 - TV Stands &amp; Enterta-WUO_ERR'!A90, ":"))))</f>
        <v/>
      </c>
    </row>
    <row r="91">
      <c r="A91" s="39">
        <f>IF('6 - TV Stands &amp; Enterta'!B91 = "", "", IF('6 - TV Stands &amp; Enterta-WUO_ERR'!A91 = "", "Validated", HYPERLINK("#" &amp; ADDRESS(91, '6 - TV Stands &amp; Enterta-WUO_TRK'!A91),_xlfn.TEXTAFTER('6 - TV Stands &amp; Enterta-WUO_ERR'!A91, ":"))))</f>
        <v/>
      </c>
    </row>
    <row r="92">
      <c r="A92" s="39">
        <f>IF('6 - TV Stands &amp; Enterta'!B92 = "", "", IF('6 - TV Stands &amp; Enterta-WUO_ERR'!A92 = "", "Validated", HYPERLINK("#" &amp; ADDRESS(92, '6 - TV Stands &amp; Enterta-WUO_TRK'!A92),_xlfn.TEXTAFTER('6 - TV Stands &amp; Enterta-WUO_ERR'!A92, ":"))))</f>
        <v/>
      </c>
    </row>
    <row r="93">
      <c r="A93" s="39">
        <f>IF('6 - TV Stands &amp; Enterta'!B93 = "", "", IF('6 - TV Stands &amp; Enterta-WUO_ERR'!A93 = "", "Validated", HYPERLINK("#" &amp; ADDRESS(93, '6 - TV Stands &amp; Enterta-WUO_TRK'!A93),_xlfn.TEXTAFTER('6 - TV Stands &amp; Enterta-WUO_ERR'!A93, ":"))))</f>
        <v/>
      </c>
    </row>
    <row r="94">
      <c r="A94" s="39">
        <f>IF('6 - TV Stands &amp; Enterta'!B94 = "", "", IF('6 - TV Stands &amp; Enterta-WUO_ERR'!A94 = "", "Validated", HYPERLINK("#" &amp; ADDRESS(94, '6 - TV Stands &amp; Enterta-WUO_TRK'!A94),_xlfn.TEXTAFTER('6 - TV Stands &amp; Enterta-WUO_ERR'!A94, ":"))))</f>
        <v/>
      </c>
    </row>
    <row r="95">
      <c r="A95" s="39">
        <f>IF('6 - TV Stands &amp; Enterta'!B95 = "", "", IF('6 - TV Stands &amp; Enterta-WUO_ERR'!A95 = "", "Validated", HYPERLINK("#" &amp; ADDRESS(95, '6 - TV Stands &amp; Enterta-WUO_TRK'!A95),_xlfn.TEXTAFTER('6 - TV Stands &amp; Enterta-WUO_ERR'!A95, ":"))))</f>
        <v/>
      </c>
    </row>
    <row r="96">
      <c r="A96" s="39">
        <f>IF('6 - TV Stands &amp; Enterta'!B96 = "", "", IF('6 - TV Stands &amp; Enterta-WUO_ERR'!A96 = "", "Validated", HYPERLINK("#" &amp; ADDRESS(96, '6 - TV Stands &amp; Enterta-WUO_TRK'!A96),_xlfn.TEXTAFTER('6 - TV Stands &amp; Enterta-WUO_ERR'!A96, ":"))))</f>
        <v/>
      </c>
    </row>
    <row r="97">
      <c r="A97" s="39">
        <f>IF('6 - TV Stands &amp; Enterta'!B97 = "", "", IF('6 - TV Stands &amp; Enterta-WUO_ERR'!A97 = "", "Validated", HYPERLINK("#" &amp; ADDRESS(97, '6 - TV Stands &amp; Enterta-WUO_TRK'!A97),_xlfn.TEXTAFTER('6 - TV Stands &amp; Enterta-WUO_ERR'!A97, ":"))))</f>
        <v/>
      </c>
    </row>
    <row r="98">
      <c r="A98" s="39">
        <f>IF('6 - TV Stands &amp; Enterta'!B98 = "", "", IF('6 - TV Stands &amp; Enterta-WUO_ERR'!A98 = "", "Validated", HYPERLINK("#" &amp; ADDRESS(98, '6 - TV Stands &amp; Enterta-WUO_TRK'!A98),_xlfn.TEXTAFTER('6 - TV Stands &amp; Enterta-WUO_ERR'!A98, ":"))))</f>
        <v/>
      </c>
    </row>
    <row r="99">
      <c r="A99" s="39">
        <f>IF('6 - TV Stands &amp; Enterta'!B99 = "", "", IF('6 - TV Stands &amp; Enterta-WUO_ERR'!A99 = "", "Validated", HYPERLINK("#" &amp; ADDRESS(99, '6 - TV Stands &amp; Enterta-WUO_TRK'!A99),_xlfn.TEXTAFTER('6 - TV Stands &amp; Enterta-WUO_ERR'!A99, ":"))))</f>
        <v/>
      </c>
    </row>
    <row r="100">
      <c r="A100" s="39">
        <f>IF('6 - TV Stands &amp; Enterta'!B100 = "", "", IF('6 - TV Stands &amp; Enterta-WUO_ERR'!A100 = "", "Validated", HYPERLINK("#" &amp; ADDRESS(100, '6 - TV Stands &amp; Enterta-WUO_TRK'!A100),_xlfn.TEXTAFTER('6 - TV Stands &amp; Enterta-WUO_ERR'!A100, ":"))))</f>
        <v/>
      </c>
    </row>
    <row r="101">
      <c r="A101" s="39">
        <f>IF('6 - TV Stands &amp; Enterta'!B101 = "", "", IF('6 - TV Stands &amp; Enterta-WUO_ERR'!A101 = "", "Validated", HYPERLINK("#" &amp; ADDRESS(101, '6 - TV Stands &amp; Enterta-WUO_TRK'!A101),_xlfn.TEXTAFTER('6 - TV Stands &amp; Enterta-WUO_ERR'!A101, ":"))))</f>
        <v/>
      </c>
    </row>
    <row r="102">
      <c r="A102" s="39">
        <f>IF('6 - TV Stands &amp; Enterta'!B102 = "", "", IF('6 - TV Stands &amp; Enterta-WUO_ERR'!A102 = "", "Validated", HYPERLINK("#" &amp; ADDRESS(102, '6 - TV Stands &amp; Enterta-WUO_TRK'!A102),_xlfn.TEXTAFTER('6 - TV Stands &amp; Enterta-WUO_ERR'!A102, ":"))))</f>
        <v/>
      </c>
    </row>
    <row r="103">
      <c r="A103" s="39">
        <f>IF('6 - TV Stands &amp; Enterta'!B103 = "", "", IF('6 - TV Stands &amp; Enterta-WUO_ERR'!A103 = "", "Validated", HYPERLINK("#" &amp; ADDRESS(103, '6 - TV Stands &amp; Enterta-WUO_TRK'!A103),_xlfn.TEXTAFTER('6 - TV Stands &amp; Enterta-WUO_ERR'!A103, ":"))))</f>
        <v/>
      </c>
    </row>
    <row r="104">
      <c r="A104" s="39">
        <f>IF('6 - TV Stands &amp; Enterta'!B104 = "", "", IF('6 - TV Stands &amp; Enterta-WUO_ERR'!A104 = "", "Validated", HYPERLINK("#" &amp; ADDRESS(104, '6 - TV Stands &amp; Enterta-WUO_TRK'!A104),_xlfn.TEXTAFTER('6 - TV Stands &amp; Enterta-WUO_ERR'!A104, ":"))))</f>
        <v/>
      </c>
    </row>
    <row r="105">
      <c r="A105" s="39">
        <f>IF('6 - TV Stands &amp; Enterta'!B105 = "", "", IF('6 - TV Stands &amp; Enterta-WUO_ERR'!A105 = "", "Validated", HYPERLINK("#" &amp; ADDRESS(105, '6 - TV Stands &amp; Enterta-WUO_TRK'!A105),_xlfn.TEXTAFTER('6 - TV Stands &amp; Enterta-WUO_ERR'!A105, ":"))))</f>
        <v/>
      </c>
    </row>
    <row r="106">
      <c r="A106" s="39">
        <f>IF('6 - TV Stands &amp; Enterta'!B106 = "", "", IF('6 - TV Stands &amp; Enterta-WUO_ERR'!A106 = "", "Validated", HYPERLINK("#" &amp; ADDRESS(106, '6 - TV Stands &amp; Enterta-WUO_TRK'!A106),_xlfn.TEXTAFTER('6 - TV Stands &amp; Enterta-WUO_ERR'!A106, ":"))))</f>
        <v/>
      </c>
    </row>
    <row r="107">
      <c r="A107" s="39">
        <f>IF('6 - TV Stands &amp; Enterta'!B107 = "", "", IF('6 - TV Stands &amp; Enterta-WUO_ERR'!A107 = "", "Validated", HYPERLINK("#" &amp; ADDRESS(107, '6 - TV Stands &amp; Enterta-WUO_TRK'!A107),_xlfn.TEXTAFTER('6 - TV Stands &amp; Enterta-WUO_ERR'!A107, ":"))))</f>
        <v/>
      </c>
    </row>
    <row r="108">
      <c r="A108" s="39">
        <f>IF('6 - TV Stands &amp; Enterta'!B108 = "", "", IF('6 - TV Stands &amp; Enterta-WUO_ERR'!A108 = "", "Validated", HYPERLINK("#" &amp; ADDRESS(108, '6 - TV Stands &amp; Enterta-WUO_TRK'!A108),_xlfn.TEXTAFTER('6 - TV Stands &amp; Enterta-WUO_ERR'!A108, ":"))))</f>
        <v/>
      </c>
    </row>
    <row r="109">
      <c r="A109" s="39">
        <f>IF('6 - TV Stands &amp; Enterta'!B109 = "", "", IF('6 - TV Stands &amp; Enterta-WUO_ERR'!A109 = "", "Validated", HYPERLINK("#" &amp; ADDRESS(109, '6 - TV Stands &amp; Enterta-WUO_TRK'!A109),_xlfn.TEXTAFTER('6 - TV Stands &amp; Enterta-WUO_ERR'!A109, ":"))))</f>
        <v/>
      </c>
    </row>
    <row r="110">
      <c r="A110" s="39">
        <f>IF('6 - TV Stands &amp; Enterta'!B110 = "", "", IF('6 - TV Stands &amp; Enterta-WUO_ERR'!A110 = "", "Validated", HYPERLINK("#" &amp; ADDRESS(110, '6 - TV Stands &amp; Enterta-WUO_TRK'!A110),_xlfn.TEXTAFTER('6 - TV Stands &amp; Enterta-WUO_ERR'!A110, ":"))))</f>
        <v/>
      </c>
    </row>
    <row r="111">
      <c r="A111" s="39">
        <f>IF('6 - TV Stands &amp; Enterta'!B111 = "", "", IF('6 - TV Stands &amp; Enterta-WUO_ERR'!A111 = "", "Validated", HYPERLINK("#" &amp; ADDRESS(111, '6 - TV Stands &amp; Enterta-WUO_TRK'!A111),_xlfn.TEXTAFTER('6 - TV Stands &amp; Enterta-WUO_ERR'!A111, ":"))))</f>
        <v/>
      </c>
    </row>
    <row r="112">
      <c r="A112" s="39">
        <f>IF('6 - TV Stands &amp; Enterta'!B112 = "", "", IF('6 - TV Stands &amp; Enterta-WUO_ERR'!A112 = "", "Validated", HYPERLINK("#" &amp; ADDRESS(112, '6 - TV Stands &amp; Enterta-WUO_TRK'!A112),_xlfn.TEXTAFTER('6 - TV Stands &amp; Enterta-WUO_ERR'!A112, ":"))))</f>
        <v/>
      </c>
    </row>
    <row r="113">
      <c r="A113" s="39">
        <f>IF('6 - TV Stands &amp; Enterta'!B113 = "", "", IF('6 - TV Stands &amp; Enterta-WUO_ERR'!A113 = "", "Validated", HYPERLINK("#" &amp; ADDRESS(113, '6 - TV Stands &amp; Enterta-WUO_TRK'!A113),_xlfn.TEXTAFTER('6 - TV Stands &amp; Enterta-WUO_ERR'!A113, ":"))))</f>
        <v/>
      </c>
    </row>
    <row r="114">
      <c r="A114" s="39">
        <f>IF('6 - TV Stands &amp; Enterta'!B114 = "", "", IF('6 - TV Stands &amp; Enterta-WUO_ERR'!A114 = "", "Validated", HYPERLINK("#" &amp; ADDRESS(114, '6 - TV Stands &amp; Enterta-WUO_TRK'!A114),_xlfn.TEXTAFTER('6 - TV Stands &amp; Enterta-WUO_ERR'!A114, ":"))))</f>
        <v/>
      </c>
    </row>
    <row r="115">
      <c r="A115" s="39">
        <f>IF('6 - TV Stands &amp; Enterta'!B115 = "", "", IF('6 - TV Stands &amp; Enterta-WUO_ERR'!A115 = "", "Validated", HYPERLINK("#" &amp; ADDRESS(115, '6 - TV Stands &amp; Enterta-WUO_TRK'!A115),_xlfn.TEXTAFTER('6 - TV Stands &amp; Enterta-WUO_ERR'!A115, ":"))))</f>
        <v/>
      </c>
    </row>
    <row r="116">
      <c r="A116" s="39">
        <f>IF('6 - TV Stands &amp; Enterta'!B116 = "", "", IF('6 - TV Stands &amp; Enterta-WUO_ERR'!A116 = "", "Validated", HYPERLINK("#" &amp; ADDRESS(116, '6 - TV Stands &amp; Enterta-WUO_TRK'!A116),_xlfn.TEXTAFTER('6 - TV Stands &amp; Enterta-WUO_ERR'!A116, ":"))))</f>
        <v/>
      </c>
    </row>
    <row r="117">
      <c r="A117" s="39">
        <f>IF('6 - TV Stands &amp; Enterta'!B117 = "", "", IF('6 - TV Stands &amp; Enterta-WUO_ERR'!A117 = "", "Validated", HYPERLINK("#" &amp; ADDRESS(117, '6 - TV Stands &amp; Enterta-WUO_TRK'!A117),_xlfn.TEXTAFTER('6 - TV Stands &amp; Enterta-WUO_ERR'!A117, ":"))))</f>
        <v/>
      </c>
    </row>
    <row r="118">
      <c r="A118" s="39">
        <f>IF('6 - TV Stands &amp; Enterta'!B118 = "", "", IF('6 - TV Stands &amp; Enterta-WUO_ERR'!A118 = "", "Validated", HYPERLINK("#" &amp; ADDRESS(118, '6 - TV Stands &amp; Enterta-WUO_TRK'!A118),_xlfn.TEXTAFTER('6 - TV Stands &amp; Enterta-WUO_ERR'!A118, ":"))))</f>
        <v/>
      </c>
    </row>
    <row r="119">
      <c r="A119" s="39">
        <f>IF('6 - TV Stands &amp; Enterta'!B119 = "", "", IF('6 - TV Stands &amp; Enterta-WUO_ERR'!A119 = "", "Validated", HYPERLINK("#" &amp; ADDRESS(119, '6 - TV Stands &amp; Enterta-WUO_TRK'!A119),_xlfn.TEXTAFTER('6 - TV Stands &amp; Enterta-WUO_ERR'!A119, ":"))))</f>
        <v/>
      </c>
    </row>
    <row r="120">
      <c r="A120" s="39">
        <f>IF('6 - TV Stands &amp; Enterta'!B120 = "", "", IF('6 - TV Stands &amp; Enterta-WUO_ERR'!A120 = "", "Validated", HYPERLINK("#" &amp; ADDRESS(120, '6 - TV Stands &amp; Enterta-WUO_TRK'!A120),_xlfn.TEXTAFTER('6 - TV Stands &amp; Enterta-WUO_ERR'!A120, ":"))))</f>
        <v/>
      </c>
    </row>
    <row r="121">
      <c r="A121" s="39">
        <f>IF('6 - TV Stands &amp; Enterta'!B121 = "", "", IF('6 - TV Stands &amp; Enterta-WUO_ERR'!A121 = "", "Validated", HYPERLINK("#" &amp; ADDRESS(121, '6 - TV Stands &amp; Enterta-WUO_TRK'!A121),_xlfn.TEXTAFTER('6 - TV Stands &amp; Enterta-WUO_ERR'!A121, ":"))))</f>
        <v/>
      </c>
    </row>
    <row r="122">
      <c r="A122" s="39">
        <f>IF('6 - TV Stands &amp; Enterta'!B122 = "", "", IF('6 - TV Stands &amp; Enterta-WUO_ERR'!A122 = "", "Validated", HYPERLINK("#" &amp; ADDRESS(122, '6 - TV Stands &amp; Enterta-WUO_TRK'!A122),_xlfn.TEXTAFTER('6 - TV Stands &amp; Enterta-WUO_ERR'!A122, ":"))))</f>
        <v/>
      </c>
    </row>
    <row r="123">
      <c r="A123" s="39">
        <f>IF('6 - TV Stands &amp; Enterta'!B123 = "", "", IF('6 - TV Stands &amp; Enterta-WUO_ERR'!A123 = "", "Validated", HYPERLINK("#" &amp; ADDRESS(123, '6 - TV Stands &amp; Enterta-WUO_TRK'!A123),_xlfn.TEXTAFTER('6 - TV Stands &amp; Enterta-WUO_ERR'!A123, ":"))))</f>
        <v/>
      </c>
    </row>
    <row r="124">
      <c r="A124" s="39">
        <f>IF('6 - TV Stands &amp; Enterta'!B124 = "", "", IF('6 - TV Stands &amp; Enterta-WUO_ERR'!A124 = "", "Validated", HYPERLINK("#" &amp; ADDRESS(124, '6 - TV Stands &amp; Enterta-WUO_TRK'!A124),_xlfn.TEXTAFTER('6 - TV Stands &amp; Enterta-WUO_ERR'!A124, ":"))))</f>
        <v/>
      </c>
    </row>
    <row r="125">
      <c r="A125" s="39">
        <f>IF('6 - TV Stands &amp; Enterta'!B125 = "", "", IF('6 - TV Stands &amp; Enterta-WUO_ERR'!A125 = "", "Validated", HYPERLINK("#" &amp; ADDRESS(125, '6 - TV Stands &amp; Enterta-WUO_TRK'!A125),_xlfn.TEXTAFTER('6 - TV Stands &amp; Enterta-WUO_ERR'!A125, ":"))))</f>
        <v/>
      </c>
    </row>
    <row r="126">
      <c r="A126" s="39">
        <f>IF('6 - TV Stands &amp; Enterta'!B126 = "", "", IF('6 - TV Stands &amp; Enterta-WUO_ERR'!A126 = "", "Validated", HYPERLINK("#" &amp; ADDRESS(126, '6 - TV Stands &amp; Enterta-WUO_TRK'!A126),_xlfn.TEXTAFTER('6 - TV Stands &amp; Enterta-WUO_ERR'!A126, ":"))))</f>
        <v/>
      </c>
    </row>
    <row r="127">
      <c r="A127" s="39">
        <f>IF('6 - TV Stands &amp; Enterta'!B127 = "", "", IF('6 - TV Stands &amp; Enterta-WUO_ERR'!A127 = "", "Validated", HYPERLINK("#" &amp; ADDRESS(127, '6 - TV Stands &amp; Enterta-WUO_TRK'!A127),_xlfn.TEXTAFTER('6 - TV Stands &amp; Enterta-WUO_ERR'!A127, ":"))))</f>
        <v/>
      </c>
    </row>
    <row r="128">
      <c r="A128" s="39">
        <f>IF('6 - TV Stands &amp; Enterta'!B128 = "", "", IF('6 - TV Stands &amp; Enterta-WUO_ERR'!A128 = "", "Validated", HYPERLINK("#" &amp; ADDRESS(128, '6 - TV Stands &amp; Enterta-WUO_TRK'!A128),_xlfn.TEXTAFTER('6 - TV Stands &amp; Enterta-WUO_ERR'!A128, ":"))))</f>
        <v/>
      </c>
    </row>
    <row r="129">
      <c r="A129" s="39">
        <f>IF('6 - TV Stands &amp; Enterta'!B129 = "", "", IF('6 - TV Stands &amp; Enterta-WUO_ERR'!A129 = "", "Validated", HYPERLINK("#" &amp; ADDRESS(129, '6 - TV Stands &amp; Enterta-WUO_TRK'!A129),_xlfn.TEXTAFTER('6 - TV Stands &amp; Enterta-WUO_ERR'!A129, ":"))))</f>
        <v/>
      </c>
    </row>
    <row r="130">
      <c r="A130" s="39">
        <f>IF('6 - TV Stands &amp; Enterta'!B130 = "", "", IF('6 - TV Stands &amp; Enterta-WUO_ERR'!A130 = "", "Validated", HYPERLINK("#" &amp; ADDRESS(130, '6 - TV Stands &amp; Enterta-WUO_TRK'!A130),_xlfn.TEXTAFTER('6 - TV Stands &amp; Enterta-WUO_ERR'!A130, ":"))))</f>
        <v/>
      </c>
    </row>
    <row r="131">
      <c r="A131" s="39">
        <f>IF('6 - TV Stands &amp; Enterta'!B131 = "", "", IF('6 - TV Stands &amp; Enterta-WUO_ERR'!A131 = "", "Validated", HYPERLINK("#" &amp; ADDRESS(131, '6 - TV Stands &amp; Enterta-WUO_TRK'!A131),_xlfn.TEXTAFTER('6 - TV Stands &amp; Enterta-WUO_ERR'!A131, ":"))))</f>
        <v/>
      </c>
    </row>
    <row r="132">
      <c r="A132" s="39">
        <f>IF('6 - TV Stands &amp; Enterta'!B132 = "", "", IF('6 - TV Stands &amp; Enterta-WUO_ERR'!A132 = "", "Validated", HYPERLINK("#" &amp; ADDRESS(132, '6 - TV Stands &amp; Enterta-WUO_TRK'!A132),_xlfn.TEXTAFTER('6 - TV Stands &amp; Enterta-WUO_ERR'!A132, ":"))))</f>
        <v/>
      </c>
    </row>
    <row r="133">
      <c r="A133" s="39">
        <f>IF('6 - TV Stands &amp; Enterta'!B133 = "", "", IF('6 - TV Stands &amp; Enterta-WUO_ERR'!A133 = "", "Validated", HYPERLINK("#" &amp; ADDRESS(133, '6 - TV Stands &amp; Enterta-WUO_TRK'!A133),_xlfn.TEXTAFTER('6 - TV Stands &amp; Enterta-WUO_ERR'!A133, ":"))))</f>
        <v/>
      </c>
    </row>
    <row r="134">
      <c r="A134" s="39">
        <f>IF('6 - TV Stands &amp; Enterta'!B134 = "", "", IF('6 - TV Stands &amp; Enterta-WUO_ERR'!A134 = "", "Validated", HYPERLINK("#" &amp; ADDRESS(134, '6 - TV Stands &amp; Enterta-WUO_TRK'!A134),_xlfn.TEXTAFTER('6 - TV Stands &amp; Enterta-WUO_ERR'!A134, ":"))))</f>
        <v/>
      </c>
    </row>
    <row r="135">
      <c r="A135" s="39">
        <f>IF('6 - TV Stands &amp; Enterta'!B135 = "", "", IF('6 - TV Stands &amp; Enterta-WUO_ERR'!A135 = "", "Validated", HYPERLINK("#" &amp; ADDRESS(135, '6 - TV Stands &amp; Enterta-WUO_TRK'!A135),_xlfn.TEXTAFTER('6 - TV Stands &amp; Enterta-WUO_ERR'!A135, ":"))))</f>
        <v/>
      </c>
    </row>
    <row r="136">
      <c r="A136" s="39">
        <f>IF('6 - TV Stands &amp; Enterta'!B136 = "", "", IF('6 - TV Stands &amp; Enterta-WUO_ERR'!A136 = "", "Validated", HYPERLINK("#" &amp; ADDRESS(136, '6 - TV Stands &amp; Enterta-WUO_TRK'!A136),_xlfn.TEXTAFTER('6 - TV Stands &amp; Enterta-WUO_ERR'!A136, ":"))))</f>
        <v/>
      </c>
    </row>
    <row r="137">
      <c r="A137" s="39">
        <f>IF('6 - TV Stands &amp; Enterta'!B137 = "", "", IF('6 - TV Stands &amp; Enterta-WUO_ERR'!A137 = "", "Validated", HYPERLINK("#" &amp; ADDRESS(137, '6 - TV Stands &amp; Enterta-WUO_TRK'!A137),_xlfn.TEXTAFTER('6 - TV Stands &amp; Enterta-WUO_ERR'!A137, ":"))))</f>
        <v/>
      </c>
    </row>
    <row r="138">
      <c r="A138" s="39">
        <f>IF('6 - TV Stands &amp; Enterta'!B138 = "", "", IF('6 - TV Stands &amp; Enterta-WUO_ERR'!A138 = "", "Validated", HYPERLINK("#" &amp; ADDRESS(138, '6 - TV Stands &amp; Enterta-WUO_TRK'!A138),_xlfn.TEXTAFTER('6 - TV Stands &amp; Enterta-WUO_ERR'!A138, ":"))))</f>
        <v/>
      </c>
    </row>
    <row r="139">
      <c r="A139" s="39">
        <f>IF('6 - TV Stands &amp; Enterta'!B139 = "", "", IF('6 - TV Stands &amp; Enterta-WUO_ERR'!A139 = "", "Validated", HYPERLINK("#" &amp; ADDRESS(139, '6 - TV Stands &amp; Enterta-WUO_TRK'!A139),_xlfn.TEXTAFTER('6 - TV Stands &amp; Enterta-WUO_ERR'!A139, ":"))))</f>
        <v/>
      </c>
    </row>
    <row r="140">
      <c r="A140" s="39">
        <f>IF('6 - TV Stands &amp; Enterta'!B140 = "", "", IF('6 - TV Stands &amp; Enterta-WUO_ERR'!A140 = "", "Validated", HYPERLINK("#" &amp; ADDRESS(140, '6 - TV Stands &amp; Enterta-WUO_TRK'!A140),_xlfn.TEXTAFTER('6 - TV Stands &amp; Enterta-WUO_ERR'!A140, ":"))))</f>
        <v/>
      </c>
    </row>
    <row r="141">
      <c r="A141" s="39">
        <f>IF('6 - TV Stands &amp; Enterta'!B141 = "", "", IF('6 - TV Stands &amp; Enterta-WUO_ERR'!A141 = "", "Validated", HYPERLINK("#" &amp; ADDRESS(141, '6 - TV Stands &amp; Enterta-WUO_TRK'!A141),_xlfn.TEXTAFTER('6 - TV Stands &amp; Enterta-WUO_ERR'!A141, ":"))))</f>
        <v/>
      </c>
    </row>
    <row r="142">
      <c r="A142" s="39">
        <f>IF('6 - TV Stands &amp; Enterta'!B142 = "", "", IF('6 - TV Stands &amp; Enterta-WUO_ERR'!A142 = "", "Validated", HYPERLINK("#" &amp; ADDRESS(142, '6 - TV Stands &amp; Enterta-WUO_TRK'!A142),_xlfn.TEXTAFTER('6 - TV Stands &amp; Enterta-WUO_ERR'!A142, ":"))))</f>
        <v/>
      </c>
    </row>
    <row r="143">
      <c r="A143" s="39">
        <f>IF('6 - TV Stands &amp; Enterta'!B143 = "", "", IF('6 - TV Stands &amp; Enterta-WUO_ERR'!A143 = "", "Validated", HYPERLINK("#" &amp; ADDRESS(143, '6 - TV Stands &amp; Enterta-WUO_TRK'!A143),_xlfn.TEXTAFTER('6 - TV Stands &amp; Enterta-WUO_ERR'!A143, ":"))))</f>
        <v/>
      </c>
    </row>
    <row r="144">
      <c r="A144" s="39">
        <f>IF('6 - TV Stands &amp; Enterta'!B144 = "", "", IF('6 - TV Stands &amp; Enterta-WUO_ERR'!A144 = "", "Validated", HYPERLINK("#" &amp; ADDRESS(144, '6 - TV Stands &amp; Enterta-WUO_TRK'!A144),_xlfn.TEXTAFTER('6 - TV Stands &amp; Enterta-WUO_ERR'!A144, ":"))))</f>
        <v/>
      </c>
    </row>
    <row r="145">
      <c r="A145" s="39">
        <f>IF('6 - TV Stands &amp; Enterta'!B145 = "", "", IF('6 - TV Stands &amp; Enterta-WUO_ERR'!A145 = "", "Validated", HYPERLINK("#" &amp; ADDRESS(145, '6 - TV Stands &amp; Enterta-WUO_TRK'!A145),_xlfn.TEXTAFTER('6 - TV Stands &amp; Enterta-WUO_ERR'!A145, ":"))))</f>
        <v/>
      </c>
    </row>
    <row r="146">
      <c r="A146" s="39">
        <f>IF('6 - TV Stands &amp; Enterta'!B146 = "", "", IF('6 - TV Stands &amp; Enterta-WUO_ERR'!A146 = "", "Validated", HYPERLINK("#" &amp; ADDRESS(146, '6 - TV Stands &amp; Enterta-WUO_TRK'!A146),_xlfn.TEXTAFTER('6 - TV Stands &amp; Enterta-WUO_ERR'!A146, ":"))))</f>
        <v/>
      </c>
    </row>
    <row r="147">
      <c r="A147" s="39">
        <f>IF('6 - TV Stands &amp; Enterta'!B147 = "", "", IF('6 - TV Stands &amp; Enterta-WUO_ERR'!A147 = "", "Validated", HYPERLINK("#" &amp; ADDRESS(147, '6 - TV Stands &amp; Enterta-WUO_TRK'!A147),_xlfn.TEXTAFTER('6 - TV Stands &amp; Enterta-WUO_ERR'!A147, ":"))))</f>
        <v/>
      </c>
    </row>
    <row r="148">
      <c r="A148" s="39">
        <f>IF('6 - TV Stands &amp; Enterta'!B148 = "", "", IF('6 - TV Stands &amp; Enterta-WUO_ERR'!A148 = "", "Validated", HYPERLINK("#" &amp; ADDRESS(148, '6 - TV Stands &amp; Enterta-WUO_TRK'!A148),_xlfn.TEXTAFTER('6 - TV Stands &amp; Enterta-WUO_ERR'!A148, ":"))))</f>
        <v/>
      </c>
    </row>
    <row r="149">
      <c r="A149" s="39">
        <f>IF('6 - TV Stands &amp; Enterta'!B149 = "", "", IF('6 - TV Stands &amp; Enterta-WUO_ERR'!A149 = "", "Validated", HYPERLINK("#" &amp; ADDRESS(149, '6 - TV Stands &amp; Enterta-WUO_TRK'!A149),_xlfn.TEXTAFTER('6 - TV Stands &amp; Enterta-WUO_ERR'!A149, ":"))))</f>
        <v/>
      </c>
    </row>
    <row r="150">
      <c r="A150" s="39">
        <f>IF('6 - TV Stands &amp; Enterta'!B150 = "", "", IF('6 - TV Stands &amp; Enterta-WUO_ERR'!A150 = "", "Validated", HYPERLINK("#" &amp; ADDRESS(150, '6 - TV Stands &amp; Enterta-WUO_TRK'!A150),_xlfn.TEXTAFTER('6 - TV Stands &amp; Enterta-WUO_ERR'!A150, ":"))))</f>
        <v/>
      </c>
    </row>
    <row r="151">
      <c r="A151" s="39">
        <f>IF('6 - TV Stands &amp; Enterta'!B151 = "", "", IF('6 - TV Stands &amp; Enterta-WUO_ERR'!A151 = "", "Validated", HYPERLINK("#" &amp; ADDRESS(151, '6 - TV Stands &amp; Enterta-WUO_TRK'!A151),_xlfn.TEXTAFTER('6 - TV Stands &amp; Enterta-WUO_ERR'!A151, ":"))))</f>
        <v/>
      </c>
    </row>
    <row r="152">
      <c r="A152" s="39">
        <f>IF('6 - TV Stands &amp; Enterta'!B152 = "", "", IF('6 - TV Stands &amp; Enterta-WUO_ERR'!A152 = "", "Validated", HYPERLINK("#" &amp; ADDRESS(152, '6 - TV Stands &amp; Enterta-WUO_TRK'!A152),_xlfn.TEXTAFTER('6 - TV Stands &amp; Enterta-WUO_ERR'!A152, ":"))))</f>
        <v/>
      </c>
    </row>
    <row r="153">
      <c r="A153" s="39">
        <f>IF('6 - TV Stands &amp; Enterta'!B153 = "", "", IF('6 - TV Stands &amp; Enterta-WUO_ERR'!A153 = "", "Validated", HYPERLINK("#" &amp; ADDRESS(153, '6 - TV Stands &amp; Enterta-WUO_TRK'!A153),_xlfn.TEXTAFTER('6 - TV Stands &amp; Enterta-WUO_ERR'!A153, ":"))))</f>
        <v/>
      </c>
    </row>
    <row r="154">
      <c r="A154" s="39">
        <f>IF('6 - TV Stands &amp; Enterta'!B154 = "", "", IF('6 - TV Stands &amp; Enterta-WUO_ERR'!A154 = "", "Validated", HYPERLINK("#" &amp; ADDRESS(154, '6 - TV Stands &amp; Enterta-WUO_TRK'!A154),_xlfn.TEXTAFTER('6 - TV Stands &amp; Enterta-WUO_ERR'!A154, ":"))))</f>
        <v/>
      </c>
    </row>
    <row r="155">
      <c r="A155" s="39">
        <f>IF('6 - TV Stands &amp; Enterta'!B155 = "", "", IF('6 - TV Stands &amp; Enterta-WUO_ERR'!A155 = "", "Validated", HYPERLINK("#" &amp; ADDRESS(155, '6 - TV Stands &amp; Enterta-WUO_TRK'!A155),_xlfn.TEXTAFTER('6 - TV Stands &amp; Enterta-WUO_ERR'!A155, ":"))))</f>
        <v/>
      </c>
    </row>
    <row r="156">
      <c r="A156" s="39">
        <f>IF('6 - TV Stands &amp; Enterta'!B156 = "", "", IF('6 - TV Stands &amp; Enterta-WUO_ERR'!A156 = "", "Validated", HYPERLINK("#" &amp; ADDRESS(156, '6 - TV Stands &amp; Enterta-WUO_TRK'!A156),_xlfn.TEXTAFTER('6 - TV Stands &amp; Enterta-WUO_ERR'!A156, ":"))))</f>
        <v/>
      </c>
    </row>
    <row r="157">
      <c r="A157" s="39">
        <f>IF('6 - TV Stands &amp; Enterta'!B157 = "", "", IF('6 - TV Stands &amp; Enterta-WUO_ERR'!A157 = "", "Validated", HYPERLINK("#" &amp; ADDRESS(157, '6 - TV Stands &amp; Enterta-WUO_TRK'!A157),_xlfn.TEXTAFTER('6 - TV Stands &amp; Enterta-WUO_ERR'!A157, ":"))))</f>
        <v/>
      </c>
    </row>
    <row r="158">
      <c r="A158" s="39">
        <f>IF('6 - TV Stands &amp; Enterta'!B158 = "", "", IF('6 - TV Stands &amp; Enterta-WUO_ERR'!A158 = "", "Validated", HYPERLINK("#" &amp; ADDRESS(158, '6 - TV Stands &amp; Enterta-WUO_TRK'!A158),_xlfn.TEXTAFTER('6 - TV Stands &amp; Enterta-WUO_ERR'!A158, ":"))))</f>
        <v/>
      </c>
    </row>
    <row r="159">
      <c r="A159" s="39">
        <f>IF('6 - TV Stands &amp; Enterta'!B159 = "", "", IF('6 - TV Stands &amp; Enterta-WUO_ERR'!A159 = "", "Validated", HYPERLINK("#" &amp; ADDRESS(159, '6 - TV Stands &amp; Enterta-WUO_TRK'!A159),_xlfn.TEXTAFTER('6 - TV Stands &amp; Enterta-WUO_ERR'!A159, ":"))))</f>
        <v/>
      </c>
    </row>
    <row r="160">
      <c r="A160" s="39">
        <f>IF('6 - TV Stands &amp; Enterta'!B160 = "", "", IF('6 - TV Stands &amp; Enterta-WUO_ERR'!A160 = "", "Validated", HYPERLINK("#" &amp; ADDRESS(160, '6 - TV Stands &amp; Enterta-WUO_TRK'!A160),_xlfn.TEXTAFTER('6 - TV Stands &amp; Enterta-WUO_ERR'!A160, ":"))))</f>
        <v/>
      </c>
    </row>
    <row r="161">
      <c r="A161" s="39">
        <f>IF('6 - TV Stands &amp; Enterta'!B161 = "", "", IF('6 - TV Stands &amp; Enterta-WUO_ERR'!A161 = "", "Validated", HYPERLINK("#" &amp; ADDRESS(161, '6 - TV Stands &amp; Enterta-WUO_TRK'!A161),_xlfn.TEXTAFTER('6 - TV Stands &amp; Enterta-WUO_ERR'!A161, ":"))))</f>
        <v/>
      </c>
    </row>
    <row r="162">
      <c r="A162" s="39">
        <f>IF('6 - TV Stands &amp; Enterta'!B162 = "", "", IF('6 - TV Stands &amp; Enterta-WUO_ERR'!A162 = "", "Validated", HYPERLINK("#" &amp; ADDRESS(162, '6 - TV Stands &amp; Enterta-WUO_TRK'!A162),_xlfn.TEXTAFTER('6 - TV Stands &amp; Enterta-WUO_ERR'!A162, ":"))))</f>
        <v/>
      </c>
    </row>
    <row r="163">
      <c r="A163" s="39">
        <f>IF('6 - TV Stands &amp; Enterta'!B163 = "", "", IF('6 - TV Stands &amp; Enterta-WUO_ERR'!A163 = "", "Validated", HYPERLINK("#" &amp; ADDRESS(163, '6 - TV Stands &amp; Enterta-WUO_TRK'!A163),_xlfn.TEXTAFTER('6 - TV Stands &amp; Enterta-WUO_ERR'!A163, ":"))))</f>
        <v/>
      </c>
    </row>
    <row r="164">
      <c r="A164" s="39">
        <f>IF('6 - TV Stands &amp; Enterta'!B164 = "", "", IF('6 - TV Stands &amp; Enterta-WUO_ERR'!A164 = "", "Validated", HYPERLINK("#" &amp; ADDRESS(164, '6 - TV Stands &amp; Enterta-WUO_TRK'!A164),_xlfn.TEXTAFTER('6 - TV Stands &amp; Enterta-WUO_ERR'!A164, ":"))))</f>
        <v/>
      </c>
    </row>
    <row r="165">
      <c r="A165" s="39">
        <f>IF('6 - TV Stands &amp; Enterta'!B165 = "", "", IF('6 - TV Stands &amp; Enterta-WUO_ERR'!A165 = "", "Validated", HYPERLINK("#" &amp; ADDRESS(165, '6 - TV Stands &amp; Enterta-WUO_TRK'!A165),_xlfn.TEXTAFTER('6 - TV Stands &amp; Enterta-WUO_ERR'!A165, ":"))))</f>
        <v/>
      </c>
    </row>
    <row r="166">
      <c r="A166" s="39">
        <f>IF('6 - TV Stands &amp; Enterta'!B166 = "", "", IF('6 - TV Stands &amp; Enterta-WUO_ERR'!A166 = "", "Validated", HYPERLINK("#" &amp; ADDRESS(166, '6 - TV Stands &amp; Enterta-WUO_TRK'!A166),_xlfn.TEXTAFTER('6 - TV Stands &amp; Enterta-WUO_ERR'!A166, ":"))))</f>
        <v/>
      </c>
    </row>
    <row r="167">
      <c r="A167" s="39">
        <f>IF('6 - TV Stands &amp; Enterta'!B167 = "", "", IF('6 - TV Stands &amp; Enterta-WUO_ERR'!A167 = "", "Validated", HYPERLINK("#" &amp; ADDRESS(167, '6 - TV Stands &amp; Enterta-WUO_TRK'!A167),_xlfn.TEXTAFTER('6 - TV Stands &amp; Enterta-WUO_ERR'!A167, ":"))))</f>
        <v/>
      </c>
    </row>
    <row r="168">
      <c r="A168" s="39">
        <f>IF('6 - TV Stands &amp; Enterta'!B168 = "", "", IF('6 - TV Stands &amp; Enterta-WUO_ERR'!A168 = "", "Validated", HYPERLINK("#" &amp; ADDRESS(168, '6 - TV Stands &amp; Enterta-WUO_TRK'!A168),_xlfn.TEXTAFTER('6 - TV Stands &amp; Enterta-WUO_ERR'!A168, ":"))))</f>
        <v/>
      </c>
    </row>
    <row r="169">
      <c r="A169" s="39">
        <f>IF('6 - TV Stands &amp; Enterta'!B169 = "", "", IF('6 - TV Stands &amp; Enterta-WUO_ERR'!A169 = "", "Validated", HYPERLINK("#" &amp; ADDRESS(169, '6 - TV Stands &amp; Enterta-WUO_TRK'!A169),_xlfn.TEXTAFTER('6 - TV Stands &amp; Enterta-WUO_ERR'!A169, ":"))))</f>
        <v/>
      </c>
    </row>
    <row r="170">
      <c r="A170" s="39">
        <f>IF('6 - TV Stands &amp; Enterta'!B170 = "", "", IF('6 - TV Stands &amp; Enterta-WUO_ERR'!A170 = "", "Validated", HYPERLINK("#" &amp; ADDRESS(170, '6 - TV Stands &amp; Enterta-WUO_TRK'!A170),_xlfn.TEXTAFTER('6 - TV Stands &amp; Enterta-WUO_ERR'!A170, ":"))))</f>
        <v/>
      </c>
    </row>
    <row r="171">
      <c r="A171" s="39">
        <f>IF('6 - TV Stands &amp; Enterta'!B171 = "", "", IF('6 - TV Stands &amp; Enterta-WUO_ERR'!A171 = "", "Validated", HYPERLINK("#" &amp; ADDRESS(171, '6 - TV Stands &amp; Enterta-WUO_TRK'!A171),_xlfn.TEXTAFTER('6 - TV Stands &amp; Enterta-WUO_ERR'!A171, ":"))))</f>
        <v/>
      </c>
    </row>
    <row r="172">
      <c r="A172" s="39">
        <f>IF('6 - TV Stands &amp; Enterta'!B172 = "", "", IF('6 - TV Stands &amp; Enterta-WUO_ERR'!A172 = "", "Validated", HYPERLINK("#" &amp; ADDRESS(172, '6 - TV Stands &amp; Enterta-WUO_TRK'!A172),_xlfn.TEXTAFTER('6 - TV Stands &amp; Enterta-WUO_ERR'!A172, ":"))))</f>
        <v/>
      </c>
    </row>
    <row r="173">
      <c r="A173" s="39">
        <f>IF('6 - TV Stands &amp; Enterta'!B173 = "", "", IF('6 - TV Stands &amp; Enterta-WUO_ERR'!A173 = "", "Validated", HYPERLINK("#" &amp; ADDRESS(173, '6 - TV Stands &amp; Enterta-WUO_TRK'!A173),_xlfn.TEXTAFTER('6 - TV Stands &amp; Enterta-WUO_ERR'!A173, ":"))))</f>
        <v/>
      </c>
    </row>
    <row r="174">
      <c r="A174" s="39">
        <f>IF('6 - TV Stands &amp; Enterta'!B174 = "", "", IF('6 - TV Stands &amp; Enterta-WUO_ERR'!A174 = "", "Validated", HYPERLINK("#" &amp; ADDRESS(174, '6 - TV Stands &amp; Enterta-WUO_TRK'!A174),_xlfn.TEXTAFTER('6 - TV Stands &amp; Enterta-WUO_ERR'!A174, ":"))))</f>
        <v/>
      </c>
    </row>
    <row r="175">
      <c r="A175" s="39">
        <f>IF('6 - TV Stands &amp; Enterta'!B175 = "", "", IF('6 - TV Stands &amp; Enterta-WUO_ERR'!A175 = "", "Validated", HYPERLINK("#" &amp; ADDRESS(175, '6 - TV Stands &amp; Enterta-WUO_TRK'!A175),_xlfn.TEXTAFTER('6 - TV Stands &amp; Enterta-WUO_ERR'!A175, ":"))))</f>
        <v/>
      </c>
    </row>
    <row r="176">
      <c r="A176" s="39">
        <f>IF('6 - TV Stands &amp; Enterta'!B176 = "", "", IF('6 - TV Stands &amp; Enterta-WUO_ERR'!A176 = "", "Validated", HYPERLINK("#" &amp; ADDRESS(176, '6 - TV Stands &amp; Enterta-WUO_TRK'!A176),_xlfn.TEXTAFTER('6 - TV Stands &amp; Enterta-WUO_ERR'!A176, ":"))))</f>
        <v/>
      </c>
    </row>
    <row r="177">
      <c r="A177" s="39">
        <f>IF('6 - TV Stands &amp; Enterta'!B177 = "", "", IF('6 - TV Stands &amp; Enterta-WUO_ERR'!A177 = "", "Validated", HYPERLINK("#" &amp; ADDRESS(177, '6 - TV Stands &amp; Enterta-WUO_TRK'!A177),_xlfn.TEXTAFTER('6 - TV Stands &amp; Enterta-WUO_ERR'!A177, ":"))))</f>
        <v/>
      </c>
    </row>
    <row r="178">
      <c r="A178" s="39">
        <f>IF('6 - TV Stands &amp; Enterta'!B178 = "", "", IF('6 - TV Stands &amp; Enterta-WUO_ERR'!A178 = "", "Validated", HYPERLINK("#" &amp; ADDRESS(178, '6 - TV Stands &amp; Enterta-WUO_TRK'!A178),_xlfn.TEXTAFTER('6 - TV Stands &amp; Enterta-WUO_ERR'!A178, ":"))))</f>
        <v/>
      </c>
    </row>
    <row r="179">
      <c r="A179" s="39">
        <f>IF('6 - TV Stands &amp; Enterta'!B179 = "", "", IF('6 - TV Stands &amp; Enterta-WUO_ERR'!A179 = "", "Validated", HYPERLINK("#" &amp; ADDRESS(179, '6 - TV Stands &amp; Enterta-WUO_TRK'!A179),_xlfn.TEXTAFTER('6 - TV Stands &amp; Enterta-WUO_ERR'!A179, ":"))))</f>
        <v/>
      </c>
    </row>
    <row r="180">
      <c r="A180" s="39">
        <f>IF('6 - TV Stands &amp; Enterta'!B180 = "", "", IF('6 - TV Stands &amp; Enterta-WUO_ERR'!A180 = "", "Validated", HYPERLINK("#" &amp; ADDRESS(180, '6 - TV Stands &amp; Enterta-WUO_TRK'!A180),_xlfn.TEXTAFTER('6 - TV Stands &amp; Enterta-WUO_ERR'!A180, ":"))))</f>
        <v/>
      </c>
    </row>
    <row r="181">
      <c r="A181" s="39">
        <f>IF('6 - TV Stands &amp; Enterta'!B181 = "", "", IF('6 - TV Stands &amp; Enterta-WUO_ERR'!A181 = "", "Validated", HYPERLINK("#" &amp; ADDRESS(181, '6 - TV Stands &amp; Enterta-WUO_TRK'!A181),_xlfn.TEXTAFTER('6 - TV Stands &amp; Enterta-WUO_ERR'!A181, ":"))))</f>
        <v/>
      </c>
    </row>
    <row r="182">
      <c r="A182" s="39">
        <f>IF('6 - TV Stands &amp; Enterta'!B182 = "", "", IF('6 - TV Stands &amp; Enterta-WUO_ERR'!A182 = "", "Validated", HYPERLINK("#" &amp; ADDRESS(182, '6 - TV Stands &amp; Enterta-WUO_TRK'!A182),_xlfn.TEXTAFTER('6 - TV Stands &amp; Enterta-WUO_ERR'!A182, ":"))))</f>
        <v/>
      </c>
    </row>
    <row r="183">
      <c r="A183" s="39">
        <f>IF('6 - TV Stands &amp; Enterta'!B183 = "", "", IF('6 - TV Stands &amp; Enterta-WUO_ERR'!A183 = "", "Validated", HYPERLINK("#" &amp; ADDRESS(183, '6 - TV Stands &amp; Enterta-WUO_TRK'!A183),_xlfn.TEXTAFTER('6 - TV Stands &amp; Enterta-WUO_ERR'!A183, ":"))))</f>
        <v/>
      </c>
    </row>
    <row r="184">
      <c r="A184" s="39">
        <f>IF('6 - TV Stands &amp; Enterta'!B184 = "", "", IF('6 - TV Stands &amp; Enterta-WUO_ERR'!A184 = "", "Validated", HYPERLINK("#" &amp; ADDRESS(184, '6 - TV Stands &amp; Enterta-WUO_TRK'!A184),_xlfn.TEXTAFTER('6 - TV Stands &amp; Enterta-WUO_ERR'!A184, ":"))))</f>
        <v/>
      </c>
    </row>
    <row r="185">
      <c r="A185" s="39">
        <f>IF('6 - TV Stands &amp; Enterta'!B185 = "", "", IF('6 - TV Stands &amp; Enterta-WUO_ERR'!A185 = "", "Validated", HYPERLINK("#" &amp; ADDRESS(185, '6 - TV Stands &amp; Enterta-WUO_TRK'!A185),_xlfn.TEXTAFTER('6 - TV Stands &amp; Enterta-WUO_ERR'!A185, ":"))))</f>
        <v/>
      </c>
    </row>
    <row r="186">
      <c r="A186" s="39">
        <f>IF('6 - TV Stands &amp; Enterta'!B186 = "", "", IF('6 - TV Stands &amp; Enterta-WUO_ERR'!A186 = "", "Validated", HYPERLINK("#" &amp; ADDRESS(186, '6 - TV Stands &amp; Enterta-WUO_TRK'!A186),_xlfn.TEXTAFTER('6 - TV Stands &amp; Enterta-WUO_ERR'!A186, ":"))))</f>
        <v/>
      </c>
    </row>
    <row r="187">
      <c r="A187" s="39">
        <f>IF('6 - TV Stands &amp; Enterta'!B187 = "", "", IF('6 - TV Stands &amp; Enterta-WUO_ERR'!A187 = "", "Validated", HYPERLINK("#" &amp; ADDRESS(187, '6 - TV Stands &amp; Enterta-WUO_TRK'!A187),_xlfn.TEXTAFTER('6 - TV Stands &amp; Enterta-WUO_ERR'!A187, ":"))))</f>
        <v/>
      </c>
    </row>
    <row r="188">
      <c r="A188" s="39">
        <f>IF('6 - TV Stands &amp; Enterta'!B188 = "", "", IF('6 - TV Stands &amp; Enterta-WUO_ERR'!A188 = "", "Validated", HYPERLINK("#" &amp; ADDRESS(188, '6 - TV Stands &amp; Enterta-WUO_TRK'!A188),_xlfn.TEXTAFTER('6 - TV Stands &amp; Enterta-WUO_ERR'!A188, ":"))))</f>
        <v/>
      </c>
    </row>
    <row r="189">
      <c r="A189" s="39">
        <f>IF('6 - TV Stands &amp; Enterta'!B189 = "", "", IF('6 - TV Stands &amp; Enterta-WUO_ERR'!A189 = "", "Validated", HYPERLINK("#" &amp; ADDRESS(189, '6 - TV Stands &amp; Enterta-WUO_TRK'!A189),_xlfn.TEXTAFTER('6 - TV Stands &amp; Enterta-WUO_ERR'!A189, ":"))))</f>
        <v/>
      </c>
    </row>
    <row r="190">
      <c r="A190" s="39">
        <f>IF('6 - TV Stands &amp; Enterta'!B190 = "", "", IF('6 - TV Stands &amp; Enterta-WUO_ERR'!A190 = "", "Validated", HYPERLINK("#" &amp; ADDRESS(190, '6 - TV Stands &amp; Enterta-WUO_TRK'!A190),_xlfn.TEXTAFTER('6 - TV Stands &amp; Enterta-WUO_ERR'!A190, ":"))))</f>
        <v/>
      </c>
    </row>
    <row r="191">
      <c r="A191" s="39">
        <f>IF('6 - TV Stands &amp; Enterta'!B191 = "", "", IF('6 - TV Stands &amp; Enterta-WUO_ERR'!A191 = "", "Validated", HYPERLINK("#" &amp; ADDRESS(191, '6 - TV Stands &amp; Enterta-WUO_TRK'!A191),_xlfn.TEXTAFTER('6 - TV Stands &amp; Enterta-WUO_ERR'!A191, ":"))))</f>
        <v/>
      </c>
    </row>
    <row r="192">
      <c r="A192" s="39">
        <f>IF('6 - TV Stands &amp; Enterta'!B192 = "", "", IF('6 - TV Stands &amp; Enterta-WUO_ERR'!A192 = "", "Validated", HYPERLINK("#" &amp; ADDRESS(192, '6 - TV Stands &amp; Enterta-WUO_TRK'!A192),_xlfn.TEXTAFTER('6 - TV Stands &amp; Enterta-WUO_ERR'!A192, ":"))))</f>
        <v/>
      </c>
    </row>
    <row r="193">
      <c r="A193" s="39">
        <f>IF('6 - TV Stands &amp; Enterta'!B193 = "", "", IF('6 - TV Stands &amp; Enterta-WUO_ERR'!A193 = "", "Validated", HYPERLINK("#" &amp; ADDRESS(193, '6 - TV Stands &amp; Enterta-WUO_TRK'!A193),_xlfn.TEXTAFTER('6 - TV Stands &amp; Enterta-WUO_ERR'!A193, ":"))))</f>
        <v/>
      </c>
    </row>
    <row r="194">
      <c r="A194" s="39">
        <f>IF('6 - TV Stands &amp; Enterta'!B194 = "", "", IF('6 - TV Stands &amp; Enterta-WUO_ERR'!A194 = "", "Validated", HYPERLINK("#" &amp; ADDRESS(194, '6 - TV Stands &amp; Enterta-WUO_TRK'!A194),_xlfn.TEXTAFTER('6 - TV Stands &amp; Enterta-WUO_ERR'!A194, ":"))))</f>
        <v/>
      </c>
    </row>
    <row r="195">
      <c r="A195" s="39">
        <f>IF('6 - TV Stands &amp; Enterta'!B195 = "", "", IF('6 - TV Stands &amp; Enterta-WUO_ERR'!A195 = "", "Validated", HYPERLINK("#" &amp; ADDRESS(195, '6 - TV Stands &amp; Enterta-WUO_TRK'!A195),_xlfn.TEXTAFTER('6 - TV Stands &amp; Enterta-WUO_ERR'!A195, ":"))))</f>
        <v/>
      </c>
    </row>
    <row r="196">
      <c r="A196" s="39">
        <f>IF('6 - TV Stands &amp; Enterta'!B196 = "", "", IF('6 - TV Stands &amp; Enterta-WUO_ERR'!A196 = "", "Validated", HYPERLINK("#" &amp; ADDRESS(196, '6 - TV Stands &amp; Enterta-WUO_TRK'!A196),_xlfn.TEXTAFTER('6 - TV Stands &amp; Enterta-WUO_ERR'!A196, ":"))))</f>
        <v/>
      </c>
    </row>
    <row r="197">
      <c r="A197" s="39">
        <f>IF('6 - TV Stands &amp; Enterta'!B197 = "", "", IF('6 - TV Stands &amp; Enterta-WUO_ERR'!A197 = "", "Validated", HYPERLINK("#" &amp; ADDRESS(197, '6 - TV Stands &amp; Enterta-WUO_TRK'!A197),_xlfn.TEXTAFTER('6 - TV Stands &amp; Enterta-WUO_ERR'!A197, ":"))))</f>
        <v/>
      </c>
    </row>
    <row r="198">
      <c r="A198" s="39">
        <f>IF('6 - TV Stands &amp; Enterta'!B198 = "", "", IF('6 - TV Stands &amp; Enterta-WUO_ERR'!A198 = "", "Validated", HYPERLINK("#" &amp; ADDRESS(198, '6 - TV Stands &amp; Enterta-WUO_TRK'!A198),_xlfn.TEXTAFTER('6 - TV Stands &amp; Enterta-WUO_ERR'!A198, ":"))))</f>
        <v/>
      </c>
    </row>
    <row r="199">
      <c r="A199" s="39">
        <f>IF('6 - TV Stands &amp; Enterta'!B199 = "", "", IF('6 - TV Stands &amp; Enterta-WUO_ERR'!A199 = "", "Validated", HYPERLINK("#" &amp; ADDRESS(199, '6 - TV Stands &amp; Enterta-WUO_TRK'!A199),_xlfn.TEXTAFTER('6 - TV Stands &amp; Enterta-WUO_ERR'!A199, ":"))))</f>
        <v/>
      </c>
    </row>
    <row r="200">
      <c r="A200" s="39">
        <f>IF('6 - TV Stands &amp; Enterta'!B200 = "", "", IF('6 - TV Stands &amp; Enterta-WUO_ERR'!A200 = "", "Validated", HYPERLINK("#" &amp; ADDRESS(200, '6 - TV Stands &amp; Enterta-WUO_TRK'!A200),_xlfn.TEXTAFTER('6 - TV Stands &amp; Enterta-WUO_ERR'!A200, ":"))))</f>
        <v/>
      </c>
    </row>
    <row r="201">
      <c r="A201" s="39">
        <f>IF('6 - TV Stands &amp; Enterta'!B201 = "", "", IF('6 - TV Stands &amp; Enterta-WUO_ERR'!A201 = "", "Validated", HYPERLINK("#" &amp; ADDRESS(201, '6 - TV Stands &amp; Enterta-WUO_TRK'!A201),_xlfn.TEXTAFTER('6 - TV Stands &amp; Enterta-WUO_ERR'!A201, ":"))))</f>
        <v/>
      </c>
    </row>
    <row r="202">
      <c r="A202" s="39">
        <f>IF('6 - TV Stands &amp; Enterta'!B202 = "", "", IF('6 - TV Stands &amp; Enterta-WUO_ERR'!A202 = "", "Validated", HYPERLINK("#" &amp; ADDRESS(202, '6 - TV Stands &amp; Enterta-WUO_TRK'!A202),_xlfn.TEXTAFTER('6 - TV Stands &amp; Enterta-WUO_ERR'!A202, ":"))))</f>
        <v/>
      </c>
    </row>
    <row r="203">
      <c r="A203" s="39">
        <f>IF('6 - TV Stands &amp; Enterta'!B203 = "", "", IF('6 - TV Stands &amp; Enterta-WUO_ERR'!A203 = "", "Validated", HYPERLINK("#" &amp; ADDRESS(203, '6 - TV Stands &amp; Enterta-WUO_TRK'!A203),_xlfn.TEXTAFTER('6 - TV Stands &amp; Enterta-WUO_ERR'!A203, ":"))))</f>
        <v/>
      </c>
    </row>
    <row r="204">
      <c r="A204" s="39">
        <f>IF('6 - TV Stands &amp; Enterta'!B204 = "", "", IF('6 - TV Stands &amp; Enterta-WUO_ERR'!A204 = "", "Validated", HYPERLINK("#" &amp; ADDRESS(204, '6 - TV Stands &amp; Enterta-WUO_TRK'!A204),_xlfn.TEXTAFTER('6 - TV Stands &amp; Enterta-WUO_ERR'!A204, ":"))))</f>
        <v/>
      </c>
    </row>
    <row r="205">
      <c r="A205" s="39">
        <f>IF('6 - TV Stands &amp; Enterta'!B205 = "", "", IF('6 - TV Stands &amp; Enterta-WUO_ERR'!A205 = "", "Validated", HYPERLINK("#" &amp; ADDRESS(205, '6 - TV Stands &amp; Enterta-WUO_TRK'!A205),_xlfn.TEXTAFTER('6 - TV Stands &amp; Enterta-WUO_ERR'!A205, ":"))))</f>
        <v/>
      </c>
    </row>
    <row r="206">
      <c r="A206" s="39">
        <f>IF('6 - TV Stands &amp; Enterta'!B206 = "", "", IF('6 - TV Stands &amp; Enterta-WUO_ERR'!A206 = "", "Validated", HYPERLINK("#" &amp; ADDRESS(206, '6 - TV Stands &amp; Enterta-WUO_TRK'!A206),_xlfn.TEXTAFTER('6 - TV Stands &amp; Enterta-WUO_ERR'!A206, ":"))))</f>
        <v/>
      </c>
    </row>
    <row r="207">
      <c r="A207" s="39">
        <f>IF('6 - TV Stands &amp; Enterta'!B207 = "", "", IF('6 - TV Stands &amp; Enterta-WUO_ERR'!A207 = "", "Validated", HYPERLINK("#" &amp; ADDRESS(207, '6 - TV Stands &amp; Enterta-WUO_TRK'!A207),_xlfn.TEXTAFTER('6 - TV Stands &amp; Enterta-WUO_ERR'!A207, ":"))))</f>
        <v/>
      </c>
    </row>
    <row r="208">
      <c r="A208" s="39">
        <f>IF('6 - TV Stands &amp; Enterta'!B208 = "", "", IF('6 - TV Stands &amp; Enterta-WUO_ERR'!A208 = "", "Validated", HYPERLINK("#" &amp; ADDRESS(208, '6 - TV Stands &amp; Enterta-WUO_TRK'!A208),_xlfn.TEXTAFTER('6 - TV Stands &amp; Enterta-WUO_ERR'!A208, ":"))))</f>
        <v/>
      </c>
    </row>
    <row r="209">
      <c r="A209" s="39">
        <f>IF('6 - TV Stands &amp; Enterta'!B209 = "", "", IF('6 - TV Stands &amp; Enterta-WUO_ERR'!A209 = "", "Validated", HYPERLINK("#" &amp; ADDRESS(209, '6 - TV Stands &amp; Enterta-WUO_TRK'!A209),_xlfn.TEXTAFTER('6 - TV Stands &amp; Enterta-WUO_ERR'!A209, ":"))))</f>
        <v/>
      </c>
    </row>
    <row r="210">
      <c r="A210" s="39">
        <f>IF('6 - TV Stands &amp; Enterta'!B210 = "", "", IF('6 - TV Stands &amp; Enterta-WUO_ERR'!A210 = "", "Validated", HYPERLINK("#" &amp; ADDRESS(210, '6 - TV Stands &amp; Enterta-WUO_TRK'!A210),_xlfn.TEXTAFTER('6 - TV Stands &amp; Enterta-WUO_ERR'!A210, ":"))))</f>
        <v/>
      </c>
    </row>
    <row r="211">
      <c r="A211" s="39">
        <f>IF('6 - TV Stands &amp; Enterta'!B211 = "", "", IF('6 - TV Stands &amp; Enterta-WUO_ERR'!A211 = "", "Validated", HYPERLINK("#" &amp; ADDRESS(211, '6 - TV Stands &amp; Enterta-WUO_TRK'!A211),_xlfn.TEXTAFTER('6 - TV Stands &amp; Enterta-WUO_ERR'!A211, ":"))))</f>
        <v/>
      </c>
    </row>
    <row r="212">
      <c r="A212" s="39">
        <f>IF('6 - TV Stands &amp; Enterta'!B212 = "", "", IF('6 - TV Stands &amp; Enterta-WUO_ERR'!A212 = "", "Validated", HYPERLINK("#" &amp; ADDRESS(212, '6 - TV Stands &amp; Enterta-WUO_TRK'!A212),_xlfn.TEXTAFTER('6 - TV Stands &amp; Enterta-WUO_ERR'!A212, ":"))))</f>
        <v/>
      </c>
    </row>
    <row r="213">
      <c r="A213" s="39">
        <f>IF('6 - TV Stands &amp; Enterta'!B213 = "", "", IF('6 - TV Stands &amp; Enterta-WUO_ERR'!A213 = "", "Validated", HYPERLINK("#" &amp; ADDRESS(213, '6 - TV Stands &amp; Enterta-WUO_TRK'!A213),_xlfn.TEXTAFTER('6 - TV Stands &amp; Enterta-WUO_ERR'!A213, ":"))))</f>
        <v/>
      </c>
    </row>
    <row r="214">
      <c r="A214" s="39">
        <f>IF('6 - TV Stands &amp; Enterta'!B214 = "", "", IF('6 - TV Stands &amp; Enterta-WUO_ERR'!A214 = "", "Validated", HYPERLINK("#" &amp; ADDRESS(214, '6 - TV Stands &amp; Enterta-WUO_TRK'!A214),_xlfn.TEXTAFTER('6 - TV Stands &amp; Enterta-WUO_ERR'!A214, ":"))))</f>
        <v/>
      </c>
    </row>
    <row r="215">
      <c r="A215" s="39">
        <f>IF('6 - TV Stands &amp; Enterta'!B215 = "", "", IF('6 - TV Stands &amp; Enterta-WUO_ERR'!A215 = "", "Validated", HYPERLINK("#" &amp; ADDRESS(215, '6 - TV Stands &amp; Enterta-WUO_TRK'!A215),_xlfn.TEXTAFTER('6 - TV Stands &amp; Enterta-WUO_ERR'!A215, ":"))))</f>
        <v/>
      </c>
    </row>
    <row r="216">
      <c r="A216" s="39">
        <f>IF('6 - TV Stands &amp; Enterta'!B216 = "", "", IF('6 - TV Stands &amp; Enterta-WUO_ERR'!A216 = "", "Validated", HYPERLINK("#" &amp; ADDRESS(216, '6 - TV Stands &amp; Enterta-WUO_TRK'!A216),_xlfn.TEXTAFTER('6 - TV Stands &amp; Enterta-WUO_ERR'!A216, ":"))))</f>
        <v/>
      </c>
    </row>
    <row r="217">
      <c r="A217" s="39">
        <f>IF('6 - TV Stands &amp; Enterta'!B217 = "", "", IF('6 - TV Stands &amp; Enterta-WUO_ERR'!A217 = "", "Validated", HYPERLINK("#" &amp; ADDRESS(217, '6 - TV Stands &amp; Enterta-WUO_TRK'!A217),_xlfn.TEXTAFTER('6 - TV Stands &amp; Enterta-WUO_ERR'!A217, ":"))))</f>
        <v/>
      </c>
    </row>
    <row r="218">
      <c r="A218" s="39">
        <f>IF('6 - TV Stands &amp; Enterta'!B218 = "", "", IF('6 - TV Stands &amp; Enterta-WUO_ERR'!A218 = "", "Validated", HYPERLINK("#" &amp; ADDRESS(218, '6 - TV Stands &amp; Enterta-WUO_TRK'!A218),_xlfn.TEXTAFTER('6 - TV Stands &amp; Enterta-WUO_ERR'!A218, ":"))))</f>
        <v/>
      </c>
    </row>
    <row r="219">
      <c r="A219" s="39">
        <f>IF('6 - TV Stands &amp; Enterta'!B219 = "", "", IF('6 - TV Stands &amp; Enterta-WUO_ERR'!A219 = "", "Validated", HYPERLINK("#" &amp; ADDRESS(219, '6 - TV Stands &amp; Enterta-WUO_TRK'!A219),_xlfn.TEXTAFTER('6 - TV Stands &amp; Enterta-WUO_ERR'!A219, ":"))))</f>
        <v/>
      </c>
    </row>
    <row r="220">
      <c r="A220" s="39">
        <f>IF('6 - TV Stands &amp; Enterta'!B220 = "", "", IF('6 - TV Stands &amp; Enterta-WUO_ERR'!A220 = "", "Validated", HYPERLINK("#" &amp; ADDRESS(220, '6 - TV Stands &amp; Enterta-WUO_TRK'!A220),_xlfn.TEXTAFTER('6 - TV Stands &amp; Enterta-WUO_ERR'!A220, ":"))))</f>
        <v/>
      </c>
    </row>
    <row r="221">
      <c r="A221" s="39">
        <f>IF('6 - TV Stands &amp; Enterta'!B221 = "", "", IF('6 - TV Stands &amp; Enterta-WUO_ERR'!A221 = "", "Validated", HYPERLINK("#" &amp; ADDRESS(221, '6 - TV Stands &amp; Enterta-WUO_TRK'!A221),_xlfn.TEXTAFTER('6 - TV Stands &amp; Enterta-WUO_ERR'!A221, ":"))))</f>
        <v/>
      </c>
    </row>
    <row r="222">
      <c r="A222" s="39">
        <f>IF('6 - TV Stands &amp; Enterta'!B222 = "", "", IF('6 - TV Stands &amp; Enterta-WUO_ERR'!A222 = "", "Validated", HYPERLINK("#" &amp; ADDRESS(222, '6 - TV Stands &amp; Enterta-WUO_TRK'!A222),_xlfn.TEXTAFTER('6 - TV Stands &amp; Enterta-WUO_ERR'!A222, ":"))))</f>
        <v/>
      </c>
    </row>
    <row r="223">
      <c r="A223" s="39">
        <f>IF('6 - TV Stands &amp; Enterta'!B223 = "", "", IF('6 - TV Stands &amp; Enterta-WUO_ERR'!A223 = "", "Validated", HYPERLINK("#" &amp; ADDRESS(223, '6 - TV Stands &amp; Enterta-WUO_TRK'!A223),_xlfn.TEXTAFTER('6 - TV Stands &amp; Enterta-WUO_ERR'!A223, ":"))))</f>
        <v/>
      </c>
    </row>
    <row r="224">
      <c r="A224" s="39">
        <f>IF('6 - TV Stands &amp; Enterta'!B224 = "", "", IF('6 - TV Stands &amp; Enterta-WUO_ERR'!A224 = "", "Validated", HYPERLINK("#" &amp; ADDRESS(224, '6 - TV Stands &amp; Enterta-WUO_TRK'!A224),_xlfn.TEXTAFTER('6 - TV Stands &amp; Enterta-WUO_ERR'!A224, ":"))))</f>
        <v/>
      </c>
    </row>
    <row r="225">
      <c r="A225" s="39">
        <f>IF('6 - TV Stands &amp; Enterta'!B225 = "", "", IF('6 - TV Stands &amp; Enterta-WUO_ERR'!A225 = "", "Validated", HYPERLINK("#" &amp; ADDRESS(225, '6 - TV Stands &amp; Enterta-WUO_TRK'!A225),_xlfn.TEXTAFTER('6 - TV Stands &amp; Enterta-WUO_ERR'!A225, ":"))))</f>
        <v/>
      </c>
    </row>
    <row r="226">
      <c r="A226" s="39">
        <f>IF('6 - TV Stands &amp; Enterta'!B226 = "", "", IF('6 - TV Stands &amp; Enterta-WUO_ERR'!A226 = "", "Validated", HYPERLINK("#" &amp; ADDRESS(226, '6 - TV Stands &amp; Enterta-WUO_TRK'!A226),_xlfn.TEXTAFTER('6 - TV Stands &amp; Enterta-WUO_ERR'!A226, ":"))))</f>
        <v/>
      </c>
    </row>
    <row r="227">
      <c r="A227" s="39">
        <f>IF('6 - TV Stands &amp; Enterta'!B227 = "", "", IF('6 - TV Stands &amp; Enterta-WUO_ERR'!A227 = "", "Validated", HYPERLINK("#" &amp; ADDRESS(227, '6 - TV Stands &amp; Enterta-WUO_TRK'!A227),_xlfn.TEXTAFTER('6 - TV Stands &amp; Enterta-WUO_ERR'!A227, ":"))))</f>
        <v/>
      </c>
    </row>
    <row r="228">
      <c r="A228" s="39">
        <f>IF('6 - TV Stands &amp; Enterta'!B228 = "", "", IF('6 - TV Stands &amp; Enterta-WUO_ERR'!A228 = "", "Validated", HYPERLINK("#" &amp; ADDRESS(228, '6 - TV Stands &amp; Enterta-WUO_TRK'!A228),_xlfn.TEXTAFTER('6 - TV Stands &amp; Enterta-WUO_ERR'!A228, ":"))))</f>
        <v/>
      </c>
    </row>
    <row r="229">
      <c r="A229" s="39">
        <f>IF('6 - TV Stands &amp; Enterta'!B229 = "", "", IF('6 - TV Stands &amp; Enterta-WUO_ERR'!A229 = "", "Validated", HYPERLINK("#" &amp; ADDRESS(229, '6 - TV Stands &amp; Enterta-WUO_TRK'!A229),_xlfn.TEXTAFTER('6 - TV Stands &amp; Enterta-WUO_ERR'!A229, ":"))))</f>
        <v/>
      </c>
    </row>
    <row r="230">
      <c r="A230" s="39">
        <f>IF('6 - TV Stands &amp; Enterta'!B230 = "", "", IF('6 - TV Stands &amp; Enterta-WUO_ERR'!A230 = "", "Validated", HYPERLINK("#" &amp; ADDRESS(230, '6 - TV Stands &amp; Enterta-WUO_TRK'!A230),_xlfn.TEXTAFTER('6 - TV Stands &amp; Enterta-WUO_ERR'!A230, ":"))))</f>
        <v/>
      </c>
    </row>
    <row r="231">
      <c r="A231" s="39">
        <f>IF('6 - TV Stands &amp; Enterta'!B231 = "", "", IF('6 - TV Stands &amp; Enterta-WUO_ERR'!A231 = "", "Validated", HYPERLINK("#" &amp; ADDRESS(231, '6 - TV Stands &amp; Enterta-WUO_TRK'!A231),_xlfn.TEXTAFTER('6 - TV Stands &amp; Enterta-WUO_ERR'!A231, ":"))))</f>
        <v/>
      </c>
    </row>
    <row r="232">
      <c r="A232" s="39">
        <f>IF('6 - TV Stands &amp; Enterta'!B232 = "", "", IF('6 - TV Stands &amp; Enterta-WUO_ERR'!A232 = "", "Validated", HYPERLINK("#" &amp; ADDRESS(232, '6 - TV Stands &amp; Enterta-WUO_TRK'!A232),_xlfn.TEXTAFTER('6 - TV Stands &amp; Enterta-WUO_ERR'!A232, ":"))))</f>
        <v/>
      </c>
    </row>
    <row r="233">
      <c r="A233" s="39">
        <f>IF('6 - TV Stands &amp; Enterta'!B233 = "", "", IF('6 - TV Stands &amp; Enterta-WUO_ERR'!A233 = "", "Validated", HYPERLINK("#" &amp; ADDRESS(233, '6 - TV Stands &amp; Enterta-WUO_TRK'!A233),_xlfn.TEXTAFTER('6 - TV Stands &amp; Enterta-WUO_ERR'!A233, ":"))))</f>
        <v/>
      </c>
    </row>
    <row r="234">
      <c r="A234" s="39">
        <f>IF('6 - TV Stands &amp; Enterta'!B234 = "", "", IF('6 - TV Stands &amp; Enterta-WUO_ERR'!A234 = "", "Validated", HYPERLINK("#" &amp; ADDRESS(234, '6 - TV Stands &amp; Enterta-WUO_TRK'!A234),_xlfn.TEXTAFTER('6 - TV Stands &amp; Enterta-WUO_ERR'!A234, ":"))))</f>
        <v/>
      </c>
    </row>
    <row r="235">
      <c r="A235" s="39">
        <f>IF('6 - TV Stands &amp; Enterta'!B235 = "", "", IF('6 - TV Stands &amp; Enterta-WUO_ERR'!A235 = "", "Validated", HYPERLINK("#" &amp; ADDRESS(235, '6 - TV Stands &amp; Enterta-WUO_TRK'!A235),_xlfn.TEXTAFTER('6 - TV Stands &amp; Enterta-WUO_ERR'!A235, ":"))))</f>
        <v/>
      </c>
    </row>
    <row r="236">
      <c r="A236" s="39">
        <f>IF('6 - TV Stands &amp; Enterta'!B236 = "", "", IF('6 - TV Stands &amp; Enterta-WUO_ERR'!A236 = "", "Validated", HYPERLINK("#" &amp; ADDRESS(236, '6 - TV Stands &amp; Enterta-WUO_TRK'!A236),_xlfn.TEXTAFTER('6 - TV Stands &amp; Enterta-WUO_ERR'!A236, ":"))))</f>
        <v/>
      </c>
    </row>
    <row r="237">
      <c r="A237" s="39">
        <f>IF('6 - TV Stands &amp; Enterta'!B237 = "", "", IF('6 - TV Stands &amp; Enterta-WUO_ERR'!A237 = "", "Validated", HYPERLINK("#" &amp; ADDRESS(237, '6 - TV Stands &amp; Enterta-WUO_TRK'!A237),_xlfn.TEXTAFTER('6 - TV Stands &amp; Enterta-WUO_ERR'!A237, ":"))))</f>
        <v/>
      </c>
    </row>
    <row r="238">
      <c r="A238" s="39">
        <f>IF('6 - TV Stands &amp; Enterta'!B238 = "", "", IF('6 - TV Stands &amp; Enterta-WUO_ERR'!A238 = "", "Validated", HYPERLINK("#" &amp; ADDRESS(238, '6 - TV Stands &amp; Enterta-WUO_TRK'!A238),_xlfn.TEXTAFTER('6 - TV Stands &amp; Enterta-WUO_ERR'!A238, ":"))))</f>
        <v/>
      </c>
    </row>
    <row r="239">
      <c r="A239" s="39">
        <f>IF('6 - TV Stands &amp; Enterta'!B239 = "", "", IF('6 - TV Stands &amp; Enterta-WUO_ERR'!A239 = "", "Validated", HYPERLINK("#" &amp; ADDRESS(239, '6 - TV Stands &amp; Enterta-WUO_TRK'!A239),_xlfn.TEXTAFTER('6 - TV Stands &amp; Enterta-WUO_ERR'!A239, ":"))))</f>
        <v/>
      </c>
    </row>
    <row r="240">
      <c r="A240" s="39">
        <f>IF('6 - TV Stands &amp; Enterta'!B240 = "", "", IF('6 - TV Stands &amp; Enterta-WUO_ERR'!A240 = "", "Validated", HYPERLINK("#" &amp; ADDRESS(240, '6 - TV Stands &amp; Enterta-WUO_TRK'!A240),_xlfn.TEXTAFTER('6 - TV Stands &amp; Enterta-WUO_ERR'!A240, ":"))))</f>
        <v/>
      </c>
    </row>
    <row r="241">
      <c r="A241" s="39">
        <f>IF('6 - TV Stands &amp; Enterta'!B241 = "", "", IF('6 - TV Stands &amp; Enterta-WUO_ERR'!A241 = "", "Validated", HYPERLINK("#" &amp; ADDRESS(241, '6 - TV Stands &amp; Enterta-WUO_TRK'!A241),_xlfn.TEXTAFTER('6 - TV Stands &amp; Enterta-WUO_ERR'!A241, ":"))))</f>
        <v/>
      </c>
    </row>
    <row r="242">
      <c r="A242" s="39">
        <f>IF('6 - TV Stands &amp; Enterta'!B242 = "", "", IF('6 - TV Stands &amp; Enterta-WUO_ERR'!A242 = "", "Validated", HYPERLINK("#" &amp; ADDRESS(242, '6 - TV Stands &amp; Enterta-WUO_TRK'!A242),_xlfn.TEXTAFTER('6 - TV Stands &amp; Enterta-WUO_ERR'!A242, ":"))))</f>
        <v/>
      </c>
    </row>
    <row r="243">
      <c r="A243" s="39">
        <f>IF('6 - TV Stands &amp; Enterta'!B243 = "", "", IF('6 - TV Stands &amp; Enterta-WUO_ERR'!A243 = "", "Validated", HYPERLINK("#" &amp; ADDRESS(243, '6 - TV Stands &amp; Enterta-WUO_TRK'!A243),_xlfn.TEXTAFTER('6 - TV Stands &amp; Enterta-WUO_ERR'!A243, ":"))))</f>
        <v/>
      </c>
    </row>
    <row r="244">
      <c r="A244" s="39">
        <f>IF('6 - TV Stands &amp; Enterta'!B244 = "", "", IF('6 - TV Stands &amp; Enterta-WUO_ERR'!A244 = "", "Validated", HYPERLINK("#" &amp; ADDRESS(244, '6 - TV Stands &amp; Enterta-WUO_TRK'!A244),_xlfn.TEXTAFTER('6 - TV Stands &amp; Enterta-WUO_ERR'!A244, ":"))))</f>
        <v/>
      </c>
    </row>
    <row r="245">
      <c r="A245" s="39">
        <f>IF('6 - TV Stands &amp; Enterta'!B245 = "", "", IF('6 - TV Stands &amp; Enterta-WUO_ERR'!A245 = "", "Validated", HYPERLINK("#" &amp; ADDRESS(245, '6 - TV Stands &amp; Enterta-WUO_TRK'!A245),_xlfn.TEXTAFTER('6 - TV Stands &amp; Enterta-WUO_ERR'!A245, ":"))))</f>
        <v/>
      </c>
    </row>
    <row r="246">
      <c r="A246" s="39">
        <f>IF('6 - TV Stands &amp; Enterta'!B246 = "", "", IF('6 - TV Stands &amp; Enterta-WUO_ERR'!A246 = "", "Validated", HYPERLINK("#" &amp; ADDRESS(246, '6 - TV Stands &amp; Enterta-WUO_TRK'!A246),_xlfn.TEXTAFTER('6 - TV Stands &amp; Enterta-WUO_ERR'!A246, ":"))))</f>
        <v/>
      </c>
    </row>
    <row r="247">
      <c r="A247" s="39">
        <f>IF('6 - TV Stands &amp; Enterta'!B247 = "", "", IF('6 - TV Stands &amp; Enterta-WUO_ERR'!A247 = "", "Validated", HYPERLINK("#" &amp; ADDRESS(247, '6 - TV Stands &amp; Enterta-WUO_TRK'!A247),_xlfn.TEXTAFTER('6 - TV Stands &amp; Enterta-WUO_ERR'!A247, ":"))))</f>
        <v/>
      </c>
    </row>
    <row r="248">
      <c r="A248" s="39">
        <f>IF('6 - TV Stands &amp; Enterta'!B248 = "", "", IF('6 - TV Stands &amp; Enterta-WUO_ERR'!A248 = "", "Validated", HYPERLINK("#" &amp; ADDRESS(248, '6 - TV Stands &amp; Enterta-WUO_TRK'!A248),_xlfn.TEXTAFTER('6 - TV Stands &amp; Enterta-WUO_ERR'!A248, ":"))))</f>
        <v/>
      </c>
    </row>
    <row r="249">
      <c r="A249" s="39">
        <f>IF('6 - TV Stands &amp; Enterta'!B249 = "", "", IF('6 - TV Stands &amp; Enterta-WUO_ERR'!A249 = "", "Validated", HYPERLINK("#" &amp; ADDRESS(249, '6 - TV Stands &amp; Enterta-WUO_TRK'!A249),_xlfn.TEXTAFTER('6 - TV Stands &amp; Enterta-WUO_ERR'!A249, ":"))))</f>
        <v/>
      </c>
    </row>
    <row r="250">
      <c r="A250" s="39">
        <f>IF('6 - TV Stands &amp; Enterta'!B250 = "", "", IF('6 - TV Stands &amp; Enterta-WUO_ERR'!A250 = "", "Validated", HYPERLINK("#" &amp; ADDRESS(250, '6 - TV Stands &amp; Enterta-WUO_TRK'!A250),_xlfn.TEXTAFTER('6 - TV Stands &amp; Enterta-WUO_ERR'!A250, ":"))))</f>
        <v/>
      </c>
    </row>
    <row r="251">
      <c r="A251" s="39">
        <f>IF('6 - TV Stands &amp; Enterta'!B251 = "", "", IF('6 - TV Stands &amp; Enterta-WUO_ERR'!A251 = "", "Validated", HYPERLINK("#" &amp; ADDRESS(251, '6 - TV Stands &amp; Enterta-WUO_TRK'!A251),_xlfn.TEXTAFTER('6 - TV Stands &amp; Enterta-WUO_ERR'!A251, ":"))))</f>
        <v/>
      </c>
    </row>
    <row r="252">
      <c r="A252" s="39">
        <f>IF('6 - TV Stands &amp; Enterta'!B252 = "", "", IF('6 - TV Stands &amp; Enterta-WUO_ERR'!A252 = "", "Validated", HYPERLINK("#" &amp; ADDRESS(252, '6 - TV Stands &amp; Enterta-WUO_TRK'!A252),_xlfn.TEXTAFTER('6 - TV Stands &amp; Enterta-WUO_ERR'!A252, ":"))))</f>
        <v/>
      </c>
    </row>
    <row r="253">
      <c r="A253" s="39">
        <f>IF('6 - TV Stands &amp; Enterta'!B253 = "", "", IF('6 - TV Stands &amp; Enterta-WUO_ERR'!A253 = "", "Validated", HYPERLINK("#" &amp; ADDRESS(253, '6 - TV Stands &amp; Enterta-WUO_TRK'!A253),_xlfn.TEXTAFTER('6 - TV Stands &amp; Enterta-WUO_ERR'!A253, ":"))))</f>
        <v/>
      </c>
    </row>
    <row r="254">
      <c r="A254" s="39">
        <f>IF('6 - TV Stands &amp; Enterta'!B254 = "", "", IF('6 - TV Stands &amp; Enterta-WUO_ERR'!A254 = "", "Validated", HYPERLINK("#" &amp; ADDRESS(254, '6 - TV Stands &amp; Enterta-WUO_TRK'!A254),_xlfn.TEXTAFTER('6 - TV Stands &amp; Enterta-WUO_ERR'!A254, ":"))))</f>
        <v/>
      </c>
    </row>
    <row r="255">
      <c r="A255" s="39">
        <f>IF('6 - TV Stands &amp; Enterta'!B255 = "", "", IF('6 - TV Stands &amp; Enterta-WUO_ERR'!A255 = "", "Validated", HYPERLINK("#" &amp; ADDRESS(255, '6 - TV Stands &amp; Enterta-WUO_TRK'!A255),_xlfn.TEXTAFTER('6 - TV Stands &amp; Enterta-WUO_ERR'!A255, ":"))))</f>
        <v/>
      </c>
    </row>
    <row r="256">
      <c r="A256" s="39">
        <f>IF('6 - TV Stands &amp; Enterta'!B256 = "", "", IF('6 - TV Stands &amp; Enterta-WUO_ERR'!A256 = "", "Validated", HYPERLINK("#" &amp; ADDRESS(256, '6 - TV Stands &amp; Enterta-WUO_TRK'!A256),_xlfn.TEXTAFTER('6 - TV Stands &amp; Enterta-WUO_ERR'!A256, ":"))))</f>
        <v/>
      </c>
    </row>
    <row r="257">
      <c r="A257" s="39">
        <f>IF('6 - TV Stands &amp; Enterta'!B257 = "", "", IF('6 - TV Stands &amp; Enterta-WUO_ERR'!A257 = "", "Validated", HYPERLINK("#" &amp; ADDRESS(257, '6 - TV Stands &amp; Enterta-WUO_TRK'!A257),_xlfn.TEXTAFTER('6 - TV Stands &amp; Enterta-WUO_ERR'!A257, ":"))))</f>
        <v/>
      </c>
    </row>
    <row r="258">
      <c r="A258" s="39">
        <f>IF('6 - TV Stands &amp; Enterta'!B258 = "", "", IF('6 - TV Stands &amp; Enterta-WUO_ERR'!A258 = "", "Validated", HYPERLINK("#" &amp; ADDRESS(258, '6 - TV Stands &amp; Enterta-WUO_TRK'!A258),_xlfn.TEXTAFTER('6 - TV Stands &amp; Enterta-WUO_ERR'!A258, ":"))))</f>
        <v/>
      </c>
    </row>
    <row r="259">
      <c r="A259" s="39">
        <f>IF('6 - TV Stands &amp; Enterta'!B259 = "", "", IF('6 - TV Stands &amp; Enterta-WUO_ERR'!A259 = "", "Validated", HYPERLINK("#" &amp; ADDRESS(259, '6 - TV Stands &amp; Enterta-WUO_TRK'!A259),_xlfn.TEXTAFTER('6 - TV Stands &amp; Enterta-WUO_ERR'!A259, ":"))))</f>
        <v/>
      </c>
    </row>
    <row r="260">
      <c r="A260" s="39">
        <f>IF('6 - TV Stands &amp; Enterta'!B260 = "", "", IF('6 - TV Stands &amp; Enterta-WUO_ERR'!A260 = "", "Validated", HYPERLINK("#" &amp; ADDRESS(260, '6 - TV Stands &amp; Enterta-WUO_TRK'!A260),_xlfn.TEXTAFTER('6 - TV Stands &amp; Enterta-WUO_ERR'!A260, ":"))))</f>
        <v/>
      </c>
    </row>
    <row r="261">
      <c r="A261" s="39">
        <f>IF('6 - TV Stands &amp; Enterta'!B261 = "", "", IF('6 - TV Stands &amp; Enterta-WUO_ERR'!A261 = "", "Validated", HYPERLINK("#" &amp; ADDRESS(261, '6 - TV Stands &amp; Enterta-WUO_TRK'!A261),_xlfn.TEXTAFTER('6 - TV Stands &amp; Enterta-WUO_ERR'!A261, ":"))))</f>
        <v/>
      </c>
    </row>
    <row r="262">
      <c r="A262" s="39">
        <f>IF('6 - TV Stands &amp; Enterta'!B262 = "", "", IF('6 - TV Stands &amp; Enterta-WUO_ERR'!A262 = "", "Validated", HYPERLINK("#" &amp; ADDRESS(262, '6 - TV Stands &amp; Enterta-WUO_TRK'!A262),_xlfn.TEXTAFTER('6 - TV Stands &amp; Enterta-WUO_ERR'!A262, ":"))))</f>
        <v/>
      </c>
    </row>
    <row r="263">
      <c r="A263" s="39">
        <f>IF('6 - TV Stands &amp; Enterta'!B263 = "", "", IF('6 - TV Stands &amp; Enterta-WUO_ERR'!A263 = "", "Validated", HYPERLINK("#" &amp; ADDRESS(263, '6 - TV Stands &amp; Enterta-WUO_TRK'!A263),_xlfn.TEXTAFTER('6 - TV Stands &amp; Enterta-WUO_ERR'!A263, ":"))))</f>
        <v/>
      </c>
    </row>
    <row r="264">
      <c r="A264" s="39">
        <f>IF('6 - TV Stands &amp; Enterta'!B264 = "", "", IF('6 - TV Stands &amp; Enterta-WUO_ERR'!A264 = "", "Validated", HYPERLINK("#" &amp; ADDRESS(264, '6 - TV Stands &amp; Enterta-WUO_TRK'!A264),_xlfn.TEXTAFTER('6 - TV Stands &amp; Enterta-WUO_ERR'!A264, ":"))))</f>
        <v/>
      </c>
    </row>
    <row r="265">
      <c r="A265" s="39">
        <f>IF('6 - TV Stands &amp; Enterta'!B265 = "", "", IF('6 - TV Stands &amp; Enterta-WUO_ERR'!A265 = "", "Validated", HYPERLINK("#" &amp; ADDRESS(265, '6 - TV Stands &amp; Enterta-WUO_TRK'!A265),_xlfn.TEXTAFTER('6 - TV Stands &amp; Enterta-WUO_ERR'!A265, ":"))))</f>
        <v/>
      </c>
    </row>
    <row r="266">
      <c r="A266" s="39">
        <f>IF('6 - TV Stands &amp; Enterta'!B266 = "", "", IF('6 - TV Stands &amp; Enterta-WUO_ERR'!A266 = "", "Validated", HYPERLINK("#" &amp; ADDRESS(266, '6 - TV Stands &amp; Enterta-WUO_TRK'!A266),_xlfn.TEXTAFTER('6 - TV Stands &amp; Enterta-WUO_ERR'!A266, ":"))))</f>
        <v/>
      </c>
    </row>
    <row r="267">
      <c r="A267" s="39">
        <f>IF('6 - TV Stands &amp; Enterta'!B267 = "", "", IF('6 - TV Stands &amp; Enterta-WUO_ERR'!A267 = "", "Validated", HYPERLINK("#" &amp; ADDRESS(267, '6 - TV Stands &amp; Enterta-WUO_TRK'!A267),_xlfn.TEXTAFTER('6 - TV Stands &amp; Enterta-WUO_ERR'!A267, ":"))))</f>
        <v/>
      </c>
    </row>
    <row r="268">
      <c r="A268" s="39">
        <f>IF('6 - TV Stands &amp; Enterta'!B268 = "", "", IF('6 - TV Stands &amp; Enterta-WUO_ERR'!A268 = "", "Validated", HYPERLINK("#" &amp; ADDRESS(268, '6 - TV Stands &amp; Enterta-WUO_TRK'!A268),_xlfn.TEXTAFTER('6 - TV Stands &amp; Enterta-WUO_ERR'!A268, ":"))))</f>
        <v/>
      </c>
    </row>
    <row r="269">
      <c r="A269" s="39">
        <f>IF('6 - TV Stands &amp; Enterta'!B269 = "", "", IF('6 - TV Stands &amp; Enterta-WUO_ERR'!A269 = "", "Validated", HYPERLINK("#" &amp; ADDRESS(269, '6 - TV Stands &amp; Enterta-WUO_TRK'!A269),_xlfn.TEXTAFTER('6 - TV Stands &amp; Enterta-WUO_ERR'!A269, ":"))))</f>
        <v/>
      </c>
    </row>
    <row r="270">
      <c r="A270" s="39">
        <f>IF('6 - TV Stands &amp; Enterta'!B270 = "", "", IF('6 - TV Stands &amp; Enterta-WUO_ERR'!A270 = "", "Validated", HYPERLINK("#" &amp; ADDRESS(270, '6 - TV Stands &amp; Enterta-WUO_TRK'!A270),_xlfn.TEXTAFTER('6 - TV Stands &amp; Enterta-WUO_ERR'!A270, ":"))))</f>
        <v/>
      </c>
    </row>
    <row r="271">
      <c r="A271" s="39">
        <f>IF('6 - TV Stands &amp; Enterta'!B271 = "", "", IF('6 - TV Stands &amp; Enterta-WUO_ERR'!A271 = "", "Validated", HYPERLINK("#" &amp; ADDRESS(271, '6 - TV Stands &amp; Enterta-WUO_TRK'!A271),_xlfn.TEXTAFTER('6 - TV Stands &amp; Enterta-WUO_ERR'!A271, ":"))))</f>
        <v/>
      </c>
    </row>
    <row r="272">
      <c r="A272" s="39">
        <f>IF('6 - TV Stands &amp; Enterta'!B272 = "", "", IF('6 - TV Stands &amp; Enterta-WUO_ERR'!A272 = "", "Validated", HYPERLINK("#" &amp; ADDRESS(272, '6 - TV Stands &amp; Enterta-WUO_TRK'!A272),_xlfn.TEXTAFTER('6 - TV Stands &amp; Enterta-WUO_ERR'!A272, ":"))))</f>
        <v/>
      </c>
    </row>
    <row r="273">
      <c r="A273" s="39">
        <f>IF('6 - TV Stands &amp; Enterta'!B273 = "", "", IF('6 - TV Stands &amp; Enterta-WUO_ERR'!A273 = "", "Validated", HYPERLINK("#" &amp; ADDRESS(273, '6 - TV Stands &amp; Enterta-WUO_TRK'!A273),_xlfn.TEXTAFTER('6 - TV Stands &amp; Enterta-WUO_ERR'!A273, ":"))))</f>
        <v/>
      </c>
    </row>
    <row r="274">
      <c r="A274" s="39">
        <f>IF('6 - TV Stands &amp; Enterta'!B274 = "", "", IF('6 - TV Stands &amp; Enterta-WUO_ERR'!A274 = "", "Validated", HYPERLINK("#" &amp; ADDRESS(274, '6 - TV Stands &amp; Enterta-WUO_TRK'!A274),_xlfn.TEXTAFTER('6 - TV Stands &amp; Enterta-WUO_ERR'!A274, ":"))))</f>
        <v/>
      </c>
    </row>
    <row r="275">
      <c r="A275" s="39">
        <f>IF('6 - TV Stands &amp; Enterta'!B275 = "", "", IF('6 - TV Stands &amp; Enterta-WUO_ERR'!A275 = "", "Validated", HYPERLINK("#" &amp; ADDRESS(275, '6 - TV Stands &amp; Enterta-WUO_TRK'!A275),_xlfn.TEXTAFTER('6 - TV Stands &amp; Enterta-WUO_ERR'!A275, ":"))))</f>
        <v/>
      </c>
    </row>
    <row r="276">
      <c r="A276" s="39">
        <f>IF('6 - TV Stands &amp; Enterta'!B276 = "", "", IF('6 - TV Stands &amp; Enterta-WUO_ERR'!A276 = "", "Validated", HYPERLINK("#" &amp; ADDRESS(276, '6 - TV Stands &amp; Enterta-WUO_TRK'!A276),_xlfn.TEXTAFTER('6 - TV Stands &amp; Enterta-WUO_ERR'!A276, ":"))))</f>
        <v/>
      </c>
    </row>
    <row r="277">
      <c r="A277" s="39">
        <f>IF('6 - TV Stands &amp; Enterta'!B277 = "", "", IF('6 - TV Stands &amp; Enterta-WUO_ERR'!A277 = "", "Validated", HYPERLINK("#" &amp; ADDRESS(277, '6 - TV Stands &amp; Enterta-WUO_TRK'!A277),_xlfn.TEXTAFTER('6 - TV Stands &amp; Enterta-WUO_ERR'!A277, ":"))))</f>
        <v/>
      </c>
    </row>
    <row r="278">
      <c r="A278" s="39">
        <f>IF('6 - TV Stands &amp; Enterta'!B278 = "", "", IF('6 - TV Stands &amp; Enterta-WUO_ERR'!A278 = "", "Validated", HYPERLINK("#" &amp; ADDRESS(278, '6 - TV Stands &amp; Enterta-WUO_TRK'!A278),_xlfn.TEXTAFTER('6 - TV Stands &amp; Enterta-WUO_ERR'!A278, ":"))))</f>
        <v/>
      </c>
    </row>
    <row r="279">
      <c r="A279" s="39">
        <f>IF('6 - TV Stands &amp; Enterta'!B279 = "", "", IF('6 - TV Stands &amp; Enterta-WUO_ERR'!A279 = "", "Validated", HYPERLINK("#" &amp; ADDRESS(279, '6 - TV Stands &amp; Enterta-WUO_TRK'!A279),_xlfn.TEXTAFTER('6 - TV Stands &amp; Enterta-WUO_ERR'!A279, ":"))))</f>
        <v/>
      </c>
    </row>
    <row r="280">
      <c r="A280" s="39">
        <f>IF('6 - TV Stands &amp; Enterta'!B280 = "", "", IF('6 - TV Stands &amp; Enterta-WUO_ERR'!A280 = "", "Validated", HYPERLINK("#" &amp; ADDRESS(280, '6 - TV Stands &amp; Enterta-WUO_TRK'!A280),_xlfn.TEXTAFTER('6 - TV Stands &amp; Enterta-WUO_ERR'!A280, ":"))))</f>
        <v/>
      </c>
    </row>
    <row r="281">
      <c r="A281" s="39">
        <f>IF('6 - TV Stands &amp; Enterta'!B281 = "", "", IF('6 - TV Stands &amp; Enterta-WUO_ERR'!A281 = "", "Validated", HYPERLINK("#" &amp; ADDRESS(281, '6 - TV Stands &amp; Enterta-WUO_TRK'!A281),_xlfn.TEXTAFTER('6 - TV Stands &amp; Enterta-WUO_ERR'!A281, ":"))))</f>
        <v/>
      </c>
    </row>
    <row r="282">
      <c r="A282" s="39">
        <f>IF('6 - TV Stands &amp; Enterta'!B282 = "", "", IF('6 - TV Stands &amp; Enterta-WUO_ERR'!A282 = "", "Validated", HYPERLINK("#" &amp; ADDRESS(282, '6 - TV Stands &amp; Enterta-WUO_TRK'!A282),_xlfn.TEXTAFTER('6 - TV Stands &amp; Enterta-WUO_ERR'!A282, ":"))))</f>
        <v/>
      </c>
    </row>
    <row r="283">
      <c r="A283" s="39">
        <f>IF('6 - TV Stands &amp; Enterta'!B283 = "", "", IF('6 - TV Stands &amp; Enterta-WUO_ERR'!A283 = "", "Validated", HYPERLINK("#" &amp; ADDRESS(283, '6 - TV Stands &amp; Enterta-WUO_TRK'!A283),_xlfn.TEXTAFTER('6 - TV Stands &amp; Enterta-WUO_ERR'!A283, ":"))))</f>
        <v/>
      </c>
    </row>
    <row r="284">
      <c r="A284" s="39">
        <f>IF('6 - TV Stands &amp; Enterta'!B284 = "", "", IF('6 - TV Stands &amp; Enterta-WUO_ERR'!A284 = "", "Validated", HYPERLINK("#" &amp; ADDRESS(284, '6 - TV Stands &amp; Enterta-WUO_TRK'!A284),_xlfn.TEXTAFTER('6 - TV Stands &amp; Enterta-WUO_ERR'!A284, ":"))))</f>
        <v/>
      </c>
    </row>
    <row r="285">
      <c r="A285" s="39">
        <f>IF('6 - TV Stands &amp; Enterta'!B285 = "", "", IF('6 - TV Stands &amp; Enterta-WUO_ERR'!A285 = "", "Validated", HYPERLINK("#" &amp; ADDRESS(285, '6 - TV Stands &amp; Enterta-WUO_TRK'!A285),_xlfn.TEXTAFTER('6 - TV Stands &amp; Enterta-WUO_ERR'!A285, ":"))))</f>
        <v/>
      </c>
    </row>
    <row r="286">
      <c r="A286" s="39">
        <f>IF('6 - TV Stands &amp; Enterta'!B286 = "", "", IF('6 - TV Stands &amp; Enterta-WUO_ERR'!A286 = "", "Validated", HYPERLINK("#" &amp; ADDRESS(286, '6 - TV Stands &amp; Enterta-WUO_TRK'!A286),_xlfn.TEXTAFTER('6 - TV Stands &amp; Enterta-WUO_ERR'!A286, ":"))))</f>
        <v/>
      </c>
    </row>
    <row r="287">
      <c r="A287" s="39">
        <f>IF('6 - TV Stands &amp; Enterta'!B287 = "", "", IF('6 - TV Stands &amp; Enterta-WUO_ERR'!A287 = "", "Validated", HYPERLINK("#" &amp; ADDRESS(287, '6 - TV Stands &amp; Enterta-WUO_TRK'!A287),_xlfn.TEXTAFTER('6 - TV Stands &amp; Enterta-WUO_ERR'!A287, ":"))))</f>
        <v/>
      </c>
    </row>
    <row r="288">
      <c r="A288" s="39">
        <f>IF('6 - TV Stands &amp; Enterta'!B288 = "", "", IF('6 - TV Stands &amp; Enterta-WUO_ERR'!A288 = "", "Validated", HYPERLINK("#" &amp; ADDRESS(288, '6 - TV Stands &amp; Enterta-WUO_TRK'!A288),_xlfn.TEXTAFTER('6 - TV Stands &amp; Enterta-WUO_ERR'!A288, ":"))))</f>
        <v/>
      </c>
    </row>
    <row r="289">
      <c r="A289" s="39">
        <f>IF('6 - TV Stands &amp; Enterta'!B289 = "", "", IF('6 - TV Stands &amp; Enterta-WUO_ERR'!A289 = "", "Validated", HYPERLINK("#" &amp; ADDRESS(289, '6 - TV Stands &amp; Enterta-WUO_TRK'!A289),_xlfn.TEXTAFTER('6 - TV Stands &amp; Enterta-WUO_ERR'!A289, ":"))))</f>
        <v/>
      </c>
    </row>
    <row r="290">
      <c r="A290" s="39">
        <f>IF('6 - TV Stands &amp; Enterta'!B290 = "", "", IF('6 - TV Stands &amp; Enterta-WUO_ERR'!A290 = "", "Validated", HYPERLINK("#" &amp; ADDRESS(290, '6 - TV Stands &amp; Enterta-WUO_TRK'!A290),_xlfn.TEXTAFTER('6 - TV Stands &amp; Enterta-WUO_ERR'!A290, ":"))))</f>
        <v/>
      </c>
    </row>
    <row r="291">
      <c r="A291" s="39">
        <f>IF('6 - TV Stands &amp; Enterta'!B291 = "", "", IF('6 - TV Stands &amp; Enterta-WUO_ERR'!A291 = "", "Validated", HYPERLINK("#" &amp; ADDRESS(291, '6 - TV Stands &amp; Enterta-WUO_TRK'!A291),_xlfn.TEXTAFTER('6 - TV Stands &amp; Enterta-WUO_ERR'!A291, ":"))))</f>
        <v/>
      </c>
    </row>
    <row r="292">
      <c r="A292" s="39">
        <f>IF('6 - TV Stands &amp; Enterta'!B292 = "", "", IF('6 - TV Stands &amp; Enterta-WUO_ERR'!A292 = "", "Validated", HYPERLINK("#" &amp; ADDRESS(292, '6 - TV Stands &amp; Enterta-WUO_TRK'!A292),_xlfn.TEXTAFTER('6 - TV Stands &amp; Enterta-WUO_ERR'!A292, ":"))))</f>
        <v/>
      </c>
    </row>
    <row r="293">
      <c r="A293" s="39">
        <f>IF('6 - TV Stands &amp; Enterta'!B293 = "", "", IF('6 - TV Stands &amp; Enterta-WUO_ERR'!A293 = "", "Validated", HYPERLINK("#" &amp; ADDRESS(293, '6 - TV Stands &amp; Enterta-WUO_TRK'!A293),_xlfn.TEXTAFTER('6 - TV Stands &amp; Enterta-WUO_ERR'!A293, ":"))))</f>
        <v/>
      </c>
    </row>
    <row r="294">
      <c r="A294" s="39">
        <f>IF('6 - TV Stands &amp; Enterta'!B294 = "", "", IF('6 - TV Stands &amp; Enterta-WUO_ERR'!A294 = "", "Validated", HYPERLINK("#" &amp; ADDRESS(294, '6 - TV Stands &amp; Enterta-WUO_TRK'!A294),_xlfn.TEXTAFTER('6 - TV Stands &amp; Enterta-WUO_ERR'!A294, ":"))))</f>
        <v/>
      </c>
    </row>
    <row r="295">
      <c r="A295" s="39">
        <f>IF('6 - TV Stands &amp; Enterta'!B295 = "", "", IF('6 - TV Stands &amp; Enterta-WUO_ERR'!A295 = "", "Validated", HYPERLINK("#" &amp; ADDRESS(295, '6 - TV Stands &amp; Enterta-WUO_TRK'!A295),_xlfn.TEXTAFTER('6 - TV Stands &amp; Enterta-WUO_ERR'!A295, ":"))))</f>
        <v/>
      </c>
    </row>
    <row r="296">
      <c r="A296" s="39">
        <f>IF('6 - TV Stands &amp; Enterta'!B296 = "", "", IF('6 - TV Stands &amp; Enterta-WUO_ERR'!A296 = "", "Validated", HYPERLINK("#" &amp; ADDRESS(296, '6 - TV Stands &amp; Enterta-WUO_TRK'!A296),_xlfn.TEXTAFTER('6 - TV Stands &amp; Enterta-WUO_ERR'!A296, ":"))))</f>
        <v/>
      </c>
    </row>
    <row r="297">
      <c r="A297" s="39">
        <f>IF('6 - TV Stands &amp; Enterta'!B297 = "", "", IF('6 - TV Stands &amp; Enterta-WUO_ERR'!A297 = "", "Validated", HYPERLINK("#" &amp; ADDRESS(297, '6 - TV Stands &amp; Enterta-WUO_TRK'!A297),_xlfn.TEXTAFTER('6 - TV Stands &amp; Enterta-WUO_ERR'!A297, ":"))))</f>
        <v/>
      </c>
    </row>
    <row r="298">
      <c r="A298" s="39">
        <f>IF('6 - TV Stands &amp; Enterta'!B298 = "", "", IF('6 - TV Stands &amp; Enterta-WUO_ERR'!A298 = "", "Validated", HYPERLINK("#" &amp; ADDRESS(298, '6 - TV Stands &amp; Enterta-WUO_TRK'!A298),_xlfn.TEXTAFTER('6 - TV Stands &amp; Enterta-WUO_ERR'!A298, ":"))))</f>
        <v/>
      </c>
    </row>
    <row r="299">
      <c r="A299" s="39">
        <f>IF('6 - TV Stands &amp; Enterta'!B299 = "", "", IF('6 - TV Stands &amp; Enterta-WUO_ERR'!A299 = "", "Validated", HYPERLINK("#" &amp; ADDRESS(299, '6 - TV Stands &amp; Enterta-WUO_TRK'!A299),_xlfn.TEXTAFTER('6 - TV Stands &amp; Enterta-WUO_ERR'!A299, ":"))))</f>
        <v/>
      </c>
    </row>
    <row r="300">
      <c r="A300" s="39">
        <f>IF('6 - TV Stands &amp; Enterta'!B300 = "", "", IF('6 - TV Stands &amp; Enterta-WUO_ERR'!A300 = "", "Validated", HYPERLINK("#" &amp; ADDRESS(300, '6 - TV Stands &amp; Enterta-WUO_TRK'!A300),_xlfn.TEXTAFTER('6 - TV Stands &amp; Enterta-WUO_ERR'!A300, ":"))))</f>
        <v/>
      </c>
    </row>
    <row r="301">
      <c r="A301" s="39">
        <f>IF('6 - TV Stands &amp; Enterta'!B301 = "", "", IF('6 - TV Stands &amp; Enterta-WUO_ERR'!A301 = "", "Validated", HYPERLINK("#" &amp; ADDRESS(301, '6 - TV Stands &amp; Enterta-WUO_TRK'!A301),_xlfn.TEXTAFTER('6 - TV Stands &amp; Enterta-WUO_ERR'!A301, ":"))))</f>
        <v/>
      </c>
    </row>
    <row r="302">
      <c r="A302" s="39">
        <f>IF('6 - TV Stands &amp; Enterta'!B302 = "", "", IF('6 - TV Stands &amp; Enterta-WUO_ERR'!A302 = "", "Validated", HYPERLINK("#" &amp; ADDRESS(302, '6 - TV Stands &amp; Enterta-WUO_TRK'!A302),_xlfn.TEXTAFTER('6 - TV Stands &amp; Enterta-WUO_ERR'!A302, ":"))))</f>
        <v/>
      </c>
    </row>
    <row r="303">
      <c r="A303" s="39">
        <f>IF('6 - TV Stands &amp; Enterta'!B303 = "", "", IF('6 - TV Stands &amp; Enterta-WUO_ERR'!A303 = "", "Validated", HYPERLINK("#" &amp; ADDRESS(303, '6 - TV Stands &amp; Enterta-WUO_TRK'!A303),_xlfn.TEXTAFTER('6 - TV Stands &amp; Enterta-WUO_ERR'!A303, ":"))))</f>
        <v/>
      </c>
    </row>
    <row r="304">
      <c r="A304" s="39">
        <f>IF('6 - TV Stands &amp; Enterta'!B304 = "", "", IF('6 - TV Stands &amp; Enterta-WUO_ERR'!A304 = "", "Validated", HYPERLINK("#" &amp; ADDRESS(304, '6 - TV Stands &amp; Enterta-WUO_TRK'!A304),_xlfn.TEXTAFTER('6 - TV Stands &amp; Enterta-WUO_ERR'!A304, ":"))))</f>
        <v/>
      </c>
    </row>
    <row r="305">
      <c r="A305" s="39">
        <f>IF('6 - TV Stands &amp; Enterta'!B305 = "", "", IF('6 - TV Stands &amp; Enterta-WUO_ERR'!A305 = "", "Validated", HYPERLINK("#" &amp; ADDRESS(305, '6 - TV Stands &amp; Enterta-WUO_TRK'!A305),_xlfn.TEXTAFTER('6 - TV Stands &amp; Enterta-WUO_ERR'!A305, ":"))))</f>
        <v/>
      </c>
    </row>
    <row r="306">
      <c r="A306" s="39">
        <f>IF('6 - TV Stands &amp; Enterta'!B306 = "", "", IF('6 - TV Stands &amp; Enterta-WUO_ERR'!A306 = "", "Validated", HYPERLINK("#" &amp; ADDRESS(306, '6 - TV Stands &amp; Enterta-WUO_TRK'!A306),_xlfn.TEXTAFTER('6 - TV Stands &amp; Enterta-WUO_ERR'!A306, ":"))))</f>
        <v/>
      </c>
    </row>
    <row r="307">
      <c r="A307" s="39">
        <f>IF('6 - TV Stands &amp; Enterta'!B307 = "", "", IF('6 - TV Stands &amp; Enterta-WUO_ERR'!A307 = "", "Validated", HYPERLINK("#" &amp; ADDRESS(307, '6 - TV Stands &amp; Enterta-WUO_TRK'!A307),_xlfn.TEXTAFTER('6 - TV Stands &amp; Enterta-WUO_ERR'!A307, ":"))))</f>
        <v/>
      </c>
    </row>
    <row r="308">
      <c r="A308" s="39">
        <f>IF('6 - TV Stands &amp; Enterta'!B308 = "", "", IF('6 - TV Stands &amp; Enterta-WUO_ERR'!A308 = "", "Validated", HYPERLINK("#" &amp; ADDRESS(308, '6 - TV Stands &amp; Enterta-WUO_TRK'!A308),_xlfn.TEXTAFTER('6 - TV Stands &amp; Enterta-WUO_ERR'!A308, ":"))))</f>
        <v/>
      </c>
    </row>
    <row r="309">
      <c r="A309" s="39">
        <f>IF('6 - TV Stands &amp; Enterta'!B309 = "", "", IF('6 - TV Stands &amp; Enterta-WUO_ERR'!A309 = "", "Validated", HYPERLINK("#" &amp; ADDRESS(309, '6 - TV Stands &amp; Enterta-WUO_TRK'!A309),_xlfn.TEXTAFTER('6 - TV Stands &amp; Enterta-WUO_ERR'!A309, ":"))))</f>
        <v/>
      </c>
    </row>
    <row r="310">
      <c r="A310" s="39">
        <f>IF('6 - TV Stands &amp; Enterta'!B310 = "", "", IF('6 - TV Stands &amp; Enterta-WUO_ERR'!A310 = "", "Validated", HYPERLINK("#" &amp; ADDRESS(310, '6 - TV Stands &amp; Enterta-WUO_TRK'!A310),_xlfn.TEXTAFTER('6 - TV Stands &amp; Enterta-WUO_ERR'!A310, ":"))))</f>
        <v/>
      </c>
    </row>
    <row r="311">
      <c r="A311" s="39">
        <f>IF('6 - TV Stands &amp; Enterta'!B311 = "", "", IF('6 - TV Stands &amp; Enterta-WUO_ERR'!A311 = "", "Validated", HYPERLINK("#" &amp; ADDRESS(311, '6 - TV Stands &amp; Enterta-WUO_TRK'!A311),_xlfn.TEXTAFTER('6 - TV Stands &amp; Enterta-WUO_ERR'!A311, ":"))))</f>
        <v/>
      </c>
    </row>
    <row r="312">
      <c r="A312" s="39">
        <f>IF('6 - TV Stands &amp; Enterta'!B312 = "", "", IF('6 - TV Stands &amp; Enterta-WUO_ERR'!A312 = "", "Validated", HYPERLINK("#" &amp; ADDRESS(312, '6 - TV Stands &amp; Enterta-WUO_TRK'!A312),_xlfn.TEXTAFTER('6 - TV Stands &amp; Enterta-WUO_ERR'!A312, ":"))))</f>
        <v/>
      </c>
    </row>
    <row r="313">
      <c r="A313" s="39">
        <f>IF('6 - TV Stands &amp; Enterta'!B313 = "", "", IF('6 - TV Stands &amp; Enterta-WUO_ERR'!A313 = "", "Validated", HYPERLINK("#" &amp; ADDRESS(313, '6 - TV Stands &amp; Enterta-WUO_TRK'!A313),_xlfn.TEXTAFTER('6 - TV Stands &amp; Enterta-WUO_ERR'!A313, ":"))))</f>
        <v/>
      </c>
    </row>
    <row r="314">
      <c r="A314" s="39">
        <f>IF('6 - TV Stands &amp; Enterta'!B314 = "", "", IF('6 - TV Stands &amp; Enterta-WUO_ERR'!A314 = "", "Validated", HYPERLINK("#" &amp; ADDRESS(314, '6 - TV Stands &amp; Enterta-WUO_TRK'!A314),_xlfn.TEXTAFTER('6 - TV Stands &amp; Enterta-WUO_ERR'!A314, ":"))))</f>
        <v/>
      </c>
    </row>
    <row r="315">
      <c r="A315" s="39">
        <f>IF('6 - TV Stands &amp; Enterta'!B315 = "", "", IF('6 - TV Stands &amp; Enterta-WUO_ERR'!A315 = "", "Validated", HYPERLINK("#" &amp; ADDRESS(315, '6 - TV Stands &amp; Enterta-WUO_TRK'!A315),_xlfn.TEXTAFTER('6 - TV Stands &amp; Enterta-WUO_ERR'!A315, ":"))))</f>
        <v/>
      </c>
    </row>
    <row r="316">
      <c r="A316" s="39">
        <f>IF('6 - TV Stands &amp; Enterta'!B316 = "", "", IF('6 - TV Stands &amp; Enterta-WUO_ERR'!A316 = "", "Validated", HYPERLINK("#" &amp; ADDRESS(316, '6 - TV Stands &amp; Enterta-WUO_TRK'!A316),_xlfn.TEXTAFTER('6 - TV Stands &amp; Enterta-WUO_ERR'!A316, ":"))))</f>
        <v/>
      </c>
    </row>
    <row r="317">
      <c r="A317" s="39">
        <f>IF('6 - TV Stands &amp; Enterta'!B317 = "", "", IF('6 - TV Stands &amp; Enterta-WUO_ERR'!A317 = "", "Validated", HYPERLINK("#" &amp; ADDRESS(317, '6 - TV Stands &amp; Enterta-WUO_TRK'!A317),_xlfn.TEXTAFTER('6 - TV Stands &amp; Enterta-WUO_ERR'!A317, ":"))))</f>
        <v/>
      </c>
    </row>
    <row r="318">
      <c r="A318" s="39">
        <f>IF('6 - TV Stands &amp; Enterta'!B318 = "", "", IF('6 - TV Stands &amp; Enterta-WUO_ERR'!A318 = "", "Validated", HYPERLINK("#" &amp; ADDRESS(318, '6 - TV Stands &amp; Enterta-WUO_TRK'!A318),_xlfn.TEXTAFTER('6 - TV Stands &amp; Enterta-WUO_ERR'!A318, ":"))))</f>
        <v/>
      </c>
    </row>
    <row r="319">
      <c r="A319" s="39">
        <f>IF('6 - TV Stands &amp; Enterta'!B319 = "", "", IF('6 - TV Stands &amp; Enterta-WUO_ERR'!A319 = "", "Validated", HYPERLINK("#" &amp; ADDRESS(319, '6 - TV Stands &amp; Enterta-WUO_TRK'!A319),_xlfn.TEXTAFTER('6 - TV Stands &amp; Enterta-WUO_ERR'!A319, ":"))))</f>
        <v/>
      </c>
    </row>
    <row r="320">
      <c r="A320" s="39">
        <f>IF('6 - TV Stands &amp; Enterta'!B320 = "", "", IF('6 - TV Stands &amp; Enterta-WUO_ERR'!A320 = "", "Validated", HYPERLINK("#" &amp; ADDRESS(320, '6 - TV Stands &amp; Enterta-WUO_TRK'!A320),_xlfn.TEXTAFTER('6 - TV Stands &amp; Enterta-WUO_ERR'!A320, ":"))))</f>
        <v/>
      </c>
    </row>
    <row r="321">
      <c r="A321" s="39">
        <f>IF('6 - TV Stands &amp; Enterta'!B321 = "", "", IF('6 - TV Stands &amp; Enterta-WUO_ERR'!A321 = "", "Validated", HYPERLINK("#" &amp; ADDRESS(321, '6 - TV Stands &amp; Enterta-WUO_TRK'!A321),_xlfn.TEXTAFTER('6 - TV Stands &amp; Enterta-WUO_ERR'!A321, ":"))))</f>
        <v/>
      </c>
    </row>
    <row r="322">
      <c r="A322" s="39">
        <f>IF('6 - TV Stands &amp; Enterta'!B322 = "", "", IF('6 - TV Stands &amp; Enterta-WUO_ERR'!A322 = "", "Validated", HYPERLINK("#" &amp; ADDRESS(322, '6 - TV Stands &amp; Enterta-WUO_TRK'!A322),_xlfn.TEXTAFTER('6 - TV Stands &amp; Enterta-WUO_ERR'!A322, ":"))))</f>
        <v/>
      </c>
    </row>
    <row r="323">
      <c r="A323" s="39">
        <f>IF('6 - TV Stands &amp; Enterta'!B323 = "", "", IF('6 - TV Stands &amp; Enterta-WUO_ERR'!A323 = "", "Validated", HYPERLINK("#" &amp; ADDRESS(323, '6 - TV Stands &amp; Enterta-WUO_TRK'!A323),_xlfn.TEXTAFTER('6 - TV Stands &amp; Enterta-WUO_ERR'!A323, ":"))))</f>
        <v/>
      </c>
    </row>
    <row r="324">
      <c r="A324" s="39">
        <f>IF('6 - TV Stands &amp; Enterta'!B324 = "", "", IF('6 - TV Stands &amp; Enterta-WUO_ERR'!A324 = "", "Validated", HYPERLINK("#" &amp; ADDRESS(324, '6 - TV Stands &amp; Enterta-WUO_TRK'!A324),_xlfn.TEXTAFTER('6 - TV Stands &amp; Enterta-WUO_ERR'!A324, ":"))))</f>
        <v/>
      </c>
    </row>
    <row r="325">
      <c r="A325" s="39">
        <f>IF('6 - TV Stands &amp; Enterta'!B325 = "", "", IF('6 - TV Stands &amp; Enterta-WUO_ERR'!A325 = "", "Validated", HYPERLINK("#" &amp; ADDRESS(325, '6 - TV Stands &amp; Enterta-WUO_TRK'!A325),_xlfn.TEXTAFTER('6 - TV Stands &amp; Enterta-WUO_ERR'!A325, ":"))))</f>
        <v/>
      </c>
    </row>
    <row r="326">
      <c r="A326" s="39">
        <f>IF('6 - TV Stands &amp; Enterta'!B326 = "", "", IF('6 - TV Stands &amp; Enterta-WUO_ERR'!A326 = "", "Validated", HYPERLINK("#" &amp; ADDRESS(326, '6 - TV Stands &amp; Enterta-WUO_TRK'!A326),_xlfn.TEXTAFTER('6 - TV Stands &amp; Enterta-WUO_ERR'!A326, ":"))))</f>
        <v/>
      </c>
    </row>
    <row r="327">
      <c r="A327" s="39">
        <f>IF('6 - TV Stands &amp; Enterta'!B327 = "", "", IF('6 - TV Stands &amp; Enterta-WUO_ERR'!A327 = "", "Validated", HYPERLINK("#" &amp; ADDRESS(327, '6 - TV Stands &amp; Enterta-WUO_TRK'!A327),_xlfn.TEXTAFTER('6 - TV Stands &amp; Enterta-WUO_ERR'!A327, ":"))))</f>
        <v/>
      </c>
    </row>
    <row r="328">
      <c r="A328" s="39">
        <f>IF('6 - TV Stands &amp; Enterta'!B328 = "", "", IF('6 - TV Stands &amp; Enterta-WUO_ERR'!A328 = "", "Validated", HYPERLINK("#" &amp; ADDRESS(328, '6 - TV Stands &amp; Enterta-WUO_TRK'!A328),_xlfn.TEXTAFTER('6 - TV Stands &amp; Enterta-WUO_ERR'!A328, ":"))))</f>
        <v/>
      </c>
    </row>
    <row r="329">
      <c r="A329" s="39">
        <f>IF('6 - TV Stands &amp; Enterta'!B329 = "", "", IF('6 - TV Stands &amp; Enterta-WUO_ERR'!A329 = "", "Validated", HYPERLINK("#" &amp; ADDRESS(329, '6 - TV Stands &amp; Enterta-WUO_TRK'!A329),_xlfn.TEXTAFTER('6 - TV Stands &amp; Enterta-WUO_ERR'!A329, ":"))))</f>
        <v/>
      </c>
    </row>
    <row r="330">
      <c r="A330" s="39">
        <f>IF('6 - TV Stands &amp; Enterta'!B330 = "", "", IF('6 - TV Stands &amp; Enterta-WUO_ERR'!A330 = "", "Validated", HYPERLINK("#" &amp; ADDRESS(330, '6 - TV Stands &amp; Enterta-WUO_TRK'!A330),_xlfn.TEXTAFTER('6 - TV Stands &amp; Enterta-WUO_ERR'!A330, ":"))))</f>
        <v/>
      </c>
    </row>
    <row r="331">
      <c r="A331" s="39">
        <f>IF('6 - TV Stands &amp; Enterta'!B331 = "", "", IF('6 - TV Stands &amp; Enterta-WUO_ERR'!A331 = "", "Validated", HYPERLINK("#" &amp; ADDRESS(331, '6 - TV Stands &amp; Enterta-WUO_TRK'!A331),_xlfn.TEXTAFTER('6 - TV Stands &amp; Enterta-WUO_ERR'!A331, ":"))))</f>
        <v/>
      </c>
    </row>
    <row r="332">
      <c r="A332" s="39">
        <f>IF('6 - TV Stands &amp; Enterta'!B332 = "", "", IF('6 - TV Stands &amp; Enterta-WUO_ERR'!A332 = "", "Validated", HYPERLINK("#" &amp; ADDRESS(332, '6 - TV Stands &amp; Enterta-WUO_TRK'!A332),_xlfn.TEXTAFTER('6 - TV Stands &amp; Enterta-WUO_ERR'!A332, ":"))))</f>
        <v/>
      </c>
    </row>
    <row r="333">
      <c r="A333" s="39">
        <f>IF('6 - TV Stands &amp; Enterta'!B333 = "", "", IF('6 - TV Stands &amp; Enterta-WUO_ERR'!A333 = "", "Validated", HYPERLINK("#" &amp; ADDRESS(333, '6 - TV Stands &amp; Enterta-WUO_TRK'!A333),_xlfn.TEXTAFTER('6 - TV Stands &amp; Enterta-WUO_ERR'!A333, ":"))))</f>
        <v/>
      </c>
    </row>
    <row r="334">
      <c r="A334" s="39">
        <f>IF('6 - TV Stands &amp; Enterta'!B334 = "", "", IF('6 - TV Stands &amp; Enterta-WUO_ERR'!A334 = "", "Validated", HYPERLINK("#" &amp; ADDRESS(334, '6 - TV Stands &amp; Enterta-WUO_TRK'!A334),_xlfn.TEXTAFTER('6 - TV Stands &amp; Enterta-WUO_ERR'!A334, ":"))))</f>
        <v/>
      </c>
    </row>
    <row r="335">
      <c r="A335" s="39">
        <f>IF('6 - TV Stands &amp; Enterta'!B335 = "", "", IF('6 - TV Stands &amp; Enterta-WUO_ERR'!A335 = "", "Validated", HYPERLINK("#" &amp; ADDRESS(335, '6 - TV Stands &amp; Enterta-WUO_TRK'!A335),_xlfn.TEXTAFTER('6 - TV Stands &amp; Enterta-WUO_ERR'!A335, ":"))))</f>
        <v/>
      </c>
    </row>
    <row r="336">
      <c r="A336" s="39">
        <f>IF('6 - TV Stands &amp; Enterta'!B336 = "", "", IF('6 - TV Stands &amp; Enterta-WUO_ERR'!A336 = "", "Validated", HYPERLINK("#" &amp; ADDRESS(336, '6 - TV Stands &amp; Enterta-WUO_TRK'!A336),_xlfn.TEXTAFTER('6 - TV Stands &amp; Enterta-WUO_ERR'!A336, ":"))))</f>
        <v/>
      </c>
    </row>
    <row r="337">
      <c r="A337" s="39">
        <f>IF('6 - TV Stands &amp; Enterta'!B337 = "", "", IF('6 - TV Stands &amp; Enterta-WUO_ERR'!A337 = "", "Validated", HYPERLINK("#" &amp; ADDRESS(337, '6 - TV Stands &amp; Enterta-WUO_TRK'!A337),_xlfn.TEXTAFTER('6 - TV Stands &amp; Enterta-WUO_ERR'!A337, ":"))))</f>
        <v/>
      </c>
    </row>
    <row r="338">
      <c r="A338" s="39">
        <f>IF('6 - TV Stands &amp; Enterta'!B338 = "", "", IF('6 - TV Stands &amp; Enterta-WUO_ERR'!A338 = "", "Validated", HYPERLINK("#" &amp; ADDRESS(338, '6 - TV Stands &amp; Enterta-WUO_TRK'!A338),_xlfn.TEXTAFTER('6 - TV Stands &amp; Enterta-WUO_ERR'!A338, ":"))))</f>
        <v/>
      </c>
    </row>
    <row r="339">
      <c r="A339" s="39">
        <f>IF('6 - TV Stands &amp; Enterta'!B339 = "", "", IF('6 - TV Stands &amp; Enterta-WUO_ERR'!A339 = "", "Validated", HYPERLINK("#" &amp; ADDRESS(339, '6 - TV Stands &amp; Enterta-WUO_TRK'!A339),_xlfn.TEXTAFTER('6 - TV Stands &amp; Enterta-WUO_ERR'!A339, ":"))))</f>
        <v/>
      </c>
    </row>
    <row r="340">
      <c r="A340" s="39">
        <f>IF('6 - TV Stands &amp; Enterta'!B340 = "", "", IF('6 - TV Stands &amp; Enterta-WUO_ERR'!A340 = "", "Validated", HYPERLINK("#" &amp; ADDRESS(340, '6 - TV Stands &amp; Enterta-WUO_TRK'!A340),_xlfn.TEXTAFTER('6 - TV Stands &amp; Enterta-WUO_ERR'!A340, ":"))))</f>
        <v/>
      </c>
    </row>
    <row r="341">
      <c r="A341" s="39">
        <f>IF('6 - TV Stands &amp; Enterta'!B341 = "", "", IF('6 - TV Stands &amp; Enterta-WUO_ERR'!A341 = "", "Validated", HYPERLINK("#" &amp; ADDRESS(341, '6 - TV Stands &amp; Enterta-WUO_TRK'!A341),_xlfn.TEXTAFTER('6 - TV Stands &amp; Enterta-WUO_ERR'!A341, ":"))))</f>
        <v/>
      </c>
    </row>
    <row r="342">
      <c r="A342" s="39">
        <f>IF('6 - TV Stands &amp; Enterta'!B342 = "", "", IF('6 - TV Stands &amp; Enterta-WUO_ERR'!A342 = "", "Validated", HYPERLINK("#" &amp; ADDRESS(342, '6 - TV Stands &amp; Enterta-WUO_TRK'!A342),_xlfn.TEXTAFTER('6 - TV Stands &amp; Enterta-WUO_ERR'!A342, ":"))))</f>
        <v/>
      </c>
    </row>
    <row r="343">
      <c r="A343" s="39">
        <f>IF('6 - TV Stands &amp; Enterta'!B343 = "", "", IF('6 - TV Stands &amp; Enterta-WUO_ERR'!A343 = "", "Validated", HYPERLINK("#" &amp; ADDRESS(343, '6 - TV Stands &amp; Enterta-WUO_TRK'!A343),_xlfn.TEXTAFTER('6 - TV Stands &amp; Enterta-WUO_ERR'!A343, ":"))))</f>
        <v/>
      </c>
    </row>
    <row r="344">
      <c r="A344" s="39">
        <f>IF('6 - TV Stands &amp; Enterta'!B344 = "", "", IF('6 - TV Stands &amp; Enterta-WUO_ERR'!A344 = "", "Validated", HYPERLINK("#" &amp; ADDRESS(344, '6 - TV Stands &amp; Enterta-WUO_TRK'!A344),_xlfn.TEXTAFTER('6 - TV Stands &amp; Enterta-WUO_ERR'!A344, ":"))))</f>
        <v/>
      </c>
    </row>
    <row r="345">
      <c r="A345" s="39">
        <f>IF('6 - TV Stands &amp; Enterta'!B345 = "", "", IF('6 - TV Stands &amp; Enterta-WUO_ERR'!A345 = "", "Validated", HYPERLINK("#" &amp; ADDRESS(345, '6 - TV Stands &amp; Enterta-WUO_TRK'!A345),_xlfn.TEXTAFTER('6 - TV Stands &amp; Enterta-WUO_ERR'!A345, ":"))))</f>
        <v/>
      </c>
    </row>
    <row r="346">
      <c r="A346" s="39">
        <f>IF('6 - TV Stands &amp; Enterta'!B346 = "", "", IF('6 - TV Stands &amp; Enterta-WUO_ERR'!A346 = "", "Validated", HYPERLINK("#" &amp; ADDRESS(346, '6 - TV Stands &amp; Enterta-WUO_TRK'!A346),_xlfn.TEXTAFTER('6 - TV Stands &amp; Enterta-WUO_ERR'!A346, ":"))))</f>
        <v/>
      </c>
    </row>
    <row r="347">
      <c r="A347" s="39">
        <f>IF('6 - TV Stands &amp; Enterta'!B347 = "", "", IF('6 - TV Stands &amp; Enterta-WUO_ERR'!A347 = "", "Validated", HYPERLINK("#" &amp; ADDRESS(347, '6 - TV Stands &amp; Enterta-WUO_TRK'!A347),_xlfn.TEXTAFTER('6 - TV Stands &amp; Enterta-WUO_ERR'!A347, ":"))))</f>
        <v/>
      </c>
    </row>
    <row r="348">
      <c r="A348" s="39">
        <f>IF('6 - TV Stands &amp; Enterta'!B348 = "", "", IF('6 - TV Stands &amp; Enterta-WUO_ERR'!A348 = "", "Validated", HYPERLINK("#" &amp; ADDRESS(348, '6 - TV Stands &amp; Enterta-WUO_TRK'!A348),_xlfn.TEXTAFTER('6 - TV Stands &amp; Enterta-WUO_ERR'!A348, ":"))))</f>
        <v/>
      </c>
    </row>
    <row r="349">
      <c r="A349" s="39">
        <f>IF('6 - TV Stands &amp; Enterta'!B349 = "", "", IF('6 - TV Stands &amp; Enterta-WUO_ERR'!A349 = "", "Validated", HYPERLINK("#" &amp; ADDRESS(349, '6 - TV Stands &amp; Enterta-WUO_TRK'!A349),_xlfn.TEXTAFTER('6 - TV Stands &amp; Enterta-WUO_ERR'!A349, ":"))))</f>
        <v/>
      </c>
    </row>
    <row r="350">
      <c r="A350" s="39">
        <f>IF('6 - TV Stands &amp; Enterta'!B350 = "", "", IF('6 - TV Stands &amp; Enterta-WUO_ERR'!A350 = "", "Validated", HYPERLINK("#" &amp; ADDRESS(350, '6 - TV Stands &amp; Enterta-WUO_TRK'!A350),_xlfn.TEXTAFTER('6 - TV Stands &amp; Enterta-WUO_ERR'!A350, ":"))))</f>
        <v/>
      </c>
    </row>
    <row r="351">
      <c r="A351" s="39">
        <f>IF('6 - TV Stands &amp; Enterta'!B351 = "", "", IF('6 - TV Stands &amp; Enterta-WUO_ERR'!A351 = "", "Validated", HYPERLINK("#" &amp; ADDRESS(351, '6 - TV Stands &amp; Enterta-WUO_TRK'!A351),_xlfn.TEXTAFTER('6 - TV Stands &amp; Enterta-WUO_ERR'!A351, ":"))))</f>
        <v/>
      </c>
    </row>
    <row r="352">
      <c r="A352" s="39">
        <f>IF('6 - TV Stands &amp; Enterta'!B352 = "", "", IF('6 - TV Stands &amp; Enterta-WUO_ERR'!A352 = "", "Validated", HYPERLINK("#" &amp; ADDRESS(352, '6 - TV Stands &amp; Enterta-WUO_TRK'!A352),_xlfn.TEXTAFTER('6 - TV Stands &amp; Enterta-WUO_ERR'!A352, ":"))))</f>
        <v/>
      </c>
    </row>
    <row r="353">
      <c r="A353" s="39">
        <f>IF('6 - TV Stands &amp; Enterta'!B353 = "", "", IF('6 - TV Stands &amp; Enterta-WUO_ERR'!A353 = "", "Validated", HYPERLINK("#" &amp; ADDRESS(353, '6 - TV Stands &amp; Enterta-WUO_TRK'!A353),_xlfn.TEXTAFTER('6 - TV Stands &amp; Enterta-WUO_ERR'!A353, ":"))))</f>
        <v/>
      </c>
    </row>
    <row r="354">
      <c r="A354" s="39">
        <f>IF('6 - TV Stands &amp; Enterta'!B354 = "", "", IF('6 - TV Stands &amp; Enterta-WUO_ERR'!A354 = "", "Validated", HYPERLINK("#" &amp; ADDRESS(354, '6 - TV Stands &amp; Enterta-WUO_TRK'!A354),_xlfn.TEXTAFTER('6 - TV Stands &amp; Enterta-WUO_ERR'!A354, ":"))))</f>
        <v/>
      </c>
    </row>
    <row r="355">
      <c r="A355" s="39">
        <f>IF('6 - TV Stands &amp; Enterta'!B355 = "", "", IF('6 - TV Stands &amp; Enterta-WUO_ERR'!A355 = "", "Validated", HYPERLINK("#" &amp; ADDRESS(355, '6 - TV Stands &amp; Enterta-WUO_TRK'!A355),_xlfn.TEXTAFTER('6 - TV Stands &amp; Enterta-WUO_ERR'!A355, ":"))))</f>
        <v/>
      </c>
    </row>
    <row r="356">
      <c r="A356" s="39">
        <f>IF('6 - TV Stands &amp; Enterta'!B356 = "", "", IF('6 - TV Stands &amp; Enterta-WUO_ERR'!A356 = "", "Validated", HYPERLINK("#" &amp; ADDRESS(356, '6 - TV Stands &amp; Enterta-WUO_TRK'!A356),_xlfn.TEXTAFTER('6 - TV Stands &amp; Enterta-WUO_ERR'!A356, ":"))))</f>
        <v/>
      </c>
    </row>
    <row r="357">
      <c r="A357" s="39">
        <f>IF('6 - TV Stands &amp; Enterta'!B357 = "", "", IF('6 - TV Stands &amp; Enterta-WUO_ERR'!A357 = "", "Validated", HYPERLINK("#" &amp; ADDRESS(357, '6 - TV Stands &amp; Enterta-WUO_TRK'!A357),_xlfn.TEXTAFTER('6 - TV Stands &amp; Enterta-WUO_ERR'!A357, ":"))))</f>
        <v/>
      </c>
    </row>
    <row r="358">
      <c r="A358" s="39">
        <f>IF('6 - TV Stands &amp; Enterta'!B358 = "", "", IF('6 - TV Stands &amp; Enterta-WUO_ERR'!A358 = "", "Validated", HYPERLINK("#" &amp; ADDRESS(358, '6 - TV Stands &amp; Enterta-WUO_TRK'!A358),_xlfn.TEXTAFTER('6 - TV Stands &amp; Enterta-WUO_ERR'!A358, ":"))))</f>
        <v/>
      </c>
    </row>
    <row r="359">
      <c r="A359" s="39">
        <f>IF('6 - TV Stands &amp; Enterta'!B359 = "", "", IF('6 - TV Stands &amp; Enterta-WUO_ERR'!A359 = "", "Validated", HYPERLINK("#" &amp; ADDRESS(359, '6 - TV Stands &amp; Enterta-WUO_TRK'!A359),_xlfn.TEXTAFTER('6 - TV Stands &amp; Enterta-WUO_ERR'!A359, ":"))))</f>
        <v/>
      </c>
    </row>
    <row r="360">
      <c r="A360" s="39">
        <f>IF('6 - TV Stands &amp; Enterta'!B360 = "", "", IF('6 - TV Stands &amp; Enterta-WUO_ERR'!A360 = "", "Validated", HYPERLINK("#" &amp; ADDRESS(360, '6 - TV Stands &amp; Enterta-WUO_TRK'!A360),_xlfn.TEXTAFTER('6 - TV Stands &amp; Enterta-WUO_ERR'!A360, ":"))))</f>
        <v/>
      </c>
    </row>
    <row r="361">
      <c r="A361" s="39">
        <f>IF('6 - TV Stands &amp; Enterta'!B361 = "", "", IF('6 - TV Stands &amp; Enterta-WUO_ERR'!A361 = "", "Validated", HYPERLINK("#" &amp; ADDRESS(361, '6 - TV Stands &amp; Enterta-WUO_TRK'!A361),_xlfn.TEXTAFTER('6 - TV Stands &amp; Enterta-WUO_ERR'!A361, ":"))))</f>
        <v/>
      </c>
    </row>
    <row r="362">
      <c r="A362" s="39">
        <f>IF('6 - TV Stands &amp; Enterta'!B362 = "", "", IF('6 - TV Stands &amp; Enterta-WUO_ERR'!A362 = "", "Validated", HYPERLINK("#" &amp; ADDRESS(362, '6 - TV Stands &amp; Enterta-WUO_TRK'!A362),_xlfn.TEXTAFTER('6 - TV Stands &amp; Enterta-WUO_ERR'!A362, ":"))))</f>
        <v/>
      </c>
    </row>
    <row r="363">
      <c r="A363" s="39">
        <f>IF('6 - TV Stands &amp; Enterta'!B363 = "", "", IF('6 - TV Stands &amp; Enterta-WUO_ERR'!A363 = "", "Validated", HYPERLINK("#" &amp; ADDRESS(363, '6 - TV Stands &amp; Enterta-WUO_TRK'!A363),_xlfn.TEXTAFTER('6 - TV Stands &amp; Enterta-WUO_ERR'!A363, ":"))))</f>
        <v/>
      </c>
    </row>
    <row r="364">
      <c r="A364" s="39">
        <f>IF('6 - TV Stands &amp; Enterta'!B364 = "", "", IF('6 - TV Stands &amp; Enterta-WUO_ERR'!A364 = "", "Validated", HYPERLINK("#" &amp; ADDRESS(364, '6 - TV Stands &amp; Enterta-WUO_TRK'!A364),_xlfn.TEXTAFTER('6 - TV Stands &amp; Enterta-WUO_ERR'!A364, ":"))))</f>
        <v/>
      </c>
    </row>
    <row r="365">
      <c r="A365" s="39">
        <f>IF('6 - TV Stands &amp; Enterta'!B365 = "", "", IF('6 - TV Stands &amp; Enterta-WUO_ERR'!A365 = "", "Validated", HYPERLINK("#" &amp; ADDRESS(365, '6 - TV Stands &amp; Enterta-WUO_TRK'!A365),_xlfn.TEXTAFTER('6 - TV Stands &amp; Enterta-WUO_ERR'!A365, ":"))))</f>
        <v/>
      </c>
    </row>
    <row r="366">
      <c r="A366" s="39">
        <f>IF('6 - TV Stands &amp; Enterta'!B366 = "", "", IF('6 - TV Stands &amp; Enterta-WUO_ERR'!A366 = "", "Validated", HYPERLINK("#" &amp; ADDRESS(366, '6 - TV Stands &amp; Enterta-WUO_TRK'!A366),_xlfn.TEXTAFTER('6 - TV Stands &amp; Enterta-WUO_ERR'!A366, ":"))))</f>
        <v/>
      </c>
    </row>
    <row r="367">
      <c r="A367" s="39">
        <f>IF('6 - TV Stands &amp; Enterta'!B367 = "", "", IF('6 - TV Stands &amp; Enterta-WUO_ERR'!A367 = "", "Validated", HYPERLINK("#" &amp; ADDRESS(367, '6 - TV Stands &amp; Enterta-WUO_TRK'!A367),_xlfn.TEXTAFTER('6 - TV Stands &amp; Enterta-WUO_ERR'!A367, ":"))))</f>
        <v/>
      </c>
    </row>
    <row r="368">
      <c r="A368" s="39">
        <f>IF('6 - TV Stands &amp; Enterta'!B368 = "", "", IF('6 - TV Stands &amp; Enterta-WUO_ERR'!A368 = "", "Validated", HYPERLINK("#" &amp; ADDRESS(368, '6 - TV Stands &amp; Enterta-WUO_TRK'!A368),_xlfn.TEXTAFTER('6 - TV Stands &amp; Enterta-WUO_ERR'!A368, ":"))))</f>
        <v/>
      </c>
    </row>
    <row r="369">
      <c r="A369" s="39">
        <f>IF('6 - TV Stands &amp; Enterta'!B369 = "", "", IF('6 - TV Stands &amp; Enterta-WUO_ERR'!A369 = "", "Validated", HYPERLINK("#" &amp; ADDRESS(369, '6 - TV Stands &amp; Enterta-WUO_TRK'!A369),_xlfn.TEXTAFTER('6 - TV Stands &amp; Enterta-WUO_ERR'!A369, ":"))))</f>
        <v/>
      </c>
    </row>
    <row r="370">
      <c r="A370" s="39">
        <f>IF('6 - TV Stands &amp; Enterta'!B370 = "", "", IF('6 - TV Stands &amp; Enterta-WUO_ERR'!A370 = "", "Validated", HYPERLINK("#" &amp; ADDRESS(370, '6 - TV Stands &amp; Enterta-WUO_TRK'!A370),_xlfn.TEXTAFTER('6 - TV Stands &amp; Enterta-WUO_ERR'!A370, ":"))))</f>
        <v/>
      </c>
    </row>
    <row r="371">
      <c r="A371" s="39">
        <f>IF('6 - TV Stands &amp; Enterta'!B371 = "", "", IF('6 - TV Stands &amp; Enterta-WUO_ERR'!A371 = "", "Validated", HYPERLINK("#" &amp; ADDRESS(371, '6 - TV Stands &amp; Enterta-WUO_TRK'!A371),_xlfn.TEXTAFTER('6 - TV Stands &amp; Enterta-WUO_ERR'!A371, ":"))))</f>
        <v/>
      </c>
    </row>
    <row r="372">
      <c r="A372" s="39">
        <f>IF('6 - TV Stands &amp; Enterta'!B372 = "", "", IF('6 - TV Stands &amp; Enterta-WUO_ERR'!A372 = "", "Validated", HYPERLINK("#" &amp; ADDRESS(372, '6 - TV Stands &amp; Enterta-WUO_TRK'!A372),_xlfn.TEXTAFTER('6 - TV Stands &amp; Enterta-WUO_ERR'!A372, ":"))))</f>
        <v/>
      </c>
    </row>
    <row r="373">
      <c r="A373" s="39">
        <f>IF('6 - TV Stands &amp; Enterta'!B373 = "", "", IF('6 - TV Stands &amp; Enterta-WUO_ERR'!A373 = "", "Validated", HYPERLINK("#" &amp; ADDRESS(373, '6 - TV Stands &amp; Enterta-WUO_TRK'!A373),_xlfn.TEXTAFTER('6 - TV Stands &amp; Enterta-WUO_ERR'!A373, ":"))))</f>
        <v/>
      </c>
    </row>
    <row r="374">
      <c r="A374" s="39">
        <f>IF('6 - TV Stands &amp; Enterta'!B374 = "", "", IF('6 - TV Stands &amp; Enterta-WUO_ERR'!A374 = "", "Validated", HYPERLINK("#" &amp; ADDRESS(374, '6 - TV Stands &amp; Enterta-WUO_TRK'!A374),_xlfn.TEXTAFTER('6 - TV Stands &amp; Enterta-WUO_ERR'!A374, ":"))))</f>
        <v/>
      </c>
    </row>
    <row r="375">
      <c r="A375" s="39">
        <f>IF('6 - TV Stands &amp; Enterta'!B375 = "", "", IF('6 - TV Stands &amp; Enterta-WUO_ERR'!A375 = "", "Validated", HYPERLINK("#" &amp; ADDRESS(375, '6 - TV Stands &amp; Enterta-WUO_TRK'!A375),_xlfn.TEXTAFTER('6 - TV Stands &amp; Enterta-WUO_ERR'!A375, ":"))))</f>
        <v/>
      </c>
    </row>
    <row r="376">
      <c r="A376" s="39">
        <f>IF('6 - TV Stands &amp; Enterta'!B376 = "", "", IF('6 - TV Stands &amp; Enterta-WUO_ERR'!A376 = "", "Validated", HYPERLINK("#" &amp; ADDRESS(376, '6 - TV Stands &amp; Enterta-WUO_TRK'!A376),_xlfn.TEXTAFTER('6 - TV Stands &amp; Enterta-WUO_ERR'!A376, ":"))))</f>
        <v/>
      </c>
    </row>
    <row r="377">
      <c r="A377" s="39">
        <f>IF('6 - TV Stands &amp; Enterta'!B377 = "", "", IF('6 - TV Stands &amp; Enterta-WUO_ERR'!A377 = "", "Validated", HYPERLINK("#" &amp; ADDRESS(377, '6 - TV Stands &amp; Enterta-WUO_TRK'!A377),_xlfn.TEXTAFTER('6 - TV Stands &amp; Enterta-WUO_ERR'!A377, ":"))))</f>
        <v/>
      </c>
    </row>
    <row r="378">
      <c r="A378" s="39">
        <f>IF('6 - TV Stands &amp; Enterta'!B378 = "", "", IF('6 - TV Stands &amp; Enterta-WUO_ERR'!A378 = "", "Validated", HYPERLINK("#" &amp; ADDRESS(378, '6 - TV Stands &amp; Enterta-WUO_TRK'!A378),_xlfn.TEXTAFTER('6 - TV Stands &amp; Enterta-WUO_ERR'!A378, ":"))))</f>
        <v/>
      </c>
    </row>
    <row r="379">
      <c r="A379" s="39">
        <f>IF('6 - TV Stands &amp; Enterta'!B379 = "", "", IF('6 - TV Stands &amp; Enterta-WUO_ERR'!A379 = "", "Validated", HYPERLINK("#" &amp; ADDRESS(379, '6 - TV Stands &amp; Enterta-WUO_TRK'!A379),_xlfn.TEXTAFTER('6 - TV Stands &amp; Enterta-WUO_ERR'!A379, ":"))))</f>
        <v/>
      </c>
    </row>
    <row r="380">
      <c r="A380" s="39">
        <f>IF('6 - TV Stands &amp; Enterta'!B380 = "", "", IF('6 - TV Stands &amp; Enterta-WUO_ERR'!A380 = "", "Validated", HYPERLINK("#" &amp; ADDRESS(380, '6 - TV Stands &amp; Enterta-WUO_TRK'!A380),_xlfn.TEXTAFTER('6 - TV Stands &amp; Enterta-WUO_ERR'!A380, ":"))))</f>
        <v/>
      </c>
    </row>
    <row r="381">
      <c r="A381" s="39">
        <f>IF('6 - TV Stands &amp; Enterta'!B381 = "", "", IF('6 - TV Stands &amp; Enterta-WUO_ERR'!A381 = "", "Validated", HYPERLINK("#" &amp; ADDRESS(381, '6 - TV Stands &amp; Enterta-WUO_TRK'!A381),_xlfn.TEXTAFTER('6 - TV Stands &amp; Enterta-WUO_ERR'!A381, ":"))))</f>
        <v/>
      </c>
    </row>
    <row r="382">
      <c r="A382" s="39">
        <f>IF('6 - TV Stands &amp; Enterta'!B382 = "", "", IF('6 - TV Stands &amp; Enterta-WUO_ERR'!A382 = "", "Validated", HYPERLINK("#" &amp; ADDRESS(382, '6 - TV Stands &amp; Enterta-WUO_TRK'!A382),_xlfn.TEXTAFTER('6 - TV Stands &amp; Enterta-WUO_ERR'!A382, ":"))))</f>
        <v/>
      </c>
    </row>
    <row r="383">
      <c r="A383" s="39">
        <f>IF('6 - TV Stands &amp; Enterta'!B383 = "", "", IF('6 - TV Stands &amp; Enterta-WUO_ERR'!A383 = "", "Validated", HYPERLINK("#" &amp; ADDRESS(383, '6 - TV Stands &amp; Enterta-WUO_TRK'!A383),_xlfn.TEXTAFTER('6 - TV Stands &amp; Enterta-WUO_ERR'!A383, ":"))))</f>
        <v/>
      </c>
    </row>
    <row r="384">
      <c r="A384" s="39">
        <f>IF('6 - TV Stands &amp; Enterta'!B384 = "", "", IF('6 - TV Stands &amp; Enterta-WUO_ERR'!A384 = "", "Validated", HYPERLINK("#" &amp; ADDRESS(384, '6 - TV Stands &amp; Enterta-WUO_TRK'!A384),_xlfn.TEXTAFTER('6 - TV Stands &amp; Enterta-WUO_ERR'!A384, ":"))))</f>
        <v/>
      </c>
    </row>
    <row r="385">
      <c r="A385" s="39">
        <f>IF('6 - TV Stands &amp; Enterta'!B385 = "", "", IF('6 - TV Stands &amp; Enterta-WUO_ERR'!A385 = "", "Validated", HYPERLINK("#" &amp; ADDRESS(385, '6 - TV Stands &amp; Enterta-WUO_TRK'!A385),_xlfn.TEXTAFTER('6 - TV Stands &amp; Enterta-WUO_ERR'!A385, ":"))))</f>
        <v/>
      </c>
    </row>
    <row r="386">
      <c r="A386" s="39">
        <f>IF('6 - TV Stands &amp; Enterta'!B386 = "", "", IF('6 - TV Stands &amp; Enterta-WUO_ERR'!A386 = "", "Validated", HYPERLINK("#" &amp; ADDRESS(386, '6 - TV Stands &amp; Enterta-WUO_TRK'!A386),_xlfn.TEXTAFTER('6 - TV Stands &amp; Enterta-WUO_ERR'!A386, ":"))))</f>
        <v/>
      </c>
    </row>
    <row r="387">
      <c r="A387" s="39">
        <f>IF('6 - TV Stands &amp; Enterta'!B387 = "", "", IF('6 - TV Stands &amp; Enterta-WUO_ERR'!A387 = "", "Validated", HYPERLINK("#" &amp; ADDRESS(387, '6 - TV Stands &amp; Enterta-WUO_TRK'!A387),_xlfn.TEXTAFTER('6 - TV Stands &amp; Enterta-WUO_ERR'!A387, ":"))))</f>
        <v/>
      </c>
    </row>
    <row r="388">
      <c r="A388" s="39">
        <f>IF('6 - TV Stands &amp; Enterta'!B388 = "", "", IF('6 - TV Stands &amp; Enterta-WUO_ERR'!A388 = "", "Validated", HYPERLINK("#" &amp; ADDRESS(388, '6 - TV Stands &amp; Enterta-WUO_TRK'!A388),_xlfn.TEXTAFTER('6 - TV Stands &amp; Enterta-WUO_ERR'!A388, ":"))))</f>
        <v/>
      </c>
    </row>
    <row r="389">
      <c r="A389" s="39">
        <f>IF('6 - TV Stands &amp; Enterta'!B389 = "", "", IF('6 - TV Stands &amp; Enterta-WUO_ERR'!A389 = "", "Validated", HYPERLINK("#" &amp; ADDRESS(389, '6 - TV Stands &amp; Enterta-WUO_TRK'!A389),_xlfn.TEXTAFTER('6 - TV Stands &amp; Enterta-WUO_ERR'!A389, ":"))))</f>
        <v/>
      </c>
    </row>
    <row r="390">
      <c r="A390" s="39">
        <f>IF('6 - TV Stands &amp; Enterta'!B390 = "", "", IF('6 - TV Stands &amp; Enterta-WUO_ERR'!A390 = "", "Validated", HYPERLINK("#" &amp; ADDRESS(390, '6 - TV Stands &amp; Enterta-WUO_TRK'!A390),_xlfn.TEXTAFTER('6 - TV Stands &amp; Enterta-WUO_ERR'!A390, ":"))))</f>
        <v/>
      </c>
    </row>
    <row r="391">
      <c r="A391" s="39">
        <f>IF('6 - TV Stands &amp; Enterta'!B391 = "", "", IF('6 - TV Stands &amp; Enterta-WUO_ERR'!A391 = "", "Validated", HYPERLINK("#" &amp; ADDRESS(391, '6 - TV Stands &amp; Enterta-WUO_TRK'!A391),_xlfn.TEXTAFTER('6 - TV Stands &amp; Enterta-WUO_ERR'!A391, ":"))))</f>
        <v/>
      </c>
    </row>
    <row r="392">
      <c r="A392" s="39">
        <f>IF('6 - TV Stands &amp; Enterta'!B392 = "", "", IF('6 - TV Stands &amp; Enterta-WUO_ERR'!A392 = "", "Validated", HYPERLINK("#" &amp; ADDRESS(392, '6 - TV Stands &amp; Enterta-WUO_TRK'!A392),_xlfn.TEXTAFTER('6 - TV Stands &amp; Enterta-WUO_ERR'!A392, ":"))))</f>
        <v/>
      </c>
    </row>
    <row r="393">
      <c r="A393" s="39">
        <f>IF('6 - TV Stands &amp; Enterta'!B393 = "", "", IF('6 - TV Stands &amp; Enterta-WUO_ERR'!A393 = "", "Validated", HYPERLINK("#" &amp; ADDRESS(393, '6 - TV Stands &amp; Enterta-WUO_TRK'!A393),_xlfn.TEXTAFTER('6 - TV Stands &amp; Enterta-WUO_ERR'!A393, ":"))))</f>
        <v/>
      </c>
    </row>
    <row r="394">
      <c r="A394" s="39">
        <f>IF('6 - TV Stands &amp; Enterta'!B394 = "", "", IF('6 - TV Stands &amp; Enterta-WUO_ERR'!A394 = "", "Validated", HYPERLINK("#" &amp; ADDRESS(394, '6 - TV Stands &amp; Enterta-WUO_TRK'!A394),_xlfn.TEXTAFTER('6 - TV Stands &amp; Enterta-WUO_ERR'!A394, ":"))))</f>
        <v/>
      </c>
    </row>
    <row r="395">
      <c r="A395" s="39">
        <f>IF('6 - TV Stands &amp; Enterta'!B395 = "", "", IF('6 - TV Stands &amp; Enterta-WUO_ERR'!A395 = "", "Validated", HYPERLINK("#" &amp; ADDRESS(395, '6 - TV Stands &amp; Enterta-WUO_TRK'!A395),_xlfn.TEXTAFTER('6 - TV Stands &amp; Enterta-WUO_ERR'!A395, ":"))))</f>
        <v/>
      </c>
    </row>
    <row r="396">
      <c r="A396" s="39">
        <f>IF('6 - TV Stands &amp; Enterta'!B396 = "", "", IF('6 - TV Stands &amp; Enterta-WUO_ERR'!A396 = "", "Validated", HYPERLINK("#" &amp; ADDRESS(396, '6 - TV Stands &amp; Enterta-WUO_TRK'!A396),_xlfn.TEXTAFTER('6 - TV Stands &amp; Enterta-WUO_ERR'!A396, ":"))))</f>
        <v/>
      </c>
    </row>
    <row r="397">
      <c r="A397" s="39">
        <f>IF('6 - TV Stands &amp; Enterta'!B397 = "", "", IF('6 - TV Stands &amp; Enterta-WUO_ERR'!A397 = "", "Validated", HYPERLINK("#" &amp; ADDRESS(397, '6 - TV Stands &amp; Enterta-WUO_TRK'!A397),_xlfn.TEXTAFTER('6 - TV Stands &amp; Enterta-WUO_ERR'!A397, ":"))))</f>
        <v/>
      </c>
    </row>
    <row r="398">
      <c r="A398" s="39">
        <f>IF('6 - TV Stands &amp; Enterta'!B398 = "", "", IF('6 - TV Stands &amp; Enterta-WUO_ERR'!A398 = "", "Validated", HYPERLINK("#" &amp; ADDRESS(398, '6 - TV Stands &amp; Enterta-WUO_TRK'!A398),_xlfn.TEXTAFTER('6 - TV Stands &amp; Enterta-WUO_ERR'!A398, ":"))))</f>
        <v/>
      </c>
    </row>
    <row r="399">
      <c r="A399" s="39">
        <f>IF('6 - TV Stands &amp; Enterta'!B399 = "", "", IF('6 - TV Stands &amp; Enterta-WUO_ERR'!A399 = "", "Validated", HYPERLINK("#" &amp; ADDRESS(399, '6 - TV Stands &amp; Enterta-WUO_TRK'!A399),_xlfn.TEXTAFTER('6 - TV Stands &amp; Enterta-WUO_ERR'!A399, ":"))))</f>
        <v/>
      </c>
    </row>
    <row r="400">
      <c r="A400" s="39">
        <f>IF('6 - TV Stands &amp; Enterta'!B400 = "", "", IF('6 - TV Stands &amp; Enterta-WUO_ERR'!A400 = "", "Validated", HYPERLINK("#" &amp; ADDRESS(400, '6 - TV Stands &amp; Enterta-WUO_TRK'!A400),_xlfn.TEXTAFTER('6 - TV Stands &amp; Enterta-WUO_ERR'!A400, ":"))))</f>
        <v/>
      </c>
    </row>
    <row r="401">
      <c r="A401" s="39">
        <f>IF('6 - TV Stands &amp; Enterta'!B401 = "", "", IF('6 - TV Stands &amp; Enterta-WUO_ERR'!A401 = "", "Validated", HYPERLINK("#" &amp; ADDRESS(401, '6 - TV Stands &amp; Enterta-WUO_TRK'!A401),_xlfn.TEXTAFTER('6 - TV Stands &amp; Enterta-WUO_ERR'!A401, ":"))))</f>
        <v/>
      </c>
    </row>
    <row r="402">
      <c r="A402" s="39">
        <f>IF('6 - TV Stands &amp; Enterta'!B402 = "", "", IF('6 - TV Stands &amp; Enterta-WUO_ERR'!A402 = "", "Validated", HYPERLINK("#" &amp; ADDRESS(402, '6 - TV Stands &amp; Enterta-WUO_TRK'!A402),_xlfn.TEXTAFTER('6 - TV Stands &amp; Enterta-WUO_ERR'!A402, ":"))))</f>
        <v/>
      </c>
    </row>
    <row r="403">
      <c r="A403" s="39">
        <f>IF('6 - TV Stands &amp; Enterta'!B403 = "", "", IF('6 - TV Stands &amp; Enterta-WUO_ERR'!A403 = "", "Validated", HYPERLINK("#" &amp; ADDRESS(403, '6 - TV Stands &amp; Enterta-WUO_TRK'!A403),_xlfn.TEXTAFTER('6 - TV Stands &amp; Enterta-WUO_ERR'!A403, ":"))))</f>
        <v/>
      </c>
    </row>
    <row r="404">
      <c r="A404" s="39">
        <f>IF('6 - TV Stands &amp; Enterta'!B404 = "", "", IF('6 - TV Stands &amp; Enterta-WUO_ERR'!A404 = "", "Validated", HYPERLINK("#" &amp; ADDRESS(404, '6 - TV Stands &amp; Enterta-WUO_TRK'!A404),_xlfn.TEXTAFTER('6 - TV Stands &amp; Enterta-WUO_ERR'!A404, ":"))))</f>
        <v/>
      </c>
    </row>
    <row r="405">
      <c r="A405" s="39">
        <f>IF('6 - TV Stands &amp; Enterta'!B405 = "", "", IF('6 - TV Stands &amp; Enterta-WUO_ERR'!A405 = "", "Validated", HYPERLINK("#" &amp; ADDRESS(405, '6 - TV Stands &amp; Enterta-WUO_TRK'!A405),_xlfn.TEXTAFTER('6 - TV Stands &amp; Enterta-WUO_ERR'!A405, ":"))))</f>
        <v/>
      </c>
    </row>
    <row r="406">
      <c r="A406" s="39">
        <f>IF('6 - TV Stands &amp; Enterta'!B406 = "", "", IF('6 - TV Stands &amp; Enterta-WUO_ERR'!A406 = "", "Validated", HYPERLINK("#" &amp; ADDRESS(406, '6 - TV Stands &amp; Enterta-WUO_TRK'!A406),_xlfn.TEXTAFTER('6 - TV Stands &amp; Enterta-WUO_ERR'!A406, ":"))))</f>
        <v/>
      </c>
    </row>
    <row r="407">
      <c r="A407" s="39">
        <f>IF('6 - TV Stands &amp; Enterta'!B407 = "", "", IF('6 - TV Stands &amp; Enterta-WUO_ERR'!A407 = "", "Validated", HYPERLINK("#" &amp; ADDRESS(407, '6 - TV Stands &amp; Enterta-WUO_TRK'!A407),_xlfn.TEXTAFTER('6 - TV Stands &amp; Enterta-WUO_ERR'!A407, ":"))))</f>
        <v/>
      </c>
    </row>
    <row r="408">
      <c r="A408" s="39">
        <f>IF('6 - TV Stands &amp; Enterta'!B408 = "", "", IF('6 - TV Stands &amp; Enterta-WUO_ERR'!A408 = "", "Validated", HYPERLINK("#" &amp; ADDRESS(408, '6 - TV Stands &amp; Enterta-WUO_TRK'!A408),_xlfn.TEXTAFTER('6 - TV Stands &amp; Enterta-WUO_ERR'!A408, ":"))))</f>
        <v/>
      </c>
    </row>
    <row r="409">
      <c r="A409" s="39">
        <f>IF('6 - TV Stands &amp; Enterta'!B409 = "", "", IF('6 - TV Stands &amp; Enterta-WUO_ERR'!A409 = "", "Validated", HYPERLINK("#" &amp; ADDRESS(409, '6 - TV Stands &amp; Enterta-WUO_TRK'!A409),_xlfn.TEXTAFTER('6 - TV Stands &amp; Enterta-WUO_ERR'!A409, ":"))))</f>
        <v/>
      </c>
    </row>
    <row r="410">
      <c r="A410" s="39">
        <f>IF('6 - TV Stands &amp; Enterta'!B410 = "", "", IF('6 - TV Stands &amp; Enterta-WUO_ERR'!A410 = "", "Validated", HYPERLINK("#" &amp; ADDRESS(410, '6 - TV Stands &amp; Enterta-WUO_TRK'!A410),_xlfn.TEXTAFTER('6 - TV Stands &amp; Enterta-WUO_ERR'!A410, ":"))))</f>
        <v/>
      </c>
    </row>
    <row r="411">
      <c r="A411" s="39">
        <f>IF('6 - TV Stands &amp; Enterta'!B411 = "", "", IF('6 - TV Stands &amp; Enterta-WUO_ERR'!A411 = "", "Validated", HYPERLINK("#" &amp; ADDRESS(411, '6 - TV Stands &amp; Enterta-WUO_TRK'!A411),_xlfn.TEXTAFTER('6 - TV Stands &amp; Enterta-WUO_ERR'!A411, ":"))))</f>
        <v/>
      </c>
    </row>
    <row r="412">
      <c r="A412" s="39">
        <f>IF('6 - TV Stands &amp; Enterta'!B412 = "", "", IF('6 - TV Stands &amp; Enterta-WUO_ERR'!A412 = "", "Validated", HYPERLINK("#" &amp; ADDRESS(412, '6 - TV Stands &amp; Enterta-WUO_TRK'!A412),_xlfn.TEXTAFTER('6 - TV Stands &amp; Enterta-WUO_ERR'!A412, ":"))))</f>
        <v/>
      </c>
    </row>
    <row r="413">
      <c r="A413" s="39">
        <f>IF('6 - TV Stands &amp; Enterta'!B413 = "", "", IF('6 - TV Stands &amp; Enterta-WUO_ERR'!A413 = "", "Validated", HYPERLINK("#" &amp; ADDRESS(413, '6 - TV Stands &amp; Enterta-WUO_TRK'!A413),_xlfn.TEXTAFTER('6 - TV Stands &amp; Enterta-WUO_ERR'!A413, ":"))))</f>
        <v/>
      </c>
    </row>
    <row r="414">
      <c r="A414" s="39">
        <f>IF('6 - TV Stands &amp; Enterta'!B414 = "", "", IF('6 - TV Stands &amp; Enterta-WUO_ERR'!A414 = "", "Validated", HYPERLINK("#" &amp; ADDRESS(414, '6 - TV Stands &amp; Enterta-WUO_TRK'!A414),_xlfn.TEXTAFTER('6 - TV Stands &amp; Enterta-WUO_ERR'!A414, ":"))))</f>
        <v/>
      </c>
    </row>
    <row r="415">
      <c r="A415" s="39">
        <f>IF('6 - TV Stands &amp; Enterta'!B415 = "", "", IF('6 - TV Stands &amp; Enterta-WUO_ERR'!A415 = "", "Validated", HYPERLINK("#" &amp; ADDRESS(415, '6 - TV Stands &amp; Enterta-WUO_TRK'!A415),_xlfn.TEXTAFTER('6 - TV Stands &amp; Enterta-WUO_ERR'!A415, ":"))))</f>
        <v/>
      </c>
    </row>
    <row r="416">
      <c r="A416" s="39">
        <f>IF('6 - TV Stands &amp; Enterta'!B416 = "", "", IF('6 - TV Stands &amp; Enterta-WUO_ERR'!A416 = "", "Validated", HYPERLINK("#" &amp; ADDRESS(416, '6 - TV Stands &amp; Enterta-WUO_TRK'!A416),_xlfn.TEXTAFTER('6 - TV Stands &amp; Enterta-WUO_ERR'!A416, ":"))))</f>
        <v/>
      </c>
    </row>
    <row r="417">
      <c r="A417" s="39">
        <f>IF('6 - TV Stands &amp; Enterta'!B417 = "", "", IF('6 - TV Stands &amp; Enterta-WUO_ERR'!A417 = "", "Validated", HYPERLINK("#" &amp; ADDRESS(417, '6 - TV Stands &amp; Enterta-WUO_TRK'!A417),_xlfn.TEXTAFTER('6 - TV Stands &amp; Enterta-WUO_ERR'!A417, ":"))))</f>
        <v/>
      </c>
    </row>
    <row r="418">
      <c r="A418" s="39">
        <f>IF('6 - TV Stands &amp; Enterta'!B418 = "", "", IF('6 - TV Stands &amp; Enterta-WUO_ERR'!A418 = "", "Validated", HYPERLINK("#" &amp; ADDRESS(418, '6 - TV Stands &amp; Enterta-WUO_TRK'!A418),_xlfn.TEXTAFTER('6 - TV Stands &amp; Enterta-WUO_ERR'!A418, ":"))))</f>
        <v/>
      </c>
    </row>
    <row r="419">
      <c r="A419" s="39">
        <f>IF('6 - TV Stands &amp; Enterta'!B419 = "", "", IF('6 - TV Stands &amp; Enterta-WUO_ERR'!A419 = "", "Validated", HYPERLINK("#" &amp; ADDRESS(419, '6 - TV Stands &amp; Enterta-WUO_TRK'!A419),_xlfn.TEXTAFTER('6 - TV Stands &amp; Enterta-WUO_ERR'!A419, ":"))))</f>
        <v/>
      </c>
    </row>
    <row r="420">
      <c r="A420" s="39">
        <f>IF('6 - TV Stands &amp; Enterta'!B420 = "", "", IF('6 - TV Stands &amp; Enterta-WUO_ERR'!A420 = "", "Validated", HYPERLINK("#" &amp; ADDRESS(420, '6 - TV Stands &amp; Enterta-WUO_TRK'!A420),_xlfn.TEXTAFTER('6 - TV Stands &amp; Enterta-WUO_ERR'!A420, ":"))))</f>
        <v/>
      </c>
    </row>
    <row r="421">
      <c r="A421" s="39">
        <f>IF('6 - TV Stands &amp; Enterta'!B421 = "", "", IF('6 - TV Stands &amp; Enterta-WUO_ERR'!A421 = "", "Validated", HYPERLINK("#" &amp; ADDRESS(421, '6 - TV Stands &amp; Enterta-WUO_TRK'!A421),_xlfn.TEXTAFTER('6 - TV Stands &amp; Enterta-WUO_ERR'!A421, ":"))))</f>
        <v/>
      </c>
    </row>
    <row r="422">
      <c r="A422" s="39">
        <f>IF('6 - TV Stands &amp; Enterta'!B422 = "", "", IF('6 - TV Stands &amp; Enterta-WUO_ERR'!A422 = "", "Validated", HYPERLINK("#" &amp; ADDRESS(422, '6 - TV Stands &amp; Enterta-WUO_TRK'!A422),_xlfn.TEXTAFTER('6 - TV Stands &amp; Enterta-WUO_ERR'!A422, ":"))))</f>
        <v/>
      </c>
    </row>
    <row r="423">
      <c r="A423" s="39">
        <f>IF('6 - TV Stands &amp; Enterta'!B423 = "", "", IF('6 - TV Stands &amp; Enterta-WUO_ERR'!A423 = "", "Validated", HYPERLINK("#" &amp; ADDRESS(423, '6 - TV Stands &amp; Enterta-WUO_TRK'!A423),_xlfn.TEXTAFTER('6 - TV Stands &amp; Enterta-WUO_ERR'!A423, ":"))))</f>
        <v/>
      </c>
    </row>
    <row r="424">
      <c r="A424" s="39">
        <f>IF('6 - TV Stands &amp; Enterta'!B424 = "", "", IF('6 - TV Stands &amp; Enterta-WUO_ERR'!A424 = "", "Validated", HYPERLINK("#" &amp; ADDRESS(424, '6 - TV Stands &amp; Enterta-WUO_TRK'!A424),_xlfn.TEXTAFTER('6 - TV Stands &amp; Enterta-WUO_ERR'!A424, ":"))))</f>
        <v/>
      </c>
    </row>
    <row r="425">
      <c r="A425" s="39">
        <f>IF('6 - TV Stands &amp; Enterta'!B425 = "", "", IF('6 - TV Stands &amp; Enterta-WUO_ERR'!A425 = "", "Validated", HYPERLINK("#" &amp; ADDRESS(425, '6 - TV Stands &amp; Enterta-WUO_TRK'!A425),_xlfn.TEXTAFTER('6 - TV Stands &amp; Enterta-WUO_ERR'!A425, ":"))))</f>
        <v/>
      </c>
    </row>
    <row r="426">
      <c r="A426" s="39">
        <f>IF('6 - TV Stands &amp; Enterta'!B426 = "", "", IF('6 - TV Stands &amp; Enterta-WUO_ERR'!A426 = "", "Validated", HYPERLINK("#" &amp; ADDRESS(426, '6 - TV Stands &amp; Enterta-WUO_TRK'!A426),_xlfn.TEXTAFTER('6 - TV Stands &amp; Enterta-WUO_ERR'!A426, ":"))))</f>
        <v/>
      </c>
    </row>
    <row r="427">
      <c r="A427" s="39">
        <f>IF('6 - TV Stands &amp; Enterta'!B427 = "", "", IF('6 - TV Stands &amp; Enterta-WUO_ERR'!A427 = "", "Validated", HYPERLINK("#" &amp; ADDRESS(427, '6 - TV Stands &amp; Enterta-WUO_TRK'!A427),_xlfn.TEXTAFTER('6 - TV Stands &amp; Enterta-WUO_ERR'!A427, ":"))))</f>
        <v/>
      </c>
    </row>
    <row r="428">
      <c r="A428" s="39">
        <f>IF('6 - TV Stands &amp; Enterta'!B428 = "", "", IF('6 - TV Stands &amp; Enterta-WUO_ERR'!A428 = "", "Validated", HYPERLINK("#" &amp; ADDRESS(428, '6 - TV Stands &amp; Enterta-WUO_TRK'!A428),_xlfn.TEXTAFTER('6 - TV Stands &amp; Enterta-WUO_ERR'!A428, ":"))))</f>
        <v/>
      </c>
    </row>
    <row r="429">
      <c r="A429" s="39">
        <f>IF('6 - TV Stands &amp; Enterta'!B429 = "", "", IF('6 - TV Stands &amp; Enterta-WUO_ERR'!A429 = "", "Validated", HYPERLINK("#" &amp; ADDRESS(429, '6 - TV Stands &amp; Enterta-WUO_TRK'!A429),_xlfn.TEXTAFTER('6 - TV Stands &amp; Enterta-WUO_ERR'!A429, ":"))))</f>
        <v/>
      </c>
    </row>
    <row r="430">
      <c r="A430" s="39">
        <f>IF('6 - TV Stands &amp; Enterta'!B430 = "", "", IF('6 - TV Stands &amp; Enterta-WUO_ERR'!A430 = "", "Validated", HYPERLINK("#" &amp; ADDRESS(430, '6 - TV Stands &amp; Enterta-WUO_TRK'!A430),_xlfn.TEXTAFTER('6 - TV Stands &amp; Enterta-WUO_ERR'!A430, ":"))))</f>
        <v/>
      </c>
    </row>
    <row r="431">
      <c r="A431" s="39">
        <f>IF('6 - TV Stands &amp; Enterta'!B431 = "", "", IF('6 - TV Stands &amp; Enterta-WUO_ERR'!A431 = "", "Validated", HYPERLINK("#" &amp; ADDRESS(431, '6 - TV Stands &amp; Enterta-WUO_TRK'!A431),_xlfn.TEXTAFTER('6 - TV Stands &amp; Enterta-WUO_ERR'!A431, ":"))))</f>
        <v/>
      </c>
    </row>
    <row r="432">
      <c r="A432" s="39">
        <f>IF('6 - TV Stands &amp; Enterta'!B432 = "", "", IF('6 - TV Stands &amp; Enterta-WUO_ERR'!A432 = "", "Validated", HYPERLINK("#" &amp; ADDRESS(432, '6 - TV Stands &amp; Enterta-WUO_TRK'!A432),_xlfn.TEXTAFTER('6 - TV Stands &amp; Enterta-WUO_ERR'!A432, ":"))))</f>
        <v/>
      </c>
    </row>
    <row r="433">
      <c r="A433" s="39">
        <f>IF('6 - TV Stands &amp; Enterta'!B433 = "", "", IF('6 - TV Stands &amp; Enterta-WUO_ERR'!A433 = "", "Validated", HYPERLINK("#" &amp; ADDRESS(433, '6 - TV Stands &amp; Enterta-WUO_TRK'!A433),_xlfn.TEXTAFTER('6 - TV Stands &amp; Enterta-WUO_ERR'!A433, ":"))))</f>
        <v/>
      </c>
    </row>
    <row r="434">
      <c r="A434" s="39">
        <f>IF('6 - TV Stands &amp; Enterta'!B434 = "", "", IF('6 - TV Stands &amp; Enterta-WUO_ERR'!A434 = "", "Validated", HYPERLINK("#" &amp; ADDRESS(434, '6 - TV Stands &amp; Enterta-WUO_TRK'!A434),_xlfn.TEXTAFTER('6 - TV Stands &amp; Enterta-WUO_ERR'!A434, ":"))))</f>
        <v/>
      </c>
    </row>
    <row r="435">
      <c r="A435" s="39">
        <f>IF('6 - TV Stands &amp; Enterta'!B435 = "", "", IF('6 - TV Stands &amp; Enterta-WUO_ERR'!A435 = "", "Validated", HYPERLINK("#" &amp; ADDRESS(435, '6 - TV Stands &amp; Enterta-WUO_TRK'!A435),_xlfn.TEXTAFTER('6 - TV Stands &amp; Enterta-WUO_ERR'!A435, ":"))))</f>
        <v/>
      </c>
    </row>
    <row r="436">
      <c r="A436" s="39">
        <f>IF('6 - TV Stands &amp; Enterta'!B436 = "", "", IF('6 - TV Stands &amp; Enterta-WUO_ERR'!A436 = "", "Validated", HYPERLINK("#" &amp; ADDRESS(436, '6 - TV Stands &amp; Enterta-WUO_TRK'!A436),_xlfn.TEXTAFTER('6 - TV Stands &amp; Enterta-WUO_ERR'!A436, ":"))))</f>
        <v/>
      </c>
    </row>
    <row r="437">
      <c r="A437" s="39">
        <f>IF('6 - TV Stands &amp; Enterta'!B437 = "", "", IF('6 - TV Stands &amp; Enterta-WUO_ERR'!A437 = "", "Validated", HYPERLINK("#" &amp; ADDRESS(437, '6 - TV Stands &amp; Enterta-WUO_TRK'!A437),_xlfn.TEXTAFTER('6 - TV Stands &amp; Enterta-WUO_ERR'!A437, ":"))))</f>
        <v/>
      </c>
    </row>
    <row r="438">
      <c r="A438" s="39">
        <f>IF('6 - TV Stands &amp; Enterta'!B438 = "", "", IF('6 - TV Stands &amp; Enterta-WUO_ERR'!A438 = "", "Validated", HYPERLINK("#" &amp; ADDRESS(438, '6 - TV Stands &amp; Enterta-WUO_TRK'!A438),_xlfn.TEXTAFTER('6 - TV Stands &amp; Enterta-WUO_ERR'!A438, ":"))))</f>
        <v/>
      </c>
    </row>
    <row r="439">
      <c r="A439" s="39">
        <f>IF('6 - TV Stands &amp; Enterta'!B439 = "", "", IF('6 - TV Stands &amp; Enterta-WUO_ERR'!A439 = "", "Validated", HYPERLINK("#" &amp; ADDRESS(439, '6 - TV Stands &amp; Enterta-WUO_TRK'!A439),_xlfn.TEXTAFTER('6 - TV Stands &amp; Enterta-WUO_ERR'!A439, ":"))))</f>
        <v/>
      </c>
    </row>
    <row r="440">
      <c r="A440" s="39">
        <f>IF('6 - TV Stands &amp; Enterta'!B440 = "", "", IF('6 - TV Stands &amp; Enterta-WUO_ERR'!A440 = "", "Validated", HYPERLINK("#" &amp; ADDRESS(440, '6 - TV Stands &amp; Enterta-WUO_TRK'!A440),_xlfn.TEXTAFTER('6 - TV Stands &amp; Enterta-WUO_ERR'!A440, ":"))))</f>
        <v/>
      </c>
    </row>
    <row r="441">
      <c r="A441" s="39">
        <f>IF('6 - TV Stands &amp; Enterta'!B441 = "", "", IF('6 - TV Stands &amp; Enterta-WUO_ERR'!A441 = "", "Validated", HYPERLINK("#" &amp; ADDRESS(441, '6 - TV Stands &amp; Enterta-WUO_TRK'!A441),_xlfn.TEXTAFTER('6 - TV Stands &amp; Enterta-WUO_ERR'!A441, ":"))))</f>
        <v/>
      </c>
    </row>
    <row r="442">
      <c r="A442" s="39">
        <f>IF('6 - TV Stands &amp; Enterta'!B442 = "", "", IF('6 - TV Stands &amp; Enterta-WUO_ERR'!A442 = "", "Validated", HYPERLINK("#" &amp; ADDRESS(442, '6 - TV Stands &amp; Enterta-WUO_TRK'!A442),_xlfn.TEXTAFTER('6 - TV Stands &amp; Enterta-WUO_ERR'!A442, ":"))))</f>
        <v/>
      </c>
    </row>
    <row r="443">
      <c r="A443" s="39">
        <f>IF('6 - TV Stands &amp; Enterta'!B443 = "", "", IF('6 - TV Stands &amp; Enterta-WUO_ERR'!A443 = "", "Validated", HYPERLINK("#" &amp; ADDRESS(443, '6 - TV Stands &amp; Enterta-WUO_TRK'!A443),_xlfn.TEXTAFTER('6 - TV Stands &amp; Enterta-WUO_ERR'!A443, ":"))))</f>
        <v/>
      </c>
    </row>
    <row r="444">
      <c r="A444" s="39">
        <f>IF('6 - TV Stands &amp; Enterta'!B444 = "", "", IF('6 - TV Stands &amp; Enterta-WUO_ERR'!A444 = "", "Validated", HYPERLINK("#" &amp; ADDRESS(444, '6 - TV Stands &amp; Enterta-WUO_TRK'!A444),_xlfn.TEXTAFTER('6 - TV Stands &amp; Enterta-WUO_ERR'!A444, ":"))))</f>
        <v/>
      </c>
    </row>
    <row r="445">
      <c r="A445" s="39">
        <f>IF('6 - TV Stands &amp; Enterta'!B445 = "", "", IF('6 - TV Stands &amp; Enterta-WUO_ERR'!A445 = "", "Validated", HYPERLINK("#" &amp; ADDRESS(445, '6 - TV Stands &amp; Enterta-WUO_TRK'!A445),_xlfn.TEXTAFTER('6 - TV Stands &amp; Enterta-WUO_ERR'!A445, ":"))))</f>
        <v/>
      </c>
    </row>
    <row r="446">
      <c r="A446" s="39">
        <f>IF('6 - TV Stands &amp; Enterta'!B446 = "", "", IF('6 - TV Stands &amp; Enterta-WUO_ERR'!A446 = "", "Validated", HYPERLINK("#" &amp; ADDRESS(446, '6 - TV Stands &amp; Enterta-WUO_TRK'!A446),_xlfn.TEXTAFTER('6 - TV Stands &amp; Enterta-WUO_ERR'!A446, ":"))))</f>
        <v/>
      </c>
    </row>
    <row r="447">
      <c r="A447" s="39">
        <f>IF('6 - TV Stands &amp; Enterta'!B447 = "", "", IF('6 - TV Stands &amp; Enterta-WUO_ERR'!A447 = "", "Validated", HYPERLINK("#" &amp; ADDRESS(447, '6 - TV Stands &amp; Enterta-WUO_TRK'!A447),_xlfn.TEXTAFTER('6 - TV Stands &amp; Enterta-WUO_ERR'!A447, ":"))))</f>
        <v/>
      </c>
    </row>
    <row r="448">
      <c r="A448" s="39">
        <f>IF('6 - TV Stands &amp; Enterta'!B448 = "", "", IF('6 - TV Stands &amp; Enterta-WUO_ERR'!A448 = "", "Validated", HYPERLINK("#" &amp; ADDRESS(448, '6 - TV Stands &amp; Enterta-WUO_TRK'!A448),_xlfn.TEXTAFTER('6 - TV Stands &amp; Enterta-WUO_ERR'!A448, ":"))))</f>
        <v/>
      </c>
    </row>
    <row r="449">
      <c r="A449" s="39">
        <f>IF('6 - TV Stands &amp; Enterta'!B449 = "", "", IF('6 - TV Stands &amp; Enterta-WUO_ERR'!A449 = "", "Validated", HYPERLINK("#" &amp; ADDRESS(449, '6 - TV Stands &amp; Enterta-WUO_TRK'!A449),_xlfn.TEXTAFTER('6 - TV Stands &amp; Enterta-WUO_ERR'!A449, ":"))))</f>
        <v/>
      </c>
    </row>
    <row r="450">
      <c r="A450" s="39">
        <f>IF('6 - TV Stands &amp; Enterta'!B450 = "", "", IF('6 - TV Stands &amp; Enterta-WUO_ERR'!A450 = "", "Validated", HYPERLINK("#" &amp; ADDRESS(450, '6 - TV Stands &amp; Enterta-WUO_TRK'!A450),_xlfn.TEXTAFTER('6 - TV Stands &amp; Enterta-WUO_ERR'!A450, ":"))))</f>
        <v/>
      </c>
    </row>
    <row r="451">
      <c r="A451" s="39">
        <f>IF('6 - TV Stands &amp; Enterta'!B451 = "", "", IF('6 - TV Stands &amp; Enterta-WUO_ERR'!A451 = "", "Validated", HYPERLINK("#" &amp; ADDRESS(451, '6 - TV Stands &amp; Enterta-WUO_TRK'!A451),_xlfn.TEXTAFTER('6 - TV Stands &amp; Enterta-WUO_ERR'!A451, ":"))))</f>
        <v/>
      </c>
    </row>
    <row r="452">
      <c r="A452" s="39">
        <f>IF('6 - TV Stands &amp; Enterta'!B452 = "", "", IF('6 - TV Stands &amp; Enterta-WUO_ERR'!A452 = "", "Validated", HYPERLINK("#" &amp; ADDRESS(452, '6 - TV Stands &amp; Enterta-WUO_TRK'!A452),_xlfn.TEXTAFTER('6 - TV Stands &amp; Enterta-WUO_ERR'!A452, ":"))))</f>
        <v/>
      </c>
    </row>
    <row r="453">
      <c r="A453" s="39">
        <f>IF('6 - TV Stands &amp; Enterta'!B453 = "", "", IF('6 - TV Stands &amp; Enterta-WUO_ERR'!A453 = "", "Validated", HYPERLINK("#" &amp; ADDRESS(453, '6 - TV Stands &amp; Enterta-WUO_TRK'!A453),_xlfn.TEXTAFTER('6 - TV Stands &amp; Enterta-WUO_ERR'!A453, ":"))))</f>
        <v/>
      </c>
    </row>
    <row r="454">
      <c r="A454" s="39">
        <f>IF('6 - TV Stands &amp; Enterta'!B454 = "", "", IF('6 - TV Stands &amp; Enterta-WUO_ERR'!A454 = "", "Validated", HYPERLINK("#" &amp; ADDRESS(454, '6 - TV Stands &amp; Enterta-WUO_TRK'!A454),_xlfn.TEXTAFTER('6 - TV Stands &amp; Enterta-WUO_ERR'!A454, ":"))))</f>
        <v/>
      </c>
    </row>
    <row r="455">
      <c r="A455" s="39">
        <f>IF('6 - TV Stands &amp; Enterta'!B455 = "", "", IF('6 - TV Stands &amp; Enterta-WUO_ERR'!A455 = "", "Validated", HYPERLINK("#" &amp; ADDRESS(455, '6 - TV Stands &amp; Enterta-WUO_TRK'!A455),_xlfn.TEXTAFTER('6 - TV Stands &amp; Enterta-WUO_ERR'!A455, ":"))))</f>
        <v/>
      </c>
    </row>
    <row r="456">
      <c r="A456" s="39">
        <f>IF('6 - TV Stands &amp; Enterta'!B456 = "", "", IF('6 - TV Stands &amp; Enterta-WUO_ERR'!A456 = "", "Validated", HYPERLINK("#" &amp; ADDRESS(456, '6 - TV Stands &amp; Enterta-WUO_TRK'!A456),_xlfn.TEXTAFTER('6 - TV Stands &amp; Enterta-WUO_ERR'!A456, ":"))))</f>
        <v/>
      </c>
    </row>
    <row r="457">
      <c r="A457" s="39">
        <f>IF('6 - TV Stands &amp; Enterta'!B457 = "", "", IF('6 - TV Stands &amp; Enterta-WUO_ERR'!A457 = "", "Validated", HYPERLINK("#" &amp; ADDRESS(457, '6 - TV Stands &amp; Enterta-WUO_TRK'!A457),_xlfn.TEXTAFTER('6 - TV Stands &amp; Enterta-WUO_ERR'!A457, ":"))))</f>
        <v/>
      </c>
    </row>
    <row r="458">
      <c r="A458" s="39">
        <f>IF('6 - TV Stands &amp; Enterta'!B458 = "", "", IF('6 - TV Stands &amp; Enterta-WUO_ERR'!A458 = "", "Validated", HYPERLINK("#" &amp; ADDRESS(458, '6 - TV Stands &amp; Enterta-WUO_TRK'!A458),_xlfn.TEXTAFTER('6 - TV Stands &amp; Enterta-WUO_ERR'!A458, ":"))))</f>
        <v/>
      </c>
    </row>
    <row r="459">
      <c r="A459" s="39">
        <f>IF('6 - TV Stands &amp; Enterta'!B459 = "", "", IF('6 - TV Stands &amp; Enterta-WUO_ERR'!A459 = "", "Validated", HYPERLINK("#" &amp; ADDRESS(459, '6 - TV Stands &amp; Enterta-WUO_TRK'!A459),_xlfn.TEXTAFTER('6 - TV Stands &amp; Enterta-WUO_ERR'!A459, ":"))))</f>
        <v/>
      </c>
    </row>
    <row r="460">
      <c r="A460" s="39">
        <f>IF('6 - TV Stands &amp; Enterta'!B460 = "", "", IF('6 - TV Stands &amp; Enterta-WUO_ERR'!A460 = "", "Validated", HYPERLINK("#" &amp; ADDRESS(460, '6 - TV Stands &amp; Enterta-WUO_TRK'!A460),_xlfn.TEXTAFTER('6 - TV Stands &amp; Enterta-WUO_ERR'!A460, ":"))))</f>
        <v/>
      </c>
    </row>
    <row r="461">
      <c r="A461" s="39">
        <f>IF('6 - TV Stands &amp; Enterta'!B461 = "", "", IF('6 - TV Stands &amp; Enterta-WUO_ERR'!A461 = "", "Validated", HYPERLINK("#" &amp; ADDRESS(461, '6 - TV Stands &amp; Enterta-WUO_TRK'!A461),_xlfn.TEXTAFTER('6 - TV Stands &amp; Enterta-WUO_ERR'!A461, ":"))))</f>
        <v/>
      </c>
    </row>
    <row r="462">
      <c r="A462" s="39">
        <f>IF('6 - TV Stands &amp; Enterta'!B462 = "", "", IF('6 - TV Stands &amp; Enterta-WUO_ERR'!A462 = "", "Validated", HYPERLINK("#" &amp; ADDRESS(462, '6 - TV Stands &amp; Enterta-WUO_TRK'!A462),_xlfn.TEXTAFTER('6 - TV Stands &amp; Enterta-WUO_ERR'!A462, ":"))))</f>
        <v/>
      </c>
    </row>
    <row r="463">
      <c r="A463" s="39">
        <f>IF('6 - TV Stands &amp; Enterta'!B463 = "", "", IF('6 - TV Stands &amp; Enterta-WUO_ERR'!A463 = "", "Validated", HYPERLINK("#" &amp; ADDRESS(463, '6 - TV Stands &amp; Enterta-WUO_TRK'!A463),_xlfn.TEXTAFTER('6 - TV Stands &amp; Enterta-WUO_ERR'!A463, ":"))))</f>
        <v/>
      </c>
    </row>
    <row r="464">
      <c r="A464" s="39">
        <f>IF('6 - TV Stands &amp; Enterta'!B464 = "", "", IF('6 - TV Stands &amp; Enterta-WUO_ERR'!A464 = "", "Validated", HYPERLINK("#" &amp; ADDRESS(464, '6 - TV Stands &amp; Enterta-WUO_TRK'!A464),_xlfn.TEXTAFTER('6 - TV Stands &amp; Enterta-WUO_ERR'!A464, ":"))))</f>
        <v/>
      </c>
    </row>
    <row r="465">
      <c r="A465" s="39">
        <f>IF('6 - TV Stands &amp; Enterta'!B465 = "", "", IF('6 - TV Stands &amp; Enterta-WUO_ERR'!A465 = "", "Validated", HYPERLINK("#" &amp; ADDRESS(465, '6 - TV Stands &amp; Enterta-WUO_TRK'!A465),_xlfn.TEXTAFTER('6 - TV Stands &amp; Enterta-WUO_ERR'!A465, ":"))))</f>
        <v/>
      </c>
    </row>
    <row r="466">
      <c r="A466" s="39">
        <f>IF('6 - TV Stands &amp; Enterta'!B466 = "", "", IF('6 - TV Stands &amp; Enterta-WUO_ERR'!A466 = "", "Validated", HYPERLINK("#" &amp; ADDRESS(466, '6 - TV Stands &amp; Enterta-WUO_TRK'!A466),_xlfn.TEXTAFTER('6 - TV Stands &amp; Enterta-WUO_ERR'!A466, ":"))))</f>
        <v/>
      </c>
    </row>
    <row r="467">
      <c r="A467" s="39">
        <f>IF('6 - TV Stands &amp; Enterta'!B467 = "", "", IF('6 - TV Stands &amp; Enterta-WUO_ERR'!A467 = "", "Validated", HYPERLINK("#" &amp; ADDRESS(467, '6 - TV Stands &amp; Enterta-WUO_TRK'!A467),_xlfn.TEXTAFTER('6 - TV Stands &amp; Enterta-WUO_ERR'!A467, ":"))))</f>
        <v/>
      </c>
    </row>
    <row r="468">
      <c r="A468" s="39">
        <f>IF('6 - TV Stands &amp; Enterta'!B468 = "", "", IF('6 - TV Stands &amp; Enterta-WUO_ERR'!A468 = "", "Validated", HYPERLINK("#" &amp; ADDRESS(468, '6 - TV Stands &amp; Enterta-WUO_TRK'!A468),_xlfn.TEXTAFTER('6 - TV Stands &amp; Enterta-WUO_ERR'!A468, ":"))))</f>
        <v/>
      </c>
    </row>
    <row r="469">
      <c r="A469" s="39">
        <f>IF('6 - TV Stands &amp; Enterta'!B469 = "", "", IF('6 - TV Stands &amp; Enterta-WUO_ERR'!A469 = "", "Validated", HYPERLINK("#" &amp; ADDRESS(469, '6 - TV Stands &amp; Enterta-WUO_TRK'!A469),_xlfn.TEXTAFTER('6 - TV Stands &amp; Enterta-WUO_ERR'!A469, ":"))))</f>
        <v/>
      </c>
    </row>
    <row r="470">
      <c r="A470" s="39">
        <f>IF('6 - TV Stands &amp; Enterta'!B470 = "", "", IF('6 - TV Stands &amp; Enterta-WUO_ERR'!A470 = "", "Validated", HYPERLINK("#" &amp; ADDRESS(470, '6 - TV Stands &amp; Enterta-WUO_TRK'!A470),_xlfn.TEXTAFTER('6 - TV Stands &amp; Enterta-WUO_ERR'!A470, ":"))))</f>
        <v/>
      </c>
    </row>
    <row r="471">
      <c r="A471" s="39">
        <f>IF('6 - TV Stands &amp; Enterta'!B471 = "", "", IF('6 - TV Stands &amp; Enterta-WUO_ERR'!A471 = "", "Validated", HYPERLINK("#" &amp; ADDRESS(471, '6 - TV Stands &amp; Enterta-WUO_TRK'!A471),_xlfn.TEXTAFTER('6 - TV Stands &amp; Enterta-WUO_ERR'!A471, ":"))))</f>
        <v/>
      </c>
    </row>
    <row r="472">
      <c r="A472" s="39">
        <f>IF('6 - TV Stands &amp; Enterta'!B472 = "", "", IF('6 - TV Stands &amp; Enterta-WUO_ERR'!A472 = "", "Validated", HYPERLINK("#" &amp; ADDRESS(472, '6 - TV Stands &amp; Enterta-WUO_TRK'!A472),_xlfn.TEXTAFTER('6 - TV Stands &amp; Enterta-WUO_ERR'!A472, ":"))))</f>
        <v/>
      </c>
    </row>
    <row r="473">
      <c r="A473" s="39">
        <f>IF('6 - TV Stands &amp; Enterta'!B473 = "", "", IF('6 - TV Stands &amp; Enterta-WUO_ERR'!A473 = "", "Validated", HYPERLINK("#" &amp; ADDRESS(473, '6 - TV Stands &amp; Enterta-WUO_TRK'!A473),_xlfn.TEXTAFTER('6 - TV Stands &amp; Enterta-WUO_ERR'!A473, ":"))))</f>
        <v/>
      </c>
    </row>
    <row r="474">
      <c r="A474" s="39">
        <f>IF('6 - TV Stands &amp; Enterta'!B474 = "", "", IF('6 - TV Stands &amp; Enterta-WUO_ERR'!A474 = "", "Validated", HYPERLINK("#" &amp; ADDRESS(474, '6 - TV Stands &amp; Enterta-WUO_TRK'!A474),_xlfn.TEXTAFTER('6 - TV Stands &amp; Enterta-WUO_ERR'!A474, ":"))))</f>
        <v/>
      </c>
    </row>
    <row r="475">
      <c r="A475" s="39">
        <f>IF('6 - TV Stands &amp; Enterta'!B475 = "", "", IF('6 - TV Stands &amp; Enterta-WUO_ERR'!A475 = "", "Validated", HYPERLINK("#" &amp; ADDRESS(475, '6 - TV Stands &amp; Enterta-WUO_TRK'!A475),_xlfn.TEXTAFTER('6 - TV Stands &amp; Enterta-WUO_ERR'!A475, ":"))))</f>
        <v/>
      </c>
    </row>
    <row r="476">
      <c r="A476" s="39">
        <f>IF('6 - TV Stands &amp; Enterta'!B476 = "", "", IF('6 - TV Stands &amp; Enterta-WUO_ERR'!A476 = "", "Validated", HYPERLINK("#" &amp; ADDRESS(476, '6 - TV Stands &amp; Enterta-WUO_TRK'!A476),_xlfn.TEXTAFTER('6 - TV Stands &amp; Enterta-WUO_ERR'!A476, ":"))))</f>
        <v/>
      </c>
    </row>
    <row r="477">
      <c r="A477" s="39">
        <f>IF('6 - TV Stands &amp; Enterta'!B477 = "", "", IF('6 - TV Stands &amp; Enterta-WUO_ERR'!A477 = "", "Validated", HYPERLINK("#" &amp; ADDRESS(477, '6 - TV Stands &amp; Enterta-WUO_TRK'!A477),_xlfn.TEXTAFTER('6 - TV Stands &amp; Enterta-WUO_ERR'!A477, ":"))))</f>
        <v/>
      </c>
    </row>
    <row r="478">
      <c r="A478" s="39">
        <f>IF('6 - TV Stands &amp; Enterta'!B478 = "", "", IF('6 - TV Stands &amp; Enterta-WUO_ERR'!A478 = "", "Validated", HYPERLINK("#" &amp; ADDRESS(478, '6 - TV Stands &amp; Enterta-WUO_TRK'!A478),_xlfn.TEXTAFTER('6 - TV Stands &amp; Enterta-WUO_ERR'!A478, ":"))))</f>
        <v/>
      </c>
    </row>
    <row r="479">
      <c r="A479" s="39">
        <f>IF('6 - TV Stands &amp; Enterta'!B479 = "", "", IF('6 - TV Stands &amp; Enterta-WUO_ERR'!A479 = "", "Validated", HYPERLINK("#" &amp; ADDRESS(479, '6 - TV Stands &amp; Enterta-WUO_TRK'!A479),_xlfn.TEXTAFTER('6 - TV Stands &amp; Enterta-WUO_ERR'!A479, ":"))))</f>
        <v/>
      </c>
    </row>
    <row r="480">
      <c r="A480" s="39">
        <f>IF('6 - TV Stands &amp; Enterta'!B480 = "", "", IF('6 - TV Stands &amp; Enterta-WUO_ERR'!A480 = "", "Validated", HYPERLINK("#" &amp; ADDRESS(480, '6 - TV Stands &amp; Enterta-WUO_TRK'!A480),_xlfn.TEXTAFTER('6 - TV Stands &amp; Enterta-WUO_ERR'!A480, ":"))))</f>
        <v/>
      </c>
    </row>
    <row r="481">
      <c r="A481" s="39">
        <f>IF('6 - TV Stands &amp; Enterta'!B481 = "", "", IF('6 - TV Stands &amp; Enterta-WUO_ERR'!A481 = "", "Validated", HYPERLINK("#" &amp; ADDRESS(481, '6 - TV Stands &amp; Enterta-WUO_TRK'!A481),_xlfn.TEXTAFTER('6 - TV Stands &amp; Enterta-WUO_ERR'!A481, ":"))))</f>
        <v/>
      </c>
    </row>
    <row r="482">
      <c r="A482" s="39">
        <f>IF('6 - TV Stands &amp; Enterta'!B482 = "", "", IF('6 - TV Stands &amp; Enterta-WUO_ERR'!A482 = "", "Validated", HYPERLINK("#" &amp; ADDRESS(482, '6 - TV Stands &amp; Enterta-WUO_TRK'!A482),_xlfn.TEXTAFTER('6 - TV Stands &amp; Enterta-WUO_ERR'!A482, ":"))))</f>
        <v/>
      </c>
    </row>
    <row r="483">
      <c r="A483" s="39">
        <f>IF('6 - TV Stands &amp; Enterta'!B483 = "", "", IF('6 - TV Stands &amp; Enterta-WUO_ERR'!A483 = "", "Validated", HYPERLINK("#" &amp; ADDRESS(483, '6 - TV Stands &amp; Enterta-WUO_TRK'!A483),_xlfn.TEXTAFTER('6 - TV Stands &amp; Enterta-WUO_ERR'!A483, ":"))))</f>
        <v/>
      </c>
    </row>
    <row r="484">
      <c r="A484" s="39">
        <f>IF('6 - TV Stands &amp; Enterta'!B484 = "", "", IF('6 - TV Stands &amp; Enterta-WUO_ERR'!A484 = "", "Validated", HYPERLINK("#" &amp; ADDRESS(484, '6 - TV Stands &amp; Enterta-WUO_TRK'!A484),_xlfn.TEXTAFTER('6 - TV Stands &amp; Enterta-WUO_ERR'!A484, ":"))))</f>
        <v/>
      </c>
    </row>
    <row r="485">
      <c r="A485" s="39">
        <f>IF('6 - TV Stands &amp; Enterta'!B485 = "", "", IF('6 - TV Stands &amp; Enterta-WUO_ERR'!A485 = "", "Validated", HYPERLINK("#" &amp; ADDRESS(485, '6 - TV Stands &amp; Enterta-WUO_TRK'!A485),_xlfn.TEXTAFTER('6 - TV Stands &amp; Enterta-WUO_ERR'!A485, ":"))))</f>
        <v/>
      </c>
    </row>
    <row r="486">
      <c r="A486" s="39">
        <f>IF('6 - TV Stands &amp; Enterta'!B486 = "", "", IF('6 - TV Stands &amp; Enterta-WUO_ERR'!A486 = "", "Validated", HYPERLINK("#" &amp; ADDRESS(486, '6 - TV Stands &amp; Enterta-WUO_TRK'!A486),_xlfn.TEXTAFTER('6 - TV Stands &amp; Enterta-WUO_ERR'!A486, ":"))))</f>
        <v/>
      </c>
    </row>
    <row r="487">
      <c r="A487" s="39">
        <f>IF('6 - TV Stands &amp; Enterta'!B487 = "", "", IF('6 - TV Stands &amp; Enterta-WUO_ERR'!A487 = "", "Validated", HYPERLINK("#" &amp; ADDRESS(487, '6 - TV Stands &amp; Enterta-WUO_TRK'!A487),_xlfn.TEXTAFTER('6 - TV Stands &amp; Enterta-WUO_ERR'!A487, ":"))))</f>
        <v/>
      </c>
    </row>
    <row r="488">
      <c r="A488" s="39">
        <f>IF('6 - TV Stands &amp; Enterta'!B488 = "", "", IF('6 - TV Stands &amp; Enterta-WUO_ERR'!A488 = "", "Validated", HYPERLINK("#" &amp; ADDRESS(488, '6 - TV Stands &amp; Enterta-WUO_TRK'!A488),_xlfn.TEXTAFTER('6 - TV Stands &amp; Enterta-WUO_ERR'!A488, ":"))))</f>
        <v/>
      </c>
    </row>
    <row r="489">
      <c r="A489" s="39">
        <f>IF('6 - TV Stands &amp; Enterta'!B489 = "", "", IF('6 - TV Stands &amp; Enterta-WUO_ERR'!A489 = "", "Validated", HYPERLINK("#" &amp; ADDRESS(489, '6 - TV Stands &amp; Enterta-WUO_TRK'!A489),_xlfn.TEXTAFTER('6 - TV Stands &amp; Enterta-WUO_ERR'!A489, ":"))))</f>
        <v/>
      </c>
    </row>
    <row r="490">
      <c r="A490" s="39">
        <f>IF('6 - TV Stands &amp; Enterta'!B490 = "", "", IF('6 - TV Stands &amp; Enterta-WUO_ERR'!A490 = "", "Validated", HYPERLINK("#" &amp; ADDRESS(490, '6 - TV Stands &amp; Enterta-WUO_TRK'!A490),_xlfn.TEXTAFTER('6 - TV Stands &amp; Enterta-WUO_ERR'!A490, ":"))))</f>
        <v/>
      </c>
    </row>
    <row r="491">
      <c r="A491" s="39">
        <f>IF('6 - TV Stands &amp; Enterta'!B491 = "", "", IF('6 - TV Stands &amp; Enterta-WUO_ERR'!A491 = "", "Validated", HYPERLINK("#" &amp; ADDRESS(491, '6 - TV Stands &amp; Enterta-WUO_TRK'!A491),_xlfn.TEXTAFTER('6 - TV Stands &amp; Enterta-WUO_ERR'!A491, ":"))))</f>
        <v/>
      </c>
    </row>
    <row r="492">
      <c r="A492" s="39">
        <f>IF('6 - TV Stands &amp; Enterta'!B492 = "", "", IF('6 - TV Stands &amp; Enterta-WUO_ERR'!A492 = "", "Validated", HYPERLINK("#" &amp; ADDRESS(492, '6 - TV Stands &amp; Enterta-WUO_TRK'!A492),_xlfn.TEXTAFTER('6 - TV Stands &amp; Enterta-WUO_ERR'!A492, ":"))))</f>
        <v/>
      </c>
    </row>
    <row r="493">
      <c r="A493" s="39">
        <f>IF('6 - TV Stands &amp; Enterta'!B493 = "", "", IF('6 - TV Stands &amp; Enterta-WUO_ERR'!A493 = "", "Validated", HYPERLINK("#" &amp; ADDRESS(493, '6 - TV Stands &amp; Enterta-WUO_TRK'!A493),_xlfn.TEXTAFTER('6 - TV Stands &amp; Enterta-WUO_ERR'!A493, ":"))))</f>
        <v/>
      </c>
    </row>
    <row r="494">
      <c r="A494" s="39">
        <f>IF('6 - TV Stands &amp; Enterta'!B494 = "", "", IF('6 - TV Stands &amp; Enterta-WUO_ERR'!A494 = "", "Validated", HYPERLINK("#" &amp; ADDRESS(494, '6 - TV Stands &amp; Enterta-WUO_TRK'!A494),_xlfn.TEXTAFTER('6 - TV Stands &amp; Enterta-WUO_ERR'!A494, ":"))))</f>
        <v/>
      </c>
    </row>
    <row r="495">
      <c r="A495" s="39">
        <f>IF('6 - TV Stands &amp; Enterta'!B495 = "", "", IF('6 - TV Stands &amp; Enterta-WUO_ERR'!A495 = "", "Validated", HYPERLINK("#" &amp; ADDRESS(495, '6 - TV Stands &amp; Enterta-WUO_TRK'!A495),_xlfn.TEXTAFTER('6 - TV Stands &amp; Enterta-WUO_ERR'!A495, ":"))))</f>
        <v/>
      </c>
    </row>
    <row r="496">
      <c r="A496" s="39">
        <f>IF('6 - TV Stands &amp; Enterta'!B496 = "", "", IF('6 - TV Stands &amp; Enterta-WUO_ERR'!A496 = "", "Validated", HYPERLINK("#" &amp; ADDRESS(496, '6 - TV Stands &amp; Enterta-WUO_TRK'!A496),_xlfn.TEXTAFTER('6 - TV Stands &amp; Enterta-WUO_ERR'!A496, ":"))))</f>
        <v/>
      </c>
    </row>
    <row r="497">
      <c r="A497" s="39">
        <f>IF('6 - TV Stands &amp; Enterta'!B497 = "", "", IF('6 - TV Stands &amp; Enterta-WUO_ERR'!A497 = "", "Validated", HYPERLINK("#" &amp; ADDRESS(497, '6 - TV Stands &amp; Enterta-WUO_TRK'!A497),_xlfn.TEXTAFTER('6 - TV Stands &amp; Enterta-WUO_ERR'!A497, ":"))))</f>
        <v/>
      </c>
    </row>
    <row r="498">
      <c r="A498" s="39">
        <f>IF('6 - TV Stands &amp; Enterta'!B498 = "", "", IF('6 - TV Stands &amp; Enterta-WUO_ERR'!A498 = "", "Validated", HYPERLINK("#" &amp; ADDRESS(498, '6 - TV Stands &amp; Enterta-WUO_TRK'!A498),_xlfn.TEXTAFTER('6 - TV Stands &amp; Enterta-WUO_ERR'!A498, ":"))))</f>
        <v/>
      </c>
    </row>
    <row r="499">
      <c r="A499" s="39">
        <f>IF('6 - TV Stands &amp; Enterta'!B499 = "", "", IF('6 - TV Stands &amp; Enterta-WUO_ERR'!A499 = "", "Validated", HYPERLINK("#" &amp; ADDRESS(499, '6 - TV Stands &amp; Enterta-WUO_TRK'!A499),_xlfn.TEXTAFTER('6 - TV Stands &amp; Enterta-WUO_ERR'!A499, ":"))))</f>
        <v/>
      </c>
    </row>
    <row r="500">
      <c r="A500" s="39">
        <f>IF('6 - TV Stands &amp; Enterta'!B500 = "", "", IF('6 - TV Stands &amp; Enterta-WUO_ERR'!A500 = "", "Validated", HYPERLINK("#" &amp; ADDRESS(500, '6 - TV Stands &amp; Enterta-WUO_TRK'!A500),_xlfn.TEXTAFTER('6 - TV Stands &amp; Enterta-WUO_ERR'!A500, ":"))))</f>
        <v/>
      </c>
    </row>
    <row r="501">
      <c r="A501" s="39">
        <f>IF('6 - TV Stands &amp; Enterta'!B501 = "", "", IF('6 - TV Stands &amp; Enterta-WUO_ERR'!A501 = "", "Validated", HYPERLINK("#" &amp; ADDRESS(501, '6 - TV Stands &amp; Enterta-WUO_TRK'!A501),_xlfn.TEXTAFTER('6 - TV Stands &amp; Enterta-WUO_ERR'!A501, ":"))))</f>
        <v/>
      </c>
    </row>
    <row r="502">
      <c r="A502" s="39">
        <f>IF('6 - TV Stands &amp; Enterta'!B502 = "", "", IF('6 - TV Stands &amp; Enterta-WUO_ERR'!A502 = "", "Validated", HYPERLINK("#" &amp; ADDRESS(502, '6 - TV Stands &amp; Enterta-WUO_TRK'!A502),_xlfn.TEXTAFTER('6 - TV Stands &amp; Enterta-WUO_ERR'!A502, ":"))))</f>
        <v/>
      </c>
    </row>
    <row r="503">
      <c r="A503" s="39">
        <f>IF('6 - TV Stands &amp; Enterta'!B503 = "", "", IF('6 - TV Stands &amp; Enterta-WUO_ERR'!A503 = "", "Validated", HYPERLINK("#" &amp; ADDRESS(503, '6 - TV Stands &amp; Enterta-WUO_TRK'!A503),_xlfn.TEXTAFTER('6 - TV Stands &amp; Enterta-WUO_ERR'!A503, ":"))))</f>
        <v/>
      </c>
    </row>
    <row r="504">
      <c r="A504" s="39">
        <f>IF('6 - TV Stands &amp; Enterta'!B504 = "", "", IF('6 - TV Stands &amp; Enterta-WUO_ERR'!A504 = "", "Validated", HYPERLINK("#" &amp; ADDRESS(504, '6 - TV Stands &amp; Enterta-WUO_TRK'!A504),_xlfn.TEXTAFTER('6 - TV Stands &amp; Enterta-WUO_ERR'!A504, ":"))))</f>
        <v/>
      </c>
    </row>
    <row r="505">
      <c r="A505" s="39">
        <f>IF('6 - TV Stands &amp; Enterta'!B505 = "", "", IF('6 - TV Stands &amp; Enterta-WUO_ERR'!A505 = "", "Validated", HYPERLINK("#" &amp; ADDRESS(505, '6 - TV Stands &amp; Enterta-WUO_TRK'!A505),_xlfn.TEXTAFTER('6 - TV Stands &amp; Enterta-WUO_ERR'!A505, ":"))))</f>
        <v/>
      </c>
    </row>
    <row r="506">
      <c r="A506" s="39">
        <f>IF('6 - TV Stands &amp; Enterta'!B506 = "", "", IF('6 - TV Stands &amp; Enterta-WUO_ERR'!A506 = "", "Validated", HYPERLINK("#" &amp; ADDRESS(506, '6 - TV Stands &amp; Enterta-WUO_TRK'!A506),_xlfn.TEXTAFTER('6 - TV Stands &amp; Enterta-WUO_ERR'!A506, ":"))))</f>
        <v/>
      </c>
    </row>
    <row r="507">
      <c r="A507" s="39">
        <f>IF('6 - TV Stands &amp; Enterta'!B507 = "", "", IF('6 - TV Stands &amp; Enterta-WUO_ERR'!A507 = "", "Validated", HYPERLINK("#" &amp; ADDRESS(507, '6 - TV Stands &amp; Enterta-WUO_TRK'!A507),_xlfn.TEXTAFTER('6 - TV Stands &amp; Enterta-WUO_ERR'!A507, ":"))))</f>
        <v/>
      </c>
    </row>
  </sheetData>
  <sheetProtection selectLockedCells="0" selectUnlockedCells="0" sheet="1" objects="1" insertRows="1" insertHyperlinks="1" autoFilter="1" scenarios="1" formatColumns="0" deleteColumns="1" insertColumns="1" pivotTables="1" deleteRows="1" formatCells="1" formatRows="0" sort="1" password="E3BE"/>
  <mergeCells count="9">
    <mergeCell ref="AL2:AO2"/>
    <mergeCell ref="AP2:AS2"/>
    <mergeCell ref="U2:Z2"/>
    <mergeCell ref="R2:T2"/>
    <mergeCell ref="B2:I2"/>
    <mergeCell ref="AA2:AK2"/>
    <mergeCell ref="AT2:BN2"/>
    <mergeCell ref="BO2:FB2"/>
    <mergeCell ref="J2:Q2"/>
  </mergeCells>
  <conditionalFormatting sqref="A8:A507">
    <cfRule type="expression" priority="5" dxfId="4">
      <formula>A8="Validated"</formula>
    </cfRule>
    <cfRule type="expression" priority="6" dxfId="5">
      <formula>OR(COUNTIF('6 - TV Stands &amp; Enterta-WUO_TRK'!B8:FC8,"Error"),COUNTIF('6 - TV Stands &amp; Enterta-WUO_TRK'!B8:FC8,"Required"))</formula>
    </cfRule>
    <cfRule type="expression" priority="7" dxfId="6">
      <formula>COUNTIF('6 - TV Stands &amp; Enterta-WUO_TRK'!B8:FC8,"Warning")</formula>
    </cfRule>
  </conditionalFormatting>
  <conditionalFormatting sqref="AA7">
    <cfRule type="notContainsBlanks" priority="38" dxfId="7">
      <formula>LEN(TRIM(AA7))&gt;0</formula>
    </cfRule>
    <cfRule type="containsBlanks" priority="39" dxfId="8">
      <formula>LEN(TRIM(AA7))=0</formula>
    </cfRule>
  </conditionalFormatting>
  <conditionalFormatting sqref="AA8:AA2501">
    <cfRule type="expression" priority="40" dxfId="7">
      <formula>AND($AA$7&lt;&gt;"", AA8="")</formula>
    </cfRule>
  </conditionalFormatting>
  <conditionalFormatting sqref="AB7">
    <cfRule type="notContainsBlanks" priority="41" dxfId="7">
      <formula>LEN(TRIM(AB7))&gt;0</formula>
    </cfRule>
    <cfRule type="containsBlanks" priority="42" dxfId="8">
      <formula>LEN(TRIM(AB7))=0</formula>
    </cfRule>
  </conditionalFormatting>
  <conditionalFormatting sqref="AB8:AB2501">
    <cfRule type="expression" priority="43" dxfId="7">
      <formula>AND($AB$7&lt;&gt;"", AB8="")</formula>
    </cfRule>
  </conditionalFormatting>
  <conditionalFormatting sqref="AC7">
    <cfRule type="notContainsBlanks" priority="44" dxfId="7">
      <formula>LEN(TRIM(AC7))&gt;0</formula>
    </cfRule>
    <cfRule type="containsBlanks" priority="45" dxfId="8">
      <formula>LEN(TRIM(AC7))=0</formula>
    </cfRule>
  </conditionalFormatting>
  <conditionalFormatting sqref="AC8:AC2501">
    <cfRule type="expression" priority="46" dxfId="7">
      <formula>AND($AC$7&lt;&gt;"", AC8="")</formula>
    </cfRule>
  </conditionalFormatting>
  <conditionalFormatting sqref="AD7">
    <cfRule type="notContainsBlanks" priority="47" dxfId="7">
      <formula>LEN(TRIM(AD7))&gt;0</formula>
    </cfRule>
    <cfRule type="containsBlanks" priority="48" dxfId="8">
      <formula>LEN(TRIM(AD7))=0</formula>
    </cfRule>
  </conditionalFormatting>
  <conditionalFormatting sqref="AD8:AD2501">
    <cfRule type="expression" priority="49" dxfId="7">
      <formula>AND($AD$7&lt;&gt;"", AD8="")</formula>
    </cfRule>
  </conditionalFormatting>
  <conditionalFormatting sqref="AE7">
    <cfRule type="notContainsBlanks" priority="50" dxfId="7">
      <formula>LEN(TRIM(AE7))&gt;0</formula>
    </cfRule>
    <cfRule type="containsBlanks" priority="51" dxfId="8">
      <formula>LEN(TRIM(AE7))=0</formula>
    </cfRule>
  </conditionalFormatting>
  <conditionalFormatting sqref="AE8:AE2501">
    <cfRule type="expression" priority="52" dxfId="7">
      <formula>AND($AE$7&lt;&gt;"", AE8="")</formula>
    </cfRule>
  </conditionalFormatting>
  <conditionalFormatting sqref="AF7">
    <cfRule type="notContainsBlanks" priority="53" dxfId="7">
      <formula>LEN(TRIM(AF7))&gt;0</formula>
    </cfRule>
    <cfRule type="containsBlanks" priority="54" dxfId="8">
      <formula>LEN(TRIM(AF7))=0</formula>
    </cfRule>
  </conditionalFormatting>
  <conditionalFormatting sqref="AF8:AF2501">
    <cfRule type="expression" priority="55" dxfId="7">
      <formula>AND($AF$7&lt;&gt;"", AF8="")</formula>
    </cfRule>
  </conditionalFormatting>
  <conditionalFormatting sqref="AG7">
    <cfRule type="notContainsBlanks" priority="56" dxfId="7">
      <formula>LEN(TRIM(AG7))&gt;0</formula>
    </cfRule>
    <cfRule type="containsBlanks" priority="57" dxfId="8">
      <formula>LEN(TRIM(AG7))=0</formula>
    </cfRule>
  </conditionalFormatting>
  <conditionalFormatting sqref="AG8:AG2501">
    <cfRule type="expression" priority="58" dxfId="7">
      <formula>AND($AG$7&lt;&gt;"", AG8="")</formula>
    </cfRule>
  </conditionalFormatting>
  <conditionalFormatting sqref="AH7">
    <cfRule type="notContainsBlanks" priority="59" dxfId="7">
      <formula>LEN(TRIM(AH7))&gt;0</formula>
    </cfRule>
    <cfRule type="containsBlanks" priority="60" dxfId="8">
      <formula>LEN(TRIM(AH7))=0</formula>
    </cfRule>
  </conditionalFormatting>
  <conditionalFormatting sqref="AH8:AH2501">
    <cfRule type="expression" priority="61" dxfId="7">
      <formula>AND($AH$7&lt;&gt;"", AH8="")</formula>
    </cfRule>
  </conditionalFormatting>
  <conditionalFormatting sqref="AI7">
    <cfRule type="notContainsBlanks" priority="62" dxfId="7">
      <formula>LEN(TRIM(AI7))&gt;0</formula>
    </cfRule>
    <cfRule type="containsBlanks" priority="63" dxfId="8">
      <formula>LEN(TRIM(AI7))=0</formula>
    </cfRule>
  </conditionalFormatting>
  <conditionalFormatting sqref="AI8:AI2501">
    <cfRule type="expression" priority="64" dxfId="7">
      <formula>AND($AI$7&lt;&gt;"", AI8="")</formula>
    </cfRule>
  </conditionalFormatting>
  <conditionalFormatting sqref="AJ7">
    <cfRule type="notContainsBlanks" priority="65" dxfId="7">
      <formula>LEN(TRIM(AJ7))&gt;0</formula>
    </cfRule>
    <cfRule type="containsBlanks" priority="66" dxfId="8">
      <formula>LEN(TRIM(AJ7))=0</formula>
    </cfRule>
  </conditionalFormatting>
  <conditionalFormatting sqref="AJ8:AJ2501">
    <cfRule type="expression" priority="67" dxfId="7">
      <formula>AND($AJ$7&lt;&gt;"", AJ8="")</formula>
    </cfRule>
  </conditionalFormatting>
  <conditionalFormatting sqref="AK7">
    <cfRule type="notContainsBlanks" priority="68" dxfId="7">
      <formula>LEN(TRIM(AK7))&gt;0</formula>
    </cfRule>
    <cfRule type="containsBlanks" priority="69" dxfId="8">
      <formula>LEN(TRIM(AK7))=0</formula>
    </cfRule>
  </conditionalFormatting>
  <conditionalFormatting sqref="AK8:AK2501">
    <cfRule type="expression" priority="70" dxfId="7">
      <formula>AND($AK$7&lt;&gt;"", AK8="")</formula>
    </cfRule>
  </conditionalFormatting>
  <conditionalFormatting sqref="AL7">
    <cfRule type="notContainsBlanks" priority="71" dxfId="7">
      <formula>LEN(TRIM(AL7))&gt;0</formula>
    </cfRule>
    <cfRule type="containsBlanks" priority="72" dxfId="8">
      <formula>LEN(TRIM(AL7))=0</formula>
    </cfRule>
  </conditionalFormatting>
  <conditionalFormatting sqref="AL8:AL2501">
    <cfRule type="expression" priority="73" dxfId="7">
      <formula>AND($AL$7&lt;&gt;"", AL8="")</formula>
    </cfRule>
  </conditionalFormatting>
  <conditionalFormatting sqref="AM7">
    <cfRule type="notContainsBlanks" priority="74" dxfId="7">
      <formula>LEN(TRIM(AM7))&gt;0</formula>
    </cfRule>
    <cfRule type="containsBlanks" priority="75" dxfId="8">
      <formula>LEN(TRIM(AM7))=0</formula>
    </cfRule>
  </conditionalFormatting>
  <conditionalFormatting sqref="AM8:AM2501">
    <cfRule type="expression" priority="76" dxfId="7">
      <formula>AND($AM$7&lt;&gt;"", AM8="")</formula>
    </cfRule>
  </conditionalFormatting>
  <conditionalFormatting sqref="AN7">
    <cfRule type="notContainsBlanks" priority="77" dxfId="7">
      <formula>LEN(TRIM(AN7))&gt;0</formula>
    </cfRule>
    <cfRule type="containsBlanks" priority="78" dxfId="8">
      <formula>LEN(TRIM(AN7))=0</formula>
    </cfRule>
  </conditionalFormatting>
  <conditionalFormatting sqref="AN8:AN2501">
    <cfRule type="expression" priority="79" dxfId="7">
      <formula>AND($AN$7&lt;&gt;"", AN8="")</formula>
    </cfRule>
  </conditionalFormatting>
  <conditionalFormatting sqref="AO7">
    <cfRule type="notContainsBlanks" priority="80" dxfId="7">
      <formula>LEN(TRIM(AO7))&gt;0</formula>
    </cfRule>
    <cfRule type="containsBlanks" priority="81" dxfId="8">
      <formula>LEN(TRIM(AO7))=0</formula>
    </cfRule>
  </conditionalFormatting>
  <conditionalFormatting sqref="AO8:AO2501">
    <cfRule type="expression" priority="82" dxfId="7">
      <formula>AND($AO$7&lt;&gt;"", AO8="")</formula>
    </cfRule>
  </conditionalFormatting>
  <conditionalFormatting sqref="AP7">
    <cfRule type="notContainsBlanks" priority="83" dxfId="7">
      <formula>LEN(TRIM(AP7))&gt;0</formula>
    </cfRule>
    <cfRule type="containsBlanks" priority="84" dxfId="8">
      <formula>LEN(TRIM(AP7))=0</formula>
    </cfRule>
  </conditionalFormatting>
  <conditionalFormatting sqref="AP8:AP2501">
    <cfRule type="expression" priority="85" dxfId="7">
      <formula>AND($AP$7&lt;&gt;"", AP8="")</formula>
    </cfRule>
  </conditionalFormatting>
  <conditionalFormatting sqref="AQ7">
    <cfRule type="notContainsBlanks" priority="86" dxfId="7">
      <formula>LEN(TRIM(AQ7))&gt;0</formula>
    </cfRule>
    <cfRule type="containsBlanks" priority="87" dxfId="8">
      <formula>LEN(TRIM(AQ7))=0</formula>
    </cfRule>
  </conditionalFormatting>
  <conditionalFormatting sqref="AQ8:AQ2501">
    <cfRule type="expression" priority="88" dxfId="7">
      <formula>AND($AQ$7&lt;&gt;"", AQ8="")</formula>
    </cfRule>
  </conditionalFormatting>
  <conditionalFormatting sqref="AR7">
    <cfRule type="notContainsBlanks" priority="89" dxfId="7">
      <formula>LEN(TRIM(AR7))&gt;0</formula>
    </cfRule>
    <cfRule type="containsBlanks" priority="90" dxfId="8">
      <formula>LEN(TRIM(AR7))=0</formula>
    </cfRule>
  </conditionalFormatting>
  <conditionalFormatting sqref="AR8:AR2501">
    <cfRule type="expression" priority="91" dxfId="7">
      <formula>AND($AR$7&lt;&gt;"", AR8="")</formula>
    </cfRule>
  </conditionalFormatting>
  <conditionalFormatting sqref="AS7">
    <cfRule type="notContainsBlanks" priority="92" dxfId="7">
      <formula>LEN(TRIM(AS7))&gt;0</formula>
    </cfRule>
    <cfRule type="containsBlanks" priority="93" dxfId="8">
      <formula>LEN(TRIM(AS7))=0</formula>
    </cfRule>
  </conditionalFormatting>
  <conditionalFormatting sqref="AS8:AS2501">
    <cfRule type="expression" priority="94" dxfId="7">
      <formula>AND($AS$7&lt;&gt;"", AS8="")</formula>
    </cfRule>
  </conditionalFormatting>
  <conditionalFormatting sqref="AZ7">
    <cfRule type="notContainsBlanks" priority="95" dxfId="7">
      <formula>LEN(TRIM(AZ7))&gt;0</formula>
    </cfRule>
    <cfRule type="containsBlanks" priority="96" dxfId="8">
      <formula>LEN(TRIM(AZ7))=0</formula>
    </cfRule>
  </conditionalFormatting>
  <conditionalFormatting sqref="AZ8:AZ2501">
    <cfRule type="expression" priority="97" dxfId="7">
      <formula>AND($AZ$7&lt;&gt;"", AZ8="")</formula>
    </cfRule>
  </conditionalFormatting>
  <conditionalFormatting sqref="B8:FC507">
    <cfRule type="expression" priority="1" dxfId="0">
      <formula>'6 - TV Stands &amp; Enterta-WUO_TRK'!B8="Error"</formula>
    </cfRule>
    <cfRule type="expression" priority="2" dxfId="1">
      <formula>'6 - TV Stands &amp; Enterta-WUO_TRK'!B8="Required"</formula>
    </cfRule>
    <cfRule type="expression" priority="3" dxfId="2">
      <formula>'6 - TV Stands &amp; Enterta-WUO_TRK'!B8="Warning"</formula>
    </cfRule>
    <cfRule type="expression" priority="4" dxfId="3">
      <formula>'6 - TV Stands &amp; Enterta-WUO_TRK'!B8="Disabled"</formula>
    </cfRule>
  </conditionalFormatting>
  <conditionalFormatting sqref="BA7">
    <cfRule type="notContainsBlanks" priority="98" dxfId="7">
      <formula>LEN(TRIM(BA7))&gt;0</formula>
    </cfRule>
    <cfRule type="containsBlanks" priority="99" dxfId="8">
      <formula>LEN(TRIM(BA7))=0</formula>
    </cfRule>
  </conditionalFormatting>
  <conditionalFormatting sqref="BA8:BA2501">
    <cfRule type="expression" priority="100" dxfId="7">
      <formula>AND($BA$7&lt;&gt;"", BA8="")</formula>
    </cfRule>
  </conditionalFormatting>
  <conditionalFormatting sqref="BB7">
    <cfRule type="notContainsBlanks" priority="101" dxfId="7">
      <formula>LEN(TRIM(BB7))&gt;0</formula>
    </cfRule>
    <cfRule type="containsBlanks" priority="102" dxfId="8">
      <formula>LEN(TRIM(BB7))=0</formula>
    </cfRule>
  </conditionalFormatting>
  <conditionalFormatting sqref="BB8:BB2501">
    <cfRule type="expression" priority="103" dxfId="7">
      <formula>AND($BB$7&lt;&gt;"", BB8="")</formula>
    </cfRule>
  </conditionalFormatting>
  <conditionalFormatting sqref="BC7">
    <cfRule type="notContainsBlanks" priority="104" dxfId="7">
      <formula>LEN(TRIM(BC7))&gt;0</formula>
    </cfRule>
    <cfRule type="containsBlanks" priority="105" dxfId="8">
      <formula>LEN(TRIM(BC7))=0</formula>
    </cfRule>
  </conditionalFormatting>
  <conditionalFormatting sqref="BC8:BC2501">
    <cfRule type="expression" priority="106" dxfId="7">
      <formula>AND($BC$7&lt;&gt;"", BC8="")</formula>
    </cfRule>
  </conditionalFormatting>
  <conditionalFormatting sqref="BD7">
    <cfRule type="notContainsBlanks" priority="107" dxfId="7">
      <formula>LEN(TRIM(BD7))&gt;0</formula>
    </cfRule>
    <cfRule type="containsBlanks" priority="108" dxfId="8">
      <formula>LEN(TRIM(BD7))=0</formula>
    </cfRule>
  </conditionalFormatting>
  <conditionalFormatting sqref="BD8:BD2501">
    <cfRule type="expression" priority="109" dxfId="7">
      <formula>AND($BD$7&lt;&gt;"", BD8="")</formula>
    </cfRule>
  </conditionalFormatting>
  <conditionalFormatting sqref="BE7">
    <cfRule type="notContainsBlanks" priority="110" dxfId="7">
      <formula>LEN(TRIM(BE7))&gt;0</formula>
    </cfRule>
    <cfRule type="containsBlanks" priority="111" dxfId="8">
      <formula>LEN(TRIM(BE7))=0</formula>
    </cfRule>
  </conditionalFormatting>
  <conditionalFormatting sqref="BE8:BE2501">
    <cfRule type="expression" priority="112" dxfId="7">
      <formula>AND($BE$7&lt;&gt;"", BE8="")</formula>
    </cfRule>
  </conditionalFormatting>
  <conditionalFormatting sqref="BF7">
    <cfRule type="notContainsBlanks" priority="113" dxfId="7">
      <formula>LEN(TRIM(BF7))&gt;0</formula>
    </cfRule>
    <cfRule type="containsBlanks" priority="114" dxfId="8">
      <formula>LEN(TRIM(BF7))=0</formula>
    </cfRule>
  </conditionalFormatting>
  <conditionalFormatting sqref="BF8:BF2501">
    <cfRule type="expression" priority="115" dxfId="7">
      <formula>AND($BF$7&lt;&gt;"", BF8="")</formula>
    </cfRule>
  </conditionalFormatting>
  <conditionalFormatting sqref="BG7">
    <cfRule type="notContainsBlanks" priority="116" dxfId="7">
      <formula>LEN(TRIM(BG7))&gt;0</formula>
    </cfRule>
    <cfRule type="containsBlanks" priority="117" dxfId="8">
      <formula>LEN(TRIM(BG7))=0</formula>
    </cfRule>
  </conditionalFormatting>
  <conditionalFormatting sqref="BG8:BG2501">
    <cfRule type="expression" priority="118" dxfId="7">
      <formula>AND($BG$7&lt;&gt;"", BG8="")</formula>
    </cfRule>
  </conditionalFormatting>
  <conditionalFormatting sqref="BH7">
    <cfRule type="notContainsBlanks" priority="119" dxfId="7">
      <formula>LEN(TRIM(BH7))&gt;0</formula>
    </cfRule>
    <cfRule type="containsBlanks" priority="120" dxfId="8">
      <formula>LEN(TRIM(BH7))=0</formula>
    </cfRule>
  </conditionalFormatting>
  <conditionalFormatting sqref="BH8:BH2501">
    <cfRule type="expression" priority="121" dxfId="7">
      <formula>AND($BH$7&lt;&gt;"", BH8="")</formula>
    </cfRule>
  </conditionalFormatting>
  <conditionalFormatting sqref="BI7">
    <cfRule type="notContainsBlanks" priority="122" dxfId="7">
      <formula>LEN(TRIM(BI7))&gt;0</formula>
    </cfRule>
    <cfRule type="containsBlanks" priority="123" dxfId="8">
      <formula>LEN(TRIM(BI7))=0</formula>
    </cfRule>
  </conditionalFormatting>
  <conditionalFormatting sqref="BI8:BI2501">
    <cfRule type="expression" priority="124" dxfId="7">
      <formula>AND($BI$7&lt;&gt;"", BI8="")</formula>
    </cfRule>
  </conditionalFormatting>
  <conditionalFormatting sqref="BJ7">
    <cfRule type="notContainsBlanks" priority="125" dxfId="7">
      <formula>LEN(TRIM(BJ7))&gt;0</formula>
    </cfRule>
    <cfRule type="containsBlanks" priority="126" dxfId="8">
      <formula>LEN(TRIM(BJ7))=0</formula>
    </cfRule>
  </conditionalFormatting>
  <conditionalFormatting sqref="BJ8:BJ2501">
    <cfRule type="expression" priority="127" dxfId="7">
      <formula>AND($BJ$7&lt;&gt;"", BJ8="")</formula>
    </cfRule>
  </conditionalFormatting>
  <conditionalFormatting sqref="BK7">
    <cfRule type="notContainsBlanks" priority="128" dxfId="7">
      <formula>LEN(TRIM(BK7))&gt;0</formula>
    </cfRule>
    <cfRule type="containsBlanks" priority="129" dxfId="8">
      <formula>LEN(TRIM(BK7))=0</formula>
    </cfRule>
  </conditionalFormatting>
  <conditionalFormatting sqref="BK8:BK2501">
    <cfRule type="expression" priority="130" dxfId="7">
      <formula>AND($BK$7&lt;&gt;"", BK8="")</formula>
    </cfRule>
  </conditionalFormatting>
  <conditionalFormatting sqref="BL7">
    <cfRule type="notContainsBlanks" priority="131" dxfId="7">
      <formula>LEN(TRIM(BL7))&gt;0</formula>
    </cfRule>
    <cfRule type="containsBlanks" priority="132" dxfId="8">
      <formula>LEN(TRIM(BL7))=0</formula>
    </cfRule>
  </conditionalFormatting>
  <conditionalFormatting sqref="BL8:BL2501">
    <cfRule type="expression" priority="133" dxfId="7">
      <formula>AND($BL$7&lt;&gt;"", BL8="")</formula>
    </cfRule>
  </conditionalFormatting>
  <conditionalFormatting sqref="BM7">
    <cfRule type="notContainsBlanks" priority="134" dxfId="7">
      <formula>LEN(TRIM(BM7))&gt;0</formula>
    </cfRule>
    <cfRule type="containsBlanks" priority="135" dxfId="8">
      <formula>LEN(TRIM(BM7))=0</formula>
    </cfRule>
  </conditionalFormatting>
  <conditionalFormatting sqref="BM8:BM2501">
    <cfRule type="expression" priority="136" dxfId="7">
      <formula>AND($BM$7&lt;&gt;"", BM8="")</formula>
    </cfRule>
  </conditionalFormatting>
  <conditionalFormatting sqref="BN7">
    <cfRule type="notContainsBlanks" priority="137" dxfId="7">
      <formula>LEN(TRIM(BN7))&gt;0</formula>
    </cfRule>
    <cfRule type="containsBlanks" priority="138" dxfId="8">
      <formula>LEN(TRIM(BN7))=0</formula>
    </cfRule>
  </conditionalFormatting>
  <conditionalFormatting sqref="BN8:BN2501">
    <cfRule type="expression" priority="139" dxfId="7">
      <formula>AND($BN$7&lt;&gt;"", BN8="")</formula>
    </cfRule>
  </conditionalFormatting>
  <conditionalFormatting sqref="BO7">
    <cfRule type="notContainsBlanks" priority="140" dxfId="7">
      <formula>LEN(TRIM(BO7))&gt;0</formula>
    </cfRule>
    <cfRule type="containsBlanks" priority="141" dxfId="8">
      <formula>LEN(TRIM(BO7))=0</formula>
    </cfRule>
  </conditionalFormatting>
  <conditionalFormatting sqref="BO8:BO2501">
    <cfRule type="expression" priority="142" dxfId="7">
      <formula>AND($BO$7&lt;&gt;"", BO8="")</formula>
    </cfRule>
  </conditionalFormatting>
  <conditionalFormatting sqref="BP7">
    <cfRule type="notContainsBlanks" priority="143" dxfId="7">
      <formula>LEN(TRIM(BP7))&gt;0</formula>
    </cfRule>
    <cfRule type="containsBlanks" priority="144" dxfId="8">
      <formula>LEN(TRIM(BP7))=0</formula>
    </cfRule>
  </conditionalFormatting>
  <conditionalFormatting sqref="BP8:BP2501">
    <cfRule type="expression" priority="145" dxfId="7">
      <formula>AND($BP$7&lt;&gt;"", BP8="")</formula>
    </cfRule>
  </conditionalFormatting>
  <conditionalFormatting sqref="BQ7">
    <cfRule type="notContainsBlanks" priority="146" dxfId="7">
      <formula>LEN(TRIM(BQ7))&gt;0</formula>
    </cfRule>
    <cfRule type="containsBlanks" priority="147" dxfId="8">
      <formula>LEN(TRIM(BQ7))=0</formula>
    </cfRule>
  </conditionalFormatting>
  <conditionalFormatting sqref="BQ8:BQ2501">
    <cfRule type="expression" priority="148" dxfId="7">
      <formula>AND($BQ$7&lt;&gt;"", BQ8="")</formula>
    </cfRule>
  </conditionalFormatting>
  <conditionalFormatting sqref="BR7">
    <cfRule type="notContainsBlanks" priority="149" dxfId="7">
      <formula>LEN(TRIM(BR7))&gt;0</formula>
    </cfRule>
    <cfRule type="containsBlanks" priority="150" dxfId="8">
      <formula>LEN(TRIM(BR7))=0</formula>
    </cfRule>
  </conditionalFormatting>
  <conditionalFormatting sqref="BR8:BR2501">
    <cfRule type="expression" priority="151" dxfId="7">
      <formula>AND($BR$7&lt;&gt;"", BR8="")</formula>
    </cfRule>
  </conditionalFormatting>
  <conditionalFormatting sqref="BS7">
    <cfRule type="notContainsBlanks" priority="152" dxfId="7">
      <formula>LEN(TRIM(BS7))&gt;0</formula>
    </cfRule>
    <cfRule type="containsBlanks" priority="153" dxfId="8">
      <formula>LEN(TRIM(BS7))=0</formula>
    </cfRule>
  </conditionalFormatting>
  <conditionalFormatting sqref="BS8:BS2501">
    <cfRule type="expression" priority="154" dxfId="7">
      <formula>AND($BS$7&lt;&gt;"", BS8="")</formula>
    </cfRule>
  </conditionalFormatting>
  <conditionalFormatting sqref="BT7">
    <cfRule type="notContainsBlanks" priority="155" dxfId="7">
      <formula>LEN(TRIM(BT7))&gt;0</formula>
    </cfRule>
    <cfRule type="containsBlanks" priority="156" dxfId="8">
      <formula>LEN(TRIM(BT7))=0</formula>
    </cfRule>
  </conditionalFormatting>
  <conditionalFormatting sqref="BT8:BT2501">
    <cfRule type="expression" priority="157" dxfId="7">
      <formula>AND($BT$7&lt;&gt;"", BT8="")</formula>
    </cfRule>
  </conditionalFormatting>
  <conditionalFormatting sqref="BU7">
    <cfRule type="notContainsBlanks" priority="158" dxfId="7">
      <formula>LEN(TRIM(BU7))&gt;0</formula>
    </cfRule>
    <cfRule type="containsBlanks" priority="159" dxfId="8">
      <formula>LEN(TRIM(BU7))=0</formula>
    </cfRule>
  </conditionalFormatting>
  <conditionalFormatting sqref="BU8:BU2501">
    <cfRule type="expression" priority="160" dxfId="7">
      <formula>AND($BU$7&lt;&gt;"", BU8="")</formula>
    </cfRule>
  </conditionalFormatting>
  <conditionalFormatting sqref="BV7">
    <cfRule type="notContainsBlanks" priority="161" dxfId="7">
      <formula>LEN(TRIM(BV7))&gt;0</formula>
    </cfRule>
    <cfRule type="containsBlanks" priority="162" dxfId="8">
      <formula>LEN(TRIM(BV7))=0</formula>
    </cfRule>
  </conditionalFormatting>
  <conditionalFormatting sqref="BV8:BV2501">
    <cfRule type="expression" priority="163" dxfId="7">
      <formula>AND($BV$7&lt;&gt;"", BV8="")</formula>
    </cfRule>
  </conditionalFormatting>
  <conditionalFormatting sqref="BW7">
    <cfRule type="notContainsBlanks" priority="164" dxfId="7">
      <formula>LEN(TRIM(BW7))&gt;0</formula>
    </cfRule>
    <cfRule type="containsBlanks" priority="165" dxfId="8">
      <formula>LEN(TRIM(BW7))=0</formula>
    </cfRule>
  </conditionalFormatting>
  <conditionalFormatting sqref="BW8:BW2501">
    <cfRule type="expression" priority="166" dxfId="7">
      <formula>AND($BW$7&lt;&gt;"", BW8="")</formula>
    </cfRule>
  </conditionalFormatting>
  <conditionalFormatting sqref="BX7">
    <cfRule type="notContainsBlanks" priority="167" dxfId="7">
      <formula>LEN(TRIM(BX7))&gt;0</formula>
    </cfRule>
    <cfRule type="containsBlanks" priority="168" dxfId="8">
      <formula>LEN(TRIM(BX7))=0</formula>
    </cfRule>
  </conditionalFormatting>
  <conditionalFormatting sqref="BX8:BX2501">
    <cfRule type="expression" priority="169" dxfId="7">
      <formula>AND($BX$7&lt;&gt;"", BX8="")</formula>
    </cfRule>
  </conditionalFormatting>
  <conditionalFormatting sqref="BY7">
    <cfRule type="notContainsBlanks" priority="170" dxfId="7">
      <formula>LEN(TRIM(BY7))&gt;0</formula>
    </cfRule>
    <cfRule type="containsBlanks" priority="171" dxfId="8">
      <formula>LEN(TRIM(BY7))=0</formula>
    </cfRule>
  </conditionalFormatting>
  <conditionalFormatting sqref="BY8:BY2501">
    <cfRule type="expression" priority="172" dxfId="7">
      <formula>AND($BY$7&lt;&gt;"", BY8="")</formula>
    </cfRule>
  </conditionalFormatting>
  <conditionalFormatting sqref="BZ7">
    <cfRule type="notContainsBlanks" priority="173" dxfId="7">
      <formula>LEN(TRIM(BZ7))&gt;0</formula>
    </cfRule>
    <cfRule type="containsBlanks" priority="174" dxfId="8">
      <formula>LEN(TRIM(BZ7))=0</formula>
    </cfRule>
  </conditionalFormatting>
  <conditionalFormatting sqref="BZ8:BZ2501">
    <cfRule type="expression" priority="175" dxfId="7">
      <formula>AND($BZ$7&lt;&gt;"", BZ8="")</formula>
    </cfRule>
  </conditionalFormatting>
  <conditionalFormatting sqref="CA7">
    <cfRule type="notContainsBlanks" priority="176" dxfId="7">
      <formula>LEN(TRIM(CA7))&gt;0</formula>
    </cfRule>
    <cfRule type="containsBlanks" priority="177" dxfId="8">
      <formula>LEN(TRIM(CA7))=0</formula>
    </cfRule>
  </conditionalFormatting>
  <conditionalFormatting sqref="CA8:CA2501">
    <cfRule type="expression" priority="178" dxfId="7">
      <formula>AND($CA$7&lt;&gt;"", CA8="")</formula>
    </cfRule>
  </conditionalFormatting>
  <conditionalFormatting sqref="CB7">
    <cfRule type="notContainsBlanks" priority="179" dxfId="7">
      <formula>LEN(TRIM(CB7))&gt;0</formula>
    </cfRule>
    <cfRule type="containsBlanks" priority="180" dxfId="8">
      <formula>LEN(TRIM(CB7))=0</formula>
    </cfRule>
  </conditionalFormatting>
  <conditionalFormatting sqref="CB8:CB2501">
    <cfRule type="expression" priority="181" dxfId="7">
      <formula>AND($CB$7&lt;&gt;"", CB8="")</formula>
    </cfRule>
  </conditionalFormatting>
  <conditionalFormatting sqref="CC7">
    <cfRule type="notContainsBlanks" priority="182" dxfId="7">
      <formula>LEN(TRIM(CC7))&gt;0</formula>
    </cfRule>
    <cfRule type="containsBlanks" priority="183" dxfId="8">
      <formula>LEN(TRIM(CC7))=0</formula>
    </cfRule>
  </conditionalFormatting>
  <conditionalFormatting sqref="CC8:CC2501">
    <cfRule type="expression" priority="184" dxfId="7">
      <formula>AND($CC$7&lt;&gt;"", CC8="")</formula>
    </cfRule>
  </conditionalFormatting>
  <conditionalFormatting sqref="CD7">
    <cfRule type="notContainsBlanks" priority="185" dxfId="7">
      <formula>LEN(TRIM(CD7))&gt;0</formula>
    </cfRule>
    <cfRule type="containsBlanks" priority="186" dxfId="8">
      <formula>LEN(TRIM(CD7))=0</formula>
    </cfRule>
  </conditionalFormatting>
  <conditionalFormatting sqref="CD8:CD2501">
    <cfRule type="expression" priority="187" dxfId="7">
      <formula>AND($CD$7&lt;&gt;"", CD8="")</formula>
    </cfRule>
  </conditionalFormatting>
  <conditionalFormatting sqref="CE7">
    <cfRule type="notContainsBlanks" priority="188" dxfId="7">
      <formula>LEN(TRIM(CE7))&gt;0</formula>
    </cfRule>
    <cfRule type="containsBlanks" priority="189" dxfId="8">
      <formula>LEN(TRIM(CE7))=0</formula>
    </cfRule>
  </conditionalFormatting>
  <conditionalFormatting sqref="CE8:CE2501">
    <cfRule type="expression" priority="190" dxfId="7">
      <formula>AND($CE$7&lt;&gt;"", CE8="")</formula>
    </cfRule>
  </conditionalFormatting>
  <conditionalFormatting sqref="CF7">
    <cfRule type="notContainsBlanks" priority="191" dxfId="7">
      <formula>LEN(TRIM(CF7))&gt;0</formula>
    </cfRule>
    <cfRule type="containsBlanks" priority="192" dxfId="8">
      <formula>LEN(TRIM(CF7))=0</formula>
    </cfRule>
  </conditionalFormatting>
  <conditionalFormatting sqref="CF8:CF2501">
    <cfRule type="expression" priority="193" dxfId="7">
      <formula>AND($CF$7&lt;&gt;"", CF8="")</formula>
    </cfRule>
  </conditionalFormatting>
  <conditionalFormatting sqref="CG7">
    <cfRule type="notContainsBlanks" priority="194" dxfId="7">
      <formula>LEN(TRIM(CG7))&gt;0</formula>
    </cfRule>
    <cfRule type="containsBlanks" priority="195" dxfId="8">
      <formula>LEN(TRIM(CG7))=0</formula>
    </cfRule>
  </conditionalFormatting>
  <conditionalFormatting sqref="CG8:CG2501">
    <cfRule type="expression" priority="196" dxfId="7">
      <formula>AND($CG$7&lt;&gt;"", CG8="")</formula>
    </cfRule>
  </conditionalFormatting>
  <conditionalFormatting sqref="CH7">
    <cfRule type="notContainsBlanks" priority="197" dxfId="7">
      <formula>LEN(TRIM(CH7))&gt;0</formula>
    </cfRule>
    <cfRule type="containsBlanks" priority="198" dxfId="8">
      <formula>LEN(TRIM(CH7))=0</formula>
    </cfRule>
  </conditionalFormatting>
  <conditionalFormatting sqref="CH8:CH2501">
    <cfRule type="expression" priority="199" dxfId="7">
      <formula>AND($CH$7&lt;&gt;"", CH8="")</formula>
    </cfRule>
  </conditionalFormatting>
  <conditionalFormatting sqref="CI7">
    <cfRule type="notContainsBlanks" priority="200" dxfId="7">
      <formula>LEN(TRIM(CI7))&gt;0</formula>
    </cfRule>
    <cfRule type="containsBlanks" priority="201" dxfId="8">
      <formula>LEN(TRIM(CI7))=0</formula>
    </cfRule>
  </conditionalFormatting>
  <conditionalFormatting sqref="CI8:CI2501">
    <cfRule type="expression" priority="202" dxfId="7">
      <formula>AND($CI$7&lt;&gt;"", CI8="")</formula>
    </cfRule>
  </conditionalFormatting>
  <conditionalFormatting sqref="CJ7">
    <cfRule type="notContainsBlanks" priority="203" dxfId="7">
      <formula>LEN(TRIM(CJ7))&gt;0</formula>
    </cfRule>
    <cfRule type="containsBlanks" priority="204" dxfId="8">
      <formula>LEN(TRIM(CJ7))=0</formula>
    </cfRule>
  </conditionalFormatting>
  <conditionalFormatting sqref="CJ8:CJ2501">
    <cfRule type="expression" priority="205" dxfId="7">
      <formula>AND($CJ$7&lt;&gt;"", CJ8="")</formula>
    </cfRule>
  </conditionalFormatting>
  <conditionalFormatting sqref="CK7">
    <cfRule type="notContainsBlanks" priority="206" dxfId="7">
      <formula>LEN(TRIM(CK7))&gt;0</formula>
    </cfRule>
    <cfRule type="containsBlanks" priority="207" dxfId="8">
      <formula>LEN(TRIM(CK7))=0</formula>
    </cfRule>
  </conditionalFormatting>
  <conditionalFormatting sqref="CK8:CK2501">
    <cfRule type="expression" priority="208" dxfId="7">
      <formula>AND($CK$7&lt;&gt;"", CK8="")</formula>
    </cfRule>
  </conditionalFormatting>
  <conditionalFormatting sqref="CL7">
    <cfRule type="notContainsBlanks" priority="209" dxfId="7">
      <formula>LEN(TRIM(CL7))&gt;0</formula>
    </cfRule>
    <cfRule type="containsBlanks" priority="210" dxfId="8">
      <formula>LEN(TRIM(CL7))=0</formula>
    </cfRule>
  </conditionalFormatting>
  <conditionalFormatting sqref="CL8:CL2501">
    <cfRule type="expression" priority="211" dxfId="7">
      <formula>AND($CL$7&lt;&gt;"", CL8="")</formula>
    </cfRule>
  </conditionalFormatting>
  <conditionalFormatting sqref="CM7">
    <cfRule type="notContainsBlanks" priority="212" dxfId="7">
      <formula>LEN(TRIM(CM7))&gt;0</formula>
    </cfRule>
    <cfRule type="containsBlanks" priority="213" dxfId="8">
      <formula>LEN(TRIM(CM7))=0</formula>
    </cfRule>
  </conditionalFormatting>
  <conditionalFormatting sqref="CM8:CM2501">
    <cfRule type="expression" priority="214" dxfId="7">
      <formula>AND($CM$7&lt;&gt;"", CM8="")</formula>
    </cfRule>
  </conditionalFormatting>
  <conditionalFormatting sqref="CN7">
    <cfRule type="notContainsBlanks" priority="215" dxfId="7">
      <formula>LEN(TRIM(CN7))&gt;0</formula>
    </cfRule>
    <cfRule type="containsBlanks" priority="216" dxfId="8">
      <formula>LEN(TRIM(CN7))=0</formula>
    </cfRule>
  </conditionalFormatting>
  <conditionalFormatting sqref="CN8:CN2501">
    <cfRule type="expression" priority="217" dxfId="7">
      <formula>AND($CN$7&lt;&gt;"", CN8="")</formula>
    </cfRule>
  </conditionalFormatting>
  <conditionalFormatting sqref="CO7">
    <cfRule type="notContainsBlanks" priority="218" dxfId="7">
      <formula>LEN(TRIM(CO7))&gt;0</formula>
    </cfRule>
    <cfRule type="containsBlanks" priority="219" dxfId="8">
      <formula>LEN(TRIM(CO7))=0</formula>
    </cfRule>
  </conditionalFormatting>
  <conditionalFormatting sqref="CO8:CO2501">
    <cfRule type="expression" priority="220" dxfId="7">
      <formula>AND($CO$7&lt;&gt;"", CO8="")</formula>
    </cfRule>
  </conditionalFormatting>
  <conditionalFormatting sqref="CP7">
    <cfRule type="notContainsBlanks" priority="221" dxfId="7">
      <formula>LEN(TRIM(CP7))&gt;0</formula>
    </cfRule>
    <cfRule type="containsBlanks" priority="222" dxfId="8">
      <formula>LEN(TRIM(CP7))=0</formula>
    </cfRule>
  </conditionalFormatting>
  <conditionalFormatting sqref="CP8:CP2501">
    <cfRule type="expression" priority="223" dxfId="7">
      <formula>AND($CP$7&lt;&gt;"", CP8="")</formula>
    </cfRule>
  </conditionalFormatting>
  <conditionalFormatting sqref="CQ7">
    <cfRule type="notContainsBlanks" priority="224" dxfId="7">
      <formula>LEN(TRIM(CQ7))&gt;0</formula>
    </cfRule>
    <cfRule type="containsBlanks" priority="225" dxfId="8">
      <formula>LEN(TRIM(CQ7))=0</formula>
    </cfRule>
  </conditionalFormatting>
  <conditionalFormatting sqref="CQ8:CQ2501">
    <cfRule type="expression" priority="226" dxfId="7">
      <formula>AND($CQ$7&lt;&gt;"", CQ8="")</formula>
    </cfRule>
  </conditionalFormatting>
  <conditionalFormatting sqref="CR7">
    <cfRule type="notContainsBlanks" priority="227" dxfId="7">
      <formula>LEN(TRIM(CR7))&gt;0</formula>
    </cfRule>
    <cfRule type="containsBlanks" priority="228" dxfId="8">
      <formula>LEN(TRIM(CR7))=0</formula>
    </cfRule>
  </conditionalFormatting>
  <conditionalFormatting sqref="CR8:CR2501">
    <cfRule type="expression" priority="229" dxfId="7">
      <formula>AND($CR$7&lt;&gt;"", CR8="")</formula>
    </cfRule>
  </conditionalFormatting>
  <conditionalFormatting sqref="CS7">
    <cfRule type="notContainsBlanks" priority="230" dxfId="7">
      <formula>LEN(TRIM(CS7))&gt;0</formula>
    </cfRule>
    <cfRule type="containsBlanks" priority="231" dxfId="8">
      <formula>LEN(TRIM(CS7))=0</formula>
    </cfRule>
  </conditionalFormatting>
  <conditionalFormatting sqref="CS8:CS2501">
    <cfRule type="expression" priority="232" dxfId="7">
      <formula>AND($CS$7&lt;&gt;"", CS8="")</formula>
    </cfRule>
  </conditionalFormatting>
  <conditionalFormatting sqref="CT7">
    <cfRule type="notContainsBlanks" priority="233" dxfId="7">
      <formula>LEN(TRIM(CT7))&gt;0</formula>
    </cfRule>
    <cfRule type="containsBlanks" priority="234" dxfId="8">
      <formula>LEN(TRIM(CT7))=0</formula>
    </cfRule>
  </conditionalFormatting>
  <conditionalFormatting sqref="CT8:CT2501">
    <cfRule type="expression" priority="235" dxfId="7">
      <formula>AND($CT$7&lt;&gt;"", CT8="")</formula>
    </cfRule>
  </conditionalFormatting>
  <conditionalFormatting sqref="CU7">
    <cfRule type="notContainsBlanks" priority="236" dxfId="7">
      <formula>LEN(TRIM(CU7))&gt;0</formula>
    </cfRule>
    <cfRule type="containsBlanks" priority="237" dxfId="8">
      <formula>LEN(TRIM(CU7))=0</formula>
    </cfRule>
  </conditionalFormatting>
  <conditionalFormatting sqref="CU8:CU2501">
    <cfRule type="expression" priority="238" dxfId="7">
      <formula>AND($CU$7&lt;&gt;"", CU8="")</formula>
    </cfRule>
  </conditionalFormatting>
  <conditionalFormatting sqref="CV7">
    <cfRule type="notContainsBlanks" priority="239" dxfId="7">
      <formula>LEN(TRIM(CV7))&gt;0</formula>
    </cfRule>
    <cfRule type="containsBlanks" priority="240" dxfId="8">
      <formula>LEN(TRIM(CV7))=0</formula>
    </cfRule>
  </conditionalFormatting>
  <conditionalFormatting sqref="CV8:CV2501">
    <cfRule type="expression" priority="241" dxfId="7">
      <formula>AND($CV$7&lt;&gt;"", CV8="")</formula>
    </cfRule>
  </conditionalFormatting>
  <conditionalFormatting sqref="CW7">
    <cfRule type="notContainsBlanks" priority="242" dxfId="7">
      <formula>LEN(TRIM(CW7))&gt;0</formula>
    </cfRule>
    <cfRule type="containsBlanks" priority="243" dxfId="8">
      <formula>LEN(TRIM(CW7))=0</formula>
    </cfRule>
  </conditionalFormatting>
  <conditionalFormatting sqref="CW8:CW2501">
    <cfRule type="expression" priority="244" dxfId="7">
      <formula>AND($CW$7&lt;&gt;"", CW8="")</formula>
    </cfRule>
  </conditionalFormatting>
  <conditionalFormatting sqref="CX7">
    <cfRule type="notContainsBlanks" priority="245" dxfId="7">
      <formula>LEN(TRIM(CX7))&gt;0</formula>
    </cfRule>
    <cfRule type="containsBlanks" priority="246" dxfId="8">
      <formula>LEN(TRIM(CX7))=0</formula>
    </cfRule>
  </conditionalFormatting>
  <conditionalFormatting sqref="CX8:CX2501">
    <cfRule type="expression" priority="247" dxfId="7">
      <formula>AND($CX$7&lt;&gt;"", CX8="")</formula>
    </cfRule>
  </conditionalFormatting>
  <conditionalFormatting sqref="CY7">
    <cfRule type="notContainsBlanks" priority="248" dxfId="7">
      <formula>LEN(TRIM(CY7))&gt;0</formula>
    </cfRule>
    <cfRule type="containsBlanks" priority="249" dxfId="8">
      <formula>LEN(TRIM(CY7))=0</formula>
    </cfRule>
  </conditionalFormatting>
  <conditionalFormatting sqref="CY8:CY2501">
    <cfRule type="expression" priority="250" dxfId="7">
      <formula>AND($CY$7&lt;&gt;"", CY8="")</formula>
    </cfRule>
  </conditionalFormatting>
  <conditionalFormatting sqref="CZ7">
    <cfRule type="notContainsBlanks" priority="251" dxfId="7">
      <formula>LEN(TRIM(CZ7))&gt;0</formula>
    </cfRule>
    <cfRule type="containsBlanks" priority="252" dxfId="8">
      <formula>LEN(TRIM(CZ7))=0</formula>
    </cfRule>
  </conditionalFormatting>
  <conditionalFormatting sqref="CZ8:CZ2501">
    <cfRule type="expression" priority="253"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54" dxfId="7">
      <formula>LEN(TRIM(DA7))&gt;0</formula>
    </cfRule>
    <cfRule type="containsBlanks" priority="255" dxfId="8">
      <formula>LEN(TRIM(DA7))=0</formula>
    </cfRule>
  </conditionalFormatting>
  <conditionalFormatting sqref="DA8:DA2501">
    <cfRule type="expression" priority="256" dxfId="7">
      <formula>AND($DA$7&lt;&gt;"", DA8="")</formula>
    </cfRule>
  </conditionalFormatting>
  <conditionalFormatting sqref="DB7">
    <cfRule type="notContainsBlanks" priority="257" dxfId="7">
      <formula>LEN(TRIM(DB7))&gt;0</formula>
    </cfRule>
    <cfRule type="containsBlanks" priority="258" dxfId="8">
      <formula>LEN(TRIM(DB7))=0</formula>
    </cfRule>
  </conditionalFormatting>
  <conditionalFormatting sqref="DB8:DB2501">
    <cfRule type="expression" priority="259" dxfId="7">
      <formula>AND($DB$7&lt;&gt;"", DB8="")</formula>
    </cfRule>
  </conditionalFormatting>
  <conditionalFormatting sqref="DC7">
    <cfRule type="notContainsBlanks" priority="260" dxfId="7">
      <formula>LEN(TRIM(DC7))&gt;0</formula>
    </cfRule>
    <cfRule type="containsBlanks" priority="261" dxfId="8">
      <formula>LEN(TRIM(DC7))=0</formula>
    </cfRule>
  </conditionalFormatting>
  <conditionalFormatting sqref="DC8:DC2501">
    <cfRule type="expression" priority="262" dxfId="7">
      <formula>AND($DC$7&lt;&gt;"", DC8="")</formula>
    </cfRule>
  </conditionalFormatting>
  <conditionalFormatting sqref="DD7">
    <cfRule type="notContainsBlanks" priority="263" dxfId="7">
      <formula>LEN(TRIM(DD7))&gt;0</formula>
    </cfRule>
    <cfRule type="containsBlanks" priority="264" dxfId="8">
      <formula>LEN(TRIM(DD7))=0</formula>
    </cfRule>
  </conditionalFormatting>
  <conditionalFormatting sqref="DD8:DD2501">
    <cfRule type="expression" priority="265" dxfId="7">
      <formula>AND($DD$7&lt;&gt;"", DD8="")</formula>
    </cfRule>
  </conditionalFormatting>
  <conditionalFormatting sqref="DE7">
    <cfRule type="notContainsBlanks" priority="266" dxfId="7">
      <formula>LEN(TRIM(DE7))&gt;0</formula>
    </cfRule>
    <cfRule type="containsBlanks" priority="267" dxfId="8">
      <formula>LEN(TRIM(DE7))=0</formula>
    </cfRule>
  </conditionalFormatting>
  <conditionalFormatting sqref="DE8:DE2501">
    <cfRule type="expression" priority="268" dxfId="7">
      <formula>AND($DE$7&lt;&gt;"", DE8="")</formula>
    </cfRule>
  </conditionalFormatting>
  <conditionalFormatting sqref="DF7">
    <cfRule type="notContainsBlanks" priority="269" dxfId="7">
      <formula>LEN(TRIM(DF7))&gt;0</formula>
    </cfRule>
    <cfRule type="containsBlanks" priority="270" dxfId="8">
      <formula>LEN(TRIM(DF7))=0</formula>
    </cfRule>
  </conditionalFormatting>
  <conditionalFormatting sqref="DF8:DF2501">
    <cfRule type="expression" priority="271" dxfId="7">
      <formula>AND($DF$7&lt;&gt;"", DF8="")</formula>
    </cfRule>
  </conditionalFormatting>
  <conditionalFormatting sqref="DG7">
    <cfRule type="notContainsBlanks" priority="272" dxfId="7">
      <formula>LEN(TRIM(DG7))&gt;0</formula>
    </cfRule>
    <cfRule type="containsBlanks" priority="273" dxfId="8">
      <formula>LEN(TRIM(DG7))=0</formula>
    </cfRule>
  </conditionalFormatting>
  <conditionalFormatting sqref="DG8:DG2501">
    <cfRule type="expression" priority="274" dxfId="7">
      <formula>AND($DG$7&lt;&gt;"", DG8="")</formula>
    </cfRule>
  </conditionalFormatting>
  <conditionalFormatting sqref="DH7">
    <cfRule type="notContainsBlanks" priority="275" dxfId="7">
      <formula>LEN(TRIM(DH7))&gt;0</formula>
    </cfRule>
    <cfRule type="containsBlanks" priority="276" dxfId="8">
      <formula>LEN(TRIM(DH7))=0</formula>
    </cfRule>
  </conditionalFormatting>
  <conditionalFormatting sqref="DH8:DH2501">
    <cfRule type="expression" priority="277" dxfId="7">
      <formula>AND($DH$7&lt;&gt;"", DH8="")</formula>
    </cfRule>
  </conditionalFormatting>
  <conditionalFormatting sqref="DI7">
    <cfRule type="notContainsBlanks" priority="278" dxfId="7">
      <formula>LEN(TRIM(DI7))&gt;0</formula>
    </cfRule>
    <cfRule type="containsBlanks" priority="279" dxfId="8">
      <formula>LEN(TRIM(DI7))=0</formula>
    </cfRule>
  </conditionalFormatting>
  <conditionalFormatting sqref="DI8:DI2501">
    <cfRule type="expression" priority="280" dxfId="7">
      <formula>AND($DI$7&lt;&gt;"", DI8="")</formula>
    </cfRule>
  </conditionalFormatting>
  <conditionalFormatting sqref="DJ7">
    <cfRule type="notContainsBlanks" priority="281" dxfId="7">
      <formula>LEN(TRIM(DJ7))&gt;0</formula>
    </cfRule>
    <cfRule type="containsBlanks" priority="282" dxfId="8">
      <formula>LEN(TRIM(DJ7))=0</formula>
    </cfRule>
  </conditionalFormatting>
  <conditionalFormatting sqref="DJ8:DJ2501">
    <cfRule type="expression" priority="283" dxfId="7">
      <formula>AND($DJ$7&lt;&gt;"", DJ8="")</formula>
    </cfRule>
  </conditionalFormatting>
  <conditionalFormatting sqref="DK7">
    <cfRule type="notContainsBlanks" priority="284" dxfId="7">
      <formula>LEN(TRIM(DK7))&gt;0</formula>
    </cfRule>
    <cfRule type="containsBlanks" priority="285" dxfId="8">
      <formula>LEN(TRIM(DK7))=0</formula>
    </cfRule>
  </conditionalFormatting>
  <conditionalFormatting sqref="DK8:DK2501">
    <cfRule type="expression" priority="286" dxfId="7">
      <formula>AND($DK$7&lt;&gt;"", DK8="")</formula>
    </cfRule>
  </conditionalFormatting>
  <conditionalFormatting sqref="DL7">
    <cfRule type="notContainsBlanks" priority="287" dxfId="7">
      <formula>LEN(TRIM(DL7))&gt;0</formula>
    </cfRule>
    <cfRule type="containsBlanks" priority="288" dxfId="8">
      <formula>LEN(TRIM(DL7))=0</formula>
    </cfRule>
  </conditionalFormatting>
  <conditionalFormatting sqref="DL8:DL2501">
    <cfRule type="expression" priority="289" dxfId="7">
      <formula>AND($DL$7&lt;&gt;"", DL8="")</formula>
    </cfRule>
  </conditionalFormatting>
  <conditionalFormatting sqref="DM7">
    <cfRule type="notContainsBlanks" priority="290" dxfId="7">
      <formula>LEN(TRIM(DM7))&gt;0</formula>
    </cfRule>
    <cfRule type="containsBlanks" priority="291" dxfId="8">
      <formula>LEN(TRIM(DM7))=0</formula>
    </cfRule>
  </conditionalFormatting>
  <conditionalFormatting sqref="DM8:DM2501">
    <cfRule type="expression" priority="292" dxfId="7">
      <formula>AND($DM$7&lt;&gt;"", DM8="")</formula>
    </cfRule>
  </conditionalFormatting>
  <conditionalFormatting sqref="DN7">
    <cfRule type="notContainsBlanks" priority="293" dxfId="7">
      <formula>LEN(TRIM(DN7))&gt;0</formula>
    </cfRule>
    <cfRule type="containsBlanks" priority="294" dxfId="8">
      <formula>LEN(TRIM(DN7))=0</formula>
    </cfRule>
  </conditionalFormatting>
  <conditionalFormatting sqref="DN8:DN2501">
    <cfRule type="expression" priority="295" dxfId="7">
      <formula>AND($DN$7&lt;&gt;"", DN8="")</formula>
    </cfRule>
  </conditionalFormatting>
  <conditionalFormatting sqref="DO7">
    <cfRule type="notContainsBlanks" priority="296" dxfId="7">
      <formula>LEN(TRIM(DO7))&gt;0</formula>
    </cfRule>
    <cfRule type="containsBlanks" priority="297" dxfId="8">
      <formula>LEN(TRIM(DO7))=0</formula>
    </cfRule>
  </conditionalFormatting>
  <conditionalFormatting sqref="DO8:DO2501">
    <cfRule type="expression" priority="298" dxfId="7">
      <formula>AND($DO$7&lt;&gt;"", DO8="")</formula>
    </cfRule>
  </conditionalFormatting>
  <conditionalFormatting sqref="DP7">
    <cfRule type="notContainsBlanks" priority="299" dxfId="7">
      <formula>LEN(TRIM(DP7))&gt;0</formula>
    </cfRule>
    <cfRule type="containsBlanks" priority="300" dxfId="8">
      <formula>LEN(TRIM(DP7))=0</formula>
    </cfRule>
  </conditionalFormatting>
  <conditionalFormatting sqref="DP8:DP2501">
    <cfRule type="expression" priority="301" dxfId="7">
      <formula>AND($DP$7&lt;&gt;"", DP8="")</formula>
    </cfRule>
  </conditionalFormatting>
  <conditionalFormatting sqref="DQ7">
    <cfRule type="notContainsBlanks" priority="302" dxfId="7">
      <formula>LEN(TRIM(DQ7))&gt;0</formula>
    </cfRule>
    <cfRule type="containsBlanks" priority="303" dxfId="8">
      <formula>LEN(TRIM(DQ7))=0</formula>
    </cfRule>
  </conditionalFormatting>
  <conditionalFormatting sqref="DQ8:DQ2501">
    <cfRule type="expression" priority="304" dxfId="7">
      <formula>AND($DQ$7&lt;&gt;"", DQ8="")</formula>
    </cfRule>
  </conditionalFormatting>
  <conditionalFormatting sqref="DR7">
    <cfRule type="notContainsBlanks" priority="305" dxfId="7">
      <formula>LEN(TRIM(DR7))&gt;0</formula>
    </cfRule>
    <cfRule type="containsBlanks" priority="306" dxfId="8">
      <formula>LEN(TRIM(DR7))=0</formula>
    </cfRule>
  </conditionalFormatting>
  <conditionalFormatting sqref="DR8:DR2501">
    <cfRule type="expression" priority="307" dxfId="7">
      <formula>AND($DR$7&lt;&gt;"", DR8="")</formula>
    </cfRule>
  </conditionalFormatting>
  <conditionalFormatting sqref="DS7">
    <cfRule type="notContainsBlanks" priority="308" dxfId="7">
      <formula>LEN(TRIM(DS7))&gt;0</formula>
    </cfRule>
    <cfRule type="containsBlanks" priority="309" dxfId="8">
      <formula>LEN(TRIM(DS7))=0</formula>
    </cfRule>
  </conditionalFormatting>
  <conditionalFormatting sqref="DS8:DS2501">
    <cfRule type="expression" priority="310" dxfId="7">
      <formula>AND($DS$7&lt;&gt;"", DS8="")</formula>
    </cfRule>
  </conditionalFormatting>
  <conditionalFormatting sqref="DT7">
    <cfRule type="notContainsBlanks" priority="311" dxfId="7">
      <formula>LEN(TRIM(DT7))&gt;0</formula>
    </cfRule>
    <cfRule type="containsBlanks" priority="312" dxfId="8">
      <formula>LEN(TRIM(DT7))=0</formula>
    </cfRule>
  </conditionalFormatting>
  <conditionalFormatting sqref="DT8:DT2501">
    <cfRule type="expression" priority="313" dxfId="7">
      <formula>AND($DT$7&lt;&gt;"", DT8="")</formula>
    </cfRule>
  </conditionalFormatting>
  <conditionalFormatting sqref="DU7">
    <cfRule type="notContainsBlanks" priority="314" dxfId="7">
      <formula>LEN(TRIM(DU7))&gt;0</formula>
    </cfRule>
    <cfRule type="containsBlanks" priority="315" dxfId="8">
      <formula>LEN(TRIM(DU7))=0</formula>
    </cfRule>
  </conditionalFormatting>
  <conditionalFormatting sqref="DU8:DU2501">
    <cfRule type="expression" priority="316" dxfId="7">
      <formula>AND($DU$7&lt;&gt;"", DU8="")</formula>
    </cfRule>
  </conditionalFormatting>
  <conditionalFormatting sqref="DV7">
    <cfRule type="notContainsBlanks" priority="317" dxfId="7">
      <formula>LEN(TRIM(DV7))&gt;0</formula>
    </cfRule>
    <cfRule type="containsBlanks" priority="318" dxfId="8">
      <formula>LEN(TRIM(DV7))=0</formula>
    </cfRule>
  </conditionalFormatting>
  <conditionalFormatting sqref="DV8:DV2501">
    <cfRule type="expression" priority="319" dxfId="7">
      <formula>AND($DV$7&lt;&gt;"", DV8="")</formula>
    </cfRule>
  </conditionalFormatting>
  <conditionalFormatting sqref="DW7">
    <cfRule type="notContainsBlanks" priority="320" dxfId="7">
      <formula>LEN(TRIM(DW7))&gt;0</formula>
    </cfRule>
    <cfRule type="containsBlanks" priority="321" dxfId="8">
      <formula>LEN(TRIM(DW7))=0</formula>
    </cfRule>
  </conditionalFormatting>
  <conditionalFormatting sqref="DW8:DW2501">
    <cfRule type="expression" priority="322" dxfId="7">
      <formula>AND($DW$7&lt;&gt;"", DW8="")</formula>
    </cfRule>
  </conditionalFormatting>
  <conditionalFormatting sqref="DX7">
    <cfRule type="notContainsBlanks" priority="323" dxfId="7">
      <formula>LEN(TRIM(DX7))&gt;0</formula>
    </cfRule>
    <cfRule type="containsBlanks" priority="324" dxfId="8">
      <formula>LEN(TRIM(DX7))=0</formula>
    </cfRule>
  </conditionalFormatting>
  <conditionalFormatting sqref="DX8:DX2501">
    <cfRule type="expression" priority="325" dxfId="7">
      <formula>AND($DX$7&lt;&gt;"", DX8="")</formula>
    </cfRule>
  </conditionalFormatting>
  <conditionalFormatting sqref="DY7">
    <cfRule type="notContainsBlanks" priority="326" dxfId="7">
      <formula>LEN(TRIM(DY7))&gt;0</formula>
    </cfRule>
    <cfRule type="containsBlanks" priority="327" dxfId="8">
      <formula>LEN(TRIM(DY7))=0</formula>
    </cfRule>
  </conditionalFormatting>
  <conditionalFormatting sqref="DY8:DY2501">
    <cfRule type="expression" priority="328" dxfId="7">
      <formula>AND($DY$7&lt;&gt;"", DY8="")</formula>
    </cfRule>
  </conditionalFormatting>
  <conditionalFormatting sqref="DZ7">
    <cfRule type="notContainsBlanks" priority="329" dxfId="7">
      <formula>LEN(TRIM(DZ7))&gt;0</formula>
    </cfRule>
    <cfRule type="containsBlanks" priority="330" dxfId="8">
      <formula>LEN(TRIM(DZ7))=0</formula>
    </cfRule>
  </conditionalFormatting>
  <conditionalFormatting sqref="DZ8:DZ2501">
    <cfRule type="expression" priority="331" dxfId="7">
      <formula>AND($DZ$7&lt;&gt;"", DZ8="")</formula>
    </cfRule>
  </conditionalFormatting>
  <conditionalFormatting sqref="EA7">
    <cfRule type="notContainsBlanks" priority="332" dxfId="7">
      <formula>LEN(TRIM(EA7))&gt;0</formula>
    </cfRule>
    <cfRule type="containsBlanks" priority="333" dxfId="8">
      <formula>LEN(TRIM(EA7))=0</formula>
    </cfRule>
  </conditionalFormatting>
  <conditionalFormatting sqref="EA8:EA2501">
    <cfRule type="expression" priority="334" dxfId="7">
      <formula>AND($EA$7&lt;&gt;"", EA8="")</formula>
    </cfRule>
  </conditionalFormatting>
  <conditionalFormatting sqref="EB7">
    <cfRule type="notContainsBlanks" priority="335" dxfId="7">
      <formula>LEN(TRIM(EB7))&gt;0</formula>
    </cfRule>
    <cfRule type="containsBlanks" priority="336" dxfId="8">
      <formula>LEN(TRIM(EB7))=0</formula>
    </cfRule>
  </conditionalFormatting>
  <conditionalFormatting sqref="EB8:EB2501">
    <cfRule type="expression" priority="337" dxfId="7">
      <formula>AND($EB$7&lt;&gt;"", EB8="")</formula>
    </cfRule>
  </conditionalFormatting>
  <conditionalFormatting sqref="EC7">
    <cfRule type="notContainsBlanks" priority="338" dxfId="7">
      <formula>LEN(TRIM(EC7))&gt;0</formula>
    </cfRule>
    <cfRule type="containsBlanks" priority="339" dxfId="8">
      <formula>LEN(TRIM(EC7))=0</formula>
    </cfRule>
  </conditionalFormatting>
  <conditionalFormatting sqref="EC8:EC2501">
    <cfRule type="expression" priority="340" dxfId="7">
      <formula>AND($EC$7&lt;&gt;"", EC8="")</formula>
    </cfRule>
  </conditionalFormatting>
  <conditionalFormatting sqref="ED7">
    <cfRule type="notContainsBlanks" priority="341" dxfId="7">
      <formula>LEN(TRIM(ED7))&gt;0</formula>
    </cfRule>
    <cfRule type="containsBlanks" priority="342" dxfId="8">
      <formula>LEN(TRIM(ED7))=0</formula>
    </cfRule>
  </conditionalFormatting>
  <conditionalFormatting sqref="ED8:ED2501">
    <cfRule type="expression" priority="343" dxfId="7">
      <formula>AND($ED$7&lt;&gt;"", ED8="")</formula>
    </cfRule>
  </conditionalFormatting>
  <conditionalFormatting sqref="EE7">
    <cfRule type="notContainsBlanks" priority="344" dxfId="7">
      <formula>LEN(TRIM(EE7))&gt;0</formula>
    </cfRule>
    <cfRule type="containsBlanks" priority="345" dxfId="8">
      <formula>LEN(TRIM(EE7))=0</formula>
    </cfRule>
  </conditionalFormatting>
  <conditionalFormatting sqref="EE8:EE2501">
    <cfRule type="expression" priority="346" dxfId="7">
      <formula>AND($EE$7&lt;&gt;"", EE8="")</formula>
    </cfRule>
  </conditionalFormatting>
  <conditionalFormatting sqref="EF7">
    <cfRule type="notContainsBlanks" priority="347" dxfId="7">
      <formula>LEN(TRIM(EF7))&gt;0</formula>
    </cfRule>
    <cfRule type="containsBlanks" priority="348" dxfId="8">
      <formula>LEN(TRIM(EF7))=0</formula>
    </cfRule>
  </conditionalFormatting>
  <conditionalFormatting sqref="EF8:EF2501">
    <cfRule type="expression" priority="349" dxfId="7">
      <formula>AND($EF$7&lt;&gt;"", EF8="")</formula>
    </cfRule>
  </conditionalFormatting>
  <conditionalFormatting sqref="EG7">
    <cfRule type="notContainsBlanks" priority="350" dxfId="7">
      <formula>LEN(TRIM(EG7))&gt;0</formula>
    </cfRule>
    <cfRule type="containsBlanks" priority="351" dxfId="8">
      <formula>LEN(TRIM(EG7))=0</formula>
    </cfRule>
  </conditionalFormatting>
  <conditionalFormatting sqref="EG8:EG2501">
    <cfRule type="expression" priority="352" dxfId="7">
      <formula>AND($EG$7&lt;&gt;"", EG8="")</formula>
    </cfRule>
  </conditionalFormatting>
  <conditionalFormatting sqref="EH7">
    <cfRule type="notContainsBlanks" priority="353" dxfId="7">
      <formula>LEN(TRIM(EH7))&gt;0</formula>
    </cfRule>
    <cfRule type="containsBlanks" priority="354" dxfId="8">
      <formula>LEN(TRIM(EH7))=0</formula>
    </cfRule>
  </conditionalFormatting>
  <conditionalFormatting sqref="EH8:EH2501">
    <cfRule type="expression" priority="355" dxfId="7">
      <formula>AND($EH$7&lt;&gt;"", EH8="")</formula>
    </cfRule>
  </conditionalFormatting>
  <conditionalFormatting sqref="EI7">
    <cfRule type="notContainsBlanks" priority="356" dxfId="7">
      <formula>LEN(TRIM(EI7))&gt;0</formula>
    </cfRule>
    <cfRule type="containsBlanks" priority="357" dxfId="8">
      <formula>LEN(TRIM(EI7))=0</formula>
    </cfRule>
  </conditionalFormatting>
  <conditionalFormatting sqref="EI8:EI2501">
    <cfRule type="expression" priority="358" dxfId="7">
      <formula>AND($EI$7&lt;&gt;"", EI8="")</formula>
    </cfRule>
  </conditionalFormatting>
  <conditionalFormatting sqref="EJ7">
    <cfRule type="notContainsBlanks" priority="359" dxfId="7">
      <formula>LEN(TRIM(EJ7))&gt;0</formula>
    </cfRule>
    <cfRule type="containsBlanks" priority="360" dxfId="8">
      <formula>LEN(TRIM(EJ7))=0</formula>
    </cfRule>
  </conditionalFormatting>
  <conditionalFormatting sqref="EJ8:EJ2501">
    <cfRule type="expression" priority="361" dxfId="7">
      <formula>AND($EJ$7&lt;&gt;"", EJ8="")</formula>
    </cfRule>
  </conditionalFormatting>
  <conditionalFormatting sqref="EK7">
    <cfRule type="notContainsBlanks" priority="362" dxfId="7">
      <formula>LEN(TRIM(EK7))&gt;0</formula>
    </cfRule>
    <cfRule type="containsBlanks" priority="363" dxfId="8">
      <formula>LEN(TRIM(EK7))=0</formula>
    </cfRule>
  </conditionalFormatting>
  <conditionalFormatting sqref="EK8:EK2501">
    <cfRule type="expression" priority="364" dxfId="7">
      <formula>AND($EK$7&lt;&gt;"", EK8="")</formula>
    </cfRule>
  </conditionalFormatting>
  <conditionalFormatting sqref="EL7">
    <cfRule type="notContainsBlanks" priority="365" dxfId="7">
      <formula>LEN(TRIM(EL7))&gt;0</formula>
    </cfRule>
    <cfRule type="containsBlanks" priority="366" dxfId="8">
      <formula>LEN(TRIM(EL7))=0</formula>
    </cfRule>
  </conditionalFormatting>
  <conditionalFormatting sqref="EL8:EL2501">
    <cfRule type="expression" priority="367" dxfId="7">
      <formula>AND($EL$7&lt;&gt;"", EL8="")</formula>
    </cfRule>
  </conditionalFormatting>
  <conditionalFormatting sqref="EM7">
    <cfRule type="notContainsBlanks" priority="368" dxfId="7">
      <formula>LEN(TRIM(EM7))&gt;0</formula>
    </cfRule>
    <cfRule type="containsBlanks" priority="369" dxfId="8">
      <formula>LEN(TRIM(EM7))=0</formula>
    </cfRule>
  </conditionalFormatting>
  <conditionalFormatting sqref="EM8:EM2501">
    <cfRule type="expression" priority="370" dxfId="7">
      <formula>AND($EM$7&lt;&gt;"", EM8="")</formula>
    </cfRule>
  </conditionalFormatting>
  <conditionalFormatting sqref="EN7">
    <cfRule type="notContainsBlanks" priority="371" dxfId="7">
      <formula>LEN(TRIM(EN7))&gt;0</formula>
    </cfRule>
    <cfRule type="containsBlanks" priority="372" dxfId="8">
      <formula>LEN(TRIM(EN7))=0</formula>
    </cfRule>
  </conditionalFormatting>
  <conditionalFormatting sqref="EN8:EN2501">
    <cfRule type="expression" priority="373" dxfId="7">
      <formula>AND($EN$7&lt;&gt;"", EN8="")</formula>
    </cfRule>
  </conditionalFormatting>
  <conditionalFormatting sqref="EO7">
    <cfRule type="notContainsBlanks" priority="374" dxfId="7">
      <formula>LEN(TRIM(EO7))&gt;0</formula>
    </cfRule>
    <cfRule type="containsBlanks" priority="375" dxfId="8">
      <formula>LEN(TRIM(EO7))=0</formula>
    </cfRule>
  </conditionalFormatting>
  <conditionalFormatting sqref="EO8:EO2501">
    <cfRule type="expression" priority="376" dxfId="7">
      <formula>AND($EO$7&lt;&gt;"", EO8="")</formula>
    </cfRule>
  </conditionalFormatting>
  <conditionalFormatting sqref="EP7">
    <cfRule type="notContainsBlanks" priority="377" dxfId="7">
      <formula>LEN(TRIM(EP7))&gt;0</formula>
    </cfRule>
    <cfRule type="containsBlanks" priority="378" dxfId="8">
      <formula>LEN(TRIM(EP7))=0</formula>
    </cfRule>
  </conditionalFormatting>
  <conditionalFormatting sqref="EP8:EP2501">
    <cfRule type="expression" priority="379" dxfId="7">
      <formula>AND($EP$7&lt;&gt;"", EP8="")</formula>
    </cfRule>
  </conditionalFormatting>
  <conditionalFormatting sqref="EQ7">
    <cfRule type="notContainsBlanks" priority="380" dxfId="7">
      <formula>LEN(TRIM(EQ7))&gt;0</formula>
    </cfRule>
    <cfRule type="containsBlanks" priority="381" dxfId="8">
      <formula>LEN(TRIM(EQ7))=0</formula>
    </cfRule>
  </conditionalFormatting>
  <conditionalFormatting sqref="EQ8:EQ2501">
    <cfRule type="expression" priority="382" dxfId="7">
      <formula>AND($EQ$7&lt;&gt;"", EQ8="")</formula>
    </cfRule>
  </conditionalFormatting>
  <conditionalFormatting sqref="ER7">
    <cfRule type="notContainsBlanks" priority="383" dxfId="7">
      <formula>LEN(TRIM(ER7))&gt;0</formula>
    </cfRule>
    <cfRule type="containsBlanks" priority="384" dxfId="8">
      <formula>LEN(TRIM(ER7))=0</formula>
    </cfRule>
  </conditionalFormatting>
  <conditionalFormatting sqref="ER8:ER2501">
    <cfRule type="expression" priority="385" dxfId="7">
      <formula>AND($ER$7&lt;&gt;"", ER8="")</formula>
    </cfRule>
  </conditionalFormatting>
  <conditionalFormatting sqref="ES7">
    <cfRule type="notContainsBlanks" priority="386" dxfId="7">
      <formula>LEN(TRIM(ES7))&gt;0</formula>
    </cfRule>
    <cfRule type="containsBlanks" priority="387" dxfId="8">
      <formula>LEN(TRIM(ES7))=0</formula>
    </cfRule>
  </conditionalFormatting>
  <conditionalFormatting sqref="ES8:ES2501">
    <cfRule type="expression" priority="388" dxfId="7">
      <formula>AND($ES$7&lt;&gt;"", ES8="")</formula>
    </cfRule>
  </conditionalFormatting>
  <conditionalFormatting sqref="ET7">
    <cfRule type="notContainsBlanks" priority="389" dxfId="7">
      <formula>LEN(TRIM(ET7))&gt;0</formula>
    </cfRule>
    <cfRule type="containsBlanks" priority="390" dxfId="8">
      <formula>LEN(TRIM(ET7))=0</formula>
    </cfRule>
  </conditionalFormatting>
  <conditionalFormatting sqref="ET8:ET2501">
    <cfRule type="expression" priority="391" dxfId="7">
      <formula>AND($ET$7&lt;&gt;"", ET8="")</formula>
    </cfRule>
  </conditionalFormatting>
  <conditionalFormatting sqref="EU7">
    <cfRule type="notContainsBlanks" priority="392" dxfId="7">
      <formula>LEN(TRIM(EU7))&gt;0</formula>
    </cfRule>
    <cfRule type="containsBlanks" priority="393" dxfId="8">
      <formula>LEN(TRIM(EU7))=0</formula>
    </cfRule>
  </conditionalFormatting>
  <conditionalFormatting sqref="EU8:EU2501">
    <cfRule type="expression" priority="394" dxfId="7">
      <formula>AND($EU$7&lt;&gt;"", EU8="")</formula>
    </cfRule>
  </conditionalFormatting>
  <conditionalFormatting sqref="EV7">
    <cfRule type="notContainsBlanks" priority="395" dxfId="7">
      <formula>LEN(TRIM(EV7))&gt;0</formula>
    </cfRule>
    <cfRule type="containsBlanks" priority="396" dxfId="8">
      <formula>LEN(TRIM(EV7))=0</formula>
    </cfRule>
  </conditionalFormatting>
  <conditionalFormatting sqref="EV8:EV2501">
    <cfRule type="expression" priority="397" dxfId="7">
      <formula>AND($EV$7&lt;&gt;"", EV8="")</formula>
    </cfRule>
  </conditionalFormatting>
  <conditionalFormatting sqref="EW7">
    <cfRule type="notContainsBlanks" priority="398" dxfId="7">
      <formula>LEN(TRIM(EW7))&gt;0</formula>
    </cfRule>
    <cfRule type="containsBlanks" priority="399" dxfId="8">
      <formula>LEN(TRIM(EW7))=0</formula>
    </cfRule>
  </conditionalFormatting>
  <conditionalFormatting sqref="EW8:EW2501">
    <cfRule type="expression" priority="400" dxfId="7">
      <formula>AND($EW$7&lt;&gt;"", EW8="")</formula>
    </cfRule>
  </conditionalFormatting>
  <conditionalFormatting sqref="EX7">
    <cfRule type="notContainsBlanks" priority="401" dxfId="7">
      <formula>LEN(TRIM(EX7))&gt;0</formula>
    </cfRule>
    <cfRule type="containsBlanks" priority="402" dxfId="8">
      <formula>LEN(TRIM(EX7))=0</formula>
    </cfRule>
  </conditionalFormatting>
  <conditionalFormatting sqref="EX8:EX2501">
    <cfRule type="expression" priority="403" dxfId="7">
      <formula>AND($EX$7&lt;&gt;"", EX8="")</formula>
    </cfRule>
  </conditionalFormatting>
  <conditionalFormatting sqref="EY7">
    <cfRule type="notContainsBlanks" priority="404" dxfId="7">
      <formula>LEN(TRIM(EY7))&gt;0</formula>
    </cfRule>
    <cfRule type="containsBlanks" priority="405" dxfId="8">
      <formula>LEN(TRIM(EY7))=0</formula>
    </cfRule>
  </conditionalFormatting>
  <conditionalFormatting sqref="EY8:EY2501">
    <cfRule type="expression" priority="406" dxfId="7">
      <formula>AND($EY$7&lt;&gt;"", EY8="")</formula>
    </cfRule>
  </conditionalFormatting>
  <conditionalFormatting sqref="EZ7">
    <cfRule type="notContainsBlanks" priority="407" dxfId="7">
      <formula>LEN(TRIM(EZ7))&gt;0</formula>
    </cfRule>
    <cfRule type="containsBlanks" priority="408" dxfId="8">
      <formula>LEN(TRIM(EZ7))=0</formula>
    </cfRule>
  </conditionalFormatting>
  <conditionalFormatting sqref="EZ8:EZ2501">
    <cfRule type="expression" priority="409" dxfId="7">
      <formula>AND($EZ$7&lt;&gt;"", EZ8="")</formula>
    </cfRule>
  </conditionalFormatting>
  <conditionalFormatting sqref="FA7">
    <cfRule type="notContainsBlanks" priority="410" dxfId="7">
      <formula>LEN(TRIM(FA7))&gt;0</formula>
    </cfRule>
    <cfRule type="containsBlanks" priority="411" dxfId="8">
      <formula>LEN(TRIM(FA7))=0</formula>
    </cfRule>
  </conditionalFormatting>
  <conditionalFormatting sqref="FA8:FA2501">
    <cfRule type="expression" priority="412" dxfId="7">
      <formula>AND($FA$7&lt;&gt;"", FA8="")</formula>
    </cfRule>
  </conditionalFormatting>
  <conditionalFormatting sqref="FB7">
    <cfRule type="notContainsBlanks" priority="413" dxfId="7">
      <formula>LEN(TRIM(FB7))&gt;0</formula>
    </cfRule>
    <cfRule type="containsBlanks" priority="414" dxfId="8">
      <formula>LEN(TRIM(FB7))=0</formula>
    </cfRule>
  </conditionalFormatting>
  <conditionalFormatting sqref="FB8:FB2501">
    <cfRule type="expression" priority="415" dxfId="7">
      <formula>AND($FB$7&lt;&gt;"", FB8="")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S7">
    <cfRule type="notContainsBlanks" priority="14" dxfId="7">
      <formula>LEN(TRIM(S7))&gt;0</formula>
    </cfRule>
    <cfRule type="containsBlanks" priority="15" dxfId="8">
      <formula>LEN(TRIM(S7))=0</formula>
    </cfRule>
  </conditionalFormatting>
  <conditionalFormatting sqref="S8:S2501">
    <cfRule type="expression" priority="16" dxfId="7">
      <formula>AND($S$7&lt;&gt;"", S8="")</formula>
    </cfRule>
  </conditionalFormatting>
  <conditionalFormatting sqref="T7">
    <cfRule type="notContainsBlanks" priority="17" dxfId="7">
      <formula>LEN(TRIM(T7))&gt;0</formula>
    </cfRule>
    <cfRule type="containsBlanks" priority="18" dxfId="8">
      <formula>LEN(TRIM(T7))=0</formula>
    </cfRule>
  </conditionalFormatting>
  <conditionalFormatting sqref="T8:T2501">
    <cfRule type="expression" priority="19" dxfId="7">
      <formula>AND($T$7&lt;&gt;"", T8="")</formula>
    </cfRule>
  </conditionalFormatting>
  <conditionalFormatting sqref="U7">
    <cfRule type="notContainsBlanks" priority="20" dxfId="7">
      <formula>LEN(TRIM(U7))&gt;0</formula>
    </cfRule>
    <cfRule type="containsBlanks" priority="21" dxfId="8">
      <formula>LEN(TRIM(U7))=0</formula>
    </cfRule>
  </conditionalFormatting>
  <conditionalFormatting sqref="U8:U2501">
    <cfRule type="expression" priority="22" dxfId="7">
      <formula>AND($U$7&lt;&gt;"", U8="")</formula>
    </cfRule>
  </conditionalFormatting>
  <conditionalFormatting sqref="V7">
    <cfRule type="notContainsBlanks" priority="23" dxfId="7">
      <formula>LEN(TRIM(V7))&gt;0</formula>
    </cfRule>
    <cfRule type="containsBlanks" priority="24" dxfId="8">
      <formula>LEN(TRIM(V7))=0</formula>
    </cfRule>
  </conditionalFormatting>
  <conditionalFormatting sqref="V8:V2501">
    <cfRule type="expression" priority="25" dxfId="7">
      <formula>AND($V$7&lt;&gt;"", V8="")</formula>
    </cfRule>
  </conditionalFormatting>
  <conditionalFormatting sqref="W7">
    <cfRule type="notContainsBlanks" priority="26" dxfId="7">
      <formula>LEN(TRIM(W7))&gt;0</formula>
    </cfRule>
    <cfRule type="containsBlanks" priority="27" dxfId="8">
      <formula>LEN(TRIM(W7))=0</formula>
    </cfRule>
  </conditionalFormatting>
  <conditionalFormatting sqref="W8:W2501">
    <cfRule type="expression" priority="28" dxfId="7">
      <formula>AND($W$7&lt;&gt;"", W8="")</formula>
    </cfRule>
  </conditionalFormatting>
  <conditionalFormatting sqref="X7">
    <cfRule type="notContainsBlanks" priority="29" dxfId="7">
      <formula>LEN(TRIM(X7))&gt;0</formula>
    </cfRule>
    <cfRule type="containsBlanks" priority="30" dxfId="8">
      <formula>LEN(TRIM(X7))=0</formula>
    </cfRule>
  </conditionalFormatting>
  <conditionalFormatting sqref="X8:X2501">
    <cfRule type="expression" priority="31" dxfId="7">
      <formula>AND($X$7&lt;&gt;"", X8="")</formula>
    </cfRule>
  </conditionalFormatting>
  <conditionalFormatting sqref="Y7">
    <cfRule type="notContainsBlanks" priority="32" dxfId="7">
      <formula>LEN(TRIM(Y7))&gt;0</formula>
    </cfRule>
    <cfRule type="containsBlanks" priority="33" dxfId="8">
      <formula>LEN(TRIM(Y7))=0</formula>
    </cfRule>
  </conditionalFormatting>
  <conditionalFormatting sqref="Y8:Y2501">
    <cfRule type="expression" priority="34" dxfId="7">
      <formula>AND($Y$7&lt;&gt;"", Y8="")</formula>
    </cfRule>
  </conditionalFormatting>
  <conditionalFormatting sqref="Z7">
    <cfRule type="notContainsBlanks" priority="35" dxfId="7">
      <formula>LEN(TRIM(Z7))&gt;0</formula>
    </cfRule>
    <cfRule type="containsBlanks" priority="36" dxfId="8">
      <formula>LEN(TRIM(Z7))=0</formula>
    </cfRule>
  </conditionalFormatting>
  <conditionalFormatting sqref="Z8:Z2501">
    <cfRule type="expression" priority="37" dxfId="7">
      <formula>AND($Z$7&lt;&gt;"", Z8="")</formula>
    </cfRule>
  </conditionalFormatting>
  <dataValidations count="283">
    <dataValidation sqref="B8:B250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C250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D2500" showDropDown="0" showInputMessage="1" showErrorMessage="1" allowBlank="1" errorTitle="Invalid Brand" error="The value provided is not a valid Brand." promptTitle="Brand" prompt="Please select a valid Brand" type="list">
      <formula1>'WAYFAIR_USE_ONLY'!$AP$7:$AP7</formula1>
    </dataValidation>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E8:E250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F250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Please enter Text" type="custom">
      <formula1>AND(LEN(F8)&lt;32767, IF(F8&lt;&gt;"",COUNTIF($F$8:$F$2500,F8)=1,""))</formula1>
    </dataValidation>
    <dataValidation sqref="G8:G250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H250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I8:I250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J2500" showDropDown="0" showInputMessage="1" showErrorMessage="1" allowBlank="1" errorTitle="Invalid Variant Type" error="The value provided is not a valid Variant Type." promptTitle="Variant Type" prompt="Please select a valid Variant Type" type="list">
      <formula1>'WAYFAIR_USE_ONLY'!$BB$7:$BB10</formula1>
    </dataValidation>
    <dataValidation sqref="K8:K2500" showDropDown="0" showInputMessage="1" showErrorMessage="1" allowBlank="0" errorTitle="Invalid Text" error="The value provided is not a valid Text." promptTitle="Group Reference ID" prompt="Please enter Text" type="textLength" errorStyle="warning" operator="lessThanOrEqual">
      <formula1>32767</formula1>
    </dataValidation>
    <dataValidation sqref="L8:L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'WAYFAIR_USE_ONLY'!$DM$7:$DM11</formula1>
    </dataValidation>
    <dataValidation sqref="M8:M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N8:N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'WAYFAIR_USE_ONLY'!$DM$7:$DM11</formula1>
    </dataValidation>
    <dataValidation sqref="O8:O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P8:P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'WAYFAIR_USE_ONLY'!$DM$7:$DM11</formula1>
    </dataValidation>
    <dataValidation sqref="Q8:Q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R8:R250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S8:S250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8:T250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8:U250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8:V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8:W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8:X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8:Y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8:Z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8:AA250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8:AB250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8:AC250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8:AD250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8:AE2500" showDropDown="0" showInputMessage="1" showErrorMessage="1" allowBlank="1" errorTitle="Invalid Ship Type" error="The value provided is not a valid Ship Type." promptTitle="Ship Type" prompt="Please select a valid Ship Type" type="list">
      <formula1>'WAYFAIR_USE_ONLY'!$AV$7:$AV9</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8:AF2500" showDropDown="0" showInputMessage="1" showErrorMessage="1" allowBlank="1" errorTitle="Invalid Freight Class" error="The value provided is not a valid Freight Class." promptTitle="Freight Class" prompt="Please select a valid Freight Class" type="list">
      <formula1>'WAYFAIR_USE_ONLY'!$AW$7:$AW25</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8:AG2500" showDropDown="0" showInputMessage="1" showErrorMessage="1" allowBlank="1" errorTitle="Invalid Lead Time" error="The value provided is not a valid Lead Time." promptTitle="Lead Time" prompt="Please select a valid Lead Time" type="list">
      <formula1>'WAYFAIR_USE_ONLY'!$AX$7:$AX24</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8:AH2500" showDropDown="0" showInputMessage="1" showErrorMessage="1" allowBlank="1" errorTitle="Invalid Replacement Lead Time" error="The value provided is not a valid Replacement Lead Time." promptTitle="Replacement Lead Time" prompt="Please select a valid Replacement Lead Time" type="list">
      <formula1>'WAYFAIR_USE_ONLY'!$AY$7:$AY13</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8:AI250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8:AJ2500" showDropDown="0" showInputMessage="1" showErrorMessage="1" allowBlank="1" errorTitle="Invalid Flat Pack" error="The value provided is not a valid Flat Pack." promptTitle="Flat Pack" prompt="Please select a valid Flat Pack" type="list">
      <formula1>'WAYFAIR_USE_ONLY'!$AZ$7:$AZ9</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8:AK2500" showDropDown="0" showInputMessage="1" showErrorMessage="1" allowBlank="1" errorTitle="Invalid Ship Palletized" error="The value provided is not a valid Ship Palletized." promptTitle="Ship Palletized" prompt="Please select a valid Ship Palletized" type="list">
      <formula1>'WAYFAIR_USE_ONLY'!$BA$7:$BA9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8:AL250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8:AM250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8:AN250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8:AO250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8:AP2500" showDropDown="0" showInputMessage="1" showErrorMessage="1" allowBlank="1" errorTitle="Invalid Warning Required" error="The value provided is not a valid Warning Required." promptTitle="Warning Required" prompt="Please select a valid Warning Required" type="list">
      <formula1>'WAYFAIR_USE_ONLY'!$AS$7:$AS9</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8:AQ2500" showDropDown="0" showInputMessage="1" showErrorMessage="1" allowBlank="1" errorTitle="Invalid Chemical" error="The value provided is not a valid Chemical." promptTitle="Chemical" prompt="Please select a valid Chemical" type="list">
      <formula1>'WAYFAIR_USE_ONLY'!$AT$7:$AT908</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8:AS250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'WAYFAIR_USE_ONLY'!$AU$7:$AU254</formula1>
    </dataValidation>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T8:AT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U8:AU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V8:AV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W8:AW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X8:AX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Y8:AY250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Z8:AZ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8:BC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8:BD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8:BE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8:BH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8:BI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8:BJ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8:BM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8:BN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8:BO250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'WAYFAIR_USE_ONLY'!$BD$7:$BD9</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'WAYFAIR_USE_ONLY'!$BD$7:$BD9</formula1>
    </dataValidation>
    <dataValidation sqref="BP8:BP250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'WAYFAIR_USE_ONLY'!$BE$7:$BE10</formula1>
    </dataValidation>
    <dataValidation sqref="BP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'WAYFAIR_USE_ONLY'!$BE$7:$BE10</formula1>
    </dataValidation>
    <dataValidation sqref="BQ8:BQ2500" showDropDown="0" showInputMessage="1" showErrorMessage="1" allowBlank="1" errorTitle="Invalid Drawers Included" error="The value provided is not a valid Drawers Included." promptTitle="Drawers Included" prompt="Please select a valid Drawers Included" type="list">
      <formula1>'WAYFAIR_USE_ONLY'!$BF$7:$BF9</formula1>
    </dataValidation>
    <dataValidation sqref="BQ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'WAYFAIR_USE_ONLY'!$BF$7:$BF9</formula1>
    </dataValidation>
    <dataValidation sqref="BR8:BR250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R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S8:BS2500" showDropDown="0" showInputMessage="1" showErrorMessage="1" allowBlank="1" errorTitle="Invalid Cabinets Included" error="The value provided is not a valid Cabinets Included." promptTitle="Cabinets Included" prompt="Please select a valid Cabinets Included" type="list">
      <formula1>'WAYFAIR_USE_ONLY'!$BG$7:$BG9</formula1>
    </dataValidation>
    <dataValidation sqref="BS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'WAYFAIR_USE_ONLY'!$BG$7:$BG9</formula1>
    </dataValidation>
    <dataValidation sqref="BT8:BT2500" showDropDown="0" showInputMessage="1" showErrorMessage="1" allowBlank="1" errorTitle="Invalid Shelves Included" error="The value provided is not a valid Shelves Included." promptTitle="Shelves Included" prompt="Please select a valid Shelves Included" type="list">
      <formula1>'WAYFAIR_USE_ONLY'!$BH$7:$BH10</formula1>
    </dataValidation>
    <dataValidation sqref="BT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BU8:BU250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'WAYFAIR_USE_ONLY'!$BI$7:$BI9</formula1>
    </dataValidation>
    <dataValidation sqref="BU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BV8:BV250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'WAYFAIR_USE_ONLY'!$BJ$7:$BJ10</formula1>
    </dataValidation>
    <dataValidation sqref="BV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BW8:BW2500" showDropDown="0" showInputMessage="1" showErrorMessage="1" allowBlank="1" errorTitle="Invalid Bridge Included" error="The value provided is not a valid Bridge Included." promptTitle="Bridge Included" prompt="Please select a valid Bridge Included" type="list">
      <formula1>'WAYFAIR_USE_ONLY'!$BK$7:$BK10</formula1>
    </dataValidation>
    <dataValidation sqref="BW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'WAYFAIR_USE_ONLY'!$BK$7:$BK10</formula1>
    </dataValidation>
    <dataValidation sqref="B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8:CB2500" showDropDown="0" showInputMessage="1" showErrorMessage="1" allowBlank="1" errorTitle="Invalid Gloss Finish" error="The value provided is not a valid Gloss Finish." promptTitle="Gloss Finish" prompt="Please select a valid Gloss Finish" type="list">
      <formula1>'WAYFAIR_USE_ONLY'!$BL$7:$BL10</formula1>
    </dataValidation>
    <dataValidation sqref="CB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'WAYFAIR_USE_ONLY'!$BL$7:$BL10</formula1>
    </dataValidation>
    <dataValidation sqref="CC8:CC2500" showDropDown="0" showInputMessage="1" showErrorMessage="1" allowBlank="1" errorTitle="Invalid Mirrored" error="The value provided is not a valid Mirrored." promptTitle="Mirrored" prompt="Please select a valid Mirrored" type="list">
      <formula1>'WAYFAIR_USE_ONLY'!$BM$7:$BM10</formula1>
    </dataValidation>
    <dataValidation sqref="CC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'WAYFAIR_USE_ONLY'!$BM$7:$BM10</formula1>
    </dataValidation>
    <dataValidation sqref="CD8:CD250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'WAYFAIR_USE_ONLY'!$BN$7:$BN10</formula1>
    </dataValidation>
    <dataValidation sqref="CD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'WAYFAIR_USE_ONLY'!$BN$7:$BN10</formula1>
    </dataValidation>
    <dataValidation sqref="CE8:CE2500" showDropDown="0" showInputMessage="1" showErrorMessage="1" allowBlank="1" errorTitle="Invalid Adjustable Shelves" error="The value provided is not a valid Adjustable Shelves." promptTitle="Adjustable Shelves" prompt="Please select a valid Adjustable Shelves" type="list">
      <formula1>'WAYFAIR_USE_ONLY'!$BO$7:$BO10</formula1>
    </dataValidation>
    <dataValidation sqref="CE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'WAYFAIR_USE_ONLY'!$BO$7:$BO10</formula1>
    </dataValidation>
    <dataValidation sqref="CF8:CF250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'WAYFAIR_USE_ONLY'!$BP$7:$BP10</formula1>
    </dataValidation>
    <dataValidation sqref="CF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'WAYFAIR_USE_ONLY'!$BP$7:$BP10</formula1>
    </dataValidation>
    <dataValidation sqref="CG8:CG2500" showDropDown="0" showInputMessage="1" showErrorMessage="1" allowBlank="1" errorTitle="Invalid Cable Management" error="The value provided is not a valid Cable Management." promptTitle="Cable Management" prompt="Please select a valid Cable Management" type="list">
      <formula1>'WAYFAIR_USE_ONLY'!$BQ$7:$BQ10</formula1>
    </dataValidation>
    <dataValidation sqref="CG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'WAYFAIR_USE_ONLY'!$BQ$7:$BQ10</formula1>
    </dataValidation>
    <dataValidation sqref="CH8:CH250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'WAYFAIR_USE_ONLY'!$BR$7:$BR9</formula1>
    </dataValidation>
    <dataValidation sqref="CH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'WAYFAIR_USE_ONLY'!$BR$7:$BR9</formula1>
    </dataValidation>
    <dataValidation sqref="CI8:CI2500" showDropDown="0" showInputMessage="1" showErrorMessage="1" allowBlank="1" errorTitle="Invalid Fireplace Included" error="The value provided is not a valid Fireplace Included." promptTitle="Fireplace Included" prompt="Please select a valid Fireplace Included" type="list">
      <formula1>'WAYFAIR_USE_ONLY'!$BS$7:$BS9</formula1>
    </dataValidation>
    <dataValidation sqref="CI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'WAYFAIR_USE_ONLY'!$BS$7:$BS9</formula1>
    </dataValidation>
    <dataValidation sqref="CJ8:CJ2500" showDropDown="0" showInputMessage="1" showErrorMessage="1" allowBlank="1" errorTitle="Invalid Plug-In" error="The value provided is not a valid Plug-In." promptTitle="Plug-In" prompt="Please select a valid Plug-In" type="list">
      <formula1>'WAYFAIR_USE_ONLY'!$BT$7:$BT9</formula1>
    </dataValidation>
    <dataValidation sqref="CJ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'WAYFAIR_USE_ONLY'!$BT$7:$BT9</formula1>
    </dataValidation>
    <dataValidation sqref="CK8:CK2500" showDropDown="0" showInputMessage="1" showErrorMessage="1" allowBlank="1" errorTitle="Invalid Tipover Restraint Device" error="The value provided is not a valid Tipover Restraint Device Included." promptTitle="Tipover Restraint Device Include" prompt="Please select a valid Tipover Restraint Device Included" type="list">
      <formula1>'WAYFAIR_USE_ONLY'!$BU$7:$BU9</formula1>
    </dataValidation>
    <dataValidation sqref="CK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CL8:CL250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'WAYFAIR_USE_ONLY'!$BV$7:$BV10</formula1>
    </dataValidation>
    <dataValidation sqref="CL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'WAYFAIR_USE_ONLY'!$BV$7:$BV10</formula1>
    </dataValidation>
    <dataValidation sqref="CM8:CM2500" showDropDown="0" showInputMessage="1" showErrorMessage="1" allowBlank="1" errorTitle="Invalid Adjustable Height" error="The value provided is not a valid Adjustable Height." promptTitle="Adjustable Height" prompt="Please select a valid Adjustable Height" type="list">
      <formula1>'WAYFAIR_USE_ONLY'!$BW$7:$BW10</formula1>
    </dataValidation>
    <dataValidation sqref="CM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'WAYFAIR_USE_ONLY'!$BW$7:$BW10</formula1>
    </dataValidation>
    <dataValidation sqref="C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P8:CP250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'WAYFAIR_USE_ONLY'!$BX$7:$BX26</formula1>
    </dataValidation>
    <dataValidation sqref="CP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'WAYFAIR_USE_ONLY'!$BX$7:$BX26</formula1>
    </dataValidation>
    <dataValidation sqref="CQ8:CQ2500" showDropDown="0" showInputMessage="1" showErrorMessage="1" allowBlank="1" errorTitle="Invalid Kiln-Dried Wood" error="The value provided is not a valid Kiln-Dried Wood." promptTitle="Kiln-Dried Wood" prompt="Please select a valid Kiln-Dried Wood" type="list">
      <formula1>'WAYFAIR_USE_ONLY'!$BY$7:$BY11</formula1>
    </dataValidation>
    <dataValidation sqref="CQ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'WAYFAIR_USE_ONLY'!$BY$7:$BY11</formula1>
    </dataValidation>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8:CS250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'WAYFAIR_USE_ONLY'!$CG$7:$CG10</formula1>
    </dataValidation>
    <dataValidation sqref="CS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'WAYFAIR_USE_ONLY'!$CG$7:$CG10</formula1>
    </dataValidation>
    <dataValidation sqref="CT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T8:CT2500" showDropDown="0" showInputMessage="1" showErrorMessage="1" allowBlank="1" errorTitle="Invalid Battery Composition" error="The value provided is not a valid Battery Composition." promptTitle="Battery Composition" prompt="Please select a valid Battery Composition" type="list">
      <formula1>'WAYFAIR_USE_ONLY'!$BZ$7:$BZ17</formula1>
    </dataValidation>
    <dataValidation sqref="CT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'WAYFAIR_USE_ONLY'!$BZ$7:$BZ17</formula1>
    </dataValidation>
    <dataValidation sqref="CU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U8:CU2500" showDropDown="0" showInputMessage="1" showErrorMessage="1" allowBlank="1" errorTitle="Invalid Battery Type" error="The value provided is not a valid Battery Type." promptTitle="Battery Type" prompt="Please select a valid Battery Type" type="list">
      <formula1>'WAYFAIR_USE_ONLY'!$CA$7:$CA11</formula1>
    </dataValidation>
    <dataValidation sqref="CU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'WAYFAIR_USE_ONLY'!$CA$7:$CA11</formula1>
    </dataValidation>
    <dataValidation sqref="CV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V8:CV2500"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'WAYFAIR_USE_ONLY'!$CB$7:$CB19</formula1>
    </dataValidation>
    <dataValidation sqref="CV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'WAYFAIR_USE_ONLY'!$CB$7:$CB19</formula1>
    </dataValidation>
    <dataValidation sqref="CW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W8:CW2500" showDropDown="0" showInputMessage="1" showErrorMessage="1" allowBlank="1" errorTitle="Invalid Battery Shipment" error="The value provided is not a valid Battery Shipment." promptTitle="Battery Shipment" prompt="Please select a valid Battery Shipment" type="list">
      <formula1>'WAYFAIR_USE_ONLY'!$CC$7:$CC11</formula1>
    </dataValidation>
    <dataValidation sqref="CW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'WAYFAIR_USE_ONLY'!$CC$7:$CC11</formula1>
    </dataValidation>
    <dataValidation sqref="CX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X8:CX2500" showDropDown="0" showInputMessage="1" showErrorMessage="1" allowBlank="1" errorTitle="Invalid Lithium Content" error="The value provided is not a valid Lithium Content." promptTitle="Lithium Content" prompt="Please select a valid Lithium Content" type="list">
      <formula1>'WAYFAIR_USE_ONLY'!$CD$7:$CD14</formula1>
    </dataValidation>
    <dataValidation sqref="CX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'WAYFAIR_USE_ONLY'!$CD$7:$CD14</formula1>
    </dataValidation>
    <dataValidation sqref="CY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Y8:CY250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'WAYFAIR_USE_ONLY'!$CE$7:$CE14</formula1>
    </dataValidation>
    <dataValidation sqref="CY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'WAYFAIR_USE_ONLY'!$CE$7:$CE14</formula1>
    </dataValidation>
    <dataValidation sqref="CZ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Z8:CZ250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'WAYFAIR_USE_ONLY'!$CF$7:$CF12</formula1>
    </dataValidation>
    <dataValidation sqref="CZ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'WAYFAIR_USE_ONLY'!$CF$7:$CF12</formula1>
    </dataValidation>
    <dataValidation sqref="DA8:DA250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'WAYFAIR_USE_ONLY'!$CH$7:$CH11</formula1>
    </dataValidation>
    <dataValidation sqref="DA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'WAYFAIR_USE_ONLY'!$CH$7:$CH11</formula1>
    </dataValidation>
    <dataValidation sqref="DB8:DB2500" showDropDown="0" showInputMessage="1" showErrorMessage="1" allowBlank="1" errorTitle="Invalid Adjustable Flame" error="The value provided is not a valid Adjustable Flame." promptTitle="Adjustable Flame" prompt="Please select a valid Adjustable Flame" type="list">
      <formula1>'WAYFAIR_USE_ONLY'!$CI$7:$CI10</formula1>
    </dataValidation>
    <dataValidation sqref="DB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'WAYFAIR_USE_ONLY'!$CI$7:$CI10</formula1>
    </dataValidation>
    <dataValidation sqref="DC8:DC250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DC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E8:DE2500" showDropDown="0" showInputMessage="1" showErrorMessage="1" allowBlank="1" errorTitle="Invalid Unfinished" error="The value provided is not a valid Unfinished." promptTitle="Unfinished" prompt="Please select a valid Unfinished" type="list">
      <formula1>'WAYFAIR_USE_ONLY'!$CJ$7:$CJ10</formula1>
    </dataValidation>
    <dataValidation sqref="DE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'WAYFAIR_USE_ONLY'!$CJ$7:$CJ10</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I8:DI2500" showDropDown="0" showInputMessage="1" showErrorMessage="1" allowBlank="1" errorTitle="Invalid Vent Type" error="The value provided is not a valid Vent Type." promptTitle="Vent Type" prompt="Please select a valid Vent Type" type="list">
      <formula1>'WAYFAIR_USE_ONLY'!$CK$7:$CK15</formula1>
    </dataValidation>
    <dataValidation sqref="DI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'WAYFAIR_USE_ONLY'!$CK$7:$CK15</formula1>
    </dataValidation>
    <dataValidation sqref="D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L8:DL2500" showDropDown="0" showInputMessage="1" showErrorMessage="1" allowBlank="1" errorTitle="Invalid Ribbed Detailing" error="The value provided is not a valid Ribbed Detailing." promptTitle="Ribbed Detailing" prompt="Please select a valid Ribbed Detailing" type="list">
      <formula1>'WAYFAIR_USE_ONLY'!$CL$7:$CL11</formula1>
    </dataValidation>
    <dataValidation sqref="DL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'WAYFAIR_USE_ONLY'!$CL$7:$CL11</formula1>
    </dataValidation>
    <dataValidation sqref="DM8:DM2500" showDropDown="0" showInputMessage="1" showErrorMessage="1" allowBlank="1" errorTitle="Invalid Fluted Detailing" error="The value provided is not a valid Fluted Detailing." promptTitle="Fluted Detailing" prompt="Please select a valid Fluted Detailing" type="list">
      <formula1>'WAYFAIR_USE_ONLY'!$CM$7:$CM11</formula1>
    </dataValidation>
    <dataValidation sqref="DM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'WAYFAIR_USE_ONLY'!$CM$7:$CM11</formula1>
    </dataValidation>
    <dataValidation sqref="D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O8:DO250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O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P8:DP2500" showDropDown="0" showInputMessage="1" showErrorMessage="1" allowBlank="1" errorTitle="Invalid Drawer Safety Stop" error="The value provided is not a valid Drawer Safety Stop." promptTitle="Drawer Safety Stop" prompt="Please select a valid Drawer Safety Stop" type="list">
      <formula1>'WAYFAIR_USE_ONLY'!$CN$7:$CN11</formula1>
    </dataValidation>
    <dataValidation sqref="DP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'WAYFAIR_USE_ONLY'!$CN$7:$CN11</formula1>
    </dataValidation>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8:DR250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'WAYFAIR_USE_ONLY'!$CO$7:$CO10</formula1>
    </dataValidation>
    <dataValidation sqref="DR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'WAYFAIR_USE_ONLY'!$CO$7:$CO10</formula1>
    </dataValidation>
    <dataValidation sqref="DS8:DS250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'WAYFAIR_USE_ONLY'!$CS$7:$CS10</formula1>
    </dataValidation>
    <dataValidation sqref="DS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'WAYFAIR_USE_ONLY'!$CS$7:$CS10</formula1>
    </dataValidation>
    <dataValidation sqref="DT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T8:DT2500"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'WAYFAIR_USE_ONLY'!$CP$7:$CP10</formula1>
    </dataValidation>
    <dataValidation sqref="DT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'WAYFAIR_USE_ONLY'!$CP$7:$CP10</formula1>
    </dataValidation>
    <dataValidation sqref="DU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U8:DU2500"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'WAYFAIR_USE_ONLY'!$CQ$7:$CQ10</formula1>
    </dataValidation>
    <dataValidation sqref="DU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'WAYFAIR_USE_ONLY'!$CQ$7:$CQ10</formula1>
    </dataValidation>
    <dataValidation sqref="DV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V8:DV2500" showDropDown="0" showInputMessage="1" showErrorMessage="1" allowBlank="1" errorTitle="Invalid CANFER Compliant" error="The value provided is not a valid CANFER Compliant." promptTitle="CANFER Compliant" prompt="Please select a valid CANFER Compliant" type="list">
      <formula1>'WAYFAIR_USE_ONLY'!$CR$7:$CR11</formula1>
    </dataValidation>
    <dataValidation sqref="DV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'WAYFAIR_USE_ONLY'!$CR$7:$CR11</formula1>
    </dataValidation>
    <dataValidation sqref="DW8:DW250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'WAYFAIR_USE_ONLY'!$CT$7:$CT9</formula1>
    </dataValidation>
    <dataValidation sqref="DW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'WAYFAIR_USE_ONLY'!$CT$7:$CT9</formula1>
    </dataValidation>
    <dataValidation sqref="DX8:DX250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'WAYFAIR_USE_ONLY'!$CU$7:$CU9</formula1>
    </dataValidation>
    <dataValidation sqref="DX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'WAYFAIR_USE_ONLY'!$CU$7:$CU9</formula1>
    </dataValidation>
    <dataValidation sqref="DY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8:DZ2500" showDropDown="0" showInputMessage="1" showErrorMessage="1" allowBlank="1" errorTitle="Invalid UL 1678 Listed" error="The value provided is not a valid UL 1678 Listed." promptTitle="UL 1678 Listed" prompt="Please select a valid UL 1678 Listed" type="list">
      <formula1>'WAYFAIR_USE_ONLY'!$CV$7:$CV11</formula1>
    </dataValidation>
    <dataValidation sqref="DZ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'WAYFAIR_USE_ONLY'!$CV$7:$CV11</formula1>
    </dataValidation>
    <dataValidation sqref="EA8:EA250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'WAYFAIR_USE_ONLY'!$CZ$7:$CZ9</formula1>
    </dataValidation>
    <dataValidation sqref="EA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'WAYFAIR_USE_ONLY'!$CZ$7:$CZ9</formula1>
    </dataValidation>
    <dataValidation sqref="EB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C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C8:EC2500" showDropDown="0" showInputMessage="1" showErrorMessage="1" allowBlank="1" errorTitle="Invalid Hazard Class(es)" error="The value provided is not a valid Hazard Class(es)." promptTitle="Hazard Class(es)" prompt="Please select a valid Hazard Class(es)" type="list">
      <formula1>'WAYFAIR_USE_ONLY'!$CW$7:$CW23</formula1>
    </dataValidation>
    <dataValidation sqref="EC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'WAYFAIR_USE_ONLY'!$CW$7:$CW23</formula1>
    </dataValidation>
    <dataValidation sqref="ED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D8:ED2500" showDropDown="0" showInputMessage="1" showErrorMessage="1" allowBlank="1" errorTitle="Invalid Packing Group" error="The value provided is not a valid Packing Group." promptTitle="Packing Group" prompt="Please select a valid Packing Group" type="list">
      <formula1>'WAYFAIR_USE_ONLY'!$CX$7:$CX12</formula1>
    </dataValidation>
    <dataValidation sqref="ED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'WAYFAIR_USE_ONLY'!$CX$7:$CX12</formula1>
    </dataValidation>
    <dataValidation sqref="EE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E8:EE250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'WAYFAIR_USE_ONLY'!$CY$7:$CY19</formula1>
    </dataValidation>
    <dataValidation sqref="EE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'WAYFAIR_USE_ONLY'!$CY$7:$CY19</formula1>
    </dataValidation>
    <dataValidation sqref="EF8:EF2500"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'WAYFAIR_USE_ONLY'!$DA$7:$DA12</formula1>
    </dataValidation>
    <dataValidation sqref="EF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'WAYFAIR_USE_ONLY'!$DA$7:$DA12</formula1>
    </dataValidation>
    <dataValidation sqref="E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H4" showDropDown="0" showInputMessage="1" showErrorMessage="1" allowBlank="1" promptTitle="Class Specific Child Question" prompt="This Question is directly related to the tag &quot;Safety Listing(s) Your answer to the related question may influence which answers are accepted here."/>
    <dataValidation sqref="EH8:EH2500"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E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8:EI2500"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'WAYFAIR_USE_ONLY'!$DB$7:$DB11</formula1>
    </dataValidation>
    <dataValidation sqref="EI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'WAYFAIR_USE_ONLY'!$DB$7:$DB11</formula1>
    </dataValidation>
    <dataValidation sqref="EJ8:EJ2500" showDropDown="0" showInputMessage="1" showErrorMessage="1" allowBlank="1" errorTitle="Invalid ISTA Certified" error="The value provided is not a valid ISTA Certified." promptTitle="ISTA Certified" prompt="Please select a valid ISTA Certified" type="list">
      <formula1>'WAYFAIR_USE_ONLY'!$DC$7:$DC10</formula1>
    </dataValidation>
    <dataValidation sqref="EJ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'WAYFAIR_USE_ONLY'!$DC$7:$DC10</formula1>
    </dataValidation>
    <dataValidation sqref="EK8:EK250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'WAYFAIR_USE_ONLY'!$DD$7:$DD10</formula1>
    </dataValidation>
    <dataValidation sqref="EK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'WAYFAIR_USE_ONLY'!$DD$7:$DD10</formula1>
    </dataValidation>
    <dataValidation sqref="EL8:EL250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'WAYFAIR_USE_ONLY'!$DE$7:$DE12</formula1>
    </dataValidation>
    <dataValidation sqref="EL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'WAYFAIR_USE_ONLY'!$DE$7:$DE12</formula1>
    </dataValidation>
    <dataValidation sqref="EM8:EM250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N8:EN250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O8:EO250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P8:EP250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Q8:EQ250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R8:ER250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S8:ES250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'WAYFAIR_USE_ONLY'!$DF$7:$DF26</formula1>
    </dataValidation>
    <dataValidation sqref="ES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'WAYFAIR_USE_ONLY'!$DF$7:$DF26</formula1>
    </dataValidation>
    <dataValidation sqref="ET8:ET250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U8:EU2500" showDropDown="0" showInputMessage="1" showErrorMessage="1" allowBlank="1" errorTitle="Invalid Assembly Required" error="The value provided is not a valid Assembly Required." promptTitle="Assembly Required" prompt="Please select a valid Assembly Required" type="list">
      <formula1>'WAYFAIR_USE_ONLY'!$DG$7:$DG9</formula1>
    </dataValidation>
    <dataValidation sqref="EU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'WAYFAIR_USE_ONLY'!$DG$7:$DG9</formula1>
    </dataValidation>
    <dataValidation sqref="EV8:EV2500" showDropDown="0" showInputMessage="1" showErrorMessage="1" allowBlank="1" errorTitle="Invalid Level of Assembly" error="The value provided is not a valid Level of Assembly." promptTitle="Level of Assembly" prompt="Please select a valid Level of Assembly" type="list">
      <formula1>'WAYFAIR_USE_ONLY'!$DH$7:$DH11</formula1>
    </dataValidation>
    <dataValidation sqref="EV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'WAYFAIR_USE_ONLY'!$DH$7:$DH11</formula1>
    </dataValidation>
    <dataValidation sqref="EW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X8:EX2500" showDropDown="0" showInputMessage="1" showErrorMessage="1" allowBlank="1" errorTitle="Invalid Commercial Warranty" error="The value provided is not a valid Commercial Warranty." promptTitle="Commercial Warranty" prompt="Please select a valid Commercial Warranty" type="list">
      <formula1>'WAYFAIR_USE_ONLY'!$DJ$7:$DJ10</formula1>
    </dataValidation>
    <dataValidation sqref="EX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'WAYFAIR_USE_ONLY'!$DJ$7:$DJ10</formula1>
    </dataValidation>
    <dataValidation sqref="EY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Y8:EY250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'WAYFAIR_USE_ONLY'!$DI$7:$DI32</formula1>
    </dataValidation>
    <dataValidation sqref="EY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'WAYFAIR_USE_ONLY'!$DI$7:$DI32</formula1>
    </dataValidation>
    <dataValidation sqref="EZ8:EZ2500" showDropDown="0" showInputMessage="1" showErrorMessage="1" allowBlank="1" errorTitle="Invalid Product Warranty" error="The value provided is not a valid Product Warranty." promptTitle="Product Warranty" prompt="Please select a valid Product Warranty" type="list">
      <formula1>'WAYFAIR_USE_ONLY'!$DK$7:$DK9</formula1>
    </dataValidation>
    <dataValidation sqref="EZ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'WAYFAIR_USE_ONLY'!$DK$7:$DK9</formula1>
    </dataValidation>
    <dataValidation sqref="FA8:FA250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'WAYFAIR_USE_ONLY'!$DL$7:$DL10</formula1>
    </dataValidation>
    <dataValidation sqref="FA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'WAYFAIR_USE_ONLY'!$DL$7:$DL10</formula1>
    </dataValidation>
    <dataValidation sqref="F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J6" location="'Valid Values'!B1" display="Select"/>
    <hyperlink ref="L6" location="'Valid Values'!D1" display="Select"/>
    <hyperlink ref="N6" location="'Valid Values'!D1" display="Select"/>
    <hyperlink ref="P6" location="'Valid Values'!D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BA1" display="Select"/>
    <hyperlink ref="BX6" location="'Valid Values'!BB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Y6" location="'Valid Values'!BC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Z6" location="'Valid Values'!BD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A6" location="'Valid Values'!BE1" display="Please choose one or more from the following, using a semicolon (;) to separate each value: No Natural Variation; Natural Wood Grain Color Variation; Weathered Steel; Wood Knots; Natural Stone Color Variation; Unavailable"/>
    <hyperlink ref="CK6" location="'Valid Values'!BF1" display="Select"/>
    <hyperlink ref="CN6" location="'Valid Values'!BG1" display="Please choose one or more from the following, using a semicolon (;) to separate each value: Non Residential Use; Residential Use"/>
    <hyperlink ref="CO6" location="'Valid Values'!BH1" display="Please choose one or more from the following, using a semicolon (;) to separate each value: Made in USA; Made in USA of Imported Materials; Product of Canada; Made In Canada; Does Not Apply"/>
    <hyperlink ref="CP6" location="'Valid Values'!BI1" display="Select"/>
    <hyperlink ref="CR6" location="'Valid Values'!BJ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T6" location="'Valid Values'!BK1" display="Select"/>
    <hyperlink ref="CU6" location="'Valid Values'!BL1" display="Select"/>
    <hyperlink ref="CV6" location="'Valid Values'!BM1" display="Select"/>
    <hyperlink ref="CW6" location="'Valid Values'!BN1" display="Select"/>
    <hyperlink ref="CX6" location="'Valid Values'!BO1" display="Select"/>
    <hyperlink ref="CY6" location="'Valid Values'!BP1" display="Select"/>
    <hyperlink ref="CZ6" location="'Valid Values'!BQ1" display="Select"/>
    <hyperlink ref="DD6" location="'Valid Values'!BR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DF6" location="'Valid Values'!BS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DG6" location="'Valid Values'!BT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DH6" location="'Valid Values'!BU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I6" location="'Valid Values'!BV1" display="Select"/>
    <hyperlink ref="DJ6" location="'Valid Values'!BW1" display="Please choose one or more from the following, using a semicolon (;) to separate each value: Electric; Dual Fuel; Induction; Wood Pellets; Natural Gas; Liquid Propane; Wood Burning; Gel Fuel; Bio-Ethanol; Propane; Butane; Charcoal; Ethanol; Alcohol; Does Not Apply"/>
    <hyperlink ref="DK6" location="'Valid Values'!BX1" display="Please choose one or more from the following, using a semicolon (;) to separate each value: Flush; Glass; Louvered; Paneled; Mirrored; Barn Doors; Frosted; Insulated; Contoured; Tinted; See Through; Double Pane; Does Not Apply"/>
    <hyperlink ref="DN6" location="'Valid Values'!BY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Q6" location="'Valid Values'!BZ1" display="Please choose one or more from the following, using a semicolon (;) to separate each value: Gel; Gas; Wood; Electric; Unavailable; Does Not Apply"/>
    <hyperlink ref="DR6" location="'Valid Values'!CA1" display="Select"/>
    <hyperlink ref="DT6" location="'Valid Values'!CB1" display="Select"/>
    <hyperlink ref="DU6" location="'Valid Values'!CC1" display="Select"/>
    <hyperlink ref="DV6" location="'Valid Values'!CD1" display="Select"/>
    <hyperlink ref="DW6" location="'Valid Values'!CE1" display="Select"/>
    <hyperlink ref="DY6" location="'Valid Values'!CF1" display="Please choose one or more from the following, using a semicolon (;) to separate each value: Dual Language; Distribution Conflict; Logistics; Does Not Apply"/>
    <hyperlink ref="DZ6" location="'Valid Values'!CG1" display="Select"/>
    <hyperlink ref="EB6" location="'Valid Values'!CH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EC6" location="'Valid Values'!CI1" display="Select"/>
    <hyperlink ref="ED6" location="'Valid Values'!CJ1" display="Select"/>
    <hyperlink ref="EE6" location="'Valid Values'!CK1" display="Select"/>
    <hyperlink ref="EF6" location="'Valid Values'!CL1" display="Select"/>
    <hyperlink ref="EG6" location="'Valid Values'!CM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I6" location="'Valid Values'!CN1" display="Select"/>
    <hyperlink ref="EJ6" location="'Valid Values'!CO1" display="Select"/>
    <hyperlink ref="EL6" location="'Valid Values'!CP1" display="Select"/>
    <hyperlink ref="ES6" location="'Valid Values'!CQ1" display="Select"/>
    <hyperlink ref="EV6" location="'Valid Values'!CR1" display="Select"/>
    <hyperlink ref="EW6" location="'Valid Values'!CS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Y6" location="'Valid Values'!CT1" display="Select"/>
    <hyperlink ref="FA6" location="'Valid Values'!CU1" display="Select"/>
    <hyperlink ref="FB6" location="'Valid Values'!CV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B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29.7109375" customWidth="1" style="22" min="68" max="68"/>
    <col width="21.7109375" customWidth="1" style="22" min="69" max="69"/>
    <col width="22.7109375" customWidth="1" style="22" min="70" max="71"/>
    <col width="21.7109375" customWidth="1" style="22" min="72" max="72"/>
    <col width="30.7109375" customWidth="1" style="22" min="73" max="74"/>
    <col width="20.7109375" customWidth="1" style="22" min="75" max="75"/>
    <col width="21.7109375" customWidth="1" style="22" min="76" max="76"/>
    <col width="13.7109375" customWidth="1" style="22" min="77" max="77"/>
    <col width="32.7109375" customWidth="1" style="22" min="78" max="78"/>
    <col width="27.7109375" customWidth="1" style="22" min="79" max="79"/>
    <col width="17.7109375" customWidth="1" style="22" min="80" max="80"/>
    <col width="13.7109375" customWidth="1" style="22" min="81" max="81"/>
    <col width="29.7109375" customWidth="1" style="22" min="82" max="82"/>
    <col width="23.7109375" customWidth="1" style="22" min="83" max="83"/>
    <col width="27.7109375" customWidth="1" style="22" min="84" max="84"/>
    <col width="21.7109375" customWidth="1" style="22" min="85" max="85"/>
    <col width="30.7109375" customWidth="1" style="22" min="86" max="86"/>
    <col width="23.7109375" customWidth="1" style="22" min="87" max="87"/>
    <col width="12.7109375" customWidth="1" style="22" min="88" max="88"/>
    <col width="38.7109375" customWidth="1" style="22" min="89" max="89"/>
    <col width="33.7109375" customWidth="1" style="22" min="90" max="90"/>
    <col width="22.7109375" customWidth="1" style="22" min="91" max="91"/>
    <col width="39.7109375" customWidth="1" style="22" min="92" max="92"/>
    <col width="43.7109375" customWidth="1" style="22" min="93" max="93"/>
    <col width="29.7109375" customWidth="1" style="22" min="94" max="94"/>
    <col width="20.7109375" customWidth="1" style="22" min="95" max="95"/>
    <col width="17.7109375" customWidth="1" style="22" min="96" max="96"/>
    <col width="34.7109375" customWidth="1" style="22" min="97" max="97"/>
    <col width="24.7109375" customWidth="1" style="22" min="98" max="98"/>
    <col width="17.7109375" customWidth="1" style="22" min="99" max="99"/>
    <col width="24.7109375" customWidth="1" style="22" min="100" max="100"/>
    <col width="21.7109375" customWidth="1" style="22" min="101" max="101"/>
    <col width="20.7109375" customWidth="1" style="22" min="102" max="102"/>
    <col width="35.7109375" customWidth="1" style="22" min="103" max="103"/>
    <col width="30.7109375" customWidth="1" style="22" min="104" max="104"/>
    <col width="27.7109375" customWidth="1" style="22" min="105" max="105"/>
    <col width="21.7109375" customWidth="1" style="22" min="106" max="106"/>
    <col width="20.7109375" customWidth="1" style="22" min="107" max="107"/>
    <col width="17.7109375" customWidth="1" style="22" min="108" max="108"/>
    <col width="15.7109375" customWidth="1" style="22" min="109" max="109"/>
    <col width="19.7109375" customWidth="1" style="22" min="110" max="111"/>
    <col width="34.7109375" customWidth="1" style="22" min="112" max="112"/>
    <col width="14.7109375" customWidth="1" style="22" min="113" max="114"/>
    <col width="16.7109375" customWidth="1" style="22" min="115" max="115"/>
    <col width="21.7109375" customWidth="1" style="22" min="116" max="117"/>
    <col width="20.7109375" customWidth="1" style="22" min="118" max="118"/>
    <col width="23.7109375" customWidth="1" style="22" min="119" max="120"/>
    <col width="19.7109375" customWidth="1" style="22" min="121" max="121"/>
    <col width="44.7109375" customWidth="1" style="22" min="122" max="122"/>
    <col width="33.7109375" customWidth="1" style="22" min="123" max="123"/>
    <col width="53.7109375" customWidth="1" style="22" min="124" max="125"/>
    <col width="21.7109375" customWidth="1" style="22" min="126" max="126"/>
    <col width="64.7109375" customWidth="1" style="22" min="127" max="127"/>
    <col width="31.7109375" customWidth="1" style="22" min="128" max="128"/>
    <col width="27.7109375" customWidth="1" style="22" min="129" max="129"/>
    <col width="19.7109375" customWidth="1" style="22" min="130" max="130"/>
    <col width="41.7109375" customWidth="1" style="22" min="131" max="131"/>
    <col width="20.7109375" customWidth="1" style="22" min="132" max="132"/>
    <col width="21.7109375" customWidth="1" style="22" min="133" max="133"/>
    <col width="18.7109375" customWidth="1" style="22" min="134" max="134"/>
    <col width="30.7109375" customWidth="1" style="22" min="135" max="135"/>
    <col width="44.7109375" customWidth="1" style="22" min="136" max="136"/>
    <col width="22.7109375" customWidth="1" style="22" min="137" max="137"/>
    <col width="42.7109375" customWidth="1" style="22" min="138" max="138"/>
    <col width="47.7109375" customWidth="1" style="22" min="139" max="139"/>
    <col width="19.7109375" customWidth="1" style="22" min="140" max="140"/>
    <col width="79.7109375" customWidth="1" style="22" min="141" max="141"/>
    <col width="30.7109375" customWidth="1" style="22" min="142" max="142"/>
    <col width="34.7109375" customWidth="1" style="22" min="143" max="143"/>
    <col width="35.7109375" customWidth="1" style="22" min="144" max="144"/>
    <col width="56.7109375" customWidth="1" style="22" min="145" max="145"/>
    <col width="54.7109375" customWidth="1" style="22" min="146" max="146"/>
    <col width="55.7109375" customWidth="1" style="22" min="147" max="147"/>
    <col width="27.7109375" customWidth="1" style="22" min="148" max="148"/>
    <col width="40.7109375" customWidth="1" style="22" min="149" max="149"/>
    <col width="44.7109375" customWidth="1" style="22" min="150" max="150"/>
    <col width="22.7109375" customWidth="1" style="22" min="151" max="152"/>
    <col width="45.7109375" customWidth="1" style="22" min="153" max="153"/>
    <col width="24.7109375" customWidth="1" style="22" min="154" max="154"/>
    <col width="31.7109375" customWidth="1" style="22" min="155" max="155"/>
    <col width="21.7109375" customWidth="1" style="22" min="156" max="156"/>
    <col width="29.7109375" customWidth="1" style="22" min="157" max="157"/>
    <col width="20.7109375" customWidth="1" style="22" min="158" max="158"/>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5620</t>
        </is>
      </c>
      <c r="BP1" s="22" t="inlineStr">
        <is>
          <t>252622</t>
        </is>
      </c>
      <c r="BQ1" s="22" t="inlineStr">
        <is>
          <t>5635</t>
        </is>
      </c>
      <c r="BR1" s="22" t="inlineStr">
        <is>
          <t>5911</t>
        </is>
      </c>
      <c r="BS1" s="22" t="inlineStr">
        <is>
          <t>5636</t>
        </is>
      </c>
      <c r="BT1" s="22" t="inlineStr">
        <is>
          <t>382543</t>
        </is>
      </c>
      <c r="BU1" s="22" t="inlineStr">
        <is>
          <t>5634</t>
        </is>
      </c>
      <c r="BV1" s="22" t="inlineStr">
        <is>
          <t>5678</t>
        </is>
      </c>
      <c r="BW1" s="22" t="inlineStr">
        <is>
          <t>252625</t>
        </is>
      </c>
      <c r="BX1" s="22" t="inlineStr">
        <is>
          <t>5621</t>
        </is>
      </c>
      <c r="BY1" s="22" t="inlineStr">
        <is>
          <t>5625</t>
        </is>
      </c>
      <c r="BZ1" s="22" t="inlineStr">
        <is>
          <t>222860</t>
        </is>
      </c>
      <c r="CA1" s="22" t="inlineStr">
        <is>
          <t>222861</t>
        </is>
      </c>
      <c r="CB1" s="22" t="inlineStr">
        <is>
          <t>5624</t>
        </is>
      </c>
      <c r="CC1" s="22" t="inlineStr">
        <is>
          <t>220722</t>
        </is>
      </c>
      <c r="CD1" s="22" t="inlineStr">
        <is>
          <t>221251</t>
        </is>
      </c>
      <c r="CE1" s="22" t="inlineStr">
        <is>
          <t>218007</t>
        </is>
      </c>
      <c r="CF1" s="22" t="inlineStr">
        <is>
          <t>5648</t>
        </is>
      </c>
      <c r="CG1" s="22" t="inlineStr">
        <is>
          <t>5649</t>
        </is>
      </c>
      <c r="CH1" s="22" t="inlineStr">
        <is>
          <t>5643</t>
        </is>
      </c>
      <c r="CI1" s="22" t="inlineStr">
        <is>
          <t>5645</t>
        </is>
      </c>
      <c r="CJ1" s="22" t="inlineStr">
        <is>
          <t>189876</t>
        </is>
      </c>
      <c r="CK1" s="22" t="inlineStr">
        <is>
          <t>201479</t>
        </is>
      </c>
      <c r="CL1" s="22" t="inlineStr">
        <is>
          <t>5663</t>
        </is>
      </c>
      <c r="CM1" s="22" t="inlineStr">
        <is>
          <t>242478</t>
        </is>
      </c>
      <c r="CN1" s="22" t="inlineStr">
        <is>
          <t>227966</t>
        </is>
      </c>
      <c r="CO1" s="22" t="inlineStr">
        <is>
          <t>244566</t>
        </is>
      </c>
      <c r="CP1" s="22" t="inlineStr">
        <is>
          <t>293480</t>
        </is>
      </c>
      <c r="CQ1" s="22" t="inlineStr">
        <is>
          <t>293547</t>
        </is>
      </c>
      <c r="CR1" s="22" t="inlineStr">
        <is>
          <t>185254</t>
        </is>
      </c>
      <c r="CS1" s="22" t="inlineStr">
        <is>
          <t>344955</t>
        </is>
      </c>
      <c r="CT1" s="22" t="inlineStr">
        <is>
          <t>346869</t>
        </is>
      </c>
      <c r="CU1" s="22" t="inlineStr">
        <is>
          <t>351619</t>
        </is>
      </c>
      <c r="CV1" s="22" t="inlineStr">
        <is>
          <t>367149</t>
        </is>
      </c>
      <c r="CW1" s="22" t="inlineStr">
        <is>
          <t>351641</t>
        </is>
      </c>
      <c r="CX1" s="22" t="inlineStr">
        <is>
          <t>352351</t>
        </is>
      </c>
      <c r="CY1" s="22" t="inlineStr">
        <is>
          <t>352342</t>
        </is>
      </c>
      <c r="CZ1" s="22" t="inlineStr">
        <is>
          <t>351649</t>
        </is>
      </c>
      <c r="DA1" s="22" t="inlineStr">
        <is>
          <t>5949</t>
        </is>
      </c>
      <c r="DB1" s="22" t="inlineStr">
        <is>
          <t>5950</t>
        </is>
      </c>
      <c r="DC1" s="22" t="inlineStr">
        <is>
          <t>5654</t>
        </is>
      </c>
      <c r="DD1" s="22" t="inlineStr">
        <is>
          <t>368645</t>
        </is>
      </c>
      <c r="DE1" s="22" t="inlineStr">
        <is>
          <t>370848</t>
        </is>
      </c>
      <c r="DF1" s="22" t="inlineStr">
        <is>
          <t>5910</t>
        </is>
      </c>
      <c r="DG1" s="22" t="inlineStr">
        <is>
          <t>379875</t>
        </is>
      </c>
      <c r="DH1" s="22" t="inlineStr">
        <is>
          <t>292794</t>
        </is>
      </c>
      <c r="DI1" s="22" t="inlineStr">
        <is>
          <t>220267</t>
        </is>
      </c>
      <c r="DJ1" s="22" t="inlineStr">
        <is>
          <t>220265</t>
        </is>
      </c>
      <c r="DK1" s="22" t="inlineStr">
        <is>
          <t>384286</t>
        </is>
      </c>
      <c r="DL1" s="22" t="inlineStr">
        <is>
          <t>393970</t>
        </is>
      </c>
      <c r="DM1" s="22" t="inlineStr">
        <is>
          <t>400764</t>
        </is>
      </c>
      <c r="DN1" s="22" t="inlineStr">
        <is>
          <t>420139</t>
        </is>
      </c>
      <c r="DO1" s="22" t="inlineStr">
        <is>
          <t>5920</t>
        </is>
      </c>
      <c r="DP1" s="22" t="inlineStr">
        <is>
          <t>5916</t>
        </is>
      </c>
      <c r="DQ1" s="22" t="inlineStr">
        <is>
          <t>5938</t>
        </is>
      </c>
      <c r="DR1" s="22" t="inlineStr">
        <is>
          <t>5671</t>
        </is>
      </c>
      <c r="DS1" s="22" t="inlineStr">
        <is>
          <t>201426</t>
        </is>
      </c>
      <c r="DT1" s="22" t="inlineStr">
        <is>
          <t>224759</t>
        </is>
      </c>
      <c r="DU1" s="22" t="inlineStr">
        <is>
          <t>224980</t>
        </is>
      </c>
      <c r="DV1" s="22" t="inlineStr">
        <is>
          <t>364708</t>
        </is>
      </c>
      <c r="DW1" s="22" t="inlineStr">
        <is>
          <t>236083</t>
        </is>
      </c>
      <c r="DX1" s="22" t="inlineStr">
        <is>
          <t>249364</t>
        </is>
      </c>
      <c r="DY1" s="22" t="inlineStr">
        <is>
          <t>251110</t>
        </is>
      </c>
      <c r="DZ1" s="22" t="inlineStr">
        <is>
          <t>310560</t>
        </is>
      </c>
      <c r="EA1" s="22" t="inlineStr">
        <is>
          <t>339330</t>
        </is>
      </c>
      <c r="EB1" s="22" t="inlineStr">
        <is>
          <t>373560</t>
        </is>
      </c>
      <c r="EC1" s="22" t="inlineStr">
        <is>
          <t>340810</t>
        </is>
      </c>
      <c r="ED1" s="22" t="inlineStr">
        <is>
          <t>341070</t>
        </is>
      </c>
      <c r="EE1" s="22" t="inlineStr">
        <is>
          <t>369614</t>
        </is>
      </c>
      <c r="EF1" s="22" t="inlineStr">
        <is>
          <t>368262</t>
        </is>
      </c>
      <c r="EG1" s="22" t="inlineStr">
        <is>
          <t>375302</t>
        </is>
      </c>
      <c r="EH1" s="22" t="inlineStr">
        <is>
          <t>376202</t>
        </is>
      </c>
      <c r="EI1" s="22" t="inlineStr">
        <is>
          <t>382060</t>
        </is>
      </c>
      <c r="EJ1" s="22" t="inlineStr">
        <is>
          <t>385921</t>
        </is>
      </c>
      <c r="EK1" s="22" t="inlineStr">
        <is>
          <t>415242</t>
        </is>
      </c>
      <c r="EL1" s="22" t="inlineStr">
        <is>
          <t>421601</t>
        </is>
      </c>
      <c r="EM1" s="22" t="inlineStr">
        <is>
          <t>5675</t>
        </is>
      </c>
      <c r="EN1" s="22" t="inlineStr">
        <is>
          <t>5676</t>
        </is>
      </c>
      <c r="EO1" s="22" t="inlineStr">
        <is>
          <t>252485</t>
        </is>
      </c>
      <c r="EP1" s="22" t="inlineStr">
        <is>
          <t>252486</t>
        </is>
      </c>
      <c r="EQ1" s="22" t="inlineStr">
        <is>
          <t>252487</t>
        </is>
      </c>
      <c r="ER1" s="22" t="inlineStr">
        <is>
          <t>5681</t>
        </is>
      </c>
      <c r="ES1" s="22" t="inlineStr">
        <is>
          <t>217965</t>
        </is>
      </c>
      <c r="ET1" s="22" t="inlineStr">
        <is>
          <t>5674</t>
        </is>
      </c>
      <c r="EU1" s="22" t="inlineStr">
        <is>
          <t>5682</t>
        </is>
      </c>
      <c r="EV1" s="22" t="inlineStr">
        <is>
          <t>222775</t>
        </is>
      </c>
      <c r="EW1" s="22" t="inlineStr">
        <is>
          <t>222778</t>
        </is>
      </c>
      <c r="EX1" s="22" t="inlineStr">
        <is>
          <t>228934</t>
        </is>
      </c>
      <c r="EY1" s="22" t="inlineStr">
        <is>
          <t>333812</t>
        </is>
      </c>
      <c r="EZ1" s="22" t="inlineStr">
        <is>
          <t>254186</t>
        </is>
      </c>
      <c r="FA1" s="22" t="inlineStr">
        <is>
          <t>255305</t>
        </is>
      </c>
      <c r="FB1" s="22" t="inlineStr">
        <is>
          <t>256090</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1" t="n"/>
      <c r="EU2" s="41" t="n"/>
      <c r="EV2" s="41" t="n"/>
      <c r="EW2" s="41" t="n"/>
      <c r="EX2" s="41" t="n"/>
      <c r="EY2" s="41" t="n"/>
      <c r="EZ2" s="41" t="n"/>
      <c r="FA2" s="41" t="n"/>
      <c r="FB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Recommended</t>
        </is>
      </c>
      <c r="BQ3" s="32" t="inlineStr">
        <is>
          <t>Required</t>
        </is>
      </c>
      <c r="BR3" s="32" t="inlineStr">
        <is>
          <t>Required</t>
        </is>
      </c>
      <c r="BS3" s="32" t="inlineStr">
        <is>
          <t>Required</t>
        </is>
      </c>
      <c r="BT3" s="32" t="inlineStr">
        <is>
          <t>Recommended</t>
        </is>
      </c>
      <c r="BU3" s="32" t="inlineStr">
        <is>
          <t>Recommended</t>
        </is>
      </c>
      <c r="BV3" s="32" t="inlineStr">
        <is>
          <t>Recommended</t>
        </is>
      </c>
      <c r="BW3" s="32" t="inlineStr">
        <is>
          <t>Recommended</t>
        </is>
      </c>
      <c r="BX3" s="32" t="inlineStr">
        <is>
          <t>Required</t>
        </is>
      </c>
      <c r="BY3" s="32" t="inlineStr">
        <is>
          <t>Required</t>
        </is>
      </c>
      <c r="BZ3" s="32" t="inlineStr">
        <is>
          <t>Recommended</t>
        </is>
      </c>
      <c r="CA3" s="32" t="inlineStr">
        <is>
          <t>Recommended</t>
        </is>
      </c>
      <c r="CB3" s="32" t="inlineStr">
        <is>
          <t>Recommended</t>
        </is>
      </c>
      <c r="CC3" s="32" t="inlineStr">
        <is>
          <t>Recommended</t>
        </is>
      </c>
      <c r="CD3" s="32" t="inlineStr">
        <is>
          <t>Recommended</t>
        </is>
      </c>
      <c r="CE3" s="32" t="inlineStr">
        <is>
          <t>Recommended</t>
        </is>
      </c>
      <c r="CF3" s="32" t="inlineStr">
        <is>
          <t>Recommended</t>
        </is>
      </c>
      <c r="CG3" s="32" t="inlineStr">
        <is>
          <t>Recommended</t>
        </is>
      </c>
      <c r="CH3" s="32" t="inlineStr">
        <is>
          <t>Recommended</t>
        </is>
      </c>
      <c r="CI3" s="32" t="inlineStr">
        <is>
          <t>Required</t>
        </is>
      </c>
      <c r="CJ3" s="32" t="inlineStr">
        <is>
          <t>Required</t>
        </is>
      </c>
      <c r="CK3" s="32" t="inlineStr">
        <is>
          <t>Required</t>
        </is>
      </c>
      <c r="CL3" s="32" t="inlineStr">
        <is>
          <t>Recommended</t>
        </is>
      </c>
      <c r="CM3" s="32" t="inlineStr">
        <is>
          <t>Recommended</t>
        </is>
      </c>
      <c r="CN3" s="32" t="inlineStr">
        <is>
          <t>Required</t>
        </is>
      </c>
      <c r="CO3" s="32" t="inlineStr">
        <is>
          <t>Additional</t>
        </is>
      </c>
      <c r="CP3" s="32" t="inlineStr">
        <is>
          <t>Recommended</t>
        </is>
      </c>
      <c r="CQ3" s="32" t="inlineStr">
        <is>
          <t>Recommended</t>
        </is>
      </c>
      <c r="CR3" s="32" t="inlineStr">
        <is>
          <t>Recommended</t>
        </is>
      </c>
      <c r="CS3" s="32" t="inlineStr">
        <is>
          <t>Required</t>
        </is>
      </c>
      <c r="CT3" s="32" t="inlineStr">
        <is>
          <t>Required</t>
        </is>
      </c>
      <c r="CU3" s="32" t="inlineStr">
        <is>
          <t>Required</t>
        </is>
      </c>
      <c r="CV3" s="32" t="inlineStr">
        <is>
          <t>Required</t>
        </is>
      </c>
      <c r="CW3" s="32" t="inlineStr">
        <is>
          <t>Additional</t>
        </is>
      </c>
      <c r="CX3" s="32" t="inlineStr">
        <is>
          <t>Additional</t>
        </is>
      </c>
      <c r="CY3" s="32" t="inlineStr">
        <is>
          <t>Additional</t>
        </is>
      </c>
      <c r="CZ3" s="32" t="inlineStr">
        <is>
          <t>Additional</t>
        </is>
      </c>
      <c r="DA3" s="32" t="inlineStr">
        <is>
          <t>Recommended</t>
        </is>
      </c>
      <c r="DB3" s="32" t="inlineStr">
        <is>
          <t>Recommended</t>
        </is>
      </c>
      <c r="DC3" s="32" t="inlineStr">
        <is>
          <t>Required</t>
        </is>
      </c>
      <c r="DD3" s="32" t="inlineStr">
        <is>
          <t>Recommended</t>
        </is>
      </c>
      <c r="DE3" s="32" t="inlineStr">
        <is>
          <t>Recommended</t>
        </is>
      </c>
      <c r="DF3" s="32" t="inlineStr">
        <is>
          <t>Recommended</t>
        </is>
      </c>
      <c r="DG3" s="32" t="inlineStr">
        <is>
          <t>Required</t>
        </is>
      </c>
      <c r="DH3" s="32" t="inlineStr">
        <is>
          <t>Recommended</t>
        </is>
      </c>
      <c r="DI3" s="32" t="inlineStr">
        <is>
          <t>Required</t>
        </is>
      </c>
      <c r="DJ3" s="32" t="inlineStr">
        <is>
          <t>Required</t>
        </is>
      </c>
      <c r="DK3" s="32" t="inlineStr">
        <is>
          <t>Recommended</t>
        </is>
      </c>
      <c r="DL3" s="32" t="inlineStr">
        <is>
          <t>Recommended</t>
        </is>
      </c>
      <c r="DM3" s="32" t="inlineStr">
        <is>
          <t>Recommended</t>
        </is>
      </c>
      <c r="DN3" s="32" t="inlineStr">
        <is>
          <t>Required</t>
        </is>
      </c>
      <c r="DO3" s="32" t="inlineStr">
        <is>
          <t>Required</t>
        </is>
      </c>
      <c r="DP3" s="32" t="inlineStr">
        <is>
          <t>Recommended</t>
        </is>
      </c>
      <c r="DQ3" s="32" t="inlineStr">
        <is>
          <t>Recommended</t>
        </is>
      </c>
      <c r="DR3" s="32" t="inlineStr">
        <is>
          <t>Required</t>
        </is>
      </c>
      <c r="DS3" s="32" t="inlineStr">
        <is>
          <t>Required</t>
        </is>
      </c>
      <c r="DT3" s="32" t="inlineStr">
        <is>
          <t>Required</t>
        </is>
      </c>
      <c r="DU3" s="32" t="inlineStr">
        <is>
          <t>Required</t>
        </is>
      </c>
      <c r="DV3" s="32" t="inlineStr">
        <is>
          <t>Required</t>
        </is>
      </c>
      <c r="DW3" s="32" t="inlineStr">
        <is>
          <t>Required</t>
        </is>
      </c>
      <c r="DX3" s="32" t="inlineStr">
        <is>
          <t>Required</t>
        </is>
      </c>
      <c r="DY3" s="32" t="inlineStr">
        <is>
          <t>Required</t>
        </is>
      </c>
      <c r="DZ3" s="32" t="inlineStr">
        <is>
          <t>Recommended</t>
        </is>
      </c>
      <c r="EA3" s="32" t="inlineStr">
        <is>
          <t>Recommended</t>
        </is>
      </c>
      <c r="EB3" s="32" t="inlineStr">
        <is>
          <t>Recommended</t>
        </is>
      </c>
      <c r="EC3" s="32" t="inlineStr">
        <is>
          <t>Recommended</t>
        </is>
      </c>
      <c r="ED3" s="32" t="inlineStr">
        <is>
          <t>Recommended</t>
        </is>
      </c>
      <c r="EE3" s="32" t="inlineStr">
        <is>
          <t>Recommended</t>
        </is>
      </c>
      <c r="EF3" s="32" t="inlineStr">
        <is>
          <t>Required</t>
        </is>
      </c>
      <c r="EG3" s="32" t="inlineStr">
        <is>
          <t>Required</t>
        </is>
      </c>
      <c r="EH3" s="32" t="inlineStr">
        <is>
          <t>Required</t>
        </is>
      </c>
      <c r="EI3" s="32" t="inlineStr">
        <is>
          <t>Required</t>
        </is>
      </c>
      <c r="EJ3" s="32" t="inlineStr">
        <is>
          <t>Recommended</t>
        </is>
      </c>
      <c r="EK3" s="32" t="inlineStr">
        <is>
          <t>Recommended</t>
        </is>
      </c>
      <c r="EL3" s="32" t="inlineStr">
        <is>
          <t>Recommended</t>
        </is>
      </c>
      <c r="EM3" s="32" t="inlineStr">
        <is>
          <t>Required</t>
        </is>
      </c>
      <c r="EN3" s="32" t="inlineStr">
        <is>
          <t>Required</t>
        </is>
      </c>
      <c r="EO3" s="32" t="inlineStr">
        <is>
          <t>Required</t>
        </is>
      </c>
      <c r="EP3" s="32" t="inlineStr">
        <is>
          <t>Required</t>
        </is>
      </c>
      <c r="EQ3" s="32" t="inlineStr">
        <is>
          <t>Required</t>
        </is>
      </c>
      <c r="ER3" s="32" t="inlineStr">
        <is>
          <t>Recommended</t>
        </is>
      </c>
      <c r="ES3" s="32" t="inlineStr">
        <is>
          <t>Required</t>
        </is>
      </c>
      <c r="ET3" s="32" t="inlineStr">
        <is>
          <t>Required</t>
        </is>
      </c>
      <c r="EU3" s="32" t="inlineStr">
        <is>
          <t>Required</t>
        </is>
      </c>
      <c r="EV3" s="32" t="inlineStr">
        <is>
          <t>Required</t>
        </is>
      </c>
      <c r="EW3" s="32" t="inlineStr">
        <is>
          <t>Recommended</t>
        </is>
      </c>
      <c r="EX3" s="32" t="inlineStr">
        <is>
          <t>Required</t>
        </is>
      </c>
      <c r="EY3" s="32" t="inlineStr">
        <is>
          <t>Recommended</t>
        </is>
      </c>
      <c r="EZ3" s="32" t="inlineStr">
        <is>
          <t>Recommended</t>
        </is>
      </c>
      <c r="FA3" s="32" t="inlineStr">
        <is>
          <t>Recommended</t>
        </is>
      </c>
      <c r="FB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Pier / Bookcase Included</t>
        </is>
      </c>
      <c r="BQ4" s="19" t="inlineStr">
        <is>
          <t>Drawers Included</t>
        </is>
      </c>
      <c r="BR4" s="19" t="inlineStr">
        <is>
          <t>Number of Drawers</t>
        </is>
      </c>
      <c r="BS4" s="19" t="inlineStr">
        <is>
          <t>Cabinets Included</t>
        </is>
      </c>
      <c r="BT4" s="19" t="inlineStr">
        <is>
          <t>Shelves Included</t>
        </is>
      </c>
      <c r="BU4" s="19" t="inlineStr">
        <is>
          <t>Exterior Shelves Included</t>
        </is>
      </c>
      <c r="BV4" s="19" t="inlineStr">
        <is>
          <t>Interior Shelves Included</t>
        </is>
      </c>
      <c r="BW4" s="19" t="inlineStr">
        <is>
          <t>Bridge Included</t>
        </is>
      </c>
      <c r="BX4" s="19" t="inlineStr">
        <is>
          <t>Furniture Design</t>
        </is>
      </c>
      <c r="BY4" s="19" t="inlineStr">
        <is>
          <t>Material</t>
        </is>
      </c>
      <c r="BZ4" s="19" t="inlineStr">
        <is>
          <t>Purposeful Distressing Type</t>
        </is>
      </c>
      <c r="CA4" s="19" t="inlineStr">
        <is>
          <t>Natural Variation Type</t>
        </is>
      </c>
      <c r="CB4" s="19" t="inlineStr">
        <is>
          <t>Gloss Finish</t>
        </is>
      </c>
      <c r="CC4" s="19" t="inlineStr">
        <is>
          <t>Mirrored</t>
        </is>
      </c>
      <c r="CD4" s="19" t="inlineStr">
        <is>
          <t>Sound Bar Shelf Included</t>
        </is>
      </c>
      <c r="CE4" s="19" t="inlineStr">
        <is>
          <t>Adjustable Shelves</t>
        </is>
      </c>
      <c r="CF4" s="19" t="inlineStr">
        <is>
          <t>Media Storage Included</t>
        </is>
      </c>
      <c r="CG4" s="19" t="inlineStr">
        <is>
          <t>Cable Management</t>
        </is>
      </c>
      <c r="CH4" s="19" t="inlineStr">
        <is>
          <t>Wheels / Casters Included</t>
        </is>
      </c>
      <c r="CI4" s="19" t="inlineStr">
        <is>
          <t>Fireplace Included</t>
        </is>
      </c>
      <c r="CJ4" s="19" t="inlineStr">
        <is>
          <t>Plug-In</t>
        </is>
      </c>
      <c r="CK4" s="19" t="inlineStr">
        <is>
          <t>Tipover Restraint Device Included</t>
        </is>
      </c>
      <c r="CL4" s="19" t="inlineStr">
        <is>
          <t>Integrated TV Mount Included</t>
        </is>
      </c>
      <c r="CM4" s="19" t="inlineStr">
        <is>
          <t>Adjustable Height</t>
        </is>
      </c>
      <c r="CN4" s="19" t="inlineStr">
        <is>
          <t>Supplier Intended and Approved Use</t>
        </is>
      </c>
      <c r="CO4" s="19" t="inlineStr">
        <is>
          <t>Country of Origin - Additional Details</t>
        </is>
      </c>
      <c r="CP4" s="19" t="inlineStr">
        <is>
          <t>Main Wood Joinery Method</t>
        </is>
      </c>
      <c r="CQ4" s="19" t="inlineStr">
        <is>
          <t>Kiln-Dried Wood</t>
        </is>
      </c>
      <c r="CR4" s="19" t="inlineStr">
        <is>
          <t>Wood Species</t>
        </is>
      </c>
      <c r="CS4" s="33" t="inlineStr">
        <is>
          <t>Battery or Batteries Included</t>
        </is>
      </c>
      <c r="CT4" s="34" t="inlineStr">
        <is>
          <t>Battery Composition</t>
        </is>
      </c>
      <c r="CU4" s="34" t="inlineStr">
        <is>
          <t>Battery Type</t>
        </is>
      </c>
      <c r="CV4" s="34" t="inlineStr">
        <is>
          <t>Number of Batteries</t>
        </is>
      </c>
      <c r="CW4" s="34" t="inlineStr">
        <is>
          <t>Battery Shipment</t>
        </is>
      </c>
      <c r="CX4" s="34" t="inlineStr">
        <is>
          <t>Lithium Content</t>
        </is>
      </c>
      <c r="CY4" s="34" t="inlineStr">
        <is>
          <t>Watt Rating of Cells / Battery</t>
        </is>
      </c>
      <c r="CZ4" s="34" t="inlineStr">
        <is>
          <t>Weight of Cells / Battery</t>
        </is>
      </c>
      <c r="DA4" s="19" t="inlineStr">
        <is>
          <t>Adjustable Temperature</t>
        </is>
      </c>
      <c r="DB4" s="19" t="inlineStr">
        <is>
          <t>Adjustable Flame</t>
        </is>
      </c>
      <c r="DC4" s="19" t="inlineStr">
        <is>
          <t>Weight Capacity</t>
        </is>
      </c>
      <c r="DD4" s="19" t="inlineStr">
        <is>
          <t>Product Care</t>
        </is>
      </c>
      <c r="DE4" s="19" t="inlineStr">
        <is>
          <t>Unfinished</t>
        </is>
      </c>
      <c r="DF4" s="19" t="inlineStr">
        <is>
          <t>Shelf Material</t>
        </is>
      </c>
      <c r="DG4" s="19" t="inlineStr">
        <is>
          <t>Color / Finish</t>
        </is>
      </c>
      <c r="DH4" s="19" t="inlineStr">
        <is>
          <t>Drawer Glide Type &amp; Extension</t>
        </is>
      </c>
      <c r="DI4" s="19" t="inlineStr">
        <is>
          <t>Vent Type</t>
        </is>
      </c>
      <c r="DJ4" s="19" t="inlineStr">
        <is>
          <t>Fuel Type</t>
        </is>
      </c>
      <c r="DK4" s="19" t="inlineStr">
        <is>
          <t>Door Design</t>
        </is>
      </c>
      <c r="DL4" s="19" t="inlineStr">
        <is>
          <t>Ribbed Detailing</t>
        </is>
      </c>
      <c r="DM4" s="19" t="inlineStr">
        <is>
          <t>Fluted Detailing</t>
        </is>
      </c>
      <c r="DN4" s="19" t="inlineStr">
        <is>
          <t>Pieces Included</t>
        </is>
      </c>
      <c r="DO4" s="19" t="inlineStr">
        <is>
          <t>Number of Cabinets</t>
        </is>
      </c>
      <c r="DP4" s="19" t="inlineStr">
        <is>
          <t>Drawer Safety Stop</t>
        </is>
      </c>
      <c r="DQ4" s="19" t="inlineStr">
        <is>
          <t>Fireplace Type</t>
        </is>
      </c>
      <c r="DR4" s="19" t="inlineStr">
        <is>
          <t>General Certificate of Conformity (GCC)</t>
        </is>
      </c>
      <c r="DS4" s="33" t="inlineStr">
        <is>
          <t>Composite Wood Product (CWP)</t>
        </is>
      </c>
      <c r="DT4" s="34" t="inlineStr">
        <is>
          <t>CARB Phase II Compliant (formaldehyde emissions)</t>
        </is>
      </c>
      <c r="DU4" s="34" t="inlineStr">
        <is>
          <t>TSCA Title VI Compliant (formaldehyde emissions)</t>
        </is>
      </c>
      <c r="DV4" s="34" t="inlineStr">
        <is>
          <t>CANFER Compliant</t>
        </is>
      </c>
      <c r="DW4" s="19" t="inlineStr">
        <is>
          <t>Uniform Packaging and Labeling Regulations (UPLR) Compliant</t>
        </is>
      </c>
      <c r="DX4" s="33" t="inlineStr">
        <is>
          <t>Canada Product Restriction</t>
        </is>
      </c>
      <c r="DY4" s="34" t="inlineStr">
        <is>
          <t>Reason for Restriction</t>
        </is>
      </c>
      <c r="DZ4" s="19" t="inlineStr">
        <is>
          <t>UL 1678 Listed</t>
        </is>
      </c>
      <c r="EA4" s="33" t="inlineStr">
        <is>
          <t>Hazardous Material / Dangerous Goods</t>
        </is>
      </c>
      <c r="EB4" s="34" t="inlineStr">
        <is>
          <t>UN or ID number</t>
        </is>
      </c>
      <c r="EC4" s="34" t="inlineStr">
        <is>
          <t>Hazard Class(es)</t>
        </is>
      </c>
      <c r="ED4" s="34" t="inlineStr">
        <is>
          <t>Packing Group</t>
        </is>
      </c>
      <c r="EE4" s="34" t="inlineStr">
        <is>
          <t>Hazardous Material Weight</t>
        </is>
      </c>
      <c r="EF4" s="19" t="inlineStr">
        <is>
          <t>Energy Efficiency Regulations Compliant</t>
        </is>
      </c>
      <c r="EG4" s="33" t="inlineStr">
        <is>
          <t>Safety Listing(s)</t>
        </is>
      </c>
      <c r="EH4" s="34" t="inlineStr">
        <is>
          <t>Safety Listing(s) Registration Number</t>
        </is>
      </c>
      <c r="EI4" s="19" t="inlineStr">
        <is>
          <t>CPSC - 16 CFR 1263 Compliant (Reese's Law)</t>
        </is>
      </c>
      <c r="EJ4" s="19" t="inlineStr">
        <is>
          <t>ISTA Certified</t>
        </is>
      </c>
      <c r="EK4" s="19" t="inlineStr">
        <is>
          <t>Sustainability &amp; Social Responsibility Certifications (North America Only)</t>
        </is>
      </c>
      <c r="EL4" s="19" t="inlineStr">
        <is>
          <t>Commercial Certifications</t>
        </is>
      </c>
      <c r="EM4" s="19" t="inlineStr">
        <is>
          <t>TV Stand Width - Side to Side</t>
        </is>
      </c>
      <c r="EN4" s="19" t="inlineStr">
        <is>
          <t>TV Stand Depth - Front to Back</t>
        </is>
      </c>
      <c r="EO4" s="19" t="inlineStr">
        <is>
          <t>Overall Entertainment Center Height - Top to Bottom</t>
        </is>
      </c>
      <c r="EP4" s="19" t="inlineStr">
        <is>
          <t>Overall Entertainment Center Width - Side to Side</t>
        </is>
      </c>
      <c r="EQ4" s="19" t="inlineStr">
        <is>
          <t>Overall Entertainment Center Depth - Front to Back</t>
        </is>
      </c>
      <c r="ER4" s="19" t="inlineStr">
        <is>
          <t>Overall Product Weight</t>
        </is>
      </c>
      <c r="ES4" s="19" t="inlineStr">
        <is>
          <t>Maximum TV Screen Size Accommodated</t>
        </is>
      </c>
      <c r="ET4" s="19" t="inlineStr">
        <is>
          <t>TV Stand Overall Height - Top to Bottom</t>
        </is>
      </c>
      <c r="EU4" s="19" t="inlineStr">
        <is>
          <t>Assembly Required</t>
        </is>
      </c>
      <c r="EV4" s="19" t="inlineStr">
        <is>
          <t>Level of Assembly</t>
        </is>
      </c>
      <c r="EW4" s="19" t="inlineStr">
        <is>
          <t>Additional Tools Required (Not Included)</t>
        </is>
      </c>
      <c r="EX4" s="33" t="inlineStr">
        <is>
          <t>Commercial Warranty</t>
        </is>
      </c>
      <c r="EY4" s="34" t="inlineStr">
        <is>
          <t>Commercial Warranty Length</t>
        </is>
      </c>
      <c r="EZ4" s="19" t="inlineStr">
        <is>
          <t>Product Warranty</t>
        </is>
      </c>
      <c r="FA4" s="19" t="inlineStr">
        <is>
          <t>Full or Limited Warranty</t>
        </is>
      </c>
      <c r="FB4" s="19" t="inlineStr">
        <is>
          <t>Warranty Length</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Does this product have a pier / bookcase included?</t>
        </is>
      </c>
      <c r="BQ5" s="35" t="inlineStr">
        <is>
          <t>Does this product have any drawers?</t>
        </is>
      </c>
      <c r="BR5" s="35" t="inlineStr">
        <is>
          <t>How many drawers are included in this product?</t>
        </is>
      </c>
      <c r="BS5" s="35" t="inlineStr">
        <is>
          <t>Does this product include cabinets?</t>
        </is>
      </c>
      <c r="BT5" s="35" t="inlineStr">
        <is>
          <t>Does this product include shelves?</t>
        </is>
      </c>
      <c r="BU5" s="35" t="inlineStr">
        <is>
          <t>Does this product have an open space with either another shelf above it or the top surface of the product above it? We do not define the top surface of the Accent Chest/Cabinet as an exterior shelf.</t>
        </is>
      </c>
      <c r="BV5" s="35" t="inlineStr">
        <is>
          <t>Does this product have interior shelves included?</t>
        </is>
      </c>
      <c r="BW5" s="35" t="inlineStr">
        <is>
          <t>Does this product have a bridge included?</t>
        </is>
      </c>
      <c r="BX5" s="35" t="inlineStr">
        <is>
          <t>What is the design of the piece of furniture?</t>
        </is>
      </c>
      <c r="BY5" s="35" t="inlineStr">
        <is>
          <t>What material is the product made of?</t>
        </is>
      </c>
      <c r="BZ5" s="35" t="inlineStr">
        <is>
          <t>What specific type of distressing does this product have? Select all that apply.</t>
        </is>
      </c>
      <c r="CA5" s="35" t="inlineStr">
        <is>
          <t>Which of the following types of natural variation and texture does the product have? Multiple can be selected if applicable. If the product does NOT have natural variation, please select No Natural Variation.</t>
        </is>
      </c>
      <c r="CB5" s="35" t="inlineStr">
        <is>
          <t>Does this product have a shiny and sheer gloss finish over the normal painted finish?</t>
        </is>
      </c>
      <c r="CC5" s="35" t="inlineStr">
        <is>
          <t>Is the surface of the product mirrored? Please do not select “yes” if the product only features a mirror. This question refers to the surface material of the product, and if it is reflective.</t>
        </is>
      </c>
      <c r="CD5" s="35" t="inlineStr">
        <is>
          <t>Does this product have a sound bar shelf included?</t>
        </is>
      </c>
      <c r="CE5" s="35" t="inlineStr">
        <is>
          <t>Does this product have adjustable shelves?</t>
        </is>
      </c>
      <c r="CF5" s="35" t="inlineStr">
        <is>
          <t>Does this product have media storage included?</t>
        </is>
      </c>
      <c r="CG5" s="35" t="inlineStr">
        <is>
          <t>Does this product have any built-in cable or wire management, such as a hole specifically for wires (a grommet) or a tray where wires can be stored?</t>
        </is>
      </c>
      <c r="CH5" s="35" t="inlineStr">
        <is>
          <t>Does this product have wheels or casters?</t>
        </is>
      </c>
      <c r="CI5" s="35" t="inlineStr">
        <is>
          <t>Does this product have a fireplace included?</t>
        </is>
      </c>
      <c r="CJ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K5" s="35" t="inlineStr">
        <is>
          <t>Does this product include a device to prevent the product from tipping over? Tipover restraint devices (TRDs) include brackets, straps, or other specialized hardware</t>
        </is>
      </c>
      <c r="CL5" s="35" t="inlineStr">
        <is>
          <t>Does this product have an integrated tv mount included?</t>
        </is>
      </c>
      <c r="CM5" s="35" t="inlineStr">
        <is>
          <t>Is the height of this product adjustable?</t>
        </is>
      </c>
      <c r="CN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O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P5" s="35" t="inlineStr">
        <is>
          <t>Which technique was used to join together the main pieces of wood to construct the overall product?</t>
        </is>
      </c>
      <c r="CQ5" s="35" t="inlineStr">
        <is>
          <t>Is the wood kiln-dried? If product is not made of wood, please select "does not apply."</t>
        </is>
      </c>
      <c r="CR5" s="35" t="inlineStr">
        <is>
          <t>What type of wood was used to construct this product? This describes the actual materials used, not the product's appearance.</t>
        </is>
      </c>
      <c r="CS5" s="35" t="inlineStr">
        <is>
          <t>Is the product a battery or does the product include batteries?</t>
        </is>
      </c>
      <c r="CT5" s="35" t="inlineStr">
        <is>
          <t>What is the composition of the batteries included with product?</t>
        </is>
      </c>
      <c r="CU5" s="35" t="inlineStr">
        <is>
          <t>What type is the battery? Button Cell, Cell, Battery?</t>
        </is>
      </c>
      <c r="CV5" s="35" t="inlineStr">
        <is>
          <t>Confirm number of batteries in this product</t>
        </is>
      </c>
      <c r="CW5" s="35" t="inlineStr">
        <is>
          <t>Do the cells/batteries ship stand alone/packed with the equipment/ contained (installed) in the equipment?</t>
        </is>
      </c>
      <c r="CX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Y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Z5" s="35" t="inlineStr">
        <is>
          <t>What is the net weight of the cells or batteries that ship with the product in grams or kilograms.</t>
        </is>
      </c>
      <c r="DA5" s="35" t="inlineStr">
        <is>
          <t>Can the amount of heat be adjusted?</t>
        </is>
      </c>
      <c r="DB5" s="35" t="inlineStr">
        <is>
          <t>Can the brightness, size, or color of the flame be adjusted?</t>
        </is>
      </c>
      <c r="DC5" s="35" t="inlineStr">
        <is>
          <t>[Pounds] What is the maximum weight capacity of the product? Please enter just the number (i.e., 45.5).</t>
        </is>
      </c>
      <c r="DD5" s="35" t="inlineStr">
        <is>
          <t>What is the appropriate way to clean and/or care for this product? Please select as many answers as applicable.</t>
        </is>
      </c>
      <c r="DE5" s="35" t="inlineStr">
        <is>
          <t>Is this product unfinished (no paint, stain, or varnish)?</t>
        </is>
      </c>
      <c r="DF5" s="35" t="inlineStr">
        <is>
          <t>What material are the shelves made of?</t>
        </is>
      </c>
      <c r="DG5" s="35" t="inlineStr">
        <is>
          <t>What is the color or finish of the product? If your color/finish name is not listed, please type in the value.</t>
        </is>
      </c>
      <c r="DH5" s="35" t="inlineStr">
        <is>
          <t>Please select which type of glide the drawer features and/or how far it can extend.</t>
        </is>
      </c>
      <c r="DI5" s="35" t="inlineStr">
        <is>
          <t>What type of vent does this product have?</t>
        </is>
      </c>
      <c r="DJ5" s="35" t="inlineStr">
        <is>
          <t>What is the source of fuel needed in order for this product to function?</t>
        </is>
      </c>
      <c r="DK5" s="35" t="inlineStr">
        <is>
          <t>Please select the design of the product.</t>
        </is>
      </c>
      <c r="DL5" s="35" t="inlineStr">
        <is>
          <t>Is there a a raised pattern of parallel lines on a surface of this product?</t>
        </is>
      </c>
      <c r="DM5" s="35" t="inlineStr">
        <is>
          <t>Is there a a concave pattern of parallel lines on a surface of this product?</t>
        </is>
      </c>
      <c r="DN5" s="35" t="inlineStr">
        <is>
          <t>What pieces are included with this product?</t>
        </is>
      </c>
      <c r="DO5" s="35" t="inlineStr">
        <is>
          <t>How many cabinets does this product have?</t>
        </is>
      </c>
      <c r="DP5" s="35" t="inlineStr">
        <is>
          <t>Do any drawers feature safety stops (intended to keep the drawers from pulling all the way out)?</t>
        </is>
      </c>
      <c r="DQ5" s="35" t="inlineStr">
        <is>
          <t>What type of Fireplace is included?</t>
        </is>
      </c>
      <c r="DR5" s="35" t="inlineStr">
        <is>
          <t>Does this product have a General Certificate of Conformity (GCC), as required by the U.S. CPSC for certain product classes?</t>
        </is>
      </c>
      <c r="DS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T5" s="35" t="inlineStr">
        <is>
          <t>Is this product certified compliant for CARB ATCM Phase II formaldehyde emission standards from Composite Wood Products [California Air Resources Board (CARB)- Airborne Toxic Control Measures (ATCM) Phase II]</t>
        </is>
      </c>
      <c r="DU5" s="35" t="inlineStr">
        <is>
          <t>Is this product certified TSCA Title VI compliant regarding formaldehyde emissions from Composite Wood Products [Environmental Protection Agency (EPA)-Toxic Substance Control Act (TSCA)-Title VI]</t>
        </is>
      </c>
      <c r="DV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W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X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Y5" s="35" t="inlineStr">
        <is>
          <t>Please select the reason this product can not ship to Canada?  Please select from the options or write in a reason if not selectable</t>
        </is>
      </c>
      <c r="DZ5" s="35" t="inlineStr">
        <is>
          <t>Is this product UL 1678 Listed? This means that the international standards testing company UL (Underwriters' Laboratories) has tested this product and found it to be in compliance with Category 1678 safety standards.</t>
        </is>
      </c>
      <c r="EA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EB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EC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ED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EE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EF5" s="35"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EG5" s="35" t="inlineStr">
        <is>
          <t>Which of the following certification or verification marks does your product have? If the item is not certified/verified with any safety listing, please select Does Not Apply.</t>
        </is>
      </c>
      <c r="EH5" s="35"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I5" s="35"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J5" s="35" t="inlineStr">
        <is>
          <t>Is the packaging for this SKU ISTA Certified (1A, 3A, 6A)?</t>
        </is>
      </c>
      <c r="EK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L5" s="35"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M5" s="35" t="inlineStr">
        <is>
          <t>[Inches] What is the overall width of the TV Stand (side to side)? Please enter just the number (i.e. 45.5). Please DO NOT duplicate this tag - any additional information can be stored in Shelf Dimensions, Cabinet Dimensions, or as a bullet.</t>
        </is>
      </c>
      <c r="EN5" s="35" t="inlineStr">
        <is>
          <t>[Inches] What is the overall depth of the TV Stand (front to back)? Please enter just the number (i.e. 45.5).</t>
        </is>
      </c>
      <c r="EO5" s="35" t="inlineStr">
        <is>
          <t>[Inches] What is the overall height of the Entertainment Center (top to bottom)? Enter just the value (i.e., 45.5).</t>
        </is>
      </c>
      <c r="EP5" s="35" t="inlineStr">
        <is>
          <t>[Inches] What is the overall width of the Entertainment Center (side to side)? Please enter just the number (i.e. 45.5). Please DO NOT duplicate this tag - any additional information can be stored in Shelf Dimensions, Cabinet Dimensions, or as a bullet.</t>
        </is>
      </c>
      <c r="EQ5" s="35" t="inlineStr">
        <is>
          <t>[Inches] What is the overall depth of the Entertainment Center (front to back)? Enter just the value (i.e., 45.5).</t>
        </is>
      </c>
      <c r="ER5" s="35" t="inlineStr">
        <is>
          <t>[Pounds] What is the total weight of this product once assembled? If this product includes multiples of the same item, add weight of one individual unit (e.g. 1 Dining Chair in a set of 2). Please enter just the number (i.e. 45.5).</t>
        </is>
      </c>
      <c r="ES5" s="35"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T5" s="35" t="inlineStr">
        <is>
          <t>[Inches] What is the overall height of the TV stand (top to bottom)? Enter just the value (i.e., 45.5).</t>
        </is>
      </c>
      <c r="EU5" s="35" t="inlineStr">
        <is>
          <t>Does the product require any form of assembly prior to use as intended?</t>
        </is>
      </c>
      <c r="EV5" s="35" t="inlineStr">
        <is>
          <t>What is the level of assembly required?</t>
        </is>
      </c>
      <c r="EW5" s="35" t="inlineStr">
        <is>
          <t>What additional tools will the customer need to set-up this product that are NOT included with purchase?</t>
        </is>
      </c>
      <c r="EX5" s="35" t="inlineStr">
        <is>
          <t>Does the manufacturer warranty cover the use of this product in a commercial environment?</t>
        </is>
      </c>
      <c r="EY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Z5" s="35" t="inlineStr">
        <is>
          <t>Please indicate if there is a warranty on this product if it were to be used in a residential setting.</t>
        </is>
      </c>
      <c r="FA5" s="35" t="inlineStr">
        <is>
          <t>Please indicate if the warranty is Full or Limited.</t>
        </is>
      </c>
      <c r="FB5" s="35"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5" t="inlineStr">
        <is>
          <t>Yes or No</t>
        </is>
      </c>
      <c r="BQ6" s="35" t="inlineStr">
        <is>
          <t>Yes or No</t>
        </is>
      </c>
      <c r="BR6" s="35" t="inlineStr">
        <is>
          <t>Whole Number</t>
        </is>
      </c>
      <c r="BS6" s="35" t="inlineStr">
        <is>
          <t>Yes or No</t>
        </is>
      </c>
      <c r="BT6" s="35" t="inlineStr">
        <is>
          <t>Yes or No</t>
        </is>
      </c>
      <c r="BU6" s="35" t="inlineStr">
        <is>
          <t>Yes or No</t>
        </is>
      </c>
      <c r="BV6" s="35" t="inlineStr">
        <is>
          <t>Yes or No</t>
        </is>
      </c>
      <c r="BW6" s="35" t="inlineStr">
        <is>
          <t>Yes or No</t>
        </is>
      </c>
      <c r="BX6" s="36"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Y6" s="36"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Z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A6" s="36" t="inlineStr">
        <is>
          <t>Please choose one or more from the following, using a semicolon (;) to separate each value: No Natural Variation; Natural Wood Grain Color Variation; Weathered Steel; Wood Knots; Natural Stone Color Variation; Unavailable</t>
        </is>
      </c>
      <c r="CB6" s="35" t="inlineStr">
        <is>
          <t>Yes or No</t>
        </is>
      </c>
      <c r="CC6" s="35" t="inlineStr">
        <is>
          <t>Yes or No</t>
        </is>
      </c>
      <c r="CD6" s="35" t="inlineStr">
        <is>
          <t>Yes or No</t>
        </is>
      </c>
      <c r="CE6" s="35" t="inlineStr">
        <is>
          <t>Yes or No</t>
        </is>
      </c>
      <c r="CF6" s="35" t="inlineStr">
        <is>
          <t>Yes or No</t>
        </is>
      </c>
      <c r="CG6" s="35" t="inlineStr">
        <is>
          <t>Yes or No</t>
        </is>
      </c>
      <c r="CH6" s="35" t="inlineStr">
        <is>
          <t>Yes or No</t>
        </is>
      </c>
      <c r="CI6" s="35" t="inlineStr">
        <is>
          <t>Yes or No</t>
        </is>
      </c>
      <c r="CJ6" s="35" t="inlineStr">
        <is>
          <t>Yes or No</t>
        </is>
      </c>
      <c r="CK6" s="36" t="inlineStr">
        <is>
          <t>Select</t>
        </is>
      </c>
      <c r="CL6" s="35" t="inlineStr">
        <is>
          <t>Yes or No</t>
        </is>
      </c>
      <c r="CM6" s="35" t="inlineStr">
        <is>
          <t>Yes or No</t>
        </is>
      </c>
      <c r="CN6" s="36" t="inlineStr">
        <is>
          <t>Please choose one or more from the following, using a semicolon (;) to separate each value: Non Residential Use; Residential Use</t>
        </is>
      </c>
      <c r="CO6" s="36" t="inlineStr">
        <is>
          <t>Please choose one or more from the following, using a semicolon (;) to separate each value: Made in USA; Made in USA of Imported Materials; Product of Canada; Made In Canada; Does Not Apply</t>
        </is>
      </c>
      <c r="CP6" s="36" t="inlineStr">
        <is>
          <t>Select</t>
        </is>
      </c>
      <c r="CQ6" s="35" t="inlineStr">
        <is>
          <t>Yes or No</t>
        </is>
      </c>
      <c r="CR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S6" s="35" t="inlineStr">
        <is>
          <t>Yes or No</t>
        </is>
      </c>
      <c r="CT6" s="36" t="inlineStr">
        <is>
          <t>Select</t>
        </is>
      </c>
      <c r="CU6" s="36" t="inlineStr">
        <is>
          <t>Select</t>
        </is>
      </c>
      <c r="CV6" s="36" t="inlineStr">
        <is>
          <t>Select</t>
        </is>
      </c>
      <c r="CW6" s="36" t="inlineStr">
        <is>
          <t>Select</t>
        </is>
      </c>
      <c r="CX6" s="36" t="inlineStr">
        <is>
          <t>Select</t>
        </is>
      </c>
      <c r="CY6" s="36" t="inlineStr">
        <is>
          <t>Select</t>
        </is>
      </c>
      <c r="CZ6" s="36" t="inlineStr">
        <is>
          <t>Select</t>
        </is>
      </c>
      <c r="DA6" s="35" t="inlineStr">
        <is>
          <t>Yes or No</t>
        </is>
      </c>
      <c r="DB6" s="35" t="inlineStr">
        <is>
          <t>Yes or No</t>
        </is>
      </c>
      <c r="DC6" s="35" t="inlineStr">
        <is>
          <t>Number</t>
        </is>
      </c>
      <c r="DD6" s="36"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DE6" s="35" t="inlineStr">
        <is>
          <t>Yes or No</t>
        </is>
      </c>
      <c r="DF6" s="36"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DG6" s="36"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DH6" s="36"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I6" s="36" t="inlineStr">
        <is>
          <t>Select</t>
        </is>
      </c>
      <c r="DJ6" s="36" t="inlineStr">
        <is>
          <t>Please choose one or more from the following, using a semicolon (;) to separate each value: Electric; Dual Fuel; Induction; Wood Pellets; Natural Gas; Liquid Propane; Wood Burning; Gel Fuel; Bio-Ethanol; Propane; Butane; Charcoal; Ethanol; Alcohol; Does Not Apply</t>
        </is>
      </c>
      <c r="DK6" s="36" t="inlineStr">
        <is>
          <t>Please choose one or more from the following, using a semicolon (;) to separate each value: Flush; Glass; Louvered; Paneled; Mirrored; Barn Doors; Frosted; Insulated; Contoured; Tinted; See Through; Double Pane; Does Not Apply</t>
        </is>
      </c>
      <c r="DL6" s="35" t="inlineStr">
        <is>
          <t>Yes or No</t>
        </is>
      </c>
      <c r="DM6" s="35" t="inlineStr">
        <is>
          <t>Yes or No</t>
        </is>
      </c>
      <c r="DN6" s="36"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O6" s="35" t="inlineStr">
        <is>
          <t>Whole Number</t>
        </is>
      </c>
      <c r="DP6" s="35" t="inlineStr">
        <is>
          <t>Yes or No</t>
        </is>
      </c>
      <c r="DQ6" s="36" t="inlineStr">
        <is>
          <t>Please choose one or more from the following, using a semicolon (;) to separate each value: Gel; Gas; Wood; Electric; Unavailable; Does Not Apply</t>
        </is>
      </c>
      <c r="DR6" s="36" t="inlineStr">
        <is>
          <t>Select</t>
        </is>
      </c>
      <c r="DS6" s="35" t="inlineStr">
        <is>
          <t>Yes or No</t>
        </is>
      </c>
      <c r="DT6" s="36" t="inlineStr">
        <is>
          <t>Select</t>
        </is>
      </c>
      <c r="DU6" s="36" t="inlineStr">
        <is>
          <t>Select</t>
        </is>
      </c>
      <c r="DV6" s="36" t="inlineStr">
        <is>
          <t>Select</t>
        </is>
      </c>
      <c r="DW6" s="36" t="inlineStr">
        <is>
          <t>Select</t>
        </is>
      </c>
      <c r="DX6" s="35" t="inlineStr">
        <is>
          <t>Yes or No</t>
        </is>
      </c>
      <c r="DY6" s="36" t="inlineStr">
        <is>
          <t>Please choose one or more from the following, using a semicolon (;) to separate each value: Dual Language; Distribution Conflict; Logistics; Does Not Apply</t>
        </is>
      </c>
      <c r="DZ6" s="36" t="inlineStr">
        <is>
          <t>Select</t>
        </is>
      </c>
      <c r="EA6" s="35" t="inlineStr">
        <is>
          <t>Yes or No</t>
        </is>
      </c>
      <c r="EB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EC6" s="36" t="inlineStr">
        <is>
          <t>Select</t>
        </is>
      </c>
      <c r="ED6" s="36" t="inlineStr">
        <is>
          <t>Select</t>
        </is>
      </c>
      <c r="EE6" s="36" t="inlineStr">
        <is>
          <t>Select</t>
        </is>
      </c>
      <c r="EF6" s="36" t="inlineStr">
        <is>
          <t>Select</t>
        </is>
      </c>
      <c r="EG6" s="36"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EH6" s="35" t="inlineStr">
        <is>
          <t>Text</t>
        </is>
      </c>
      <c r="EI6" s="36" t="inlineStr">
        <is>
          <t>Select</t>
        </is>
      </c>
      <c r="EJ6" s="36" t="inlineStr">
        <is>
          <t>Select</t>
        </is>
      </c>
      <c r="EK6" s="35" t="inlineStr">
        <is>
          <t>Yes or No</t>
        </is>
      </c>
      <c r="EL6" s="36" t="inlineStr">
        <is>
          <t>Select</t>
        </is>
      </c>
      <c r="EM6" s="35" t="inlineStr">
        <is>
          <t>Number</t>
        </is>
      </c>
      <c r="EN6" s="35" t="inlineStr">
        <is>
          <t>Number</t>
        </is>
      </c>
      <c r="EO6" s="35" t="inlineStr">
        <is>
          <t>Number</t>
        </is>
      </c>
      <c r="EP6" s="35" t="inlineStr">
        <is>
          <t>Number</t>
        </is>
      </c>
      <c r="EQ6" s="35" t="inlineStr">
        <is>
          <t>Number</t>
        </is>
      </c>
      <c r="ER6" s="35" t="inlineStr">
        <is>
          <t>Number</t>
        </is>
      </c>
      <c r="ES6" s="36" t="inlineStr">
        <is>
          <t>Select</t>
        </is>
      </c>
      <c r="ET6" s="35" t="inlineStr">
        <is>
          <t>Number</t>
        </is>
      </c>
      <c r="EU6" s="35" t="inlineStr">
        <is>
          <t>Yes or No</t>
        </is>
      </c>
      <c r="EV6" s="36" t="inlineStr">
        <is>
          <t>Select</t>
        </is>
      </c>
      <c r="EW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X6" s="35" t="inlineStr">
        <is>
          <t>Yes or No</t>
        </is>
      </c>
      <c r="EY6" s="36" t="inlineStr">
        <is>
          <t>Select</t>
        </is>
      </c>
      <c r="EZ6" s="35" t="inlineStr">
        <is>
          <t>Yes or No</t>
        </is>
      </c>
      <c r="FA6" s="36" t="inlineStr">
        <is>
          <t>Select</t>
        </is>
      </c>
      <c r="FB6" s="36"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c r="DZ7" s="38" t="n"/>
      <c r="EA7" s="38" t="n"/>
      <c r="EB7" s="38" t="n"/>
      <c r="EC7" s="38" t="n"/>
      <c r="ED7" s="38" t="n"/>
      <c r="EE7" s="38" t="n"/>
      <c r="EF7" s="38" t="n"/>
      <c r="EG7" s="38" t="n"/>
      <c r="EH7" s="38" t="n"/>
      <c r="EI7" s="38" t="n"/>
      <c r="EJ7" s="38" t="n"/>
      <c r="EK7" s="38" t="n"/>
      <c r="EL7" s="38" t="n"/>
      <c r="EM7" s="38" t="n"/>
      <c r="EN7" s="38" t="n"/>
      <c r="EO7" s="38" t="n"/>
      <c r="EP7" s="38" t="n"/>
      <c r="EQ7" s="38" t="n"/>
      <c r="ER7" s="38" t="n"/>
      <c r="ES7" s="38" t="n"/>
      <c r="ET7" s="38" t="n"/>
      <c r="EU7" s="38" t="n"/>
      <c r="EV7" s="38" t="n"/>
      <c r="EW7" s="38" t="n"/>
      <c r="EX7" s="38" t="n"/>
      <c r="EY7" s="38" t="n"/>
      <c r="EZ7" s="38" t="n"/>
      <c r="FA7" s="38" t="n"/>
      <c r="FB7" s="38" t="n"/>
    </row>
    <row r="8">
      <c r="A8">
        <f t="array" ref="A8">_xlfn.BYROW(B8:FC507, _xlfn.LAMBDA(_xlpm.r, _xlfn.LET(_xlpm.high_priority, IFERROR(INDEX(_xlpm.r, MATCH(TRUE, (_xlpm.r &lt;&gt; "") * ((LEFT(_xlpm.r, 2) = "1:") + (LEFT(_xlpm.r, 2) = "3:")) &gt; 0, 0)), ""), IF(_xlpm.high_priority &lt;&gt; "", _xlpm.high_priority, IFERROR(INDEX(_xlpm.r, MATCH(TRUE, (_xlpm.r &lt;&gt; "") * (LEFT(_xlpm.r, 2) = "4:") &gt; 0, 0)), "")))))</f>
        <v/>
      </c>
      <c r="B8" s="22">
        <f t="array" ref="B8">_xlfn.MAP('6 - TV Stands &amp; Enterta'!B8:B507, '6 - TV Stands &amp; Enterta'!B8:B507,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IF(OR('6 - TV Stands &amp; Enterta'!B$7 = "", '6 - TV Stands &amp; Enterta'!B$7 = "N/A"), "3:Supplier Part Number - Value is required", ""), ""))))))))</f>
        <v/>
      </c>
      <c r="C8" s="22">
        <f t="array" ref="C8">_xlfn.MAP('6 - TV Stands &amp; Enterta'!B8:B507, '6 - TV Stands &amp; Enterta'!C8:C507, _xlfn.LAMBDA(_xlpm.part, _xlpm.val, IF(_xlpm.part = "", "", IF(AND(_xlpm.val = "", C$3="Required"), IF(OR('6 - TV Stands &amp; Enterta'!C$7 = "", '6 - TV Stands &amp; Enterta'!C$7 = "N/A"), "3:ASIN or Amazon Seller SKU - Value is required", ""), ""))))</f>
        <v/>
      </c>
      <c r="D8" s="22">
        <f t="array" ref="D8">_xlfn.MAP('6 - TV Stands &amp; Enterta'!B8:B507, '6 - TV Stands &amp; Enterta'!D8:D507, '6 - TV Stands &amp; Enterta'!J8:J507, _xlfn.LAMBDA(_xlpm.part, _xlpm.val, _xlpm.dep1, IF(_xlpm.part = "", "", _xlfn.LET(_xlpm.check1, IF(AND(_xlpm.val = "", _xlpm.dep1 = "NON-PRIMARY VARIANT"), "2:Autofill", ""), IF(LEN(_xlpm.check1) &gt; 0, _xlpm.check1, IF(AND(_xlpm.val = "", D$3="Required"), IF(OR('6 - TV Stands &amp; Enterta'!D$7 = "", '6 - TV Stands &amp; Enterta'!D$7 = "N/A"), "3:Brand - Value is required", ""), ""))))))</f>
        <v/>
      </c>
      <c r="E8" s="22">
        <f t="array" ref="E8">_xlfn.MAP('6 - TV Stands &amp; Enterta'!B8:B507, '6 - TV Stands &amp; Enterta'!E8:E507, _xlfn.LAMBDA(_xlpm.part, _xlpm.val, IF(_xlpm.part = "", "",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IF(OR('6 - TV Stands &amp; Enterta'!E$7 = "", '6 - TV Stands &amp; Enterta'!E$7 = "N/A"), "3:Manufacturer Part Number - Value is required", ""), ""))))))))))</f>
        <v/>
      </c>
      <c r="F8" s="22">
        <f t="array" ref="F8">_xlfn.MAP('6 - TV Stands &amp; Enterta'!B8:B507, '6 - TV Stands &amp; Enterta'!F8:F507, _xlfn.LAMBDA(_xlpm.part, _xlpm.val, IF(_xlpm.part = "", "",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IF(OR('6 - TV Stands &amp; Enterta'!F$7 = "", '6 - TV Stands &amp; Enterta'!F$7 = "N/A"), "3:Universal Product Code - Value is required", ""), ""))))))))</f>
        <v/>
      </c>
      <c r="G8" s="22">
        <f t="array" ref="G8">_xlfn.MAP('6 - TV Stands &amp; Enterta'!B8:B507, '6 - TV Stands &amp; Enterta'!G8:G507, _xlfn.LAMBDA(_xlpm.part, _xlpm.val, IF(_xlpm.part = "", "", _xlfn.LET(_xlpm.check1, IF(OR(ISNUMBER(SEARCH({"&lt;","&gt;","^","Ø","•","‣","⁃","⁌","™","∙","⌀","◦"}, _xlpm.val))), "1:Product name cannot contain special characters ([™Ø⌀•‣◦⁃⁌⁍∙&lt;&gt;])", ""), IF(LEN(_xlpm.check1) &gt; 0, _xlpm.check1, IF(AND(_xlpm.val = "", G$3="Required"), IF(OR('6 - TV Stands &amp; Enterta'!G$7 = "", '6 - TV Stands &amp; Enterta'!G$7 = "N/A"), "3:Product Name - Value is required", ""), ""))))))</f>
        <v/>
      </c>
      <c r="H8" s="22">
        <f t="array" ref="H8">_xlfn.MAP('6 - TV Stands &amp; Enterta'!B8:B507, '6 - TV Stands &amp; Enterta'!H8:H507, '6 - TV Stands &amp; Enterta'!J8:J507, _xlfn.LAMBDA(_xlpm.part, _xlpm.val, _xlpm.dep1, IF(_xlpm.part = "", "", _xlfn.LET(_xlpm.check1, IF(AND(_xlpm.val = "", _xlpm.dep1 = "NON-PRIMARY VARIANT"), "2:Autofill", ""), IF(LEN(_xlpm.check1) &gt; 0, _xlpm.check1, IF(AND(_xlpm.val = "", H$3="Required"), IF(OR('6 - TV Stands &amp; Enterta'!H$7 = "", '6 - TV Stands &amp; Enterta'!H$7 = "N/A"), "3:Collection Name - Value is required", ""), ""))))))</f>
        <v/>
      </c>
      <c r="I8" s="22">
        <f t="array" ref="I8">_xlfn.MAP('6 - TV Stands &amp; Enterta'!B8:B507, '6 - TV Stands &amp; Enterta'!I8:I507, _xlfn.LAMBDA(_xlpm.part, _xlpm.val, IF(_xlpm.part = "", "", IF(AND(_xlpm.val = "", I$3="Required"), IF(OR('6 - TV Stands &amp; Enterta'!I$7 = "", '6 - TV Stands &amp; Enterta'!I$7 = "N/A"), "3:Manufacturer Product URL - Value is required", ""), ""))))</f>
        <v/>
      </c>
      <c r="J8" s="22">
        <f t="array" ref="J8">_xlfn.MAP('6 - TV Stands &amp; Enterta'!B8:B507, '6 - TV Stands &amp; Enterta'!J8:J507, _xlfn.LAMBDA(_xlpm.part, _xlpm.val, IF(_xlpm.part = "", "", IF(AND(_xlpm.val = "", J$3="Required"), IF(OR('6 - TV Stands &amp; Enterta'!J$7 = "", '6 - TV Stands &amp; Enterta'!J$7 = "N/A"), "3:Variant Type - Value is required", ""), ""))))</f>
        <v/>
      </c>
      <c r="K8" s="22">
        <f t="array" ref="K8">_xlfn.MAP('6 - TV Stands &amp; Enterta'!B8:B507, '6 - TV Stands &amp; Enterta'!K8:K507, '6 - TV Stands &amp; Enterta'!J8:J507, _xlfn.LAMBDA(_xlpm.part, _xlpm.val, _xlpm.dep1, IF(_xlpm.part = "", "", _xlfn.LET(_xlpm.check1, IF(OR(_xlpm.dep1 = "NOT VARIANT", _xlpm.dep1 = ""), IF(_xlpm.val = "", "2:Disable", "1:Variant fields are not accepted when Variant Type is 'Not Variant' or blank. Please remove variant data or set a valid Variant Type."), ""), IF(LEN(_xlpm.check1) &gt; 0, _xlpm.check1, _xlfn.LET(_xlpm.check2, IF(AND(_xlpm.val = "", K$3="Required"), IF(OR('6 - TV Stands &amp; Enterta'!K$7 = "", '6 - TV Stands &amp; Enterta'!K$7 = "N/A"), "3:Group Reference ID - Value is required", ""), ""), IF(LEN(_xlpm.check2) &gt; 0, _xlpm.check2, _xlfn.LET(_xlpm.check3, IF(_xlpm.dep1 = "PRIMARY VARIANT", IF(_xlpm.val = "", IF(OR('6 - TV Stands &amp; Enterta'!K$7 = "", '6 - TV Stands &amp; Enterta'!K$7 = "N/A"), "3:Variant Group Reference Id is required for primary-variant", ""), ""), ""), IF(LEN(_xlpm.check3) &gt; 0, _xlpm.check3, IF(_xlpm.dep1 = "NON-PRIMARY VARIANT", IF(_xlpm.val = "", IF(OR('6 - TV Stands &amp; Enterta'!K$7 = "", '6 - TV Stands &amp; Enterta'!K$7 = "N/A"), "3:Variant Group Reference Id is required for non-primary variant", ""), ""), ""))))))))))</f>
        <v/>
      </c>
      <c r="L8" s="22">
        <f t="array" ref="L8">_xlfn.MAP('6 - TV Stands &amp; Enterta'!B8:B507, '6 - TV Stands &amp; Enterta'!L8:L507, '6 - TV Stands &amp; Enterta'!J8:J507,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_xlfn.LET(_xlpm.check5, IF(AND(_xlpm.val = "", L$3="Required"), IF(OR('6 - TV Stands &amp; Enterta'!L$7 = "", '6 - TV Stands &amp; Enterta'!L$7 = "N/A"), "3:Variant Grouping - Value is required", ""), ""), IF(LEN(_xlpm.check5) &gt; 0, _xlpm.check5, IF(_xlpm.dep1 = "PRIMARY VARIANT", IF(_xlpm.val = "", IF(OR('6 - TV Stands &amp; Enterta'!L$7 = "", '6 - TV Stands &amp; Enterta'!L$7 = "N/A"), "3:Variant grouping value must be specified for primary variant", ""), ""), ""))))))))))))))</f>
        <v/>
      </c>
      <c r="M8" s="22">
        <f t="array" ref="M8">_xlfn.MAP('6 - TV Stands &amp; Enterta'!B8:B507, '6 - TV Stands &amp; Enterta'!M8:M507, '6 - TV Stands &amp; Enterta'!J8:J507, '6 - TV Stands &amp; Enterta'!L8:L507,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M$3="Required"), IF(OR('6 - TV Stands &amp; Enterta'!M$7 = "", '6 - TV Stands &amp; Enterta'!M$7 = "N/A"), "3:Variant Attribute Name On Site - Value is required", ""), ""), IF(LEN(_xlpm.check3) &gt; 0, _xlpm.check3, _xlfn.LET(_xlpm.check4, IF(AND(_xlpm.dep2 &lt;&gt; "", _xlpm.dep2 &lt;&gt; "Finish", _xlpm.dep2 &lt;&gt; "Assembly"), IF(_xlpm.val = "", IF(OR('6 - TV Stands &amp; Enterta'!M$7 = "", '6 - TV Stands &amp; Enterta'!M$7 = "N/A"), "3:Name on site is required when variant grouping value is provided", ""), ""), ""), IF(LEN(_xlpm.check4) &gt; 0, _xlpm.check4, _xlfn.LET(_xlpm.check5, IF(AND(_xlpm.dep2 &lt;&gt; "", _xlpm.dep2 &lt;&gt; "Color", _xlpm.dep2 &lt;&gt; "Material", _xlpm.dep2 &lt;&gt; "Size", _xlpm.dep2 &lt;&gt; "Fireplace Included"), IF(_xlpm.val = "", IF(OR('6 - TV Stands &amp; Enterta'!M$7 = "", '6 - TV Stands &amp; Enterta'!M$7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IF(OR('6 - TV Stands &amp; Enterta'!M$7 = "", '6 - TV Stands &amp; Enterta'!M$7 = "N/A"), "3:Name on site is required when variant grouping value is provided", ""), ""), ""), IF(LEN(_xlpm.check6) &gt; 0, _xlpm.check6, _xlfn.LET(_xlpm.check7, IF(AND(_xlpm.dep2 &lt;&gt; "", _xlpm.dep2 &lt;&gt; "Color"), IF(_xlpm.val = "", IF(OR('6 - TV Stands &amp; Enterta'!M$7 = "", '6 - TV Stands &amp; Enterta'!M$7 = "N/A"), "3:Name on site is required when variant grouping value is provided", ""), ""), ""), IF(LEN(_xlpm.check7) &gt; 0, _xlpm.check7, IF(AND(_xlpm.dep2 &lt;&gt; "", _xlpm.dep2 &lt;&gt; "Size", _xlpm.dep2 &lt;&gt; "Color", _xlpm.dep2 &lt;&gt; "Frame Material", _xlpm.dep2 &lt;&gt; "Print/Pattern", _xlpm.dep2 &lt;&gt; "Storage"), IF(_xlpm.val = "", IF(OR('6 - TV Stands &amp; Enterta'!M$7 = "", '6 - TV Stands &amp; Enterta'!M$7 = "N/A"), "3:Name on site is required when variant grouping value is provided", ""), ""), ""))))))))))))))))))</f>
        <v/>
      </c>
      <c r="N8" s="22">
        <f t="array" ref="N8">_xlfn.MAP('6 - TV Stands &amp; Enterta'!B8:B507, '6 - TV Stands &amp; Enterta'!N8:N507, '6 - TV Stands &amp; Enterta'!J8:J507,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N$3="Required"), IF(OR('6 - TV Stands &amp; Enterta'!N$7 = "", '6 - TV Stands &amp; Enterta'!N$7 = "N/A"), "3:Variant Grouping - Value is required", ""), ""))))))))))))</f>
        <v/>
      </c>
      <c r="O8" s="22">
        <f t="array" ref="O8">_xlfn.MAP('6 - TV Stands &amp; Enterta'!B8:B507, '6 - TV Stands &amp; Enterta'!O8:O507, '6 - TV Stands &amp; Enterta'!J8:J507, '6 - TV Stands &amp; Enterta'!N8:N507,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O$3="Required"), IF(OR('6 - TV Stands &amp; Enterta'!O$7 = "", '6 - TV Stands &amp; Enterta'!O$7 = "N/A"), "3:Variant Attribute Name On Site - Value is required", ""), ""), IF(LEN(_xlpm.check3) &gt; 0, _xlpm.check3, _xlfn.LET(_xlpm.check4, IF(AND(_xlpm.dep2 &lt;&gt; "", _xlpm.dep2 &lt;&gt; "Finish", _xlpm.dep2 &lt;&gt; "Assembly"), IF(_xlpm.val = "", IF(OR('6 - TV Stands &amp; Enterta'!O$7 = "", '6 - TV Stands &amp; Enterta'!O$7 = "N/A"), "3:Name on site is required when variant grouping value is provided", ""), ""), ""), IF(LEN(_xlpm.check4) &gt; 0, _xlpm.check4, _xlfn.LET(_xlpm.check5, IF(AND(_xlpm.dep2 &lt;&gt; "", _xlpm.dep2 &lt;&gt; "Color", _xlpm.dep2 &lt;&gt; "Material", _xlpm.dep2 &lt;&gt; "Size", _xlpm.dep2 &lt;&gt; "Fireplace Included"), IF(_xlpm.val = "", IF(OR('6 - TV Stands &amp; Enterta'!O$7 = "", '6 - TV Stands &amp; Enterta'!O$7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IF(OR('6 - TV Stands &amp; Enterta'!O$7 = "", '6 - TV Stands &amp; Enterta'!O$7 = "N/A"), "3:Name on site is required when variant grouping value is provided", ""), ""), ""), IF(LEN(_xlpm.check6) &gt; 0, _xlpm.check6, _xlfn.LET(_xlpm.check7, IF(AND(_xlpm.dep2 &lt;&gt; "", _xlpm.dep2 &lt;&gt; "Color"), IF(_xlpm.val = "", IF(OR('6 - TV Stands &amp; Enterta'!O$7 = "", '6 - TV Stands &amp; Enterta'!O$7 = "N/A"), "3:Name on site is required when variant grouping value is provided", ""), ""), ""), IF(LEN(_xlpm.check7) &gt; 0, _xlpm.check7, IF(AND(_xlpm.dep2 &lt;&gt; "", _xlpm.dep2 &lt;&gt; "Size", _xlpm.dep2 &lt;&gt; "Color", _xlpm.dep2 &lt;&gt; "Frame Material", _xlpm.dep2 &lt;&gt; "Print/Pattern", _xlpm.dep2 &lt;&gt; "Storage"), IF(_xlpm.val = "", IF(OR('6 - TV Stands &amp; Enterta'!O$7 = "", '6 - TV Stands &amp; Enterta'!O$7 = "N/A"), "3:Name on site is required when variant grouping value is provided", ""), ""), ""))))))))))))))))))</f>
        <v/>
      </c>
      <c r="P8" s="22">
        <f t="array" ref="P8">_xlfn.MAP('6 - TV Stands &amp; Enterta'!B8:B507, '6 - TV Stands &amp; Enterta'!P8:P507, '6 - TV Stands &amp; Enterta'!J8:J507,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P$3="Required"), IF(OR('6 - TV Stands &amp; Enterta'!P$7 = "", '6 - TV Stands &amp; Enterta'!P$7 = "N/A"), "3:Variant Grouping - Value is required", ""), ""))))))))))))</f>
        <v/>
      </c>
      <c r="Q8" s="22">
        <f t="array" ref="Q8">_xlfn.MAP('6 - TV Stands &amp; Enterta'!B8:B507, '6 - TV Stands &amp; Enterta'!Q8:Q507, '6 - TV Stands &amp; Enterta'!J8:J507, '6 - TV Stands &amp; Enterta'!P8:P507,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Q$3="Required"), IF(OR('6 - TV Stands &amp; Enterta'!Q$7 = "", '6 - TV Stands &amp; Enterta'!Q$7 = "N/A"), "3:Variant Attribute Name On Site - Value is required", ""), ""), IF(LEN(_xlpm.check3) &gt; 0, _xlpm.check3, _xlfn.LET(_xlpm.check4, IF(AND(_xlpm.dep2 &lt;&gt; "", _xlpm.dep2 &lt;&gt; "Finish", _xlpm.dep2 &lt;&gt; "Assembly"), IF(_xlpm.val = "", IF(OR('6 - TV Stands &amp; Enterta'!Q$7 = "", '6 - TV Stands &amp; Enterta'!Q$7 = "N/A"), "3:Name on site is required when variant grouping value is provided", ""), ""), ""), IF(LEN(_xlpm.check4) &gt; 0, _xlpm.check4, _xlfn.LET(_xlpm.check5, IF(AND(_xlpm.dep2 &lt;&gt; "", _xlpm.dep2 &lt;&gt; "Color", _xlpm.dep2 &lt;&gt; "Material", _xlpm.dep2 &lt;&gt; "Size", _xlpm.dep2 &lt;&gt; "Fireplace Included"), IF(_xlpm.val = "", IF(OR('6 - TV Stands &amp; Enterta'!Q$7 = "", '6 - TV Stands &amp; Enterta'!Q$7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IF(OR('6 - TV Stands &amp; Enterta'!Q$7 = "", '6 - TV Stands &amp; Enterta'!Q$7 = "N/A"), "3:Name on site is required when variant grouping value is provided", ""), ""), ""), IF(LEN(_xlpm.check6) &gt; 0, _xlpm.check6, _xlfn.LET(_xlpm.check7, IF(AND(_xlpm.dep2 &lt;&gt; "", _xlpm.dep2 &lt;&gt; "Color"), IF(_xlpm.val = "", IF(OR('6 - TV Stands &amp; Enterta'!Q$7 = "", '6 - TV Stands &amp; Enterta'!Q$7 = "N/A"), "3:Name on site is required when variant grouping value is provided", ""), ""), ""), IF(LEN(_xlpm.check7) &gt; 0, _xlpm.check7, IF(AND(_xlpm.dep2 &lt;&gt; "", _xlpm.dep2 &lt;&gt; "Size", _xlpm.dep2 &lt;&gt; "Color", _xlpm.dep2 &lt;&gt; "Frame Material", _xlpm.dep2 &lt;&gt; "Print/Pattern", _xlpm.dep2 &lt;&gt; "Storage"), IF(_xlpm.val = "", IF(OR('6 - TV Stands &amp; Enterta'!Q$7 = "", '6 - TV Stands &amp; Enterta'!Q$7 = "N/A"), "3:Name on site is required when variant grouping value is provided", ""), ""), ""))))))))))))))))))</f>
        <v/>
      </c>
      <c r="R8" s="22">
        <f t="array" ref="R8">_xlfn.MAP('6 - TV Stands &amp; Enterta'!B8:B507, '6 - TV Stands &amp; Enterta'!R8:R507, _xlfn.LAMBDA(_xlpm.part, _xlpm.val, IF(_xlpm.part = "", "", _xlfn.LET(_xlpm.check1, IF(AND(NOT(ISBLANK(_xlpm.val)),OR(NOT(ISNUMBER(IFERROR(VALUE(_xlpm.val), ""))), IFERROR(VALUE(_xlpm.val), -1) &lt; 0)), "1:Base Cost - Value should be numeric", ""), IF(LEN(_xlpm.check1) &gt; 0, _xlpm.check1, IF(AND(_xlpm.val = "", R$3="Required"), IF(OR('6 - TV Stands &amp; Enterta'!R$7 = "", '6 - TV Stands &amp; Enterta'!R$7 = "N/A"), "3:Base Cost - Value is required", ""), ""))))))</f>
        <v/>
      </c>
      <c r="S8" s="22">
        <f t="array" ref="S8">_xlfn.MAP('6 - TV Stands &amp; Enterta'!B8:B507, '6 - TV Stands &amp; Enterta'!S8:S507, _xlfn.LAMBDA(_xlpm.part, _xlpm.val, IF(_xlpm.part = "", "", _xlfn.LET(_xlpm.check1, IF(AND(NOT(ISBLANK(_xlpm.val)),OR(NOT(ISNUMBER(IFERROR(VALUE(_xlpm.val), ""))), IFERROR(VALUE(_xlpm.val), -1) &lt; 0)), "1:Minimum Advertised Price - Value should be numeric", ""), IF(LEN(_xlpm.check1) &gt; 0, _xlpm.check1, IF(AND(_xlpm.val = "", S$3="Required"), IF(OR('6 - TV Stands &amp; Enterta'!S$7 = "", '6 - TV Stands &amp; Enterta'!S$7 = "N/A"), "3:Minimum Advertised Price - Value is required", ""), ""))))))</f>
        <v/>
      </c>
      <c r="T8" s="22">
        <f t="array" ref="T8">_xlfn.MAP('6 - TV Stands &amp; Enterta'!B8:B507, '6 - TV Stands &amp; Enterta'!T8:T507, _xlfn.LAMBDA(_xlpm.part, _xlpm.val, IF(_xlpm.part = "", "", _xlfn.LET(_xlpm.check1, IF(AND(NOT(ISBLANK(_xlpm.val)),OR(NOT(ISNUMBER(IFERROR(VALUE(_xlpm.val), ""))), IFERROR(VALUE(_xlpm.val), -1) &lt; 0)), "1:Manufacturer Suggested Retail Price - Value should be numeric", ""), IF(LEN(_xlpm.check1) &gt; 0, _xlpm.check1, IF(AND(_xlpm.val = "", T$3="Required"), IF(OR('6 - TV Stands &amp; Enterta'!T$7 = "", '6 - TV Stands &amp; Enterta'!T$7 = "N/A"), "3:Manufacturer Suggested Retail Price - Value is required", ""), ""))))))</f>
        <v/>
      </c>
      <c r="U8" s="22">
        <f t="array" ref="U8">_xlfn.MAP('6 - TV Stands &amp; Enterta'!B8:B507, '6 - TV Stands &amp; Enterta'!U8:U507, '6 - TV Stands &amp; Enterta'!J8:J507, '6 - TV Stands &amp; Enterta'!V8:V507, '6 - TV Stands &amp; Enterta'!W8:W507, '6 - TV Stands &amp; Enterta'!X8:X507, _xlfn.LAMBDA(_xlpm.part, _xlpm.val, _xlpm.dep1, _xlpm.dep2, _xlpm.dep3, _xlpm.dep4, IF(_xlpm.part = "", "", _xlfn.LET(_xlpm.check1, IF(AND(_xlpm.val = "", _xlpm.dep1 = "NON-PRIMARY VARIANT"), "2:Autofill", ""), IF(LEN(_xlpm.check1) &gt; 0, _xlpm.check1, _xlfn.LET(_xlpm.check2, IF(OR(ISNUMBER(SEARCH({"&lt;","&gt;","^","Ø","•","‣","⁃","⁌","™","∙","⌀","◦"}, _xlpm.val))), "1:Marketing Copy cannot contain special characters ([™Ø⌀•‣◦⁃⁌⁍∙&lt;&gt;])", ""), IF(LEN(_xlpm.check2) &gt; 0, _xlpm.check2, _xlfn.LET(_xlpm.check3, IF(AND(_xlpm.val &lt;&gt; "", LEN(_xlpm.val) &lt; 16), "1:Marketing Copy should be more than 15 characters", ""), IF(LEN(_xlpm.check3) &gt; 0, _xlpm.check3, _xlfn.LET(_xlpm.check4, IF(AND(_xlpm.val = "", U$3="Required"), IF(OR('6 - TV Stands &amp; Enterta'!U$7 = "", '6 - TV Stands &amp; Enterta'!U$7 = "N/A"), "3:Marketing Copy - Value is required", ""), ""), IF(LEN(_xlpm.check4) &gt; 0, _xlpm.check4, IF(OR(_xlpm.dep2 = "", _xlpm.dep3 = "", _xlpm.dep4 = ""), IF(_xlpm.val = "", IF(OR('6 - TV Stands &amp; Enterta'!U$7 = "", '6 - TV Stands &amp; Enterta'!U$7 = "N/A"), "3:Either the Marketing Copy or at least three Feature Bullets are required for this part.", ""), ""), ""))))))))))))</f>
        <v/>
      </c>
      <c r="V8" s="22">
        <f t="array" ref="V8">_xlfn.MAP('6 - TV Stands &amp; Enterta'!B8:B507, '6 - TV Stands &amp; Enterta'!V8:V507, '6 - TV Stands &amp; Enterta'!J8:J507, '6 - TV Stands &amp; Enterta'!W8:W507, '6 - TV Stands &amp; Enterta'!X8:X507, '6 - TV Stands &amp; Enterta'!U8:U507,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V$3="Required"), IF(OR('6 - TV Stands &amp; Enterta'!V$7 = "", '6 - TV Stands &amp; Enterta'!V$7 = "N/A"), "3:Feature Bullet - Value is required", ""), ""), IF(LEN(_xlpm.check3) &gt; 0, _xlpm.check3, _xlfn.LET(_xlpm.check4, IF(AND(AND(_xlpm.dep2 = "", _xlpm.dep3 = ""), _xlpm.dep4 = ""), IF(_xlpm.val = "", IF(OR('6 - TV Stands &amp; Enterta'!V$7 = "", '6 - TV Stands &amp; Enterta'!V$7 = "N/A"), "3:Either the Marketing Copy or at least three Feature Bullets are required for this part.", ""), ""), ""), IF(LEN(_xlpm.check4) &gt; 0, _xlpm.check4, IF(_xlpm.dep4 = "", IF(_xlpm.val = "", IF(OR('6 - TV Stands &amp; Enterta'!V$7 = "", '6 - TV Stands &amp; Enterta'!V$7 = "N/A"), "3:Three feature bullets must be filled", ""), ""), ""))))))))))))</f>
        <v/>
      </c>
      <c r="W8" s="22">
        <f t="array" ref="W8">_xlfn.MAP('6 - TV Stands &amp; Enterta'!B8:B507, '6 - TV Stands &amp; Enterta'!W8:W507, '6 - TV Stands &amp; Enterta'!J8:J507, '6 - TV Stands &amp; Enterta'!V8:V507, '6 - TV Stands &amp; Enterta'!X8:X507, '6 - TV Stands &amp; Enterta'!U8:U507,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W$3="Required"), IF(OR('6 - TV Stands &amp; Enterta'!W$7 = "", '6 - TV Stands &amp; Enterta'!W$7 = "N/A"), "3:Feature Bullet - Value is required", ""), ""), IF(LEN(_xlpm.check3) &gt; 0, _xlpm.check3, _xlfn.LET(_xlpm.check4, IF(AND(AND(_xlpm.dep2 = "", _xlpm.dep3 = ""), _xlpm.dep4 = ""), IF(_xlpm.val = "", IF(OR('6 - TV Stands &amp; Enterta'!W$7 = "", '6 - TV Stands &amp; Enterta'!W$7 = "N/A"), "3:Either the Marketing Copy or at least three Feature Bullets are required for this part.", ""), ""), ""), IF(LEN(_xlpm.check4) &gt; 0, _xlpm.check4, IF(_xlpm.dep4 = "", IF(_xlpm.val = "", IF(OR('6 - TV Stands &amp; Enterta'!W$7 = "", '6 - TV Stands &amp; Enterta'!W$7 = "N/A"), "3:Three feature bullets must be filled", ""), ""), ""))))))))))))</f>
        <v/>
      </c>
      <c r="X8" s="22">
        <f t="array" ref="X8">_xlfn.MAP('6 - TV Stands &amp; Enterta'!B8:B507, '6 - TV Stands &amp; Enterta'!X8:X507, '6 - TV Stands &amp; Enterta'!J8:J507, '6 - TV Stands &amp; Enterta'!V8:V507, '6 - TV Stands &amp; Enterta'!W8:W507, '6 - TV Stands &amp; Enterta'!U8:U507,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X$3="Required"), IF(OR('6 - TV Stands &amp; Enterta'!X$7 = "", '6 - TV Stands &amp; Enterta'!X$7 = "N/A"), "3:Feature Bullet - Value is required", ""), ""), IF(LEN(_xlpm.check3) &gt; 0, _xlpm.check3, _xlfn.LET(_xlpm.check4, IF(AND(AND(_xlpm.dep2 = "", _xlpm.dep3 = ""), _xlpm.dep4 = ""), IF(_xlpm.val = "", IF(OR('6 - TV Stands &amp; Enterta'!X$7 = "", '6 - TV Stands &amp; Enterta'!X$7 = "N/A"), "3:Either the Marketing Copy or at least three Feature Bullets are required for this part.", ""), ""), ""), IF(LEN(_xlpm.check4) &gt; 0, _xlpm.check4, IF(_xlpm.dep4 = "", IF(_xlpm.val = "", IF(OR('6 - TV Stands &amp; Enterta'!X$7 = "", '6 - TV Stands &amp; Enterta'!X$7 = "N/A"), "3:Three feature bullets must be filled", ""), ""), ""))))))))))))</f>
        <v/>
      </c>
      <c r="Y8" s="22">
        <f t="array" ref="Y8">_xlfn.MAP('6 - TV Stands &amp; Enterta'!B8:B507, '6 - TV Stands &amp; Enterta'!Y8:Y507, '6 - TV Stands &amp; Enterta'!J8:J507,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Y$3="Required"), IF(OR('6 - TV Stands &amp; Enterta'!Y$7 = "", '6 - TV Stands &amp; Enterta'!Y$7 = "N/A"), "3:Feature Bullet - Value is required", ""), ""))))))))</f>
        <v/>
      </c>
      <c r="Z8" s="22">
        <f t="array" ref="Z8">_xlfn.MAP('6 - TV Stands &amp; Enterta'!B8:B507, '6 - TV Stands &amp; Enterta'!Z8:Z507, '6 - TV Stands &amp; Enterta'!J8:J507,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Z$3="Required"), IF(OR('6 - TV Stands &amp; Enterta'!Z$7 = "", '6 - TV Stands &amp; Enterta'!Z$7 = "N/A"), "3:Feature Bullet - Value is required", ""), ""))))))))</f>
        <v/>
      </c>
      <c r="AA8" s="22">
        <f t="array" ref="AA8">_xlfn.MAP('6 - TV Stands &amp; Enterta'!B8:B507, '6 - TV Stands &amp; Enterta'!AA8:AA507, '6 - TV Stands &amp; Enterta'!J8:J507,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"1:Minimum Order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AA$3="Required"), IF(OR('6 - TV Stands &amp; Enterta'!AA$7 = "", '6 - TV Stands &amp; Enterta'!AA$7 = "N/A"), "3:Minimum Order Quantity - Value is required", ""), ""))))))))))))</f>
        <v/>
      </c>
      <c r="AB8" s="22">
        <f t="array" ref="AB8">_xlfn.MAP('6 - TV Stands &amp; Enterta'!B8:B507, '6 - TV Stands &amp; Enterta'!AB8:AB507, '6 - TV Stands &amp; Enterta'!J8:J507,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"1:Force Quantity Multiplier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AB$3="Required"), IF(OR('6 - TV Stands &amp; Enterta'!AB$7 = "", '6 - TV Stands &amp; Enterta'!AB$7 = "N/A"), "3:Force Quantity Multiplier - Value is required", ""), ""))))))))))))</f>
        <v/>
      </c>
      <c r="AC8" s="22">
        <f t="array" ref="AC8">_xlfn.MAP('6 - TV Stands &amp; Enterta'!B8:B507, '6 - TV Stands &amp; Enterta'!AC8:AC507, '6 - TV Stands &amp; Enterta'!J8:J507,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"1:Display Set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AC$3="Required"), IF(OR('6 - TV Stands &amp; Enterta'!AC$7 = "", '6 - TV Stands &amp; Enterta'!AC$7 = "N/A"), "3:Display Set Quantity - Value is required", ""), ""))))))))))))</f>
        <v/>
      </c>
      <c r="AD8" s="22">
        <f t="array" ref="AD8">_xlfn.MAP('6 - TV Stands &amp; Enterta'!B8:B507, '6 - TV Stands &amp; Enterta'!AD8:AD507, '6 - TV Stands &amp; Enterta'!J8:J507,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"1:Product Weight - Value should be numeric", ""), IF(LEN(_xlpm.check2) &gt; 0, _xlpm.check2, _xlfn.LET(_xlpm.check3, IF(AND(_xlpm.val &lt;&gt; "" ,IFERROR(VALUE(_xlpm.val), _xlpm.val)&lt;0), "1:Product weight must be a positive number", ""), IF(LEN(_xlpm.check3) &gt; 0, _xlpm.check3, IF(AND(_xlpm.val = "", AD$3="Required"), IF(OR('6 - TV Stands &amp; Enterta'!AD$7 = "", '6 - TV Stands &amp; Enterta'!AD$7 = "N/A"), "3:Product Weight - Value is required", ""), ""))))))))))</f>
        <v/>
      </c>
      <c r="AE8" s="22">
        <f t="array" ref="AE8">_xlfn.MAP('6 - TV Stands &amp; Enterta'!B8:B507, '6 - TV Stands &amp; Enterta'!AE8:AE507, '6 - TV Stands &amp; Enterta'!J8:J507, _xlfn.LAMBDA(_xlpm.part, _xlpm.val, _xlpm.dep1, IF(_xlpm.part = "", "", _xlfn.LET(_xlpm.check1, IF(AND(_xlpm.val = "", _xlpm.dep1 = "NON-PRIMARY VARIANT"), "2:Autofill", ""), IF(LEN(_xlpm.check1) &gt; 0, _xlpm.check1, IF(AND(_xlpm.val = "", AE$3="Required"), IF(OR('6 - TV Stands &amp; Enterta'!AE$7 = "", '6 - TV Stands &amp; Enterta'!AE$7 = "N/A"), "3:Ship Type - Value is required", ""), ""))))))</f>
        <v/>
      </c>
      <c r="AF8" s="22">
        <f t="array" ref="AF8">_xlfn.MAP('6 - TV Stands &amp; Enterta'!B8:B507, '6 - TV Stands &amp; Enterta'!AF8:AF507, '6 - TV Stands &amp; Enterta'!J8:J507, _xlfn.LAMBDA(_xlpm.part, _xlpm.val, _xlpm.dep1, IF(_xlpm.part = "", "", _xlfn.LET(_xlpm.check1, IF(AND(_xlpm.val = "", _xlpm.dep1 = "NON-PRIMARY VARIANT"), "2:Autofill", ""), IF(LEN(_xlpm.check1) &gt; 0, _xlpm.check1, IF(AND(_xlpm.val = "", AF$3="Required"), IF(OR('6 - TV Stands &amp; Enterta'!AF$7 = "", '6 - TV Stands &amp; Enterta'!AF$7 = "N/A"), "3:Freight Class - Value is required", ""), ""))))))</f>
        <v/>
      </c>
      <c r="AG8" s="22">
        <f t="array" ref="AG8">_xlfn.MAP('6 - TV Stands &amp; Enterta'!B8:B507, '6 - TV Stands &amp; Enterta'!AG8:AG507, '6 - TV Stands &amp; Enterta'!J8:J507, _xlfn.LAMBDA(_xlpm.part, _xlpm.val, _xlpm.dep1, IF(_xlpm.part = "", "", _xlfn.LET(_xlpm.check1, IF(AND(_xlpm.val = "", _xlpm.dep1 = "NON-PRIMARY VARIANT"), "2:Autofill", ""), IF(LEN(_xlpm.check1) &gt; 0, _xlpm.check1, IF(AND(_xlpm.val = "", AG$3="Required"), IF(OR('6 - TV Stands &amp; Enterta'!AG$7 = "", '6 - TV Stands &amp; Enterta'!AG$7 = "N/A"), "3:Lead Time - Value is required", ""), ""))))))</f>
        <v/>
      </c>
      <c r="AH8" s="22">
        <f t="array" ref="AH8">_xlfn.MAP('6 - TV Stands &amp; Enterta'!B8:B507, '6 - TV Stands &amp; Enterta'!AH8:AH507, '6 - TV Stands &amp; Enterta'!J8:J507, _xlfn.LAMBDA(_xlpm.part, _xlpm.val, _xlpm.dep1, IF(_xlpm.part = "", "", _xlfn.LET(_xlpm.check1, IF(AND(_xlpm.val = "", _xlpm.dep1 = "NON-PRIMARY VARIANT"), "2:Autofill", ""), IF(LEN(_xlpm.check1) &gt; 0, _xlpm.check1, IF(AND(_xlpm.val = "", AH$3="Required"), IF(OR('6 - TV Stands &amp; Enterta'!AH$7 = "", '6 - TV Stands &amp; Enterta'!AH$7 = "N/A"), "3:Replacement Lead Time - Value is required", ""), ""))))))</f>
        <v/>
      </c>
      <c r="AI8" s="22">
        <f t="array" ref="AI8">_xlfn.MAP('6 - TV Stands &amp; Enterta'!B8:B507, '6 - TV Stands &amp; Enterta'!AI8:AI507, '6 - TV Stands &amp; Enterta'!J8:J507, _xlfn.LAMBDA(_xlpm.part, _xlpm.val, _xlpm.dep1, IF(_xlpm.part = "", "", _xlfn.LET(_xlpm.check1, IF(AND(_xlpm.val = "", _xlpm.dep1 = "NON-PRIMARY VARIANT"), "2:Autofill", ""), IF(LEN(_xlpm.check1) &gt; 0, _xlpm.check1, _xlfn.LET(_xlpm.check2, IF(AND(_xlpm.val &lt;&gt; "", LEN(_xlpm.val) &lt; 5), "1:NMFC must contain at least 5 digits", ""), IF(LEN(_xlpm.check2) &gt; 0, _xlpm.check2, IF(AND(_xlpm.val = "", AI$3="Required"), IF(OR('6 - TV Stands &amp; Enterta'!AI$7 = "", '6 - TV Stands &amp; Enterta'!AI$7 = "N/A"), "3:National Motor Freight Class - Value is required", ""), ""))))))))</f>
        <v/>
      </c>
      <c r="AJ8" s="22">
        <f t="array" ref="AJ8">_xlfn.MAP('6 - TV Stands &amp; Enterta'!B8:B507, '6 - TV Stands &amp; Enterta'!AJ8:AJ507, '6 - TV Stands &amp; Enterta'!J8:J507, _xlfn.LAMBDA(_xlpm.part, _xlpm.val, _xlpm.dep1, IF(_xlpm.part = "", "", _xlfn.LET(_xlpm.check1, IF(AND(_xlpm.val = "", _xlpm.dep1 = "NON-PRIMARY VARIANT"), "2:Autofill", ""), IF(LEN(_xlpm.check1) &gt; 0, _xlpm.check1, IF(AND(_xlpm.val = "", AJ$3="Required"), IF(OR('6 - TV Stands &amp; Enterta'!AJ$7 = "", '6 - TV Stands &amp; Enterta'!AJ$7 = "N/A"), "3:Flat Pack - Value is required", ""), ""))))))</f>
        <v/>
      </c>
      <c r="AK8" s="22">
        <f t="array" ref="AK8">_xlfn.MAP('6 - TV Stands &amp; Enterta'!B8:B507, '6 - TV Stands &amp; Enterta'!AK8:AK507, '6 - TV Stands &amp; Enterta'!J8:J507, _xlfn.LAMBDA(_xlpm.part, _xlpm.val, _xlpm.dep1, IF(_xlpm.part = "", "", _xlfn.LET(_xlpm.check1, IF(AND(_xlpm.val = "", _xlpm.dep1 = "NON-PRIMARY VARIANT"), "2:Autofill", ""), IF(LEN(_xlpm.check1) &gt; 0, _xlpm.check1, IF(AND(_xlpm.val = "", AK$3="Required"), IF(OR('6 - TV Stands &amp; Enterta'!AK$7 = "", '6 - TV Stands &amp; Enterta'!AK$7 = "N/A"), "3:Ship Palletized - Value is required", ""), ""))))))</f>
        <v/>
      </c>
      <c r="AL8" s="22">
        <f t="array" ref="AL8">_xlfn.MAP('6 - TV Stands &amp; Enterta'!B8:B507, '6 - TV Stands &amp; Enterta'!AL8:AL507, '6 - TV Stands &amp; Enterta'!AM8:AM507, '6 - TV Stands &amp; Enterta'!AN8:AN507, '6 - TV Stands &amp; Enterta'!AO8:AO507,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AL$3="Required"), IF(OR('6 - TV Stands &amp; Enterta'!AL$7 = "", '6 - TV Stands &amp; Enterta'!AL$7 = "N/A"), "3:Carton Weight - Value is required", ""), ""), IF(LEN(_xlpm.check3) &gt; 0, _xlpm.check3, _xlfn.LET(_xlpm.check4, IF(OR(_xlpm.dep1 &lt;&gt; "", _xlpm.dep2 &lt;&gt; "", _xlpm.dep3 &lt;&gt; ""), IF(_xlpm.val = "", IF(OR('6 - TV Stands &amp; Enterta'!AL$7 = "", '6 - TV Stands &amp; Enterta'!AL$7 = "N/A"), "3:Shipping weight is required", ""), ""), ""), IF(LEN(_xlpm.check4) &gt; 0, _xlpm.check4, IF(AND(_xlpm.dep3 = "", _xlpm.dep1 = "", _xlpm.dep2 = ""), IF(_xlpm.val = "", IF(OR('6 - TV Stands &amp; Enterta'!AL$7 = "", '6 - TV Stands &amp; Enterta'!AL$7 = "N/A"), "3:Shipping weight is required", ""), ""), ""))))))))))))</f>
        <v/>
      </c>
      <c r="AM8" s="22">
        <f t="array" ref="AM8">_xlfn.MAP('6 - TV Stands &amp; Enterta'!B8:B507, '6 - TV Stands &amp; Enterta'!AM8:AM507, '6 - TV Stands &amp; Enterta'!AL8:AL507, '6 - TV Stands &amp; Enterta'!AN8:AN507, '6 - TV Stands &amp; Enterta'!AO8:AO507,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AM$3="Required"), IF(OR('6 - TV Stands &amp; Enterta'!AM$7 = "", '6 - TV Stands &amp; Enterta'!AM$7 = "N/A"), "3:Carton Height - Value is required", ""), ""), IF(LEN(_xlpm.check3) &gt; 0, _xlpm.check3, _xlfn.LET(_xlpm.check4, IF(OR(_xlpm.dep1 &lt;&gt; "", _xlpm.dep2 &lt;&gt; "", _xlpm.dep3 &lt;&gt; ""), IF(_xlpm.val = "", IF(OR('6 - TV Stands &amp; Enterta'!AM$7 = "", '6 - TV Stands &amp; Enterta'!AM$7 = "N/A"), "3:Carton height is required", ""), ""), ""), IF(LEN(_xlpm.check4) &gt; 0, _xlpm.check4, IF(AND(_xlpm.dep1 = "", _xlpm.dep3 = "", _xlpm.dep2 = ""), IF(_xlpm.val = "", IF(OR('6 - TV Stands &amp; Enterta'!AM$7 = "", '6 - TV Stands &amp; Enterta'!AM$7 = "N/A"), "3:Carton height is required", ""), ""), ""))))))))))))</f>
        <v/>
      </c>
      <c r="AN8" s="22">
        <f t="array" ref="AN8">_xlfn.MAP('6 - TV Stands &amp; Enterta'!B8:B507, '6 - TV Stands &amp; Enterta'!AN8:AN507, '6 - TV Stands &amp; Enterta'!AL8:AL507, '6 - TV Stands &amp; Enterta'!AM8:AM507, '6 - TV Stands &amp; Enterta'!AO8:AO507,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AN$3="Required"), IF(OR('6 - TV Stands &amp; Enterta'!AN$7 = "", '6 - TV Stands &amp; Enterta'!AN$7 = "N/A"), "3:Carton Width - Value is required", ""), ""), IF(LEN(_xlpm.check3) &gt; 0, _xlpm.check3, _xlfn.LET(_xlpm.check4, IF(OR(_xlpm.dep1 &lt;&gt; "", _xlpm.dep2 &lt;&gt; "", _xlpm.dep3 &lt;&gt; ""), IF(_xlpm.val = "", IF(OR('6 - TV Stands &amp; Enterta'!AN$7 = "", '6 - TV Stands &amp; Enterta'!AN$7 = "N/A"), "3:Carton width is required", ""), ""), ""), IF(LEN(_xlpm.check4) &gt; 0, _xlpm.check4, IF(AND(_xlpm.dep1 = "", _xlpm.dep2 = "", _xlpm.dep3 = ""), IF(_xlpm.val = "", IF(OR('6 - TV Stands &amp; Enterta'!AN$7 = "", '6 - TV Stands &amp; Enterta'!AN$7 = "N/A"), "3:Carton width is required", ""), ""), ""))))))))))))</f>
        <v/>
      </c>
      <c r="AO8" s="22">
        <f t="array" ref="AO8">_xlfn.MAP('6 - TV Stands &amp; Enterta'!B8:B507, '6 - TV Stands &amp; Enterta'!AO8:AO507, '6 - TV Stands &amp; Enterta'!AL8:AL507, '6 - TV Stands &amp; Enterta'!AM8:AM507, '6 - TV Stands &amp; Enterta'!AN8:AN507,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AO$3="Required"), IF(OR('6 - TV Stands &amp; Enterta'!AO$7 = "", '6 - TV Stands &amp; Enterta'!AO$7 = "N/A"), "3:Carton Depth - Value is required", ""), ""), IF(LEN(_xlpm.check3) &gt; 0, _xlpm.check3, _xlfn.LET(_xlpm.check4, IF(OR(_xlpm.dep1 &lt;&gt; "", _xlpm.dep2 &lt;&gt; "", _xlpm.dep3 &lt;&gt; ""), IF(_xlpm.val = "", IF(OR('6 - TV Stands &amp; Enterta'!AO$7 = "", '6 - TV Stands &amp; Enterta'!AO$7 = "N/A"), "3:Carton depth is required", ""), ""), ""), IF(LEN(_xlpm.check4) &gt; 0, _xlpm.check4, IF(AND(_xlpm.dep1 = "", _xlpm.dep2 = "", _xlpm.dep3 = ""), IF(_xlpm.val = "", IF(OR('6 - TV Stands &amp; Enterta'!AO$7 = "", '6 - TV Stands &amp; Enterta'!AO$7 = "N/A"), "3:Carton depth is required", ""), ""), ""))))))))))))</f>
        <v/>
      </c>
      <c r="AP8" s="22">
        <f t="array" ref="AP8">_xlfn.MAP('6 - TV Stands &amp; Enterta'!B8:B507, '6 - TV Stands &amp; Enterta'!AP8:AP507, _xlfn.LAMBDA(_xlpm.part, _xlpm.val, IF(_xlpm.part = "", "", IF(AND(_xlpm.val = "", AP$3="Required"), IF(OR('6 - TV Stands &amp; Enterta'!AP$7 = "", '6 - TV Stands &amp; Enterta'!AP$7 = "N/A"), "3:Warning Required - Value is required", ""), ""))))</f>
        <v/>
      </c>
      <c r="AQ8" s="22">
        <f t="array" ref="AQ8">_xlfn.MAP('6 - TV Stands &amp; Enterta'!B8:B507, '6 - TV Stands &amp; Enterta'!AQ8:AQ507, '6 - TV Stands &amp; Enterta'!AR8:AR507, '6 - TV Stands &amp; Enterta'!AP8:AP507, _xlfn.LAMBDA(_xlpm.part, _xlpm.val, _xlpm.dep1, _xlpm.dep2, IF(_xlpm.part = "", "", _xlfn.LET(_xlpm.check1, IF(AND(_xlpm.val = "", AQ$3="Required"), IF(OR('6 - TV Stands &amp; Enterta'!AQ$7 = "", '6 - TV Stands &amp; Enterta'!AQ$7 = "N/A"), "3:Chemical - Value is required", ""), ""), IF(LEN(_xlpm.check1) &gt; 0, _xlpm.check1, _xlfn.LET(_xlpm.check2, IF(_xlpm.dep1 &lt;&gt; "", IF(_xlpm.val = "", IF(OR('6 - TV Stands &amp; Enterta'!AQ$7 = "", '6 - TV Stands &amp; Enterta'!AQ$7 = "N/A"), "3:Please provide a chemical", ""), ""), ""), IF(LEN(_xlpm.check2) &gt; 0, _xlpm.check2, IF(_xlpm.dep2 = "Yes", IF(_xlpm.val = "", IF(OR('6 - TV Stands &amp; Enterta'!AQ$7 = "", '6 - TV Stands &amp; Enterta'!AQ$7 = "N/A"), "3:If a warning is required, then a chemical must also be provided", ""), ""), ""))))))))</f>
        <v/>
      </c>
      <c r="AR8" s="22">
        <f t="array" ref="AR8">_xlfn.MAP('6 - TV Stands &amp; Enterta'!B8:B507, '6 - TV Stands &amp; Enterta'!AR8:AR507, '6 - TV Stands &amp; Enterta'!AQ8:AQ507, '6 - TV Stands &amp; Enterta'!AP8:AP507, _xlfn.LAMBDA(_xlpm.part, _xlpm.val, _xlpm.dep1, _xlpm.dep2,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AR$3="Required"), IF(OR('6 - TV Stands &amp; Enterta'!AR$7 = "", '6 - TV Stands &amp; Enterta'!AR$7 = "N/A"), "3:Toxicity - Value is required", ""), ""), IF(LEN(_xlpm.check2) &gt; 0, _xlpm.check2, _xlfn.LET(_xlpm.check3, IF(_xlpm.dep1 &lt;&gt; "", IF(_xlpm.val = "", IF(OR('6 - TV Stands &amp; Enterta'!AR$7 = "", '6 - TV Stands &amp; Enterta'!AR$7 = "N/A"), "3:Please select a toxicity from the provided dropdown", ""), ""), ""), IF(LEN(_xlpm.check3) &gt; 0, _xlpm.check3, IF(_xlpm.dep2 = "Yes", IF(_xlpm.val = "", IF(OR('6 - TV Stands &amp; Enterta'!AR$7 = "", '6 - TV Stands &amp; Enterta'!AR$7 = "N/A"), "3:If a warning is required, then a chemical must also be provided", ""), ""), ""))))))))))</f>
        <v/>
      </c>
      <c r="AS8" s="22">
        <f t="array" ref="AS8">_xlfn.MAP('6 - TV Stands &amp; Enterta'!B8:B507, '6 - TV Stands &amp; Enterta'!AS8:AS507, '6 - TV Stands &amp; Enterta'!J8:J507, _xlfn.LAMBDA(_xlpm.part, _xlpm.val, _xlpm.dep1, IF(_xlpm.part = "", "", _xlfn.LET(_xlpm.check1, IF(AND(_xlpm.val = "", _xlpm.dep1 = "NON-PRIMARY VARIANT"), "2:Autofill", ""), IF(LEN(_xlpm.check1) &gt; 0, _xlpm.check1, IF(AND(_xlpm.val = "", AS$3="Required"), IF(OR('6 - TV Stands &amp; Enterta'!AS$7 = "", '6 - TV Stands &amp; Enterta'!AS$7 = "N/A"), "3:Country Of Manufacturer - Value is required", ""), ""))))))</f>
        <v/>
      </c>
      <c r="AT8" s="22">
        <f t="array" ref="AT8">_xlfn.MAP('6 - TV Stands &amp; Enterta'!B8:B507, '6 - TV Stands &amp; Enterta'!AT8:AT507, _xlfn.LAMBDA(_xlpm.part, _xlpm.val, IF(_xlpm.part = "", "", IF(AND(_xlpm.val = "", AT$3="Required"), IF(OR('6 - TV Stands &amp; Enterta'!AT$7 = "", '6 - TV Stands &amp; Enterta'!AT$7 = "N/A"), "3:Image File Name or URL - Value is required", ""), ""))))</f>
        <v/>
      </c>
      <c r="AU8" s="22">
        <f t="array" ref="AU8">_xlfn.MAP('6 - TV Stands &amp; Enterta'!B8:B507, '6 - TV Stands &amp; Enterta'!AU8:AU507, _xlfn.LAMBDA(_xlpm.part, _xlpm.val, IF(_xlpm.part = "", "", IF(AND(_xlpm.val = "", AU$3="Required"), IF(OR('6 - TV Stands &amp; Enterta'!AU$7 = "", '6 - TV Stands &amp; Enterta'!AU$7 = "N/A"), "3:Image File Name or URL - Value is required", ""), ""))))</f>
        <v/>
      </c>
      <c r="AV8" s="22">
        <f t="array" ref="AV8">_xlfn.MAP('6 - TV Stands &amp; Enterta'!B8:B507, '6 - TV Stands &amp; Enterta'!AV8:AV507, _xlfn.LAMBDA(_xlpm.part, _xlpm.val, IF(_xlpm.part = "", "", IF(AND(_xlpm.val = "", AV$3="Required"), IF(OR('6 - TV Stands &amp; Enterta'!AV$7 = "", '6 - TV Stands &amp; Enterta'!AV$7 = "N/A"), "3:Image File Name or URL - Value is required", ""), ""))))</f>
        <v/>
      </c>
      <c r="AW8" s="22">
        <f t="array" ref="AW8">_xlfn.MAP('6 - TV Stands &amp; Enterta'!B8:B507, '6 - TV Stands &amp; Enterta'!AW8:AW507, _xlfn.LAMBDA(_xlpm.part, _xlpm.val, IF(_xlpm.part = "", "", IF(AND(_xlpm.val = "", AW$3="Required"), IF(OR('6 - TV Stands &amp; Enterta'!AW$7 = "", '6 - TV Stands &amp; Enterta'!AW$7 = "N/A"), "3:Image File Name or URL - Value is required", ""), ""))))</f>
        <v/>
      </c>
      <c r="AX8" s="22">
        <f t="array" ref="AX8">_xlfn.MAP('6 - TV Stands &amp; Enterta'!B8:B507, '6 - TV Stands &amp; Enterta'!AX8:AX507, _xlfn.LAMBDA(_xlpm.part, _xlpm.val, IF(_xlpm.part = "", "", IF(AND(_xlpm.val = "", AX$3="Required"), IF(OR('6 - TV Stands &amp; Enterta'!AX$7 = "", '6 - TV Stands &amp; Enterta'!AX$7 = "N/A"), "3:Image File Name or URL - Value is required", ""), ""))))</f>
        <v/>
      </c>
      <c r="AY8" s="22">
        <f t="array" ref="AY8">_xlfn.MAP('6 - TV Stands &amp; Enterta'!B8:B507, '6 - TV Stands &amp; Enterta'!AY8:AY507, _xlfn.LAMBDA(_xlpm.part, _xlpm.val, IF(_xlpm.part = "", "", IF(AND(_xlpm.val = "", AY$3="Required"), IF(OR('6 - TV Stands &amp; Enterta'!AY$7 = "", '6 - TV Stands &amp; Enterta'!AY$7 = "N/A"), "3:Video File Name or URL - Value is required", ""), ""))))</f>
        <v/>
      </c>
      <c r="AZ8" s="22">
        <f t="array" ref="AZ8">_xlfn.MAP('6 - TV Stands &amp; Enterta'!B8:B507, '6 - TV Stands &amp; Enterta'!AZ8:AZ507, '6 - TV Stands &amp; Enterta'!BA8:BA507, '6 - TV Stands &amp; Enterta'!BB8:BB507, '6 - TV Stands &amp; Enterta'!BC8:BC507, '6 - TV Stands &amp; Enterta'!BD8:BD507, _xlfn.LAMBDA(_xlpm.part, _xlpm.val, _xlpm.dep1, _xlpm.dep2, _xlpm.dep3, _xlpm.dep4, IF(_xlpm.part = "", "", _xlfn.LET(_xlpm.check1, IF(AND(_xlpm.val = "", AZ$3="Required"), IF(OR('6 - TV Stands &amp; Enterta'!AZ$7 = "", '6 - TV Stands &amp; Enterta'!AZ$7 = "N/A"), "3:Document File Name or URL - Value is required", ""), ""), IF(LEN(_xlpm.check1) &gt; 0, _xlpm.check1, IF(OR(_xlpm.dep1 &lt;&gt; "", _xlpm.dep2 &lt;&gt; "", _xlpm.dep3 &lt;&gt; "", _xlpm.dep4 &lt;&gt; ""), IF(_xlpm.val = "", IF(OR('6 - TV Stands &amp; Enterta'!AZ$7 = "", '6 - TV Stands &amp; Enterta'!AZ$7 = "N/A"), "3:Document value is required", ""), ""), ""))))))</f>
        <v/>
      </c>
      <c r="BA8" s="22">
        <f t="array" ref="BA8">_xlfn.MAP('6 - TV Stands &amp; Enterta'!B8:B507, '6 - TV Stands &amp; Enterta'!BA8:BA507,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BA$3="Required"), IF(OR('6 - TV Stands &amp; Enterta'!BA$7 = "", '6 - TV Stands &amp; Enterta'!BA$7 = "N/A"), "3:Document Type - Value is required", ""), ""))))))</f>
        <v/>
      </c>
      <c r="BB8" s="22">
        <f t="array" ref="BB8">_xlfn.MAP('6 - TV Stands &amp; Enterta'!B8:B507, '6 - TV Stands &amp; Enterta'!BB8:BB507,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BB$3="Required"), IF(OR('6 - TV Stands &amp; Enterta'!BB$7 = "", '6 - TV Stands &amp; Enterta'!BB$7 = "N/A"), "3:Legal Document Type - Value is required", ""), ""))))))</f>
        <v/>
      </c>
      <c r="BC8" s="22">
        <f t="array" ref="BC8">_xlfn.MAP('6 - TV Stands &amp; Enterta'!B8:B507, '6 - TV Stands &amp; Enterta'!BC8:BC507, _xlfn.LAMBDA(_xlpm.part, _xlpm.val, IF(_xlpm.part = "", "", IF(AND(_xlpm.val = "", BC$3="Required"), IF(OR('6 - TV Stands &amp; Enterta'!BC$7 = "", '6 - TV Stands &amp; Enterta'!BC$7 = "N/A"), "3:Document Region - Value is required", ""), ""))))</f>
        <v/>
      </c>
      <c r="BD8" s="22">
        <f t="array" ref="BD8">_xlfn.MAP('6 - TV Stands &amp; Enterta'!B8:B507, '6 - TV Stands &amp; Enterta'!BD8:BD507, _xlfn.LAMBDA(_xlpm.part, _xlpm.val, IF(_xlpm.part = "", "", IF(AND(_xlpm.val = "", BD$3="Required"), IF(OR('6 - TV Stands &amp; Enterta'!BD$7 = "", '6 - TV Stands &amp; Enterta'!BD$7 = "N/A"), "3:Document Language - Value is required", ""), ""))))</f>
        <v/>
      </c>
      <c r="BE8" s="22">
        <f t="array" ref="BE8">_xlfn.MAP('6 - TV Stands &amp; Enterta'!B8:B507, '6 - TV Stands &amp; Enterta'!BE8:BE507, '6 - TV Stands &amp; Enterta'!BF8:BF507, '6 - TV Stands &amp; Enterta'!BG8:BG507, '6 - TV Stands &amp; Enterta'!BH8:BH507, '6 - TV Stands &amp; Enterta'!BI8:BI507, _xlfn.LAMBDA(_xlpm.part, _xlpm.val, _xlpm.dep1, _xlpm.dep2, _xlpm.dep3, _xlpm.dep4, IF(_xlpm.part = "", "", _xlfn.LET(_xlpm.check1, IF(AND(_xlpm.val = "", BE$3="Required"), IF(OR('6 - TV Stands &amp; Enterta'!BE$7 = "", '6 - TV Stands &amp; Enterta'!BE$7 = "N/A"), "3:Document File Name or URL - Value is required", ""), ""), IF(LEN(_xlpm.check1) &gt; 0, _xlpm.check1, IF(OR(_xlpm.dep1 &lt;&gt; "", _xlpm.dep2 &lt;&gt; "", _xlpm.dep3 &lt;&gt; "", _xlpm.dep4 &lt;&gt; ""), IF(_xlpm.val = "", IF(OR('6 - TV Stands &amp; Enterta'!BE$7 = "", '6 - TV Stands &amp; Enterta'!BE$7 = "N/A"), "3:Document value is required", ""), ""), ""))))))</f>
        <v/>
      </c>
      <c r="BF8" s="22">
        <f t="array" ref="BF8">_xlfn.MAP('6 - TV Stands &amp; Enterta'!B8:B507, '6 - TV Stands &amp; Enterta'!BF8:BF507,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BF$3="Required"), IF(OR('6 - TV Stands &amp; Enterta'!BF$7 = "", '6 - TV Stands &amp; Enterta'!BF$7 = "N/A"), "3:Document Type - Value is required", ""), ""))))))</f>
        <v/>
      </c>
      <c r="BG8" s="22">
        <f t="array" ref="BG8">_xlfn.MAP('6 - TV Stands &amp; Enterta'!B8:B507, '6 - TV Stands &amp; Enterta'!BG8:BG507,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BG$3="Required"), IF(OR('6 - TV Stands &amp; Enterta'!BG$7 = "", '6 - TV Stands &amp; Enterta'!BG$7 = "N/A"), "3:Legal Document Type - Value is required", ""), ""))))))</f>
        <v/>
      </c>
      <c r="BH8" s="22">
        <f t="array" ref="BH8">_xlfn.MAP('6 - TV Stands &amp; Enterta'!B8:B507, '6 - TV Stands &amp; Enterta'!BH8:BH507, _xlfn.LAMBDA(_xlpm.part, _xlpm.val, IF(_xlpm.part = "", "", IF(AND(_xlpm.val = "", BH$3="Required"), IF(OR('6 - TV Stands &amp; Enterta'!BH$7 = "", '6 - TV Stands &amp; Enterta'!BH$7 = "N/A"), "3:Document Region - Value is required", ""), ""))))</f>
        <v/>
      </c>
      <c r="BI8" s="22">
        <f t="array" ref="BI8">_xlfn.MAP('6 - TV Stands &amp; Enterta'!B8:B507, '6 - TV Stands &amp; Enterta'!BI8:BI507, _xlfn.LAMBDA(_xlpm.part, _xlpm.val, IF(_xlpm.part = "", "", IF(AND(_xlpm.val = "", BI$3="Required"), IF(OR('6 - TV Stands &amp; Enterta'!BI$7 = "", '6 - TV Stands &amp; Enterta'!BI$7 = "N/A"), "3:Document Language - Value is required", ""), ""))))</f>
        <v/>
      </c>
      <c r="BJ8" s="22">
        <f t="array" ref="BJ8">_xlfn.MAP('6 - TV Stands &amp; Enterta'!B8:B507, '6 - TV Stands &amp; Enterta'!BJ8:BJ507, '6 - TV Stands &amp; Enterta'!BK8:BK507, '6 - TV Stands &amp; Enterta'!BL8:BL507, '6 - TV Stands &amp; Enterta'!BM8:BM507, '6 - TV Stands &amp; Enterta'!BN8:BN507, _xlfn.LAMBDA(_xlpm.part, _xlpm.val, _xlpm.dep1, _xlpm.dep2, _xlpm.dep3, _xlpm.dep4, IF(_xlpm.part = "", "", _xlfn.LET(_xlpm.check1, IF(AND(_xlpm.val = "", BJ$3="Required"), IF(OR('6 - TV Stands &amp; Enterta'!BJ$7 = "", '6 - TV Stands &amp; Enterta'!BJ$7 = "N/A"), "3:Document File Name or URL - Value is required", ""), ""), IF(LEN(_xlpm.check1) &gt; 0, _xlpm.check1, IF(OR(_xlpm.dep1 &lt;&gt; "", _xlpm.dep2 &lt;&gt; "", _xlpm.dep3 &lt;&gt; "", _xlpm.dep4 &lt;&gt; ""), IF(_xlpm.val = "", IF(OR('6 - TV Stands &amp; Enterta'!BJ$7 = "", '6 - TV Stands &amp; Enterta'!BJ$7 = "N/A"), "3:Document value is required", ""), ""), ""))))))</f>
        <v/>
      </c>
      <c r="BK8" s="22">
        <f t="array" ref="BK8">_xlfn.MAP('6 - TV Stands &amp; Enterta'!B8:B507, '6 - TV Stands &amp; Enterta'!BK8:BK507,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BK$3="Required"), IF(OR('6 - TV Stands &amp; Enterta'!BK$7 = "", '6 - TV Stands &amp; Enterta'!BK$7 = "N/A"), "3:Document Type - Value is required", ""), ""))))))</f>
        <v/>
      </c>
      <c r="BL8" s="22">
        <f t="array" ref="BL8">_xlfn.MAP('6 - TV Stands &amp; Enterta'!B8:B507, '6 - TV Stands &amp; Enterta'!BL8:BL507,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BL$3="Required"), IF(OR('6 - TV Stands &amp; Enterta'!BL$7 = "", '6 - TV Stands &amp; Enterta'!BL$7 = "N/A"), "3:Legal Document Type - Value is required", ""), ""))))))</f>
        <v/>
      </c>
      <c r="BM8" s="22">
        <f t="array" ref="BM8">_xlfn.MAP('6 - TV Stands &amp; Enterta'!B8:B507, '6 - TV Stands &amp; Enterta'!BM8:BM507, _xlfn.LAMBDA(_xlpm.part, _xlpm.val, IF(_xlpm.part = "", "", IF(AND(_xlpm.val = "", BM$3="Required"), IF(OR('6 - TV Stands &amp; Enterta'!BM$7 = "", '6 - TV Stands &amp; Enterta'!BM$7 = "N/A"), "3:Document Region - Value is required", ""), ""))))</f>
        <v/>
      </c>
      <c r="BN8" s="22">
        <f t="array" ref="BN8">_xlfn.MAP('6 - TV Stands &amp; Enterta'!B8:B507, '6 - TV Stands &amp; Enterta'!BN8:BN507, _xlfn.LAMBDA(_xlpm.part, _xlpm.val, IF(_xlpm.part = "", "", IF(AND(_xlpm.val = "", BN$3="Required"), IF(OR('6 - TV Stands &amp; Enterta'!BN$7 = "", '6 - TV Stands &amp; Enterta'!BN$7 = "N/A"), "3:Document Language - Value is required", ""), ""))))</f>
        <v/>
      </c>
      <c r="BO8" s="22">
        <f t="array" ref="BO8">_xlfn.MAP('6 - TV Stands &amp; Enterta'!B8:B507, '6 - TV Stands &amp; Enterta'!BO8:BO507, _xlfn.LAMBDA(_xlpm.part, _xlpm.val, IF(_xlpm.part = "", "", IF(AND(_xlpm.val = "", BO$3="Required"), IF(OR('6 - TV Stands &amp; Enterta'!BO$7 = "", '6 - TV Stands &amp; Enterta'!BO$7 = "N/A"), "3:Product Type - Value is required", ""), ""))))</f>
        <v/>
      </c>
      <c r="BP8" s="22">
        <f t="array" ref="BP8">_xlfn.MAP('6 - TV Stands &amp; Enterta'!B8:B507, '6 - TV Stands &amp; Enterta'!BP8:BP507, '6 - TV Stands &amp; Enterta'!BO8:BO507, _xlfn.LAMBDA(_xlpm.part, _xlpm.val, _xlpm.dep1, IF(_xlpm.part = "", "", _xlfn.LET(_xlpm.check1, IF(AND(_xlpm.val = "", AND(NOT(ISNUMBER(SEARCH("Entertainment Center", _xlpm.dep1))), _xlpm.dep1 &lt;&gt; "")), "2:Autofill", ""), IF(LEN(_xlpm.check1) &gt; 0, _xlpm.check1, IF(AND(_xlpm.val = "", BP$3="Required"), IF(OR('6 - TV Stands &amp; Enterta'!BP$7 = "", '6 - TV Stands &amp; Enterta'!BP$7 = "N/A"), "3:Pier / Bookcase Included - Value is required", ""), ""))))))</f>
        <v/>
      </c>
      <c r="BQ8" s="22">
        <f t="array" ref="BQ8">_xlfn.MAP('6 - TV Stands &amp; Enterta'!B8:B507, '6 - TV Stands &amp; Enterta'!BQ8:BQ507, _xlfn.LAMBDA(_xlpm.part, _xlpm.val, IF(_xlpm.part = "", "", IF(AND(_xlpm.val = "", BQ$3="Required"), IF(OR('6 - TV Stands &amp; Enterta'!BQ$7 = "", '6 - TV Stands &amp; Enterta'!BQ$7 = "N/A"), "3:Drawers Included - Value is required", ""), ""))))</f>
        <v/>
      </c>
      <c r="BR8" s="22">
        <f t="array" ref="BR8">_xlfn.MAP('6 - TV Stands &amp; Enterta'!B8:B507, '6 - TV Stands &amp; Enterta'!BR8:BR507, '6 - TV Stands &amp; Enterta'!BQ8:BQ507, _xlfn.LAMBDA(_xlpm.part, _xlpm.val, _xlpm.dep1, IF(_xlpm.part = "", "", _xlfn.LET(_xlpm.check1, IF(AND(_xlpm.val = "", _xlpm.dep1 = "No"), "2:Autofill", ""), IF(LEN(_xlpm.check1) &gt; 0, _xlpm.check1, IF(AND(_xlpm.val = "", BR$3="Required"), IF(OR('6 - TV Stands &amp; Enterta'!BR$7 = "", '6 - TV Stands &amp; Enterta'!BR$7 = "N/A"), "3:Number of Drawers - Value is required", ""), ""))))))</f>
        <v/>
      </c>
      <c r="BS8" s="22">
        <f t="array" ref="BS8">_xlfn.MAP('6 - TV Stands &amp; Enterta'!B8:B507, '6 - TV Stands &amp; Enterta'!BS8:BS507, _xlfn.LAMBDA(_xlpm.part, _xlpm.val, IF(_xlpm.part = "", "", IF(AND(_xlpm.val = "", BS$3="Required"), IF(OR('6 - TV Stands &amp; Enterta'!BS$7 = "", '6 - TV Stands &amp; Enterta'!BS$7 = "N/A"), "3:Cabinets Included - Value is required", ""), ""))))</f>
        <v/>
      </c>
      <c r="BT8" s="22">
        <f t="array" ref="BT8">_xlfn.MAP('6 - TV Stands &amp; Enterta'!B8:B507, '6 - TV Stands &amp; Enterta'!BT8:BT507, _xlfn.LAMBDA(_xlpm.part, _xlpm.val, IF(_xlpm.part = "", "", IF(AND(_xlpm.val = "", BT$3="Required"), IF(OR('6 - TV Stands &amp; Enterta'!BT$7 = "", '6 - TV Stands &amp; Enterta'!BT$7 = "N/A"), "3:Shelves Included - Value is required", ""), ""))))</f>
        <v/>
      </c>
      <c r="BU8" s="22">
        <f t="array" ref="BU8">_xlfn.MAP('6 - TV Stands &amp; Enterta'!B8:B507, '6 - TV Stands &amp; Enterta'!BU8:BU507, '6 - TV Stands &amp; Enterta'!BT8:BT507, _xlfn.LAMBDA(_xlpm.part, _xlpm.val, _xlpm.dep1, IF(_xlpm.part = "", "", _xlfn.LET(_xlpm.check1, IF(AND(_xlpm.val = "", _xlpm.dep1 = "No"), "2:Autofill", ""), IF(LEN(_xlpm.check1) &gt; 0, _xlpm.check1, _xlfn.LET(_xlpm.check2, IF(_xlpm.dep1 = "No", IF(_xlpm.val &lt;&gt; "No", "1:Based on Shelves Included, value should be No", ""), ""), IF(LEN(_xlpm.check2) &gt; 0, _xlpm.check2, IF(AND(_xlpm.val = "", BU$3="Required"), IF(OR('6 - TV Stands &amp; Enterta'!BU$7 = "", '6 - TV Stands &amp; Enterta'!BU$7 = "N/A"), "3:Exterior Shelves Included - Value is required", ""), ""))))))))</f>
        <v/>
      </c>
      <c r="BV8" s="22">
        <f t="array" ref="BV8">_xlfn.MAP('6 - TV Stands &amp; Enterta'!B8:B507, '6 - TV Stands &amp; Enterta'!BV8:BV507, '6 - TV Stands &amp; Enterta'!BT8:BT507, _xlfn.LAMBDA(_xlpm.part, _xlpm.val, _xlpm.dep1, IF(_xlpm.part = "", "", _xlfn.LET(_xlpm.check1, IF(AND(_xlpm.val = "", _xlpm.dep1 = "No"), "2:Autofill", ""), IF(LEN(_xlpm.check1) &gt; 0, _xlpm.check1, _xlfn.LET(_xlpm.check2, IF(_xlpm.dep1 = "No", IF(_xlpm.val &lt;&gt; "No", "1:Based on Shelves Included, value should be No", ""), ""), IF(LEN(_xlpm.check2) &gt; 0, _xlpm.check2, IF(AND(_xlpm.val = "", BV$3="Required"), IF(OR('6 - TV Stands &amp; Enterta'!BV$7 = "", '6 - TV Stands &amp; Enterta'!BV$7 = "N/A"), "3:Interior Shelves Included - Value is required", ""), ""))))))))</f>
        <v/>
      </c>
      <c r="BW8" s="22">
        <f t="array" ref="BW8">_xlfn.MAP('6 - TV Stands &amp; Enterta'!B8:B507, '6 - TV Stands &amp; Enterta'!BW8:BW507, '6 - TV Stands &amp; Enterta'!BO8:BO507, _xlfn.LAMBDA(_xlpm.part, _xlpm.val, _xlpm.dep1, IF(_xlpm.part = "", "", _xlfn.LET(_xlpm.check1, IF(AND(_xlpm.val = "", AND(NOT(ISNUMBER(SEARCH("Entertainment Center", _xlpm.dep1))), _xlpm.dep1 &lt;&gt; "")), "2:Autofill", ""), IF(LEN(_xlpm.check1) &gt; 0, _xlpm.check1, IF(AND(_xlpm.val = "", BW$3="Required"), IF(OR('6 - TV Stands &amp; Enterta'!BW$7 = "", '6 - TV Stands &amp; Enterta'!BW$7 = "N/A"), "3:Bridge Included - Value is required", ""), ""))))))</f>
        <v/>
      </c>
      <c r="BX8" s="22">
        <f t="array" ref="BX8">_xlfn.MAP('6 - TV Stands &amp; Enterta'!B8:B507, '6 - TV Stands &amp; Enterta'!BX8:BX507, _xlfn.LAMBDA(_xlpm.part, _xlpm.val, IF(_xlpm.part = "", "", IF(AND(_xlpm.val = "", BX$3="Required"), IF(OR('6 - TV Stands &amp; Enterta'!BX$7 = "", '6 - TV Stands &amp; Enterta'!BX$7 = "N/A"), "3:Furniture Design - Value is required", ""), ""))))</f>
        <v/>
      </c>
      <c r="BY8" s="22">
        <f t="array" ref="BY8">_xlfn.MAP('6 - TV Stands &amp; Enterta'!B8:B507, '6 - TV Stands &amp; Enterta'!BY8:BY507, _xlfn.LAMBDA(_xlpm.part, _xlpm.val, IF(_xlpm.part = "", "", IF(AND(_xlpm.val = "", BY$3="Required"), IF(OR('6 - TV Stands &amp; Enterta'!BY$7 = "", '6 - TV Stands &amp; Enterta'!BY$7 = "N/A"), "3:Material - Value is required", ""), ""))))</f>
        <v/>
      </c>
      <c r="BZ8" s="22">
        <f t="array" ref="BZ8">_xlfn.MAP('6 - TV Stands &amp; Enterta'!B8:B507, '6 - TV Stands &amp; Enterta'!BZ8:BZ507, _xlfn.LAMBDA(_xlpm.part, _xlpm.val, IF(_xlpm.part = "", "", IF(AND(_xlpm.val = "", BZ$3="Required"), IF(OR('6 - TV Stands &amp; Enterta'!BZ$7 = "", '6 - TV Stands &amp; Enterta'!BZ$7 = "N/A"), "3:Purposeful Distressing Type - Value is required", ""), ""))))</f>
        <v/>
      </c>
      <c r="CA8" s="22">
        <f t="array" ref="CA8">_xlfn.MAP('6 - TV Stands &amp; Enterta'!B8:B507, '6 - TV Stands &amp; Enterta'!CA8:CA507, '6 - TV Stands &amp; Enterta'!BY8:BY507, _xlfn.LAMBDA(_xlpm.part, _xlpm.val, _xlpm.dep1, IF(_xlpm.part = "", "", _xlfn.LET(_xlpm.check1, IF(AND(_xlpm.val = "", AND(NOT(OR(ISNUMBER(SEARCH("Metal", _xlpm.dep1)), ISNUMBER(SEARCH("Steel", _xlpm.dep1)))), _xlpm.dep1 &lt;&gt; "")), "2:Autofill", ""), IF(LEN(_xlpm.check1) &gt; 0, _xlpm.check1, IF(AND(_xlpm.val = "", CA$3="Required"), IF(OR('6 - TV Stands &amp; Enterta'!CA$7 = "", '6 - TV Stands &amp; Enterta'!CA$7 = "N/A"), "3:Natural Variation Type - Value is required", ""), ""))))))</f>
        <v/>
      </c>
      <c r="CB8" s="22">
        <f t="array" ref="CB8">_xlfn.MAP('6 - TV Stands &amp; Enterta'!B8:B507, '6 - TV Stands &amp; Enterta'!CB8:CB507, _xlfn.LAMBDA(_xlpm.part, _xlpm.val, IF(_xlpm.part = "", "", IF(AND(_xlpm.val = "", CB$3="Required"), IF(OR('6 - TV Stands &amp; Enterta'!CB$7 = "", '6 - TV Stands &amp; Enterta'!CB$7 = "N/A"), "3:Gloss Finish - Value is required", ""), ""))))</f>
        <v/>
      </c>
      <c r="CC8" s="22">
        <f t="array" ref="CC8">_xlfn.MAP('6 - TV Stands &amp; Enterta'!B8:B507, '6 - TV Stands &amp; Enterta'!CC8:CC507, _xlfn.LAMBDA(_xlpm.part, _xlpm.val, IF(_xlpm.part = "", "", IF(AND(_xlpm.val = "", CC$3="Required"), IF(OR('6 - TV Stands &amp; Enterta'!CC$7 = "", '6 - TV Stands &amp; Enterta'!CC$7 = "N/A"), "3:Mirrored - Value is required", ""), ""))))</f>
        <v/>
      </c>
      <c r="CD8" s="22">
        <f t="array" ref="CD8">_xlfn.MAP('6 - TV Stands &amp; Enterta'!B8:B507, '6 - TV Stands &amp; Enterta'!CD8:CD507, _xlfn.LAMBDA(_xlpm.part, _xlpm.val, IF(_xlpm.part = "", "", IF(AND(_xlpm.val = "", CD$3="Required"), IF(OR('6 - TV Stands &amp; Enterta'!CD$7 = "", '6 - TV Stands &amp; Enterta'!CD$7 = "N/A"), "3:Sound Bar Shelf Included - Value is required", ""), ""))))</f>
        <v/>
      </c>
      <c r="CE8" s="22">
        <f t="array" ref="CE8">_xlfn.MAP('6 - TV Stands &amp; Enterta'!B8:B507, '6 - TV Stands &amp; Enterta'!CE8:CE507, '6 - TV Stands &amp; Enterta'!BT8:BT507, _xlfn.LAMBDA(_xlpm.part, _xlpm.val, _xlpm.dep1, IF(_xlpm.part = "", "", _xlfn.LET(_xlpm.check1, IF(AND(_xlpm.val = "", _xlpm.dep1 = "No"), "2:Autofill", ""), IF(LEN(_xlpm.check1) &gt; 0, _xlpm.check1, _xlfn.LET(_xlpm.check2, IF(_xlpm.dep1 = "No", IF(_xlpm.val &lt;&gt; "No", "1:Based on Shelves Included, value should be No", ""), ""), IF(LEN(_xlpm.check2) &gt; 0, _xlpm.check2, IF(AND(_xlpm.val = "", CE$3="Required"), IF(OR('6 - TV Stands &amp; Enterta'!CE$7 = "", '6 - TV Stands &amp; Enterta'!CE$7 = "N/A"), "3:Adjustable Shelves - Value is required", ""), ""))))))))</f>
        <v/>
      </c>
      <c r="CF8" s="22">
        <f t="array" ref="CF8">_xlfn.MAP('6 - TV Stands &amp; Enterta'!B8:B507, '6 - TV Stands &amp; Enterta'!CF8:CF507, _xlfn.LAMBDA(_xlpm.part, _xlpm.val, IF(_xlpm.part = "", "", IF(AND(_xlpm.val = "", CF$3="Required"), IF(OR('6 - TV Stands &amp; Enterta'!CF$7 = "", '6 - TV Stands &amp; Enterta'!CF$7 = "N/A"), "3:Media Storage Included - Value is required", ""), ""))))</f>
        <v/>
      </c>
      <c r="CG8" s="22">
        <f t="array" ref="CG8">_xlfn.MAP('6 - TV Stands &amp; Enterta'!B8:B507, '6 - TV Stands &amp; Enterta'!CG8:CG507, _xlfn.LAMBDA(_xlpm.part, _xlpm.val, IF(_xlpm.part = "", "", IF(AND(_xlpm.val = "", CG$3="Required"), IF(OR('6 - TV Stands &amp; Enterta'!CG$7 = "", '6 - TV Stands &amp; Enterta'!CG$7 = "N/A"), "3:Cable Management - Value is required", ""), ""))))</f>
        <v/>
      </c>
      <c r="CH8" s="22">
        <f t="array" ref="CH8">_xlfn.MAP('6 - TV Stands &amp; Enterta'!B8:B507, '6 - TV Stands &amp; Enterta'!CH8:CH507, _xlfn.LAMBDA(_xlpm.part, _xlpm.val, IF(_xlpm.part = "", "", IF(AND(_xlpm.val = "", CH$3="Required"), IF(OR('6 - TV Stands &amp; Enterta'!CH$7 = "", '6 - TV Stands &amp; Enterta'!CH$7 = "N/A"), "3:Wheels / Casters Included - Value is required", ""), ""))))</f>
        <v/>
      </c>
      <c r="CI8" s="22">
        <f t="array" ref="CI8">_xlfn.MAP('6 - TV Stands &amp; Enterta'!B8:B507, '6 - TV Stands &amp; Enterta'!CI8:CI507, '6 - TV Stands &amp; Enterta'!BX8:BX507, _xlfn.LAMBDA(_xlpm.part, _xlpm.val, _xlpm.dep1, IF(_xlpm.part = "", "", _xlfn.LET(_xlpm.check1, IF(AND(_xlpm.val = "", OR(ISNUMBER(SEARCH("TV Stand Fireplace", _xlpm.dep1)), AND(NOT(ISNUMBER(SEARCH("TV Stand Fireplace", _xlpm.dep1))), _xlpm.dep1 &lt;&gt; ""))), "2:Autofill", ""), IF(LEN(_xlpm.check1) &gt; 0, _xlpm.check1, IF(AND(_xlpm.val = "", CI$3="Required"), IF(OR('6 - TV Stands &amp; Enterta'!CI$7 = "", '6 - TV Stands &amp; Enterta'!CI$7 = "N/A"), "3:Fireplace Included - Value is required", ""), ""))))))</f>
        <v/>
      </c>
      <c r="CJ8" s="22">
        <f t="array" ref="CJ8">_xlfn.MAP('6 - TV Stands &amp; Enterta'!B8:B507, '6 - TV Stands &amp; Enterta'!CJ8:CJ507, _xlfn.LAMBDA(_xlpm.part, _xlpm.val, IF(_xlpm.part = "", "", IF(AND(_xlpm.val = "", CJ$3="Required"), IF(OR('6 - TV Stands &amp; Enterta'!CJ$7 = "", '6 - TV Stands &amp; Enterta'!CJ$7 = "N/A"), "3:Plug-In - Value is required", ""), ""))))</f>
        <v/>
      </c>
      <c r="CK8" s="22">
        <f t="array" ref="CK8">_xlfn.MAP('6 - TV Stands &amp; Enterta'!B8:B507, '6 - TV Stands &amp; Enterta'!CK8:CK507, _xlfn.LAMBDA(_xlpm.part, _xlpm.val, IF(_xlpm.part = "", "", IF(AND(_xlpm.val = "", CK$3="Required"), IF(OR('6 - TV Stands &amp; Enterta'!CK$7 = "", '6 - TV Stands &amp; Enterta'!CK$7 = "N/A"), "3:Tipover Restraint Device Included - Value is required", ""), ""))))</f>
        <v/>
      </c>
      <c r="CL8" s="22">
        <f t="array" ref="CL8">_xlfn.MAP('6 - TV Stands &amp; Enterta'!B8:B507, '6 - TV Stands &amp; Enterta'!CL8:CL507, _xlfn.LAMBDA(_xlpm.part, _xlpm.val, IF(_xlpm.part = "", "", IF(AND(_xlpm.val = "", CL$3="Required"), IF(OR('6 - TV Stands &amp; Enterta'!CL$7 = "", '6 - TV Stands &amp; Enterta'!CL$7 = "N/A"), "3:Integrated TV Mount Included - Value is required", ""), ""))))</f>
        <v/>
      </c>
      <c r="CM8" s="22">
        <f t="array" ref="CM8">_xlfn.MAP('6 - TV Stands &amp; Enterta'!B8:B507, '6 - TV Stands &amp; Enterta'!CM8:CM507, _xlfn.LAMBDA(_xlpm.part, _xlpm.val, IF(_xlpm.part = "", "", IF(AND(_xlpm.val = "", CM$3="Required"), IF(OR('6 - TV Stands &amp; Enterta'!CM$7 = "", '6 - TV Stands &amp; Enterta'!CM$7 = "N/A"), "3:Adjustable Height - Value is required", ""), ""))))</f>
        <v/>
      </c>
      <c r="CN8" s="22">
        <f t="array" ref="CN8">_xlfn.MAP('6 - TV Stands &amp; Enterta'!B8:B507, '6 - TV Stands &amp; Enterta'!CN8:CN507, _xlfn.LAMBDA(_xlpm.part, _xlpm.val, IF(_xlpm.part = "", "", _xlfn.LET(_xlpm.check1, IF(NOT(ISBLANK(_xlpm.val)),_xlfn.LET(_xlpm.items, _xlfn.TEXTSPLIT(_xlpm.val, ";"),_xlpm.trimmed, _xlfn.MAP(_xlpm.items, _xlfn.LAMBDA(_xlpm.x, TRIM(_xlpm.x))),_xlpm.invalid, _xlfn._xlws.FILTER(_xlpm.trimmed, ISNA(MATCH(_xlpm.trimmed, allowed227966, 0)), ""),IF(AND(_xlpm.invalid&lt;&gt;"", COUNTA(_xlpm.invalid)&gt;0),"1:Please select valid values from the provided list. Answers are case-sensitive and must be separated by a semicolon.","")), ""), IF(LEN(_xlpm.check1) &gt; 0, _xlpm.check1, IF(AND(_xlpm.val = "", CN$3="Required"), IF(OR('6 - TV Stands &amp; Enterta'!CN$7 = "", '6 - TV Stands &amp; Enterta'!CN$7 = "N/A"), "3:Supplier Intended and Approved Use - Value is required", ""), ""))))))</f>
        <v/>
      </c>
      <c r="CO8" s="22">
        <f t="array" ref="CO8">_xlfn.MAP('6 - TV Stands &amp; Enterta'!B8:B507, '6 - TV Stands &amp; Enterta'!CO8:CO507, _xlfn.LAMBDA(_xlpm.part, _xlpm.val, IF(_xlpm.part = "", "", IF(AND(_xlpm.val = "", CO$3="Required"), IF(OR('6 - TV Stands &amp; Enterta'!CO$7 = "", '6 - TV Stands &amp; Enterta'!CO$7 = "N/A"), "3:Country of Origin - Additional Details - Value is required", ""), ""))))</f>
        <v/>
      </c>
      <c r="CP8" s="22">
        <f t="array" ref="CP8">_xlfn.MAP('6 - TV Stands &amp; Enterta'!B8:B507, '6 - TV Stands &amp; Enterta'!CP8:CP507, '6 - TV Stands &amp; Enterta'!BY8:BY507, _xlfn.LAMBDA(_xlpm.part, _xlpm.val, _xlpm.dep1, IF(_xlpm.part = "", "", _xlfn.LET(_xlpm.check1, IF(AND(_xlpm.val = "", AND(NOT(ISNUMBER(SEARCH("Teak", _xlpm.dep1))), _xlpm.dep1 &lt;&gt; "")), "2:Autofill", ""), IF(LEN(_xlpm.check1) &gt; 0, _xlpm.check1, IF(AND(_xlpm.val = "", CP$3="Required"), IF(OR('6 - TV Stands &amp; Enterta'!CP$7 = "", '6 - TV Stands &amp; Enterta'!CP$7 = "N/A"), "3:Main Wood Joinery Method - Value is required", ""), ""))))))</f>
        <v/>
      </c>
      <c r="CQ8" s="22">
        <f t="array" ref="CQ8">_xlfn.MAP('6 - TV Stands &amp; Enterta'!B8:B507, '6 - TV Stands &amp; Enterta'!CQ8:CQ507, _xlfn.LAMBDA(_xlpm.part, _xlpm.val, IF(_xlpm.part = "", "", IF(AND(_xlpm.val = "", CQ$3="Required"), IF(OR('6 - TV Stands &amp; Enterta'!CQ$7 = "", '6 - TV Stands &amp; Enterta'!CQ$7 = "N/A"), "3:Kiln-Dried Wood - Value is required", ""), ""))))</f>
        <v/>
      </c>
      <c r="CR8" s="22">
        <f t="array" ref="CR8">_xlfn.MAP('6 - TV Stands &amp; Enterta'!B8:B507, '6 - TV Stands &amp; Enterta'!CR8:CR507, _xlfn.LAMBDA(_xlpm.part, _xlpm.val, IF(_xlpm.part = "", "", _xlfn.LET(_xlpm.check1, IF(NOT(ISBLANK(_xlpm.val)),_xlfn.LET(_xlpm.items, _xlfn.TEXTSPLIT(_xlpm.val, ";"),_xlpm.trimmed, _xlfn.MAP(_xlpm.items, _xlfn.LAMBDA(_xlpm.x, TRIM(_xlpm.x))),_xlpm.invalid, _xlfn._xlws.FILTER(_xlpm.trimmed, ISNA(MATCH(_xlpm.trimmed, allowed185254, 0)), ""),IF(AND(_xlpm.invalid&lt;&gt;"", COUNTA(_xlpm.invalid)&gt;0),"1:Please select valid values from the provided list. Answers are case-sensitive and must be separated by a semicolon.","")), ""), IF(LEN(_xlpm.check1) &gt; 0, _xlpm.check1, IF(AND(_xlpm.val = "", CR$3="Required"), IF(OR('6 - TV Stands &amp; Enterta'!CR$7 = "", '6 - TV Stands &amp; Enterta'!CR$7 = "N/A"), "3:Wood Species - Value is required", ""), ""))))))</f>
        <v/>
      </c>
      <c r="CS8" s="22">
        <f t="array" ref="CS8">_xlfn.MAP('6 - TV Stands &amp; Enterta'!B8:B507, '6 - TV Stands &amp; Enterta'!CS8:CS507, _xlfn.LAMBDA(_xlpm.part, _xlpm.val, IF(_xlpm.part = "", "", IF(AND(_xlpm.val = "", CS$3="Required"), IF(OR('6 - TV Stands &amp; Enterta'!CS$7 = "", '6 - TV Stands &amp; Enterta'!CS$7 = "N/A"), "3:Battery or Batteries Included - Value is required", ""), ""))))</f>
        <v/>
      </c>
      <c r="CT8" s="22">
        <f t="array" ref="CT8">_xlfn.MAP('6 - TV Stands &amp; Enterta'!B8:B507, '6 - TV Stands &amp; Enterta'!CT8:CT507, '6 - TV Stands &amp; Enterta'!CS8:CS507,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Enterta'!CT$7 = "", '6 - TV Stands &amp; Enterta'!CT$7 = "N/A"), "3:Since Battery or Batteries Included equals 'Yes', this field is required", ""), ""), ""), IF(LEN(_xlpm.check3) &gt; 0, _xlpm.check3, IF(AND(_xlpm.val = "", CT$3="Required"), IF(OR('6 - TV Stands &amp; Enterta'!CT$7 = "", '6 - TV Stands &amp; Enterta'!CT$7 = "N/A"), "3:Battery Composition - Value is required", ""), ""))))))))))</f>
        <v/>
      </c>
      <c r="CU8" s="22">
        <f t="array" ref="CU8">_xlfn.MAP('6 - TV Stands &amp; Enterta'!B8:B507, '6 - TV Stands &amp; Enterta'!CU8:CU507, '6 - TV Stands &amp; Enterta'!CS8:CS507,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Enterta'!CU$7 = "", '6 - TV Stands &amp; Enterta'!CU$7 = "N/A"), "3:Since Battery or Batteries Included equals 'Yes', this field is required", ""), ""), ""), IF(LEN(_xlpm.check3) &gt; 0, _xlpm.check3, IF(AND(_xlpm.val = "", CU$3="Required"), IF(OR('6 - TV Stands &amp; Enterta'!CU$7 = "", '6 - TV Stands &amp; Enterta'!CU$7 = "N/A"), "3:Battery Type - Value is required", ""), ""))))))))))</f>
        <v/>
      </c>
      <c r="CV8" s="22">
        <f t="array" ref="CV8">_xlfn.MAP('6 - TV Stands &amp; Enterta'!B8:B507, '6 - TV Stands &amp; Enterta'!CV8:CV507, '6 - TV Stands &amp; Enterta'!CS8:CS507,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Enterta'!CV$7 = "", '6 - TV Stands &amp; Enterta'!CV$7 = "N/A"), "3:Since Battery or Batteries Included equals 'Yes', this field is required", ""), ""), ""), IF(LEN(_xlpm.check3) &gt; 0, _xlpm.check3, IF(AND(_xlpm.val = "", CV$3="Required"), IF(OR('6 - TV Stands &amp; Enterta'!CV$7 = "", '6 - TV Stands &amp; Enterta'!CV$7 = "N/A"), "3:Number of Batteries - Value is required", ""), ""))))))))))</f>
        <v/>
      </c>
      <c r="CW8" s="22">
        <f t="array" ref="CW8">_xlfn.MAP('6 - TV Stands &amp; Enterta'!B8:B507, '6 - TV Stands &amp; Enterta'!CW8:CW507, '6 - TV Stands &amp; Enterta'!CS8:CS507, '6 - TV Stands &amp; Enterta'!CT8:CT507, _xlfn.LAMBDA(_xlpm.part, _xlpm.val, _xlpm.dep1, _xlpm.dep2, IF(_xlpm.part = "", "",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Enterta'!CW$7 = "", '6 - TV Stands &amp; Enterta'!CW$7 = "N/A"), "3:Since Battery or Batteries Included equals 'Yes', this field is required", ""), ""), ""), IF(LEN(_xlpm.check4) &gt; 0, _xlpm.check4, IF(AND(_xlpm.val = "", CW$3="Required"), IF(OR('6 - TV Stands &amp; Enterta'!CW$7 = "", '6 - TV Stands &amp; Enterta'!CW$7 = "N/A"), "3:Battery Shipment - Value is required", ""), ""))))))))))))</f>
        <v/>
      </c>
      <c r="CX8" s="22">
        <f t="array" ref="CX8">_xlfn.MAP('6 - TV Stands &amp; Enterta'!B8:B507, '6 - TV Stands &amp; Enterta'!CX8:CX507, '6 - TV Stands &amp; Enterta'!CS8:CS507, '6 - TV Stands &amp; Enterta'!CT8:CT507, _xlfn.LAMBDA(_xlpm.part, _xlpm.val, _xlpm.dep1, _xlpm.dep2, IF(_xlpm.part = "", "", _xlfn.LET(_xlpm.check1, IF(AND(_xlpm.val = "", OR(_xlpm.dep1 = "No", _xlpm.dep2 = "Lithium Ion / Lithium Polymer",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Ion / Lithium Polymer",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IF(_xlpm.dep1 = "Yes", IF(_xlpm.val = "", IF(OR('6 - TV Stands &amp; Enterta'!CX$7 = "", '6 - TV Stands &amp; Enterta'!CX$7 = "N/A"), "3:Since Battery or Batteries Included equals 'Yes', this field is required", ""), ""), ""), IF(LEN(_xlpm.check5) &gt; 0, _xlpm.check5, IF(AND(_xlpm.val = "", CX$3="Required"), IF(OR('6 - TV Stands &amp; Enterta'!CX$7 = "", '6 - TV Stands &amp; Enterta'!CX$7 = "N/A"), "3:Lithium Content - Value is required", ""), ""))))))))))))))</f>
        <v/>
      </c>
      <c r="CY8" s="22">
        <f t="array" ref="CY8">_xlfn.MAP('6 - TV Stands &amp; Enterta'!B8:B507, '6 - TV Stands &amp; Enterta'!CY8:CY507, '6 - TV Stands &amp; Enterta'!CS8:CS507, '6 - TV Stands &amp; Enterta'!CU8:CU507, '6 - TV Stands &amp; Enterta'!CT8:CT507, _xlfn.LAMBDA(_xlpm.part, _xlpm.val, _xlpm.dep1, _xlpm.dep2, _xlpm.dep3, IF(_xlpm.part = "", "", _xlfn.LET(_xlpm.check1, IF(AND(_xlpm.val = "", OR(_xlpm.dep1 = "No", _xlpm.dep3 = "Lithium Metal", AND(NOT(OR(ISNUMBER(SEARCH("Lithium Metal", _xlpm.dep3)), ISNUMBER(SEARCH("Lithium Ion / Lithium Polymer", _xlpm.dep3)))), _xlpm.dep3 &lt;&gt; ""))), "2:Autofill", ""), IF(LEN(_xlpm.check1) &gt; 0, _xlpm.check1, _xlfn.LET(_xlpm.check2, IF(_xlpm.dep1 = "No", IF(_xlpm.val &lt;&gt; "Does Not Apply", "1:Since Battery or Batteries Included equals 'No', this value should be 'Does Not Apply'", ""), ""), IF(LEN(_xlpm.check2) &gt; 0, _xlpm.check2, _xlfn.LET(_xlpm.check3, IF(OR(ISNUMBER(SEARCH("Cell", _xlpm.dep2)), ISNUMBER(SEARCH("Button Cell", _xlpm.dep2))), IF(OR(_xlpm.val = "Batteries exceeding 300w/h", _xlpm.val = "Batteries of between 100w/h and 300 w/h", _xlpm.val = "Batteries of 100w/h or less"), "1:Based on Battery Type, value should not be Batteries exceeding 300w/h, Batteries of between 100w/h and 300 w/h, Batteries of 100w/h or less", ""), ""), IF(LEN(_xlpm.check3) &gt; 0, _xlpm.check3, _xlfn.LET(_xlpm.check4, IF(ISNUMBER(SEARCH("Battery", _xlpm.dep2)), IF(OR(_xlpm.val = "Cells of between 20w/h and 60w/h", _xlpm.val = "Cells exceeding 60w/h", _xlpm.val = "Cells of 20w/h or less"), "1:Based on Battery Type, value should not be Cells of between 20w/h and 60w/h, Cells exceeding 60w/h, Cells of 20w/h or less", ""), ""), IF(LEN(_xlpm.check4) &gt; 0, _xlpm.check4, _xlfn.LET(_xlpm.check5, IF(_xlpm.dep3 = "Lithium Metal", IF(_xlpm.val &lt;&gt; "Does Not Apply", "1:Based on Battery Composition, value should be Does Not Apply", ""), ""), IF(LEN(_xlpm.check5) &gt; 0, _xlpm.check5, _xlfn.LET(_xlpm.check6, IF(AND(NOT(OR(ISNUMBER(SEARCH("Lithium Metal", _xlpm.dep3)), ISNUMBER(SEARCH("Lithium Ion / Lithium Polymer", _xlpm.dep3)))), _xlpm.dep3 &lt;&gt; ""), IF(_xlpm.val &lt;&gt; "Does Not Apply", "1:Based on Battery Composition, value should be Does Not Apply", ""), ""), IF(LEN(_xlpm.check6) &gt; 0, _xlpm.check6, _xlfn.LET(_xlpm.check7, IF(_xlpm.dep1 = "Yes", IF(_xlpm.val = "", IF(OR('6 - TV Stands &amp; Enterta'!CY$7 = "", '6 - TV Stands &amp; Enterta'!CY$7 = "N/A"), "3:Since Battery or Batteries Included equals 'Yes', this field is required", ""), ""), ""), IF(LEN(_xlpm.check7) &gt; 0, _xlpm.check7, IF(AND(_xlpm.val = "", CY$3="Required"), IF(OR('6 - TV Stands &amp; Enterta'!CY$7 = "", '6 - TV Stands &amp; Enterta'!CY$7 = "N/A"), "3:Watt Rating of Cells / Battery - Value is required", ""), ""))))))))))))))))))</f>
        <v/>
      </c>
      <c r="CZ8" s="22">
        <f t="array" ref="CZ8">_xlfn.MAP('6 - TV Stands &amp; Enterta'!B8:B507, '6 - TV Stands &amp; Enterta'!CZ8:CZ507, '6 - TV Stands &amp; Enterta'!CS8:CS507, '6 - TV Stands &amp; Enterta'!CT8:CT507, _xlfn.LAMBDA(_xlpm.part, _xlpm.val, _xlpm.dep1, _xlpm.dep2, IF(_xlpm.part = "", "",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Enterta'!CZ$7 = "", '6 - TV Stands &amp; Enterta'!CZ$7 = "N/A"), "3:Since Battery or Batteries Included equals 'Yes', this field is required", ""), ""), ""), IF(LEN(_xlpm.check4) &gt; 0, _xlpm.check4, IF(AND(_xlpm.val = "", CZ$3="Required"), IF(OR('6 - TV Stands &amp; Enterta'!CZ$7 = "", '6 - TV Stands &amp; Enterta'!CZ$7 = "N/A"), "3:Weight of Cells / Battery - Value is required", ""), ""))))))))))))</f>
        <v/>
      </c>
      <c r="DA8" s="22">
        <f t="array" ref="DA8">_xlfn.MAP('6 - TV Stands &amp; Enterta'!B8:B507, '6 - TV Stands &amp; Enterta'!DA8:DA507, '6 - TV Stands &amp; Enterta'!CI8:CI507, _xlfn.LAMBDA(_xlpm.part, _xlpm.val, _xlpm.dep1, IF(_xlpm.part = "", "", _xlfn.LET(_xlpm.check1, IF(AND(_xlpm.val = "", ISNUMBER(SEARCH("No", _xlpm.dep1))), "2:Autofill", ""), IF(LEN(_xlpm.check1) &gt; 0, _xlpm.check1, IF(AND(_xlpm.val = "", DA$3="Required"), IF(OR('6 - TV Stands &amp; Enterta'!DA$7 = "", '6 - TV Stands &amp; Enterta'!DA$7 = "N/A"), "3:Adjustable Temperature - Value is required", ""), ""))))))</f>
        <v/>
      </c>
      <c r="DB8" s="22">
        <f t="array" ref="DB8">_xlfn.MAP('6 - TV Stands &amp; Enterta'!B8:B507, '6 - TV Stands &amp; Enterta'!DB8:DB507, '6 - TV Stands &amp; Enterta'!CI8:CI507, _xlfn.LAMBDA(_xlpm.part, _xlpm.val, _xlpm.dep1, IF(_xlpm.part = "", "", _xlfn.LET(_xlpm.check1, IF(AND(_xlpm.val = "", ISNUMBER(SEARCH("No", _xlpm.dep1))), "2:Autofill", ""), IF(LEN(_xlpm.check1) &gt; 0, _xlpm.check1, IF(AND(_xlpm.val = "", DB$3="Required"), IF(OR('6 - TV Stands &amp; Enterta'!DB$7 = "", '6 - TV Stands &amp; Enterta'!DB$7 = "N/A"), "3:Adjustable Flame - Value is required", ""), ""))))))</f>
        <v/>
      </c>
      <c r="DC8" s="22">
        <f t="array" ref="DC8">_xlfn.MAP('6 - TV Stands &amp; Enterta'!B8:B507, '6 - TV Stands &amp; Enterta'!DC8:DC507, _xlfn.LAMBDA(_xlpm.part, _xlpm.val, IF(_xlpm.part = "", "", IF(AND(_xlpm.val = "", DC$3="Required"), IF(OR('6 - TV Stands &amp; Enterta'!DC$7 = "", '6 - TV Stands &amp; Enterta'!DC$7 = "N/A"), "3:Weight Capacity - Value is required", ""), ""))))</f>
        <v/>
      </c>
      <c r="DD8" s="22">
        <f t="array" ref="DD8">_xlfn.MAP('6 - TV Stands &amp; Enterta'!B8:B507, '6 - TV Stands &amp; Enterta'!DD8:DD507, _xlfn.LAMBDA(_xlpm.part, _xlpm.val, IF(_xlpm.part = "", "", IF(AND(_xlpm.val = "", DD$3="Required"), IF(OR('6 - TV Stands &amp; Enterta'!DD$7 = "", '6 - TV Stands &amp; Enterta'!DD$7 = "N/A"), "3:Product Care - Value is required", ""), ""))))</f>
        <v/>
      </c>
      <c r="DE8" s="22">
        <f t="array" ref="DE8">_xlfn.MAP('6 - TV Stands &amp; Enterta'!B8:B507, '6 - TV Stands &amp; Enterta'!DE8:DE507, _xlfn.LAMBDA(_xlpm.part, _xlpm.val, IF(_xlpm.part = "", "", IF(AND(_xlpm.val = "", DE$3="Required"), IF(OR('6 - TV Stands &amp; Enterta'!DE$7 = "", '6 - TV Stands &amp; Enterta'!DE$7 = "N/A"), "3:Unfinished - Value is required", ""), ""))))</f>
        <v/>
      </c>
      <c r="DF8" s="22">
        <f t="array" ref="DF8">_xlfn.MAP('6 - TV Stands &amp; Enterta'!B8:B507, '6 - TV Stands &amp; Enterta'!DF8:DF507, '6 - TV Stands &amp; Enterta'!BT8:BT507, _xlfn.LAMBDA(_xlpm.part, _xlpm.val, _xlpm.dep1, IF(_xlpm.part = "", "", _xlfn.LET(_xlpm.check1, IF(AND(_xlpm.val = "", _xlpm.dep1 = "No"), "2:Autofill", ""), IF(LEN(_xlpm.check1) &gt; 0, _xlpm.check1, _xlfn.LET(_xlpm.check2, IF(_xlpm.dep1 = "No", IF(_xlpm.val &lt;&gt; "Does Not Apply", "1:Based on Shelves Included, value should be Does Not Apply", ""), ""), IF(LEN(_xlpm.check2) &gt; 0, _xlpm.check2, IF(AND(_xlpm.val = "", DF$3="Required"), IF(OR('6 - TV Stands &amp; Enterta'!DF$7 = "", '6 - TV Stands &amp; Enterta'!DF$7 = "N/A"), "3:Shelf Material - Value is required", ""), ""))))))))</f>
        <v/>
      </c>
      <c r="DG8" s="22">
        <f t="array" ref="DG8">_xlfn.MAP('6 - TV Stands &amp; Enterta'!B8:B507, '6 - TV Stands &amp; Enterta'!DG8:DG507, _xlfn.LAMBDA(_xlpm.part, _xlpm.val, IF(_xlpm.part = "", "", IF(AND(_xlpm.val = "", DG$3="Required"), IF(OR('6 - TV Stands &amp; Enterta'!DG$7 = "", '6 - TV Stands &amp; Enterta'!DG$7 = "N/A"), "3:Color / Finish - Value is required", ""), ""))))</f>
        <v/>
      </c>
      <c r="DH8" s="22">
        <f t="array" ref="DH8">_xlfn.MAP('6 - TV Stands &amp; Enterta'!B8:B507, '6 - TV Stands &amp; Enterta'!DH8:DH507, '6 - TV Stands &amp; Enterta'!BQ8:BQ507, _xlfn.LAMBDA(_xlpm.part, _xlpm.val, _xlpm.dep1, IF(_xlpm.part = "", "", _xlfn.LET(_xlpm.check1, IF(AND(_xlpm.val = "", _xlpm.dep1 = "No"), "2:Autofill", ""), IF(LEN(_xlpm.check1) &gt; 0, _xlpm.check1, IF(AND(_xlpm.val = "", DH$3="Required"), IF(OR('6 - TV Stands &amp; Enterta'!DH$7 = "", '6 - TV Stands &amp; Enterta'!DH$7 = "N/A"), "3:Drawer Glide Type &amp; Extension - Value is required", ""), ""))))))</f>
        <v/>
      </c>
      <c r="DI8" s="22">
        <f t="array" ref="DI8">_xlfn.MAP('6 - TV Stands &amp; Enterta'!B8:B507, '6 - TV Stands &amp; Enterta'!DI8:DI507, _xlfn.LAMBDA(_xlpm.part, _xlpm.val, IF(_xlpm.part = "", "", IF(AND(_xlpm.val = "", DI$3="Required"), IF(OR('6 - TV Stands &amp; Enterta'!DI$7 = "", '6 - TV Stands &amp; Enterta'!DI$7 = "N/A"), "3:Vent Type - Value is required", ""), ""))))</f>
        <v/>
      </c>
      <c r="DJ8" s="22">
        <f t="array" ref="DJ8">_xlfn.MAP('6 - TV Stands &amp; Enterta'!B8:B507, '6 - TV Stands &amp; Enterta'!DJ8:DJ507, '6 - TV Stands &amp; Enterta'!CI8:CI507, _xlfn.LAMBDA(_xlpm.part, _xlpm.val, _xlpm.dep1, IF(_xlpm.part = "", "", _xlfn.LET(_xlpm.check1, IF(AND(_xlpm.val = "", ISNUMBER(SEARCH("No", _xlpm.dep1))), "2:Autofill", ""), IF(LEN(_xlpm.check1) &gt; 0, _xlpm.check1, _xlfn.LET(_xlpm.check2, IF(NOT(ISBLANK(_xlpm.val)),_xlfn.LET(_xlpm.items, _xlfn.TEXTSPLIT(_xlpm.val, ";"),_xlpm.trimmed, _xlfn.MAP(_xlpm.items, _xlfn.LAMBDA(_xlpm.x, TRIM(_xlpm.x))),_xlpm.invalid, _xlfn._xlws.FILTER(_xlpm.trimmed, ISNA(MATCH(_xlpm.trimmed, allowed220265, 0)), ""),IF(AND(_xlpm.invalid&lt;&gt;"", COUNTA(_xlpm.invalid)&gt;0),"1:Please select valid values from the provided list. Answers are case-sensitive and must be separated by a semicolon.","")), ""), IF(LEN(_xlpm.check2) &gt; 0, _xlpm.check2, _xlfn.LET(_xlpm.check3, IF(ISNUMBER(SEARCH("No", _xlpm.dep1)), IF(_xlpm.val &lt;&gt; "Does Not Apply", "1:Based on Fireplace Included, value should be Does Not Apply", ""), ""), IF(LEN(_xlpm.check3) &gt; 0, _xlpm.check3, IF(AND(_xlpm.val = "", DJ$3="Required"), IF(OR('6 - TV Stands &amp; Enterta'!DJ$7 = "", '6 - TV Stands &amp; Enterta'!DJ$7 = "N/A"), "3:Fuel Type - Value is required", ""), ""))))))))))</f>
        <v/>
      </c>
      <c r="DK8" s="22">
        <f t="array" ref="DK8">_xlfn.MAP('6 - TV Stands &amp; Enterta'!B8:B507, '6 - TV Stands &amp; Enterta'!DK8:DK507, _xlfn.LAMBDA(_xlpm.part, _xlpm.val, IF(_xlpm.part = "", "", IF(AND(_xlpm.val = "", DK$3="Required"), IF(OR('6 - TV Stands &amp; Enterta'!DK$7 = "", '6 - TV Stands &amp; Enterta'!DK$7 = "N/A"), "3:Door Design - Value is required", ""), ""))))</f>
        <v/>
      </c>
      <c r="DL8" s="22">
        <f t="array" ref="DL8">_xlfn.MAP('6 - TV Stands &amp; Enterta'!B8:B507, '6 - TV Stands &amp; Enterta'!DL8:DL507, _xlfn.LAMBDA(_xlpm.part, _xlpm.val, IF(_xlpm.part = "", "", IF(AND(_xlpm.val = "", DL$3="Required"), IF(OR('6 - TV Stands &amp; Enterta'!DL$7 = "", '6 - TV Stands &amp; Enterta'!DL$7 = "N/A"), "3:Ribbed Detailing - Value is required", ""), ""))))</f>
        <v/>
      </c>
      <c r="DM8" s="22">
        <f t="array" ref="DM8">_xlfn.MAP('6 - TV Stands &amp; Enterta'!B8:B507, '6 - TV Stands &amp; Enterta'!DM8:DM507, _xlfn.LAMBDA(_xlpm.part, _xlpm.val, IF(_xlpm.part = "", "", IF(AND(_xlpm.val = "", DM$3="Required"), IF(OR('6 - TV Stands &amp; Enterta'!DM$7 = "", '6 - TV Stands &amp; Enterta'!DM$7 = "N/A"), "3:Fluted Detailing - Value is required", ""), ""))))</f>
        <v/>
      </c>
      <c r="DN8" s="22">
        <f t="array" ref="DN8">_xlfn.MAP('6 - TV Stands &amp; Enterta'!B8:B507, '6 - TV Stands &amp; Enterta'!DN8:DN507, _xlfn.LAMBDA(_xlpm.part, _xlpm.val, IF(_xlpm.part = "", "", _xlfn.LET(_xlpm.check1, IF(NOT(ISBLANK(_xlpm.val)),_xlfn.LET(_xlpm.items, _xlfn.TEXTSPLIT(_xlpm.val, ";"),_xlpm.trimmed, _xlfn.MAP(_xlpm.items, _xlfn.LAMBDA(_xlpm.x, TRIM(_xlpm.x))),_xlpm.invalid, _xlfn._xlws.FILTER(_xlpm.trimmed, ISNA(MATCH(_xlpm.trimmed, allowed420139, 0)), ""),IF(AND(_xlpm.invalid&lt;&gt;"", COUNTA(_xlpm.invalid)&gt;0),"1:Please select valid values from the provided list. Answers are case-sensitive and must be separated by a semicolon.","")), ""), IF(LEN(_xlpm.check1) &gt; 0, _xlpm.check1, IF(AND(_xlpm.val = "", DN$3="Required"), IF(OR('6 - TV Stands &amp; Enterta'!DN$7 = "", '6 - TV Stands &amp; Enterta'!DN$7 = "N/A"), "3:Pieces Included - Value is required", ""), ""))))))</f>
        <v/>
      </c>
      <c r="DO8" s="22">
        <f t="array" ref="DO8">_xlfn.MAP('6 - TV Stands &amp; Enterta'!B8:B507, '6 - TV Stands &amp; Enterta'!DO8:DO507, '6 - TV Stands &amp; Enterta'!BS8:BS507, _xlfn.LAMBDA(_xlpm.part, _xlpm.val, _xlpm.dep1, IF(_xlpm.part = "", "", _xlfn.LET(_xlpm.check1, IF(AND(_xlpm.val = "", _xlpm.dep1 = "No"), "2:Autofill", ""), IF(LEN(_xlpm.check1) &gt; 0, _xlpm.check1, _xlfn.LET(_xlpm.check2, IF(_xlpm.dep1 = "No", IF(_xlpm.val &lt;&gt; "Does Not Apply", "1:Based on Cabinets Included, value should be Does Not Apply", ""), ""), IF(LEN(_xlpm.check2) &gt; 0, _xlpm.check2, IF(AND(_xlpm.val = "", DO$3="Required"), IF(OR('6 - TV Stands &amp; Enterta'!DO$7 = "", '6 - TV Stands &amp; Enterta'!DO$7 = "N/A"), "3:Number of Cabinets - Value is required", ""), ""))))))))</f>
        <v/>
      </c>
      <c r="DP8" s="22">
        <f t="array" ref="DP8">_xlfn.MAP('6 - TV Stands &amp; Enterta'!B8:B507, '6 - TV Stands &amp; Enterta'!DP8:DP507, _xlfn.LAMBDA(_xlpm.part, _xlpm.val, IF(_xlpm.part = "", "", IF(AND(_xlpm.val = "", DP$3="Required"), IF(OR('6 - TV Stands &amp; Enterta'!DP$7 = "", '6 - TV Stands &amp; Enterta'!DP$7 = "N/A"), "3:Drawer Safety Stop - Value is required", ""), ""))))</f>
        <v/>
      </c>
      <c r="DQ8" s="22">
        <f t="array" ref="DQ8">_xlfn.MAP('6 - TV Stands &amp; Enterta'!B8:B507, '6 - TV Stands &amp; Enterta'!DQ8:DQ507, _xlfn.LAMBDA(_xlpm.part, _xlpm.val, IF(_xlpm.part = "", "", IF(AND(_xlpm.val = "", DQ$3="Required"), IF(OR('6 - TV Stands &amp; Enterta'!DQ$7 = "", '6 - TV Stands &amp; Enterta'!DQ$7 = "N/A"), "3:Fireplace Type - Value is required", ""), ""))))</f>
        <v/>
      </c>
      <c r="DR8" s="22">
        <f t="array" ref="DR8">_xlfn.MAP('6 - TV Stands &amp; Enterta'!B8:B507, '6 - TV Stands &amp; Enterta'!DR8:DR507, _xlfn.LAMBDA(_xlpm.part, _xlpm.val, IF(_xlpm.part = "", "", IF(AND(_xlpm.val = "", DR$3="Required"), IF(OR('6 - TV Stands &amp; Enterta'!DR$7 = "", '6 - TV Stands &amp; Enterta'!DR$7 = "N/A"), "3:General Certificate of Conformity (GCC) - Value is required", ""), ""))))</f>
        <v/>
      </c>
      <c r="DS8" s="22">
        <f t="array" ref="DS8">_xlfn.MAP('6 - TV Stands &amp; Enterta'!B8:B507, '6 - TV Stands &amp; Enterta'!DS8:DS507, _xlfn.LAMBDA(_xlpm.part, _xlpm.val, IF(_xlpm.part = "", "", IF(AND(_xlpm.val = "", DS$3="Required"), IF(OR('6 - TV Stands &amp; Enterta'!DS$7 = "", '6 - TV Stands &amp; Enterta'!DS$7 = "N/A"), "3:Composite Wood Product (CWP) - Value is required", ""), ""))))</f>
        <v/>
      </c>
      <c r="DT8" s="22">
        <f t="array" ref="DT8">_xlfn.MAP('6 - TV Stands &amp; Enterta'!B8:B507, '6 - TV Stands &amp; Enterta'!DT8:DT507, '6 - TV Stands &amp; Enterta'!DS8:DS507,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Enterta'!DT$7 = "", '6 - TV Stands &amp; Enterta'!DT$7 = "N/A"), "3:Since Composite Wood Product (CWP) equals 'Yes', this field is required", ""), ""), ""), IF(LEN(_xlpm.check4) &gt; 0, _xlpm.check4, IF(AND(_xlpm.val = "", DT$3="Required"), IF(OR('6 - TV Stands &amp; Enterta'!DT$7 = "", '6 - TV Stands &amp; Enterta'!DT$7 = "N/A"), "3:CARB Phase II Compliant (formaldehyde emissions) - Value is required", ""), ""))))))))))))</f>
        <v/>
      </c>
      <c r="DU8" s="22">
        <f t="array" ref="DU8">_xlfn.MAP('6 - TV Stands &amp; Enterta'!B8:B507, '6 - TV Stands &amp; Enterta'!DU8:DU507, '6 - TV Stands &amp; Enterta'!DS8:DS507,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Enterta'!DU$7 = "", '6 - TV Stands &amp; Enterta'!DU$7 = "N/A"), "3:Since Composite Wood Product (CWP) equals 'Yes', this field is required", ""), ""), ""), IF(LEN(_xlpm.check4) &gt; 0, _xlpm.check4, IF(AND(_xlpm.val = "", DU$3="Required"), IF(OR('6 - TV Stands &amp; Enterta'!DU$7 = "", '6 - TV Stands &amp; Enterta'!DU$7 = "N/A"), "3:TSCA Title VI Compliant (formaldehyde emissions) - Value is required", ""), ""))))))))))))</f>
        <v/>
      </c>
      <c r="DV8" s="22">
        <f t="array" ref="DV8">_xlfn.MAP('6 - TV Stands &amp; Enterta'!B8:B507, '6 - TV Stands &amp; Enterta'!DV8:DV507, '6 - TV Stands &amp; Enterta'!DS8:DS507,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Enterta'!DV$7 = "", '6 - TV Stands &amp; Enterta'!DV$7 = "N/A"), "3:Since Composite Wood Product (CWP) equals 'Yes', this field is required", ""), ""), ""), IF(LEN(_xlpm.check4) &gt; 0, _xlpm.check4, IF(AND(_xlpm.val = "", DV$3="Required"), IF(OR('6 - TV Stands &amp; Enterta'!DV$7 = "", '6 - TV Stands &amp; Enterta'!DV$7 = "N/A"), "3:CANFER Compliant - Value is required", ""), ""))))))))))))</f>
        <v/>
      </c>
      <c r="DW8" s="22">
        <f t="array" ref="DW8">_xlfn.MAP('6 - TV Stands &amp; Enterta'!B8:B507, '6 - TV Stands &amp; Enterta'!DW8:DW507, _xlfn.LAMBDA(_xlpm.part, _xlpm.val, IF(_xlpm.part = "", "", IF(AND(_xlpm.val = "", DW$3="Required"), IF(OR('6 - TV Stands &amp; Enterta'!DW$7 = "", '6 - TV Stands &amp; Enterta'!DW$7 = "N/A"), "3:Uniform Packaging and Labeling Regulations (UPLR) Compliant - Value is required", ""), ""))))</f>
        <v/>
      </c>
      <c r="DX8" s="22">
        <f t="array" ref="DX8">_xlfn.MAP('6 - TV Stands &amp; Enterta'!B8:B507, '6 - TV Stands &amp; Enterta'!DX8:DX507, _xlfn.LAMBDA(_xlpm.part, _xlpm.val, IF(_xlpm.part = "", "", IF(AND(_xlpm.val = "", DX$3="Required"), IF(OR('6 - TV Stands &amp; Enterta'!DX$7 = "", '6 - TV Stands &amp; Enterta'!DX$7 = "N/A"), "3:Canada Product Restriction - Value is required", ""), ""))))</f>
        <v/>
      </c>
      <c r="DY8" s="22">
        <f t="array" ref="DY8">_xlfn.MAP('6 - TV Stands &amp; Enterta'!B8:B507, '6 - TV Stands &amp; Enterta'!DY8:DY507, '6 - TV Stands &amp; Enterta'!DX8:DX507, _xlfn.LAMBDA(_xlpm.part, _xlpm.val, _xlpm.dep1, IF(_xlpm.part = "", "",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allowed251110, 0)), ""),IF(AND(_xlpm.invalid&lt;&gt;"", COUNTA(_xlpm.invalid)&gt;0),"1:Please select valid values from the provided list. Answers are case-sensitive and must be separated by a semicolon.","")), ""), IF(LEN(_xlpm.check3) &gt; 0, _xlpm.check3, _xlfn.LET(_xlpm.check4, IF(_xlpm.dep1 = "Yes", IF(_xlpm.val = "", IF(OR('6 - TV Stands &amp; Enterta'!DY$7 = "", '6 - TV Stands &amp; Enterta'!DY$7 = "N/A"), "3:Since Canada Product Restriction equals 'Yes', this field is required", ""), ""), ""), IF(LEN(_xlpm.check4) &gt; 0, _xlpm.check4, IF(AND(_xlpm.val = "", DY$3="Required"), IF(OR('6 - TV Stands &amp; Enterta'!DY$7 = "", '6 - TV Stands &amp; Enterta'!DY$7 = "N/A"), "3:Reason for Restriction - Value is required", ""), ""))))))))))))</f>
        <v/>
      </c>
      <c r="DZ8" s="22">
        <f t="array" ref="DZ8">_xlfn.MAP('6 - TV Stands &amp; Enterta'!B8:B507, '6 - TV Stands &amp; Enterta'!DZ8:DZ507, _xlfn.LAMBDA(_xlpm.part, _xlpm.val, IF(_xlpm.part = "", "", IF(AND(_xlpm.val = "", DZ$3="Required"), IF(OR('6 - TV Stands &amp; Enterta'!DZ$7 = "", '6 - TV Stands &amp; Enterta'!DZ$7 = "N/A"), "3:UL 1678 Listed - Value is required", ""), ""))))</f>
        <v/>
      </c>
      <c r="EA8" s="22">
        <f t="array" ref="EA8">_xlfn.MAP('6 - TV Stands &amp; Enterta'!B8:B507, '6 - TV Stands &amp; Enterta'!EA8:EA507, '6 - TV Stands &amp; Enterta'!CT8:CT507, _xlfn.LAMBDA(_xlpm.part, _xlpm.val, _xlpm.dep1, IF(_xlpm.part = "", "", _xlfn.LET(_xlpm.check1, IF(AND(_xlpm.val = "", OR(OR(ISNUMBER(SEARCH("Lead Acid (Spillable)", _xlpm.dep1)), ISNUMBER(SEARCH("Lead Acid (Non-Spillable)", _xlpm.dep1))), _xlpm.dep1 = "Lithium Metal", _xlpm.dep1 = "Lithium Ion / Lithium Polymer")), "2:Autofill", ""), IF(LEN(_xlpm.check1) &gt; 0, _xlpm.check1, _xlfn.LET(_xlpm.check2, IF(OR(ISNUMBER(SEARCH("Lead Acid (Spillable)", _xlpm.dep1)), ISNUMBER(SEARCH("Lead Acid (Non-Spillable)", _xlpm.dep1))), IF(_xlpm.val &lt;&gt; "Yes", "1:Based on Battery Composition, value should be Yes", ""), ""), IF(LEN(_xlpm.check2) &gt; 0, _xlpm.check2, _xlfn.LET(_xlpm.check3, IF(_xlpm.dep1 = "Lithium Metal", IF(_xlpm.val &lt;&gt; "Yes", "1:Based on Battery Composition, value should be Yes", ""), ""), IF(LEN(_xlpm.check3) &gt; 0, _xlpm.check3, _xlfn.LET(_xlpm.check4, IF(_xlpm.dep1 = "Lithium Ion / Lithium Polymer", IF(_xlpm.val &lt;&gt; "Yes", "1:Based on Battery Composition, value should be Yes", ""), ""), IF(LEN(_xlpm.check4) &gt; 0, _xlpm.check4, IF(AND(_xlpm.val = "", EA$3="Required"), IF(OR('6 - TV Stands &amp; Enterta'!EA$7 = "", '6 - TV Stands &amp; Enterta'!EA$7 = "N/A"), "3:Hazardous Material / Dangerous Goods - Value is required", ""), ""))))))))))))</f>
        <v/>
      </c>
      <c r="EB8" s="22">
        <f t="array" ref="EB8">_xlfn.MAP('6 - TV Stands &amp; Enterta'!B8:B507, '6 - TV Stands &amp; Enterta'!EB8:EB507, '6 - TV Stands &amp; Enterta'!EA8:EA507,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allowed373560, 0)), ""),IF(AND(_xlpm.invalid&lt;&gt;"", COUNTA(_xlpm.invalid)&gt;0),"1:Please select valid values from the provided list. Answers are case-sensitive and must be separated by a semicolon.","")), ""), IF(LEN(_xlpm.check3) &gt; 0, _xlpm.check3, _xlfn.LET(_xlpm.check4, IF(_xlpm.dep1 = "Yes", IF(_xlpm.val = "", IF(OR('6 - TV Stands &amp; Enterta'!EB$7 = "", '6 - TV Stands &amp; Enterta'!EB$7 = "N/A"), "3:Since Hazardous Material / Dangerous Goods equals 'Yes', this field is required", ""), ""), ""), IF(LEN(_xlpm.check4) &gt; 0, _xlpm.check4, IF(AND(_xlpm.val = "", EB$3="Required"), IF(OR('6 - TV Stands &amp; Enterta'!EB$7 = "", '6 - TV Stands &amp; Enterta'!EB$7 = "N/A"), "3:UN or ID number - Value is required", ""), ""))))))))))))</f>
        <v/>
      </c>
      <c r="EC8" s="22">
        <f t="array" ref="EC8">_xlfn.MAP('6 - TV Stands &amp; Enterta'!B8:B507, '6 - TV Stands &amp; Enterta'!EC8:EC507, '6 - TV Stands &amp; Enterta'!EA8:EA507, '6 - TV Stands &amp; Enterta'!EB8:EB507, _xlfn.LAMBDA(_xlpm.part, _xlpm.val, _xlpm.dep1, _xlpm.dep2, IF(_xlpm.part = "", "", _xlfn.LET(_xlpm.check1, IF(AND(_xlpm.val = "", OR(_xlpm.dep1 = "No", _xlpm.dep2 = "UN2800", _xlpm.dep2 = "ID8000", _xlpm.dep2 = "UN1013", _xlpm.dep2 = "UN3082", _xlpm.dep2 = "UN3077", _xlpm.dep2 = "UN2857", _xlpm.dep2 = "UN3358", _xlpm.dep2 = "UN1266", _xlpm.dep2 = "UN1993", _xlpm.dep2 = "UN1944", _xlpm.dep2 = "UN1070", _xlpm.dep2 = "UN1044", _xlpm.dep2 = "UN3163", _xlpm.dep2 = "UN1268", _xlpm.dep2 = "UN1760", _xlpm.dep2 = "UN1011", _xlpm.dep2 = "UN2794", _xlpm.dep2 = "UN1759",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"8", "1:Based on UN or ID number, value should be 8", ""), ""), IF(LEN(_xlpm.check3) &gt; 0, _xlpm.check3, _xlfn.LET(_xlpm.check4, IF(_xlpm.dep2 = "ID8000", IF(_xlpm.val &lt;&gt; "9", "1:Based on UN or ID number, value should be 9", ""), ""), IF(LEN(_xlpm.check4) &gt; 0, _xlpm.check4, _xlfn.LET(_xlpm.check5, IF(_xlpm.dep2 = "UN1013", IF(_xlpm.val &lt;&gt; "2.2", "1:Based on UN or ID number, value should be 2.2", ""), ""), IF(LEN(_xlpm.check5) &gt; 0, _xlpm.check5, _xlfn.LET(_xlpm.check6, IF(_xlpm.dep2 = "UN3082", IF(_xlpm.val &lt;&gt; "9", "1:Based on UN or ID number, value should be 9", ""), ""), IF(LEN(_xlpm.check6) &gt; 0, _xlpm.check6, _xlfn.LET(_xlpm.check7, IF(_xlpm.dep2 = "UN3077", IF(_xlpm.val &lt;&gt; "9", "1:Based on UN or ID number, value should be 9", ""), ""), IF(LEN(_xlpm.check7) &gt; 0, _xlpm.check7, _xlfn.LET(_xlpm.check8, IF(_xlpm.dep2 = "UN2857", IF(_xlpm.val &lt;&gt; "2.2", "1:Based on UN or ID number, value should be 2.2", ""), ""), IF(LEN(_xlpm.check8) &gt; 0, _xlpm.check8, _xlfn.LET(_xlpm.check9, IF(_xlpm.dep2 = "UN3358", IF(_xlpm.val &lt;&gt; "2.1", "1:Based on UN or ID number, value should be 2.1", ""), ""), IF(LEN(_xlpm.check9) &gt; 0, _xlpm.check9, _xlfn.LET(_xlpm.check10, IF(_xlpm.dep2 = "UN1266", IF(_xlpm.val &lt;&gt; "3", "1:Based on UN or ID number, value should be 3", ""), ""), IF(LEN(_xlpm.check10) &gt; 0, _xlpm.check10, _xlfn.LET(_xlpm.check11, IF(_xlpm.dep2 = "UN1993", IF(_xlpm.val &lt;&gt; "3", "1:Based on UN or ID number, value should be 3", ""), ""), IF(LEN(_xlpm.check11) &gt; 0, _xlpm.check11, _xlfn.LET(_xlpm.check12, IF(_xlpm.dep2 = "UN1944", IF(_xlpm.val &lt;&gt; "4.1", "1:Based on UN or ID number, value should be 4.1", ""), ""), IF(LEN(_xlpm.check12) &gt; 0, _xlpm.check12, _xlfn.LET(_xlpm.check13, IF(_xlpm.dep2 = "UN1070", IF(_xlpm.val &lt;&gt; "2.2", "1:Based on UN or ID number, value should be 2.2", ""), ""), IF(LEN(_xlpm.check13) &gt; 0, _xlpm.check13, _xlfn.LET(_xlpm.check14, IF(_xlpm.dep2 = "UN1044", IF(_xlpm.val &lt;&gt; "2.2", "1:Based on UN or ID number, value should be 2.2", ""), ""), IF(LEN(_xlpm.check14) &gt; 0, _xlpm.check14, _xlfn.LET(_xlpm.check15, IF(_xlpm.dep2 = "UN3163", IF(_xlpm.val &lt;&gt; "2.2", "1:Based on UN or ID number, value should be 2.2", ""), ""), IF(LEN(_xlpm.check15) &gt; 0, _xlpm.check15, _xlfn.LET(_xlpm.check16, IF(_xlpm.dep2 = "UN1268", IF(_xlpm.val &lt;&gt; "3", "1:Based on UN or ID number, value should be 3", ""), ""), IF(LEN(_xlpm.check16) &gt; 0, _xlpm.check16, _xlfn.LET(_xlpm.check17, IF(_xlpm.dep2 = "UN1760", IF(_xlpm.val &lt;&gt; "8", "1:Based on UN or ID number, value should be 8", ""), ""), IF(LEN(_xlpm.check17) &gt; 0, _xlpm.check17, _xlfn.LET(_xlpm.check18, IF(_xlpm.dep2 = "UN1011", IF(_xlpm.val &lt;&gt; "2.1", "1:Based on UN or ID number, value should be 2.1", ""), ""), IF(LEN(_xlpm.check18) &gt; 0, _xlpm.check18, _xlfn.LET(_xlpm.check19, IF(_xlpm.dep2 = "UN2794", IF(_xlpm.val &lt;&gt; "8", "1:Based on UN or ID number, value should be 8", ""), ""), IF(LEN(_xlpm.check19) &gt; 0, _xlpm.check19, _xlfn.LET(_xlpm.check20, IF(_xlpm.dep2 = "UN1759", IF(_xlpm.val &lt;&gt; "8", "1:Based on UN or ID number, value should be 8", ""), ""), IF(LEN(_xlpm.check20) &gt; 0, _xlpm.check20, _xlfn.LET(_xlpm.check21, IF(_xlpm.dep2 = "UN3171", IF(_xlpm.val &lt;&gt; "9", "1:Based on UN or ID number, value should be 9", ""), ""), IF(LEN(_xlpm.check21) &gt; 0, _xlpm.check21, _xlfn.LET(_xlpm.check22, IF(_xlpm.dep1 = "Yes", IF(_xlpm.val = "", IF(OR('6 - TV Stands &amp; Enterta'!EC$7 = "", '6 - TV Stands &amp; Enterta'!EC$7 = "N/A"), "3:Since Hazardous Material / Dangerous Goods equals 'Yes', this field is required", ""), ""), ""), IF(LEN(_xlpm.check22) &gt; 0, _xlpm.check22, IF(AND(_xlpm.val = "", EC$3="Required"), IF(OR('6 - TV Stands &amp; Enterta'!EC$7 = "", '6 - TV Stands &amp; Enterta'!EC$7 = "N/A"), "3:Hazard Class(es) - Value is required", ""), ""))))))))))))))))))))))))))))))))))))))))))))))))</f>
        <v/>
      </c>
      <c r="ED8" s="22">
        <f t="array" ref="ED8">_xlfn.MAP('6 - TV Stands &amp; Enterta'!B8:B507, '6 - TV Stands &amp; Enterta'!ED8:ED507, '6 - TV Stands &amp; Enterta'!EA8:EA507, '6 - TV Stands &amp; Enterta'!EB8:EB507, _xlfn.LAMBDA(_xlpm.part, _xlpm.val, _xlpm.dep1, _xlpm.dep2, IF(_xlpm.part = "", "", _xlfn.LET(_xlpm.check1, IF(AND(_xlpm.val = "", OR(_xlpm.dep1 = "No", _xlpm.dep2 = "UN2800", _xlpm.dep2 = "ID8000", _xlpm.dep2 = "UN1013", _xlpm.dep2 = "UN3082", _xlpm.dep2 = "UN3077", _xlpm.dep2 = "UN2857", _xlpm.dep2 = "UN3358", _xlpm.dep2 = "UN1944", _xlpm.dep2 = "UN1070", _xlpm.dep2 = "UN1044", _xlpm.dep2 = "UN3163", _xlpm.dep2 = "UN1011", _xlpm.dep2 = "UN2794",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"No Packing Group", "1:Based on UN or ID number, value should be No Packing Group", ""), ""), IF(LEN(_xlpm.check3) &gt; 0, _xlpm.check3, _xlfn.LET(_xlpm.check4, IF(_xlpm.dep2 = "ID8000", IF(_xlpm.val &lt;&gt; "No Packing Group", "1:Based on UN or ID number, value should be No Packing Group", ""), ""), IF(LEN(_xlpm.check4) &gt; 0, _xlpm.check4, _xlfn.LET(_xlpm.check5, IF(_xlpm.dep2 = "UN1013", IF(_xlpm.val &lt;&gt; "No Packing Group", "1:Based on UN or ID number, value should be No Packing Group", ""), ""), IF(LEN(_xlpm.check5) &gt; 0, _xlpm.check5, _xlfn.LET(_xlpm.check6, IF(_xlpm.dep2 = "UN3082", IF(_xlpm.val &lt;&gt; "III", "1:Based on UN or ID number, value should be III", ""), ""), IF(LEN(_xlpm.check6) &gt; 0, _xlpm.check6, _xlfn.LET(_xlpm.check7, IF(_xlpm.dep2 = "UN3077", IF(_xlpm.val &lt;&gt; "III", "1:Based on UN or ID number, value should be III", ""), ""), IF(LEN(_xlpm.check7) &gt; 0, _xlpm.check7, _xlfn.LET(_xlpm.check8, IF(_xlpm.dep2 = "UN2857", IF(_xlpm.val &lt;&gt; "No Packing Group", "1:Based on UN or ID number, value should be No Packing Group", ""), ""), IF(LEN(_xlpm.check8) &gt; 0, _xlpm.check8, _xlfn.LET(_xlpm.check9, IF(_xlpm.dep2 = "UN3358", IF(_xlpm.val &lt;&gt; "No Packing Group", "1:Based on UN or ID number, value should be No Packing Group", ""), ""), IF(LEN(_xlpm.check9) &gt; 0, _xlpm.check9, _xlfn.LET(_xlpm.check10, IF(_xlpm.dep2 = "UN1944", IF(_xlpm.val &lt;&gt; "III", "1:Based on UN or ID number, value should be III", ""), ""), IF(LEN(_xlpm.check10) &gt; 0, _xlpm.check10, _xlfn.LET(_xlpm.check11, IF(_xlpm.dep2 = "UN1070", IF(_xlpm.val &lt;&gt; "No Packing Group", "1:Based on UN or ID number, value should be No Packing Group", ""), ""), IF(LEN(_xlpm.check11) &gt; 0, _xlpm.check11, _xlfn.LET(_xlpm.check12, IF(_xlpm.dep2 = "UN1044", IF(_xlpm.val &lt;&gt; "No Packing Group", "1:Based on UN or ID number, value should be No Packing Group", ""), ""), IF(LEN(_xlpm.check12) &gt; 0, _xlpm.check12, _xlfn.LET(_xlpm.check13, IF(_xlpm.dep2 = "UN3163", IF(_xlpm.val &lt;&gt; "No Packing Group", "1:Based on UN or ID number, value should be No Packing Group", ""), ""), IF(LEN(_xlpm.check13) &gt; 0, _xlpm.check13, _xlfn.LET(_xlpm.check14, IF(_xlpm.dep2 = "UN1760", IF(_xlpm.val = "No Packing Group", "1:Based on UN or ID number, value should not be No Packing Group", ""), ""), IF(LEN(_xlpm.check14) &gt; 0, _xlpm.check14, _xlfn.LET(_xlpm.check15, IF(_xlpm.dep2 = "UN1011", IF(_xlpm.val &lt;&gt; "No Packing Group", "1:Based on UN or ID number, value should be No Packing Group", ""), ""), IF(LEN(_xlpm.check15) &gt; 0, _xlpm.check15, _xlfn.LET(_xlpm.check16, IF(_xlpm.dep2 = "UN2794", IF(_xlpm.val &lt;&gt; "No Packing Group", "1:Based on UN or ID number, value should be No Packing Group", ""), ""), IF(LEN(_xlpm.check16) &gt; 0, _xlpm.check16, _xlfn.LET(_xlpm.check17, IF(_xlpm.dep2 = "UN1759", IF(_xlpm.val = "No Packing Group", "1:Based on UN or ID number, value should not be No Packing Group", ""), ""), IF(LEN(_xlpm.check17) &gt; 0, _xlpm.check17, _xlfn.LET(_xlpm.check18, IF(_xlpm.dep2 = "UN3171", IF(_xlpm.val &lt;&gt; "No Packing Group", "1:Based on UN or ID number, value should be No Packing Group", ""), ""), IF(LEN(_xlpm.check18) &gt; 0, _xlpm.check18, _xlfn.LET(_xlpm.check19, IF(_xlpm.dep1 = "Yes", IF(_xlpm.val = "", IF(OR('6 - TV Stands &amp; Enterta'!ED$7 = "", '6 - TV Stands &amp; Enterta'!ED$7 = "N/A"), "3:Since Hazardous Material / Dangerous Goods equals 'Yes', this field is required", ""), ""), ""), IF(LEN(_xlpm.check19) &gt; 0, _xlpm.check19, IF(AND(_xlpm.val = "", ED$3="Required"), IF(OR('6 - TV Stands &amp; Enterta'!ED$7 = "", '6 - TV Stands &amp; Enterta'!ED$7 = "N/A"), "3:Packing Group - Value is required", ""), ""))))))))))))))))))))))))))))))))))))))))))</f>
        <v/>
      </c>
      <c r="EE8" s="22">
        <f t="array" ref="EE8">_xlfn.MAP('6 - TV Stands &amp; Enterta'!B8:B507, '6 - TV Stands &amp; Enterta'!EE8:EE507, '6 - TV Stands &amp; Enterta'!EA8:EA507,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IF(OR('6 - TV Stands &amp; Enterta'!EE$7 = "", '6 - TV Stands &amp; Enterta'!EE$7 = "N/A"), "3:Since Hazardous Material / Dangerous Goods equals 'Yes', this field is required", ""), ""), ""), IF(LEN(_xlpm.check3) &gt; 0, _xlpm.check3, IF(AND(_xlpm.val = "", EE$3="Required"), IF(OR('6 - TV Stands &amp; Enterta'!EE$7 = "", '6 - TV Stands &amp; Enterta'!EE$7 = "N/A"), "3:Hazardous Material Weight - Value is required", ""), ""))))))))))</f>
        <v/>
      </c>
      <c r="EF8" s="22">
        <f t="array" ref="EF8">_xlfn.MAP('6 - TV Stands &amp; Enterta'!B8:B507, '6 - TV Stands &amp; Enterta'!EF8:EF507, _xlfn.LAMBDA(_xlpm.part, _xlpm.val, IF(_xlpm.part = "", "", IF(AND(_xlpm.val = "", EF$3="Required"), IF(OR('6 - TV Stands &amp; Enterta'!EF$7 = "", '6 - TV Stands &amp; Enterta'!EF$7 = "N/A"), "3:Energy Efficiency Regulations Compliant - Value is required", ""), ""))))</f>
        <v/>
      </c>
      <c r="EG8" s="22">
        <f t="array" ref="EG8">_xlfn.MAP('6 - TV Stands &amp; Enterta'!B8:B507, '6 - TV Stands &amp; Enterta'!EG8:EG507, '6 - TV Stands &amp; Enterta'!DJ8:DJ507, _xlfn.LAMBDA(_xlpm.part, _xlpm.val, _xlpm.dep1, IF(_xlpm.part = "", "", _xlfn.LET(_xlpm.check1, IF(OR(ISNUMBER(SEARCH("Electric", _xlpm.dep1)), ISNUMBER(SEARCH("Dual Fuel", _xlpm.dep1)), ISNUMBER(SEARCH("Induction", _xlpm.dep1)), ISNUMBER(SEARCH("Wood Pellets", _xlpm.dep1)), ISNUMBER(SEARCH("Natural Gas", _xlpm.dep1)), ISNUMBER(SEARCH("Liquid Propane", _xlpm.dep1)), ISNUMBER(SEARCH("Propane", _xlpm.dep1)), ISNUMBER(SEARCH("Butane", _xlpm.dep1))), IF(_xlpm.val = "Does Not Apply", "1:Based on Fuel Type, value should not be Does Not Apply", ""), ""), IF(LEN(_xlpm.check1) &gt; 0, _xlpm.check1, IF(AND(_xlpm.val = "", EG$3="Required"), IF(OR('6 - TV Stands &amp; Enterta'!EG$7 = "", '6 - TV Stands &amp; Enterta'!EG$7 = "N/A"), "3:Safety Listing(s) - Value is required", ""), ""))))))</f>
        <v/>
      </c>
      <c r="EH8" s="22">
        <f t="array" ref="EH8">_xlfn.MAP('6 - TV Stands &amp; Enterta'!B8:B507, '6 - TV Stands &amp; Enterta'!EH8:EH507, _xlfn.LAMBDA(_xlpm.part, _xlpm.val, IF(_xlpm.part = "", "", IF(AND(_xlpm.val = "", EH$3="Required"), IF(OR('6 - TV Stands &amp; Enterta'!EH$7 = "", '6 - TV Stands &amp; Enterta'!EH$7 = "N/A"), "3:Safety Listing(s) Registration Number - Value is required", ""), ""))))</f>
        <v/>
      </c>
      <c r="EI8" s="22">
        <f t="array" ref="EI8">_xlfn.MAP('6 - TV Stands &amp; Enterta'!B8:B507, '6 - TV Stands &amp; Enterta'!EI8:EI507, _xlfn.LAMBDA(_xlpm.part, _xlpm.val, IF(_xlpm.part = "", "", IF(AND(_xlpm.val = "", EI$3="Required"), IF(OR('6 - TV Stands &amp; Enterta'!EI$7 = "", '6 - TV Stands &amp; Enterta'!EI$7 = "N/A"), "3:CPSC - 16 CFR 1263 Compliant (Reese's Law) - Value is required", ""), ""))))</f>
        <v/>
      </c>
      <c r="EJ8" s="22">
        <f t="array" ref="EJ8">_xlfn.MAP('6 - TV Stands &amp; Enterta'!B8:B507, '6 - TV Stands &amp; Enterta'!EJ8:EJ507, _xlfn.LAMBDA(_xlpm.part, _xlpm.val, IF(_xlpm.part = "", "", IF(AND(_xlpm.val = "", EJ$3="Required"), IF(OR('6 - TV Stands &amp; Enterta'!EJ$7 = "", '6 - TV Stands &amp; Enterta'!EJ$7 = "N/A"), "3:ISTA Certified - Value is required", ""), ""))))</f>
        <v/>
      </c>
      <c r="EK8" s="22">
        <f t="array" ref="EK8">_xlfn.MAP('6 - TV Stands &amp; Enterta'!B8:B507, '6 - TV Stands &amp; Enterta'!EK8:EK507, _xlfn.LAMBDA(_xlpm.part, _xlpm.val, IF(_xlpm.part = "", "", IF(AND(_xlpm.val = "", EK$3="Required"), IF(OR('6 - TV Stands &amp; Enterta'!EK$7 = "", '6 - TV Stands &amp; Enterta'!EK$7 = "N/A"), "3:Sustainability &amp; Social Responsibility Certifications (North America Only) - Value is required", ""), ""))))</f>
        <v/>
      </c>
      <c r="EL8" s="22">
        <f t="array" ref="EL8">_xlfn.MAP('6 - TV Stands &amp; Enterta'!B8:B507, '6 - TV Stands &amp; Enterta'!EL8:EL507, _xlfn.LAMBDA(_xlpm.part, _xlpm.val, IF(_xlpm.part = "", "", IF(AND(_xlpm.val = "", EL$3="Required"), IF(OR('6 - TV Stands &amp; Enterta'!EL$7 = "", '6 - TV Stands &amp; Enterta'!EL$7 = "N/A"), "3:Commercial Certifications - Value is required", ""), ""))))</f>
        <v/>
      </c>
      <c r="EM8" s="22">
        <f t="array" ref="EM8">_xlfn.MAP('6 - TV Stands &amp; Enterta'!B8:B507, '6 - TV Stands &amp; Enterta'!EM8:EM507, '6 - TV Stands &amp; Enterta'!BO8:BO507, _xlfn.LAMBDA(_xlpm.part, _xlpm.val, _xlpm.dep1, IF(_xlpm.part = "", "", _xlfn.LET(_xlpm.check1, IF(AND(_xlpm.val = "", AND(NOT(ISNUMBER(SEARCH("TV Stand", _xlpm.dep1))), _xlpm.dep1 &lt;&gt; "")), "2:Autofill", ""), IF(LEN(_xlpm.check1) &gt; 0, _xlpm.check1, IF(AND(_xlpm.val = "", EM$3="Required"), IF(OR('6 - TV Stands &amp; Enterta'!EM$7 = "", '6 - TV Stands &amp; Enterta'!EM$7 = "N/A"), "3:TV Stand Width - Side to Side - Value is required", ""), ""))))))</f>
        <v/>
      </c>
      <c r="EN8" s="22">
        <f t="array" ref="EN8">_xlfn.MAP('6 - TV Stands &amp; Enterta'!B8:B507, '6 - TV Stands &amp; Enterta'!EN8:EN507, '6 - TV Stands &amp; Enterta'!BO8:BO507, _xlfn.LAMBDA(_xlpm.part, _xlpm.val, _xlpm.dep1, IF(_xlpm.part = "", "", _xlfn.LET(_xlpm.check1, IF(AND(_xlpm.val = "", AND(NOT(ISNUMBER(SEARCH("TV Stand", _xlpm.dep1))), _xlpm.dep1 &lt;&gt; "")), "2:Autofill", ""), IF(LEN(_xlpm.check1) &gt; 0, _xlpm.check1, IF(AND(_xlpm.val = "", EN$3="Required"), IF(OR('6 - TV Stands &amp; Enterta'!EN$7 = "", '6 - TV Stands &amp; Enterta'!EN$7 = "N/A"), "3:TV Stand Depth - Front to Back - Value is required", ""), ""))))))</f>
        <v/>
      </c>
      <c r="EO8" s="22">
        <f t="array" ref="EO8">_xlfn.MAP('6 - TV Stands &amp; Enterta'!B8:B507, '6 - TV Stands &amp; Enterta'!EO8:EO507, '6 - TV Stands &amp; Enterta'!BO8:BO507, _xlfn.LAMBDA(_xlpm.part, _xlpm.val, _xlpm.dep1, IF(_xlpm.part = "", "", _xlfn.LET(_xlpm.check1, IF(AND(_xlpm.val = "", AND(NOT(ISNUMBER(SEARCH("Entertainment Center", _xlpm.dep1))), _xlpm.dep1 &lt;&gt; "")), "2:Autofill", ""), IF(LEN(_xlpm.check1) &gt; 0, _xlpm.check1, IF(AND(_xlpm.val = "", EO$3="Required"), IF(OR('6 - TV Stands &amp; Enterta'!EO$7 = "", '6 - TV Stands &amp; Enterta'!EO$7 = "N/A"), "3:Overall Entertainment Center Height - Top to Bottom - Value is required", ""), ""))))))</f>
        <v/>
      </c>
      <c r="EP8" s="22">
        <f t="array" ref="EP8">_xlfn.MAP('6 - TV Stands &amp; Enterta'!B8:B507, '6 - TV Stands &amp; Enterta'!EP8:EP507, '6 - TV Stands &amp; Enterta'!BO8:BO507, _xlfn.LAMBDA(_xlpm.part, _xlpm.val, _xlpm.dep1, IF(_xlpm.part = "", "", _xlfn.LET(_xlpm.check1, IF(AND(_xlpm.val = "", AND(NOT(ISNUMBER(SEARCH("Entertainment Center", _xlpm.dep1))), _xlpm.dep1 &lt;&gt; "")), "2:Autofill", ""), IF(LEN(_xlpm.check1) &gt; 0, _xlpm.check1, IF(AND(_xlpm.val = "", EP$3="Required"), IF(OR('6 - TV Stands &amp; Enterta'!EP$7 = "", '6 - TV Stands &amp; Enterta'!EP$7 = "N/A"), "3:Overall Entertainment Center Width - Side to Side - Value is required", ""), ""))))))</f>
        <v/>
      </c>
      <c r="EQ8" s="22">
        <f t="array" ref="EQ8">_xlfn.MAP('6 - TV Stands &amp; Enterta'!B8:B507, '6 - TV Stands &amp; Enterta'!EQ8:EQ507, '6 - TV Stands &amp; Enterta'!BO8:BO507, _xlfn.LAMBDA(_xlpm.part, _xlpm.val, _xlpm.dep1, IF(_xlpm.part = "", "", _xlfn.LET(_xlpm.check1, IF(AND(_xlpm.val = "", AND(NOT(ISNUMBER(SEARCH("Entertainment Center", _xlpm.dep1))), _xlpm.dep1 &lt;&gt; "")), "2:Autofill", ""), IF(LEN(_xlpm.check1) &gt; 0, _xlpm.check1, IF(AND(_xlpm.val = "", EQ$3="Required"), IF(OR('6 - TV Stands &amp; Enterta'!EQ$7 = "", '6 - TV Stands &amp; Enterta'!EQ$7 = "N/A"), "3:Overall Entertainment Center Depth - Front to Back - Value is required", ""), ""))))))</f>
        <v/>
      </c>
      <c r="ER8" s="22">
        <f t="array" ref="ER8">_xlfn.MAP('6 - TV Stands &amp; Enterta'!B8:B507, '6 - TV Stands &amp; Enterta'!ER8:ER507, _xlfn.LAMBDA(_xlpm.part, _xlpm.val, IF(_xlpm.part = "", "", IF(AND(_xlpm.val = "", ER$3="Required"), IF(OR('6 - TV Stands &amp; Enterta'!ER$7 = "", '6 - TV Stands &amp; Enterta'!ER$7 = "N/A"), "3:Overall Product Weight - Value is required", ""), ""))))</f>
        <v/>
      </c>
      <c r="ES8" s="22">
        <f t="array" ref="ES8">_xlfn.MAP('6 - TV Stands &amp; Enterta'!B8:B507, '6 - TV Stands &amp; Enterta'!ES8:ES507, _xlfn.LAMBDA(_xlpm.part, _xlpm.val, IF(_xlpm.part = "", "", IF(AND(_xlpm.val = "", ES$3="Required"), IF(OR('6 - TV Stands &amp; Enterta'!ES$7 = "", '6 - TV Stands &amp; Enterta'!ES$7 = "N/A"), "3:Maximum TV Screen Size Accommodated - Value is required", ""), ""))))</f>
        <v/>
      </c>
      <c r="ET8" s="22">
        <f t="array" ref="ET8">_xlfn.MAP('6 - TV Stands &amp; Enterta'!B8:B507, '6 - TV Stands &amp; Enterta'!ET8:ET507, '6 - TV Stands &amp; Enterta'!BO8:BO507, _xlfn.LAMBDA(_xlpm.part, _xlpm.val, _xlpm.dep1, IF(_xlpm.part = "", "", _xlfn.LET(_xlpm.check1, IF(AND(_xlpm.val = "", AND(NOT(ISNUMBER(SEARCH("TV Stand", _xlpm.dep1))), _xlpm.dep1 &lt;&gt; "")), "2:Autofill", ""), IF(LEN(_xlpm.check1) &gt; 0, _xlpm.check1, IF(AND(_xlpm.val = "", ET$3="Required"), IF(OR('6 - TV Stands &amp; Enterta'!ET$7 = "", '6 - TV Stands &amp; Enterta'!ET$7 = "N/A"), "3:TV Stand Overall Height - Top to Bottom - Value is required", ""), ""))))))</f>
        <v/>
      </c>
      <c r="EU8" s="22">
        <f t="array" ref="EU8">_xlfn.MAP('6 - TV Stands &amp; Enterta'!B8:B507, '6 - TV Stands &amp; Enterta'!EU8:EU507, _xlfn.LAMBDA(_xlpm.part, _xlpm.val, IF(_xlpm.part = "", "", IF(AND(_xlpm.val = "", EU$3="Required"), IF(OR('6 - TV Stands &amp; Enterta'!EU$7 = "", '6 - TV Stands &amp; Enterta'!EU$7 = "N/A"), "3:Assembly Required - Value is required", ""), ""))))</f>
        <v/>
      </c>
      <c r="EV8" s="22">
        <f t="array" ref="EV8">_xlfn.MAP('6 - TV Stands &amp; Enterta'!B8:B507, '6 - TV Stands &amp; Enterta'!EV8:EV507, '6 - TV Stands &amp; Enterta'!EU8:EU507, _xlfn.LAMBDA(_xlpm.part, _xlpm.val, _xlpm.dep1, IF(_xlpm.part = "", "", _xlfn.LET(_xlpm.check1, IF(AND(_xlpm.val = "", _xlpm.dep1 = "No"), "2:Autofill", ""), IF(LEN(_xlpm.check1) &gt; 0, _xlpm.check1, _xlfn.LET(_xlpm.check2, IF(_xlpm.dep1 = "No", IF(_xlpm.val &lt;&gt; "No Assembly Needed", "1:Based on Assembly Required, value should be No Assembly Needed", ""), ""), IF(LEN(_xlpm.check2) &gt; 0, _xlpm.check2, IF(AND(_xlpm.val = "", EV$3="Required"), IF(OR('6 - TV Stands &amp; Enterta'!EV$7 = "", '6 - TV Stands &amp; Enterta'!EV$7 = "N/A"), "3:Level of Assembly - Value is required", ""), ""))))))))</f>
        <v/>
      </c>
      <c r="EW8" s="22">
        <f t="array" ref="EW8">_xlfn.MAP('6 - TV Stands &amp; Enterta'!B8:B507, '6 - TV Stands &amp; Enterta'!EW8:EW507, _xlfn.LAMBDA(_xlpm.part, _xlpm.val, IF(_xlpm.part = "", "", _xlfn.LET(_xlpm.check1, IF(NOT(ISBLANK(_xlpm.val)),_xlfn.LET(_xlpm.items, _xlfn.TEXTSPLIT(_xlpm.val, ";"),_xlpm.trimmed, _xlfn.MAP(_xlpm.items, _xlfn.LAMBDA(_xlpm.x, TRIM(_xlpm.x))),_xlpm.invalid, _xlfn._xlws.FILTER(_xlpm.trimmed, ISNA(MATCH(_xlpm.trimmed, allowed222778, 0)), ""),IF(AND(_xlpm.invalid&lt;&gt;"", COUNTA(_xlpm.invalid)&gt;0),"1:Please select valid values from the provided list. Answers are case-sensitive and must be separated by a semicolon.","")), ""), IF(LEN(_xlpm.check1) &gt; 0, _xlpm.check1, IF(AND(_xlpm.val = "", EW$3="Required"), IF(OR('6 - TV Stands &amp; Enterta'!EW$7 = "", '6 - TV Stands &amp; Enterta'!EW$7 = "N/A"), "3:Additional Tools Required (Not Included) - Value is required", ""), ""))))))</f>
        <v/>
      </c>
      <c r="EX8" s="22">
        <f t="array" ref="EX8">_xlfn.MAP('6 - TV Stands &amp; Enterta'!B8:B507, '6 - TV Stands &amp; Enterta'!EX8:EX507, _xlfn.LAMBDA(_xlpm.part, _xlpm.val, IF(_xlpm.part = "", "", IF(AND(_xlpm.val = "", EX$3="Required"), IF(OR('6 - TV Stands &amp; Enterta'!EX$7 = "", '6 - TV Stands &amp; Enterta'!EX$7 = "N/A"), "3:Commercial Warranty - Value is required", ""), ""))))</f>
        <v/>
      </c>
      <c r="EY8" s="22">
        <f t="array" ref="EY8">_xlfn.MAP('6 - TV Stands &amp; Enterta'!B8:B507, '6 - TV Stands &amp; Enterta'!EY8:EY507, '6 - TV Stands &amp; Enterta'!EX8:EX507, _xlfn.LAMBDA(_xlpm.part, _xlpm.val, _xlpm.dep1, IF(_xlpm.part = "", "",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IF(OR('6 - TV Stands &amp; Enterta'!EY$7 = "", '6 - TV Stands &amp; Enterta'!EY$7 = "N/A"), "3:Since Commercial Warranty equals 'Yes', this field is required", ""), ""), ""), IF(LEN(_xlpm.check3) &gt; 0, _xlpm.check3, IF(AND(_xlpm.val = "", EY$3="Required"), IF(OR('6 - TV Stands &amp; Enterta'!EY$7 = "", '6 - TV Stands &amp; Enterta'!EY$7 = "N/A"), "3:Commercial Warranty Length - Value is required", ""), ""))))))))))</f>
        <v/>
      </c>
      <c r="EZ8" s="22">
        <f t="array" ref="EZ8">_xlfn.MAP('6 - TV Stands &amp; Enterta'!B8:B507, '6 - TV Stands &amp; Enterta'!EZ8:EZ507, _xlfn.LAMBDA(_xlpm.part, _xlpm.val, IF(_xlpm.part = "", "", IF(AND(_xlpm.val = "", EZ$3="Required"), IF(OR('6 - TV Stands &amp; Enterta'!EZ$7 = "", '6 - TV Stands &amp; Enterta'!EZ$7 = "N/A"), "3:Product Warranty - Value is required", ""), ""))))</f>
        <v/>
      </c>
      <c r="FA8" s="22">
        <f t="array" ref="FA8">_xlfn.MAP('6 - TV Stands &amp; Enterta'!B8:B507, '6 - TV Stands &amp; Enterta'!FA8:FA507, _xlfn.LAMBDA(_xlpm.part, _xlpm.val, IF(_xlpm.part = "", "", IF(AND(_xlpm.val = "", FA$3="Required"), IF(OR('6 - TV Stands &amp; Enterta'!FA$7 = "", '6 - TV Stands &amp; Enterta'!FA$7 = "N/A"), "3:Full or Limited Warranty - Value is required", ""), ""))))</f>
        <v/>
      </c>
      <c r="FB8" s="22">
        <f t="array" ref="FB8">_xlfn.MAP('6 - TV Stands &amp; Enterta'!B8:B507, '6 - TV Stands &amp; Enterta'!FB8:FB507, _xlfn.LAMBDA(_xlpm.part, _xlpm.val, IF(_xlpm.part = "", "", IF(AND(_xlpm.val = "", FB$3="Required"), IF(OR('6 - TV Stands &amp; Enterta'!FB$7 = "", '6 - TV Stands &amp; Enterta'!FB$7 = "N/A"), "3:Warranty Length - Value is required", ""), ""))))</f>
        <v/>
      </c>
    </row>
  </sheetData>
  <sheetProtection selectLockedCells="0" selectUnlockedCells="0" sheet="1" objects="1" insertRows="1" insertHyperlinks="1" autoFilter="1" scenarios="1" formatColumns="1" deleteColumns="1" insertColumns="1" pivotTables="1" deleteRows="1" formatCells="1" formatRows="1" sort="1" password="9D7B"/>
  <mergeCells count="9">
    <mergeCell ref="AL2:AO2"/>
    <mergeCell ref="AP2:AS2"/>
    <mergeCell ref="U2:Z2"/>
    <mergeCell ref="R2:T2"/>
    <mergeCell ref="B2:I2"/>
    <mergeCell ref="AA2:AK2"/>
    <mergeCell ref="AT2:BN2"/>
    <mergeCell ref="BO2:FB2"/>
    <mergeCell ref="J2:Q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'WAYFAIR_USE_ONLY'!$BD$7:$BD9</formula1>
    </dataValidation>
    <dataValidation sqref="BP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'WAYFAIR_USE_ONLY'!$BE$7:$BE10</formula1>
    </dataValidation>
    <dataValidation sqref="BQ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'WAYFAIR_USE_ONLY'!$BF$7:$BF9</formula1>
    </dataValidation>
    <dataValidation sqref="BR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S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'WAYFAIR_USE_ONLY'!$BG$7:$BG9</formula1>
    </dataValidation>
    <dataValidation sqref="BT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BU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BV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BW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'WAYFAIR_USE_ONLY'!$BK$7:$BK10</formula1>
    </dataValidation>
    <dataValidation sqref="B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'WAYFAIR_USE_ONLY'!$BL$7:$BL10</formula1>
    </dataValidation>
    <dataValidation sqref="CC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'WAYFAIR_USE_ONLY'!$BM$7:$BM10</formula1>
    </dataValidation>
    <dataValidation sqref="CD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'WAYFAIR_USE_ONLY'!$BN$7:$BN10</formula1>
    </dataValidation>
    <dataValidation sqref="CE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'WAYFAIR_USE_ONLY'!$BO$7:$BO10</formula1>
    </dataValidation>
    <dataValidation sqref="CF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'WAYFAIR_USE_ONLY'!$BP$7:$BP10</formula1>
    </dataValidation>
    <dataValidation sqref="CG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'WAYFAIR_USE_ONLY'!$BQ$7:$BQ10</formula1>
    </dataValidation>
    <dataValidation sqref="CH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'WAYFAIR_USE_ONLY'!$BR$7:$BR9</formula1>
    </dataValidation>
    <dataValidation sqref="CI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'WAYFAIR_USE_ONLY'!$BS$7:$BS9</formula1>
    </dataValidation>
    <dataValidation sqref="CJ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'WAYFAIR_USE_ONLY'!$BT$7:$BT9</formula1>
    </dataValidation>
    <dataValidation sqref="CK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CL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'WAYFAIR_USE_ONLY'!$BV$7:$BV10</formula1>
    </dataValidation>
    <dataValidation sqref="CM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'WAYFAIR_USE_ONLY'!$BW$7:$BW10</formula1>
    </dataValidation>
    <dataValidation sqref="C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P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'WAYFAIR_USE_ONLY'!$BX$7:$BX26</formula1>
    </dataValidation>
    <dataValidation sqref="CQ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'WAYFAIR_USE_ONLY'!$BY$7:$BY11</formula1>
    </dataValidation>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'WAYFAIR_USE_ONLY'!$CG$7:$CG10</formula1>
    </dataValidation>
    <dataValidation sqref="CT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T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'WAYFAIR_USE_ONLY'!$BZ$7:$BZ17</formula1>
    </dataValidation>
    <dataValidation sqref="CU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U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'WAYFAIR_USE_ONLY'!$CA$7:$CA11</formula1>
    </dataValidation>
    <dataValidation sqref="CV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V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'WAYFAIR_USE_ONLY'!$CB$7:$CB19</formula1>
    </dataValidation>
    <dataValidation sqref="CW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W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'WAYFAIR_USE_ONLY'!$CC$7:$CC11</formula1>
    </dataValidation>
    <dataValidation sqref="CX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X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'WAYFAIR_USE_ONLY'!$CD$7:$CD14</formula1>
    </dataValidation>
    <dataValidation sqref="CY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Y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'WAYFAIR_USE_ONLY'!$CE$7:$CE14</formula1>
    </dataValidation>
    <dataValidation sqref="CZ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Z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'WAYFAIR_USE_ONLY'!$CF$7:$CF12</formula1>
    </dataValidation>
    <dataValidation sqref="DA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'WAYFAIR_USE_ONLY'!$CH$7:$CH11</formula1>
    </dataValidation>
    <dataValidation sqref="DB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'WAYFAIR_USE_ONLY'!$CI$7:$CI10</formula1>
    </dataValidation>
    <dataValidation sqref="DC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E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'WAYFAIR_USE_ONLY'!$CJ$7:$CJ10</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I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'WAYFAIR_USE_ONLY'!$CK$7:$CK15</formula1>
    </dataValidation>
    <dataValidation sqref="D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L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'WAYFAIR_USE_ONLY'!$CL$7:$CL11</formula1>
    </dataValidation>
    <dataValidation sqref="DM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'WAYFAIR_USE_ONLY'!$CM$7:$CM11</formula1>
    </dataValidation>
    <dataValidation sqref="D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O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P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'WAYFAIR_USE_ONLY'!$CN$7:$CN11</formula1>
    </dataValidation>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'WAYFAIR_USE_ONLY'!$CO$7:$CO10</formula1>
    </dataValidation>
    <dataValidation sqref="DS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'WAYFAIR_USE_ONLY'!$CS$7:$CS10</formula1>
    </dataValidation>
    <dataValidation sqref="DT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T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'WAYFAIR_USE_ONLY'!$CP$7:$CP10</formula1>
    </dataValidation>
    <dataValidation sqref="DU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U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'WAYFAIR_USE_ONLY'!$CQ$7:$CQ10</formula1>
    </dataValidation>
    <dataValidation sqref="DV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V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'WAYFAIR_USE_ONLY'!$CR$7:$CR11</formula1>
    </dataValidation>
    <dataValidation sqref="DW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'WAYFAIR_USE_ONLY'!$CT$7:$CT9</formula1>
    </dataValidation>
    <dataValidation sqref="DX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'WAYFAIR_USE_ONLY'!$CU$7:$CU9</formula1>
    </dataValidation>
    <dataValidation sqref="DY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'WAYFAIR_USE_ONLY'!$CV$7:$CV11</formula1>
    </dataValidation>
    <dataValidation sqref="EA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'WAYFAIR_USE_ONLY'!$CZ$7:$CZ9</formula1>
    </dataValidation>
    <dataValidation sqref="EB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C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C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'WAYFAIR_USE_ONLY'!$CW$7:$CW23</formula1>
    </dataValidation>
    <dataValidation sqref="ED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D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'WAYFAIR_USE_ONLY'!$CX$7:$CX12</formula1>
    </dataValidation>
    <dataValidation sqref="EE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E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'WAYFAIR_USE_ONLY'!$CY$7:$CY19</formula1>
    </dataValidation>
    <dataValidation sqref="EF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'WAYFAIR_USE_ONLY'!$DA$7:$DA12</formula1>
    </dataValidation>
    <dataValidation sqref="E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H4" showDropDown="0" showInputMessage="1" showErrorMessage="1" allowBlank="1" promptTitle="Class Specific Child Question" prompt="This Question is directly related to the tag &quot;Safety Listing(s) Your answer to the related question may influence which answers are accepted here."/>
    <dataValidation sqref="E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'WAYFAIR_USE_ONLY'!$DB$7:$DB11</formula1>
    </dataValidation>
    <dataValidation sqref="EJ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'WAYFAIR_USE_ONLY'!$DC$7:$DC10</formula1>
    </dataValidation>
    <dataValidation sqref="EK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'WAYFAIR_USE_ONLY'!$DD$7:$DD10</formula1>
    </dataValidation>
    <dataValidation sqref="EL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'WAYFAIR_USE_ONLY'!$DE$7:$DE12</formula1>
    </dataValidation>
    <dataValidation sqref="E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S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'WAYFAIR_USE_ONLY'!$DF$7:$DF26</formula1>
    </dataValidation>
    <dataValidation sqref="E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U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'WAYFAIR_USE_ONLY'!$DG$7:$DG9</formula1>
    </dataValidation>
    <dataValidation sqref="EV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'WAYFAIR_USE_ONLY'!$DH$7:$DH11</formula1>
    </dataValidation>
    <dataValidation sqref="EW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X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'WAYFAIR_USE_ONLY'!$DJ$7:$DJ10</formula1>
    </dataValidation>
    <dataValidation sqref="EY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Y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'WAYFAIR_USE_ONLY'!$DI$7:$DI32</formula1>
    </dataValidation>
    <dataValidation sqref="EZ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'WAYFAIR_USE_ONLY'!$DK$7:$DK9</formula1>
    </dataValidation>
    <dataValidation sqref="FA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'WAYFAIR_USE_ONLY'!$DL$7:$DL10</formula1>
    </dataValidation>
    <dataValidation sqref="F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J6" location="'Valid Values'!B1" display="Select"/>
    <hyperlink ref="L6" location="'Valid Values'!D1" display="Select"/>
    <hyperlink ref="N6" location="'Valid Values'!D1" display="Select"/>
    <hyperlink ref="P6" location="'Valid Values'!D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BA1" display="Select"/>
    <hyperlink ref="BX6" location="'Valid Values'!BB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Y6" location="'Valid Values'!BC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Z6" location="'Valid Values'!BD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A6" location="'Valid Values'!BE1" display="Please choose one or more from the following, using a semicolon (;) to separate each value: No Natural Variation; Natural Wood Grain Color Variation; Weathered Steel; Wood Knots; Natural Stone Color Variation; Unavailable"/>
    <hyperlink ref="CK6" location="'Valid Values'!BF1" display="Select"/>
    <hyperlink ref="CN6" location="'Valid Values'!BG1" display="Please choose one or more from the following, using a semicolon (;) to separate each value: Non Residential Use; Residential Use"/>
    <hyperlink ref="CO6" location="'Valid Values'!BH1" display="Please choose one or more from the following, using a semicolon (;) to separate each value: Made in USA; Made in USA of Imported Materials; Product of Canada; Made In Canada; Does Not Apply"/>
    <hyperlink ref="CP6" location="'Valid Values'!BI1" display="Select"/>
    <hyperlink ref="CR6" location="'Valid Values'!BJ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T6" location="'Valid Values'!BK1" display="Select"/>
    <hyperlink ref="CU6" location="'Valid Values'!BL1" display="Select"/>
    <hyperlink ref="CV6" location="'Valid Values'!BM1" display="Select"/>
    <hyperlink ref="CW6" location="'Valid Values'!BN1" display="Select"/>
    <hyperlink ref="CX6" location="'Valid Values'!BO1" display="Select"/>
    <hyperlink ref="CY6" location="'Valid Values'!BP1" display="Select"/>
    <hyperlink ref="CZ6" location="'Valid Values'!BQ1" display="Select"/>
    <hyperlink ref="DD6" location="'Valid Values'!BR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DF6" location="'Valid Values'!BS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DG6" location="'Valid Values'!BT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DH6" location="'Valid Values'!BU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I6" location="'Valid Values'!BV1" display="Select"/>
    <hyperlink ref="DJ6" location="'Valid Values'!BW1" display="Please choose one or more from the following, using a semicolon (;) to separate each value: Electric; Dual Fuel; Induction; Wood Pellets; Natural Gas; Liquid Propane; Wood Burning; Gel Fuel; Bio-Ethanol; Propane; Butane; Charcoal; Ethanol; Alcohol; Does Not Apply"/>
    <hyperlink ref="DK6" location="'Valid Values'!BX1" display="Please choose one or more from the following, using a semicolon (;) to separate each value: Flush; Glass; Louvered; Paneled; Mirrored; Barn Doors; Frosted; Insulated; Contoured; Tinted; See Through; Double Pane; Does Not Apply"/>
    <hyperlink ref="DN6" location="'Valid Values'!BY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Q6" location="'Valid Values'!BZ1" display="Please choose one or more from the following, using a semicolon (;) to separate each value: Gel; Gas; Wood; Electric; Unavailable; Does Not Apply"/>
    <hyperlink ref="DR6" location="'Valid Values'!CA1" display="Select"/>
    <hyperlink ref="DT6" location="'Valid Values'!CB1" display="Select"/>
    <hyperlink ref="DU6" location="'Valid Values'!CC1" display="Select"/>
    <hyperlink ref="DV6" location="'Valid Values'!CD1" display="Select"/>
    <hyperlink ref="DW6" location="'Valid Values'!CE1" display="Select"/>
    <hyperlink ref="DY6" location="'Valid Values'!CF1" display="Please choose one or more from the following, using a semicolon (;) to separate each value: Dual Language; Distribution Conflict; Logistics; Does Not Apply"/>
    <hyperlink ref="DZ6" location="'Valid Values'!CG1" display="Select"/>
    <hyperlink ref="EB6" location="'Valid Values'!CH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EC6" location="'Valid Values'!CI1" display="Select"/>
    <hyperlink ref="ED6" location="'Valid Values'!CJ1" display="Select"/>
    <hyperlink ref="EE6" location="'Valid Values'!CK1" display="Select"/>
    <hyperlink ref="EF6" location="'Valid Values'!CL1" display="Select"/>
    <hyperlink ref="EG6" location="'Valid Values'!CM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I6" location="'Valid Values'!CN1" display="Select"/>
    <hyperlink ref="EJ6" location="'Valid Values'!CO1" display="Select"/>
    <hyperlink ref="EL6" location="'Valid Values'!CP1" display="Select"/>
    <hyperlink ref="ES6" location="'Valid Values'!CQ1" display="Select"/>
    <hyperlink ref="EV6" location="'Valid Values'!CR1" display="Select"/>
    <hyperlink ref="EW6" location="'Valid Values'!CS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Y6" location="'Valid Values'!CT1" display="Select"/>
    <hyperlink ref="FA6" location="'Valid Values'!CU1" display="Select"/>
    <hyperlink ref="FB6" location="'Valid Values'!CV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FB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29.7109375" customWidth="1" style="22" min="68" max="68"/>
    <col width="21.7109375" customWidth="1" style="22" min="69" max="69"/>
    <col width="22.7109375" customWidth="1" style="22" min="70" max="71"/>
    <col width="21.7109375" customWidth="1" style="22" min="72" max="72"/>
    <col width="30.7109375" customWidth="1" style="22" min="73" max="74"/>
    <col width="20.7109375" customWidth="1" style="22" min="75" max="75"/>
    <col width="21.7109375" customWidth="1" style="22" min="76" max="76"/>
    <col width="13.7109375" customWidth="1" style="22" min="77" max="77"/>
    <col width="32.7109375" customWidth="1" style="22" min="78" max="78"/>
    <col width="27.7109375" customWidth="1" style="22" min="79" max="79"/>
    <col width="17.7109375" customWidth="1" style="22" min="80" max="80"/>
    <col width="13.7109375" customWidth="1" style="22" min="81" max="81"/>
    <col width="29.7109375" customWidth="1" style="22" min="82" max="82"/>
    <col width="23.7109375" customWidth="1" style="22" min="83" max="83"/>
    <col width="27.7109375" customWidth="1" style="22" min="84" max="84"/>
    <col width="21.7109375" customWidth="1" style="22" min="85" max="85"/>
    <col width="30.7109375" customWidth="1" style="22" min="86" max="86"/>
    <col width="23.7109375" customWidth="1" style="22" min="87" max="87"/>
    <col width="12.7109375" customWidth="1" style="22" min="88" max="88"/>
    <col width="38.7109375" customWidth="1" style="22" min="89" max="89"/>
    <col width="33.7109375" customWidth="1" style="22" min="90" max="90"/>
    <col width="22.7109375" customWidth="1" style="22" min="91" max="91"/>
    <col width="39.7109375" customWidth="1" style="22" min="92" max="92"/>
    <col width="43.7109375" customWidth="1" style="22" min="93" max="93"/>
    <col width="29.7109375" customWidth="1" style="22" min="94" max="94"/>
    <col width="20.7109375" customWidth="1" style="22" min="95" max="95"/>
    <col width="17.7109375" customWidth="1" style="22" min="96" max="96"/>
    <col width="34.7109375" customWidth="1" style="22" min="97" max="97"/>
    <col width="24.7109375" customWidth="1" style="22" min="98" max="98"/>
    <col width="17.7109375" customWidth="1" style="22" min="99" max="99"/>
    <col width="24.7109375" customWidth="1" style="22" min="100" max="100"/>
    <col width="21.7109375" customWidth="1" style="22" min="101" max="101"/>
    <col width="20.7109375" customWidth="1" style="22" min="102" max="102"/>
    <col width="35.7109375" customWidth="1" style="22" min="103" max="103"/>
    <col width="30.7109375" customWidth="1" style="22" min="104" max="104"/>
    <col width="27.7109375" customWidth="1" style="22" min="105" max="105"/>
    <col width="21.7109375" customWidth="1" style="22" min="106" max="106"/>
    <col width="20.7109375" customWidth="1" style="22" min="107" max="107"/>
    <col width="17.7109375" customWidth="1" style="22" min="108" max="108"/>
    <col width="15.7109375" customWidth="1" style="22" min="109" max="109"/>
    <col width="19.7109375" customWidth="1" style="22" min="110" max="111"/>
    <col width="34.7109375" customWidth="1" style="22" min="112" max="112"/>
    <col width="14.7109375" customWidth="1" style="22" min="113" max="114"/>
    <col width="16.7109375" customWidth="1" style="22" min="115" max="115"/>
    <col width="21.7109375" customWidth="1" style="22" min="116" max="117"/>
    <col width="20.7109375" customWidth="1" style="22" min="118" max="118"/>
    <col width="23.7109375" customWidth="1" style="22" min="119" max="120"/>
    <col width="19.7109375" customWidth="1" style="22" min="121" max="121"/>
    <col width="44.7109375" customWidth="1" style="22" min="122" max="122"/>
    <col width="33.7109375" customWidth="1" style="22" min="123" max="123"/>
    <col width="53.7109375" customWidth="1" style="22" min="124" max="125"/>
    <col width="21.7109375" customWidth="1" style="22" min="126" max="126"/>
    <col width="64.7109375" customWidth="1" style="22" min="127" max="127"/>
    <col width="31.7109375" customWidth="1" style="22" min="128" max="128"/>
    <col width="27.7109375" customWidth="1" style="22" min="129" max="129"/>
    <col width="19.7109375" customWidth="1" style="22" min="130" max="130"/>
    <col width="41.7109375" customWidth="1" style="22" min="131" max="131"/>
    <col width="20.7109375" customWidth="1" style="22" min="132" max="132"/>
    <col width="21.7109375" customWidth="1" style="22" min="133" max="133"/>
    <col width="18.7109375" customWidth="1" style="22" min="134" max="134"/>
    <col width="30.7109375" customWidth="1" style="22" min="135" max="135"/>
    <col width="44.7109375" customWidth="1" style="22" min="136" max="136"/>
    <col width="22.7109375" customWidth="1" style="22" min="137" max="137"/>
    <col width="42.7109375" customWidth="1" style="22" min="138" max="138"/>
    <col width="47.7109375" customWidth="1" style="22" min="139" max="139"/>
    <col width="19.7109375" customWidth="1" style="22" min="140" max="140"/>
    <col width="79.7109375" customWidth="1" style="22" min="141" max="141"/>
    <col width="30.7109375" customWidth="1" style="22" min="142" max="142"/>
    <col width="34.7109375" customWidth="1" style="22" min="143" max="143"/>
    <col width="35.7109375" customWidth="1" style="22" min="144" max="144"/>
    <col width="56.7109375" customWidth="1" style="22" min="145" max="145"/>
    <col width="54.7109375" customWidth="1" style="22" min="146" max="146"/>
    <col width="55.7109375" customWidth="1" style="22" min="147" max="147"/>
    <col width="27.7109375" customWidth="1" style="22" min="148" max="148"/>
    <col width="40.7109375" customWidth="1" style="22" min="149" max="149"/>
    <col width="44.7109375" customWidth="1" style="22" min="150" max="150"/>
    <col width="22.7109375" customWidth="1" style="22" min="151" max="152"/>
    <col width="45.7109375" customWidth="1" style="22" min="153" max="153"/>
    <col width="24.7109375" customWidth="1" style="22" min="154" max="154"/>
    <col width="31.7109375" customWidth="1" style="22" min="155" max="155"/>
    <col width="21.7109375" customWidth="1" style="22" min="156" max="156"/>
    <col width="29.7109375" customWidth="1" style="22" min="157" max="157"/>
    <col width="20.7109375" customWidth="1" style="22" min="158" max="158"/>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5620</t>
        </is>
      </c>
      <c r="BP1" s="22" t="inlineStr">
        <is>
          <t>252622</t>
        </is>
      </c>
      <c r="BQ1" s="22" t="inlineStr">
        <is>
          <t>5635</t>
        </is>
      </c>
      <c r="BR1" s="22" t="inlineStr">
        <is>
          <t>5911</t>
        </is>
      </c>
      <c r="BS1" s="22" t="inlineStr">
        <is>
          <t>5636</t>
        </is>
      </c>
      <c r="BT1" s="22" t="inlineStr">
        <is>
          <t>382543</t>
        </is>
      </c>
      <c r="BU1" s="22" t="inlineStr">
        <is>
          <t>5634</t>
        </is>
      </c>
      <c r="BV1" s="22" t="inlineStr">
        <is>
          <t>5678</t>
        </is>
      </c>
      <c r="BW1" s="22" t="inlineStr">
        <is>
          <t>252625</t>
        </is>
      </c>
      <c r="BX1" s="22" t="inlineStr">
        <is>
          <t>5621</t>
        </is>
      </c>
      <c r="BY1" s="22" t="inlineStr">
        <is>
          <t>5625</t>
        </is>
      </c>
      <c r="BZ1" s="22" t="inlineStr">
        <is>
          <t>222860</t>
        </is>
      </c>
      <c r="CA1" s="22" t="inlineStr">
        <is>
          <t>222861</t>
        </is>
      </c>
      <c r="CB1" s="22" t="inlineStr">
        <is>
          <t>5624</t>
        </is>
      </c>
      <c r="CC1" s="22" t="inlineStr">
        <is>
          <t>220722</t>
        </is>
      </c>
      <c r="CD1" s="22" t="inlineStr">
        <is>
          <t>221251</t>
        </is>
      </c>
      <c r="CE1" s="22" t="inlineStr">
        <is>
          <t>218007</t>
        </is>
      </c>
      <c r="CF1" s="22" t="inlineStr">
        <is>
          <t>5648</t>
        </is>
      </c>
      <c r="CG1" s="22" t="inlineStr">
        <is>
          <t>5649</t>
        </is>
      </c>
      <c r="CH1" s="22" t="inlineStr">
        <is>
          <t>5643</t>
        </is>
      </c>
      <c r="CI1" s="22" t="inlineStr">
        <is>
          <t>5645</t>
        </is>
      </c>
      <c r="CJ1" s="22" t="inlineStr">
        <is>
          <t>189876</t>
        </is>
      </c>
      <c r="CK1" s="22" t="inlineStr">
        <is>
          <t>201479</t>
        </is>
      </c>
      <c r="CL1" s="22" t="inlineStr">
        <is>
          <t>5663</t>
        </is>
      </c>
      <c r="CM1" s="22" t="inlineStr">
        <is>
          <t>242478</t>
        </is>
      </c>
      <c r="CN1" s="22" t="inlineStr">
        <is>
          <t>227966</t>
        </is>
      </c>
      <c r="CO1" s="22" t="inlineStr">
        <is>
          <t>244566</t>
        </is>
      </c>
      <c r="CP1" s="22" t="inlineStr">
        <is>
          <t>293480</t>
        </is>
      </c>
      <c r="CQ1" s="22" t="inlineStr">
        <is>
          <t>293547</t>
        </is>
      </c>
      <c r="CR1" s="22" t="inlineStr">
        <is>
          <t>185254</t>
        </is>
      </c>
      <c r="CS1" s="22" t="inlineStr">
        <is>
          <t>344955</t>
        </is>
      </c>
      <c r="CT1" s="22" t="inlineStr">
        <is>
          <t>346869</t>
        </is>
      </c>
      <c r="CU1" s="22" t="inlineStr">
        <is>
          <t>351619</t>
        </is>
      </c>
      <c r="CV1" s="22" t="inlineStr">
        <is>
          <t>367149</t>
        </is>
      </c>
      <c r="CW1" s="22" t="inlineStr">
        <is>
          <t>351641</t>
        </is>
      </c>
      <c r="CX1" s="22" t="inlineStr">
        <is>
          <t>352351</t>
        </is>
      </c>
      <c r="CY1" s="22" t="inlineStr">
        <is>
          <t>352342</t>
        </is>
      </c>
      <c r="CZ1" s="22" t="inlineStr">
        <is>
          <t>351649</t>
        </is>
      </c>
      <c r="DA1" s="22" t="inlineStr">
        <is>
          <t>5949</t>
        </is>
      </c>
      <c r="DB1" s="22" t="inlineStr">
        <is>
          <t>5950</t>
        </is>
      </c>
      <c r="DC1" s="22" t="inlineStr">
        <is>
          <t>5654</t>
        </is>
      </c>
      <c r="DD1" s="22" t="inlineStr">
        <is>
          <t>368645</t>
        </is>
      </c>
      <c r="DE1" s="22" t="inlineStr">
        <is>
          <t>370848</t>
        </is>
      </c>
      <c r="DF1" s="22" t="inlineStr">
        <is>
          <t>5910</t>
        </is>
      </c>
      <c r="DG1" s="22" t="inlineStr">
        <is>
          <t>379875</t>
        </is>
      </c>
      <c r="DH1" s="22" t="inlineStr">
        <is>
          <t>292794</t>
        </is>
      </c>
      <c r="DI1" s="22" t="inlineStr">
        <is>
          <t>220267</t>
        </is>
      </c>
      <c r="DJ1" s="22" t="inlineStr">
        <is>
          <t>220265</t>
        </is>
      </c>
      <c r="DK1" s="22" t="inlineStr">
        <is>
          <t>384286</t>
        </is>
      </c>
      <c r="DL1" s="22" t="inlineStr">
        <is>
          <t>393970</t>
        </is>
      </c>
      <c r="DM1" s="22" t="inlineStr">
        <is>
          <t>400764</t>
        </is>
      </c>
      <c r="DN1" s="22" t="inlineStr">
        <is>
          <t>420139</t>
        </is>
      </c>
      <c r="DO1" s="22" t="inlineStr">
        <is>
          <t>5920</t>
        </is>
      </c>
      <c r="DP1" s="22" t="inlineStr">
        <is>
          <t>5916</t>
        </is>
      </c>
      <c r="DQ1" s="22" t="inlineStr">
        <is>
          <t>5938</t>
        </is>
      </c>
      <c r="DR1" s="22" t="inlineStr">
        <is>
          <t>5671</t>
        </is>
      </c>
      <c r="DS1" s="22" t="inlineStr">
        <is>
          <t>201426</t>
        </is>
      </c>
      <c r="DT1" s="22" t="inlineStr">
        <is>
          <t>224759</t>
        </is>
      </c>
      <c r="DU1" s="22" t="inlineStr">
        <is>
          <t>224980</t>
        </is>
      </c>
      <c r="DV1" s="22" t="inlineStr">
        <is>
          <t>364708</t>
        </is>
      </c>
      <c r="DW1" s="22" t="inlineStr">
        <is>
          <t>236083</t>
        </is>
      </c>
      <c r="DX1" s="22" t="inlineStr">
        <is>
          <t>249364</t>
        </is>
      </c>
      <c r="DY1" s="22" t="inlineStr">
        <is>
          <t>251110</t>
        </is>
      </c>
      <c r="DZ1" s="22" t="inlineStr">
        <is>
          <t>310560</t>
        </is>
      </c>
      <c r="EA1" s="22" t="inlineStr">
        <is>
          <t>339330</t>
        </is>
      </c>
      <c r="EB1" s="22" t="inlineStr">
        <is>
          <t>373560</t>
        </is>
      </c>
      <c r="EC1" s="22" t="inlineStr">
        <is>
          <t>340810</t>
        </is>
      </c>
      <c r="ED1" s="22" t="inlineStr">
        <is>
          <t>341070</t>
        </is>
      </c>
      <c r="EE1" s="22" t="inlineStr">
        <is>
          <t>369614</t>
        </is>
      </c>
      <c r="EF1" s="22" t="inlineStr">
        <is>
          <t>368262</t>
        </is>
      </c>
      <c r="EG1" s="22" t="inlineStr">
        <is>
          <t>375302</t>
        </is>
      </c>
      <c r="EH1" s="22" t="inlineStr">
        <is>
          <t>376202</t>
        </is>
      </c>
      <c r="EI1" s="22" t="inlineStr">
        <is>
          <t>382060</t>
        </is>
      </c>
      <c r="EJ1" s="22" t="inlineStr">
        <is>
          <t>385921</t>
        </is>
      </c>
      <c r="EK1" s="22" t="inlineStr">
        <is>
          <t>415242</t>
        </is>
      </c>
      <c r="EL1" s="22" t="inlineStr">
        <is>
          <t>421601</t>
        </is>
      </c>
      <c r="EM1" s="22" t="inlineStr">
        <is>
          <t>5675</t>
        </is>
      </c>
      <c r="EN1" s="22" t="inlineStr">
        <is>
          <t>5676</t>
        </is>
      </c>
      <c r="EO1" s="22" t="inlineStr">
        <is>
          <t>252485</t>
        </is>
      </c>
      <c r="EP1" s="22" t="inlineStr">
        <is>
          <t>252486</t>
        </is>
      </c>
      <c r="EQ1" s="22" t="inlineStr">
        <is>
          <t>252487</t>
        </is>
      </c>
      <c r="ER1" s="22" t="inlineStr">
        <is>
          <t>5681</t>
        </is>
      </c>
      <c r="ES1" s="22" t="inlineStr">
        <is>
          <t>217965</t>
        </is>
      </c>
      <c r="ET1" s="22" t="inlineStr">
        <is>
          <t>5674</t>
        </is>
      </c>
      <c r="EU1" s="22" t="inlineStr">
        <is>
          <t>5682</t>
        </is>
      </c>
      <c r="EV1" s="22" t="inlineStr">
        <is>
          <t>222775</t>
        </is>
      </c>
      <c r="EW1" s="22" t="inlineStr">
        <is>
          <t>222778</t>
        </is>
      </c>
      <c r="EX1" s="22" t="inlineStr">
        <is>
          <t>228934</t>
        </is>
      </c>
      <c r="EY1" s="22" t="inlineStr">
        <is>
          <t>333812</t>
        </is>
      </c>
      <c r="EZ1" s="22" t="inlineStr">
        <is>
          <t>254186</t>
        </is>
      </c>
      <c r="FA1" s="22" t="inlineStr">
        <is>
          <t>255305</t>
        </is>
      </c>
      <c r="FB1" s="22" t="inlineStr">
        <is>
          <t>256090</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1" t="n"/>
      <c r="EU2" s="41" t="n"/>
      <c r="EV2" s="41" t="n"/>
      <c r="EW2" s="41" t="n"/>
      <c r="EX2" s="41" t="n"/>
      <c r="EY2" s="41" t="n"/>
      <c r="EZ2" s="41" t="n"/>
      <c r="FA2" s="41" t="n"/>
      <c r="FB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Recommended</t>
        </is>
      </c>
      <c r="BQ3" s="32" t="inlineStr">
        <is>
          <t>Required</t>
        </is>
      </c>
      <c r="BR3" s="32" t="inlineStr">
        <is>
          <t>Required</t>
        </is>
      </c>
      <c r="BS3" s="32" t="inlineStr">
        <is>
          <t>Required</t>
        </is>
      </c>
      <c r="BT3" s="32" t="inlineStr">
        <is>
          <t>Recommended</t>
        </is>
      </c>
      <c r="BU3" s="32" t="inlineStr">
        <is>
          <t>Recommended</t>
        </is>
      </c>
      <c r="BV3" s="32" t="inlineStr">
        <is>
          <t>Recommended</t>
        </is>
      </c>
      <c r="BW3" s="32" t="inlineStr">
        <is>
          <t>Recommended</t>
        </is>
      </c>
      <c r="BX3" s="32" t="inlineStr">
        <is>
          <t>Required</t>
        </is>
      </c>
      <c r="BY3" s="32" t="inlineStr">
        <is>
          <t>Required</t>
        </is>
      </c>
      <c r="BZ3" s="32" t="inlineStr">
        <is>
          <t>Recommended</t>
        </is>
      </c>
      <c r="CA3" s="32" t="inlineStr">
        <is>
          <t>Recommended</t>
        </is>
      </c>
      <c r="CB3" s="32" t="inlineStr">
        <is>
          <t>Recommended</t>
        </is>
      </c>
      <c r="CC3" s="32" t="inlineStr">
        <is>
          <t>Recommended</t>
        </is>
      </c>
      <c r="CD3" s="32" t="inlineStr">
        <is>
          <t>Recommended</t>
        </is>
      </c>
      <c r="CE3" s="32" t="inlineStr">
        <is>
          <t>Recommended</t>
        </is>
      </c>
      <c r="CF3" s="32" t="inlineStr">
        <is>
          <t>Recommended</t>
        </is>
      </c>
      <c r="CG3" s="32" t="inlineStr">
        <is>
          <t>Recommended</t>
        </is>
      </c>
      <c r="CH3" s="32" t="inlineStr">
        <is>
          <t>Recommended</t>
        </is>
      </c>
      <c r="CI3" s="32" t="inlineStr">
        <is>
          <t>Required</t>
        </is>
      </c>
      <c r="CJ3" s="32" t="inlineStr">
        <is>
          <t>Required</t>
        </is>
      </c>
      <c r="CK3" s="32" t="inlineStr">
        <is>
          <t>Required</t>
        </is>
      </c>
      <c r="CL3" s="32" t="inlineStr">
        <is>
          <t>Recommended</t>
        </is>
      </c>
      <c r="CM3" s="32" t="inlineStr">
        <is>
          <t>Recommended</t>
        </is>
      </c>
      <c r="CN3" s="32" t="inlineStr">
        <is>
          <t>Required</t>
        </is>
      </c>
      <c r="CO3" s="32" t="inlineStr">
        <is>
          <t>Additional</t>
        </is>
      </c>
      <c r="CP3" s="32" t="inlineStr">
        <is>
          <t>Recommended</t>
        </is>
      </c>
      <c r="CQ3" s="32" t="inlineStr">
        <is>
          <t>Recommended</t>
        </is>
      </c>
      <c r="CR3" s="32" t="inlineStr">
        <is>
          <t>Recommended</t>
        </is>
      </c>
      <c r="CS3" s="32" t="inlineStr">
        <is>
          <t>Required</t>
        </is>
      </c>
      <c r="CT3" s="32" t="inlineStr">
        <is>
          <t>Required</t>
        </is>
      </c>
      <c r="CU3" s="32" t="inlineStr">
        <is>
          <t>Required</t>
        </is>
      </c>
      <c r="CV3" s="32" t="inlineStr">
        <is>
          <t>Required</t>
        </is>
      </c>
      <c r="CW3" s="32" t="inlineStr">
        <is>
          <t>Additional</t>
        </is>
      </c>
      <c r="CX3" s="32" t="inlineStr">
        <is>
          <t>Additional</t>
        </is>
      </c>
      <c r="CY3" s="32" t="inlineStr">
        <is>
          <t>Additional</t>
        </is>
      </c>
      <c r="CZ3" s="32" t="inlineStr">
        <is>
          <t>Additional</t>
        </is>
      </c>
      <c r="DA3" s="32" t="inlineStr">
        <is>
          <t>Recommended</t>
        </is>
      </c>
      <c r="DB3" s="32" t="inlineStr">
        <is>
          <t>Recommended</t>
        </is>
      </c>
      <c r="DC3" s="32" t="inlineStr">
        <is>
          <t>Required</t>
        </is>
      </c>
      <c r="DD3" s="32" t="inlineStr">
        <is>
          <t>Recommended</t>
        </is>
      </c>
      <c r="DE3" s="32" t="inlineStr">
        <is>
          <t>Recommended</t>
        </is>
      </c>
      <c r="DF3" s="32" t="inlineStr">
        <is>
          <t>Recommended</t>
        </is>
      </c>
      <c r="DG3" s="32" t="inlineStr">
        <is>
          <t>Required</t>
        </is>
      </c>
      <c r="DH3" s="32" t="inlineStr">
        <is>
          <t>Recommended</t>
        </is>
      </c>
      <c r="DI3" s="32" t="inlineStr">
        <is>
          <t>Required</t>
        </is>
      </c>
      <c r="DJ3" s="32" t="inlineStr">
        <is>
          <t>Required</t>
        </is>
      </c>
      <c r="DK3" s="32" t="inlineStr">
        <is>
          <t>Recommended</t>
        </is>
      </c>
      <c r="DL3" s="32" t="inlineStr">
        <is>
          <t>Recommended</t>
        </is>
      </c>
      <c r="DM3" s="32" t="inlineStr">
        <is>
          <t>Recommended</t>
        </is>
      </c>
      <c r="DN3" s="32" t="inlineStr">
        <is>
          <t>Required</t>
        </is>
      </c>
      <c r="DO3" s="32" t="inlineStr">
        <is>
          <t>Required</t>
        </is>
      </c>
      <c r="DP3" s="32" t="inlineStr">
        <is>
          <t>Recommended</t>
        </is>
      </c>
      <c r="DQ3" s="32" t="inlineStr">
        <is>
          <t>Recommended</t>
        </is>
      </c>
      <c r="DR3" s="32" t="inlineStr">
        <is>
          <t>Required</t>
        </is>
      </c>
      <c r="DS3" s="32" t="inlineStr">
        <is>
          <t>Required</t>
        </is>
      </c>
      <c r="DT3" s="32" t="inlineStr">
        <is>
          <t>Required</t>
        </is>
      </c>
      <c r="DU3" s="32" t="inlineStr">
        <is>
          <t>Required</t>
        </is>
      </c>
      <c r="DV3" s="32" t="inlineStr">
        <is>
          <t>Required</t>
        </is>
      </c>
      <c r="DW3" s="32" t="inlineStr">
        <is>
          <t>Required</t>
        </is>
      </c>
      <c r="DX3" s="32" t="inlineStr">
        <is>
          <t>Required</t>
        </is>
      </c>
      <c r="DY3" s="32" t="inlineStr">
        <is>
          <t>Required</t>
        </is>
      </c>
      <c r="DZ3" s="32" t="inlineStr">
        <is>
          <t>Recommended</t>
        </is>
      </c>
      <c r="EA3" s="32" t="inlineStr">
        <is>
          <t>Recommended</t>
        </is>
      </c>
      <c r="EB3" s="32" t="inlineStr">
        <is>
          <t>Recommended</t>
        </is>
      </c>
      <c r="EC3" s="32" t="inlineStr">
        <is>
          <t>Recommended</t>
        </is>
      </c>
      <c r="ED3" s="32" t="inlineStr">
        <is>
          <t>Recommended</t>
        </is>
      </c>
      <c r="EE3" s="32" t="inlineStr">
        <is>
          <t>Recommended</t>
        </is>
      </c>
      <c r="EF3" s="32" t="inlineStr">
        <is>
          <t>Required</t>
        </is>
      </c>
      <c r="EG3" s="32" t="inlineStr">
        <is>
          <t>Required</t>
        </is>
      </c>
      <c r="EH3" s="32" t="inlineStr">
        <is>
          <t>Required</t>
        </is>
      </c>
      <c r="EI3" s="32" t="inlineStr">
        <is>
          <t>Required</t>
        </is>
      </c>
      <c r="EJ3" s="32" t="inlineStr">
        <is>
          <t>Recommended</t>
        </is>
      </c>
      <c r="EK3" s="32" t="inlineStr">
        <is>
          <t>Recommended</t>
        </is>
      </c>
      <c r="EL3" s="32" t="inlineStr">
        <is>
          <t>Recommended</t>
        </is>
      </c>
      <c r="EM3" s="32" t="inlineStr">
        <is>
          <t>Required</t>
        </is>
      </c>
      <c r="EN3" s="32" t="inlineStr">
        <is>
          <t>Required</t>
        </is>
      </c>
      <c r="EO3" s="32" t="inlineStr">
        <is>
          <t>Required</t>
        </is>
      </c>
      <c r="EP3" s="32" t="inlineStr">
        <is>
          <t>Required</t>
        </is>
      </c>
      <c r="EQ3" s="32" t="inlineStr">
        <is>
          <t>Required</t>
        </is>
      </c>
      <c r="ER3" s="32" t="inlineStr">
        <is>
          <t>Recommended</t>
        </is>
      </c>
      <c r="ES3" s="32" t="inlineStr">
        <is>
          <t>Required</t>
        </is>
      </c>
      <c r="ET3" s="32" t="inlineStr">
        <is>
          <t>Required</t>
        </is>
      </c>
      <c r="EU3" s="32" t="inlineStr">
        <is>
          <t>Required</t>
        </is>
      </c>
      <c r="EV3" s="32" t="inlineStr">
        <is>
          <t>Required</t>
        </is>
      </c>
      <c r="EW3" s="32" t="inlineStr">
        <is>
          <t>Recommended</t>
        </is>
      </c>
      <c r="EX3" s="32" t="inlineStr">
        <is>
          <t>Required</t>
        </is>
      </c>
      <c r="EY3" s="32" t="inlineStr">
        <is>
          <t>Recommended</t>
        </is>
      </c>
      <c r="EZ3" s="32" t="inlineStr">
        <is>
          <t>Recommended</t>
        </is>
      </c>
      <c r="FA3" s="32" t="inlineStr">
        <is>
          <t>Recommended</t>
        </is>
      </c>
      <c r="FB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Pier / Bookcase Included</t>
        </is>
      </c>
      <c r="BQ4" s="19" t="inlineStr">
        <is>
          <t>Drawers Included</t>
        </is>
      </c>
      <c r="BR4" s="19" t="inlineStr">
        <is>
          <t>Number of Drawers</t>
        </is>
      </c>
      <c r="BS4" s="19" t="inlineStr">
        <is>
          <t>Cabinets Included</t>
        </is>
      </c>
      <c r="BT4" s="19" t="inlineStr">
        <is>
          <t>Shelves Included</t>
        </is>
      </c>
      <c r="BU4" s="19" t="inlineStr">
        <is>
          <t>Exterior Shelves Included</t>
        </is>
      </c>
      <c r="BV4" s="19" t="inlineStr">
        <is>
          <t>Interior Shelves Included</t>
        </is>
      </c>
      <c r="BW4" s="19" t="inlineStr">
        <is>
          <t>Bridge Included</t>
        </is>
      </c>
      <c r="BX4" s="19" t="inlineStr">
        <is>
          <t>Furniture Design</t>
        </is>
      </c>
      <c r="BY4" s="19" t="inlineStr">
        <is>
          <t>Material</t>
        </is>
      </c>
      <c r="BZ4" s="19" t="inlineStr">
        <is>
          <t>Purposeful Distressing Type</t>
        </is>
      </c>
      <c r="CA4" s="19" t="inlineStr">
        <is>
          <t>Natural Variation Type</t>
        </is>
      </c>
      <c r="CB4" s="19" t="inlineStr">
        <is>
          <t>Gloss Finish</t>
        </is>
      </c>
      <c r="CC4" s="19" t="inlineStr">
        <is>
          <t>Mirrored</t>
        </is>
      </c>
      <c r="CD4" s="19" t="inlineStr">
        <is>
          <t>Sound Bar Shelf Included</t>
        </is>
      </c>
      <c r="CE4" s="19" t="inlineStr">
        <is>
          <t>Adjustable Shelves</t>
        </is>
      </c>
      <c r="CF4" s="19" t="inlineStr">
        <is>
          <t>Media Storage Included</t>
        </is>
      </c>
      <c r="CG4" s="19" t="inlineStr">
        <is>
          <t>Cable Management</t>
        </is>
      </c>
      <c r="CH4" s="19" t="inlineStr">
        <is>
          <t>Wheels / Casters Included</t>
        </is>
      </c>
      <c r="CI4" s="19" t="inlineStr">
        <is>
          <t>Fireplace Included</t>
        </is>
      </c>
      <c r="CJ4" s="19" t="inlineStr">
        <is>
          <t>Plug-In</t>
        </is>
      </c>
      <c r="CK4" s="19" t="inlineStr">
        <is>
          <t>Tipover Restraint Device Included</t>
        </is>
      </c>
      <c r="CL4" s="19" t="inlineStr">
        <is>
          <t>Integrated TV Mount Included</t>
        </is>
      </c>
      <c r="CM4" s="19" t="inlineStr">
        <is>
          <t>Adjustable Height</t>
        </is>
      </c>
      <c r="CN4" s="19" t="inlineStr">
        <is>
          <t>Supplier Intended and Approved Use</t>
        </is>
      </c>
      <c r="CO4" s="19" t="inlineStr">
        <is>
          <t>Country of Origin - Additional Details</t>
        </is>
      </c>
      <c r="CP4" s="19" t="inlineStr">
        <is>
          <t>Main Wood Joinery Method</t>
        </is>
      </c>
      <c r="CQ4" s="19" t="inlineStr">
        <is>
          <t>Kiln-Dried Wood</t>
        </is>
      </c>
      <c r="CR4" s="19" t="inlineStr">
        <is>
          <t>Wood Species</t>
        </is>
      </c>
      <c r="CS4" s="33" t="inlineStr">
        <is>
          <t>Battery or Batteries Included</t>
        </is>
      </c>
      <c r="CT4" s="34" t="inlineStr">
        <is>
          <t>Battery Composition</t>
        </is>
      </c>
      <c r="CU4" s="34" t="inlineStr">
        <is>
          <t>Battery Type</t>
        </is>
      </c>
      <c r="CV4" s="34" t="inlineStr">
        <is>
          <t>Number of Batteries</t>
        </is>
      </c>
      <c r="CW4" s="34" t="inlineStr">
        <is>
          <t>Battery Shipment</t>
        </is>
      </c>
      <c r="CX4" s="34" t="inlineStr">
        <is>
          <t>Lithium Content</t>
        </is>
      </c>
      <c r="CY4" s="34" t="inlineStr">
        <is>
          <t>Watt Rating of Cells / Battery</t>
        </is>
      </c>
      <c r="CZ4" s="34" t="inlineStr">
        <is>
          <t>Weight of Cells / Battery</t>
        </is>
      </c>
      <c r="DA4" s="19" t="inlineStr">
        <is>
          <t>Adjustable Temperature</t>
        </is>
      </c>
      <c r="DB4" s="19" t="inlineStr">
        <is>
          <t>Adjustable Flame</t>
        </is>
      </c>
      <c r="DC4" s="19" t="inlineStr">
        <is>
          <t>Weight Capacity</t>
        </is>
      </c>
      <c r="DD4" s="19" t="inlineStr">
        <is>
          <t>Product Care</t>
        </is>
      </c>
      <c r="DE4" s="19" t="inlineStr">
        <is>
          <t>Unfinished</t>
        </is>
      </c>
      <c r="DF4" s="19" t="inlineStr">
        <is>
          <t>Shelf Material</t>
        </is>
      </c>
      <c r="DG4" s="19" t="inlineStr">
        <is>
          <t>Color / Finish</t>
        </is>
      </c>
      <c r="DH4" s="19" t="inlineStr">
        <is>
          <t>Drawer Glide Type &amp; Extension</t>
        </is>
      </c>
      <c r="DI4" s="19" t="inlineStr">
        <is>
          <t>Vent Type</t>
        </is>
      </c>
      <c r="DJ4" s="19" t="inlineStr">
        <is>
          <t>Fuel Type</t>
        </is>
      </c>
      <c r="DK4" s="19" t="inlineStr">
        <is>
          <t>Door Design</t>
        </is>
      </c>
      <c r="DL4" s="19" t="inlineStr">
        <is>
          <t>Ribbed Detailing</t>
        </is>
      </c>
      <c r="DM4" s="19" t="inlineStr">
        <is>
          <t>Fluted Detailing</t>
        </is>
      </c>
      <c r="DN4" s="19" t="inlineStr">
        <is>
          <t>Pieces Included</t>
        </is>
      </c>
      <c r="DO4" s="19" t="inlineStr">
        <is>
          <t>Number of Cabinets</t>
        </is>
      </c>
      <c r="DP4" s="19" t="inlineStr">
        <is>
          <t>Drawer Safety Stop</t>
        </is>
      </c>
      <c r="DQ4" s="19" t="inlineStr">
        <is>
          <t>Fireplace Type</t>
        </is>
      </c>
      <c r="DR4" s="19" t="inlineStr">
        <is>
          <t>General Certificate of Conformity (GCC)</t>
        </is>
      </c>
      <c r="DS4" s="33" t="inlineStr">
        <is>
          <t>Composite Wood Product (CWP)</t>
        </is>
      </c>
      <c r="DT4" s="34" t="inlineStr">
        <is>
          <t>CARB Phase II Compliant (formaldehyde emissions)</t>
        </is>
      </c>
      <c r="DU4" s="34" t="inlineStr">
        <is>
          <t>TSCA Title VI Compliant (formaldehyde emissions)</t>
        </is>
      </c>
      <c r="DV4" s="34" t="inlineStr">
        <is>
          <t>CANFER Compliant</t>
        </is>
      </c>
      <c r="DW4" s="19" t="inlineStr">
        <is>
          <t>Uniform Packaging and Labeling Regulations (UPLR) Compliant</t>
        </is>
      </c>
      <c r="DX4" s="33" t="inlineStr">
        <is>
          <t>Canada Product Restriction</t>
        </is>
      </c>
      <c r="DY4" s="34" t="inlineStr">
        <is>
          <t>Reason for Restriction</t>
        </is>
      </c>
      <c r="DZ4" s="19" t="inlineStr">
        <is>
          <t>UL 1678 Listed</t>
        </is>
      </c>
      <c r="EA4" s="33" t="inlineStr">
        <is>
          <t>Hazardous Material / Dangerous Goods</t>
        </is>
      </c>
      <c r="EB4" s="34" t="inlineStr">
        <is>
          <t>UN or ID number</t>
        </is>
      </c>
      <c r="EC4" s="34" t="inlineStr">
        <is>
          <t>Hazard Class(es)</t>
        </is>
      </c>
      <c r="ED4" s="34" t="inlineStr">
        <is>
          <t>Packing Group</t>
        </is>
      </c>
      <c r="EE4" s="34" t="inlineStr">
        <is>
          <t>Hazardous Material Weight</t>
        </is>
      </c>
      <c r="EF4" s="19" t="inlineStr">
        <is>
          <t>Energy Efficiency Regulations Compliant</t>
        </is>
      </c>
      <c r="EG4" s="33" t="inlineStr">
        <is>
          <t>Safety Listing(s)</t>
        </is>
      </c>
      <c r="EH4" s="34" t="inlineStr">
        <is>
          <t>Safety Listing(s) Registration Number</t>
        </is>
      </c>
      <c r="EI4" s="19" t="inlineStr">
        <is>
          <t>CPSC - 16 CFR 1263 Compliant (Reese's Law)</t>
        </is>
      </c>
      <c r="EJ4" s="19" t="inlineStr">
        <is>
          <t>ISTA Certified</t>
        </is>
      </c>
      <c r="EK4" s="19" t="inlineStr">
        <is>
          <t>Sustainability &amp; Social Responsibility Certifications (North America Only)</t>
        </is>
      </c>
      <c r="EL4" s="19" t="inlineStr">
        <is>
          <t>Commercial Certifications</t>
        </is>
      </c>
      <c r="EM4" s="19" t="inlineStr">
        <is>
          <t>TV Stand Width - Side to Side</t>
        </is>
      </c>
      <c r="EN4" s="19" t="inlineStr">
        <is>
          <t>TV Stand Depth - Front to Back</t>
        </is>
      </c>
      <c r="EO4" s="19" t="inlineStr">
        <is>
          <t>Overall Entertainment Center Height - Top to Bottom</t>
        </is>
      </c>
      <c r="EP4" s="19" t="inlineStr">
        <is>
          <t>Overall Entertainment Center Width - Side to Side</t>
        </is>
      </c>
      <c r="EQ4" s="19" t="inlineStr">
        <is>
          <t>Overall Entertainment Center Depth - Front to Back</t>
        </is>
      </c>
      <c r="ER4" s="19" t="inlineStr">
        <is>
          <t>Overall Product Weight</t>
        </is>
      </c>
      <c r="ES4" s="19" t="inlineStr">
        <is>
          <t>Maximum TV Screen Size Accommodated</t>
        </is>
      </c>
      <c r="ET4" s="19" t="inlineStr">
        <is>
          <t>TV Stand Overall Height - Top to Bottom</t>
        </is>
      </c>
      <c r="EU4" s="19" t="inlineStr">
        <is>
          <t>Assembly Required</t>
        </is>
      </c>
      <c r="EV4" s="19" t="inlineStr">
        <is>
          <t>Level of Assembly</t>
        </is>
      </c>
      <c r="EW4" s="19" t="inlineStr">
        <is>
          <t>Additional Tools Required (Not Included)</t>
        </is>
      </c>
      <c r="EX4" s="33" t="inlineStr">
        <is>
          <t>Commercial Warranty</t>
        </is>
      </c>
      <c r="EY4" s="34" t="inlineStr">
        <is>
          <t>Commercial Warranty Length</t>
        </is>
      </c>
      <c r="EZ4" s="19" t="inlineStr">
        <is>
          <t>Product Warranty</t>
        </is>
      </c>
      <c r="FA4" s="19" t="inlineStr">
        <is>
          <t>Full or Limited Warranty</t>
        </is>
      </c>
      <c r="FB4" s="19" t="inlineStr">
        <is>
          <t>Warranty Length</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Does this product have a pier / bookcase included?</t>
        </is>
      </c>
      <c r="BQ5" s="35" t="inlineStr">
        <is>
          <t>Does this product have any drawers?</t>
        </is>
      </c>
      <c r="BR5" s="35" t="inlineStr">
        <is>
          <t>How many drawers are included in this product?</t>
        </is>
      </c>
      <c r="BS5" s="35" t="inlineStr">
        <is>
          <t>Does this product include cabinets?</t>
        </is>
      </c>
      <c r="BT5" s="35" t="inlineStr">
        <is>
          <t>Does this product include shelves?</t>
        </is>
      </c>
      <c r="BU5" s="35" t="inlineStr">
        <is>
          <t>Does this product have an open space with either another shelf above it or the top surface of the product above it? We do not define the top surface of the Accent Chest/Cabinet as an exterior shelf.</t>
        </is>
      </c>
      <c r="BV5" s="35" t="inlineStr">
        <is>
          <t>Does this product have interior shelves included?</t>
        </is>
      </c>
      <c r="BW5" s="35" t="inlineStr">
        <is>
          <t>Does this product have a bridge included?</t>
        </is>
      </c>
      <c r="BX5" s="35" t="inlineStr">
        <is>
          <t>What is the design of the piece of furniture?</t>
        </is>
      </c>
      <c r="BY5" s="35" t="inlineStr">
        <is>
          <t>What material is the product made of?</t>
        </is>
      </c>
      <c r="BZ5" s="35" t="inlineStr">
        <is>
          <t>What specific type of distressing does this product have? Select all that apply.</t>
        </is>
      </c>
      <c r="CA5" s="35" t="inlineStr">
        <is>
          <t>Which of the following types of natural variation and texture does the product have? Multiple can be selected if applicable. If the product does NOT have natural variation, please select No Natural Variation.</t>
        </is>
      </c>
      <c r="CB5" s="35" t="inlineStr">
        <is>
          <t>Does this product have a shiny and sheer gloss finish over the normal painted finish?</t>
        </is>
      </c>
      <c r="CC5" s="35" t="inlineStr">
        <is>
          <t>Is the surface of the product mirrored? Please do not select “yes” if the product only features a mirror. This question refers to the surface material of the product, and if it is reflective.</t>
        </is>
      </c>
      <c r="CD5" s="35" t="inlineStr">
        <is>
          <t>Does this product have a sound bar shelf included?</t>
        </is>
      </c>
      <c r="CE5" s="35" t="inlineStr">
        <is>
          <t>Does this product have adjustable shelves?</t>
        </is>
      </c>
      <c r="CF5" s="35" t="inlineStr">
        <is>
          <t>Does this product have media storage included?</t>
        </is>
      </c>
      <c r="CG5" s="35" t="inlineStr">
        <is>
          <t>Does this product have any built-in cable or wire management, such as a hole specifically for wires (a grommet) or a tray where wires can be stored?</t>
        </is>
      </c>
      <c r="CH5" s="35" t="inlineStr">
        <is>
          <t>Does this product have wheels or casters?</t>
        </is>
      </c>
      <c r="CI5" s="35" t="inlineStr">
        <is>
          <t>Does this product have a fireplace included?</t>
        </is>
      </c>
      <c r="CJ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K5" s="35" t="inlineStr">
        <is>
          <t>Does this product include a device to prevent the product from tipping over? Tipover restraint devices (TRDs) include brackets, straps, or other specialized hardware</t>
        </is>
      </c>
      <c r="CL5" s="35" t="inlineStr">
        <is>
          <t>Does this product have an integrated tv mount included?</t>
        </is>
      </c>
      <c r="CM5" s="35" t="inlineStr">
        <is>
          <t>Is the height of this product adjustable?</t>
        </is>
      </c>
      <c r="CN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O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P5" s="35" t="inlineStr">
        <is>
          <t>Which technique was used to join together the main pieces of wood to construct the overall product?</t>
        </is>
      </c>
      <c r="CQ5" s="35" t="inlineStr">
        <is>
          <t>Is the wood kiln-dried? If product is not made of wood, please select "does not apply."</t>
        </is>
      </c>
      <c r="CR5" s="35" t="inlineStr">
        <is>
          <t>What type of wood was used to construct this product? This describes the actual materials used, not the product's appearance.</t>
        </is>
      </c>
      <c r="CS5" s="35" t="inlineStr">
        <is>
          <t>Is the product a battery or does the product include batteries?</t>
        </is>
      </c>
      <c r="CT5" s="35" t="inlineStr">
        <is>
          <t>What is the composition of the batteries included with product?</t>
        </is>
      </c>
      <c r="CU5" s="35" t="inlineStr">
        <is>
          <t>What type is the battery? Button Cell, Cell, Battery?</t>
        </is>
      </c>
      <c r="CV5" s="35" t="inlineStr">
        <is>
          <t>Confirm number of batteries in this product</t>
        </is>
      </c>
      <c r="CW5" s="35" t="inlineStr">
        <is>
          <t>Do the cells/batteries ship stand alone/packed with the equipment/ contained (installed) in the equipment?</t>
        </is>
      </c>
      <c r="CX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Y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Z5" s="35" t="inlineStr">
        <is>
          <t>What is the net weight of the cells or batteries that ship with the product in grams or kilograms.</t>
        </is>
      </c>
      <c r="DA5" s="35" t="inlineStr">
        <is>
          <t>Can the amount of heat be adjusted?</t>
        </is>
      </c>
      <c r="DB5" s="35" t="inlineStr">
        <is>
          <t>Can the brightness, size, or color of the flame be adjusted?</t>
        </is>
      </c>
      <c r="DC5" s="35" t="inlineStr">
        <is>
          <t>[Pounds] What is the maximum weight capacity of the product? Please enter just the number (i.e., 45.5).</t>
        </is>
      </c>
      <c r="DD5" s="35" t="inlineStr">
        <is>
          <t>What is the appropriate way to clean and/or care for this product? Please select as many answers as applicable.</t>
        </is>
      </c>
      <c r="DE5" s="35" t="inlineStr">
        <is>
          <t>Is this product unfinished (no paint, stain, or varnish)?</t>
        </is>
      </c>
      <c r="DF5" s="35" t="inlineStr">
        <is>
          <t>What material are the shelves made of?</t>
        </is>
      </c>
      <c r="DG5" s="35" t="inlineStr">
        <is>
          <t>What is the color or finish of the product? If your color/finish name is not listed, please type in the value.</t>
        </is>
      </c>
      <c r="DH5" s="35" t="inlineStr">
        <is>
          <t>Please select which type of glide the drawer features and/or how far it can extend.</t>
        </is>
      </c>
      <c r="DI5" s="35" t="inlineStr">
        <is>
          <t>What type of vent does this product have?</t>
        </is>
      </c>
      <c r="DJ5" s="35" t="inlineStr">
        <is>
          <t>What is the source of fuel needed in order for this product to function?</t>
        </is>
      </c>
      <c r="DK5" s="35" t="inlineStr">
        <is>
          <t>Please select the design of the product.</t>
        </is>
      </c>
      <c r="DL5" s="35" t="inlineStr">
        <is>
          <t>Is there a a raised pattern of parallel lines on a surface of this product?</t>
        </is>
      </c>
      <c r="DM5" s="35" t="inlineStr">
        <is>
          <t>Is there a a concave pattern of parallel lines on a surface of this product?</t>
        </is>
      </c>
      <c r="DN5" s="35" t="inlineStr">
        <is>
          <t>What pieces are included with this product?</t>
        </is>
      </c>
      <c r="DO5" s="35" t="inlineStr">
        <is>
          <t>How many cabinets does this product have?</t>
        </is>
      </c>
      <c r="DP5" s="35" t="inlineStr">
        <is>
          <t>Do any drawers feature safety stops (intended to keep the drawers from pulling all the way out)?</t>
        </is>
      </c>
      <c r="DQ5" s="35" t="inlineStr">
        <is>
          <t>What type of Fireplace is included?</t>
        </is>
      </c>
      <c r="DR5" s="35" t="inlineStr">
        <is>
          <t>Does this product have a General Certificate of Conformity (GCC), as required by the U.S. CPSC for certain product classes?</t>
        </is>
      </c>
      <c r="DS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T5" s="35" t="inlineStr">
        <is>
          <t>Is this product certified compliant for CARB ATCM Phase II formaldehyde emission standards from Composite Wood Products [California Air Resources Board (CARB)- Airborne Toxic Control Measures (ATCM) Phase II]</t>
        </is>
      </c>
      <c r="DU5" s="35" t="inlineStr">
        <is>
          <t>Is this product certified TSCA Title VI compliant regarding formaldehyde emissions from Composite Wood Products [Environmental Protection Agency (EPA)-Toxic Substance Control Act (TSCA)-Title VI]</t>
        </is>
      </c>
      <c r="DV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W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X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Y5" s="35" t="inlineStr">
        <is>
          <t>Please select the reason this product can not ship to Canada?  Please select from the options or write in a reason if not selectable</t>
        </is>
      </c>
      <c r="DZ5" s="35" t="inlineStr">
        <is>
          <t>Is this product UL 1678 Listed? This means that the international standards testing company UL (Underwriters' Laboratories) has tested this product and found it to be in compliance with Category 1678 safety standards.</t>
        </is>
      </c>
      <c r="EA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EB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EC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ED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EE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EF5" s="35"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EG5" s="35" t="inlineStr">
        <is>
          <t>Which of the following certification or verification marks does your product have? If the item is not certified/verified with any safety listing, please select Does Not Apply.</t>
        </is>
      </c>
      <c r="EH5" s="35"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I5" s="35"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J5" s="35" t="inlineStr">
        <is>
          <t>Is the packaging for this SKU ISTA Certified (1A, 3A, 6A)?</t>
        </is>
      </c>
      <c r="EK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L5" s="35"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M5" s="35" t="inlineStr">
        <is>
          <t>[Inches] What is the overall width of the TV Stand (side to side)? Please enter just the number (i.e. 45.5). Please DO NOT duplicate this tag - any additional information can be stored in Shelf Dimensions, Cabinet Dimensions, or as a bullet.</t>
        </is>
      </c>
      <c r="EN5" s="35" t="inlineStr">
        <is>
          <t>[Inches] What is the overall depth of the TV Stand (front to back)? Please enter just the number (i.e. 45.5).</t>
        </is>
      </c>
      <c r="EO5" s="35" t="inlineStr">
        <is>
          <t>[Inches] What is the overall height of the Entertainment Center (top to bottom)? Enter just the value (i.e., 45.5).</t>
        </is>
      </c>
      <c r="EP5" s="35" t="inlineStr">
        <is>
          <t>[Inches] What is the overall width of the Entertainment Center (side to side)? Please enter just the number (i.e. 45.5). Please DO NOT duplicate this tag - any additional information can be stored in Shelf Dimensions, Cabinet Dimensions, or as a bullet.</t>
        </is>
      </c>
      <c r="EQ5" s="35" t="inlineStr">
        <is>
          <t>[Inches] What is the overall depth of the Entertainment Center (front to back)? Enter just the value (i.e., 45.5).</t>
        </is>
      </c>
      <c r="ER5" s="35" t="inlineStr">
        <is>
          <t>[Pounds] What is the total weight of this product once assembled? If this product includes multiples of the same item, add weight of one individual unit (e.g. 1 Dining Chair in a set of 2). Please enter just the number (i.e. 45.5).</t>
        </is>
      </c>
      <c r="ES5" s="35"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T5" s="35" t="inlineStr">
        <is>
          <t>[Inches] What is the overall height of the TV stand (top to bottom)? Enter just the value (i.e., 45.5).</t>
        </is>
      </c>
      <c r="EU5" s="35" t="inlineStr">
        <is>
          <t>Does the product require any form of assembly prior to use as intended?</t>
        </is>
      </c>
      <c r="EV5" s="35" t="inlineStr">
        <is>
          <t>What is the level of assembly required?</t>
        </is>
      </c>
      <c r="EW5" s="35" t="inlineStr">
        <is>
          <t>What additional tools will the customer need to set-up this product that are NOT included with purchase?</t>
        </is>
      </c>
      <c r="EX5" s="35" t="inlineStr">
        <is>
          <t>Does the manufacturer warranty cover the use of this product in a commercial environment?</t>
        </is>
      </c>
      <c r="EY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Z5" s="35" t="inlineStr">
        <is>
          <t>Please indicate if there is a warranty on this product if it were to be used in a residential setting.</t>
        </is>
      </c>
      <c r="FA5" s="35" t="inlineStr">
        <is>
          <t>Please indicate if the warranty is Full or Limited.</t>
        </is>
      </c>
      <c r="FB5" s="35"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5" t="inlineStr">
        <is>
          <t>Yes or No</t>
        </is>
      </c>
      <c r="BQ6" s="35" t="inlineStr">
        <is>
          <t>Yes or No</t>
        </is>
      </c>
      <c r="BR6" s="35" t="inlineStr">
        <is>
          <t>Whole Number</t>
        </is>
      </c>
      <c r="BS6" s="35" t="inlineStr">
        <is>
          <t>Yes or No</t>
        </is>
      </c>
      <c r="BT6" s="35" t="inlineStr">
        <is>
          <t>Yes or No</t>
        </is>
      </c>
      <c r="BU6" s="35" t="inlineStr">
        <is>
          <t>Yes or No</t>
        </is>
      </c>
      <c r="BV6" s="35" t="inlineStr">
        <is>
          <t>Yes or No</t>
        </is>
      </c>
      <c r="BW6" s="35" t="inlineStr">
        <is>
          <t>Yes or No</t>
        </is>
      </c>
      <c r="BX6" s="36"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Y6" s="36"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Z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A6" s="36" t="inlineStr">
        <is>
          <t>Please choose one or more from the following, using a semicolon (;) to separate each value: No Natural Variation; Natural Wood Grain Color Variation; Weathered Steel; Wood Knots; Natural Stone Color Variation; Unavailable</t>
        </is>
      </c>
      <c r="CB6" s="35" t="inlineStr">
        <is>
          <t>Yes or No</t>
        </is>
      </c>
      <c r="CC6" s="35" t="inlineStr">
        <is>
          <t>Yes or No</t>
        </is>
      </c>
      <c r="CD6" s="35" t="inlineStr">
        <is>
          <t>Yes or No</t>
        </is>
      </c>
      <c r="CE6" s="35" t="inlineStr">
        <is>
          <t>Yes or No</t>
        </is>
      </c>
      <c r="CF6" s="35" t="inlineStr">
        <is>
          <t>Yes or No</t>
        </is>
      </c>
      <c r="CG6" s="35" t="inlineStr">
        <is>
          <t>Yes or No</t>
        </is>
      </c>
      <c r="CH6" s="35" t="inlineStr">
        <is>
          <t>Yes or No</t>
        </is>
      </c>
      <c r="CI6" s="35" t="inlineStr">
        <is>
          <t>Yes or No</t>
        </is>
      </c>
      <c r="CJ6" s="35" t="inlineStr">
        <is>
          <t>Yes or No</t>
        </is>
      </c>
      <c r="CK6" s="36" t="inlineStr">
        <is>
          <t>Select</t>
        </is>
      </c>
      <c r="CL6" s="35" t="inlineStr">
        <is>
          <t>Yes or No</t>
        </is>
      </c>
      <c r="CM6" s="35" t="inlineStr">
        <is>
          <t>Yes or No</t>
        </is>
      </c>
      <c r="CN6" s="36" t="inlineStr">
        <is>
          <t>Please choose one or more from the following, using a semicolon (;) to separate each value: Non Residential Use; Residential Use</t>
        </is>
      </c>
      <c r="CO6" s="36" t="inlineStr">
        <is>
          <t>Please choose one or more from the following, using a semicolon (;) to separate each value: Made in USA; Made in USA of Imported Materials; Product of Canada; Made In Canada; Does Not Apply</t>
        </is>
      </c>
      <c r="CP6" s="36" t="inlineStr">
        <is>
          <t>Select</t>
        </is>
      </c>
      <c r="CQ6" s="35" t="inlineStr">
        <is>
          <t>Yes or No</t>
        </is>
      </c>
      <c r="CR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S6" s="35" t="inlineStr">
        <is>
          <t>Yes or No</t>
        </is>
      </c>
      <c r="CT6" s="36" t="inlineStr">
        <is>
          <t>Select</t>
        </is>
      </c>
      <c r="CU6" s="36" t="inlineStr">
        <is>
          <t>Select</t>
        </is>
      </c>
      <c r="CV6" s="36" t="inlineStr">
        <is>
          <t>Select</t>
        </is>
      </c>
      <c r="CW6" s="36" t="inlineStr">
        <is>
          <t>Select</t>
        </is>
      </c>
      <c r="CX6" s="36" t="inlineStr">
        <is>
          <t>Select</t>
        </is>
      </c>
      <c r="CY6" s="36" t="inlineStr">
        <is>
          <t>Select</t>
        </is>
      </c>
      <c r="CZ6" s="36" t="inlineStr">
        <is>
          <t>Select</t>
        </is>
      </c>
      <c r="DA6" s="35" t="inlineStr">
        <is>
          <t>Yes or No</t>
        </is>
      </c>
      <c r="DB6" s="35" t="inlineStr">
        <is>
          <t>Yes or No</t>
        </is>
      </c>
      <c r="DC6" s="35" t="inlineStr">
        <is>
          <t>Number</t>
        </is>
      </c>
      <c r="DD6" s="36"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DE6" s="35" t="inlineStr">
        <is>
          <t>Yes or No</t>
        </is>
      </c>
      <c r="DF6" s="36"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DG6" s="36"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DH6" s="36"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I6" s="36" t="inlineStr">
        <is>
          <t>Select</t>
        </is>
      </c>
      <c r="DJ6" s="36" t="inlineStr">
        <is>
          <t>Please choose one or more from the following, using a semicolon (;) to separate each value: Electric; Dual Fuel; Induction; Wood Pellets; Natural Gas; Liquid Propane; Wood Burning; Gel Fuel; Bio-Ethanol; Propane; Butane; Charcoal; Ethanol; Alcohol; Does Not Apply</t>
        </is>
      </c>
      <c r="DK6" s="36" t="inlineStr">
        <is>
          <t>Please choose one or more from the following, using a semicolon (;) to separate each value: Flush; Glass; Louvered; Paneled; Mirrored; Barn Doors; Frosted; Insulated; Contoured; Tinted; See Through; Double Pane; Does Not Apply</t>
        </is>
      </c>
      <c r="DL6" s="35" t="inlineStr">
        <is>
          <t>Yes or No</t>
        </is>
      </c>
      <c r="DM6" s="35" t="inlineStr">
        <is>
          <t>Yes or No</t>
        </is>
      </c>
      <c r="DN6" s="36"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O6" s="35" t="inlineStr">
        <is>
          <t>Whole Number</t>
        </is>
      </c>
      <c r="DP6" s="35" t="inlineStr">
        <is>
          <t>Yes or No</t>
        </is>
      </c>
      <c r="DQ6" s="36" t="inlineStr">
        <is>
          <t>Please choose one or more from the following, using a semicolon (;) to separate each value: Gel; Gas; Wood; Electric; Unavailable; Does Not Apply</t>
        </is>
      </c>
      <c r="DR6" s="36" t="inlineStr">
        <is>
          <t>Select</t>
        </is>
      </c>
      <c r="DS6" s="35" t="inlineStr">
        <is>
          <t>Yes or No</t>
        </is>
      </c>
      <c r="DT6" s="36" t="inlineStr">
        <is>
          <t>Select</t>
        </is>
      </c>
      <c r="DU6" s="36" t="inlineStr">
        <is>
          <t>Select</t>
        </is>
      </c>
      <c r="DV6" s="36" t="inlineStr">
        <is>
          <t>Select</t>
        </is>
      </c>
      <c r="DW6" s="36" t="inlineStr">
        <is>
          <t>Select</t>
        </is>
      </c>
      <c r="DX6" s="35" t="inlineStr">
        <is>
          <t>Yes or No</t>
        </is>
      </c>
      <c r="DY6" s="36" t="inlineStr">
        <is>
          <t>Please choose one or more from the following, using a semicolon (;) to separate each value: Dual Language; Distribution Conflict; Logistics; Does Not Apply</t>
        </is>
      </c>
      <c r="DZ6" s="36" t="inlineStr">
        <is>
          <t>Select</t>
        </is>
      </c>
      <c r="EA6" s="35" t="inlineStr">
        <is>
          <t>Yes or No</t>
        </is>
      </c>
      <c r="EB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EC6" s="36" t="inlineStr">
        <is>
          <t>Select</t>
        </is>
      </c>
      <c r="ED6" s="36" t="inlineStr">
        <is>
          <t>Select</t>
        </is>
      </c>
      <c r="EE6" s="36" t="inlineStr">
        <is>
          <t>Select</t>
        </is>
      </c>
      <c r="EF6" s="36" t="inlineStr">
        <is>
          <t>Select</t>
        </is>
      </c>
      <c r="EG6" s="36"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EH6" s="35" t="inlineStr">
        <is>
          <t>Text</t>
        </is>
      </c>
      <c r="EI6" s="36" t="inlineStr">
        <is>
          <t>Select</t>
        </is>
      </c>
      <c r="EJ6" s="36" t="inlineStr">
        <is>
          <t>Select</t>
        </is>
      </c>
      <c r="EK6" s="35" t="inlineStr">
        <is>
          <t>Yes or No</t>
        </is>
      </c>
      <c r="EL6" s="36" t="inlineStr">
        <is>
          <t>Select</t>
        </is>
      </c>
      <c r="EM6" s="35" t="inlineStr">
        <is>
          <t>Number</t>
        </is>
      </c>
      <c r="EN6" s="35" t="inlineStr">
        <is>
          <t>Number</t>
        </is>
      </c>
      <c r="EO6" s="35" t="inlineStr">
        <is>
          <t>Number</t>
        </is>
      </c>
      <c r="EP6" s="35" t="inlineStr">
        <is>
          <t>Number</t>
        </is>
      </c>
      <c r="EQ6" s="35" t="inlineStr">
        <is>
          <t>Number</t>
        </is>
      </c>
      <c r="ER6" s="35" t="inlineStr">
        <is>
          <t>Number</t>
        </is>
      </c>
      <c r="ES6" s="36" t="inlineStr">
        <is>
          <t>Select</t>
        </is>
      </c>
      <c r="ET6" s="35" t="inlineStr">
        <is>
          <t>Number</t>
        </is>
      </c>
      <c r="EU6" s="35" t="inlineStr">
        <is>
          <t>Yes or No</t>
        </is>
      </c>
      <c r="EV6" s="36" t="inlineStr">
        <is>
          <t>Select</t>
        </is>
      </c>
      <c r="EW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X6" s="35" t="inlineStr">
        <is>
          <t>Yes or No</t>
        </is>
      </c>
      <c r="EY6" s="36" t="inlineStr">
        <is>
          <t>Select</t>
        </is>
      </c>
      <c r="EZ6" s="35" t="inlineStr">
        <is>
          <t>Yes or No</t>
        </is>
      </c>
      <c r="FA6" s="36" t="inlineStr">
        <is>
          <t>Select</t>
        </is>
      </c>
      <c r="FB6" s="36"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c r="DZ7" s="38" t="n"/>
      <c r="EA7" s="38" t="n"/>
      <c r="EB7" s="38" t="n"/>
      <c r="EC7" s="38" t="n"/>
      <c r="ED7" s="38" t="n"/>
      <c r="EE7" s="38" t="n"/>
      <c r="EF7" s="38" t="n"/>
      <c r="EG7" s="38" t="n"/>
      <c r="EH7" s="38" t="n"/>
      <c r="EI7" s="38" t="n"/>
      <c r="EJ7" s="38" t="n"/>
      <c r="EK7" s="38" t="n"/>
      <c r="EL7" s="38" t="n"/>
      <c r="EM7" s="38" t="n"/>
      <c r="EN7" s="38" t="n"/>
      <c r="EO7" s="38" t="n"/>
      <c r="EP7" s="38" t="n"/>
      <c r="EQ7" s="38" t="n"/>
      <c r="ER7" s="38" t="n"/>
      <c r="ES7" s="38" t="n"/>
      <c r="ET7" s="38" t="n"/>
      <c r="EU7" s="38" t="n"/>
      <c r="EV7" s="38" t="n"/>
      <c r="EW7" s="38" t="n"/>
      <c r="EX7" s="38" t="n"/>
      <c r="EY7" s="38" t="n"/>
      <c r="EZ7" s="38" t="n"/>
      <c r="FA7" s="38" t="n"/>
      <c r="FB7" s="38" t="n"/>
    </row>
    <row r="8">
      <c r="A8">
        <f t="array" ref="A8">_xlfn.BYROW(B8:FC507, _xlfn.LAMBDA(_xlpm.r, _xlfn.LET(_xlpm.high_priority_idx, IFERROR(MATCH(TRUE, (_xlpm.r = "Error") + (_xlpm.r = "Required") &gt; 0, 0), 0), IF(_xlpm.high_priority_idx &gt; 0, _xlpm.high_priority_idx + 1, IFERROR(MATCH(1, (_xlpm.r = "Warning") * 1, 0) + 1, "")))))</f>
        <v/>
      </c>
      <c r="B8" s="22">
        <f t="array" ref="B8">_xlfn.MAP('6 - TV Stands &amp; Enterta'!B8:B507, '6 - TV Stands &amp; Enterta'!B8:B507, '6 - TV Stands &amp; Enterta-WUO_ERR'!B8:B507, _xlfn.LAMBDA(_xlpm.part, _xlpm.val, _xlpm.error, IF(_xlpm.part = "", "", IF(LEN(_xlpm.error), _xlfn.SWITCH(IFERROR(_xlfn.TEXTBEFORE(_xlpm.error,":"), ""), "1", "Error", "2", "Disabled", "3", "Required", "4", "Warning", "Valid"), "Valid"))))</f>
        <v/>
      </c>
      <c r="C8" s="22">
        <f t="array" ref="C8">_xlfn.MAP('6 - TV Stands &amp; Enterta'!B8:B507, '6 - TV Stands &amp; Enterta'!C8:C507, '6 - TV Stands &amp; Enterta-WUO_ERR'!C8:C507, _xlfn.LAMBDA(_xlpm.part, _xlpm.val, _xlpm.error, IF(_xlpm.part = "", "", IF(LEN(_xlpm.error), _xlfn.SWITCH(IFERROR(_xlfn.TEXTBEFORE(_xlpm.error,":"), ""), "1", "Error", "2", "Disabled", "3", "Required", "4", "Warning", "Valid"), "Valid"))))</f>
        <v/>
      </c>
      <c r="D8" s="22">
        <f t="array" ref="D8">_xlfn.MAP('6 - TV Stands &amp; Enterta'!B8:B507, '6 - TV Stands &amp; Enterta'!D8:D507, '6 - TV Stands &amp; Enterta-WUO_ERR'!D8:D507, _xlfn.LAMBDA(_xlpm.part, _xlpm.val, _xlpm.error, IF(_xlpm.part = "", "", IF(LEN(_xlpm.error), _xlfn.SWITCH(IFERROR(_xlfn.TEXTBEFORE(_xlpm.error,":"), ""), "1", "Error", "2", "Disabled", "3", "Required", "4", "Warning", "Valid"), "Valid"))))</f>
        <v/>
      </c>
      <c r="E8" s="22">
        <f t="array" ref="E8">_xlfn.MAP('6 - TV Stands &amp; Enterta'!B8:B507, '6 - TV Stands &amp; Enterta'!E8:E507, '6 - TV Stands &amp; Enterta-WUO_ERR'!E8:E507, _xlfn.LAMBDA(_xlpm.part, _xlpm.val, _xlpm.error, IF(_xlpm.part = "", "", IF(LEN(_xlpm.error), _xlfn.SWITCH(IFERROR(_xlfn.TEXTBEFORE(_xlpm.error,":"), ""), "1", "Error", "2", "Disabled", "3", "Required", "4", "Warning", "Valid"), "Valid"))))</f>
        <v/>
      </c>
      <c r="F8" s="22">
        <f t="array" ref="F8">_xlfn.MAP('6 - TV Stands &amp; Enterta'!B8:B507, '6 - TV Stands &amp; Enterta'!F8:F507, '6 - TV Stands &amp; Enterta-WUO_ERR'!F8:F507, _xlfn.LAMBDA(_xlpm.part, _xlpm.val, _xlpm.error, IF(_xlpm.part = "", "", IF(LEN(_xlpm.error), _xlfn.SWITCH(IFERROR(_xlfn.TEXTBEFORE(_xlpm.error,":"), ""), "1", "Error", "2", "Disabled", "3", "Required", "4", "Warning", "Valid"), "Valid"))))</f>
        <v/>
      </c>
      <c r="G8" s="22">
        <f t="array" ref="G8">_xlfn.MAP('6 - TV Stands &amp; Enterta'!B8:B507, '6 - TV Stands &amp; Enterta'!G8:G507, '6 - TV Stands &amp; Enterta-WUO_ERR'!G8:G507, _xlfn.LAMBDA(_xlpm.part, _xlpm.val, _xlpm.error, IF(_xlpm.part = "", "", IF(LEN(_xlpm.error), _xlfn.SWITCH(IFERROR(_xlfn.TEXTBEFORE(_xlpm.error,":"), ""), "1", "Error", "2", "Disabled", "3", "Required", "4", "Warning", "Valid"), "Valid"))))</f>
        <v/>
      </c>
      <c r="H8" s="22">
        <f t="array" ref="H8">_xlfn.MAP('6 - TV Stands &amp; Enterta'!B8:B507, '6 - TV Stands &amp; Enterta'!H8:H507, '6 - TV Stands &amp; Enterta-WUO_ERR'!H8:H507, _xlfn.LAMBDA(_xlpm.part, _xlpm.val, _xlpm.error, IF(_xlpm.part = "", "", IF(LEN(_xlpm.error), _xlfn.SWITCH(IFERROR(_xlfn.TEXTBEFORE(_xlpm.error,":"), ""), "1", "Error", "2", "Disabled", "3", "Required", "4", "Warning", "Valid"), "Valid"))))</f>
        <v/>
      </c>
      <c r="I8" s="22">
        <f t="array" ref="I8">_xlfn.MAP('6 - TV Stands &amp; Enterta'!B8:B507, '6 - TV Stands &amp; Enterta'!I8:I507, '6 - TV Stands &amp; Enterta-WUO_ERR'!I8:I507, _xlfn.LAMBDA(_xlpm.part, _xlpm.val, _xlpm.error, IF(_xlpm.part = "", "", IF(LEN(_xlpm.error), _xlfn.SWITCH(IFERROR(_xlfn.TEXTBEFORE(_xlpm.error,":"), ""), "1", "Error", "2", "Disabled", "3", "Required", "4", "Warning", "Valid"), "Valid"))))</f>
        <v/>
      </c>
      <c r="J8" s="22">
        <f t="array" ref="J8">_xlfn.MAP('6 - TV Stands &amp; Enterta'!B8:B507, '6 - TV Stands &amp; Enterta'!J8:J507, '6 - TV Stands &amp; Enterta-WUO_ERR'!J8:J507, _xlfn.LAMBDA(_xlpm.part, _xlpm.val, _xlpm.error, IF(_xlpm.part = "", "", IF(LEN(_xlpm.error), _xlfn.SWITCH(IFERROR(_xlfn.TEXTBEFORE(_xlpm.error,":"), ""), "1", "Error", "2", "Disabled", "3", "Required", "4", "Warning", "Valid"), "Valid"))))</f>
        <v/>
      </c>
      <c r="K8" s="22">
        <f t="array" ref="K8">_xlfn.MAP('6 - TV Stands &amp; Enterta'!B8:B507, '6 - TV Stands &amp; Enterta'!K8:K507, '6 - TV Stands &amp; Enterta-WUO_ERR'!K8:K507, _xlfn.LAMBDA(_xlpm.part, _xlpm.val, _xlpm.error, IF(_xlpm.part = "", "", IF(LEN(_xlpm.error), _xlfn.SWITCH(IFERROR(_xlfn.TEXTBEFORE(_xlpm.error,":"), ""), "1", "Error", "2", "Disabled", "3", "Required", "4", "Warning", "Valid"), "Valid"))))</f>
        <v/>
      </c>
      <c r="L8" s="22">
        <f t="array" ref="L8">_xlfn.MAP('6 - TV Stands &amp; Enterta'!B8:B507, '6 - TV Stands &amp; Enterta'!L8:L507, '6 - TV Stands &amp; Enterta-WUO_ERR'!L8:L507, _xlfn.LAMBDA(_xlpm.part, _xlpm.val, _xlpm.error, IF(_xlpm.part = "", "", IF(LEN(_xlpm.error), _xlfn.SWITCH(IFERROR(_xlfn.TEXTBEFORE(_xlpm.error,":"), ""), "1", "Error", "2", "Disabled", "3", "Required", "4", "Warning", "Valid"), "Valid"))))</f>
        <v/>
      </c>
      <c r="M8" s="22">
        <f t="array" ref="M8">_xlfn.MAP('6 - TV Stands &amp; Enterta'!B8:B507, '6 - TV Stands &amp; Enterta'!M8:M507, '6 - TV Stands &amp; Enterta-WUO_ERR'!M8:M507, _xlfn.LAMBDA(_xlpm.part, _xlpm.val, _xlpm.error, IF(_xlpm.part = "", "", IF(LEN(_xlpm.error), _xlfn.SWITCH(IFERROR(_xlfn.TEXTBEFORE(_xlpm.error,":"), ""), "1", "Error", "2", "Disabled", "3", "Required", "4", "Warning", "Valid"), "Valid"))))</f>
        <v/>
      </c>
      <c r="N8" s="22">
        <f t="array" ref="N8">_xlfn.MAP('6 - TV Stands &amp; Enterta'!B8:B507, '6 - TV Stands &amp; Enterta'!N8:N507, '6 - TV Stands &amp; Enterta-WUO_ERR'!N8:N507, _xlfn.LAMBDA(_xlpm.part, _xlpm.val, _xlpm.error, IF(_xlpm.part = "", "", IF(LEN(_xlpm.error), _xlfn.SWITCH(IFERROR(_xlfn.TEXTBEFORE(_xlpm.error,":"), ""), "1", "Error", "2", "Disabled", "3", "Required", "4", "Warning", "Valid"), "Valid"))))</f>
        <v/>
      </c>
      <c r="O8" s="22">
        <f t="array" ref="O8">_xlfn.MAP('6 - TV Stands &amp; Enterta'!B8:B507, '6 - TV Stands &amp; Enterta'!O8:O507, '6 - TV Stands &amp; Enterta-WUO_ERR'!O8:O507, _xlfn.LAMBDA(_xlpm.part, _xlpm.val, _xlpm.error, IF(_xlpm.part = "", "", IF(LEN(_xlpm.error), _xlfn.SWITCH(IFERROR(_xlfn.TEXTBEFORE(_xlpm.error,":"), ""), "1", "Error", "2", "Disabled", "3", "Required", "4", "Warning", "Valid"), "Valid"))))</f>
        <v/>
      </c>
      <c r="P8" s="22">
        <f t="array" ref="P8">_xlfn.MAP('6 - TV Stands &amp; Enterta'!B8:B507, '6 - TV Stands &amp; Enterta'!P8:P507, '6 - TV Stands &amp; Enterta-WUO_ERR'!P8:P507, _xlfn.LAMBDA(_xlpm.part, _xlpm.val, _xlpm.error, IF(_xlpm.part = "", "", IF(LEN(_xlpm.error), _xlfn.SWITCH(IFERROR(_xlfn.TEXTBEFORE(_xlpm.error,":"), ""), "1", "Error", "2", "Disabled", "3", "Required", "4", "Warning", "Valid"), "Valid"))))</f>
        <v/>
      </c>
      <c r="Q8" s="22">
        <f t="array" ref="Q8">_xlfn.MAP('6 - TV Stands &amp; Enterta'!B8:B507, '6 - TV Stands &amp; Enterta'!Q8:Q507, '6 - TV Stands &amp; Enterta-WUO_ERR'!Q8:Q507, _xlfn.LAMBDA(_xlpm.part, _xlpm.val, _xlpm.error, IF(_xlpm.part = "", "", IF(LEN(_xlpm.error), _xlfn.SWITCH(IFERROR(_xlfn.TEXTBEFORE(_xlpm.error,":"), ""), "1", "Error", "2", "Disabled", "3", "Required", "4", "Warning", "Valid"), "Valid"))))</f>
        <v/>
      </c>
      <c r="R8" s="22">
        <f t="array" ref="R8">_xlfn.MAP('6 - TV Stands &amp; Enterta'!B8:B507, '6 - TV Stands &amp; Enterta'!R8:R507, '6 - TV Stands &amp; Enterta-WUO_ERR'!R8:R507, _xlfn.LAMBDA(_xlpm.part, _xlpm.val, _xlpm.error, IF(_xlpm.part = "", "", IF(LEN(_xlpm.error), _xlfn.SWITCH(IFERROR(_xlfn.TEXTBEFORE(_xlpm.error,":"), ""), "1", "Error", "2", "Disabled", "3", "Required", "4", "Warning", "Valid"), "Valid"))))</f>
        <v/>
      </c>
      <c r="S8" s="22">
        <f t="array" ref="S8">_xlfn.MAP('6 - TV Stands &amp; Enterta'!B8:B507, '6 - TV Stands &amp; Enterta'!S8:S507, '6 - TV Stands &amp; Enterta-WUO_ERR'!S8:S507, _xlfn.LAMBDA(_xlpm.part, _xlpm.val, _xlpm.error, IF(_xlpm.part = "", "", IF(LEN(_xlpm.error), _xlfn.SWITCH(IFERROR(_xlfn.TEXTBEFORE(_xlpm.error,":"), ""), "1", "Error", "2", "Disabled", "3", "Required", "4", "Warning", "Valid"), "Valid"))))</f>
        <v/>
      </c>
      <c r="T8" s="22">
        <f t="array" ref="T8">_xlfn.MAP('6 - TV Stands &amp; Enterta'!B8:B507, '6 - TV Stands &amp; Enterta'!T8:T507, '6 - TV Stands &amp; Enterta-WUO_ERR'!T8:T507, _xlfn.LAMBDA(_xlpm.part, _xlpm.val, _xlpm.error, IF(_xlpm.part = "", "", IF(LEN(_xlpm.error), _xlfn.SWITCH(IFERROR(_xlfn.TEXTBEFORE(_xlpm.error,":"), ""), "1", "Error", "2", "Disabled", "3", "Required", "4", "Warning", "Valid"), "Valid"))))</f>
        <v/>
      </c>
      <c r="U8" s="22">
        <f t="array" ref="U8">_xlfn.MAP('6 - TV Stands &amp; Enterta'!B8:B507, '6 - TV Stands &amp; Enterta'!U8:U507, '6 - TV Stands &amp; Enterta-WUO_ERR'!U8:U507, _xlfn.LAMBDA(_xlpm.part, _xlpm.val, _xlpm.error, IF(_xlpm.part = "", "", IF(LEN(_xlpm.error), _xlfn.SWITCH(IFERROR(_xlfn.TEXTBEFORE(_xlpm.error,":"), ""), "1", "Error", "2", "Disabled", "3", "Required", "4", "Warning", "Valid"), "Valid"))))</f>
        <v/>
      </c>
      <c r="V8" s="22">
        <f t="array" ref="V8">_xlfn.MAP('6 - TV Stands &amp; Enterta'!B8:B507, '6 - TV Stands &amp; Enterta'!V8:V507, '6 - TV Stands &amp; Enterta-WUO_ERR'!V8:V507, _xlfn.LAMBDA(_xlpm.part, _xlpm.val, _xlpm.error, IF(_xlpm.part = "", "", IF(LEN(_xlpm.error), _xlfn.SWITCH(IFERROR(_xlfn.TEXTBEFORE(_xlpm.error,":"), ""), "1", "Error", "2", "Disabled", "3", "Required", "4", "Warning", "Valid"), "Valid"))))</f>
        <v/>
      </c>
      <c r="W8" s="22">
        <f t="array" ref="W8">_xlfn.MAP('6 - TV Stands &amp; Enterta'!B8:B507, '6 - TV Stands &amp; Enterta'!W8:W507, '6 - TV Stands &amp; Enterta-WUO_ERR'!W8:W507, _xlfn.LAMBDA(_xlpm.part, _xlpm.val, _xlpm.error, IF(_xlpm.part = "", "", IF(LEN(_xlpm.error), _xlfn.SWITCH(IFERROR(_xlfn.TEXTBEFORE(_xlpm.error,":"), ""), "1", "Error", "2", "Disabled", "3", "Required", "4", "Warning", "Valid"), "Valid"))))</f>
        <v/>
      </c>
      <c r="X8" s="22">
        <f t="array" ref="X8">_xlfn.MAP('6 - TV Stands &amp; Enterta'!B8:B507, '6 - TV Stands &amp; Enterta'!X8:X507, '6 - TV Stands &amp; Enterta-WUO_ERR'!X8:X507, _xlfn.LAMBDA(_xlpm.part, _xlpm.val, _xlpm.error, IF(_xlpm.part = "", "", IF(LEN(_xlpm.error), _xlfn.SWITCH(IFERROR(_xlfn.TEXTBEFORE(_xlpm.error,":"), ""), "1", "Error", "2", "Disabled", "3", "Required", "4", "Warning", "Valid"), "Valid"))))</f>
        <v/>
      </c>
      <c r="Y8" s="22">
        <f t="array" ref="Y8">_xlfn.MAP('6 - TV Stands &amp; Enterta'!B8:B507, '6 - TV Stands &amp; Enterta'!Y8:Y507, '6 - TV Stands &amp; Enterta-WUO_ERR'!Y8:Y507, _xlfn.LAMBDA(_xlpm.part, _xlpm.val, _xlpm.error, IF(_xlpm.part = "", "", IF(LEN(_xlpm.error), _xlfn.SWITCH(IFERROR(_xlfn.TEXTBEFORE(_xlpm.error,":"), ""), "1", "Error", "2", "Disabled", "3", "Required", "4", "Warning", "Valid"), "Valid"))))</f>
        <v/>
      </c>
      <c r="Z8" s="22">
        <f t="array" ref="Z8">_xlfn.MAP('6 - TV Stands &amp; Enterta'!B8:B507, '6 - TV Stands &amp; Enterta'!Z8:Z507, '6 - TV Stands &amp; Enterta-WUO_ERR'!Z8:Z507, _xlfn.LAMBDA(_xlpm.part, _xlpm.val, _xlpm.error, IF(_xlpm.part = "", "", IF(LEN(_xlpm.error), _xlfn.SWITCH(IFERROR(_xlfn.TEXTBEFORE(_xlpm.error,":"), ""), "1", "Error", "2", "Disabled", "3", "Required", "4", "Warning", "Valid"), "Valid"))))</f>
        <v/>
      </c>
      <c r="AA8" s="22">
        <f t="array" ref="AA8">_xlfn.MAP('6 - TV Stands &amp; Enterta'!B8:B507, '6 - TV Stands &amp; Enterta'!AA8:AA507, '6 - TV Stands &amp; Enterta-WUO_ERR'!AA8:AA507, _xlfn.LAMBDA(_xlpm.part, _xlpm.val, _xlpm.error, IF(_xlpm.part = "", "", IF(LEN(_xlpm.error), _xlfn.SWITCH(IFERROR(_xlfn.TEXTBEFORE(_xlpm.error,":"), ""), "1", "Error", "2", "Disabled", "3", "Required", "4", "Warning", "Valid"), "Valid"))))</f>
        <v/>
      </c>
      <c r="AB8" s="22">
        <f t="array" ref="AB8">_xlfn.MAP('6 - TV Stands &amp; Enterta'!B8:B507, '6 - TV Stands &amp; Enterta'!AB8:AB507, '6 - TV Stands &amp; Enterta-WUO_ERR'!AB8:AB507, _xlfn.LAMBDA(_xlpm.part, _xlpm.val, _xlpm.error, IF(_xlpm.part = "", "", IF(LEN(_xlpm.error), _xlfn.SWITCH(IFERROR(_xlfn.TEXTBEFORE(_xlpm.error,":"), ""), "1", "Error", "2", "Disabled", "3", "Required", "4", "Warning", "Valid"), "Valid"))))</f>
        <v/>
      </c>
      <c r="AC8" s="22">
        <f t="array" ref="AC8">_xlfn.MAP('6 - TV Stands &amp; Enterta'!B8:B507, '6 - TV Stands &amp; Enterta'!AC8:AC507, '6 - TV Stands &amp; Enterta-WUO_ERR'!AC8:AC507, _xlfn.LAMBDA(_xlpm.part, _xlpm.val, _xlpm.error, IF(_xlpm.part = "", "", IF(LEN(_xlpm.error), _xlfn.SWITCH(IFERROR(_xlfn.TEXTBEFORE(_xlpm.error,":"), ""), "1", "Error", "2", "Disabled", "3", "Required", "4", "Warning", "Valid"), "Valid"))))</f>
        <v/>
      </c>
      <c r="AD8" s="22">
        <f t="array" ref="AD8">_xlfn.MAP('6 - TV Stands &amp; Enterta'!B8:B507, '6 - TV Stands &amp; Enterta'!AD8:AD507, '6 - TV Stands &amp; Enterta-WUO_ERR'!AD8:AD507, _xlfn.LAMBDA(_xlpm.part, _xlpm.val, _xlpm.error, IF(_xlpm.part = "", "", IF(LEN(_xlpm.error), _xlfn.SWITCH(IFERROR(_xlfn.TEXTBEFORE(_xlpm.error,":"), ""), "1", "Error", "2", "Disabled", "3", "Required", "4", "Warning", "Valid"), "Valid"))))</f>
        <v/>
      </c>
      <c r="AE8" s="22">
        <f t="array" ref="AE8">_xlfn.MAP('6 - TV Stands &amp; Enterta'!B8:B507, '6 - TV Stands &amp; Enterta'!AE8:AE507, '6 - TV Stands &amp; Enterta-WUO_ERR'!AE8:AE507, _xlfn.LAMBDA(_xlpm.part, _xlpm.val, _xlpm.error, IF(_xlpm.part = "", "", IF(LEN(_xlpm.error), _xlfn.SWITCH(IFERROR(_xlfn.TEXTBEFORE(_xlpm.error,":"), ""), "1", "Error", "2", "Disabled", "3", "Required", "4", "Warning", "Valid"), "Valid"))))</f>
        <v/>
      </c>
      <c r="AF8" s="22">
        <f t="array" ref="AF8">_xlfn.MAP('6 - TV Stands &amp; Enterta'!B8:B507, '6 - TV Stands &amp; Enterta'!AF8:AF507, '6 - TV Stands &amp; Enterta-WUO_ERR'!AF8:AF507, _xlfn.LAMBDA(_xlpm.part, _xlpm.val, _xlpm.error, IF(_xlpm.part = "", "", IF(LEN(_xlpm.error), _xlfn.SWITCH(IFERROR(_xlfn.TEXTBEFORE(_xlpm.error,":"), ""), "1", "Error", "2", "Disabled", "3", "Required", "4", "Warning", "Valid"), "Valid"))))</f>
        <v/>
      </c>
      <c r="AG8" s="22">
        <f t="array" ref="AG8">_xlfn.MAP('6 - TV Stands &amp; Enterta'!B8:B507, '6 - TV Stands &amp; Enterta'!AG8:AG507, '6 - TV Stands &amp; Enterta-WUO_ERR'!AG8:AG507, _xlfn.LAMBDA(_xlpm.part, _xlpm.val, _xlpm.error, IF(_xlpm.part = "", "", IF(LEN(_xlpm.error), _xlfn.SWITCH(IFERROR(_xlfn.TEXTBEFORE(_xlpm.error,":"), ""), "1", "Error", "2", "Disabled", "3", "Required", "4", "Warning", "Valid"), "Valid"))))</f>
        <v/>
      </c>
      <c r="AH8" s="22">
        <f t="array" ref="AH8">_xlfn.MAP('6 - TV Stands &amp; Enterta'!B8:B507, '6 - TV Stands &amp; Enterta'!AH8:AH507, '6 - TV Stands &amp; Enterta-WUO_ERR'!AH8:AH507, _xlfn.LAMBDA(_xlpm.part, _xlpm.val, _xlpm.error, IF(_xlpm.part = "", "", IF(LEN(_xlpm.error), _xlfn.SWITCH(IFERROR(_xlfn.TEXTBEFORE(_xlpm.error,":"), ""), "1", "Error", "2", "Disabled", "3", "Required", "4", "Warning", "Valid"), "Valid"))))</f>
        <v/>
      </c>
      <c r="AI8" s="22">
        <f t="array" ref="AI8">_xlfn.MAP('6 - TV Stands &amp; Enterta'!B8:B507, '6 - TV Stands &amp; Enterta'!AI8:AI507, '6 - TV Stands &amp; Enterta-WUO_ERR'!AI8:AI507, _xlfn.LAMBDA(_xlpm.part, _xlpm.val, _xlpm.error, IF(_xlpm.part = "", "", IF(LEN(_xlpm.error), _xlfn.SWITCH(IFERROR(_xlfn.TEXTBEFORE(_xlpm.error,":"), ""), "1", "Error", "2", "Disabled", "3", "Required", "4", "Warning", "Valid"), "Valid"))))</f>
        <v/>
      </c>
      <c r="AJ8" s="22">
        <f t="array" ref="AJ8">_xlfn.MAP('6 - TV Stands &amp; Enterta'!B8:B507, '6 - TV Stands &amp; Enterta'!AJ8:AJ507, '6 - TV Stands &amp; Enterta-WUO_ERR'!AJ8:AJ507, _xlfn.LAMBDA(_xlpm.part, _xlpm.val, _xlpm.error, IF(_xlpm.part = "", "", IF(LEN(_xlpm.error), _xlfn.SWITCH(IFERROR(_xlfn.TEXTBEFORE(_xlpm.error,":"), ""), "1", "Error", "2", "Disabled", "3", "Required", "4", "Warning", "Valid"), "Valid"))))</f>
        <v/>
      </c>
      <c r="AK8" s="22">
        <f t="array" ref="AK8">_xlfn.MAP('6 - TV Stands &amp; Enterta'!B8:B507, '6 - TV Stands &amp; Enterta'!AK8:AK507, '6 - TV Stands &amp; Enterta-WUO_ERR'!AK8:AK507, _xlfn.LAMBDA(_xlpm.part, _xlpm.val, _xlpm.error, IF(_xlpm.part = "", "", IF(LEN(_xlpm.error), _xlfn.SWITCH(IFERROR(_xlfn.TEXTBEFORE(_xlpm.error,":"), ""), "1", "Error", "2", "Disabled", "3", "Required", "4", "Warning", "Valid"), "Valid"))))</f>
        <v/>
      </c>
      <c r="AL8" s="22">
        <f t="array" ref="AL8">_xlfn.MAP('6 - TV Stands &amp; Enterta'!B8:B507, '6 - TV Stands &amp; Enterta'!AL8:AL507, '6 - TV Stands &amp; Enterta-WUO_ERR'!AL8:AL507, _xlfn.LAMBDA(_xlpm.part, _xlpm.val, _xlpm.error, IF(_xlpm.part = "", "", IF(LEN(_xlpm.error), _xlfn.SWITCH(IFERROR(_xlfn.TEXTBEFORE(_xlpm.error,":"), ""), "1", "Error", "2", "Disabled", "3", "Required", "4", "Warning", "Valid"), "Valid"))))</f>
        <v/>
      </c>
      <c r="AM8" s="22">
        <f t="array" ref="AM8">_xlfn.MAP('6 - TV Stands &amp; Enterta'!B8:B507, '6 - TV Stands &amp; Enterta'!AM8:AM507, '6 - TV Stands &amp; Enterta-WUO_ERR'!AM8:AM507, _xlfn.LAMBDA(_xlpm.part, _xlpm.val, _xlpm.error, IF(_xlpm.part = "", "", IF(LEN(_xlpm.error), _xlfn.SWITCH(IFERROR(_xlfn.TEXTBEFORE(_xlpm.error,":"), ""), "1", "Error", "2", "Disabled", "3", "Required", "4", "Warning", "Valid"), "Valid"))))</f>
        <v/>
      </c>
      <c r="AN8" s="22">
        <f t="array" ref="AN8">_xlfn.MAP('6 - TV Stands &amp; Enterta'!B8:B507, '6 - TV Stands &amp; Enterta'!AN8:AN507, '6 - TV Stands &amp; Enterta-WUO_ERR'!AN8:AN507, _xlfn.LAMBDA(_xlpm.part, _xlpm.val, _xlpm.error, IF(_xlpm.part = "", "", IF(LEN(_xlpm.error), _xlfn.SWITCH(IFERROR(_xlfn.TEXTBEFORE(_xlpm.error,":"), ""), "1", "Error", "2", "Disabled", "3", "Required", "4", "Warning", "Valid"), "Valid"))))</f>
        <v/>
      </c>
      <c r="AO8" s="22">
        <f t="array" ref="AO8">_xlfn.MAP('6 - TV Stands &amp; Enterta'!B8:B507, '6 - TV Stands &amp; Enterta'!AO8:AO507, '6 - TV Stands &amp; Enterta-WUO_ERR'!AO8:AO507, _xlfn.LAMBDA(_xlpm.part, _xlpm.val, _xlpm.error, IF(_xlpm.part = "", "", IF(LEN(_xlpm.error), _xlfn.SWITCH(IFERROR(_xlfn.TEXTBEFORE(_xlpm.error,":"), ""), "1", "Error", "2", "Disabled", "3", "Required", "4", "Warning", "Valid"), "Valid"))))</f>
        <v/>
      </c>
      <c r="AP8" s="22">
        <f t="array" ref="AP8">_xlfn.MAP('6 - TV Stands &amp; Enterta'!B8:B507, '6 - TV Stands &amp; Enterta'!AP8:AP507, '6 - TV Stands &amp; Enterta-WUO_ERR'!AP8:AP507, _xlfn.LAMBDA(_xlpm.part, _xlpm.val, _xlpm.error, IF(_xlpm.part = "", "", IF(LEN(_xlpm.error), _xlfn.SWITCH(IFERROR(_xlfn.TEXTBEFORE(_xlpm.error,":"), ""), "1", "Error", "2", "Disabled", "3", "Required", "4", "Warning", "Valid"), "Valid"))))</f>
        <v/>
      </c>
      <c r="AQ8" s="22">
        <f t="array" ref="AQ8">_xlfn.MAP('6 - TV Stands &amp; Enterta'!B8:B507, '6 - TV Stands &amp; Enterta'!AQ8:AQ507, '6 - TV Stands &amp; Enterta-WUO_ERR'!AQ8:AQ507, _xlfn.LAMBDA(_xlpm.part, _xlpm.val, _xlpm.error, IF(_xlpm.part = "", "", IF(LEN(_xlpm.error), _xlfn.SWITCH(IFERROR(_xlfn.TEXTBEFORE(_xlpm.error,":"), ""), "1", "Error", "2", "Disabled", "3", "Required", "4", "Warning", "Valid"), "Valid"))))</f>
        <v/>
      </c>
      <c r="AR8" s="22">
        <f t="array" ref="AR8">_xlfn.MAP('6 - TV Stands &amp; Enterta'!B8:B507, '6 - TV Stands &amp; Enterta'!AR8:AR507, '6 - TV Stands &amp; Enterta-WUO_ERR'!AR8:AR507, _xlfn.LAMBDA(_xlpm.part, _xlpm.val, _xlpm.error, IF(_xlpm.part = "", "", IF(LEN(_xlpm.error), _xlfn.SWITCH(IFERROR(_xlfn.TEXTBEFORE(_xlpm.error,":"), ""), "1", "Error", "2", "Disabled", "3", "Required", "4", "Warning", "Valid"), "Valid"))))</f>
        <v/>
      </c>
      <c r="AS8" s="22">
        <f t="array" ref="AS8">_xlfn.MAP('6 - TV Stands &amp; Enterta'!B8:B507, '6 - TV Stands &amp; Enterta'!AS8:AS507, '6 - TV Stands &amp; Enterta-WUO_ERR'!AS8:AS507, _xlfn.LAMBDA(_xlpm.part, _xlpm.val, _xlpm.error, IF(_xlpm.part = "", "", IF(LEN(_xlpm.error), _xlfn.SWITCH(IFERROR(_xlfn.TEXTBEFORE(_xlpm.error,":"), ""), "1", "Error", "2", "Disabled", "3", "Required", "4", "Warning", "Valid"), "Valid"))))</f>
        <v/>
      </c>
      <c r="AT8" s="22">
        <f t="array" ref="AT8">_xlfn.MAP('6 - TV Stands &amp; Enterta'!B8:B507, '6 - TV Stands &amp; Enterta'!AT8:AT507, '6 - TV Stands &amp; Enterta-WUO_ERR'!AT8:AT507, _xlfn.LAMBDA(_xlpm.part, _xlpm.val, _xlpm.error, IF(_xlpm.part = "", "", IF(LEN(_xlpm.error), _xlfn.SWITCH(IFERROR(_xlfn.TEXTBEFORE(_xlpm.error,":"), ""), "1", "Error", "2", "Disabled", "3", "Required", "4", "Warning", "Valid"), "Valid"))))</f>
        <v/>
      </c>
      <c r="AU8" s="22">
        <f t="array" ref="AU8">_xlfn.MAP('6 - TV Stands &amp; Enterta'!B8:B507, '6 - TV Stands &amp; Enterta'!AU8:AU507, '6 - TV Stands &amp; Enterta-WUO_ERR'!AU8:AU507, _xlfn.LAMBDA(_xlpm.part, _xlpm.val, _xlpm.error, IF(_xlpm.part = "", "", IF(LEN(_xlpm.error), _xlfn.SWITCH(IFERROR(_xlfn.TEXTBEFORE(_xlpm.error,":"), ""), "1", "Error", "2", "Disabled", "3", "Required", "4", "Warning", "Valid"), "Valid"))))</f>
        <v/>
      </c>
      <c r="AV8" s="22">
        <f t="array" ref="AV8">_xlfn.MAP('6 - TV Stands &amp; Enterta'!B8:B507, '6 - TV Stands &amp; Enterta'!AV8:AV507, '6 - TV Stands &amp; Enterta-WUO_ERR'!AV8:AV507, _xlfn.LAMBDA(_xlpm.part, _xlpm.val, _xlpm.error, IF(_xlpm.part = "", "", IF(LEN(_xlpm.error), _xlfn.SWITCH(IFERROR(_xlfn.TEXTBEFORE(_xlpm.error,":"), ""), "1", "Error", "2", "Disabled", "3", "Required", "4", "Warning", "Valid"), "Valid"))))</f>
        <v/>
      </c>
      <c r="AW8" s="22">
        <f t="array" ref="AW8">_xlfn.MAP('6 - TV Stands &amp; Enterta'!B8:B507, '6 - TV Stands &amp; Enterta'!AW8:AW507, '6 - TV Stands &amp; Enterta-WUO_ERR'!AW8:AW507, _xlfn.LAMBDA(_xlpm.part, _xlpm.val, _xlpm.error, IF(_xlpm.part = "", "", IF(LEN(_xlpm.error), _xlfn.SWITCH(IFERROR(_xlfn.TEXTBEFORE(_xlpm.error,":"), ""), "1", "Error", "2", "Disabled", "3", "Required", "4", "Warning", "Valid"), "Valid"))))</f>
        <v/>
      </c>
      <c r="AX8" s="22">
        <f t="array" ref="AX8">_xlfn.MAP('6 - TV Stands &amp; Enterta'!B8:B507, '6 - TV Stands &amp; Enterta'!AX8:AX507, '6 - TV Stands &amp; Enterta-WUO_ERR'!AX8:AX507, _xlfn.LAMBDA(_xlpm.part, _xlpm.val, _xlpm.error, IF(_xlpm.part = "", "", IF(LEN(_xlpm.error), _xlfn.SWITCH(IFERROR(_xlfn.TEXTBEFORE(_xlpm.error,":"), ""), "1", "Error", "2", "Disabled", "3", "Required", "4", "Warning", "Valid"), "Valid"))))</f>
        <v/>
      </c>
      <c r="AY8" s="22">
        <f t="array" ref="AY8">_xlfn.MAP('6 - TV Stands &amp; Enterta'!B8:B507, '6 - TV Stands &amp; Enterta'!AY8:AY507, '6 - TV Stands &amp; Enterta-WUO_ERR'!AY8:AY507, _xlfn.LAMBDA(_xlpm.part, _xlpm.val, _xlpm.error, IF(_xlpm.part = "", "", IF(LEN(_xlpm.error), _xlfn.SWITCH(IFERROR(_xlfn.TEXTBEFORE(_xlpm.error,":"), ""), "1", "Error", "2", "Disabled", "3", "Required", "4", "Warning", "Valid"), "Valid"))))</f>
        <v/>
      </c>
      <c r="AZ8" s="22">
        <f t="array" ref="AZ8">_xlfn.MAP('6 - TV Stands &amp; Enterta'!B8:B507, '6 - TV Stands &amp; Enterta'!AZ8:AZ507, '6 - TV Stands &amp; Enterta-WUO_ERR'!AZ8:AZ507, _xlfn.LAMBDA(_xlpm.part, _xlpm.val, _xlpm.error, IF(_xlpm.part = "", "", IF(LEN(_xlpm.error), _xlfn.SWITCH(IFERROR(_xlfn.TEXTBEFORE(_xlpm.error,":"), ""), "1", "Error", "2", "Disabled", "3", "Required", "4", "Warning", "Valid"), "Valid"))))</f>
        <v/>
      </c>
      <c r="BA8" s="22">
        <f t="array" ref="BA8">_xlfn.MAP('6 - TV Stands &amp; Enterta'!B8:B507, '6 - TV Stands &amp; Enterta'!BA8:BA507, '6 - TV Stands &amp; Enterta-WUO_ERR'!BA8:BA507, _xlfn.LAMBDA(_xlpm.part, _xlpm.val, _xlpm.error, IF(_xlpm.part = "", "", IF(LEN(_xlpm.error), _xlfn.SWITCH(IFERROR(_xlfn.TEXTBEFORE(_xlpm.error,":"), ""), "1", "Error", "2", "Disabled", "3", "Required", "4", "Warning", "Valid"), "Valid"))))</f>
        <v/>
      </c>
      <c r="BB8" s="22">
        <f t="array" ref="BB8">_xlfn.MAP('6 - TV Stands &amp; Enterta'!B8:B507, '6 - TV Stands &amp; Enterta'!BB8:BB507, '6 - TV Stands &amp; Enterta-WUO_ERR'!BB8:BB507, _xlfn.LAMBDA(_xlpm.part, _xlpm.val, _xlpm.error, IF(_xlpm.part = "", "", IF(LEN(_xlpm.error), _xlfn.SWITCH(IFERROR(_xlfn.TEXTBEFORE(_xlpm.error,":"), ""), "1", "Error", "2", "Disabled", "3", "Required", "4", "Warning", "Valid"), "Valid"))))</f>
        <v/>
      </c>
      <c r="BC8" s="22">
        <f t="array" ref="BC8">_xlfn.MAP('6 - TV Stands &amp; Enterta'!B8:B507, '6 - TV Stands &amp; Enterta'!BC8:BC507, '6 - TV Stands &amp; Enterta-WUO_ERR'!BC8:BC507, _xlfn.LAMBDA(_xlpm.part, _xlpm.val, _xlpm.error, IF(_xlpm.part = "", "", IF(LEN(_xlpm.error), _xlfn.SWITCH(IFERROR(_xlfn.TEXTBEFORE(_xlpm.error,":"), ""), "1", "Error", "2", "Disabled", "3", "Required", "4", "Warning", "Valid"), "Valid"))))</f>
        <v/>
      </c>
      <c r="BD8" s="22">
        <f t="array" ref="BD8">_xlfn.MAP('6 - TV Stands &amp; Enterta'!B8:B507, '6 - TV Stands &amp; Enterta'!BD8:BD507, '6 - TV Stands &amp; Enterta-WUO_ERR'!BD8:BD507, _xlfn.LAMBDA(_xlpm.part, _xlpm.val, _xlpm.error, IF(_xlpm.part = "", "", IF(LEN(_xlpm.error), _xlfn.SWITCH(IFERROR(_xlfn.TEXTBEFORE(_xlpm.error,":"), ""), "1", "Error", "2", "Disabled", "3", "Required", "4", "Warning", "Valid"), "Valid"))))</f>
        <v/>
      </c>
      <c r="BE8" s="22">
        <f t="array" ref="BE8">_xlfn.MAP('6 - TV Stands &amp; Enterta'!B8:B507, '6 - TV Stands &amp; Enterta'!BE8:BE507, '6 - TV Stands &amp; Enterta-WUO_ERR'!BE8:BE507, _xlfn.LAMBDA(_xlpm.part, _xlpm.val, _xlpm.error, IF(_xlpm.part = "", "", IF(LEN(_xlpm.error), _xlfn.SWITCH(IFERROR(_xlfn.TEXTBEFORE(_xlpm.error,":"), ""), "1", "Error", "2", "Disabled", "3", "Required", "4", "Warning", "Valid"), "Valid"))))</f>
        <v/>
      </c>
      <c r="BF8" s="22">
        <f t="array" ref="BF8">_xlfn.MAP('6 - TV Stands &amp; Enterta'!B8:B507, '6 - TV Stands &amp; Enterta'!BF8:BF507, '6 - TV Stands &amp; Enterta-WUO_ERR'!BF8:BF507, _xlfn.LAMBDA(_xlpm.part, _xlpm.val, _xlpm.error, IF(_xlpm.part = "", "", IF(LEN(_xlpm.error), _xlfn.SWITCH(IFERROR(_xlfn.TEXTBEFORE(_xlpm.error,":"), ""), "1", "Error", "2", "Disabled", "3", "Required", "4", "Warning", "Valid"), "Valid"))))</f>
        <v/>
      </c>
      <c r="BG8" s="22">
        <f t="array" ref="BG8">_xlfn.MAP('6 - TV Stands &amp; Enterta'!B8:B507, '6 - TV Stands &amp; Enterta'!BG8:BG507, '6 - TV Stands &amp; Enterta-WUO_ERR'!BG8:BG507, _xlfn.LAMBDA(_xlpm.part, _xlpm.val, _xlpm.error, IF(_xlpm.part = "", "", IF(LEN(_xlpm.error), _xlfn.SWITCH(IFERROR(_xlfn.TEXTBEFORE(_xlpm.error,":"), ""), "1", "Error", "2", "Disabled", "3", "Required", "4", "Warning", "Valid"), "Valid"))))</f>
        <v/>
      </c>
      <c r="BH8" s="22">
        <f t="array" ref="BH8">_xlfn.MAP('6 - TV Stands &amp; Enterta'!B8:B507, '6 - TV Stands &amp; Enterta'!BH8:BH507, '6 - TV Stands &amp; Enterta-WUO_ERR'!BH8:BH507, _xlfn.LAMBDA(_xlpm.part, _xlpm.val, _xlpm.error, IF(_xlpm.part = "", "", IF(LEN(_xlpm.error), _xlfn.SWITCH(IFERROR(_xlfn.TEXTBEFORE(_xlpm.error,":"), ""), "1", "Error", "2", "Disabled", "3", "Required", "4", "Warning", "Valid"), "Valid"))))</f>
        <v/>
      </c>
      <c r="BI8" s="22">
        <f t="array" ref="BI8">_xlfn.MAP('6 - TV Stands &amp; Enterta'!B8:B507, '6 - TV Stands &amp; Enterta'!BI8:BI507, '6 - TV Stands &amp; Enterta-WUO_ERR'!BI8:BI507, _xlfn.LAMBDA(_xlpm.part, _xlpm.val, _xlpm.error, IF(_xlpm.part = "", "", IF(LEN(_xlpm.error), _xlfn.SWITCH(IFERROR(_xlfn.TEXTBEFORE(_xlpm.error,":"), ""), "1", "Error", "2", "Disabled", "3", "Required", "4", "Warning", "Valid"), "Valid"))))</f>
        <v/>
      </c>
      <c r="BJ8" s="22">
        <f t="array" ref="BJ8">_xlfn.MAP('6 - TV Stands &amp; Enterta'!B8:B507, '6 - TV Stands &amp; Enterta'!BJ8:BJ507, '6 - TV Stands &amp; Enterta-WUO_ERR'!BJ8:BJ507, _xlfn.LAMBDA(_xlpm.part, _xlpm.val, _xlpm.error, IF(_xlpm.part = "", "", IF(LEN(_xlpm.error), _xlfn.SWITCH(IFERROR(_xlfn.TEXTBEFORE(_xlpm.error,":"), ""), "1", "Error", "2", "Disabled", "3", "Required", "4", "Warning", "Valid"), "Valid"))))</f>
        <v/>
      </c>
      <c r="BK8" s="22">
        <f t="array" ref="BK8">_xlfn.MAP('6 - TV Stands &amp; Enterta'!B8:B507, '6 - TV Stands &amp; Enterta'!BK8:BK507, '6 - TV Stands &amp; Enterta-WUO_ERR'!BK8:BK507, _xlfn.LAMBDA(_xlpm.part, _xlpm.val, _xlpm.error, IF(_xlpm.part = "", "", IF(LEN(_xlpm.error), _xlfn.SWITCH(IFERROR(_xlfn.TEXTBEFORE(_xlpm.error,":"), ""), "1", "Error", "2", "Disabled", "3", "Required", "4", "Warning", "Valid"), "Valid"))))</f>
        <v/>
      </c>
      <c r="BL8" s="22">
        <f t="array" ref="BL8">_xlfn.MAP('6 - TV Stands &amp; Enterta'!B8:B507, '6 - TV Stands &amp; Enterta'!BL8:BL507, '6 - TV Stands &amp; Enterta-WUO_ERR'!BL8:BL507, _xlfn.LAMBDA(_xlpm.part, _xlpm.val, _xlpm.error, IF(_xlpm.part = "", "", IF(LEN(_xlpm.error), _xlfn.SWITCH(IFERROR(_xlfn.TEXTBEFORE(_xlpm.error,":"), ""), "1", "Error", "2", "Disabled", "3", "Required", "4", "Warning", "Valid"), "Valid"))))</f>
        <v/>
      </c>
      <c r="BM8" s="22">
        <f t="array" ref="BM8">_xlfn.MAP('6 - TV Stands &amp; Enterta'!B8:B507, '6 - TV Stands &amp; Enterta'!BM8:BM507, '6 - TV Stands &amp; Enterta-WUO_ERR'!BM8:BM507, _xlfn.LAMBDA(_xlpm.part, _xlpm.val, _xlpm.error, IF(_xlpm.part = "", "", IF(LEN(_xlpm.error), _xlfn.SWITCH(IFERROR(_xlfn.TEXTBEFORE(_xlpm.error,":"), ""), "1", "Error", "2", "Disabled", "3", "Required", "4", "Warning", "Valid"), "Valid"))))</f>
        <v/>
      </c>
      <c r="BN8" s="22">
        <f t="array" ref="BN8">_xlfn.MAP('6 - TV Stands &amp; Enterta'!B8:B507, '6 - TV Stands &amp; Enterta'!BN8:BN507, '6 - TV Stands &amp; Enterta-WUO_ERR'!BN8:BN507, _xlfn.LAMBDA(_xlpm.part, _xlpm.val, _xlpm.error, IF(_xlpm.part = "", "", IF(LEN(_xlpm.error), _xlfn.SWITCH(IFERROR(_xlfn.TEXTBEFORE(_xlpm.error,":"), ""), "1", "Error", "2", "Disabled", "3", "Required", "4", "Warning", "Valid"), "Valid"))))</f>
        <v/>
      </c>
      <c r="BO8" s="22">
        <f t="array" ref="BO8">_xlfn.MAP('6 - TV Stands &amp; Enterta'!B8:B507, '6 - TV Stands &amp; Enterta'!BO8:BO507, '6 - TV Stands &amp; Enterta-WUO_ERR'!BO8:BO507, _xlfn.LAMBDA(_xlpm.part, _xlpm.val, _xlpm.error, IF(_xlpm.part = "", "", IF(LEN(_xlpm.error), _xlfn.SWITCH(IFERROR(_xlfn.TEXTBEFORE(_xlpm.error,":"), ""), "1", "Error", "2", "Disabled", "3", "Required", "4", "Warning", "Valid"), "Valid"))))</f>
        <v/>
      </c>
      <c r="BP8" s="22">
        <f t="array" ref="BP8">_xlfn.MAP('6 - TV Stands &amp; Enterta'!B8:B507, '6 - TV Stands &amp; Enterta'!BP8:BP507, '6 - TV Stands &amp; Enterta-WUO_ERR'!BP8:BP507, _xlfn.LAMBDA(_xlpm.part, _xlpm.val, _xlpm.error, IF(_xlpm.part = "", "", IF(LEN(_xlpm.error), _xlfn.SWITCH(IFERROR(_xlfn.TEXTBEFORE(_xlpm.error,":"), ""), "1", "Error", "2", "Disabled", "3", "Required", "4", "Warning", "Valid"), "Valid"))))</f>
        <v/>
      </c>
      <c r="BQ8" s="22">
        <f t="array" ref="BQ8">_xlfn.MAP('6 - TV Stands &amp; Enterta'!B8:B507, '6 - TV Stands &amp; Enterta'!BQ8:BQ507, '6 - TV Stands &amp; Enterta-WUO_ERR'!BQ8:BQ507, _xlfn.LAMBDA(_xlpm.part, _xlpm.val, _xlpm.error, IF(_xlpm.part = "", "", IF(LEN(_xlpm.error), _xlfn.SWITCH(IFERROR(_xlfn.TEXTBEFORE(_xlpm.error,":"), ""), "1", "Error", "2", "Disabled", "3", "Required", "4", "Warning", "Valid"), "Valid"))))</f>
        <v/>
      </c>
      <c r="BR8" s="22">
        <f t="array" ref="BR8">_xlfn.MAP('6 - TV Stands &amp; Enterta'!B8:B507, '6 - TV Stands &amp; Enterta'!BR8:BR507, '6 - TV Stands &amp; Enterta-WUO_ERR'!BR8:BR507, _xlfn.LAMBDA(_xlpm.part, _xlpm.val, _xlpm.error, IF(_xlpm.part = "", "", IF(LEN(_xlpm.error), _xlfn.SWITCH(IFERROR(_xlfn.TEXTBEFORE(_xlpm.error,":"), ""), "1", "Error", "2", "Disabled", "3", "Required", "4", "Warning", "Valid"), "Valid"))))</f>
        <v/>
      </c>
      <c r="BS8" s="22">
        <f t="array" ref="BS8">_xlfn.MAP('6 - TV Stands &amp; Enterta'!B8:B507, '6 - TV Stands &amp; Enterta'!BS8:BS507, '6 - TV Stands &amp; Enterta-WUO_ERR'!BS8:BS507, _xlfn.LAMBDA(_xlpm.part, _xlpm.val, _xlpm.error, IF(_xlpm.part = "", "", IF(LEN(_xlpm.error), _xlfn.SWITCH(IFERROR(_xlfn.TEXTBEFORE(_xlpm.error,":"), ""), "1", "Error", "2", "Disabled", "3", "Required", "4", "Warning", "Valid"), "Valid"))))</f>
        <v/>
      </c>
      <c r="BT8" s="22">
        <f t="array" ref="BT8">_xlfn.MAP('6 - TV Stands &amp; Enterta'!B8:B507, '6 - TV Stands &amp; Enterta'!BT8:BT507, '6 - TV Stands &amp; Enterta-WUO_ERR'!BT8:BT507, _xlfn.LAMBDA(_xlpm.part, _xlpm.val, _xlpm.error, IF(_xlpm.part = "", "", IF(LEN(_xlpm.error), _xlfn.SWITCH(IFERROR(_xlfn.TEXTBEFORE(_xlpm.error,":"), ""), "1", "Error", "2", "Disabled", "3", "Required", "4", "Warning", "Valid"), "Valid"))))</f>
        <v/>
      </c>
      <c r="BU8" s="22">
        <f t="array" ref="BU8">_xlfn.MAP('6 - TV Stands &amp; Enterta'!B8:B507, '6 - TV Stands &amp; Enterta'!BU8:BU507, '6 - TV Stands &amp; Enterta-WUO_ERR'!BU8:BU507, _xlfn.LAMBDA(_xlpm.part, _xlpm.val, _xlpm.error, IF(_xlpm.part = "", "", IF(LEN(_xlpm.error), _xlfn.SWITCH(IFERROR(_xlfn.TEXTBEFORE(_xlpm.error,":"), ""), "1", "Error", "2", "Disabled", "3", "Required", "4", "Warning", "Valid"), "Valid"))))</f>
        <v/>
      </c>
      <c r="BV8" s="22">
        <f t="array" ref="BV8">_xlfn.MAP('6 - TV Stands &amp; Enterta'!B8:B507, '6 - TV Stands &amp; Enterta'!BV8:BV507, '6 - TV Stands &amp; Enterta-WUO_ERR'!BV8:BV507, _xlfn.LAMBDA(_xlpm.part, _xlpm.val, _xlpm.error, IF(_xlpm.part = "", "", IF(LEN(_xlpm.error), _xlfn.SWITCH(IFERROR(_xlfn.TEXTBEFORE(_xlpm.error,":"), ""), "1", "Error", "2", "Disabled", "3", "Required", "4", "Warning", "Valid"), "Valid"))))</f>
        <v/>
      </c>
      <c r="BW8" s="22">
        <f t="array" ref="BW8">_xlfn.MAP('6 - TV Stands &amp; Enterta'!B8:B507, '6 - TV Stands &amp; Enterta'!BW8:BW507, '6 - TV Stands &amp; Enterta-WUO_ERR'!BW8:BW507, _xlfn.LAMBDA(_xlpm.part, _xlpm.val, _xlpm.error, IF(_xlpm.part = "", "", IF(LEN(_xlpm.error), _xlfn.SWITCH(IFERROR(_xlfn.TEXTBEFORE(_xlpm.error,":"), ""), "1", "Error", "2", "Disabled", "3", "Required", "4", "Warning", "Valid"), "Valid"))))</f>
        <v/>
      </c>
      <c r="BX8" s="22">
        <f t="array" ref="BX8">_xlfn.MAP('6 - TV Stands &amp; Enterta'!B8:B507, '6 - TV Stands &amp; Enterta'!BX8:BX507, '6 - TV Stands &amp; Enterta-WUO_ERR'!BX8:BX507, _xlfn.LAMBDA(_xlpm.part, _xlpm.val, _xlpm.error, IF(_xlpm.part = "", "", IF(LEN(_xlpm.error), _xlfn.SWITCH(IFERROR(_xlfn.TEXTBEFORE(_xlpm.error,":"), ""), "1", "Error", "2", "Disabled", "3", "Required", "4", "Warning", "Valid"), "Valid"))))</f>
        <v/>
      </c>
      <c r="BY8" s="22">
        <f t="array" ref="BY8">_xlfn.MAP('6 - TV Stands &amp; Enterta'!B8:B507, '6 - TV Stands &amp; Enterta'!BY8:BY507, '6 - TV Stands &amp; Enterta-WUO_ERR'!BY8:BY507, _xlfn.LAMBDA(_xlpm.part, _xlpm.val, _xlpm.error, IF(_xlpm.part = "", "", IF(LEN(_xlpm.error), _xlfn.SWITCH(IFERROR(_xlfn.TEXTBEFORE(_xlpm.error,":"), ""), "1", "Error", "2", "Disabled", "3", "Required", "4", "Warning", "Valid"), "Valid"))))</f>
        <v/>
      </c>
      <c r="BZ8" s="22">
        <f t="array" ref="BZ8">_xlfn.MAP('6 - TV Stands &amp; Enterta'!B8:B507, '6 - TV Stands &amp; Enterta'!BZ8:BZ507, '6 - TV Stands &amp; Enterta-WUO_ERR'!BZ8:BZ507, _xlfn.LAMBDA(_xlpm.part, _xlpm.val, _xlpm.error, IF(_xlpm.part = "", "", IF(LEN(_xlpm.error), _xlfn.SWITCH(IFERROR(_xlfn.TEXTBEFORE(_xlpm.error,":"), ""), "1", "Error", "2", "Disabled", "3", "Required", "4", "Warning", "Valid"), "Valid"))))</f>
        <v/>
      </c>
      <c r="CA8" s="22">
        <f t="array" ref="CA8">_xlfn.MAP('6 - TV Stands &amp; Enterta'!B8:B507, '6 - TV Stands &amp; Enterta'!CA8:CA507, '6 - TV Stands &amp; Enterta-WUO_ERR'!CA8:CA507, _xlfn.LAMBDA(_xlpm.part, _xlpm.val, _xlpm.error, IF(_xlpm.part = "", "", IF(LEN(_xlpm.error), _xlfn.SWITCH(IFERROR(_xlfn.TEXTBEFORE(_xlpm.error,":"), ""), "1", "Error", "2", "Disabled", "3", "Required", "4", "Warning", "Valid"), "Valid"))))</f>
        <v/>
      </c>
      <c r="CB8" s="22">
        <f t="array" ref="CB8">_xlfn.MAP('6 - TV Stands &amp; Enterta'!B8:B507, '6 - TV Stands &amp; Enterta'!CB8:CB507, '6 - TV Stands &amp; Enterta-WUO_ERR'!CB8:CB507, _xlfn.LAMBDA(_xlpm.part, _xlpm.val, _xlpm.error, IF(_xlpm.part = "", "", IF(LEN(_xlpm.error), _xlfn.SWITCH(IFERROR(_xlfn.TEXTBEFORE(_xlpm.error,":"), ""), "1", "Error", "2", "Disabled", "3", "Required", "4", "Warning", "Valid"), "Valid"))))</f>
        <v/>
      </c>
      <c r="CC8" s="22">
        <f t="array" ref="CC8">_xlfn.MAP('6 - TV Stands &amp; Enterta'!B8:B507, '6 - TV Stands &amp; Enterta'!CC8:CC507, '6 - TV Stands &amp; Enterta-WUO_ERR'!CC8:CC507, _xlfn.LAMBDA(_xlpm.part, _xlpm.val, _xlpm.error, IF(_xlpm.part = "", "", IF(LEN(_xlpm.error), _xlfn.SWITCH(IFERROR(_xlfn.TEXTBEFORE(_xlpm.error,":"), ""), "1", "Error", "2", "Disabled", "3", "Required", "4", "Warning", "Valid"), "Valid"))))</f>
        <v/>
      </c>
      <c r="CD8" s="22">
        <f t="array" ref="CD8">_xlfn.MAP('6 - TV Stands &amp; Enterta'!B8:B507, '6 - TV Stands &amp; Enterta'!CD8:CD507, '6 - TV Stands &amp; Enterta-WUO_ERR'!CD8:CD507, _xlfn.LAMBDA(_xlpm.part, _xlpm.val, _xlpm.error, IF(_xlpm.part = "", "", IF(LEN(_xlpm.error), _xlfn.SWITCH(IFERROR(_xlfn.TEXTBEFORE(_xlpm.error,":"), ""), "1", "Error", "2", "Disabled", "3", "Required", "4", "Warning", "Valid"), "Valid"))))</f>
        <v/>
      </c>
      <c r="CE8" s="22">
        <f t="array" ref="CE8">_xlfn.MAP('6 - TV Stands &amp; Enterta'!B8:B507, '6 - TV Stands &amp; Enterta'!CE8:CE507, '6 - TV Stands &amp; Enterta-WUO_ERR'!CE8:CE507, _xlfn.LAMBDA(_xlpm.part, _xlpm.val, _xlpm.error, IF(_xlpm.part = "", "", IF(LEN(_xlpm.error), _xlfn.SWITCH(IFERROR(_xlfn.TEXTBEFORE(_xlpm.error,":"), ""), "1", "Error", "2", "Disabled", "3", "Required", "4", "Warning", "Valid"), "Valid"))))</f>
        <v/>
      </c>
      <c r="CF8" s="22">
        <f t="array" ref="CF8">_xlfn.MAP('6 - TV Stands &amp; Enterta'!B8:B507, '6 - TV Stands &amp; Enterta'!CF8:CF507, '6 - TV Stands &amp; Enterta-WUO_ERR'!CF8:CF507, _xlfn.LAMBDA(_xlpm.part, _xlpm.val, _xlpm.error, IF(_xlpm.part = "", "", IF(LEN(_xlpm.error), _xlfn.SWITCH(IFERROR(_xlfn.TEXTBEFORE(_xlpm.error,":"), ""), "1", "Error", "2", "Disabled", "3", "Required", "4", "Warning", "Valid"), "Valid"))))</f>
        <v/>
      </c>
      <c r="CG8" s="22">
        <f t="array" ref="CG8">_xlfn.MAP('6 - TV Stands &amp; Enterta'!B8:B507, '6 - TV Stands &amp; Enterta'!CG8:CG507, '6 - TV Stands &amp; Enterta-WUO_ERR'!CG8:CG507, _xlfn.LAMBDA(_xlpm.part, _xlpm.val, _xlpm.error, IF(_xlpm.part = "", "", IF(LEN(_xlpm.error), _xlfn.SWITCH(IFERROR(_xlfn.TEXTBEFORE(_xlpm.error,":"), ""), "1", "Error", "2", "Disabled", "3", "Required", "4", "Warning", "Valid"), "Valid"))))</f>
        <v/>
      </c>
      <c r="CH8" s="22">
        <f t="array" ref="CH8">_xlfn.MAP('6 - TV Stands &amp; Enterta'!B8:B507, '6 - TV Stands &amp; Enterta'!CH8:CH507, '6 - TV Stands &amp; Enterta-WUO_ERR'!CH8:CH507, _xlfn.LAMBDA(_xlpm.part, _xlpm.val, _xlpm.error, IF(_xlpm.part = "", "", IF(LEN(_xlpm.error), _xlfn.SWITCH(IFERROR(_xlfn.TEXTBEFORE(_xlpm.error,":"), ""), "1", "Error", "2", "Disabled", "3", "Required", "4", "Warning", "Valid"), "Valid"))))</f>
        <v/>
      </c>
      <c r="CI8" s="22">
        <f t="array" ref="CI8">_xlfn.MAP('6 - TV Stands &amp; Enterta'!B8:B507, '6 - TV Stands &amp; Enterta'!CI8:CI507, '6 - TV Stands &amp; Enterta-WUO_ERR'!CI8:CI507, _xlfn.LAMBDA(_xlpm.part, _xlpm.val, _xlpm.error, IF(_xlpm.part = "", "", IF(LEN(_xlpm.error), _xlfn.SWITCH(IFERROR(_xlfn.TEXTBEFORE(_xlpm.error,":"), ""), "1", "Error", "2", "Disabled", "3", "Required", "4", "Warning", "Valid"), "Valid"))))</f>
        <v/>
      </c>
      <c r="CJ8" s="22">
        <f t="array" ref="CJ8">_xlfn.MAP('6 - TV Stands &amp; Enterta'!B8:B507, '6 - TV Stands &amp; Enterta'!CJ8:CJ507, '6 - TV Stands &amp; Enterta-WUO_ERR'!CJ8:CJ507, _xlfn.LAMBDA(_xlpm.part, _xlpm.val, _xlpm.error, IF(_xlpm.part = "", "", IF(LEN(_xlpm.error), _xlfn.SWITCH(IFERROR(_xlfn.TEXTBEFORE(_xlpm.error,":"), ""), "1", "Error", "2", "Disabled", "3", "Required", "4", "Warning", "Valid"), "Valid"))))</f>
        <v/>
      </c>
      <c r="CK8" s="22">
        <f t="array" ref="CK8">_xlfn.MAP('6 - TV Stands &amp; Enterta'!B8:B507, '6 - TV Stands &amp; Enterta'!CK8:CK507, '6 - TV Stands &amp; Enterta-WUO_ERR'!CK8:CK507, _xlfn.LAMBDA(_xlpm.part, _xlpm.val, _xlpm.error, IF(_xlpm.part = "", "", IF(LEN(_xlpm.error), _xlfn.SWITCH(IFERROR(_xlfn.TEXTBEFORE(_xlpm.error,":"), ""), "1", "Error", "2", "Disabled", "3", "Required", "4", "Warning", "Valid"), "Valid"))))</f>
        <v/>
      </c>
      <c r="CL8" s="22">
        <f t="array" ref="CL8">_xlfn.MAP('6 - TV Stands &amp; Enterta'!B8:B507, '6 - TV Stands &amp; Enterta'!CL8:CL507, '6 - TV Stands &amp; Enterta-WUO_ERR'!CL8:CL507, _xlfn.LAMBDA(_xlpm.part, _xlpm.val, _xlpm.error, IF(_xlpm.part = "", "", IF(LEN(_xlpm.error), _xlfn.SWITCH(IFERROR(_xlfn.TEXTBEFORE(_xlpm.error,":"), ""), "1", "Error", "2", "Disabled", "3", "Required", "4", "Warning", "Valid"), "Valid"))))</f>
        <v/>
      </c>
      <c r="CM8" s="22">
        <f t="array" ref="CM8">_xlfn.MAP('6 - TV Stands &amp; Enterta'!B8:B507, '6 - TV Stands &amp; Enterta'!CM8:CM507, '6 - TV Stands &amp; Enterta-WUO_ERR'!CM8:CM507, _xlfn.LAMBDA(_xlpm.part, _xlpm.val, _xlpm.error, IF(_xlpm.part = "", "", IF(LEN(_xlpm.error), _xlfn.SWITCH(IFERROR(_xlfn.TEXTBEFORE(_xlpm.error,":"), ""), "1", "Error", "2", "Disabled", "3", "Required", "4", "Warning", "Valid"), "Valid"))))</f>
        <v/>
      </c>
      <c r="CN8" s="22">
        <f t="array" ref="CN8">_xlfn.MAP('6 - TV Stands &amp; Enterta'!B8:B507, '6 - TV Stands &amp; Enterta'!CN8:CN507, '6 - TV Stands &amp; Enterta-WUO_ERR'!CN8:CN507, _xlfn.LAMBDA(_xlpm.part, _xlpm.val, _xlpm.error, IF(_xlpm.part = "", "", IF(LEN(_xlpm.error), _xlfn.SWITCH(IFERROR(_xlfn.TEXTBEFORE(_xlpm.error,":"), ""), "1", "Error", "2", "Disabled", "3", "Required", "4", "Warning", "Valid"), "Valid"))))</f>
        <v/>
      </c>
      <c r="CO8" s="22">
        <f t="array" ref="CO8">_xlfn.MAP('6 - TV Stands &amp; Enterta'!B8:B507, '6 - TV Stands &amp; Enterta'!CO8:CO507, '6 - TV Stands &amp; Enterta-WUO_ERR'!CO8:CO507, _xlfn.LAMBDA(_xlpm.part, _xlpm.val, _xlpm.error, IF(_xlpm.part = "", "", IF(LEN(_xlpm.error), _xlfn.SWITCH(IFERROR(_xlfn.TEXTBEFORE(_xlpm.error,":"), ""), "1", "Error", "2", "Disabled", "3", "Required", "4", "Warning", "Valid"), "Valid"))))</f>
        <v/>
      </c>
      <c r="CP8" s="22">
        <f t="array" ref="CP8">_xlfn.MAP('6 - TV Stands &amp; Enterta'!B8:B507, '6 - TV Stands &amp; Enterta'!CP8:CP507, '6 - TV Stands &amp; Enterta-WUO_ERR'!CP8:CP507, _xlfn.LAMBDA(_xlpm.part, _xlpm.val, _xlpm.error, IF(_xlpm.part = "", "", IF(LEN(_xlpm.error), _xlfn.SWITCH(IFERROR(_xlfn.TEXTBEFORE(_xlpm.error,":"), ""), "1", "Error", "2", "Disabled", "3", "Required", "4", "Warning", "Valid"), "Valid"))))</f>
        <v/>
      </c>
      <c r="CQ8" s="22">
        <f t="array" ref="CQ8">_xlfn.MAP('6 - TV Stands &amp; Enterta'!B8:B507, '6 - TV Stands &amp; Enterta'!CQ8:CQ507, '6 - TV Stands &amp; Enterta-WUO_ERR'!CQ8:CQ507, _xlfn.LAMBDA(_xlpm.part, _xlpm.val, _xlpm.error, IF(_xlpm.part = "", "", IF(LEN(_xlpm.error), _xlfn.SWITCH(IFERROR(_xlfn.TEXTBEFORE(_xlpm.error,":"), ""), "1", "Error", "2", "Disabled", "3", "Required", "4", "Warning", "Valid"), "Valid"))))</f>
        <v/>
      </c>
      <c r="CR8" s="22">
        <f t="array" ref="CR8">_xlfn.MAP('6 - TV Stands &amp; Enterta'!B8:B507, '6 - TV Stands &amp; Enterta'!CR8:CR507, '6 - TV Stands &amp; Enterta-WUO_ERR'!CR8:CR507, _xlfn.LAMBDA(_xlpm.part, _xlpm.val, _xlpm.error, IF(_xlpm.part = "", "", IF(LEN(_xlpm.error), _xlfn.SWITCH(IFERROR(_xlfn.TEXTBEFORE(_xlpm.error,":"), ""), "1", "Error", "2", "Disabled", "3", "Required", "4", "Warning", "Valid"), "Valid"))))</f>
        <v/>
      </c>
      <c r="CS8" s="22">
        <f t="array" ref="CS8">_xlfn.MAP('6 - TV Stands &amp; Enterta'!B8:B507, '6 - TV Stands &amp; Enterta'!CS8:CS507, '6 - TV Stands &amp; Enterta-WUO_ERR'!CS8:CS507, _xlfn.LAMBDA(_xlpm.part, _xlpm.val, _xlpm.error, IF(_xlpm.part = "", "", IF(LEN(_xlpm.error), _xlfn.SWITCH(IFERROR(_xlfn.TEXTBEFORE(_xlpm.error,":"), ""), "1", "Error", "2", "Disabled", "3", "Required", "4", "Warning", "Valid"), "Valid"))))</f>
        <v/>
      </c>
      <c r="CT8" s="22">
        <f t="array" ref="CT8">_xlfn.MAP('6 - TV Stands &amp; Enterta'!B8:B507, '6 - TV Stands &amp; Enterta'!CT8:CT507, '6 - TV Stands &amp; Enterta-WUO_ERR'!CT8:CT507, _xlfn.LAMBDA(_xlpm.part, _xlpm.val, _xlpm.error, IF(_xlpm.part = "", "", IF(LEN(_xlpm.error), _xlfn.SWITCH(IFERROR(_xlfn.TEXTBEFORE(_xlpm.error,":"), ""), "1", "Error", "2", "Disabled", "3", "Required", "4", "Warning", "Valid"), "Valid"))))</f>
        <v/>
      </c>
      <c r="CU8" s="22">
        <f t="array" ref="CU8">_xlfn.MAP('6 - TV Stands &amp; Enterta'!B8:B507, '6 - TV Stands &amp; Enterta'!CU8:CU507, '6 - TV Stands &amp; Enterta-WUO_ERR'!CU8:CU507, _xlfn.LAMBDA(_xlpm.part, _xlpm.val, _xlpm.error, IF(_xlpm.part = "", "", IF(LEN(_xlpm.error), _xlfn.SWITCH(IFERROR(_xlfn.TEXTBEFORE(_xlpm.error,":"), ""), "1", "Error", "2", "Disabled", "3", "Required", "4", "Warning", "Valid"), "Valid"))))</f>
        <v/>
      </c>
      <c r="CV8" s="22">
        <f t="array" ref="CV8">_xlfn.MAP('6 - TV Stands &amp; Enterta'!B8:B507, '6 - TV Stands &amp; Enterta'!CV8:CV507, '6 - TV Stands &amp; Enterta-WUO_ERR'!CV8:CV507, _xlfn.LAMBDA(_xlpm.part, _xlpm.val, _xlpm.error, IF(_xlpm.part = "", "", IF(LEN(_xlpm.error), _xlfn.SWITCH(IFERROR(_xlfn.TEXTBEFORE(_xlpm.error,":"), ""), "1", "Error", "2", "Disabled", "3", "Required", "4", "Warning", "Valid"), "Valid"))))</f>
        <v/>
      </c>
      <c r="CW8" s="22">
        <f t="array" ref="CW8">_xlfn.MAP('6 - TV Stands &amp; Enterta'!B8:B507, '6 - TV Stands &amp; Enterta'!CW8:CW507, '6 - TV Stands &amp; Enterta-WUO_ERR'!CW8:CW507, _xlfn.LAMBDA(_xlpm.part, _xlpm.val, _xlpm.error, IF(_xlpm.part = "", "", IF(LEN(_xlpm.error), _xlfn.SWITCH(IFERROR(_xlfn.TEXTBEFORE(_xlpm.error,":"), ""), "1", "Error", "2", "Disabled", "3", "Required", "4", "Warning", "Valid"), "Valid"))))</f>
        <v/>
      </c>
      <c r="CX8" s="22">
        <f t="array" ref="CX8">_xlfn.MAP('6 - TV Stands &amp; Enterta'!B8:B507, '6 - TV Stands &amp; Enterta'!CX8:CX507, '6 - TV Stands &amp; Enterta-WUO_ERR'!CX8:CX507, _xlfn.LAMBDA(_xlpm.part, _xlpm.val, _xlpm.error, IF(_xlpm.part = "", "", IF(LEN(_xlpm.error), _xlfn.SWITCH(IFERROR(_xlfn.TEXTBEFORE(_xlpm.error,":"), ""), "1", "Error", "2", "Disabled", "3", "Required", "4", "Warning", "Valid"), "Valid"))))</f>
        <v/>
      </c>
      <c r="CY8" s="22">
        <f t="array" ref="CY8">_xlfn.MAP('6 - TV Stands &amp; Enterta'!B8:B507, '6 - TV Stands &amp; Enterta'!CY8:CY507, '6 - TV Stands &amp; Enterta-WUO_ERR'!CY8:CY507, _xlfn.LAMBDA(_xlpm.part, _xlpm.val, _xlpm.error, IF(_xlpm.part = "", "", IF(LEN(_xlpm.error), _xlfn.SWITCH(IFERROR(_xlfn.TEXTBEFORE(_xlpm.error,":"), ""), "1", "Error", "2", "Disabled", "3", "Required", "4", "Warning", "Valid"), "Valid"))))</f>
        <v/>
      </c>
      <c r="CZ8" s="22">
        <f t="array" ref="CZ8">_xlfn.MAP('6 - TV Stands &amp; Enterta'!B8:B507, '6 - TV Stands &amp; Enterta'!CZ8:CZ507, '6 - TV Stands &amp; Enterta-WUO_ERR'!CZ8:CZ507, _xlfn.LAMBDA(_xlpm.part, _xlpm.val, _xlpm.error, IF(_xlpm.part = "", "", IF(LEN(_xlpm.error), _xlfn.SWITCH(IFERROR(_xlfn.TEXTBEFORE(_xlpm.error,":"), ""), "1", "Error", "2", "Disabled", "3", "Required", "4", "Warning", "Valid"), "Valid"))))</f>
        <v/>
      </c>
      <c r="DA8" s="22">
        <f t="array" ref="DA8">_xlfn.MAP('6 - TV Stands &amp; Enterta'!B8:B507, '6 - TV Stands &amp; Enterta'!DA8:DA507, '6 - TV Stands &amp; Enterta-WUO_ERR'!DA8:DA507, _xlfn.LAMBDA(_xlpm.part, _xlpm.val, _xlpm.error, IF(_xlpm.part = "", "", IF(LEN(_xlpm.error), _xlfn.SWITCH(IFERROR(_xlfn.TEXTBEFORE(_xlpm.error,":"), ""), "1", "Error", "2", "Disabled", "3", "Required", "4", "Warning", "Valid"), "Valid"))))</f>
        <v/>
      </c>
      <c r="DB8" s="22">
        <f t="array" ref="DB8">_xlfn.MAP('6 - TV Stands &amp; Enterta'!B8:B507, '6 - TV Stands &amp; Enterta'!DB8:DB507, '6 - TV Stands &amp; Enterta-WUO_ERR'!DB8:DB507, _xlfn.LAMBDA(_xlpm.part, _xlpm.val, _xlpm.error, IF(_xlpm.part = "", "", IF(LEN(_xlpm.error), _xlfn.SWITCH(IFERROR(_xlfn.TEXTBEFORE(_xlpm.error,":"), ""), "1", "Error", "2", "Disabled", "3", "Required", "4", "Warning", "Valid"), "Valid"))))</f>
        <v/>
      </c>
      <c r="DC8" s="22">
        <f t="array" ref="DC8">_xlfn.MAP('6 - TV Stands &amp; Enterta'!B8:B507, '6 - TV Stands &amp; Enterta'!DC8:DC507, '6 - TV Stands &amp; Enterta-WUO_ERR'!DC8:DC507, _xlfn.LAMBDA(_xlpm.part, _xlpm.val, _xlpm.error, IF(_xlpm.part = "", "", IF(LEN(_xlpm.error), _xlfn.SWITCH(IFERROR(_xlfn.TEXTBEFORE(_xlpm.error,":"), ""), "1", "Error", "2", "Disabled", "3", "Required", "4", "Warning", "Valid"), "Valid"))))</f>
        <v/>
      </c>
      <c r="DD8" s="22">
        <f t="array" ref="DD8">_xlfn.MAP('6 - TV Stands &amp; Enterta'!B8:B507, '6 - TV Stands &amp; Enterta'!DD8:DD507, '6 - TV Stands &amp; Enterta-WUO_ERR'!DD8:DD507, _xlfn.LAMBDA(_xlpm.part, _xlpm.val, _xlpm.error, IF(_xlpm.part = "", "", IF(LEN(_xlpm.error), _xlfn.SWITCH(IFERROR(_xlfn.TEXTBEFORE(_xlpm.error,":"), ""), "1", "Error", "2", "Disabled", "3", "Required", "4", "Warning", "Valid"), "Valid"))))</f>
        <v/>
      </c>
      <c r="DE8" s="22">
        <f t="array" ref="DE8">_xlfn.MAP('6 - TV Stands &amp; Enterta'!B8:B507, '6 - TV Stands &amp; Enterta'!DE8:DE507, '6 - TV Stands &amp; Enterta-WUO_ERR'!DE8:DE507, _xlfn.LAMBDA(_xlpm.part, _xlpm.val, _xlpm.error, IF(_xlpm.part = "", "", IF(LEN(_xlpm.error), _xlfn.SWITCH(IFERROR(_xlfn.TEXTBEFORE(_xlpm.error,":"), ""), "1", "Error", "2", "Disabled", "3", "Required", "4", "Warning", "Valid"), "Valid"))))</f>
        <v/>
      </c>
      <c r="DF8" s="22">
        <f t="array" ref="DF8">_xlfn.MAP('6 - TV Stands &amp; Enterta'!B8:B507, '6 - TV Stands &amp; Enterta'!DF8:DF507, '6 - TV Stands &amp; Enterta-WUO_ERR'!DF8:DF507, _xlfn.LAMBDA(_xlpm.part, _xlpm.val, _xlpm.error, IF(_xlpm.part = "", "", IF(LEN(_xlpm.error), _xlfn.SWITCH(IFERROR(_xlfn.TEXTBEFORE(_xlpm.error,":"), ""), "1", "Error", "2", "Disabled", "3", "Required", "4", "Warning", "Valid"), "Valid"))))</f>
        <v/>
      </c>
      <c r="DG8" s="22">
        <f t="array" ref="DG8">_xlfn.MAP('6 - TV Stands &amp; Enterta'!B8:B507, '6 - TV Stands &amp; Enterta'!DG8:DG507, '6 - TV Stands &amp; Enterta-WUO_ERR'!DG8:DG507, _xlfn.LAMBDA(_xlpm.part, _xlpm.val, _xlpm.error, IF(_xlpm.part = "", "", IF(LEN(_xlpm.error), _xlfn.SWITCH(IFERROR(_xlfn.TEXTBEFORE(_xlpm.error,":"), ""), "1", "Error", "2", "Disabled", "3", "Required", "4", "Warning", "Valid"), "Valid"))))</f>
        <v/>
      </c>
      <c r="DH8" s="22">
        <f t="array" ref="DH8">_xlfn.MAP('6 - TV Stands &amp; Enterta'!B8:B507, '6 - TV Stands &amp; Enterta'!DH8:DH507, '6 - TV Stands &amp; Enterta-WUO_ERR'!DH8:DH507, _xlfn.LAMBDA(_xlpm.part, _xlpm.val, _xlpm.error, IF(_xlpm.part = "", "", IF(LEN(_xlpm.error), _xlfn.SWITCH(IFERROR(_xlfn.TEXTBEFORE(_xlpm.error,":"), ""), "1", "Error", "2", "Disabled", "3", "Required", "4", "Warning", "Valid"), "Valid"))))</f>
        <v/>
      </c>
      <c r="DI8" s="22">
        <f t="array" ref="DI8">_xlfn.MAP('6 - TV Stands &amp; Enterta'!B8:B507, '6 - TV Stands &amp; Enterta'!DI8:DI507, '6 - TV Stands &amp; Enterta-WUO_ERR'!DI8:DI507, _xlfn.LAMBDA(_xlpm.part, _xlpm.val, _xlpm.error, IF(_xlpm.part = "", "", IF(LEN(_xlpm.error), _xlfn.SWITCH(IFERROR(_xlfn.TEXTBEFORE(_xlpm.error,":"), ""), "1", "Error", "2", "Disabled", "3", "Required", "4", "Warning", "Valid"), "Valid"))))</f>
        <v/>
      </c>
      <c r="DJ8" s="22">
        <f t="array" ref="DJ8">_xlfn.MAP('6 - TV Stands &amp; Enterta'!B8:B507, '6 - TV Stands &amp; Enterta'!DJ8:DJ507, '6 - TV Stands &amp; Enterta-WUO_ERR'!DJ8:DJ507, _xlfn.LAMBDA(_xlpm.part, _xlpm.val, _xlpm.error, IF(_xlpm.part = "", "", IF(LEN(_xlpm.error), _xlfn.SWITCH(IFERROR(_xlfn.TEXTBEFORE(_xlpm.error,":"), ""), "1", "Error", "2", "Disabled", "3", "Required", "4", "Warning", "Valid"), "Valid"))))</f>
        <v/>
      </c>
      <c r="DK8" s="22">
        <f t="array" ref="DK8">_xlfn.MAP('6 - TV Stands &amp; Enterta'!B8:B507, '6 - TV Stands &amp; Enterta'!DK8:DK507, '6 - TV Stands &amp; Enterta-WUO_ERR'!DK8:DK507, _xlfn.LAMBDA(_xlpm.part, _xlpm.val, _xlpm.error, IF(_xlpm.part = "", "", IF(LEN(_xlpm.error), _xlfn.SWITCH(IFERROR(_xlfn.TEXTBEFORE(_xlpm.error,":"), ""), "1", "Error", "2", "Disabled", "3", "Required", "4", "Warning", "Valid"), "Valid"))))</f>
        <v/>
      </c>
      <c r="DL8" s="22">
        <f t="array" ref="DL8">_xlfn.MAP('6 - TV Stands &amp; Enterta'!B8:B507, '6 - TV Stands &amp; Enterta'!DL8:DL507, '6 - TV Stands &amp; Enterta-WUO_ERR'!DL8:DL507, _xlfn.LAMBDA(_xlpm.part, _xlpm.val, _xlpm.error, IF(_xlpm.part = "", "", IF(LEN(_xlpm.error), _xlfn.SWITCH(IFERROR(_xlfn.TEXTBEFORE(_xlpm.error,":"), ""), "1", "Error", "2", "Disabled", "3", "Required", "4", "Warning", "Valid"), "Valid"))))</f>
        <v/>
      </c>
      <c r="DM8" s="22">
        <f t="array" ref="DM8">_xlfn.MAP('6 - TV Stands &amp; Enterta'!B8:B507, '6 - TV Stands &amp; Enterta'!DM8:DM507, '6 - TV Stands &amp; Enterta-WUO_ERR'!DM8:DM507, _xlfn.LAMBDA(_xlpm.part, _xlpm.val, _xlpm.error, IF(_xlpm.part = "", "", IF(LEN(_xlpm.error), _xlfn.SWITCH(IFERROR(_xlfn.TEXTBEFORE(_xlpm.error,":"), ""), "1", "Error", "2", "Disabled", "3", "Required", "4", "Warning", "Valid"), "Valid"))))</f>
        <v/>
      </c>
      <c r="DN8" s="22">
        <f t="array" ref="DN8">_xlfn.MAP('6 - TV Stands &amp; Enterta'!B8:B507, '6 - TV Stands &amp; Enterta'!DN8:DN507, '6 - TV Stands &amp; Enterta-WUO_ERR'!DN8:DN507, _xlfn.LAMBDA(_xlpm.part, _xlpm.val, _xlpm.error, IF(_xlpm.part = "", "", IF(LEN(_xlpm.error), _xlfn.SWITCH(IFERROR(_xlfn.TEXTBEFORE(_xlpm.error,":"), ""), "1", "Error", "2", "Disabled", "3", "Required", "4", "Warning", "Valid"), "Valid"))))</f>
        <v/>
      </c>
      <c r="DO8" s="22">
        <f t="array" ref="DO8">_xlfn.MAP('6 - TV Stands &amp; Enterta'!B8:B507, '6 - TV Stands &amp; Enterta'!DO8:DO507, '6 - TV Stands &amp; Enterta-WUO_ERR'!DO8:DO507, _xlfn.LAMBDA(_xlpm.part, _xlpm.val, _xlpm.error, IF(_xlpm.part = "", "", IF(LEN(_xlpm.error), _xlfn.SWITCH(IFERROR(_xlfn.TEXTBEFORE(_xlpm.error,":"), ""), "1", "Error", "2", "Disabled", "3", "Required", "4", "Warning", "Valid"), "Valid"))))</f>
        <v/>
      </c>
      <c r="DP8" s="22">
        <f t="array" ref="DP8">_xlfn.MAP('6 - TV Stands &amp; Enterta'!B8:B507, '6 - TV Stands &amp; Enterta'!DP8:DP507, '6 - TV Stands &amp; Enterta-WUO_ERR'!DP8:DP507, _xlfn.LAMBDA(_xlpm.part, _xlpm.val, _xlpm.error, IF(_xlpm.part = "", "", IF(LEN(_xlpm.error), _xlfn.SWITCH(IFERROR(_xlfn.TEXTBEFORE(_xlpm.error,":"), ""), "1", "Error", "2", "Disabled", "3", "Required", "4", "Warning", "Valid"), "Valid"))))</f>
        <v/>
      </c>
      <c r="DQ8" s="22">
        <f t="array" ref="DQ8">_xlfn.MAP('6 - TV Stands &amp; Enterta'!B8:B507, '6 - TV Stands &amp; Enterta'!DQ8:DQ507, '6 - TV Stands &amp; Enterta-WUO_ERR'!DQ8:DQ507, _xlfn.LAMBDA(_xlpm.part, _xlpm.val, _xlpm.error, IF(_xlpm.part = "", "", IF(LEN(_xlpm.error), _xlfn.SWITCH(IFERROR(_xlfn.TEXTBEFORE(_xlpm.error,":"), ""), "1", "Error", "2", "Disabled", "3", "Required", "4", "Warning", "Valid"), "Valid"))))</f>
        <v/>
      </c>
      <c r="DR8" s="22">
        <f t="array" ref="DR8">_xlfn.MAP('6 - TV Stands &amp; Enterta'!B8:B507, '6 - TV Stands &amp; Enterta'!DR8:DR507, '6 - TV Stands &amp; Enterta-WUO_ERR'!DR8:DR507, _xlfn.LAMBDA(_xlpm.part, _xlpm.val, _xlpm.error, IF(_xlpm.part = "", "", IF(LEN(_xlpm.error), _xlfn.SWITCH(IFERROR(_xlfn.TEXTBEFORE(_xlpm.error,":"), ""), "1", "Error", "2", "Disabled", "3", "Required", "4", "Warning", "Valid"), "Valid"))))</f>
        <v/>
      </c>
      <c r="DS8" s="22">
        <f t="array" ref="DS8">_xlfn.MAP('6 - TV Stands &amp; Enterta'!B8:B507, '6 - TV Stands &amp; Enterta'!DS8:DS507, '6 - TV Stands &amp; Enterta-WUO_ERR'!DS8:DS507, _xlfn.LAMBDA(_xlpm.part, _xlpm.val, _xlpm.error, IF(_xlpm.part = "", "", IF(LEN(_xlpm.error), _xlfn.SWITCH(IFERROR(_xlfn.TEXTBEFORE(_xlpm.error,":"), ""), "1", "Error", "2", "Disabled", "3", "Required", "4", "Warning", "Valid"), "Valid"))))</f>
        <v/>
      </c>
      <c r="DT8" s="22">
        <f t="array" ref="DT8">_xlfn.MAP('6 - TV Stands &amp; Enterta'!B8:B507, '6 - TV Stands &amp; Enterta'!DT8:DT507, '6 - TV Stands &amp; Enterta-WUO_ERR'!DT8:DT507, _xlfn.LAMBDA(_xlpm.part, _xlpm.val, _xlpm.error, IF(_xlpm.part = "", "", IF(LEN(_xlpm.error), _xlfn.SWITCH(IFERROR(_xlfn.TEXTBEFORE(_xlpm.error,":"), ""), "1", "Error", "2", "Disabled", "3", "Required", "4", "Warning", "Valid"), "Valid"))))</f>
        <v/>
      </c>
      <c r="DU8" s="22">
        <f t="array" ref="DU8">_xlfn.MAP('6 - TV Stands &amp; Enterta'!B8:B507, '6 - TV Stands &amp; Enterta'!DU8:DU507, '6 - TV Stands &amp; Enterta-WUO_ERR'!DU8:DU507, _xlfn.LAMBDA(_xlpm.part, _xlpm.val, _xlpm.error, IF(_xlpm.part = "", "", IF(LEN(_xlpm.error), _xlfn.SWITCH(IFERROR(_xlfn.TEXTBEFORE(_xlpm.error,":"), ""), "1", "Error", "2", "Disabled", "3", "Required", "4", "Warning", "Valid"), "Valid"))))</f>
        <v/>
      </c>
      <c r="DV8" s="22">
        <f t="array" ref="DV8">_xlfn.MAP('6 - TV Stands &amp; Enterta'!B8:B507, '6 - TV Stands &amp; Enterta'!DV8:DV507, '6 - TV Stands &amp; Enterta-WUO_ERR'!DV8:DV507, _xlfn.LAMBDA(_xlpm.part, _xlpm.val, _xlpm.error, IF(_xlpm.part = "", "", IF(LEN(_xlpm.error), _xlfn.SWITCH(IFERROR(_xlfn.TEXTBEFORE(_xlpm.error,":"), ""), "1", "Error", "2", "Disabled", "3", "Required", "4", "Warning", "Valid"), "Valid"))))</f>
        <v/>
      </c>
      <c r="DW8" s="22">
        <f t="array" ref="DW8">_xlfn.MAP('6 - TV Stands &amp; Enterta'!B8:B507, '6 - TV Stands &amp; Enterta'!DW8:DW507, '6 - TV Stands &amp; Enterta-WUO_ERR'!DW8:DW507, _xlfn.LAMBDA(_xlpm.part, _xlpm.val, _xlpm.error, IF(_xlpm.part = "", "", IF(LEN(_xlpm.error), _xlfn.SWITCH(IFERROR(_xlfn.TEXTBEFORE(_xlpm.error,":"), ""), "1", "Error", "2", "Disabled", "3", "Required", "4", "Warning", "Valid"), "Valid"))))</f>
        <v/>
      </c>
      <c r="DX8" s="22">
        <f t="array" ref="DX8">_xlfn.MAP('6 - TV Stands &amp; Enterta'!B8:B507, '6 - TV Stands &amp; Enterta'!DX8:DX507, '6 - TV Stands &amp; Enterta-WUO_ERR'!DX8:DX507, _xlfn.LAMBDA(_xlpm.part, _xlpm.val, _xlpm.error, IF(_xlpm.part = "", "", IF(LEN(_xlpm.error), _xlfn.SWITCH(IFERROR(_xlfn.TEXTBEFORE(_xlpm.error,":"), ""), "1", "Error", "2", "Disabled", "3", "Required", "4", "Warning", "Valid"), "Valid"))))</f>
        <v/>
      </c>
      <c r="DY8" s="22">
        <f t="array" ref="DY8">_xlfn.MAP('6 - TV Stands &amp; Enterta'!B8:B507, '6 - TV Stands &amp; Enterta'!DY8:DY507, '6 - TV Stands &amp; Enterta-WUO_ERR'!DY8:DY507, _xlfn.LAMBDA(_xlpm.part, _xlpm.val, _xlpm.error, IF(_xlpm.part = "", "", IF(LEN(_xlpm.error), _xlfn.SWITCH(IFERROR(_xlfn.TEXTBEFORE(_xlpm.error,":"), ""), "1", "Error", "2", "Disabled", "3", "Required", "4", "Warning", "Valid"), "Valid"))))</f>
        <v/>
      </c>
      <c r="DZ8" s="22">
        <f t="array" ref="DZ8">_xlfn.MAP('6 - TV Stands &amp; Enterta'!B8:B507, '6 - TV Stands &amp; Enterta'!DZ8:DZ507, '6 - TV Stands &amp; Enterta-WUO_ERR'!DZ8:DZ507, _xlfn.LAMBDA(_xlpm.part, _xlpm.val, _xlpm.error, IF(_xlpm.part = "", "", IF(LEN(_xlpm.error), _xlfn.SWITCH(IFERROR(_xlfn.TEXTBEFORE(_xlpm.error,":"), ""), "1", "Error", "2", "Disabled", "3", "Required", "4", "Warning", "Valid"), "Valid"))))</f>
        <v/>
      </c>
      <c r="EA8" s="22">
        <f t="array" ref="EA8">_xlfn.MAP('6 - TV Stands &amp; Enterta'!B8:B507, '6 - TV Stands &amp; Enterta'!EA8:EA507, '6 - TV Stands &amp; Enterta-WUO_ERR'!EA8:EA507, _xlfn.LAMBDA(_xlpm.part, _xlpm.val, _xlpm.error, IF(_xlpm.part = "", "", IF(LEN(_xlpm.error), _xlfn.SWITCH(IFERROR(_xlfn.TEXTBEFORE(_xlpm.error,":"), ""), "1", "Error", "2", "Disabled", "3", "Required", "4", "Warning", "Valid"), "Valid"))))</f>
        <v/>
      </c>
      <c r="EB8" s="22">
        <f t="array" ref="EB8">_xlfn.MAP('6 - TV Stands &amp; Enterta'!B8:B507, '6 - TV Stands &amp; Enterta'!EB8:EB507, '6 - TV Stands &amp; Enterta-WUO_ERR'!EB8:EB507, _xlfn.LAMBDA(_xlpm.part, _xlpm.val, _xlpm.error, IF(_xlpm.part = "", "", IF(LEN(_xlpm.error), _xlfn.SWITCH(IFERROR(_xlfn.TEXTBEFORE(_xlpm.error,":"), ""), "1", "Error", "2", "Disabled", "3", "Required", "4", "Warning", "Valid"), "Valid"))))</f>
        <v/>
      </c>
      <c r="EC8" s="22">
        <f t="array" ref="EC8">_xlfn.MAP('6 - TV Stands &amp; Enterta'!B8:B507, '6 - TV Stands &amp; Enterta'!EC8:EC507, '6 - TV Stands &amp; Enterta-WUO_ERR'!EC8:EC507, _xlfn.LAMBDA(_xlpm.part, _xlpm.val, _xlpm.error, IF(_xlpm.part = "", "", IF(LEN(_xlpm.error), _xlfn.SWITCH(IFERROR(_xlfn.TEXTBEFORE(_xlpm.error,":"), ""), "1", "Error", "2", "Disabled", "3", "Required", "4", "Warning", "Valid"), "Valid"))))</f>
        <v/>
      </c>
      <c r="ED8" s="22">
        <f t="array" ref="ED8">_xlfn.MAP('6 - TV Stands &amp; Enterta'!B8:B507, '6 - TV Stands &amp; Enterta'!ED8:ED507, '6 - TV Stands &amp; Enterta-WUO_ERR'!ED8:ED507, _xlfn.LAMBDA(_xlpm.part, _xlpm.val, _xlpm.error, IF(_xlpm.part = "", "", IF(LEN(_xlpm.error), _xlfn.SWITCH(IFERROR(_xlfn.TEXTBEFORE(_xlpm.error,":"), ""), "1", "Error", "2", "Disabled", "3", "Required", "4", "Warning", "Valid"), "Valid"))))</f>
        <v/>
      </c>
      <c r="EE8" s="22">
        <f t="array" ref="EE8">_xlfn.MAP('6 - TV Stands &amp; Enterta'!B8:B507, '6 - TV Stands &amp; Enterta'!EE8:EE507, '6 - TV Stands &amp; Enterta-WUO_ERR'!EE8:EE507, _xlfn.LAMBDA(_xlpm.part, _xlpm.val, _xlpm.error, IF(_xlpm.part = "", "", IF(LEN(_xlpm.error), _xlfn.SWITCH(IFERROR(_xlfn.TEXTBEFORE(_xlpm.error,":"), ""), "1", "Error", "2", "Disabled", "3", "Required", "4", "Warning", "Valid"), "Valid"))))</f>
        <v/>
      </c>
      <c r="EF8" s="22">
        <f t="array" ref="EF8">_xlfn.MAP('6 - TV Stands &amp; Enterta'!B8:B507, '6 - TV Stands &amp; Enterta'!EF8:EF507, '6 - TV Stands &amp; Enterta-WUO_ERR'!EF8:EF507, _xlfn.LAMBDA(_xlpm.part, _xlpm.val, _xlpm.error, IF(_xlpm.part = "", "", IF(LEN(_xlpm.error), _xlfn.SWITCH(IFERROR(_xlfn.TEXTBEFORE(_xlpm.error,":"), ""), "1", "Error", "2", "Disabled", "3", "Required", "4", "Warning", "Valid"), "Valid"))))</f>
        <v/>
      </c>
      <c r="EG8" s="22">
        <f t="array" ref="EG8">_xlfn.MAP('6 - TV Stands &amp; Enterta'!B8:B507, '6 - TV Stands &amp; Enterta'!EG8:EG507, '6 - TV Stands &amp; Enterta-WUO_ERR'!EG8:EG507, _xlfn.LAMBDA(_xlpm.part, _xlpm.val, _xlpm.error, IF(_xlpm.part = "", "", IF(LEN(_xlpm.error), _xlfn.SWITCH(IFERROR(_xlfn.TEXTBEFORE(_xlpm.error,":"), ""), "1", "Error", "2", "Disabled", "3", "Required", "4", "Warning", "Valid"), "Valid"))))</f>
        <v/>
      </c>
      <c r="EH8" s="22">
        <f t="array" ref="EH8">_xlfn.MAP('6 - TV Stands &amp; Enterta'!B8:B507, '6 - TV Stands &amp; Enterta'!EH8:EH507, '6 - TV Stands &amp; Enterta-WUO_ERR'!EH8:EH507, _xlfn.LAMBDA(_xlpm.part, _xlpm.val, _xlpm.error, IF(_xlpm.part = "", "", IF(LEN(_xlpm.error), _xlfn.SWITCH(IFERROR(_xlfn.TEXTBEFORE(_xlpm.error,":"), ""), "1", "Error", "2", "Disabled", "3", "Required", "4", "Warning", "Valid"), "Valid"))))</f>
        <v/>
      </c>
      <c r="EI8" s="22">
        <f t="array" ref="EI8">_xlfn.MAP('6 - TV Stands &amp; Enterta'!B8:B507, '6 - TV Stands &amp; Enterta'!EI8:EI507, '6 - TV Stands &amp; Enterta-WUO_ERR'!EI8:EI507, _xlfn.LAMBDA(_xlpm.part, _xlpm.val, _xlpm.error, IF(_xlpm.part = "", "", IF(LEN(_xlpm.error), _xlfn.SWITCH(IFERROR(_xlfn.TEXTBEFORE(_xlpm.error,":"), ""), "1", "Error", "2", "Disabled", "3", "Required", "4", "Warning", "Valid"), "Valid"))))</f>
        <v/>
      </c>
      <c r="EJ8" s="22">
        <f t="array" ref="EJ8">_xlfn.MAP('6 - TV Stands &amp; Enterta'!B8:B507, '6 - TV Stands &amp; Enterta'!EJ8:EJ507, '6 - TV Stands &amp; Enterta-WUO_ERR'!EJ8:EJ507, _xlfn.LAMBDA(_xlpm.part, _xlpm.val, _xlpm.error, IF(_xlpm.part = "", "", IF(LEN(_xlpm.error), _xlfn.SWITCH(IFERROR(_xlfn.TEXTBEFORE(_xlpm.error,":"), ""), "1", "Error", "2", "Disabled", "3", "Required", "4", "Warning", "Valid"), "Valid"))))</f>
        <v/>
      </c>
      <c r="EK8" s="22">
        <f t="array" ref="EK8">_xlfn.MAP('6 - TV Stands &amp; Enterta'!B8:B507, '6 - TV Stands &amp; Enterta'!EK8:EK507, '6 - TV Stands &amp; Enterta-WUO_ERR'!EK8:EK507, _xlfn.LAMBDA(_xlpm.part, _xlpm.val, _xlpm.error, IF(_xlpm.part = "", "", IF(LEN(_xlpm.error), _xlfn.SWITCH(IFERROR(_xlfn.TEXTBEFORE(_xlpm.error,":"), ""), "1", "Error", "2", "Disabled", "3", "Required", "4", "Warning", "Valid"), "Valid"))))</f>
        <v/>
      </c>
      <c r="EL8" s="22">
        <f t="array" ref="EL8">_xlfn.MAP('6 - TV Stands &amp; Enterta'!B8:B507, '6 - TV Stands &amp; Enterta'!EL8:EL507, '6 - TV Stands &amp; Enterta-WUO_ERR'!EL8:EL507, _xlfn.LAMBDA(_xlpm.part, _xlpm.val, _xlpm.error, IF(_xlpm.part = "", "", IF(LEN(_xlpm.error), _xlfn.SWITCH(IFERROR(_xlfn.TEXTBEFORE(_xlpm.error,":"), ""), "1", "Error", "2", "Disabled", "3", "Required", "4", "Warning", "Valid"), "Valid"))))</f>
        <v/>
      </c>
      <c r="EM8" s="22">
        <f t="array" ref="EM8">_xlfn.MAP('6 - TV Stands &amp; Enterta'!B8:B507, '6 - TV Stands &amp; Enterta'!EM8:EM507, '6 - TV Stands &amp; Enterta-WUO_ERR'!EM8:EM507, _xlfn.LAMBDA(_xlpm.part, _xlpm.val, _xlpm.error, IF(_xlpm.part = "", "", IF(LEN(_xlpm.error), _xlfn.SWITCH(IFERROR(_xlfn.TEXTBEFORE(_xlpm.error,":"), ""), "1", "Error", "2", "Disabled", "3", "Required", "4", "Warning", "Valid"), "Valid"))))</f>
        <v/>
      </c>
      <c r="EN8" s="22">
        <f t="array" ref="EN8">_xlfn.MAP('6 - TV Stands &amp; Enterta'!B8:B507, '6 - TV Stands &amp; Enterta'!EN8:EN507, '6 - TV Stands &amp; Enterta-WUO_ERR'!EN8:EN507, _xlfn.LAMBDA(_xlpm.part, _xlpm.val, _xlpm.error, IF(_xlpm.part = "", "", IF(LEN(_xlpm.error), _xlfn.SWITCH(IFERROR(_xlfn.TEXTBEFORE(_xlpm.error,":"), ""), "1", "Error", "2", "Disabled", "3", "Required", "4", "Warning", "Valid"), "Valid"))))</f>
        <v/>
      </c>
      <c r="EO8" s="22">
        <f t="array" ref="EO8">_xlfn.MAP('6 - TV Stands &amp; Enterta'!B8:B507, '6 - TV Stands &amp; Enterta'!EO8:EO507, '6 - TV Stands &amp; Enterta-WUO_ERR'!EO8:EO507, _xlfn.LAMBDA(_xlpm.part, _xlpm.val, _xlpm.error, IF(_xlpm.part = "", "", IF(LEN(_xlpm.error), _xlfn.SWITCH(IFERROR(_xlfn.TEXTBEFORE(_xlpm.error,":"), ""), "1", "Error", "2", "Disabled", "3", "Required", "4", "Warning", "Valid"), "Valid"))))</f>
        <v/>
      </c>
      <c r="EP8" s="22">
        <f t="array" ref="EP8">_xlfn.MAP('6 - TV Stands &amp; Enterta'!B8:B507, '6 - TV Stands &amp; Enterta'!EP8:EP507, '6 - TV Stands &amp; Enterta-WUO_ERR'!EP8:EP507, _xlfn.LAMBDA(_xlpm.part, _xlpm.val, _xlpm.error, IF(_xlpm.part = "", "", IF(LEN(_xlpm.error), _xlfn.SWITCH(IFERROR(_xlfn.TEXTBEFORE(_xlpm.error,":"), ""), "1", "Error", "2", "Disabled", "3", "Required", "4", "Warning", "Valid"), "Valid"))))</f>
        <v/>
      </c>
      <c r="EQ8" s="22">
        <f t="array" ref="EQ8">_xlfn.MAP('6 - TV Stands &amp; Enterta'!B8:B507, '6 - TV Stands &amp; Enterta'!EQ8:EQ507, '6 - TV Stands &amp; Enterta-WUO_ERR'!EQ8:EQ507, _xlfn.LAMBDA(_xlpm.part, _xlpm.val, _xlpm.error, IF(_xlpm.part = "", "", IF(LEN(_xlpm.error), _xlfn.SWITCH(IFERROR(_xlfn.TEXTBEFORE(_xlpm.error,":"), ""), "1", "Error", "2", "Disabled", "3", "Required", "4", "Warning", "Valid"), "Valid"))))</f>
        <v/>
      </c>
      <c r="ER8" s="22">
        <f t="array" ref="ER8">_xlfn.MAP('6 - TV Stands &amp; Enterta'!B8:B507, '6 - TV Stands &amp; Enterta'!ER8:ER507, '6 - TV Stands &amp; Enterta-WUO_ERR'!ER8:ER507, _xlfn.LAMBDA(_xlpm.part, _xlpm.val, _xlpm.error, IF(_xlpm.part = "", "", IF(LEN(_xlpm.error), _xlfn.SWITCH(IFERROR(_xlfn.TEXTBEFORE(_xlpm.error,":"), ""), "1", "Error", "2", "Disabled", "3", "Required", "4", "Warning", "Valid"), "Valid"))))</f>
        <v/>
      </c>
      <c r="ES8" s="22">
        <f t="array" ref="ES8">_xlfn.MAP('6 - TV Stands &amp; Enterta'!B8:B507, '6 - TV Stands &amp; Enterta'!ES8:ES507, '6 - TV Stands &amp; Enterta-WUO_ERR'!ES8:ES507, _xlfn.LAMBDA(_xlpm.part, _xlpm.val, _xlpm.error, IF(_xlpm.part = "", "", IF(LEN(_xlpm.error), _xlfn.SWITCH(IFERROR(_xlfn.TEXTBEFORE(_xlpm.error,":"), ""), "1", "Error", "2", "Disabled", "3", "Required", "4", "Warning", "Valid"), "Valid"))))</f>
        <v/>
      </c>
      <c r="ET8" s="22">
        <f t="array" ref="ET8">_xlfn.MAP('6 - TV Stands &amp; Enterta'!B8:B507, '6 - TV Stands &amp; Enterta'!ET8:ET507, '6 - TV Stands &amp; Enterta-WUO_ERR'!ET8:ET507, _xlfn.LAMBDA(_xlpm.part, _xlpm.val, _xlpm.error, IF(_xlpm.part = "", "", IF(LEN(_xlpm.error), _xlfn.SWITCH(IFERROR(_xlfn.TEXTBEFORE(_xlpm.error,":"), ""), "1", "Error", "2", "Disabled", "3", "Required", "4", "Warning", "Valid"), "Valid"))))</f>
        <v/>
      </c>
      <c r="EU8" s="22">
        <f t="array" ref="EU8">_xlfn.MAP('6 - TV Stands &amp; Enterta'!B8:B507, '6 - TV Stands &amp; Enterta'!EU8:EU507, '6 - TV Stands &amp; Enterta-WUO_ERR'!EU8:EU507, _xlfn.LAMBDA(_xlpm.part, _xlpm.val, _xlpm.error, IF(_xlpm.part = "", "", IF(LEN(_xlpm.error), _xlfn.SWITCH(IFERROR(_xlfn.TEXTBEFORE(_xlpm.error,":"), ""), "1", "Error", "2", "Disabled", "3", "Required", "4", "Warning", "Valid"), "Valid"))))</f>
        <v/>
      </c>
      <c r="EV8" s="22">
        <f t="array" ref="EV8">_xlfn.MAP('6 - TV Stands &amp; Enterta'!B8:B507, '6 - TV Stands &amp; Enterta'!EV8:EV507, '6 - TV Stands &amp; Enterta-WUO_ERR'!EV8:EV507, _xlfn.LAMBDA(_xlpm.part, _xlpm.val, _xlpm.error, IF(_xlpm.part = "", "", IF(LEN(_xlpm.error), _xlfn.SWITCH(IFERROR(_xlfn.TEXTBEFORE(_xlpm.error,":"), ""), "1", "Error", "2", "Disabled", "3", "Required", "4", "Warning", "Valid"), "Valid"))))</f>
        <v/>
      </c>
      <c r="EW8" s="22">
        <f t="array" ref="EW8">_xlfn.MAP('6 - TV Stands &amp; Enterta'!B8:B507, '6 - TV Stands &amp; Enterta'!EW8:EW507, '6 - TV Stands &amp; Enterta-WUO_ERR'!EW8:EW507, _xlfn.LAMBDA(_xlpm.part, _xlpm.val, _xlpm.error, IF(_xlpm.part = "", "", IF(LEN(_xlpm.error), _xlfn.SWITCH(IFERROR(_xlfn.TEXTBEFORE(_xlpm.error,":"), ""), "1", "Error", "2", "Disabled", "3", "Required", "4", "Warning", "Valid"), "Valid"))))</f>
        <v/>
      </c>
      <c r="EX8" s="22">
        <f t="array" ref="EX8">_xlfn.MAP('6 - TV Stands &amp; Enterta'!B8:B507, '6 - TV Stands &amp; Enterta'!EX8:EX507, '6 - TV Stands &amp; Enterta-WUO_ERR'!EX8:EX507, _xlfn.LAMBDA(_xlpm.part, _xlpm.val, _xlpm.error, IF(_xlpm.part = "", "", IF(LEN(_xlpm.error), _xlfn.SWITCH(IFERROR(_xlfn.TEXTBEFORE(_xlpm.error,":"), ""), "1", "Error", "2", "Disabled", "3", "Required", "4", "Warning", "Valid"), "Valid"))))</f>
        <v/>
      </c>
      <c r="EY8" s="22">
        <f t="array" ref="EY8">_xlfn.MAP('6 - TV Stands &amp; Enterta'!B8:B507, '6 - TV Stands &amp; Enterta'!EY8:EY507, '6 - TV Stands &amp; Enterta-WUO_ERR'!EY8:EY507, _xlfn.LAMBDA(_xlpm.part, _xlpm.val, _xlpm.error, IF(_xlpm.part = "", "", IF(LEN(_xlpm.error), _xlfn.SWITCH(IFERROR(_xlfn.TEXTBEFORE(_xlpm.error,":"), ""), "1", "Error", "2", "Disabled", "3", "Required", "4", "Warning", "Valid"), "Valid"))))</f>
        <v/>
      </c>
      <c r="EZ8" s="22">
        <f t="array" ref="EZ8">_xlfn.MAP('6 - TV Stands &amp; Enterta'!B8:B507, '6 - TV Stands &amp; Enterta'!EZ8:EZ507, '6 - TV Stands &amp; Enterta-WUO_ERR'!EZ8:EZ507, _xlfn.LAMBDA(_xlpm.part, _xlpm.val, _xlpm.error, IF(_xlpm.part = "", "", IF(LEN(_xlpm.error), _xlfn.SWITCH(IFERROR(_xlfn.TEXTBEFORE(_xlpm.error,":"), ""), "1", "Error", "2", "Disabled", "3", "Required", "4", "Warning", "Valid"), "Valid"))))</f>
        <v/>
      </c>
      <c r="FA8" s="22">
        <f t="array" ref="FA8">_xlfn.MAP('6 - TV Stands &amp; Enterta'!B8:B507, '6 - TV Stands &amp; Enterta'!FA8:FA507, '6 - TV Stands &amp; Enterta-WUO_ERR'!FA8:FA507, _xlfn.LAMBDA(_xlpm.part, _xlpm.val, _xlpm.error, IF(_xlpm.part = "", "", IF(LEN(_xlpm.error), _xlfn.SWITCH(IFERROR(_xlfn.TEXTBEFORE(_xlpm.error,":"), ""), "1", "Error", "2", "Disabled", "3", "Required", "4", "Warning", "Valid"), "Valid"))))</f>
        <v/>
      </c>
      <c r="FB8" s="22">
        <f t="array" ref="FB8">_xlfn.MAP('6 - TV Stands &amp; Enterta'!B8:B507, '6 - TV Stands &amp; Enterta'!FB8:FB507, '6 - TV Stands &amp; Enterta-WUO_ERR'!FB8:FB507,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D41"/>
  <mergeCells count="9">
    <mergeCell ref="AL2:AO2"/>
    <mergeCell ref="AP2:AS2"/>
    <mergeCell ref="U2:Z2"/>
    <mergeCell ref="R2:T2"/>
    <mergeCell ref="B2:I2"/>
    <mergeCell ref="AA2:AK2"/>
    <mergeCell ref="AT2:BN2"/>
    <mergeCell ref="BO2:FB2"/>
    <mergeCell ref="J2:Q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'WAYFAIR_USE_ONLY'!$BD$7:$BD9</formula1>
    </dataValidation>
    <dataValidation sqref="BP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'WAYFAIR_USE_ONLY'!$BE$7:$BE10</formula1>
    </dataValidation>
    <dataValidation sqref="BQ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'WAYFAIR_USE_ONLY'!$BF$7:$BF9</formula1>
    </dataValidation>
    <dataValidation sqref="BR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S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'WAYFAIR_USE_ONLY'!$BG$7:$BG9</formula1>
    </dataValidation>
    <dataValidation sqref="BT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BU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BV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BW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'WAYFAIR_USE_ONLY'!$BK$7:$BK10</formula1>
    </dataValidation>
    <dataValidation sqref="B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'WAYFAIR_USE_ONLY'!$BL$7:$BL10</formula1>
    </dataValidation>
    <dataValidation sqref="CC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'WAYFAIR_USE_ONLY'!$BM$7:$BM10</formula1>
    </dataValidation>
    <dataValidation sqref="CD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'WAYFAIR_USE_ONLY'!$BN$7:$BN10</formula1>
    </dataValidation>
    <dataValidation sqref="CE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'WAYFAIR_USE_ONLY'!$BO$7:$BO10</formula1>
    </dataValidation>
    <dataValidation sqref="CF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'WAYFAIR_USE_ONLY'!$BP$7:$BP10</formula1>
    </dataValidation>
    <dataValidation sqref="CG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'WAYFAIR_USE_ONLY'!$BQ$7:$BQ10</formula1>
    </dataValidation>
    <dataValidation sqref="CH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'WAYFAIR_USE_ONLY'!$BR$7:$BR9</formula1>
    </dataValidation>
    <dataValidation sqref="CI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'WAYFAIR_USE_ONLY'!$BS$7:$BS9</formula1>
    </dataValidation>
    <dataValidation sqref="CJ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'WAYFAIR_USE_ONLY'!$BT$7:$BT9</formula1>
    </dataValidation>
    <dataValidation sqref="CK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CL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'WAYFAIR_USE_ONLY'!$BV$7:$BV10</formula1>
    </dataValidation>
    <dataValidation sqref="CM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'WAYFAIR_USE_ONLY'!$BW$7:$BW10</formula1>
    </dataValidation>
    <dataValidation sqref="C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P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'WAYFAIR_USE_ONLY'!$BX$7:$BX26</formula1>
    </dataValidation>
    <dataValidation sqref="CQ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'WAYFAIR_USE_ONLY'!$BY$7:$BY11</formula1>
    </dataValidation>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'WAYFAIR_USE_ONLY'!$CG$7:$CG10</formula1>
    </dataValidation>
    <dataValidation sqref="CT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T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'WAYFAIR_USE_ONLY'!$BZ$7:$BZ17</formula1>
    </dataValidation>
    <dataValidation sqref="CU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U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'WAYFAIR_USE_ONLY'!$CA$7:$CA11</formula1>
    </dataValidation>
    <dataValidation sqref="CV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V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'WAYFAIR_USE_ONLY'!$CB$7:$CB19</formula1>
    </dataValidation>
    <dataValidation sqref="CW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W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'WAYFAIR_USE_ONLY'!$CC$7:$CC11</formula1>
    </dataValidation>
    <dataValidation sqref="CX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X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'WAYFAIR_USE_ONLY'!$CD$7:$CD14</formula1>
    </dataValidation>
    <dataValidation sqref="CY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Y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'WAYFAIR_USE_ONLY'!$CE$7:$CE14</formula1>
    </dataValidation>
    <dataValidation sqref="CZ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Z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'WAYFAIR_USE_ONLY'!$CF$7:$CF12</formula1>
    </dataValidation>
    <dataValidation sqref="DA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'WAYFAIR_USE_ONLY'!$CH$7:$CH11</formula1>
    </dataValidation>
    <dataValidation sqref="DB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'WAYFAIR_USE_ONLY'!$CI$7:$CI10</formula1>
    </dataValidation>
    <dataValidation sqref="DC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E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'WAYFAIR_USE_ONLY'!$CJ$7:$CJ10</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I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'WAYFAIR_USE_ONLY'!$CK$7:$CK15</formula1>
    </dataValidation>
    <dataValidation sqref="D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L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'WAYFAIR_USE_ONLY'!$CL$7:$CL11</formula1>
    </dataValidation>
    <dataValidation sqref="DM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'WAYFAIR_USE_ONLY'!$CM$7:$CM11</formula1>
    </dataValidation>
    <dataValidation sqref="D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O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P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'WAYFAIR_USE_ONLY'!$CN$7:$CN11</formula1>
    </dataValidation>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'WAYFAIR_USE_ONLY'!$CO$7:$CO10</formula1>
    </dataValidation>
    <dataValidation sqref="DS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'WAYFAIR_USE_ONLY'!$CS$7:$CS10</formula1>
    </dataValidation>
    <dataValidation sqref="DT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T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'WAYFAIR_USE_ONLY'!$CP$7:$CP10</formula1>
    </dataValidation>
    <dataValidation sqref="DU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U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'WAYFAIR_USE_ONLY'!$CQ$7:$CQ10</formula1>
    </dataValidation>
    <dataValidation sqref="DV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V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'WAYFAIR_USE_ONLY'!$CR$7:$CR11</formula1>
    </dataValidation>
    <dataValidation sqref="DW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'WAYFAIR_USE_ONLY'!$CT$7:$CT9</formula1>
    </dataValidation>
    <dataValidation sqref="DX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'WAYFAIR_USE_ONLY'!$CU$7:$CU9</formula1>
    </dataValidation>
    <dataValidation sqref="DY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'WAYFAIR_USE_ONLY'!$CV$7:$CV11</formula1>
    </dataValidation>
    <dataValidation sqref="EA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'WAYFAIR_USE_ONLY'!$CZ$7:$CZ9</formula1>
    </dataValidation>
    <dataValidation sqref="EB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C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C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'WAYFAIR_USE_ONLY'!$CW$7:$CW23</formula1>
    </dataValidation>
    <dataValidation sqref="ED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D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'WAYFAIR_USE_ONLY'!$CX$7:$CX12</formula1>
    </dataValidation>
    <dataValidation sqref="EE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E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'WAYFAIR_USE_ONLY'!$CY$7:$CY19</formula1>
    </dataValidation>
    <dataValidation sqref="EF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'WAYFAIR_USE_ONLY'!$DA$7:$DA12</formula1>
    </dataValidation>
    <dataValidation sqref="E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H4" showDropDown="0" showInputMessage="1" showErrorMessage="1" allowBlank="1" promptTitle="Class Specific Child Question" prompt="This Question is directly related to the tag &quot;Safety Listing(s) Your answer to the related question may influence which answers are accepted here."/>
    <dataValidation sqref="E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'WAYFAIR_USE_ONLY'!$DB$7:$DB11</formula1>
    </dataValidation>
    <dataValidation sqref="EJ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'WAYFAIR_USE_ONLY'!$DC$7:$DC10</formula1>
    </dataValidation>
    <dataValidation sqref="EK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'WAYFAIR_USE_ONLY'!$DD$7:$DD10</formula1>
    </dataValidation>
    <dataValidation sqref="EL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'WAYFAIR_USE_ONLY'!$DE$7:$DE12</formula1>
    </dataValidation>
    <dataValidation sqref="E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S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'WAYFAIR_USE_ONLY'!$DF$7:$DF26</formula1>
    </dataValidation>
    <dataValidation sqref="E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U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'WAYFAIR_USE_ONLY'!$DG$7:$DG9</formula1>
    </dataValidation>
    <dataValidation sqref="EV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'WAYFAIR_USE_ONLY'!$DH$7:$DH11</formula1>
    </dataValidation>
    <dataValidation sqref="EW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X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'WAYFAIR_USE_ONLY'!$DJ$7:$DJ10</formula1>
    </dataValidation>
    <dataValidation sqref="EY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Y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'WAYFAIR_USE_ONLY'!$DI$7:$DI32</formula1>
    </dataValidation>
    <dataValidation sqref="EZ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'WAYFAIR_USE_ONLY'!$DK$7:$DK9</formula1>
    </dataValidation>
    <dataValidation sqref="FA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'WAYFAIR_USE_ONLY'!$DL$7:$DL10</formula1>
    </dataValidation>
    <dataValidation sqref="F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J6" location="'Valid Values'!B1" display="Select"/>
    <hyperlink ref="L6" location="'Valid Values'!D1" display="Select"/>
    <hyperlink ref="N6" location="'Valid Values'!D1" display="Select"/>
    <hyperlink ref="P6" location="'Valid Values'!D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BA1" display="Select"/>
    <hyperlink ref="BX6" location="'Valid Values'!BB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Y6" location="'Valid Values'!BC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Z6" location="'Valid Values'!BD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A6" location="'Valid Values'!BE1" display="Please choose one or more from the following, using a semicolon (;) to separate each value: No Natural Variation; Natural Wood Grain Color Variation; Weathered Steel; Wood Knots; Natural Stone Color Variation; Unavailable"/>
    <hyperlink ref="CK6" location="'Valid Values'!BF1" display="Select"/>
    <hyperlink ref="CN6" location="'Valid Values'!BG1" display="Please choose one or more from the following, using a semicolon (;) to separate each value: Non Residential Use; Residential Use"/>
    <hyperlink ref="CO6" location="'Valid Values'!BH1" display="Please choose one or more from the following, using a semicolon (;) to separate each value: Made in USA; Made in USA of Imported Materials; Product of Canada; Made In Canada; Does Not Apply"/>
    <hyperlink ref="CP6" location="'Valid Values'!BI1" display="Select"/>
    <hyperlink ref="CR6" location="'Valid Values'!BJ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T6" location="'Valid Values'!BK1" display="Select"/>
    <hyperlink ref="CU6" location="'Valid Values'!BL1" display="Select"/>
    <hyperlink ref="CV6" location="'Valid Values'!BM1" display="Select"/>
    <hyperlink ref="CW6" location="'Valid Values'!BN1" display="Select"/>
    <hyperlink ref="CX6" location="'Valid Values'!BO1" display="Select"/>
    <hyperlink ref="CY6" location="'Valid Values'!BP1" display="Select"/>
    <hyperlink ref="CZ6" location="'Valid Values'!BQ1" display="Select"/>
    <hyperlink ref="DD6" location="'Valid Values'!BR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DF6" location="'Valid Values'!BS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DG6" location="'Valid Values'!BT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DH6" location="'Valid Values'!BU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I6" location="'Valid Values'!BV1" display="Select"/>
    <hyperlink ref="DJ6" location="'Valid Values'!BW1" display="Please choose one or more from the following, using a semicolon (;) to separate each value: Electric; Dual Fuel; Induction; Wood Pellets; Natural Gas; Liquid Propane; Wood Burning; Gel Fuel; Bio-Ethanol; Propane; Butane; Charcoal; Ethanol; Alcohol; Does Not Apply"/>
    <hyperlink ref="DK6" location="'Valid Values'!BX1" display="Please choose one or more from the following, using a semicolon (;) to separate each value: Flush; Glass; Louvered; Paneled; Mirrored; Barn Doors; Frosted; Insulated; Contoured; Tinted; See Through; Double Pane; Does Not Apply"/>
    <hyperlink ref="DN6" location="'Valid Values'!BY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Q6" location="'Valid Values'!BZ1" display="Please choose one or more from the following, using a semicolon (;) to separate each value: Gel; Gas; Wood; Electric; Unavailable; Does Not Apply"/>
    <hyperlink ref="DR6" location="'Valid Values'!CA1" display="Select"/>
    <hyperlink ref="DT6" location="'Valid Values'!CB1" display="Select"/>
    <hyperlink ref="DU6" location="'Valid Values'!CC1" display="Select"/>
    <hyperlink ref="DV6" location="'Valid Values'!CD1" display="Select"/>
    <hyperlink ref="DW6" location="'Valid Values'!CE1" display="Select"/>
    <hyperlink ref="DY6" location="'Valid Values'!CF1" display="Please choose one or more from the following, using a semicolon (;) to separate each value: Dual Language; Distribution Conflict; Logistics; Does Not Apply"/>
    <hyperlink ref="DZ6" location="'Valid Values'!CG1" display="Select"/>
    <hyperlink ref="EB6" location="'Valid Values'!CH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EC6" location="'Valid Values'!CI1" display="Select"/>
    <hyperlink ref="ED6" location="'Valid Values'!CJ1" display="Select"/>
    <hyperlink ref="EE6" location="'Valid Values'!CK1" display="Select"/>
    <hyperlink ref="EF6" location="'Valid Values'!CL1" display="Select"/>
    <hyperlink ref="EG6" location="'Valid Values'!CM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I6" location="'Valid Values'!CN1" display="Select"/>
    <hyperlink ref="EJ6" location="'Valid Values'!CO1" display="Select"/>
    <hyperlink ref="EL6" location="'Valid Values'!CP1" display="Select"/>
    <hyperlink ref="ES6" location="'Valid Values'!CQ1" display="Select"/>
    <hyperlink ref="EV6" location="'Valid Values'!CR1" display="Select"/>
    <hyperlink ref="EW6" location="'Valid Values'!CS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Y6" location="'Valid Values'!CT1" display="Select"/>
    <hyperlink ref="FA6" location="'Valid Values'!CU1" display="Select"/>
    <hyperlink ref="FB6" location="'Valid Values'!CV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FP507"/>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19.7109375" customWidth="1" style="22" min="68" max="68"/>
    <col width="22.7109375" customWidth="1" style="22" min="69" max="69"/>
    <col width="18.7109375" customWidth="1" style="22" min="70" max="70"/>
    <col width="16.7109375" customWidth="1" style="22" min="71" max="71"/>
    <col width="24.7109375" customWidth="1" style="22" min="72" max="72"/>
    <col width="11.7109375" customWidth="1" style="22" min="73" max="73"/>
    <col width="31.7109375" customWidth="1" style="22" min="74" max="74"/>
    <col width="18.7109375" customWidth="1" style="22" min="75" max="75"/>
    <col width="29.7109375" customWidth="1" style="22" min="76" max="76"/>
    <col width="23.7109375" customWidth="1" style="22" min="77" max="77"/>
    <col width="32.7109375" customWidth="1" style="22" min="78" max="78"/>
    <col width="27.7109375" customWidth="1" style="22" min="79" max="79"/>
    <col width="18.7109375" customWidth="1" style="22" min="80" max="80"/>
    <col width="28.7109375" customWidth="1" style="22" min="81" max="81"/>
    <col width="11.7109375" customWidth="1" style="22" min="82" max="82"/>
    <col width="19.7109375" customWidth="1" style="22" min="83" max="83"/>
    <col width="20.7109375" customWidth="1" style="22" min="84" max="84"/>
    <col width="12.7109375" customWidth="1" style="22" min="85" max="85"/>
    <col width="14.7109375" customWidth="1" style="22" min="86" max="86"/>
    <col width="28.7109375" customWidth="1" style="22" min="87" max="87"/>
    <col width="22.7109375" customWidth="1" style="22" min="88" max="88"/>
    <col width="26.7109375" customWidth="1" style="22" min="89" max="90"/>
    <col width="28.7109375" customWidth="1" style="22" min="91" max="91"/>
    <col width="25.7109375" customWidth="1" style="22" min="92" max="92"/>
    <col width="22.7109375" customWidth="1" style="22" min="93" max="94"/>
    <col width="21.7109375" customWidth="1" style="22" min="95" max="95"/>
    <col width="26.7109375" customWidth="1" style="22" min="96" max="96"/>
    <col width="14.7109375" customWidth="1" style="22" min="97" max="97"/>
    <col width="39.7109375" customWidth="1" style="22" min="98" max="98"/>
    <col width="43.7109375" customWidth="1" style="22" min="99" max="99"/>
    <col width="29.7109375" customWidth="1" style="22" min="100" max="100"/>
    <col width="20.7109375" customWidth="1" style="22" min="101" max="101"/>
    <col width="14.7109375" customWidth="1" style="22" min="102" max="102"/>
    <col width="34.7109375" customWidth="1" style="22" min="103" max="103"/>
    <col width="24.7109375" customWidth="1" style="22" min="104" max="104"/>
    <col width="17.7109375" customWidth="1" style="22" min="105" max="105"/>
    <col width="24.7109375" customWidth="1" style="22" min="106" max="106"/>
    <col width="21.7109375" customWidth="1" style="22" min="107" max="107"/>
    <col width="20.7109375" customWidth="1" style="22" min="108" max="108"/>
    <col width="35.7109375" customWidth="1" style="22" min="109" max="109"/>
    <col width="30.7109375" customWidth="1" style="22" min="110" max="110"/>
    <col width="20.7109375" customWidth="1" style="22" min="111" max="111"/>
    <col width="24.7109375" customWidth="1" style="22" min="112" max="112"/>
    <col width="30.7109375" customWidth="1" style="22" min="113" max="113"/>
    <col width="17.7109375" customWidth="1" style="22" min="114" max="114"/>
    <col width="15.7109375" customWidth="1" style="22" min="115" max="115"/>
    <col width="17.7109375" customWidth="1" style="22" min="116" max="116"/>
    <col width="29.7109375" customWidth="1" style="22" min="117" max="117"/>
    <col width="25.7109375" customWidth="1" style="22" min="118" max="118"/>
    <col width="12.7109375" customWidth="1" style="22" min="119" max="119"/>
    <col width="17.7109375" customWidth="1" style="22" min="120" max="120"/>
    <col width="26.7109375" customWidth="1" style="22" min="121" max="121"/>
    <col width="31.7109375" customWidth="1" style="22" min="122" max="122"/>
    <col width="13.7109375" customWidth="1" style="22" min="123" max="123"/>
    <col width="21.7109375" customWidth="1" style="22" min="124" max="124"/>
    <col width="15.7109375" customWidth="1" style="22" min="125" max="125"/>
    <col width="24.7109375" customWidth="1" style="22" min="126" max="126"/>
    <col width="20.7109375" customWidth="1" style="22" min="127" max="127"/>
    <col width="14.7109375" customWidth="1" style="22" min="128" max="128"/>
    <col width="33.7109375" customWidth="1" style="22" min="129" max="130"/>
    <col width="53.7109375" customWidth="1" style="22" min="131" max="132"/>
    <col width="21.7109375" customWidth="1" style="22" min="133" max="133"/>
    <col width="18.7109375" customWidth="1" style="22" min="134" max="134"/>
    <col width="39.7109375" customWidth="1" style="22" min="135" max="135"/>
    <col width="25.7109375" customWidth="1" style="22" min="136" max="136"/>
    <col width="30.7109375" customWidth="1" style="22" min="137" max="137"/>
    <col width="44.7109375" customWidth="1" style="22" min="138" max="138"/>
    <col width="64.7109375" customWidth="1" style="22" min="139" max="139"/>
    <col width="31.7109375" customWidth="1" style="22" min="140" max="140"/>
    <col width="27.7109375" customWidth="1" style="22" min="141" max="141"/>
    <col width="24.7109375" customWidth="1" style="22" min="142" max="142"/>
    <col width="20.7109375" customWidth="1" style="22" min="143" max="143"/>
    <col width="41.7109375" customWidth="1" style="22" min="144" max="144"/>
    <col width="20.7109375" customWidth="1" style="22" min="145" max="145"/>
    <col width="21.7109375" customWidth="1" style="22" min="146" max="146"/>
    <col width="18.7109375" customWidth="1" style="22" min="147" max="147"/>
    <col width="30.7109375" customWidth="1" style="22" min="148" max="148"/>
    <col width="44.7109375" customWidth="1" style="22" min="149" max="149"/>
    <col width="57.7109375" customWidth="1" style="22" min="150" max="150"/>
    <col width="19.7109375" customWidth="1" style="22" min="151" max="151"/>
    <col width="43.7109375" customWidth="1" style="22" min="152" max="152"/>
    <col width="79.7109375" customWidth="1" style="22" min="153" max="153"/>
    <col width="30.7109375" customWidth="1" style="22" min="154" max="154"/>
    <col width="35.7109375" customWidth="1" style="22" min="155" max="155"/>
    <col width="33.7109375" customWidth="1" style="22" min="156" max="156"/>
    <col width="34.7109375" customWidth="1" style="22" min="157" max="157"/>
    <col width="32.7109375" customWidth="1" style="22" min="158" max="158"/>
    <col width="30.7109375" customWidth="1" style="22" min="159" max="159"/>
    <col width="31.7109375" customWidth="1" style="22" min="160" max="160"/>
    <col width="40.7109375" customWidth="1" style="22" min="161" max="162"/>
    <col width="27.7109375" customWidth="1" style="22" min="163" max="163"/>
    <col width="44.7109375" customWidth="1" style="22" min="164" max="164"/>
    <col width="27.7109375" customWidth="1" style="22" min="165" max="165"/>
    <col width="22.7109375" customWidth="1" style="22" min="166" max="167"/>
    <col width="45.7109375" customWidth="1" style="22" min="168" max="168"/>
    <col width="24.7109375" customWidth="1" style="22" min="169" max="169"/>
    <col width="31.7109375" customWidth="1" style="22" min="170" max="170"/>
    <col width="21.7109375" customWidth="1" style="22" min="171" max="171"/>
    <col width="29.7109375" customWidth="1" style="22" min="172" max="172"/>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19928</t>
        </is>
      </c>
      <c r="BP1" s="22" t="inlineStr">
        <is>
          <t>200866</t>
        </is>
      </c>
      <c r="BQ1" s="22" t="inlineStr">
        <is>
          <t>200855</t>
        </is>
      </c>
      <c r="BR1" s="22" t="inlineStr">
        <is>
          <t>257300</t>
        </is>
      </c>
      <c r="BS1" s="22" t="inlineStr">
        <is>
          <t>200898</t>
        </is>
      </c>
      <c r="BT1" s="22" t="inlineStr">
        <is>
          <t>200874</t>
        </is>
      </c>
      <c r="BU1" s="22" t="inlineStr">
        <is>
          <t>228588</t>
        </is>
      </c>
      <c r="BV1" s="22" t="inlineStr">
        <is>
          <t>200882</t>
        </is>
      </c>
      <c r="BW1" s="22" t="inlineStr">
        <is>
          <t>257301</t>
        </is>
      </c>
      <c r="BX1" s="22" t="inlineStr">
        <is>
          <t>257309</t>
        </is>
      </c>
      <c r="BY1" s="22" t="inlineStr">
        <is>
          <t>257315</t>
        </is>
      </c>
      <c r="BZ1" s="22" t="inlineStr">
        <is>
          <t>222862</t>
        </is>
      </c>
      <c r="CA1" s="22" t="inlineStr">
        <is>
          <t>222863</t>
        </is>
      </c>
      <c r="CB1" s="22" t="inlineStr">
        <is>
          <t>19977</t>
        </is>
      </c>
      <c r="CC1" s="22" t="inlineStr">
        <is>
          <t>202222</t>
        </is>
      </c>
      <c r="CD1" s="22" t="inlineStr">
        <is>
          <t>19953</t>
        </is>
      </c>
      <c r="CE1" s="22" t="inlineStr">
        <is>
          <t>19967</t>
        </is>
      </c>
      <c r="CF1" s="22" t="inlineStr">
        <is>
          <t>258348</t>
        </is>
      </c>
      <c r="CG1" s="22" t="inlineStr">
        <is>
          <t>223891</t>
        </is>
      </c>
      <c r="CH1" s="22" t="inlineStr">
        <is>
          <t>200865</t>
        </is>
      </c>
      <c r="CI1" s="22" t="inlineStr">
        <is>
          <t>200864</t>
        </is>
      </c>
      <c r="CJ1" s="22" t="inlineStr">
        <is>
          <t>200858</t>
        </is>
      </c>
      <c r="CK1" s="22" t="inlineStr">
        <is>
          <t>200859</t>
        </is>
      </c>
      <c r="CL1" s="22" t="inlineStr">
        <is>
          <t>200860</t>
        </is>
      </c>
      <c r="CM1" s="22" t="inlineStr">
        <is>
          <t>257298</t>
        </is>
      </c>
      <c r="CN1" s="22" t="inlineStr">
        <is>
          <t>257299</t>
        </is>
      </c>
      <c r="CO1" s="22" t="inlineStr">
        <is>
          <t>19956</t>
        </is>
      </c>
      <c r="CP1" s="22" t="inlineStr">
        <is>
          <t>258347</t>
        </is>
      </c>
      <c r="CQ1" s="22" t="inlineStr">
        <is>
          <t>19972</t>
        </is>
      </c>
      <c r="CR1" s="22" t="inlineStr">
        <is>
          <t>20251</t>
        </is>
      </c>
      <c r="CS1" s="22" t="inlineStr">
        <is>
          <t>257302</t>
        </is>
      </c>
      <c r="CT1" s="22" t="inlineStr">
        <is>
          <t>222414</t>
        </is>
      </c>
      <c r="CU1" s="22" t="inlineStr">
        <is>
          <t>244581</t>
        </is>
      </c>
      <c r="CV1" s="22" t="inlineStr">
        <is>
          <t>293484</t>
        </is>
      </c>
      <c r="CW1" s="22" t="inlineStr">
        <is>
          <t>293550</t>
        </is>
      </c>
      <c r="CX1" s="22" t="inlineStr">
        <is>
          <t>294853</t>
        </is>
      </c>
      <c r="CY1" s="22" t="inlineStr">
        <is>
          <t>339359</t>
        </is>
      </c>
      <c r="CZ1" s="22" t="inlineStr">
        <is>
          <t>340396</t>
        </is>
      </c>
      <c r="DA1" s="22" t="inlineStr">
        <is>
          <t>342365</t>
        </is>
      </c>
      <c r="DB1" s="22" t="inlineStr">
        <is>
          <t>382978</t>
        </is>
      </c>
      <c r="DC1" s="22" t="inlineStr">
        <is>
          <t>342373</t>
        </is>
      </c>
      <c r="DD1" s="22" t="inlineStr">
        <is>
          <t>342809</t>
        </is>
      </c>
      <c r="DE1" s="22" t="inlineStr">
        <is>
          <t>342802</t>
        </is>
      </c>
      <c r="DF1" s="22" t="inlineStr">
        <is>
          <t>352585</t>
        </is>
      </c>
      <c r="DG1" s="22" t="inlineStr">
        <is>
          <t>173574</t>
        </is>
      </c>
      <c r="DH1" s="22" t="inlineStr">
        <is>
          <t>20239</t>
        </is>
      </c>
      <c r="DI1" s="22" t="inlineStr">
        <is>
          <t>200869</t>
        </is>
      </c>
      <c r="DJ1" s="22" t="inlineStr">
        <is>
          <t>368650</t>
        </is>
      </c>
      <c r="DK1" s="22" t="inlineStr">
        <is>
          <t>377815</t>
        </is>
      </c>
      <c r="DL1" s="22" t="inlineStr">
        <is>
          <t>20254</t>
        </is>
      </c>
      <c r="DM1" s="22" t="inlineStr">
        <is>
          <t>200875</t>
        </is>
      </c>
      <c r="DN1" s="22" t="inlineStr">
        <is>
          <t>378365</t>
        </is>
      </c>
      <c r="DO1" s="22" t="inlineStr">
        <is>
          <t>378859</t>
        </is>
      </c>
      <c r="DP1" s="22" t="inlineStr">
        <is>
          <t>381928</t>
        </is>
      </c>
      <c r="DQ1" s="22" t="inlineStr">
        <is>
          <t>200854</t>
        </is>
      </c>
      <c r="DR1" s="22" t="inlineStr">
        <is>
          <t>257304</t>
        </is>
      </c>
      <c r="DS1" s="22" t="inlineStr">
        <is>
          <t>20252</t>
        </is>
      </c>
      <c r="DT1" s="22" t="inlineStr">
        <is>
          <t>400787</t>
        </is>
      </c>
      <c r="DU1" s="22" t="inlineStr">
        <is>
          <t>400817</t>
        </is>
      </c>
      <c r="DV1" s="22" t="inlineStr">
        <is>
          <t>223412</t>
        </is>
      </c>
      <c r="DW1" s="22" t="inlineStr">
        <is>
          <t>420140</t>
        </is>
      </c>
      <c r="DX1" s="22" t="inlineStr">
        <is>
          <t>421669</t>
        </is>
      </c>
      <c r="DY1" s="22" t="inlineStr">
        <is>
          <t>194726</t>
        </is>
      </c>
      <c r="DZ1" s="22" t="inlineStr">
        <is>
          <t>201472</t>
        </is>
      </c>
      <c r="EA1" s="22" t="inlineStr">
        <is>
          <t>224856</t>
        </is>
      </c>
      <c r="EB1" s="22" t="inlineStr">
        <is>
          <t>225077</t>
        </is>
      </c>
      <c r="EC1" s="22" t="inlineStr">
        <is>
          <t>364710</t>
        </is>
      </c>
      <c r="ED1" s="22" t="inlineStr">
        <is>
          <t>194708</t>
        </is>
      </c>
      <c r="EE1" s="22" t="inlineStr">
        <is>
          <t>240144</t>
        </is>
      </c>
      <c r="EF1" s="22" t="inlineStr">
        <is>
          <t>225357</t>
        </is>
      </c>
      <c r="EG1" s="22" t="inlineStr">
        <is>
          <t>204373</t>
        </is>
      </c>
      <c r="EH1" s="22" t="inlineStr">
        <is>
          <t>225727</t>
        </is>
      </c>
      <c r="EI1" s="22" t="inlineStr">
        <is>
          <t>236085</t>
        </is>
      </c>
      <c r="EJ1" s="22" t="inlineStr">
        <is>
          <t>249430</t>
        </is>
      </c>
      <c r="EK1" s="22" t="inlineStr">
        <is>
          <t>251178</t>
        </is>
      </c>
      <c r="EL1" s="22" t="inlineStr">
        <is>
          <t>194739</t>
        </is>
      </c>
      <c r="EM1" s="22" t="inlineStr">
        <is>
          <t>295636</t>
        </is>
      </c>
      <c r="EN1" s="22" t="inlineStr">
        <is>
          <t>339355</t>
        </is>
      </c>
      <c r="EO1" s="22" t="inlineStr">
        <is>
          <t>373564</t>
        </is>
      </c>
      <c r="EP1" s="22" t="inlineStr">
        <is>
          <t>341383</t>
        </is>
      </c>
      <c r="EQ1" s="22" t="inlineStr">
        <is>
          <t>341396</t>
        </is>
      </c>
      <c r="ER1" s="22" t="inlineStr">
        <is>
          <t>369623</t>
        </is>
      </c>
      <c r="ES1" s="22" t="inlineStr">
        <is>
          <t>368267</t>
        </is>
      </c>
      <c r="ET1" s="22" t="inlineStr">
        <is>
          <t>384748</t>
        </is>
      </c>
      <c r="EU1" s="22" t="inlineStr">
        <is>
          <t>385923</t>
        </is>
      </c>
      <c r="EV1" s="22" t="inlineStr">
        <is>
          <t>394169</t>
        </is>
      </c>
      <c r="EW1" s="22" t="inlineStr">
        <is>
          <t>415311</t>
        </is>
      </c>
      <c r="EX1" s="22" t="inlineStr">
        <is>
          <t>421605</t>
        </is>
      </c>
      <c r="EY1" s="22" t="inlineStr">
        <is>
          <t>235400</t>
        </is>
      </c>
      <c r="EZ1" s="22" t="inlineStr">
        <is>
          <t>19998</t>
        </is>
      </c>
      <c r="FA1" s="22" t="inlineStr">
        <is>
          <t>19999</t>
        </is>
      </c>
      <c r="FB1" s="22" t="inlineStr">
        <is>
          <t>20003</t>
        </is>
      </c>
      <c r="FC1" s="22" t="inlineStr">
        <is>
          <t>20005</t>
        </is>
      </c>
      <c r="FD1" s="22" t="inlineStr">
        <is>
          <t>20006</t>
        </is>
      </c>
      <c r="FE1" s="22" t="inlineStr">
        <is>
          <t>20260</t>
        </is>
      </c>
      <c r="FF1" s="22" t="inlineStr">
        <is>
          <t>20259</t>
        </is>
      </c>
      <c r="FG1" s="22" t="inlineStr">
        <is>
          <t>294073</t>
        </is>
      </c>
      <c r="FH1" s="22" t="inlineStr">
        <is>
          <t>200888</t>
        </is>
      </c>
      <c r="FI1" s="22" t="inlineStr">
        <is>
          <t>20012</t>
        </is>
      </c>
      <c r="FJ1" s="22" t="inlineStr">
        <is>
          <t>20013</t>
        </is>
      </c>
      <c r="FK1" s="22" t="inlineStr">
        <is>
          <t>228640</t>
        </is>
      </c>
      <c r="FL1" s="22" t="inlineStr">
        <is>
          <t>258418</t>
        </is>
      </c>
      <c r="FM1" s="22" t="inlineStr">
        <is>
          <t>228913</t>
        </is>
      </c>
      <c r="FN1" s="22" t="inlineStr">
        <is>
          <t>333926</t>
        </is>
      </c>
      <c r="FO1" s="22" t="inlineStr">
        <is>
          <t>253982</t>
        </is>
      </c>
      <c r="FP1" s="22" t="inlineStr">
        <is>
          <t>255114</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1" t="n"/>
      <c r="EU2" s="41" t="n"/>
      <c r="EV2" s="41" t="n"/>
      <c r="EW2" s="41" t="n"/>
      <c r="EX2" s="41" t="n"/>
      <c r="EY2" s="41" t="n"/>
      <c r="EZ2" s="41" t="n"/>
      <c r="FA2" s="41" t="n"/>
      <c r="FB2" s="41" t="n"/>
      <c r="FC2" s="41" t="n"/>
      <c r="FD2" s="41" t="n"/>
      <c r="FE2" s="41" t="n"/>
      <c r="FF2" s="41" t="n"/>
      <c r="FG2" s="41" t="n"/>
      <c r="FH2" s="41" t="n"/>
      <c r="FI2" s="41" t="n"/>
      <c r="FJ2" s="41" t="n"/>
      <c r="FK2" s="41" t="n"/>
      <c r="FL2" s="41" t="n"/>
      <c r="FM2" s="41" t="n"/>
      <c r="FN2" s="41" t="n"/>
      <c r="FO2" s="41" t="n"/>
      <c r="FP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Required</t>
        </is>
      </c>
      <c r="BQ3" s="32" t="inlineStr">
        <is>
          <t>Recommended</t>
        </is>
      </c>
      <c r="BR3" s="32" t="inlineStr">
        <is>
          <t>Required</t>
        </is>
      </c>
      <c r="BS3" s="32" t="inlineStr">
        <is>
          <t>Required</t>
        </is>
      </c>
      <c r="BT3" s="32" t="inlineStr">
        <is>
          <t>Required</t>
        </is>
      </c>
      <c r="BU3" s="32" t="inlineStr">
        <is>
          <t>Recommended</t>
        </is>
      </c>
      <c r="BV3" s="32" t="inlineStr">
        <is>
          <t>Recommended</t>
        </is>
      </c>
      <c r="BW3" s="32" t="inlineStr">
        <is>
          <t>Required</t>
        </is>
      </c>
      <c r="BX3" s="32" t="inlineStr">
        <is>
          <t>Recommended</t>
        </is>
      </c>
      <c r="BY3" s="32" t="inlineStr">
        <is>
          <t>Recommended</t>
        </is>
      </c>
      <c r="BZ3" s="32" t="inlineStr">
        <is>
          <t>Recommended</t>
        </is>
      </c>
      <c r="CA3" s="32" t="inlineStr">
        <is>
          <t>Recommended</t>
        </is>
      </c>
      <c r="CB3" s="32" t="inlineStr">
        <is>
          <t>Required</t>
        </is>
      </c>
      <c r="CC3" s="32" t="inlineStr">
        <is>
          <t>Recommended</t>
        </is>
      </c>
      <c r="CD3" s="32" t="inlineStr">
        <is>
          <t>Required</t>
        </is>
      </c>
      <c r="CE3" s="32" t="inlineStr">
        <is>
          <t>Required</t>
        </is>
      </c>
      <c r="CF3" s="32" t="inlineStr">
        <is>
          <t>Recommended</t>
        </is>
      </c>
      <c r="CG3" s="32" t="inlineStr">
        <is>
          <t>Recommended</t>
        </is>
      </c>
      <c r="CH3" s="32" t="inlineStr">
        <is>
          <t>Recommended</t>
        </is>
      </c>
      <c r="CI3" s="32" t="inlineStr">
        <is>
          <t>Recommended</t>
        </is>
      </c>
      <c r="CJ3" s="32" t="inlineStr">
        <is>
          <t>Required</t>
        </is>
      </c>
      <c r="CK3" s="32" t="inlineStr">
        <is>
          <t>Recommended</t>
        </is>
      </c>
      <c r="CL3" s="32" t="inlineStr">
        <is>
          <t>Recommended</t>
        </is>
      </c>
      <c r="CM3" s="32" t="inlineStr">
        <is>
          <t>Recommended</t>
        </is>
      </c>
      <c r="CN3" s="32" t="inlineStr">
        <is>
          <t>Recommended</t>
        </is>
      </c>
      <c r="CO3" s="32" t="inlineStr">
        <is>
          <t>Recommended</t>
        </is>
      </c>
      <c r="CP3" s="32" t="inlineStr">
        <is>
          <t>Recommended</t>
        </is>
      </c>
      <c r="CQ3" s="32" t="inlineStr">
        <is>
          <t>Required</t>
        </is>
      </c>
      <c r="CR3" s="32" t="inlineStr">
        <is>
          <t>Recommended</t>
        </is>
      </c>
      <c r="CS3" s="32" t="inlineStr">
        <is>
          <t>Recommended</t>
        </is>
      </c>
      <c r="CT3" s="32" t="inlineStr">
        <is>
          <t>Required</t>
        </is>
      </c>
      <c r="CU3" s="32" t="inlineStr">
        <is>
          <t>Additional</t>
        </is>
      </c>
      <c r="CV3" s="32" t="inlineStr">
        <is>
          <t>Recommended</t>
        </is>
      </c>
      <c r="CW3" s="32" t="inlineStr">
        <is>
          <t>Recommended</t>
        </is>
      </c>
      <c r="CX3" s="32" t="inlineStr">
        <is>
          <t>Recommended</t>
        </is>
      </c>
      <c r="CY3" s="32" t="inlineStr">
        <is>
          <t>Additional</t>
        </is>
      </c>
      <c r="CZ3" s="32" t="inlineStr">
        <is>
          <t>Additional</t>
        </is>
      </c>
      <c r="DA3" s="32" t="inlineStr">
        <is>
          <t>Additional</t>
        </is>
      </c>
      <c r="DB3" s="32" t="inlineStr">
        <is>
          <t>Additional</t>
        </is>
      </c>
      <c r="DC3" s="32" t="inlineStr">
        <is>
          <t>Additional</t>
        </is>
      </c>
      <c r="DD3" s="32" t="inlineStr">
        <is>
          <t>Additional</t>
        </is>
      </c>
      <c r="DE3" s="32" t="inlineStr">
        <is>
          <t>Additional</t>
        </is>
      </c>
      <c r="DF3" s="32" t="inlineStr">
        <is>
          <t>Additional</t>
        </is>
      </c>
      <c r="DG3" s="32" t="inlineStr">
        <is>
          <t>Required</t>
        </is>
      </c>
      <c r="DH3" s="32" t="inlineStr">
        <is>
          <t>Recommended</t>
        </is>
      </c>
      <c r="DI3" s="32" t="inlineStr">
        <is>
          <t>Recommended</t>
        </is>
      </c>
      <c r="DJ3" s="32" t="inlineStr">
        <is>
          <t>Recommended</t>
        </is>
      </c>
      <c r="DK3" s="32" t="inlineStr">
        <is>
          <t>Required</t>
        </is>
      </c>
      <c r="DL3" s="32" t="inlineStr">
        <is>
          <t>Recommended</t>
        </is>
      </c>
      <c r="DM3" s="32" t="inlineStr">
        <is>
          <t>Recommended</t>
        </is>
      </c>
      <c r="DN3" s="32" t="inlineStr">
        <is>
          <t>Required</t>
        </is>
      </c>
      <c r="DO3" s="32" t="inlineStr">
        <is>
          <t>Required</t>
        </is>
      </c>
      <c r="DP3" s="32" t="inlineStr">
        <is>
          <t>Recommended</t>
        </is>
      </c>
      <c r="DQ3" s="32" t="inlineStr">
        <is>
          <t>Recommended</t>
        </is>
      </c>
      <c r="DR3" s="32" t="inlineStr">
        <is>
          <t>Recommended</t>
        </is>
      </c>
      <c r="DS3" s="32" t="inlineStr">
        <is>
          <t>Recommended</t>
        </is>
      </c>
      <c r="DT3" s="32" t="inlineStr">
        <is>
          <t>Recommended</t>
        </is>
      </c>
      <c r="DU3" s="32" t="inlineStr">
        <is>
          <t>Required</t>
        </is>
      </c>
      <c r="DV3" s="32" t="inlineStr">
        <is>
          <t>Recommended</t>
        </is>
      </c>
      <c r="DW3" s="32" t="inlineStr">
        <is>
          <t>Required</t>
        </is>
      </c>
      <c r="DX3" s="32" t="inlineStr">
        <is>
          <t>Recommended</t>
        </is>
      </c>
      <c r="DY3" s="32" t="inlineStr">
        <is>
          <t>Required</t>
        </is>
      </c>
      <c r="DZ3" s="32" t="inlineStr">
        <is>
          <t>Required</t>
        </is>
      </c>
      <c r="EA3" s="32" t="inlineStr">
        <is>
          <t>Required</t>
        </is>
      </c>
      <c r="EB3" s="32" t="inlineStr">
        <is>
          <t>Required</t>
        </is>
      </c>
      <c r="EC3" s="32" t="inlineStr">
        <is>
          <t>Required</t>
        </is>
      </c>
      <c r="ED3" s="32" t="inlineStr">
        <is>
          <t>Additional</t>
        </is>
      </c>
      <c r="EE3" s="32" t="inlineStr">
        <is>
          <t>Required</t>
        </is>
      </c>
      <c r="EF3" s="32" t="inlineStr">
        <is>
          <t>Recommended</t>
        </is>
      </c>
      <c r="EG3" s="32" t="inlineStr">
        <is>
          <t>Required</t>
        </is>
      </c>
      <c r="EH3" s="32" t="inlineStr">
        <is>
          <t>Required</t>
        </is>
      </c>
      <c r="EI3" s="32" t="inlineStr">
        <is>
          <t>Required</t>
        </is>
      </c>
      <c r="EJ3" s="32" t="inlineStr">
        <is>
          <t>Required</t>
        </is>
      </c>
      <c r="EK3" s="32" t="inlineStr">
        <is>
          <t>Required</t>
        </is>
      </c>
      <c r="EL3" s="32" t="inlineStr">
        <is>
          <t>Required</t>
        </is>
      </c>
      <c r="EM3" s="32" t="inlineStr">
        <is>
          <t>Required</t>
        </is>
      </c>
      <c r="EN3" s="32" t="inlineStr">
        <is>
          <t>Additional</t>
        </is>
      </c>
      <c r="EO3" s="32" t="inlineStr">
        <is>
          <t>Additional</t>
        </is>
      </c>
      <c r="EP3" s="32" t="inlineStr">
        <is>
          <t>Additional</t>
        </is>
      </c>
      <c r="EQ3" s="32" t="inlineStr">
        <is>
          <t>Additional</t>
        </is>
      </c>
      <c r="ER3" s="32" t="inlineStr">
        <is>
          <t>Additional</t>
        </is>
      </c>
      <c r="ES3" s="32" t="inlineStr">
        <is>
          <t>Required</t>
        </is>
      </c>
      <c r="ET3" s="32" t="inlineStr">
        <is>
          <t>Required</t>
        </is>
      </c>
      <c r="EU3" s="32" t="inlineStr">
        <is>
          <t>Recommended</t>
        </is>
      </c>
      <c r="EV3" s="32" t="inlineStr">
        <is>
          <t>Required</t>
        </is>
      </c>
      <c r="EW3" s="32" t="inlineStr">
        <is>
          <t>Recommended</t>
        </is>
      </c>
      <c r="EX3" s="32" t="inlineStr">
        <is>
          <t>Recommended</t>
        </is>
      </c>
      <c r="EY3" s="32" t="inlineStr">
        <is>
          <t>Recommended</t>
        </is>
      </c>
      <c r="EZ3" s="32" t="inlineStr">
        <is>
          <t>Required</t>
        </is>
      </c>
      <c r="FA3" s="32" t="inlineStr">
        <is>
          <t>Required</t>
        </is>
      </c>
      <c r="FB3" s="32" t="inlineStr">
        <is>
          <t>Required</t>
        </is>
      </c>
      <c r="FC3" s="32" t="inlineStr">
        <is>
          <t>Required</t>
        </is>
      </c>
      <c r="FD3" s="32" t="inlineStr">
        <is>
          <t>Required</t>
        </is>
      </c>
      <c r="FE3" s="32" t="inlineStr">
        <is>
          <t>Required</t>
        </is>
      </c>
      <c r="FF3" s="32" t="inlineStr">
        <is>
          <t>Required</t>
        </is>
      </c>
      <c r="FG3" s="32" t="inlineStr">
        <is>
          <t>Recommended</t>
        </is>
      </c>
      <c r="FH3" s="32" t="inlineStr">
        <is>
          <t>Required</t>
        </is>
      </c>
      <c r="FI3" s="32" t="inlineStr">
        <is>
          <t>Recommended</t>
        </is>
      </c>
      <c r="FJ3" s="32" t="inlineStr">
        <is>
          <t>Required</t>
        </is>
      </c>
      <c r="FK3" s="32" t="inlineStr">
        <is>
          <t>Recommended</t>
        </is>
      </c>
      <c r="FL3" s="32" t="inlineStr">
        <is>
          <t>Recommended</t>
        </is>
      </c>
      <c r="FM3" s="32" t="inlineStr">
        <is>
          <t>Required</t>
        </is>
      </c>
      <c r="FN3" s="32" t="inlineStr">
        <is>
          <t>Recommended</t>
        </is>
      </c>
      <c r="FO3" s="32" t="inlineStr">
        <is>
          <t>Recommended</t>
        </is>
      </c>
      <c r="FP3" s="32"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Frame Material</t>
        </is>
      </c>
      <c r="BQ4" s="19" t="inlineStr">
        <is>
          <t>Back Construction</t>
        </is>
      </c>
      <c r="BR4" s="19" t="inlineStr">
        <is>
          <t>Seat Material</t>
        </is>
      </c>
      <c r="BS4" s="19" t="inlineStr">
        <is>
          <t>Upholstered</t>
        </is>
      </c>
      <c r="BT4" s="19" t="inlineStr">
        <is>
          <t>Upholstery Material</t>
        </is>
      </c>
      <c r="BU4" s="19" t="inlineStr">
        <is>
          <t>Tufted</t>
        </is>
      </c>
      <c r="BV4" s="19" t="inlineStr">
        <is>
          <t>Adjustable Backrest-Height</t>
        </is>
      </c>
      <c r="BW4" s="19" t="inlineStr">
        <is>
          <t>Back Material</t>
        </is>
      </c>
      <c r="BX4" s="19" t="inlineStr">
        <is>
          <t>Back Upholstery Material</t>
        </is>
      </c>
      <c r="BY4" s="19" t="inlineStr">
        <is>
          <t>Back Fill Material</t>
        </is>
      </c>
      <c r="BZ4" s="19" t="inlineStr">
        <is>
          <t>Purposeful Distressing Type</t>
        </is>
      </c>
      <c r="CA4" s="19" t="inlineStr">
        <is>
          <t>Natural Variation Type</t>
        </is>
      </c>
      <c r="CB4" s="19" t="inlineStr">
        <is>
          <t>Arms Included</t>
        </is>
      </c>
      <c r="CC4" s="19" t="inlineStr">
        <is>
          <t>Adjustable Armrest Type</t>
        </is>
      </c>
      <c r="CD4" s="19" t="inlineStr">
        <is>
          <t>Swivel</t>
        </is>
      </c>
      <c r="CE4" s="19" t="inlineStr">
        <is>
          <t>Lumbar Support</t>
        </is>
      </c>
      <c r="CF4" s="19" t="inlineStr">
        <is>
          <t>Massage Setting</t>
        </is>
      </c>
      <c r="CG4" s="19" t="inlineStr">
        <is>
          <t>Tilting</t>
        </is>
      </c>
      <c r="CH4" s="19" t="inlineStr">
        <is>
          <t>Tilt Lock</t>
        </is>
      </c>
      <c r="CI4" s="19" t="inlineStr">
        <is>
          <t>Adjustable Tilt Tension</t>
        </is>
      </c>
      <c r="CJ4" s="19" t="inlineStr">
        <is>
          <t>Adjustable Height</t>
        </is>
      </c>
      <c r="CK4" s="19" t="inlineStr">
        <is>
          <t>Seat Depth Adjustment</t>
        </is>
      </c>
      <c r="CL4" s="19" t="inlineStr">
        <is>
          <t>Seat Angle Adjustment</t>
        </is>
      </c>
      <c r="CM4" s="19" t="inlineStr">
        <is>
          <t>Waterfall Seat Included</t>
        </is>
      </c>
      <c r="CN4" s="19" t="inlineStr">
        <is>
          <t>Seat Glide Mechanism</t>
        </is>
      </c>
      <c r="CO4" s="19" t="inlineStr">
        <is>
          <t>Headrest Included</t>
        </is>
      </c>
      <c r="CP4" s="19" t="inlineStr">
        <is>
          <t>Footrest Included</t>
        </is>
      </c>
      <c r="CQ4" s="19" t="inlineStr">
        <is>
          <t>Casters / Wheels</t>
        </is>
      </c>
      <c r="CR4" s="19" t="inlineStr">
        <is>
          <t>Compatible Floor Type</t>
        </is>
      </c>
      <c r="CS4" s="19" t="inlineStr">
        <is>
          <t>Stackable</t>
        </is>
      </c>
      <c r="CT4" s="19" t="inlineStr">
        <is>
          <t>Supplier Intended and Approved Use</t>
        </is>
      </c>
      <c r="CU4" s="19" t="inlineStr">
        <is>
          <t>Country of Origin - Additional Details</t>
        </is>
      </c>
      <c r="CV4" s="19" t="inlineStr">
        <is>
          <t>Main Wood Joinery Method</t>
        </is>
      </c>
      <c r="CW4" s="19" t="inlineStr">
        <is>
          <t>Kiln-Dried Wood</t>
        </is>
      </c>
      <c r="CX4" s="19" t="inlineStr">
        <is>
          <t>Vibration</t>
        </is>
      </c>
      <c r="CY4" s="33" t="inlineStr">
        <is>
          <t>Battery or Batteries Included</t>
        </is>
      </c>
      <c r="CZ4" s="34" t="inlineStr">
        <is>
          <t>Battery Composition</t>
        </is>
      </c>
      <c r="DA4" s="34" t="inlineStr">
        <is>
          <t>Battery Type</t>
        </is>
      </c>
      <c r="DB4" s="34" t="inlineStr">
        <is>
          <t>Number of Batteries</t>
        </is>
      </c>
      <c r="DC4" s="34" t="inlineStr">
        <is>
          <t>Battery Shipment</t>
        </is>
      </c>
      <c r="DD4" s="34" t="inlineStr">
        <is>
          <t>Lithium Content</t>
        </is>
      </c>
      <c r="DE4" s="34" t="inlineStr">
        <is>
          <t>Watt Rating of Cells / Battery</t>
        </is>
      </c>
      <c r="DF4" s="34" t="inlineStr">
        <is>
          <t>Weight of Cells / Battery</t>
        </is>
      </c>
      <c r="DG4" s="19" t="inlineStr">
        <is>
          <t>Weight Capacity</t>
        </is>
      </c>
      <c r="DH4" s="19" t="inlineStr">
        <is>
          <t>Adjustable Headrest</t>
        </is>
      </c>
      <c r="DI4" s="19" t="inlineStr">
        <is>
          <t>Adjustable Lumbar Support</t>
        </is>
      </c>
      <c r="DJ4" s="19" t="inlineStr">
        <is>
          <t>Product Care</t>
        </is>
      </c>
      <c r="DK4" s="19" t="inlineStr">
        <is>
          <t>Seat Color</t>
        </is>
      </c>
      <c r="DL4" s="19" t="inlineStr">
        <is>
          <t>Arm Material</t>
        </is>
      </c>
      <c r="DM4" s="19" t="inlineStr">
        <is>
          <t>Upholstery Fill Material</t>
        </is>
      </c>
      <c r="DN4" s="19" t="inlineStr">
        <is>
          <t>Frame Color / Finish</t>
        </is>
      </c>
      <c r="DO4" s="19" t="inlineStr">
        <is>
          <t>Plug-In</t>
        </is>
      </c>
      <c r="DP4" s="19" t="inlineStr">
        <is>
          <t>Wood Species</t>
        </is>
      </c>
      <c r="DQ4" s="19" t="inlineStr">
        <is>
          <t>Back Angle Adjustment</t>
        </is>
      </c>
      <c r="DR4" s="19" t="inlineStr">
        <is>
          <t>Removable Wheels / Casters</t>
        </is>
      </c>
      <c r="DS4" s="19" t="inlineStr">
        <is>
          <t>Arm Type</t>
        </is>
      </c>
      <c r="DT4" s="19" t="inlineStr">
        <is>
          <t>Ribbed Detailing</t>
        </is>
      </c>
      <c r="DU4" s="19" t="inlineStr">
        <is>
          <t>Durability</t>
        </is>
      </c>
      <c r="DV4" s="19" t="inlineStr">
        <is>
          <t>Tilt Mechanism Type</t>
        </is>
      </c>
      <c r="DW4" s="19" t="inlineStr">
        <is>
          <t>Pieces Included</t>
        </is>
      </c>
      <c r="DX4" s="19" t="inlineStr">
        <is>
          <t>Rub Count</t>
        </is>
      </c>
      <c r="DY4" s="19" t="inlineStr">
        <is>
          <t>CPSC - 16 CFR 1303 Compliant</t>
        </is>
      </c>
      <c r="DZ4" s="33" t="inlineStr">
        <is>
          <t>Composite Wood Product (CWP)</t>
        </is>
      </c>
      <c r="EA4" s="34" t="inlineStr">
        <is>
          <t>CARB Phase II Compliant (formaldehyde emissions)</t>
        </is>
      </c>
      <c r="EB4" s="34" t="inlineStr">
        <is>
          <t>TSCA Title VI Compliant (formaldehyde emissions)</t>
        </is>
      </c>
      <c r="EC4" s="34" t="inlineStr">
        <is>
          <t>CANFER Compliant</t>
        </is>
      </c>
      <c r="ED4" s="19" t="inlineStr">
        <is>
          <t>ADA Compliant</t>
        </is>
      </c>
      <c r="EE4" s="19" t="inlineStr">
        <is>
          <t>Contains Flame Retardant Materials</t>
        </is>
      </c>
      <c r="EF4" s="19" t="inlineStr">
        <is>
          <t>CAL TB 116 Compliant</t>
        </is>
      </c>
      <c r="EG4" s="19" t="inlineStr">
        <is>
          <t>CAL TB 117-2013 Compliant</t>
        </is>
      </c>
      <c r="EH4" s="19" t="inlineStr">
        <is>
          <t>General Certificate of Conformity (GCC)</t>
        </is>
      </c>
      <c r="EI4" s="19" t="inlineStr">
        <is>
          <t>Uniform Packaging and Labeling Regulations (UPLR) Compliant</t>
        </is>
      </c>
      <c r="EJ4" s="33" t="inlineStr">
        <is>
          <t>Canada Product Restriction</t>
        </is>
      </c>
      <c r="EK4" s="34" t="inlineStr">
        <is>
          <t>Reason for Restriction</t>
        </is>
      </c>
      <c r="EL4" s="19" t="inlineStr">
        <is>
          <t>Lacey Act Compliant</t>
        </is>
      </c>
      <c r="EM4" s="19" t="inlineStr">
        <is>
          <t>SOFFA Compliant</t>
        </is>
      </c>
      <c r="EN4" s="33" t="inlineStr">
        <is>
          <t>Hazardous Material / Dangerous Goods</t>
        </is>
      </c>
      <c r="EO4" s="34" t="inlineStr">
        <is>
          <t>UN or ID number</t>
        </is>
      </c>
      <c r="EP4" s="34" t="inlineStr">
        <is>
          <t>Hazard Class(es)</t>
        </is>
      </c>
      <c r="EQ4" s="34" t="inlineStr">
        <is>
          <t>Packing Group</t>
        </is>
      </c>
      <c r="ER4" s="34" t="inlineStr">
        <is>
          <t>Hazardous Material Weight</t>
        </is>
      </c>
      <c r="ES4" s="19" t="inlineStr">
        <is>
          <t>Energy Efficiency Regulations Compliant</t>
        </is>
      </c>
      <c r="ET4" s="19" t="inlineStr">
        <is>
          <t>SOR/2016-193 - Surface Coating Materials Regulations</t>
        </is>
      </c>
      <c r="EU4" s="19" t="inlineStr">
        <is>
          <t>ISTA Certified</t>
        </is>
      </c>
      <c r="EV4" s="19" t="inlineStr">
        <is>
          <t>California AB-1817 Compliant (CA PFAS)</t>
        </is>
      </c>
      <c r="EW4" s="19" t="inlineStr">
        <is>
          <t>Sustainability &amp; Social Responsibility Certifications (North America Only)</t>
        </is>
      </c>
      <c r="EX4" s="19" t="inlineStr">
        <is>
          <t>Commercial Certifications</t>
        </is>
      </c>
      <c r="EY4" s="19" t="inlineStr">
        <is>
          <t>Overall Height - Top to Bottom</t>
        </is>
      </c>
      <c r="EZ4" s="19" t="inlineStr">
        <is>
          <t>Overall Width - Side to Side</t>
        </is>
      </c>
      <c r="FA4" s="19" t="inlineStr">
        <is>
          <t>Overall Depth - Front to Back</t>
        </is>
      </c>
      <c r="FB4" s="19" t="inlineStr">
        <is>
          <t>Seat Height - Floor to Seat</t>
        </is>
      </c>
      <c r="FC4" s="19" t="inlineStr">
        <is>
          <t>Seat Width - Side to Side</t>
        </is>
      </c>
      <c r="FD4" s="19" t="inlineStr">
        <is>
          <t>Seat Depth - Front to Back</t>
        </is>
      </c>
      <c r="FE4" s="19" t="inlineStr">
        <is>
          <t>Minimum Seat Height - Floor to Seat</t>
        </is>
      </c>
      <c r="FF4" s="19" t="inlineStr">
        <is>
          <t>Maximum Seat Height - Floor to Seat</t>
        </is>
      </c>
      <c r="FG4" s="19" t="inlineStr">
        <is>
          <t>Seat Cushion Thickness</t>
        </is>
      </c>
      <c r="FH4" s="19" t="inlineStr">
        <is>
          <t>Chair Back Height - Seat to Top of Back</t>
        </is>
      </c>
      <c r="FI4" s="19" t="inlineStr">
        <is>
          <t>Overall Product Weight</t>
        </is>
      </c>
      <c r="FJ4" s="19" t="inlineStr">
        <is>
          <t>Assembly Required</t>
        </is>
      </c>
      <c r="FK4" s="19" t="inlineStr">
        <is>
          <t>Level of Assembly</t>
        </is>
      </c>
      <c r="FL4" s="19" t="inlineStr">
        <is>
          <t>Additional Tools Required (Not Included)</t>
        </is>
      </c>
      <c r="FM4" s="33" t="inlineStr">
        <is>
          <t>Commercial Warranty</t>
        </is>
      </c>
      <c r="FN4" s="34" t="inlineStr">
        <is>
          <t>Commercial Warranty Length</t>
        </is>
      </c>
      <c r="FO4" s="19" t="inlineStr">
        <is>
          <t>Product Warranty</t>
        </is>
      </c>
      <c r="FP4" s="19" t="inlineStr">
        <is>
          <t>Full or Limited Warranty</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What is the primary material used to construct the frame of the product? If the correct value is not listed, please type the material into this field.</t>
        </is>
      </c>
      <c r="BQ5" s="35" t="inlineStr">
        <is>
          <t>What is the back of the chair constructed of, excluding filling and covering material? Please choose from the options listed. If the construction is not listed, please choose 'Other'.</t>
        </is>
      </c>
      <c r="BR5" s="35" t="inlineStr">
        <is>
          <t>What is the primary material used to construct the seat? Please enter the most applicable option.</t>
        </is>
      </c>
      <c r="BS5" s="35" t="inlineStr">
        <is>
          <t>Select if this product is upholstered or comes with an upholstered component. (An upholstered item will have some sort of pad or filling material covered by fabric.)</t>
        </is>
      </c>
      <c r="BT5" s="35" t="inlineStr">
        <is>
          <t>What is the upholstery material used for this product? If the material is a combination of multiple materials, please choose the material that makes up the highest percentage of composition. For example, if the material is 55% Cotton, and 45% Polyester, please choose Cotton Blend.</t>
        </is>
      </c>
      <c r="BU5" s="35" t="inlineStr">
        <is>
          <t>If the product is upholstered, is it tufted? (A tuft is a gathered section of fabric, secured by a button, that creates a 3D cushioned effect.)</t>
        </is>
      </c>
      <c r="BV5" s="35" t="inlineStr">
        <is>
          <t>Is the height of the chair's backrest adjustable?</t>
        </is>
      </c>
      <c r="BW5" s="35" t="inlineStr">
        <is>
          <t>What is the covering material of the back made of?</t>
        </is>
      </c>
      <c r="BX5" s="35" t="inlineStr">
        <is>
          <t>What is the back upholstery material?</t>
        </is>
      </c>
      <c r="BY5" s="35" t="inlineStr">
        <is>
          <t>What fill is used in the back of the product?</t>
        </is>
      </c>
      <c r="BZ5" s="35" t="inlineStr">
        <is>
          <t>What specific type of distressing does this product have? Select all that apply.</t>
        </is>
      </c>
      <c r="CA5" s="35" t="inlineStr">
        <is>
          <t>Which of the following types of natural variation and texture does the product have? Multiple can be selected if applicable. If the product does NOT have natural variation, please select No Natural Variation.</t>
        </is>
      </c>
      <c r="CB5" s="35" t="inlineStr">
        <is>
          <t>Does this product have arms included?</t>
        </is>
      </c>
      <c r="CC5" s="35" t="inlineStr">
        <is>
          <t>In what way is this armrest adjustable?</t>
        </is>
      </c>
      <c r="CD5" s="35" t="inlineStr">
        <is>
          <t>Is this product able to swivel?</t>
        </is>
      </c>
      <c r="CE5" s="35" t="inlineStr">
        <is>
          <t>Does this product have a lumbar support feature?</t>
        </is>
      </c>
      <c r="CF5" s="35" t="inlineStr">
        <is>
          <t>Does this product include any massage features?</t>
        </is>
      </c>
      <c r="CG5" s="35" t="inlineStr">
        <is>
          <t>Does this product tilt?</t>
        </is>
      </c>
      <c r="CH5" s="35" t="inlineStr">
        <is>
          <t>Does this chair have a function that allows you to lock your chair into the tilt position that provides you the greatest comfort?</t>
        </is>
      </c>
      <c r="CI5" s="35" t="inlineStr">
        <is>
          <t>Does this chair have a function that allows you to adjust the amount of force required to recline?</t>
        </is>
      </c>
      <c r="CJ5" s="35" t="inlineStr">
        <is>
          <t>Is the height of this product adjustable?</t>
        </is>
      </c>
      <c r="CK5" s="35" t="inlineStr">
        <is>
          <t>Can the back of the seat move in and out to increase the seating depth?</t>
        </is>
      </c>
      <c r="CL5" s="35" t="inlineStr">
        <is>
          <t>Can you tilt the seat cushion/adjust the angle of the seat cushion independently of the back?</t>
        </is>
      </c>
      <c r="CM5" s="35" t="inlineStr">
        <is>
          <t>Does this product have a waterfall seat included?</t>
        </is>
      </c>
      <c r="CN5" s="35" t="inlineStr">
        <is>
          <t>Can the seat cushion more forward or back to adjust the seating depth?</t>
        </is>
      </c>
      <c r="CO5" s="35" t="inlineStr">
        <is>
          <t>Does this product have a headrest included?</t>
        </is>
      </c>
      <c r="CP5" s="35" t="inlineStr">
        <is>
          <t>Does this product have a footrest included?</t>
        </is>
      </c>
      <c r="CQ5" s="35" t="inlineStr">
        <is>
          <t>Does this product have any casters or wheels?</t>
        </is>
      </c>
      <c r="CR5" s="35" t="inlineStr">
        <is>
          <t>Which of the following surfaces can this product safely be used on or under without damaging the surface? Select all that apply.</t>
        </is>
      </c>
      <c r="CS5" s="35" t="inlineStr">
        <is>
          <t>Is this product stackable? Does it have the ability to be placed on top of another?</t>
        </is>
      </c>
      <c r="CT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U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V5" s="35" t="inlineStr">
        <is>
          <t>Which technique was used to join together the main pieces of wood to construct the overall product?</t>
        </is>
      </c>
      <c r="CW5" s="35" t="inlineStr">
        <is>
          <t>Is the wood kiln-dried? If product is not made of wood, please select "does not apply."</t>
        </is>
      </c>
      <c r="CX5" s="35" t="inlineStr">
        <is>
          <t>Does this chair vibrate?</t>
        </is>
      </c>
      <c r="CY5" s="35" t="inlineStr">
        <is>
          <t>Is the product a battery or does the product include batteries?</t>
        </is>
      </c>
      <c r="CZ5" s="35" t="inlineStr">
        <is>
          <t>What is the composition of the batteries included with product?</t>
        </is>
      </c>
      <c r="DA5" s="35" t="inlineStr">
        <is>
          <t>What type is the battery? Button Cell, Cell, Battery?</t>
        </is>
      </c>
      <c r="DB5" s="35" t="inlineStr">
        <is>
          <t>Confirm number of batteries in this product</t>
        </is>
      </c>
      <c r="DC5" s="35" t="inlineStr">
        <is>
          <t>Do the cells/batteries ship stand alone/packed with the equipment/ contained (installed) in the equipment?</t>
        </is>
      </c>
      <c r="DD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DE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DF5" s="35" t="inlineStr">
        <is>
          <t>What is the net weight of the cells or batteries that ship with the product in grams or kilograms.</t>
        </is>
      </c>
      <c r="DG5" s="35" t="inlineStr">
        <is>
          <t>[Pounds] What is the maximum weight capacity of the product? Please enter just the number (i.e., 45.5).</t>
        </is>
      </c>
      <c r="DH5" s="35" t="inlineStr">
        <is>
          <t>Is the headrest on this product adjustable?</t>
        </is>
      </c>
      <c r="DI5" s="35" t="inlineStr">
        <is>
          <t>Does the product feature lumbar support that adjusts independently of the back?</t>
        </is>
      </c>
      <c r="DJ5" s="35" t="inlineStr">
        <is>
          <t>What is the appropriate way to clean and/or care for this product? Please select as many answers as applicable.</t>
        </is>
      </c>
      <c r="DK5" s="35" t="inlineStr">
        <is>
          <t>What is the color of the seat?</t>
        </is>
      </c>
      <c r="DL5" s="35" t="inlineStr">
        <is>
          <t>What is the material used to construct the arms?</t>
        </is>
      </c>
      <c r="DM5" s="35" t="inlineStr">
        <is>
          <t>If the item is upholstered, what is the upholstery fill material? (foam, cotton batting, etc.)</t>
        </is>
      </c>
      <c r="DN5" s="35" t="inlineStr">
        <is>
          <t>What is the color or finish of the frame of the product?</t>
        </is>
      </c>
      <c r="DO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DP5" s="35" t="inlineStr">
        <is>
          <t>What type of wood was used to construct this product? This describes the actual materials used, not the product's appearance.</t>
        </is>
      </c>
      <c r="DQ5" s="35" t="inlineStr">
        <is>
          <t>Can the back angle be locked in a number of different positions?</t>
        </is>
      </c>
      <c r="DR5" s="35" t="inlineStr">
        <is>
          <t>Are the wheels / casters removable?</t>
        </is>
      </c>
      <c r="DS5" s="35" t="inlineStr">
        <is>
          <t>What type of arms does the chair have?</t>
        </is>
      </c>
      <c r="DT5" s="35" t="inlineStr">
        <is>
          <t>Is there a a raised pattern of parallel lines on a surface of this product?</t>
        </is>
      </c>
      <c r="DU5" s="35" t="inlineStr">
        <is>
          <t>Which of the following durability features are applicable to this product? Please select all applicable options from the list. If none apply, please select "No Durability Features."</t>
        </is>
      </c>
      <c r="DV5" s="35" t="inlineStr">
        <is>
          <t>Please select the type of tilt mechanism with which the angle of the product can be tilted.</t>
        </is>
      </c>
      <c r="DW5" s="35" t="inlineStr">
        <is>
          <t>What pieces are included with this product?</t>
        </is>
      </c>
      <c r="DX5" s="35" t="inlineStr">
        <is>
          <t>Please select the rating this product received on the Wyzenbeek Double Rub Abrasion Test, or on the Martindale Cycle Rating Abrasion Test.</t>
        </is>
      </c>
      <c r="DY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DZ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EA5" s="35" t="inlineStr">
        <is>
          <t>Is this product certified compliant for CARB ATCM Phase II formaldehyde emission standards from Composite Wood Products [California Air Resources Board (CARB)- Airborne Toxic Control Measures (ATCM) Phase II]</t>
        </is>
      </c>
      <c r="EB5" s="35" t="inlineStr">
        <is>
          <t>Is this product certified TSCA Title VI compliant regarding formaldehyde emissions from Composite Wood Products [Environmental Protection Agency (EPA)-Toxic Substance Control Act (TSCA)-Title VI]</t>
        </is>
      </c>
      <c r="EC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ED5" s="35" t="inlineStr">
        <is>
          <t>Is this product ADA (Americans with Disabilities Act) compliant?</t>
        </is>
      </c>
      <c r="EE5" s="35" t="inlineStr">
        <is>
          <t>Does this product contain flame resistant materials If any of these three chemicals (PBDEs – polybrominated diphenyl ethers, TDCP (or TDCPP) – Tris (1,3-dicholor-2-propyl) phosphate, TCEP – Tris (2-chloroethyl) phosphate) were used in the manufacturing of the furniture, please select yes.</t>
        </is>
      </c>
      <c r="EF5" s="35" t="inlineStr">
        <is>
          <t>Is this product certified compliant with California Technical Bulletin: CAL TB 116, the Flammability Standard for Upholstered Furniture?</t>
        </is>
      </c>
      <c r="EG5" s="35" t="inlineStr">
        <is>
          <t>Are this products components certified compliant with California Technical Bulletin: CAL TB 117-2013, the Flammability (Smolder) Standard for Upholstered Furniture Materials?</t>
        </is>
      </c>
      <c r="EH5" s="35" t="inlineStr">
        <is>
          <t>Does this product have a General Certificate of Conformity (GCC), as required by the U.S. CPSC for certain product classes?</t>
        </is>
      </c>
      <c r="EI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EJ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EK5" s="35" t="inlineStr">
        <is>
          <t>Please select the reason this product can not ship to Canada?  Please select from the options or write in a reason if not selectable</t>
        </is>
      </c>
      <c r="EL5" s="35" t="inlineStr">
        <is>
          <t>Is this product compliant with the Lacey Act (a set of conservation laws also known as the Lacey Act of 1900)?</t>
        </is>
      </c>
      <c r="EM5" s="35" t="inlineStr">
        <is>
          <t>Does this product meet the flammability standard for upholstered furniture set forth by Safer Occupancy Future Flammability Act (SOFFA)? Please note that SOFFA is incorporated into the COVID-19 Regulatory Relief and Work from Home Safety Act.</t>
        </is>
      </c>
      <c r="EN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EO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EP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EQ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ER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ES5" s="35"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ET5" s="35" t="inlineStr">
        <is>
          <t>Does your product comply with SOR/2016-193 (as amended by SOR/2022-122), the Canadian regulation banning paint or similar surface-coating materials for consumer use that contain more than 10 mg/kg total mercury and 90mg/kg total lead? Please note: A no answer to this question will prevent this item from being listed for sale on Wayfair.ca.</t>
        </is>
      </c>
      <c r="EU5" s="35" t="inlineStr">
        <is>
          <t>Is the packaging for this SKU ISTA Certified (1A, 3A, 6A)?</t>
        </is>
      </c>
      <c r="EV5" s="35" t="inlineStr">
        <is>
          <t>Select "Does Not Apply" if your product does not contain any textiles.
Is this product compliant with California's Safer Clothes and Textiles Act (AB 1817), the standard restricting per- and polyfluoroalkyl substances (PFAS) above 100 parts per million in textiles? 
Products marked "No" will be blocked from sale in California. 
Please see Help Center article here for more information: https://partners.wayfair.com/help/2/article/2828).</t>
        </is>
      </c>
      <c r="EW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X5" s="35"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Y5" s="35" t="inlineStr">
        <is>
          <t>[Inches] What is the overall height of the product from top to bottom? Please enter just the number (e.g. 45.5).</t>
        </is>
      </c>
      <c r="EZ5" s="35" t="inlineStr">
        <is>
          <t>[Inches] What is overall width of the product from side to side? Please enter just the number (e.g. 45.5).</t>
        </is>
      </c>
      <c r="FA5" s="35" t="inlineStr">
        <is>
          <t>[Inches] What is the overall depth of the product from front to back? Please enter just the number (e.g. 45.5).</t>
        </is>
      </c>
      <c r="FB5" s="35" t="inlineStr">
        <is>
          <t>[Inches] What is the height from the floor to the top of the seat? Please enter just the number (e.g. 12.5).</t>
        </is>
      </c>
      <c r="FC5" s="35" t="inlineStr">
        <is>
          <t>[Inches] What is the width of the seat from side to side? Please enter just the number (e.g. 12.5). Do not include the arms of the product (if the product has arms) in this measurement - it should be the inside distance between the arms.</t>
        </is>
      </c>
      <c r="FD5" s="35" t="inlineStr">
        <is>
          <t>[Inches] What is the depth of the seat from front to back? Please enter just the number (e.g. 12.5). Please do not include the back of the chair (if there is one) in this measurement.</t>
        </is>
      </c>
      <c r="FE5" s="35" t="inlineStr">
        <is>
          <t>[Inches] If the product height is adjustable, enter the minimum seat height (floor to seat). Enter just the value (i.e., 45.5).</t>
        </is>
      </c>
      <c r="FF5" s="35" t="inlineStr">
        <is>
          <t>[Inches] If the product height is adjustable, enter the maximum seat height (floor to seat). Enter just the value (i.e., 45.5).</t>
        </is>
      </c>
      <c r="FG5" s="35" t="inlineStr">
        <is>
          <t>[Inches] What is the thickness of the cushion from top to bottom? Please enter just the number (e.g. 30.5).</t>
        </is>
      </c>
      <c r="FH5" s="35" t="inlineStr">
        <is>
          <t>[Inches] What is the height from the top of the seat to the top of the back? Please enter just the number (e.g. 12.5).</t>
        </is>
      </c>
      <c r="FI5" s="35" t="inlineStr">
        <is>
          <t>[Pounds] What is the total weight of this product once assembled? If this product includes multiples of the same item, add weight of one individual unit (e.g. 1 Dining Chair in a set of 2). Please enter just the number (i.e. 45.5).</t>
        </is>
      </c>
      <c r="FJ5" s="35" t="inlineStr">
        <is>
          <t>Does the product require any form of assembly prior to use as intended?</t>
        </is>
      </c>
      <c r="FK5" s="35" t="inlineStr">
        <is>
          <t>What is the level of assembly required?</t>
        </is>
      </c>
      <c r="FL5" s="35" t="inlineStr">
        <is>
          <t>What additional tools will the customer need to set-up this product that are NOT included with purchase?</t>
        </is>
      </c>
      <c r="FM5" s="35" t="inlineStr">
        <is>
          <t>Does the manufacturer warranty cover the use of this product in a commercial environment?</t>
        </is>
      </c>
      <c r="FN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FO5" s="35" t="inlineStr">
        <is>
          <t>Please indicate if there is a warranty on this product if it were to be used in a residential setting.</t>
        </is>
      </c>
      <c r="FP5" s="35" t="inlineStr">
        <is>
          <t>Please indicate if the warranty is Full or Limited.</t>
        </is>
      </c>
    </row>
    <row r="6" ht="50" customHeight="1">
      <c r="A6" s="35" t="inlineStr">
        <is>
          <t>Read-Only</t>
        </is>
      </c>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Select</t>
        </is>
      </c>
      <c r="BQ6" s="36" t="inlineStr">
        <is>
          <t>Please choose one or more from the following, using a semicolon (;) to separate each value: Mesh; Bungee; Other; Manufactured Wood; Fabric; Solid Wood; Metal; Plastic; Leather; Unavailable</t>
        </is>
      </c>
      <c r="BR6" s="36" t="inlineStr">
        <is>
          <t>Please choose one or more from the following, using a semicolon (;) to separate each value: Ceramic; Plastic; Wood; Manufactured wood; Brass; Bungee; Chenille; Concrete; Copper; Fabric; Genuine Leather; Metal; Plastic / Resin; Nickel; Polyurethane; Solid + Manufactured Wood; Cotton; Stainless Steel; Wicker/Rattan; Faux Leather; Mesh; Iron; Plastic / Acrylic; Microfiber; Polyester/Polyester blend; Porcelain; Sling; Solid Wood; Velvet; Wicker; Steel; Twill; Aluminum; Resin; Leather; Vinyl; Suede; Upholstered; Polyester; Sunbrella®; Canvas; Does Not Apply</t>
        </is>
      </c>
      <c r="BS6" s="35" t="inlineStr">
        <is>
          <t>Yes or No</t>
        </is>
      </c>
      <c r="BT6" s="36" t="inlineStr">
        <is>
          <t>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t>
        </is>
      </c>
      <c r="BU6" s="35" t="inlineStr">
        <is>
          <t>Yes or No</t>
        </is>
      </c>
      <c r="BV6" s="35" t="inlineStr">
        <is>
          <t>Yes or No</t>
        </is>
      </c>
      <c r="BW6" s="36" t="inlineStr">
        <is>
          <t>Please choose one or more from the following, using a semicolon (;) to separate each value: Fabric; Solid Wood; Leather; Faux Leather; Metal; Vinyl; Mesh; Plastic / Acrylic; Manufactured Wood; Bungee; Copper; Nickel; Aluminum; Steel; Stainless Steel; Upholstered; Microfiber; Polyester / Polyester Blend; Iron; Brass; Cane; Unavailable</t>
        </is>
      </c>
      <c r="BX6" s="36" t="inlineStr">
        <is>
          <t>Please choose one or more from the following, using a semicolon (;) to separate each value: Twill; Fabric; Polyurethane; Genuine Leather; Vinyl; Polyester / Polyester Blend; Faux Fur; Faux Leather; Suede; Microfiber; Velvet; Leather; Rayon; Chenille; Wool; Cotton; Linen; Microsuede; Unavailable; Does Not Apply</t>
        </is>
      </c>
      <c r="BY6" s="36" t="inlineStr">
        <is>
          <t>Please choose one or more from the following, using a semicolon (;) to separate each value: Foam; Cotton; Down; Synthetic Fiber; Feather; Polyester; Pellets / Beads; Unavailable; Does Not Apply</t>
        </is>
      </c>
      <c r="BZ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A6" s="36" t="inlineStr">
        <is>
          <t>Please choose one or more from the following, using a semicolon (;) to separate each value: No Natural Variation; Natural Wood Grain Color Variation; Weathered Steel; Wood Knots; Natural Stone Color Variation; Unavailable</t>
        </is>
      </c>
      <c r="CB6" s="35" t="inlineStr">
        <is>
          <t>Yes or No</t>
        </is>
      </c>
      <c r="CC6" s="36" t="inlineStr">
        <is>
          <t>Please choose one or more from the following, using a semicolon (;) to separate each value: Up / Down; Pivot; Side to Side; Front to Back; Non-Adjustable; Flip Up; Unavailable; Does Not Apply</t>
        </is>
      </c>
      <c r="CD6" s="35" t="inlineStr">
        <is>
          <t>Yes or No</t>
        </is>
      </c>
      <c r="CE6" s="35" t="inlineStr">
        <is>
          <t>Yes or No</t>
        </is>
      </c>
      <c r="CF6" s="35" t="inlineStr">
        <is>
          <t>Yes or No</t>
        </is>
      </c>
      <c r="CG6" s="35" t="inlineStr">
        <is>
          <t>Yes or No</t>
        </is>
      </c>
      <c r="CH6" s="35" t="inlineStr">
        <is>
          <t>Yes or No</t>
        </is>
      </c>
      <c r="CI6" s="35" t="inlineStr">
        <is>
          <t>Yes or No</t>
        </is>
      </c>
      <c r="CJ6" s="35" t="inlineStr">
        <is>
          <t>Yes or No</t>
        </is>
      </c>
      <c r="CK6" s="35" t="inlineStr">
        <is>
          <t>Yes or No</t>
        </is>
      </c>
      <c r="CL6" s="35" t="inlineStr">
        <is>
          <t>Yes or No</t>
        </is>
      </c>
      <c r="CM6" s="35" t="inlineStr">
        <is>
          <t>Yes or No</t>
        </is>
      </c>
      <c r="CN6" s="35" t="inlineStr">
        <is>
          <t>Yes or No</t>
        </is>
      </c>
      <c r="CO6" s="35" t="inlineStr">
        <is>
          <t>Yes or No</t>
        </is>
      </c>
      <c r="CP6" s="35" t="inlineStr">
        <is>
          <t>Yes or No</t>
        </is>
      </c>
      <c r="CQ6" s="35" t="inlineStr">
        <is>
          <t>Yes or No</t>
        </is>
      </c>
      <c r="CR6" s="36" t="inlineStr">
        <is>
          <t>Please choose one or more from the following, using a semicolon (;) to separate each value: Hardwood; Carpet; Linoleum / Laminate; Brick; Porcelain; Thick Carpet and Shag Rugs; Vinyl; Metal; Rug; Marble / Tile; Upholstery; Concrete / Stone; Grass; Heated Floor; Onyx; Thin Carpets and Low Pile Rugs; Engineered Wood; Bamboo; Cork; Unavailable; Does Not Apply</t>
        </is>
      </c>
      <c r="CS6" s="35" t="inlineStr">
        <is>
          <t>Yes or No</t>
        </is>
      </c>
      <c r="CT6" s="36" t="inlineStr">
        <is>
          <t>Please choose one or more from the following, using a semicolon (;) to separate each value: Non Residential Use; Residential Use</t>
        </is>
      </c>
      <c r="CU6" s="36" t="inlineStr">
        <is>
          <t>Please choose one or more from the following, using a semicolon (;) to separate each value: Made in USA; Made in USA of Imported Materials; Product of Canada; Made In Canada; Does Not Apply</t>
        </is>
      </c>
      <c r="CV6" s="36" t="inlineStr">
        <is>
          <t>Select</t>
        </is>
      </c>
      <c r="CW6" s="35" t="inlineStr">
        <is>
          <t>Yes or No</t>
        </is>
      </c>
      <c r="CX6" s="35" t="inlineStr">
        <is>
          <t>Yes or No</t>
        </is>
      </c>
      <c r="CY6" s="35" t="inlineStr">
        <is>
          <t>Yes or No</t>
        </is>
      </c>
      <c r="CZ6" s="36" t="inlineStr">
        <is>
          <t>Select</t>
        </is>
      </c>
      <c r="DA6" s="36" t="inlineStr">
        <is>
          <t>Select</t>
        </is>
      </c>
      <c r="DB6" s="36" t="inlineStr">
        <is>
          <t>Select</t>
        </is>
      </c>
      <c r="DC6" s="36" t="inlineStr">
        <is>
          <t>Select</t>
        </is>
      </c>
      <c r="DD6" s="36" t="inlineStr">
        <is>
          <t>Select</t>
        </is>
      </c>
      <c r="DE6" s="36" t="inlineStr">
        <is>
          <t>Select</t>
        </is>
      </c>
      <c r="DF6" s="36" t="inlineStr">
        <is>
          <t>Select</t>
        </is>
      </c>
      <c r="DG6" s="35" t="inlineStr">
        <is>
          <t>Number</t>
        </is>
      </c>
      <c r="DH6" s="35" t="inlineStr">
        <is>
          <t>Yes or No</t>
        </is>
      </c>
      <c r="DI6" s="35" t="inlineStr">
        <is>
          <t>Yes or No</t>
        </is>
      </c>
      <c r="DJ6" s="36"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DK6" s="36" t="inlineStr">
        <is>
          <t>Please choose one or more from the following, using a semicolon (;) to separate each value: Cream; Green; Gold; Blue; Beige; Tan; Gray; Black; Clear; Orange; Red; Purple; Pink; Silver; Navy; Ivory; Brown; White; Platinum; Yellow; Teal; Does Not Apply</t>
        </is>
      </c>
      <c r="DL6" s="36" t="inlineStr">
        <is>
          <t>Please choose one or more from the following, using a semicolon (;) to separate each value: Wood; Manufactured Wood; Rubber; Foam; Plastic / Acrylic; Wicker; Fabric; Metal; Nylon; Polyester; Plastic; Vinyl; Polypropylene; Solid Wood; Faux Leather; Genuine Leather; Polyurethane; Solid + Manufactured Wood; Unavailable; Does Not Apply</t>
        </is>
      </c>
      <c r="DM6" s="36" t="inlineStr">
        <is>
          <t>Please choose one or more from the following, using a semicolon (;) to separate each value: Down; Feather; Down Blend; Synthetic Fiber; Foam; Eco-Fill; Pellets / Beads; Cotton; Polyester; Unavailable; Does Not Apply</t>
        </is>
      </c>
      <c r="DN6" s="36" t="inlineStr">
        <is>
          <t>Please choose one or more from the following, using a semicolon (;) to separate each value: Stainless Steel; White; Silver; Satin; Gold; Yellow; Clear; Satin Black; Medium Wood; Matte Black; White Wood; Black; Brown; Blue; Dark Brown Wood; Brown Wood; Oak Wood; Medium Yellow Wood; Light Yellow Wood; Rose Gold; Antique Brass; Nickel; Pink; Polished Brass; Satin Brass; Oil Rubbed Bronze; Polished Nickel; Red; Purple; Espresso Wood; Ivory; Orange; Beige; Teal; Green; Bronze; Brushed Gold; Brass; Red Wood; Tan; Navy; Brushed Nickel; Cream; Chrome; Brushed Brass; Polished Chrome; Gray; Gray Wood; Satin Nickel; Beige Wood; Natural Wood; Copper; Antique Copper; Antique Bronze</t>
        </is>
      </c>
      <c r="DO6" s="35" t="inlineStr">
        <is>
          <t>Yes or No</t>
        </is>
      </c>
      <c r="DP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DQ6" s="35" t="inlineStr">
        <is>
          <t>Yes or No</t>
        </is>
      </c>
      <c r="DR6" s="35" t="inlineStr">
        <is>
          <t>Yes or No</t>
        </is>
      </c>
      <c r="DS6" s="36" t="inlineStr">
        <is>
          <t>Please choose one or more from the following, using a semicolon (;) to separate each value: Armless; Tuxedo Arms; Fixed; Round Arms; Square Arms; Pillow Top Arms; Rolled Arms; Recessed Arms; Charles of London; Padded; Flip-Up; Track Arms; Adjustable Arms; Flared Arms; Unavailable; Does Not Apply</t>
        </is>
      </c>
      <c r="DT6" s="35" t="inlineStr">
        <is>
          <t>Yes or No</t>
        </is>
      </c>
      <c r="DU6" s="36" t="inlineStr">
        <is>
          <t>Please choose one or more from the following, using a semicolon (;) to separate each value: No Durability Features; Fire Resistant; Antimicrobial; Does Not Apply</t>
        </is>
      </c>
      <c r="DV6" s="36" t="inlineStr">
        <is>
          <t>Please choose one or more from the following, using a semicolon (;) to separate each value: Center Tilt; Auto Tilt; Knee Tilt; Manual Tilt; Synchro Tilt; Rotational; Collar Tilt; Push Button; Does Not Apply</t>
        </is>
      </c>
      <c r="DW6" s="36" t="inlineStr">
        <is>
          <t>Please choose one or more from the following, using a semicolon (;) to separate each value: Headrest; Pillow; Chair Mat; Waterfall Seat; Wheels / Casters; Arms; Footrest; Unavailable; Does Not Apply</t>
        </is>
      </c>
      <c r="DX6" s="36" t="inlineStr">
        <is>
          <t>Select</t>
        </is>
      </c>
      <c r="DY6" s="36" t="inlineStr">
        <is>
          <t>Select</t>
        </is>
      </c>
      <c r="DZ6" s="35" t="inlineStr">
        <is>
          <t>Yes or No</t>
        </is>
      </c>
      <c r="EA6" s="36" t="inlineStr">
        <is>
          <t>Select</t>
        </is>
      </c>
      <c r="EB6" s="36" t="inlineStr">
        <is>
          <t>Select</t>
        </is>
      </c>
      <c r="EC6" s="36" t="inlineStr">
        <is>
          <t>Select</t>
        </is>
      </c>
      <c r="ED6" s="35" t="inlineStr">
        <is>
          <t>Yes or No</t>
        </is>
      </c>
      <c r="EE6" s="35" t="inlineStr">
        <is>
          <t>Yes or No</t>
        </is>
      </c>
      <c r="EF6" s="36" t="inlineStr">
        <is>
          <t>Select</t>
        </is>
      </c>
      <c r="EG6" s="36" t="inlineStr">
        <is>
          <t>Select</t>
        </is>
      </c>
      <c r="EH6" s="36" t="inlineStr">
        <is>
          <t>Select</t>
        </is>
      </c>
      <c r="EI6" s="36" t="inlineStr">
        <is>
          <t>Select</t>
        </is>
      </c>
      <c r="EJ6" s="35" t="inlineStr">
        <is>
          <t>Yes or No</t>
        </is>
      </c>
      <c r="EK6" s="36" t="inlineStr">
        <is>
          <t>Please choose one or more from the following, using a semicolon (;) to separate each value: Dual Language; Distribution Conflict; Logistics; Does Not Apply</t>
        </is>
      </c>
      <c r="EL6" s="36" t="inlineStr">
        <is>
          <t>Select</t>
        </is>
      </c>
      <c r="EM6" s="35" t="inlineStr">
        <is>
          <t>Yes or No</t>
        </is>
      </c>
      <c r="EN6" s="35" t="inlineStr">
        <is>
          <t>Yes or No</t>
        </is>
      </c>
      <c r="EO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EP6" s="36" t="inlineStr">
        <is>
          <t>Select</t>
        </is>
      </c>
      <c r="EQ6" s="36" t="inlineStr">
        <is>
          <t>Select</t>
        </is>
      </c>
      <c r="ER6" s="36" t="inlineStr">
        <is>
          <t>Select</t>
        </is>
      </c>
      <c r="ES6" s="36" t="inlineStr">
        <is>
          <t>Select</t>
        </is>
      </c>
      <c r="ET6" s="36" t="inlineStr">
        <is>
          <t>Select</t>
        </is>
      </c>
      <c r="EU6" s="36" t="inlineStr">
        <is>
          <t>Select</t>
        </is>
      </c>
      <c r="EV6" s="36" t="inlineStr">
        <is>
          <t>Select</t>
        </is>
      </c>
      <c r="EW6" s="35" t="inlineStr">
        <is>
          <t>Yes or No</t>
        </is>
      </c>
      <c r="EX6" s="36" t="inlineStr">
        <is>
          <t>Select</t>
        </is>
      </c>
      <c r="EY6" s="35" t="inlineStr">
        <is>
          <t>Number</t>
        </is>
      </c>
      <c r="EZ6" s="35" t="inlineStr">
        <is>
          <t>Number</t>
        </is>
      </c>
      <c r="FA6" s="35" t="inlineStr">
        <is>
          <t>Number</t>
        </is>
      </c>
      <c r="FB6" s="35" t="inlineStr">
        <is>
          <t>Number</t>
        </is>
      </c>
      <c r="FC6" s="35" t="inlineStr">
        <is>
          <t>Number</t>
        </is>
      </c>
      <c r="FD6" s="35" t="inlineStr">
        <is>
          <t>Number</t>
        </is>
      </c>
      <c r="FE6" s="35" t="inlineStr">
        <is>
          <t>Number</t>
        </is>
      </c>
      <c r="FF6" s="35" t="inlineStr">
        <is>
          <t>Number</t>
        </is>
      </c>
      <c r="FG6" s="35" t="inlineStr">
        <is>
          <t>Number</t>
        </is>
      </c>
      <c r="FH6" s="35" t="inlineStr">
        <is>
          <t>Number</t>
        </is>
      </c>
      <c r="FI6" s="35" t="inlineStr">
        <is>
          <t>Number</t>
        </is>
      </c>
      <c r="FJ6" s="35" t="inlineStr">
        <is>
          <t>Yes or No</t>
        </is>
      </c>
      <c r="FK6" s="36" t="inlineStr">
        <is>
          <t>Select</t>
        </is>
      </c>
      <c r="FL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FM6" s="35" t="inlineStr">
        <is>
          <t>Yes or No</t>
        </is>
      </c>
      <c r="FN6" s="36" t="inlineStr">
        <is>
          <t>Select</t>
        </is>
      </c>
      <c r="FO6" s="35" t="inlineStr">
        <is>
          <t>Yes or No</t>
        </is>
      </c>
      <c r="FP6" s="36" t="inlineStr">
        <is>
          <t>Select</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c r="DZ7" s="38" t="n"/>
      <c r="EA7" s="38" t="n"/>
      <c r="EB7" s="38" t="n"/>
      <c r="EC7" s="38" t="n"/>
      <c r="ED7" s="38" t="n"/>
      <c r="EE7" s="38" t="n"/>
      <c r="EF7" s="38" t="n"/>
      <c r="EG7" s="38" t="n"/>
      <c r="EH7" s="38" t="n"/>
      <c r="EI7" s="38" t="n"/>
      <c r="EJ7" s="38" t="n"/>
      <c r="EK7" s="38" t="n"/>
      <c r="EL7" s="38" t="n"/>
      <c r="EM7" s="38" t="n"/>
      <c r="EN7" s="38" t="n"/>
      <c r="EO7" s="38" t="n"/>
      <c r="EP7" s="38" t="n"/>
      <c r="EQ7" s="38" t="n"/>
      <c r="ER7" s="38" t="n"/>
      <c r="ES7" s="38" t="n"/>
      <c r="ET7" s="38" t="n"/>
      <c r="EU7" s="38" t="n"/>
      <c r="EV7" s="38" t="n"/>
      <c r="EW7" s="38" t="n"/>
      <c r="EX7" s="38" t="n"/>
      <c r="EY7" s="38" t="n"/>
      <c r="EZ7" s="38" t="n"/>
      <c r="FA7" s="38" t="n"/>
      <c r="FB7" s="38" t="n"/>
      <c r="FC7" s="38" t="n"/>
      <c r="FD7" s="38" t="n"/>
      <c r="FE7" s="38" t="n"/>
      <c r="FF7" s="38" t="n"/>
      <c r="FG7" s="38" t="n"/>
      <c r="FH7" s="38" t="n"/>
      <c r="FI7" s="38" t="n"/>
      <c r="FJ7" s="38" t="n"/>
      <c r="FK7" s="38" t="n"/>
      <c r="FL7" s="38" t="n"/>
      <c r="FM7" s="38" t="n"/>
      <c r="FN7" s="38" t="n"/>
      <c r="FO7" s="38" t="n"/>
      <c r="FP7" s="38" t="n"/>
    </row>
    <row r="8">
      <c r="A8" s="39">
        <f>IF('10 - Office Chairs'!B8 = "", "", IF('10 - Office Chairs-WUO_ERR'!A8 = "", "Validated", HYPERLINK("#" &amp; ADDRESS(8, '10 - Office Chairs-WUO_TRK'!A8),_xlfn.TEXTAFTER('10 - Office Chairs-WUO_ERR'!A8, ":"))))</f>
        <v/>
      </c>
    </row>
    <row r="9">
      <c r="A9" s="39">
        <f>IF('10 - Office Chairs'!B9 = "", "", IF('10 - Office Chairs-WUO_ERR'!A9 = "", "Validated", HYPERLINK("#" &amp; ADDRESS(9, '10 - Office Chairs-WUO_TRK'!A9),_xlfn.TEXTAFTER('10 - Office Chairs-WUO_ERR'!A9, ":"))))</f>
        <v/>
      </c>
    </row>
    <row r="10">
      <c r="A10" s="39">
        <f>IF('10 - Office Chairs'!B10 = "", "", IF('10 - Office Chairs-WUO_ERR'!A10 = "", "Validated", HYPERLINK("#" &amp; ADDRESS(10, '10 - Office Chairs-WUO_TRK'!A10),_xlfn.TEXTAFTER('10 - Office Chairs-WUO_ERR'!A10, ":"))))</f>
        <v/>
      </c>
    </row>
    <row r="11">
      <c r="A11" s="39">
        <f>IF('10 - Office Chairs'!B11 = "", "", IF('10 - Office Chairs-WUO_ERR'!A11 = "", "Validated", HYPERLINK("#" &amp; ADDRESS(11, '10 - Office Chairs-WUO_TRK'!A11),_xlfn.TEXTAFTER('10 - Office Chairs-WUO_ERR'!A11, ":"))))</f>
        <v/>
      </c>
    </row>
    <row r="12">
      <c r="A12" s="39">
        <f>IF('10 - Office Chairs'!B12 = "", "", IF('10 - Office Chairs-WUO_ERR'!A12 = "", "Validated", HYPERLINK("#" &amp; ADDRESS(12, '10 - Office Chairs-WUO_TRK'!A12),_xlfn.TEXTAFTER('10 - Office Chairs-WUO_ERR'!A12, ":"))))</f>
        <v/>
      </c>
    </row>
    <row r="13">
      <c r="A13" s="39">
        <f>IF('10 - Office Chairs'!B13 = "", "", IF('10 - Office Chairs-WUO_ERR'!A13 = "", "Validated", HYPERLINK("#" &amp; ADDRESS(13, '10 - Office Chairs-WUO_TRK'!A13),_xlfn.TEXTAFTER('10 - Office Chairs-WUO_ERR'!A13, ":"))))</f>
        <v/>
      </c>
    </row>
    <row r="14">
      <c r="A14" s="39">
        <f>IF('10 - Office Chairs'!B14 = "", "", IF('10 - Office Chairs-WUO_ERR'!A14 = "", "Validated", HYPERLINK("#" &amp; ADDRESS(14, '10 - Office Chairs-WUO_TRK'!A14),_xlfn.TEXTAFTER('10 - Office Chairs-WUO_ERR'!A14, ":"))))</f>
        <v/>
      </c>
    </row>
    <row r="15">
      <c r="A15" s="39">
        <f>IF('10 - Office Chairs'!B15 = "", "", IF('10 - Office Chairs-WUO_ERR'!A15 = "", "Validated", HYPERLINK("#" &amp; ADDRESS(15, '10 - Office Chairs-WUO_TRK'!A15),_xlfn.TEXTAFTER('10 - Office Chairs-WUO_ERR'!A15, ":"))))</f>
        <v/>
      </c>
    </row>
    <row r="16">
      <c r="A16" s="39">
        <f>IF('10 - Office Chairs'!B16 = "", "", IF('10 - Office Chairs-WUO_ERR'!A16 = "", "Validated", HYPERLINK("#" &amp; ADDRESS(16, '10 - Office Chairs-WUO_TRK'!A16),_xlfn.TEXTAFTER('10 - Office Chairs-WUO_ERR'!A16, ":"))))</f>
        <v/>
      </c>
    </row>
    <row r="17">
      <c r="A17" s="39">
        <f>IF('10 - Office Chairs'!B17 = "", "", IF('10 - Office Chairs-WUO_ERR'!A17 = "", "Validated", HYPERLINK("#" &amp; ADDRESS(17, '10 - Office Chairs-WUO_TRK'!A17),_xlfn.TEXTAFTER('10 - Office Chairs-WUO_ERR'!A17, ":"))))</f>
        <v/>
      </c>
    </row>
    <row r="18">
      <c r="A18" s="39">
        <f>IF('10 - Office Chairs'!B18 = "", "", IF('10 - Office Chairs-WUO_ERR'!A18 = "", "Validated", HYPERLINK("#" &amp; ADDRESS(18, '10 - Office Chairs-WUO_TRK'!A18),_xlfn.TEXTAFTER('10 - Office Chairs-WUO_ERR'!A18, ":"))))</f>
        <v/>
      </c>
    </row>
    <row r="19">
      <c r="A19" s="39">
        <f>IF('10 - Office Chairs'!B19 = "", "", IF('10 - Office Chairs-WUO_ERR'!A19 = "", "Validated", HYPERLINK("#" &amp; ADDRESS(19, '10 - Office Chairs-WUO_TRK'!A19),_xlfn.TEXTAFTER('10 - Office Chairs-WUO_ERR'!A19, ":"))))</f>
        <v/>
      </c>
    </row>
    <row r="20">
      <c r="A20" s="39">
        <f>IF('10 - Office Chairs'!B20 = "", "", IF('10 - Office Chairs-WUO_ERR'!A20 = "", "Validated", HYPERLINK("#" &amp; ADDRESS(20, '10 - Office Chairs-WUO_TRK'!A20),_xlfn.TEXTAFTER('10 - Office Chairs-WUO_ERR'!A20, ":"))))</f>
        <v/>
      </c>
    </row>
    <row r="21">
      <c r="A21" s="39">
        <f>IF('10 - Office Chairs'!B21 = "", "", IF('10 - Office Chairs-WUO_ERR'!A21 = "", "Validated", HYPERLINK("#" &amp; ADDRESS(21, '10 - Office Chairs-WUO_TRK'!A21),_xlfn.TEXTAFTER('10 - Office Chairs-WUO_ERR'!A21, ":"))))</f>
        <v/>
      </c>
    </row>
    <row r="22">
      <c r="A22" s="39">
        <f>IF('10 - Office Chairs'!B22 = "", "", IF('10 - Office Chairs-WUO_ERR'!A22 = "", "Validated", HYPERLINK("#" &amp; ADDRESS(22, '10 - Office Chairs-WUO_TRK'!A22),_xlfn.TEXTAFTER('10 - Office Chairs-WUO_ERR'!A22, ":"))))</f>
        <v/>
      </c>
    </row>
    <row r="23">
      <c r="A23" s="39">
        <f>IF('10 - Office Chairs'!B23 = "", "", IF('10 - Office Chairs-WUO_ERR'!A23 = "", "Validated", HYPERLINK("#" &amp; ADDRESS(23, '10 - Office Chairs-WUO_TRK'!A23),_xlfn.TEXTAFTER('10 - Office Chairs-WUO_ERR'!A23, ":"))))</f>
        <v/>
      </c>
    </row>
    <row r="24">
      <c r="A24" s="39">
        <f>IF('10 - Office Chairs'!B24 = "", "", IF('10 - Office Chairs-WUO_ERR'!A24 = "", "Validated", HYPERLINK("#" &amp; ADDRESS(24, '10 - Office Chairs-WUO_TRK'!A24),_xlfn.TEXTAFTER('10 - Office Chairs-WUO_ERR'!A24, ":"))))</f>
        <v/>
      </c>
    </row>
    <row r="25">
      <c r="A25" s="39">
        <f>IF('10 - Office Chairs'!B25 = "", "", IF('10 - Office Chairs-WUO_ERR'!A25 = "", "Validated", HYPERLINK("#" &amp; ADDRESS(25, '10 - Office Chairs-WUO_TRK'!A25),_xlfn.TEXTAFTER('10 - Office Chairs-WUO_ERR'!A25, ":"))))</f>
        <v/>
      </c>
    </row>
    <row r="26">
      <c r="A26" s="39">
        <f>IF('10 - Office Chairs'!B26 = "", "", IF('10 - Office Chairs-WUO_ERR'!A26 = "", "Validated", HYPERLINK("#" &amp; ADDRESS(26, '10 - Office Chairs-WUO_TRK'!A26),_xlfn.TEXTAFTER('10 - Office Chairs-WUO_ERR'!A26, ":"))))</f>
        <v/>
      </c>
    </row>
    <row r="27">
      <c r="A27" s="39">
        <f>IF('10 - Office Chairs'!B27 = "", "", IF('10 - Office Chairs-WUO_ERR'!A27 = "", "Validated", HYPERLINK("#" &amp; ADDRESS(27, '10 - Office Chairs-WUO_TRK'!A27),_xlfn.TEXTAFTER('10 - Office Chairs-WUO_ERR'!A27, ":"))))</f>
        <v/>
      </c>
    </row>
    <row r="28">
      <c r="A28" s="39">
        <f>IF('10 - Office Chairs'!B28 = "", "", IF('10 - Office Chairs-WUO_ERR'!A28 = "", "Validated", HYPERLINK("#" &amp; ADDRESS(28, '10 - Office Chairs-WUO_TRK'!A28),_xlfn.TEXTAFTER('10 - Office Chairs-WUO_ERR'!A28, ":"))))</f>
        <v/>
      </c>
    </row>
    <row r="29">
      <c r="A29" s="39">
        <f>IF('10 - Office Chairs'!B29 = "", "", IF('10 - Office Chairs-WUO_ERR'!A29 = "", "Validated", HYPERLINK("#" &amp; ADDRESS(29, '10 - Office Chairs-WUO_TRK'!A29),_xlfn.TEXTAFTER('10 - Office Chairs-WUO_ERR'!A29, ":"))))</f>
        <v/>
      </c>
    </row>
    <row r="30">
      <c r="A30" s="39">
        <f>IF('10 - Office Chairs'!B30 = "", "", IF('10 - Office Chairs-WUO_ERR'!A30 = "", "Validated", HYPERLINK("#" &amp; ADDRESS(30, '10 - Office Chairs-WUO_TRK'!A30),_xlfn.TEXTAFTER('10 - Office Chairs-WUO_ERR'!A30, ":"))))</f>
        <v/>
      </c>
    </row>
    <row r="31">
      <c r="A31" s="39">
        <f>IF('10 - Office Chairs'!B31 = "", "", IF('10 - Office Chairs-WUO_ERR'!A31 = "", "Validated", HYPERLINK("#" &amp; ADDRESS(31, '10 - Office Chairs-WUO_TRK'!A31),_xlfn.TEXTAFTER('10 - Office Chairs-WUO_ERR'!A31, ":"))))</f>
        <v/>
      </c>
    </row>
    <row r="32">
      <c r="A32" s="39">
        <f>IF('10 - Office Chairs'!B32 = "", "", IF('10 - Office Chairs-WUO_ERR'!A32 = "", "Validated", HYPERLINK("#" &amp; ADDRESS(32, '10 - Office Chairs-WUO_TRK'!A32),_xlfn.TEXTAFTER('10 - Office Chairs-WUO_ERR'!A32, ":"))))</f>
        <v/>
      </c>
    </row>
    <row r="33">
      <c r="A33" s="39">
        <f>IF('10 - Office Chairs'!B33 = "", "", IF('10 - Office Chairs-WUO_ERR'!A33 = "", "Validated", HYPERLINK("#" &amp; ADDRESS(33, '10 - Office Chairs-WUO_TRK'!A33),_xlfn.TEXTAFTER('10 - Office Chairs-WUO_ERR'!A33, ":"))))</f>
        <v/>
      </c>
    </row>
    <row r="34">
      <c r="A34" s="39">
        <f>IF('10 - Office Chairs'!B34 = "", "", IF('10 - Office Chairs-WUO_ERR'!A34 = "", "Validated", HYPERLINK("#" &amp; ADDRESS(34, '10 - Office Chairs-WUO_TRK'!A34),_xlfn.TEXTAFTER('10 - Office Chairs-WUO_ERR'!A34, ":"))))</f>
        <v/>
      </c>
    </row>
    <row r="35">
      <c r="A35" s="39">
        <f>IF('10 - Office Chairs'!B35 = "", "", IF('10 - Office Chairs-WUO_ERR'!A35 = "", "Validated", HYPERLINK("#" &amp; ADDRESS(35, '10 - Office Chairs-WUO_TRK'!A35),_xlfn.TEXTAFTER('10 - Office Chairs-WUO_ERR'!A35, ":"))))</f>
        <v/>
      </c>
    </row>
    <row r="36">
      <c r="A36" s="39">
        <f>IF('10 - Office Chairs'!B36 = "", "", IF('10 - Office Chairs-WUO_ERR'!A36 = "", "Validated", HYPERLINK("#" &amp; ADDRESS(36, '10 - Office Chairs-WUO_TRK'!A36),_xlfn.TEXTAFTER('10 - Office Chairs-WUO_ERR'!A36, ":"))))</f>
        <v/>
      </c>
    </row>
    <row r="37">
      <c r="A37" s="39">
        <f>IF('10 - Office Chairs'!B37 = "", "", IF('10 - Office Chairs-WUO_ERR'!A37 = "", "Validated", HYPERLINK("#" &amp; ADDRESS(37, '10 - Office Chairs-WUO_TRK'!A37),_xlfn.TEXTAFTER('10 - Office Chairs-WUO_ERR'!A37, ":"))))</f>
        <v/>
      </c>
    </row>
    <row r="38">
      <c r="A38" s="39">
        <f>IF('10 - Office Chairs'!B38 = "", "", IF('10 - Office Chairs-WUO_ERR'!A38 = "", "Validated", HYPERLINK("#" &amp; ADDRESS(38, '10 - Office Chairs-WUO_TRK'!A38),_xlfn.TEXTAFTER('10 - Office Chairs-WUO_ERR'!A38, ":"))))</f>
        <v/>
      </c>
    </row>
    <row r="39">
      <c r="A39" s="39">
        <f>IF('10 - Office Chairs'!B39 = "", "", IF('10 - Office Chairs-WUO_ERR'!A39 = "", "Validated", HYPERLINK("#" &amp; ADDRESS(39, '10 - Office Chairs-WUO_TRK'!A39),_xlfn.TEXTAFTER('10 - Office Chairs-WUO_ERR'!A39, ":"))))</f>
        <v/>
      </c>
    </row>
    <row r="40">
      <c r="A40" s="39">
        <f>IF('10 - Office Chairs'!B40 = "", "", IF('10 - Office Chairs-WUO_ERR'!A40 = "", "Validated", HYPERLINK("#" &amp; ADDRESS(40, '10 - Office Chairs-WUO_TRK'!A40),_xlfn.TEXTAFTER('10 - Office Chairs-WUO_ERR'!A40, ":"))))</f>
        <v/>
      </c>
    </row>
    <row r="41">
      <c r="A41" s="39">
        <f>IF('10 - Office Chairs'!B41 = "", "", IF('10 - Office Chairs-WUO_ERR'!A41 = "", "Validated", HYPERLINK("#" &amp; ADDRESS(41, '10 - Office Chairs-WUO_TRK'!A41),_xlfn.TEXTAFTER('10 - Office Chairs-WUO_ERR'!A41, ":"))))</f>
        <v/>
      </c>
    </row>
    <row r="42">
      <c r="A42" s="39">
        <f>IF('10 - Office Chairs'!B42 = "", "", IF('10 - Office Chairs-WUO_ERR'!A42 = "", "Validated", HYPERLINK("#" &amp; ADDRESS(42, '10 - Office Chairs-WUO_TRK'!A42),_xlfn.TEXTAFTER('10 - Office Chairs-WUO_ERR'!A42, ":"))))</f>
        <v/>
      </c>
    </row>
    <row r="43">
      <c r="A43" s="39">
        <f>IF('10 - Office Chairs'!B43 = "", "", IF('10 - Office Chairs-WUO_ERR'!A43 = "", "Validated", HYPERLINK("#" &amp; ADDRESS(43, '10 - Office Chairs-WUO_TRK'!A43),_xlfn.TEXTAFTER('10 - Office Chairs-WUO_ERR'!A43, ":"))))</f>
        <v/>
      </c>
    </row>
    <row r="44">
      <c r="A44" s="39">
        <f>IF('10 - Office Chairs'!B44 = "", "", IF('10 - Office Chairs-WUO_ERR'!A44 = "", "Validated", HYPERLINK("#" &amp; ADDRESS(44, '10 - Office Chairs-WUO_TRK'!A44),_xlfn.TEXTAFTER('10 - Office Chairs-WUO_ERR'!A44, ":"))))</f>
        <v/>
      </c>
    </row>
    <row r="45">
      <c r="A45" s="39">
        <f>IF('10 - Office Chairs'!B45 = "", "", IF('10 - Office Chairs-WUO_ERR'!A45 = "", "Validated", HYPERLINK("#" &amp; ADDRESS(45, '10 - Office Chairs-WUO_TRK'!A45),_xlfn.TEXTAFTER('10 - Office Chairs-WUO_ERR'!A45, ":"))))</f>
        <v/>
      </c>
    </row>
    <row r="46">
      <c r="A46" s="39">
        <f>IF('10 - Office Chairs'!B46 = "", "", IF('10 - Office Chairs-WUO_ERR'!A46 = "", "Validated", HYPERLINK("#" &amp; ADDRESS(46, '10 - Office Chairs-WUO_TRK'!A46),_xlfn.TEXTAFTER('10 - Office Chairs-WUO_ERR'!A46, ":"))))</f>
        <v/>
      </c>
    </row>
    <row r="47">
      <c r="A47" s="39">
        <f>IF('10 - Office Chairs'!B47 = "", "", IF('10 - Office Chairs-WUO_ERR'!A47 = "", "Validated", HYPERLINK("#" &amp; ADDRESS(47, '10 - Office Chairs-WUO_TRK'!A47),_xlfn.TEXTAFTER('10 - Office Chairs-WUO_ERR'!A47, ":"))))</f>
        <v/>
      </c>
    </row>
    <row r="48">
      <c r="A48" s="39">
        <f>IF('10 - Office Chairs'!B48 = "", "", IF('10 - Office Chairs-WUO_ERR'!A48 = "", "Validated", HYPERLINK("#" &amp; ADDRESS(48, '10 - Office Chairs-WUO_TRK'!A48),_xlfn.TEXTAFTER('10 - Office Chairs-WUO_ERR'!A48, ":"))))</f>
        <v/>
      </c>
    </row>
    <row r="49">
      <c r="A49" s="39">
        <f>IF('10 - Office Chairs'!B49 = "", "", IF('10 - Office Chairs-WUO_ERR'!A49 = "", "Validated", HYPERLINK("#" &amp; ADDRESS(49, '10 - Office Chairs-WUO_TRK'!A49),_xlfn.TEXTAFTER('10 - Office Chairs-WUO_ERR'!A49, ":"))))</f>
        <v/>
      </c>
    </row>
    <row r="50">
      <c r="A50" s="39">
        <f>IF('10 - Office Chairs'!B50 = "", "", IF('10 - Office Chairs-WUO_ERR'!A50 = "", "Validated", HYPERLINK("#" &amp; ADDRESS(50, '10 - Office Chairs-WUO_TRK'!A50),_xlfn.TEXTAFTER('10 - Office Chairs-WUO_ERR'!A50, ":"))))</f>
        <v/>
      </c>
    </row>
    <row r="51">
      <c r="A51" s="39">
        <f>IF('10 - Office Chairs'!B51 = "", "", IF('10 - Office Chairs-WUO_ERR'!A51 = "", "Validated", HYPERLINK("#" &amp; ADDRESS(51, '10 - Office Chairs-WUO_TRK'!A51),_xlfn.TEXTAFTER('10 - Office Chairs-WUO_ERR'!A51, ":"))))</f>
        <v/>
      </c>
    </row>
    <row r="52">
      <c r="A52" s="39">
        <f>IF('10 - Office Chairs'!B52 = "", "", IF('10 - Office Chairs-WUO_ERR'!A52 = "", "Validated", HYPERLINK("#" &amp; ADDRESS(52, '10 - Office Chairs-WUO_TRK'!A52),_xlfn.TEXTAFTER('10 - Office Chairs-WUO_ERR'!A52, ":"))))</f>
        <v/>
      </c>
    </row>
    <row r="53">
      <c r="A53" s="39">
        <f>IF('10 - Office Chairs'!B53 = "", "", IF('10 - Office Chairs-WUO_ERR'!A53 = "", "Validated", HYPERLINK("#" &amp; ADDRESS(53, '10 - Office Chairs-WUO_TRK'!A53),_xlfn.TEXTAFTER('10 - Office Chairs-WUO_ERR'!A53, ":"))))</f>
        <v/>
      </c>
    </row>
    <row r="54">
      <c r="A54" s="39">
        <f>IF('10 - Office Chairs'!B54 = "", "", IF('10 - Office Chairs-WUO_ERR'!A54 = "", "Validated", HYPERLINK("#" &amp; ADDRESS(54, '10 - Office Chairs-WUO_TRK'!A54),_xlfn.TEXTAFTER('10 - Office Chairs-WUO_ERR'!A54, ":"))))</f>
        <v/>
      </c>
    </row>
    <row r="55">
      <c r="A55" s="39">
        <f>IF('10 - Office Chairs'!B55 = "", "", IF('10 - Office Chairs-WUO_ERR'!A55 = "", "Validated", HYPERLINK("#" &amp; ADDRESS(55, '10 - Office Chairs-WUO_TRK'!A55),_xlfn.TEXTAFTER('10 - Office Chairs-WUO_ERR'!A55, ":"))))</f>
        <v/>
      </c>
    </row>
    <row r="56">
      <c r="A56" s="39">
        <f>IF('10 - Office Chairs'!B56 = "", "", IF('10 - Office Chairs-WUO_ERR'!A56 = "", "Validated", HYPERLINK("#" &amp; ADDRESS(56, '10 - Office Chairs-WUO_TRK'!A56),_xlfn.TEXTAFTER('10 - Office Chairs-WUO_ERR'!A56, ":"))))</f>
        <v/>
      </c>
    </row>
    <row r="57">
      <c r="A57" s="39">
        <f>IF('10 - Office Chairs'!B57 = "", "", IF('10 - Office Chairs-WUO_ERR'!A57 = "", "Validated", HYPERLINK("#" &amp; ADDRESS(57, '10 - Office Chairs-WUO_TRK'!A57),_xlfn.TEXTAFTER('10 - Office Chairs-WUO_ERR'!A57, ":"))))</f>
        <v/>
      </c>
    </row>
    <row r="58">
      <c r="A58" s="39">
        <f>IF('10 - Office Chairs'!B58 = "", "", IF('10 - Office Chairs-WUO_ERR'!A58 = "", "Validated", HYPERLINK("#" &amp; ADDRESS(58, '10 - Office Chairs-WUO_TRK'!A58),_xlfn.TEXTAFTER('10 - Office Chairs-WUO_ERR'!A58, ":"))))</f>
        <v/>
      </c>
    </row>
    <row r="59">
      <c r="A59" s="39">
        <f>IF('10 - Office Chairs'!B59 = "", "", IF('10 - Office Chairs-WUO_ERR'!A59 = "", "Validated", HYPERLINK("#" &amp; ADDRESS(59, '10 - Office Chairs-WUO_TRK'!A59),_xlfn.TEXTAFTER('10 - Office Chairs-WUO_ERR'!A59, ":"))))</f>
        <v/>
      </c>
    </row>
    <row r="60">
      <c r="A60" s="39">
        <f>IF('10 - Office Chairs'!B60 = "", "", IF('10 - Office Chairs-WUO_ERR'!A60 = "", "Validated", HYPERLINK("#" &amp; ADDRESS(60, '10 - Office Chairs-WUO_TRK'!A60),_xlfn.TEXTAFTER('10 - Office Chairs-WUO_ERR'!A60, ":"))))</f>
        <v/>
      </c>
    </row>
    <row r="61">
      <c r="A61" s="39">
        <f>IF('10 - Office Chairs'!B61 = "", "", IF('10 - Office Chairs-WUO_ERR'!A61 = "", "Validated", HYPERLINK("#" &amp; ADDRESS(61, '10 - Office Chairs-WUO_TRK'!A61),_xlfn.TEXTAFTER('10 - Office Chairs-WUO_ERR'!A61, ":"))))</f>
        <v/>
      </c>
    </row>
    <row r="62">
      <c r="A62" s="39">
        <f>IF('10 - Office Chairs'!B62 = "", "", IF('10 - Office Chairs-WUO_ERR'!A62 = "", "Validated", HYPERLINK("#" &amp; ADDRESS(62, '10 - Office Chairs-WUO_TRK'!A62),_xlfn.TEXTAFTER('10 - Office Chairs-WUO_ERR'!A62, ":"))))</f>
        <v/>
      </c>
    </row>
    <row r="63">
      <c r="A63" s="39">
        <f>IF('10 - Office Chairs'!B63 = "", "", IF('10 - Office Chairs-WUO_ERR'!A63 = "", "Validated", HYPERLINK("#" &amp; ADDRESS(63, '10 - Office Chairs-WUO_TRK'!A63),_xlfn.TEXTAFTER('10 - Office Chairs-WUO_ERR'!A63, ":"))))</f>
        <v/>
      </c>
    </row>
    <row r="64">
      <c r="A64" s="39">
        <f>IF('10 - Office Chairs'!B64 = "", "", IF('10 - Office Chairs-WUO_ERR'!A64 = "", "Validated", HYPERLINK("#" &amp; ADDRESS(64, '10 - Office Chairs-WUO_TRK'!A64),_xlfn.TEXTAFTER('10 - Office Chairs-WUO_ERR'!A64, ":"))))</f>
        <v/>
      </c>
    </row>
    <row r="65">
      <c r="A65" s="39">
        <f>IF('10 - Office Chairs'!B65 = "", "", IF('10 - Office Chairs-WUO_ERR'!A65 = "", "Validated", HYPERLINK("#" &amp; ADDRESS(65, '10 - Office Chairs-WUO_TRK'!A65),_xlfn.TEXTAFTER('10 - Office Chairs-WUO_ERR'!A65, ":"))))</f>
        <v/>
      </c>
    </row>
    <row r="66">
      <c r="A66" s="39">
        <f>IF('10 - Office Chairs'!B66 = "", "", IF('10 - Office Chairs-WUO_ERR'!A66 = "", "Validated", HYPERLINK("#" &amp; ADDRESS(66, '10 - Office Chairs-WUO_TRK'!A66),_xlfn.TEXTAFTER('10 - Office Chairs-WUO_ERR'!A66, ":"))))</f>
        <v/>
      </c>
    </row>
    <row r="67">
      <c r="A67" s="39">
        <f>IF('10 - Office Chairs'!B67 = "", "", IF('10 - Office Chairs-WUO_ERR'!A67 = "", "Validated", HYPERLINK("#" &amp; ADDRESS(67, '10 - Office Chairs-WUO_TRK'!A67),_xlfn.TEXTAFTER('10 - Office Chairs-WUO_ERR'!A67, ":"))))</f>
        <v/>
      </c>
    </row>
    <row r="68">
      <c r="A68" s="39">
        <f>IF('10 - Office Chairs'!B68 = "", "", IF('10 - Office Chairs-WUO_ERR'!A68 = "", "Validated", HYPERLINK("#" &amp; ADDRESS(68, '10 - Office Chairs-WUO_TRK'!A68),_xlfn.TEXTAFTER('10 - Office Chairs-WUO_ERR'!A68, ":"))))</f>
        <v/>
      </c>
    </row>
    <row r="69">
      <c r="A69" s="39">
        <f>IF('10 - Office Chairs'!B69 = "", "", IF('10 - Office Chairs-WUO_ERR'!A69 = "", "Validated", HYPERLINK("#" &amp; ADDRESS(69, '10 - Office Chairs-WUO_TRK'!A69),_xlfn.TEXTAFTER('10 - Office Chairs-WUO_ERR'!A69, ":"))))</f>
        <v/>
      </c>
    </row>
    <row r="70">
      <c r="A70" s="39">
        <f>IF('10 - Office Chairs'!B70 = "", "", IF('10 - Office Chairs-WUO_ERR'!A70 = "", "Validated", HYPERLINK("#" &amp; ADDRESS(70, '10 - Office Chairs-WUO_TRK'!A70),_xlfn.TEXTAFTER('10 - Office Chairs-WUO_ERR'!A70, ":"))))</f>
        <v/>
      </c>
    </row>
    <row r="71">
      <c r="A71" s="39">
        <f>IF('10 - Office Chairs'!B71 = "", "", IF('10 - Office Chairs-WUO_ERR'!A71 = "", "Validated", HYPERLINK("#" &amp; ADDRESS(71, '10 - Office Chairs-WUO_TRK'!A71),_xlfn.TEXTAFTER('10 - Office Chairs-WUO_ERR'!A71, ":"))))</f>
        <v/>
      </c>
    </row>
    <row r="72">
      <c r="A72" s="39">
        <f>IF('10 - Office Chairs'!B72 = "", "", IF('10 - Office Chairs-WUO_ERR'!A72 = "", "Validated", HYPERLINK("#" &amp; ADDRESS(72, '10 - Office Chairs-WUO_TRK'!A72),_xlfn.TEXTAFTER('10 - Office Chairs-WUO_ERR'!A72, ":"))))</f>
        <v/>
      </c>
    </row>
    <row r="73">
      <c r="A73" s="39">
        <f>IF('10 - Office Chairs'!B73 = "", "", IF('10 - Office Chairs-WUO_ERR'!A73 = "", "Validated", HYPERLINK("#" &amp; ADDRESS(73, '10 - Office Chairs-WUO_TRK'!A73),_xlfn.TEXTAFTER('10 - Office Chairs-WUO_ERR'!A73, ":"))))</f>
        <v/>
      </c>
    </row>
    <row r="74">
      <c r="A74" s="39">
        <f>IF('10 - Office Chairs'!B74 = "", "", IF('10 - Office Chairs-WUO_ERR'!A74 = "", "Validated", HYPERLINK("#" &amp; ADDRESS(74, '10 - Office Chairs-WUO_TRK'!A74),_xlfn.TEXTAFTER('10 - Office Chairs-WUO_ERR'!A74, ":"))))</f>
        <v/>
      </c>
    </row>
    <row r="75">
      <c r="A75" s="39">
        <f>IF('10 - Office Chairs'!B75 = "", "", IF('10 - Office Chairs-WUO_ERR'!A75 = "", "Validated", HYPERLINK("#" &amp; ADDRESS(75, '10 - Office Chairs-WUO_TRK'!A75),_xlfn.TEXTAFTER('10 - Office Chairs-WUO_ERR'!A75, ":"))))</f>
        <v/>
      </c>
    </row>
    <row r="76">
      <c r="A76" s="39">
        <f>IF('10 - Office Chairs'!B76 = "", "", IF('10 - Office Chairs-WUO_ERR'!A76 = "", "Validated", HYPERLINK("#" &amp; ADDRESS(76, '10 - Office Chairs-WUO_TRK'!A76),_xlfn.TEXTAFTER('10 - Office Chairs-WUO_ERR'!A76, ":"))))</f>
        <v/>
      </c>
    </row>
    <row r="77">
      <c r="A77" s="39">
        <f>IF('10 - Office Chairs'!B77 = "", "", IF('10 - Office Chairs-WUO_ERR'!A77 = "", "Validated", HYPERLINK("#" &amp; ADDRESS(77, '10 - Office Chairs-WUO_TRK'!A77),_xlfn.TEXTAFTER('10 - Office Chairs-WUO_ERR'!A77, ":"))))</f>
        <v/>
      </c>
    </row>
    <row r="78">
      <c r="A78" s="39">
        <f>IF('10 - Office Chairs'!B78 = "", "", IF('10 - Office Chairs-WUO_ERR'!A78 = "", "Validated", HYPERLINK("#" &amp; ADDRESS(78, '10 - Office Chairs-WUO_TRK'!A78),_xlfn.TEXTAFTER('10 - Office Chairs-WUO_ERR'!A78, ":"))))</f>
        <v/>
      </c>
    </row>
    <row r="79">
      <c r="A79" s="39">
        <f>IF('10 - Office Chairs'!B79 = "", "", IF('10 - Office Chairs-WUO_ERR'!A79 = "", "Validated", HYPERLINK("#" &amp; ADDRESS(79, '10 - Office Chairs-WUO_TRK'!A79),_xlfn.TEXTAFTER('10 - Office Chairs-WUO_ERR'!A79, ":"))))</f>
        <v/>
      </c>
    </row>
    <row r="80">
      <c r="A80" s="39">
        <f>IF('10 - Office Chairs'!B80 = "", "", IF('10 - Office Chairs-WUO_ERR'!A80 = "", "Validated", HYPERLINK("#" &amp; ADDRESS(80, '10 - Office Chairs-WUO_TRK'!A80),_xlfn.TEXTAFTER('10 - Office Chairs-WUO_ERR'!A80, ":"))))</f>
        <v/>
      </c>
    </row>
    <row r="81">
      <c r="A81" s="39">
        <f>IF('10 - Office Chairs'!B81 = "", "", IF('10 - Office Chairs-WUO_ERR'!A81 = "", "Validated", HYPERLINK("#" &amp; ADDRESS(81, '10 - Office Chairs-WUO_TRK'!A81),_xlfn.TEXTAFTER('10 - Office Chairs-WUO_ERR'!A81, ":"))))</f>
        <v/>
      </c>
    </row>
    <row r="82">
      <c r="A82" s="39">
        <f>IF('10 - Office Chairs'!B82 = "", "", IF('10 - Office Chairs-WUO_ERR'!A82 = "", "Validated", HYPERLINK("#" &amp; ADDRESS(82, '10 - Office Chairs-WUO_TRK'!A82),_xlfn.TEXTAFTER('10 - Office Chairs-WUO_ERR'!A82, ":"))))</f>
        <v/>
      </c>
    </row>
    <row r="83">
      <c r="A83" s="39">
        <f>IF('10 - Office Chairs'!B83 = "", "", IF('10 - Office Chairs-WUO_ERR'!A83 = "", "Validated", HYPERLINK("#" &amp; ADDRESS(83, '10 - Office Chairs-WUO_TRK'!A83),_xlfn.TEXTAFTER('10 - Office Chairs-WUO_ERR'!A83, ":"))))</f>
        <v/>
      </c>
    </row>
    <row r="84">
      <c r="A84" s="39">
        <f>IF('10 - Office Chairs'!B84 = "", "", IF('10 - Office Chairs-WUO_ERR'!A84 = "", "Validated", HYPERLINK("#" &amp; ADDRESS(84, '10 - Office Chairs-WUO_TRK'!A84),_xlfn.TEXTAFTER('10 - Office Chairs-WUO_ERR'!A84, ":"))))</f>
        <v/>
      </c>
    </row>
    <row r="85">
      <c r="A85" s="39">
        <f>IF('10 - Office Chairs'!B85 = "", "", IF('10 - Office Chairs-WUO_ERR'!A85 = "", "Validated", HYPERLINK("#" &amp; ADDRESS(85, '10 - Office Chairs-WUO_TRK'!A85),_xlfn.TEXTAFTER('10 - Office Chairs-WUO_ERR'!A85, ":"))))</f>
        <v/>
      </c>
    </row>
    <row r="86">
      <c r="A86" s="39">
        <f>IF('10 - Office Chairs'!B86 = "", "", IF('10 - Office Chairs-WUO_ERR'!A86 = "", "Validated", HYPERLINK("#" &amp; ADDRESS(86, '10 - Office Chairs-WUO_TRK'!A86),_xlfn.TEXTAFTER('10 - Office Chairs-WUO_ERR'!A86, ":"))))</f>
        <v/>
      </c>
    </row>
    <row r="87">
      <c r="A87" s="39">
        <f>IF('10 - Office Chairs'!B87 = "", "", IF('10 - Office Chairs-WUO_ERR'!A87 = "", "Validated", HYPERLINK("#" &amp; ADDRESS(87, '10 - Office Chairs-WUO_TRK'!A87),_xlfn.TEXTAFTER('10 - Office Chairs-WUO_ERR'!A87, ":"))))</f>
        <v/>
      </c>
    </row>
    <row r="88">
      <c r="A88" s="39">
        <f>IF('10 - Office Chairs'!B88 = "", "", IF('10 - Office Chairs-WUO_ERR'!A88 = "", "Validated", HYPERLINK("#" &amp; ADDRESS(88, '10 - Office Chairs-WUO_TRK'!A88),_xlfn.TEXTAFTER('10 - Office Chairs-WUO_ERR'!A88, ":"))))</f>
        <v/>
      </c>
    </row>
    <row r="89">
      <c r="A89" s="39">
        <f>IF('10 - Office Chairs'!B89 = "", "", IF('10 - Office Chairs-WUO_ERR'!A89 = "", "Validated", HYPERLINK("#" &amp; ADDRESS(89, '10 - Office Chairs-WUO_TRK'!A89),_xlfn.TEXTAFTER('10 - Office Chairs-WUO_ERR'!A89, ":"))))</f>
        <v/>
      </c>
    </row>
    <row r="90">
      <c r="A90" s="39">
        <f>IF('10 - Office Chairs'!B90 = "", "", IF('10 - Office Chairs-WUO_ERR'!A90 = "", "Validated", HYPERLINK("#" &amp; ADDRESS(90, '10 - Office Chairs-WUO_TRK'!A90),_xlfn.TEXTAFTER('10 - Office Chairs-WUO_ERR'!A90, ":"))))</f>
        <v/>
      </c>
    </row>
    <row r="91">
      <c r="A91" s="39">
        <f>IF('10 - Office Chairs'!B91 = "", "", IF('10 - Office Chairs-WUO_ERR'!A91 = "", "Validated", HYPERLINK("#" &amp; ADDRESS(91, '10 - Office Chairs-WUO_TRK'!A91),_xlfn.TEXTAFTER('10 - Office Chairs-WUO_ERR'!A91, ":"))))</f>
        <v/>
      </c>
    </row>
    <row r="92">
      <c r="A92" s="39">
        <f>IF('10 - Office Chairs'!B92 = "", "", IF('10 - Office Chairs-WUO_ERR'!A92 = "", "Validated", HYPERLINK("#" &amp; ADDRESS(92, '10 - Office Chairs-WUO_TRK'!A92),_xlfn.TEXTAFTER('10 - Office Chairs-WUO_ERR'!A92, ":"))))</f>
        <v/>
      </c>
    </row>
    <row r="93">
      <c r="A93" s="39">
        <f>IF('10 - Office Chairs'!B93 = "", "", IF('10 - Office Chairs-WUO_ERR'!A93 = "", "Validated", HYPERLINK("#" &amp; ADDRESS(93, '10 - Office Chairs-WUO_TRK'!A93),_xlfn.TEXTAFTER('10 - Office Chairs-WUO_ERR'!A93, ":"))))</f>
        <v/>
      </c>
    </row>
    <row r="94">
      <c r="A94" s="39">
        <f>IF('10 - Office Chairs'!B94 = "", "", IF('10 - Office Chairs-WUO_ERR'!A94 = "", "Validated", HYPERLINK("#" &amp; ADDRESS(94, '10 - Office Chairs-WUO_TRK'!A94),_xlfn.TEXTAFTER('10 - Office Chairs-WUO_ERR'!A94, ":"))))</f>
        <v/>
      </c>
    </row>
    <row r="95">
      <c r="A95" s="39">
        <f>IF('10 - Office Chairs'!B95 = "", "", IF('10 - Office Chairs-WUO_ERR'!A95 = "", "Validated", HYPERLINK("#" &amp; ADDRESS(95, '10 - Office Chairs-WUO_TRK'!A95),_xlfn.TEXTAFTER('10 - Office Chairs-WUO_ERR'!A95, ":"))))</f>
        <v/>
      </c>
    </row>
    <row r="96">
      <c r="A96" s="39">
        <f>IF('10 - Office Chairs'!B96 = "", "", IF('10 - Office Chairs-WUO_ERR'!A96 = "", "Validated", HYPERLINK("#" &amp; ADDRESS(96, '10 - Office Chairs-WUO_TRK'!A96),_xlfn.TEXTAFTER('10 - Office Chairs-WUO_ERR'!A96, ":"))))</f>
        <v/>
      </c>
    </row>
    <row r="97">
      <c r="A97" s="39">
        <f>IF('10 - Office Chairs'!B97 = "", "", IF('10 - Office Chairs-WUO_ERR'!A97 = "", "Validated", HYPERLINK("#" &amp; ADDRESS(97, '10 - Office Chairs-WUO_TRK'!A97),_xlfn.TEXTAFTER('10 - Office Chairs-WUO_ERR'!A97, ":"))))</f>
        <v/>
      </c>
    </row>
    <row r="98">
      <c r="A98" s="39">
        <f>IF('10 - Office Chairs'!B98 = "", "", IF('10 - Office Chairs-WUO_ERR'!A98 = "", "Validated", HYPERLINK("#" &amp; ADDRESS(98, '10 - Office Chairs-WUO_TRK'!A98),_xlfn.TEXTAFTER('10 - Office Chairs-WUO_ERR'!A98, ":"))))</f>
        <v/>
      </c>
    </row>
    <row r="99">
      <c r="A99" s="39">
        <f>IF('10 - Office Chairs'!B99 = "", "", IF('10 - Office Chairs-WUO_ERR'!A99 = "", "Validated", HYPERLINK("#" &amp; ADDRESS(99, '10 - Office Chairs-WUO_TRK'!A99),_xlfn.TEXTAFTER('10 - Office Chairs-WUO_ERR'!A99, ":"))))</f>
        <v/>
      </c>
    </row>
    <row r="100">
      <c r="A100" s="39">
        <f>IF('10 - Office Chairs'!B100 = "", "", IF('10 - Office Chairs-WUO_ERR'!A100 = "", "Validated", HYPERLINK("#" &amp; ADDRESS(100, '10 - Office Chairs-WUO_TRK'!A100),_xlfn.TEXTAFTER('10 - Office Chairs-WUO_ERR'!A100, ":"))))</f>
        <v/>
      </c>
    </row>
    <row r="101">
      <c r="A101" s="39">
        <f>IF('10 - Office Chairs'!B101 = "", "", IF('10 - Office Chairs-WUO_ERR'!A101 = "", "Validated", HYPERLINK("#" &amp; ADDRESS(101, '10 - Office Chairs-WUO_TRK'!A101),_xlfn.TEXTAFTER('10 - Office Chairs-WUO_ERR'!A101, ":"))))</f>
        <v/>
      </c>
    </row>
    <row r="102">
      <c r="A102" s="39">
        <f>IF('10 - Office Chairs'!B102 = "", "", IF('10 - Office Chairs-WUO_ERR'!A102 = "", "Validated", HYPERLINK("#" &amp; ADDRESS(102, '10 - Office Chairs-WUO_TRK'!A102),_xlfn.TEXTAFTER('10 - Office Chairs-WUO_ERR'!A102, ":"))))</f>
        <v/>
      </c>
    </row>
    <row r="103">
      <c r="A103" s="39">
        <f>IF('10 - Office Chairs'!B103 = "", "", IF('10 - Office Chairs-WUO_ERR'!A103 = "", "Validated", HYPERLINK("#" &amp; ADDRESS(103, '10 - Office Chairs-WUO_TRK'!A103),_xlfn.TEXTAFTER('10 - Office Chairs-WUO_ERR'!A103, ":"))))</f>
        <v/>
      </c>
    </row>
    <row r="104">
      <c r="A104" s="39">
        <f>IF('10 - Office Chairs'!B104 = "", "", IF('10 - Office Chairs-WUO_ERR'!A104 = "", "Validated", HYPERLINK("#" &amp; ADDRESS(104, '10 - Office Chairs-WUO_TRK'!A104),_xlfn.TEXTAFTER('10 - Office Chairs-WUO_ERR'!A104, ":"))))</f>
        <v/>
      </c>
    </row>
    <row r="105">
      <c r="A105" s="39">
        <f>IF('10 - Office Chairs'!B105 = "", "", IF('10 - Office Chairs-WUO_ERR'!A105 = "", "Validated", HYPERLINK("#" &amp; ADDRESS(105, '10 - Office Chairs-WUO_TRK'!A105),_xlfn.TEXTAFTER('10 - Office Chairs-WUO_ERR'!A105, ":"))))</f>
        <v/>
      </c>
    </row>
    <row r="106">
      <c r="A106" s="39">
        <f>IF('10 - Office Chairs'!B106 = "", "", IF('10 - Office Chairs-WUO_ERR'!A106 = "", "Validated", HYPERLINK("#" &amp; ADDRESS(106, '10 - Office Chairs-WUO_TRK'!A106),_xlfn.TEXTAFTER('10 - Office Chairs-WUO_ERR'!A106, ":"))))</f>
        <v/>
      </c>
    </row>
    <row r="107">
      <c r="A107" s="39">
        <f>IF('10 - Office Chairs'!B107 = "", "", IF('10 - Office Chairs-WUO_ERR'!A107 = "", "Validated", HYPERLINK("#" &amp; ADDRESS(107, '10 - Office Chairs-WUO_TRK'!A107),_xlfn.TEXTAFTER('10 - Office Chairs-WUO_ERR'!A107, ":"))))</f>
        <v/>
      </c>
    </row>
    <row r="108">
      <c r="A108" s="39">
        <f>IF('10 - Office Chairs'!B108 = "", "", IF('10 - Office Chairs-WUO_ERR'!A108 = "", "Validated", HYPERLINK("#" &amp; ADDRESS(108, '10 - Office Chairs-WUO_TRK'!A108),_xlfn.TEXTAFTER('10 - Office Chairs-WUO_ERR'!A108, ":"))))</f>
        <v/>
      </c>
    </row>
    <row r="109">
      <c r="A109" s="39">
        <f>IF('10 - Office Chairs'!B109 = "", "", IF('10 - Office Chairs-WUO_ERR'!A109 = "", "Validated", HYPERLINK("#" &amp; ADDRESS(109, '10 - Office Chairs-WUO_TRK'!A109),_xlfn.TEXTAFTER('10 - Office Chairs-WUO_ERR'!A109, ":"))))</f>
        <v/>
      </c>
    </row>
    <row r="110">
      <c r="A110" s="39">
        <f>IF('10 - Office Chairs'!B110 = "", "", IF('10 - Office Chairs-WUO_ERR'!A110 = "", "Validated", HYPERLINK("#" &amp; ADDRESS(110, '10 - Office Chairs-WUO_TRK'!A110),_xlfn.TEXTAFTER('10 - Office Chairs-WUO_ERR'!A110, ":"))))</f>
        <v/>
      </c>
    </row>
    <row r="111">
      <c r="A111" s="39">
        <f>IF('10 - Office Chairs'!B111 = "", "", IF('10 - Office Chairs-WUO_ERR'!A111 = "", "Validated", HYPERLINK("#" &amp; ADDRESS(111, '10 - Office Chairs-WUO_TRK'!A111),_xlfn.TEXTAFTER('10 - Office Chairs-WUO_ERR'!A111, ":"))))</f>
        <v/>
      </c>
    </row>
    <row r="112">
      <c r="A112" s="39">
        <f>IF('10 - Office Chairs'!B112 = "", "", IF('10 - Office Chairs-WUO_ERR'!A112 = "", "Validated", HYPERLINK("#" &amp; ADDRESS(112, '10 - Office Chairs-WUO_TRK'!A112),_xlfn.TEXTAFTER('10 - Office Chairs-WUO_ERR'!A112, ":"))))</f>
        <v/>
      </c>
    </row>
    <row r="113">
      <c r="A113" s="39">
        <f>IF('10 - Office Chairs'!B113 = "", "", IF('10 - Office Chairs-WUO_ERR'!A113 = "", "Validated", HYPERLINK("#" &amp; ADDRESS(113, '10 - Office Chairs-WUO_TRK'!A113),_xlfn.TEXTAFTER('10 - Office Chairs-WUO_ERR'!A113, ":"))))</f>
        <v/>
      </c>
    </row>
    <row r="114">
      <c r="A114" s="39">
        <f>IF('10 - Office Chairs'!B114 = "", "", IF('10 - Office Chairs-WUO_ERR'!A114 = "", "Validated", HYPERLINK("#" &amp; ADDRESS(114, '10 - Office Chairs-WUO_TRK'!A114),_xlfn.TEXTAFTER('10 - Office Chairs-WUO_ERR'!A114, ":"))))</f>
        <v/>
      </c>
    </row>
    <row r="115">
      <c r="A115" s="39">
        <f>IF('10 - Office Chairs'!B115 = "", "", IF('10 - Office Chairs-WUO_ERR'!A115 = "", "Validated", HYPERLINK("#" &amp; ADDRESS(115, '10 - Office Chairs-WUO_TRK'!A115),_xlfn.TEXTAFTER('10 - Office Chairs-WUO_ERR'!A115, ":"))))</f>
        <v/>
      </c>
    </row>
    <row r="116">
      <c r="A116" s="39">
        <f>IF('10 - Office Chairs'!B116 = "", "", IF('10 - Office Chairs-WUO_ERR'!A116 = "", "Validated", HYPERLINK("#" &amp; ADDRESS(116, '10 - Office Chairs-WUO_TRK'!A116),_xlfn.TEXTAFTER('10 - Office Chairs-WUO_ERR'!A116, ":"))))</f>
        <v/>
      </c>
    </row>
    <row r="117">
      <c r="A117" s="39">
        <f>IF('10 - Office Chairs'!B117 = "", "", IF('10 - Office Chairs-WUO_ERR'!A117 = "", "Validated", HYPERLINK("#" &amp; ADDRESS(117, '10 - Office Chairs-WUO_TRK'!A117),_xlfn.TEXTAFTER('10 - Office Chairs-WUO_ERR'!A117, ":"))))</f>
        <v/>
      </c>
    </row>
    <row r="118">
      <c r="A118" s="39">
        <f>IF('10 - Office Chairs'!B118 = "", "", IF('10 - Office Chairs-WUO_ERR'!A118 = "", "Validated", HYPERLINK("#" &amp; ADDRESS(118, '10 - Office Chairs-WUO_TRK'!A118),_xlfn.TEXTAFTER('10 - Office Chairs-WUO_ERR'!A118, ":"))))</f>
        <v/>
      </c>
    </row>
    <row r="119">
      <c r="A119" s="39">
        <f>IF('10 - Office Chairs'!B119 = "", "", IF('10 - Office Chairs-WUO_ERR'!A119 = "", "Validated", HYPERLINK("#" &amp; ADDRESS(119, '10 - Office Chairs-WUO_TRK'!A119),_xlfn.TEXTAFTER('10 - Office Chairs-WUO_ERR'!A119, ":"))))</f>
        <v/>
      </c>
    </row>
    <row r="120">
      <c r="A120" s="39">
        <f>IF('10 - Office Chairs'!B120 = "", "", IF('10 - Office Chairs-WUO_ERR'!A120 = "", "Validated", HYPERLINK("#" &amp; ADDRESS(120, '10 - Office Chairs-WUO_TRK'!A120),_xlfn.TEXTAFTER('10 - Office Chairs-WUO_ERR'!A120, ":"))))</f>
        <v/>
      </c>
    </row>
    <row r="121">
      <c r="A121" s="39">
        <f>IF('10 - Office Chairs'!B121 = "", "", IF('10 - Office Chairs-WUO_ERR'!A121 = "", "Validated", HYPERLINK("#" &amp; ADDRESS(121, '10 - Office Chairs-WUO_TRK'!A121),_xlfn.TEXTAFTER('10 - Office Chairs-WUO_ERR'!A121, ":"))))</f>
        <v/>
      </c>
    </row>
    <row r="122">
      <c r="A122" s="39">
        <f>IF('10 - Office Chairs'!B122 = "", "", IF('10 - Office Chairs-WUO_ERR'!A122 = "", "Validated", HYPERLINK("#" &amp; ADDRESS(122, '10 - Office Chairs-WUO_TRK'!A122),_xlfn.TEXTAFTER('10 - Office Chairs-WUO_ERR'!A122, ":"))))</f>
        <v/>
      </c>
    </row>
    <row r="123">
      <c r="A123" s="39">
        <f>IF('10 - Office Chairs'!B123 = "", "", IF('10 - Office Chairs-WUO_ERR'!A123 = "", "Validated", HYPERLINK("#" &amp; ADDRESS(123, '10 - Office Chairs-WUO_TRK'!A123),_xlfn.TEXTAFTER('10 - Office Chairs-WUO_ERR'!A123, ":"))))</f>
        <v/>
      </c>
    </row>
    <row r="124">
      <c r="A124" s="39">
        <f>IF('10 - Office Chairs'!B124 = "", "", IF('10 - Office Chairs-WUO_ERR'!A124 = "", "Validated", HYPERLINK("#" &amp; ADDRESS(124, '10 - Office Chairs-WUO_TRK'!A124),_xlfn.TEXTAFTER('10 - Office Chairs-WUO_ERR'!A124, ":"))))</f>
        <v/>
      </c>
    </row>
    <row r="125">
      <c r="A125" s="39">
        <f>IF('10 - Office Chairs'!B125 = "", "", IF('10 - Office Chairs-WUO_ERR'!A125 = "", "Validated", HYPERLINK("#" &amp; ADDRESS(125, '10 - Office Chairs-WUO_TRK'!A125),_xlfn.TEXTAFTER('10 - Office Chairs-WUO_ERR'!A125, ":"))))</f>
        <v/>
      </c>
    </row>
    <row r="126">
      <c r="A126" s="39">
        <f>IF('10 - Office Chairs'!B126 = "", "", IF('10 - Office Chairs-WUO_ERR'!A126 = "", "Validated", HYPERLINK("#" &amp; ADDRESS(126, '10 - Office Chairs-WUO_TRK'!A126),_xlfn.TEXTAFTER('10 - Office Chairs-WUO_ERR'!A126, ":"))))</f>
        <v/>
      </c>
    </row>
    <row r="127">
      <c r="A127" s="39">
        <f>IF('10 - Office Chairs'!B127 = "", "", IF('10 - Office Chairs-WUO_ERR'!A127 = "", "Validated", HYPERLINK("#" &amp; ADDRESS(127, '10 - Office Chairs-WUO_TRK'!A127),_xlfn.TEXTAFTER('10 - Office Chairs-WUO_ERR'!A127, ":"))))</f>
        <v/>
      </c>
    </row>
    <row r="128">
      <c r="A128" s="39">
        <f>IF('10 - Office Chairs'!B128 = "", "", IF('10 - Office Chairs-WUO_ERR'!A128 = "", "Validated", HYPERLINK("#" &amp; ADDRESS(128, '10 - Office Chairs-WUO_TRK'!A128),_xlfn.TEXTAFTER('10 - Office Chairs-WUO_ERR'!A128, ":"))))</f>
        <v/>
      </c>
    </row>
    <row r="129">
      <c r="A129" s="39">
        <f>IF('10 - Office Chairs'!B129 = "", "", IF('10 - Office Chairs-WUO_ERR'!A129 = "", "Validated", HYPERLINK("#" &amp; ADDRESS(129, '10 - Office Chairs-WUO_TRK'!A129),_xlfn.TEXTAFTER('10 - Office Chairs-WUO_ERR'!A129, ":"))))</f>
        <v/>
      </c>
    </row>
    <row r="130">
      <c r="A130" s="39">
        <f>IF('10 - Office Chairs'!B130 = "", "", IF('10 - Office Chairs-WUO_ERR'!A130 = "", "Validated", HYPERLINK("#" &amp; ADDRESS(130, '10 - Office Chairs-WUO_TRK'!A130),_xlfn.TEXTAFTER('10 - Office Chairs-WUO_ERR'!A130, ":"))))</f>
        <v/>
      </c>
    </row>
    <row r="131">
      <c r="A131" s="39">
        <f>IF('10 - Office Chairs'!B131 = "", "", IF('10 - Office Chairs-WUO_ERR'!A131 = "", "Validated", HYPERLINK("#" &amp; ADDRESS(131, '10 - Office Chairs-WUO_TRK'!A131),_xlfn.TEXTAFTER('10 - Office Chairs-WUO_ERR'!A131, ":"))))</f>
        <v/>
      </c>
    </row>
    <row r="132">
      <c r="A132" s="39">
        <f>IF('10 - Office Chairs'!B132 = "", "", IF('10 - Office Chairs-WUO_ERR'!A132 = "", "Validated", HYPERLINK("#" &amp; ADDRESS(132, '10 - Office Chairs-WUO_TRK'!A132),_xlfn.TEXTAFTER('10 - Office Chairs-WUO_ERR'!A132, ":"))))</f>
        <v/>
      </c>
    </row>
    <row r="133">
      <c r="A133" s="39">
        <f>IF('10 - Office Chairs'!B133 = "", "", IF('10 - Office Chairs-WUO_ERR'!A133 = "", "Validated", HYPERLINK("#" &amp; ADDRESS(133, '10 - Office Chairs-WUO_TRK'!A133),_xlfn.TEXTAFTER('10 - Office Chairs-WUO_ERR'!A133, ":"))))</f>
        <v/>
      </c>
    </row>
    <row r="134">
      <c r="A134" s="39">
        <f>IF('10 - Office Chairs'!B134 = "", "", IF('10 - Office Chairs-WUO_ERR'!A134 = "", "Validated", HYPERLINK("#" &amp; ADDRESS(134, '10 - Office Chairs-WUO_TRK'!A134),_xlfn.TEXTAFTER('10 - Office Chairs-WUO_ERR'!A134, ":"))))</f>
        <v/>
      </c>
    </row>
    <row r="135">
      <c r="A135" s="39">
        <f>IF('10 - Office Chairs'!B135 = "", "", IF('10 - Office Chairs-WUO_ERR'!A135 = "", "Validated", HYPERLINK("#" &amp; ADDRESS(135, '10 - Office Chairs-WUO_TRK'!A135),_xlfn.TEXTAFTER('10 - Office Chairs-WUO_ERR'!A135, ":"))))</f>
        <v/>
      </c>
    </row>
    <row r="136">
      <c r="A136" s="39">
        <f>IF('10 - Office Chairs'!B136 = "", "", IF('10 - Office Chairs-WUO_ERR'!A136 = "", "Validated", HYPERLINK("#" &amp; ADDRESS(136, '10 - Office Chairs-WUO_TRK'!A136),_xlfn.TEXTAFTER('10 - Office Chairs-WUO_ERR'!A136, ":"))))</f>
        <v/>
      </c>
    </row>
    <row r="137">
      <c r="A137" s="39">
        <f>IF('10 - Office Chairs'!B137 = "", "", IF('10 - Office Chairs-WUO_ERR'!A137 = "", "Validated", HYPERLINK("#" &amp; ADDRESS(137, '10 - Office Chairs-WUO_TRK'!A137),_xlfn.TEXTAFTER('10 - Office Chairs-WUO_ERR'!A137, ":"))))</f>
        <v/>
      </c>
    </row>
    <row r="138">
      <c r="A138" s="39">
        <f>IF('10 - Office Chairs'!B138 = "", "", IF('10 - Office Chairs-WUO_ERR'!A138 = "", "Validated", HYPERLINK("#" &amp; ADDRESS(138, '10 - Office Chairs-WUO_TRK'!A138),_xlfn.TEXTAFTER('10 - Office Chairs-WUO_ERR'!A138, ":"))))</f>
        <v/>
      </c>
    </row>
    <row r="139">
      <c r="A139" s="39">
        <f>IF('10 - Office Chairs'!B139 = "", "", IF('10 - Office Chairs-WUO_ERR'!A139 = "", "Validated", HYPERLINK("#" &amp; ADDRESS(139, '10 - Office Chairs-WUO_TRK'!A139),_xlfn.TEXTAFTER('10 - Office Chairs-WUO_ERR'!A139, ":"))))</f>
        <v/>
      </c>
    </row>
    <row r="140">
      <c r="A140" s="39">
        <f>IF('10 - Office Chairs'!B140 = "", "", IF('10 - Office Chairs-WUO_ERR'!A140 = "", "Validated", HYPERLINK("#" &amp; ADDRESS(140, '10 - Office Chairs-WUO_TRK'!A140),_xlfn.TEXTAFTER('10 - Office Chairs-WUO_ERR'!A140, ":"))))</f>
        <v/>
      </c>
    </row>
    <row r="141">
      <c r="A141" s="39">
        <f>IF('10 - Office Chairs'!B141 = "", "", IF('10 - Office Chairs-WUO_ERR'!A141 = "", "Validated", HYPERLINK("#" &amp; ADDRESS(141, '10 - Office Chairs-WUO_TRK'!A141),_xlfn.TEXTAFTER('10 - Office Chairs-WUO_ERR'!A141, ":"))))</f>
        <v/>
      </c>
    </row>
    <row r="142">
      <c r="A142" s="39">
        <f>IF('10 - Office Chairs'!B142 = "", "", IF('10 - Office Chairs-WUO_ERR'!A142 = "", "Validated", HYPERLINK("#" &amp; ADDRESS(142, '10 - Office Chairs-WUO_TRK'!A142),_xlfn.TEXTAFTER('10 - Office Chairs-WUO_ERR'!A142, ":"))))</f>
        <v/>
      </c>
    </row>
    <row r="143">
      <c r="A143" s="39">
        <f>IF('10 - Office Chairs'!B143 = "", "", IF('10 - Office Chairs-WUO_ERR'!A143 = "", "Validated", HYPERLINK("#" &amp; ADDRESS(143, '10 - Office Chairs-WUO_TRK'!A143),_xlfn.TEXTAFTER('10 - Office Chairs-WUO_ERR'!A143, ":"))))</f>
        <v/>
      </c>
    </row>
    <row r="144">
      <c r="A144" s="39">
        <f>IF('10 - Office Chairs'!B144 = "", "", IF('10 - Office Chairs-WUO_ERR'!A144 = "", "Validated", HYPERLINK("#" &amp; ADDRESS(144, '10 - Office Chairs-WUO_TRK'!A144),_xlfn.TEXTAFTER('10 - Office Chairs-WUO_ERR'!A144, ":"))))</f>
        <v/>
      </c>
    </row>
    <row r="145">
      <c r="A145" s="39">
        <f>IF('10 - Office Chairs'!B145 = "", "", IF('10 - Office Chairs-WUO_ERR'!A145 = "", "Validated", HYPERLINK("#" &amp; ADDRESS(145, '10 - Office Chairs-WUO_TRK'!A145),_xlfn.TEXTAFTER('10 - Office Chairs-WUO_ERR'!A145, ":"))))</f>
        <v/>
      </c>
    </row>
    <row r="146">
      <c r="A146" s="39">
        <f>IF('10 - Office Chairs'!B146 = "", "", IF('10 - Office Chairs-WUO_ERR'!A146 = "", "Validated", HYPERLINK("#" &amp; ADDRESS(146, '10 - Office Chairs-WUO_TRK'!A146),_xlfn.TEXTAFTER('10 - Office Chairs-WUO_ERR'!A146, ":"))))</f>
        <v/>
      </c>
    </row>
    <row r="147">
      <c r="A147" s="39">
        <f>IF('10 - Office Chairs'!B147 = "", "", IF('10 - Office Chairs-WUO_ERR'!A147 = "", "Validated", HYPERLINK("#" &amp; ADDRESS(147, '10 - Office Chairs-WUO_TRK'!A147),_xlfn.TEXTAFTER('10 - Office Chairs-WUO_ERR'!A147, ":"))))</f>
        <v/>
      </c>
    </row>
    <row r="148">
      <c r="A148" s="39">
        <f>IF('10 - Office Chairs'!B148 = "", "", IF('10 - Office Chairs-WUO_ERR'!A148 = "", "Validated", HYPERLINK("#" &amp; ADDRESS(148, '10 - Office Chairs-WUO_TRK'!A148),_xlfn.TEXTAFTER('10 - Office Chairs-WUO_ERR'!A148, ":"))))</f>
        <v/>
      </c>
    </row>
    <row r="149">
      <c r="A149" s="39">
        <f>IF('10 - Office Chairs'!B149 = "", "", IF('10 - Office Chairs-WUO_ERR'!A149 = "", "Validated", HYPERLINK("#" &amp; ADDRESS(149, '10 - Office Chairs-WUO_TRK'!A149),_xlfn.TEXTAFTER('10 - Office Chairs-WUO_ERR'!A149, ":"))))</f>
        <v/>
      </c>
    </row>
    <row r="150">
      <c r="A150" s="39">
        <f>IF('10 - Office Chairs'!B150 = "", "", IF('10 - Office Chairs-WUO_ERR'!A150 = "", "Validated", HYPERLINK("#" &amp; ADDRESS(150, '10 - Office Chairs-WUO_TRK'!A150),_xlfn.TEXTAFTER('10 - Office Chairs-WUO_ERR'!A150, ":"))))</f>
        <v/>
      </c>
    </row>
    <row r="151">
      <c r="A151" s="39">
        <f>IF('10 - Office Chairs'!B151 = "", "", IF('10 - Office Chairs-WUO_ERR'!A151 = "", "Validated", HYPERLINK("#" &amp; ADDRESS(151, '10 - Office Chairs-WUO_TRK'!A151),_xlfn.TEXTAFTER('10 - Office Chairs-WUO_ERR'!A151, ":"))))</f>
        <v/>
      </c>
    </row>
    <row r="152">
      <c r="A152" s="39">
        <f>IF('10 - Office Chairs'!B152 = "", "", IF('10 - Office Chairs-WUO_ERR'!A152 = "", "Validated", HYPERLINK("#" &amp; ADDRESS(152, '10 - Office Chairs-WUO_TRK'!A152),_xlfn.TEXTAFTER('10 - Office Chairs-WUO_ERR'!A152, ":"))))</f>
        <v/>
      </c>
    </row>
    <row r="153">
      <c r="A153" s="39">
        <f>IF('10 - Office Chairs'!B153 = "", "", IF('10 - Office Chairs-WUO_ERR'!A153 = "", "Validated", HYPERLINK("#" &amp; ADDRESS(153, '10 - Office Chairs-WUO_TRK'!A153),_xlfn.TEXTAFTER('10 - Office Chairs-WUO_ERR'!A153, ":"))))</f>
        <v/>
      </c>
    </row>
    <row r="154">
      <c r="A154" s="39">
        <f>IF('10 - Office Chairs'!B154 = "", "", IF('10 - Office Chairs-WUO_ERR'!A154 = "", "Validated", HYPERLINK("#" &amp; ADDRESS(154, '10 - Office Chairs-WUO_TRK'!A154),_xlfn.TEXTAFTER('10 - Office Chairs-WUO_ERR'!A154, ":"))))</f>
        <v/>
      </c>
    </row>
    <row r="155">
      <c r="A155" s="39">
        <f>IF('10 - Office Chairs'!B155 = "", "", IF('10 - Office Chairs-WUO_ERR'!A155 = "", "Validated", HYPERLINK("#" &amp; ADDRESS(155, '10 - Office Chairs-WUO_TRK'!A155),_xlfn.TEXTAFTER('10 - Office Chairs-WUO_ERR'!A155, ":"))))</f>
        <v/>
      </c>
    </row>
    <row r="156">
      <c r="A156" s="39">
        <f>IF('10 - Office Chairs'!B156 = "", "", IF('10 - Office Chairs-WUO_ERR'!A156 = "", "Validated", HYPERLINK("#" &amp; ADDRESS(156, '10 - Office Chairs-WUO_TRK'!A156),_xlfn.TEXTAFTER('10 - Office Chairs-WUO_ERR'!A156, ":"))))</f>
        <v/>
      </c>
    </row>
    <row r="157">
      <c r="A157" s="39">
        <f>IF('10 - Office Chairs'!B157 = "", "", IF('10 - Office Chairs-WUO_ERR'!A157 = "", "Validated", HYPERLINK("#" &amp; ADDRESS(157, '10 - Office Chairs-WUO_TRK'!A157),_xlfn.TEXTAFTER('10 - Office Chairs-WUO_ERR'!A157, ":"))))</f>
        <v/>
      </c>
    </row>
    <row r="158">
      <c r="A158" s="39">
        <f>IF('10 - Office Chairs'!B158 = "", "", IF('10 - Office Chairs-WUO_ERR'!A158 = "", "Validated", HYPERLINK("#" &amp; ADDRESS(158, '10 - Office Chairs-WUO_TRK'!A158),_xlfn.TEXTAFTER('10 - Office Chairs-WUO_ERR'!A158, ":"))))</f>
        <v/>
      </c>
    </row>
    <row r="159">
      <c r="A159" s="39">
        <f>IF('10 - Office Chairs'!B159 = "", "", IF('10 - Office Chairs-WUO_ERR'!A159 = "", "Validated", HYPERLINK("#" &amp; ADDRESS(159, '10 - Office Chairs-WUO_TRK'!A159),_xlfn.TEXTAFTER('10 - Office Chairs-WUO_ERR'!A159, ":"))))</f>
        <v/>
      </c>
    </row>
    <row r="160">
      <c r="A160" s="39">
        <f>IF('10 - Office Chairs'!B160 = "", "", IF('10 - Office Chairs-WUO_ERR'!A160 = "", "Validated", HYPERLINK("#" &amp; ADDRESS(160, '10 - Office Chairs-WUO_TRK'!A160),_xlfn.TEXTAFTER('10 - Office Chairs-WUO_ERR'!A160, ":"))))</f>
        <v/>
      </c>
    </row>
    <row r="161">
      <c r="A161" s="39">
        <f>IF('10 - Office Chairs'!B161 = "", "", IF('10 - Office Chairs-WUO_ERR'!A161 = "", "Validated", HYPERLINK("#" &amp; ADDRESS(161, '10 - Office Chairs-WUO_TRK'!A161),_xlfn.TEXTAFTER('10 - Office Chairs-WUO_ERR'!A161, ":"))))</f>
        <v/>
      </c>
    </row>
    <row r="162">
      <c r="A162" s="39">
        <f>IF('10 - Office Chairs'!B162 = "", "", IF('10 - Office Chairs-WUO_ERR'!A162 = "", "Validated", HYPERLINK("#" &amp; ADDRESS(162, '10 - Office Chairs-WUO_TRK'!A162),_xlfn.TEXTAFTER('10 - Office Chairs-WUO_ERR'!A162, ":"))))</f>
        <v/>
      </c>
    </row>
    <row r="163">
      <c r="A163" s="39">
        <f>IF('10 - Office Chairs'!B163 = "", "", IF('10 - Office Chairs-WUO_ERR'!A163 = "", "Validated", HYPERLINK("#" &amp; ADDRESS(163, '10 - Office Chairs-WUO_TRK'!A163),_xlfn.TEXTAFTER('10 - Office Chairs-WUO_ERR'!A163, ":"))))</f>
        <v/>
      </c>
    </row>
    <row r="164">
      <c r="A164" s="39">
        <f>IF('10 - Office Chairs'!B164 = "", "", IF('10 - Office Chairs-WUO_ERR'!A164 = "", "Validated", HYPERLINK("#" &amp; ADDRESS(164, '10 - Office Chairs-WUO_TRK'!A164),_xlfn.TEXTAFTER('10 - Office Chairs-WUO_ERR'!A164, ":"))))</f>
        <v/>
      </c>
    </row>
    <row r="165">
      <c r="A165" s="39">
        <f>IF('10 - Office Chairs'!B165 = "", "", IF('10 - Office Chairs-WUO_ERR'!A165 = "", "Validated", HYPERLINK("#" &amp; ADDRESS(165, '10 - Office Chairs-WUO_TRK'!A165),_xlfn.TEXTAFTER('10 - Office Chairs-WUO_ERR'!A165, ":"))))</f>
        <v/>
      </c>
    </row>
    <row r="166">
      <c r="A166" s="39">
        <f>IF('10 - Office Chairs'!B166 = "", "", IF('10 - Office Chairs-WUO_ERR'!A166 = "", "Validated", HYPERLINK("#" &amp; ADDRESS(166, '10 - Office Chairs-WUO_TRK'!A166),_xlfn.TEXTAFTER('10 - Office Chairs-WUO_ERR'!A166, ":"))))</f>
        <v/>
      </c>
    </row>
    <row r="167">
      <c r="A167" s="39">
        <f>IF('10 - Office Chairs'!B167 = "", "", IF('10 - Office Chairs-WUO_ERR'!A167 = "", "Validated", HYPERLINK("#" &amp; ADDRESS(167, '10 - Office Chairs-WUO_TRK'!A167),_xlfn.TEXTAFTER('10 - Office Chairs-WUO_ERR'!A167, ":"))))</f>
        <v/>
      </c>
    </row>
    <row r="168">
      <c r="A168" s="39">
        <f>IF('10 - Office Chairs'!B168 = "", "", IF('10 - Office Chairs-WUO_ERR'!A168 = "", "Validated", HYPERLINK("#" &amp; ADDRESS(168, '10 - Office Chairs-WUO_TRK'!A168),_xlfn.TEXTAFTER('10 - Office Chairs-WUO_ERR'!A168, ":"))))</f>
        <v/>
      </c>
    </row>
    <row r="169">
      <c r="A169" s="39">
        <f>IF('10 - Office Chairs'!B169 = "", "", IF('10 - Office Chairs-WUO_ERR'!A169 = "", "Validated", HYPERLINK("#" &amp; ADDRESS(169, '10 - Office Chairs-WUO_TRK'!A169),_xlfn.TEXTAFTER('10 - Office Chairs-WUO_ERR'!A169, ":"))))</f>
        <v/>
      </c>
    </row>
    <row r="170">
      <c r="A170" s="39">
        <f>IF('10 - Office Chairs'!B170 = "", "", IF('10 - Office Chairs-WUO_ERR'!A170 = "", "Validated", HYPERLINK("#" &amp; ADDRESS(170, '10 - Office Chairs-WUO_TRK'!A170),_xlfn.TEXTAFTER('10 - Office Chairs-WUO_ERR'!A170, ":"))))</f>
        <v/>
      </c>
    </row>
    <row r="171">
      <c r="A171" s="39">
        <f>IF('10 - Office Chairs'!B171 = "", "", IF('10 - Office Chairs-WUO_ERR'!A171 = "", "Validated", HYPERLINK("#" &amp; ADDRESS(171, '10 - Office Chairs-WUO_TRK'!A171),_xlfn.TEXTAFTER('10 - Office Chairs-WUO_ERR'!A171, ":"))))</f>
        <v/>
      </c>
    </row>
    <row r="172">
      <c r="A172" s="39">
        <f>IF('10 - Office Chairs'!B172 = "", "", IF('10 - Office Chairs-WUO_ERR'!A172 = "", "Validated", HYPERLINK("#" &amp; ADDRESS(172, '10 - Office Chairs-WUO_TRK'!A172),_xlfn.TEXTAFTER('10 - Office Chairs-WUO_ERR'!A172, ":"))))</f>
        <v/>
      </c>
    </row>
    <row r="173">
      <c r="A173" s="39">
        <f>IF('10 - Office Chairs'!B173 = "", "", IF('10 - Office Chairs-WUO_ERR'!A173 = "", "Validated", HYPERLINK("#" &amp; ADDRESS(173, '10 - Office Chairs-WUO_TRK'!A173),_xlfn.TEXTAFTER('10 - Office Chairs-WUO_ERR'!A173, ":"))))</f>
        <v/>
      </c>
    </row>
    <row r="174">
      <c r="A174" s="39">
        <f>IF('10 - Office Chairs'!B174 = "", "", IF('10 - Office Chairs-WUO_ERR'!A174 = "", "Validated", HYPERLINK("#" &amp; ADDRESS(174, '10 - Office Chairs-WUO_TRK'!A174),_xlfn.TEXTAFTER('10 - Office Chairs-WUO_ERR'!A174, ":"))))</f>
        <v/>
      </c>
    </row>
    <row r="175">
      <c r="A175" s="39">
        <f>IF('10 - Office Chairs'!B175 = "", "", IF('10 - Office Chairs-WUO_ERR'!A175 = "", "Validated", HYPERLINK("#" &amp; ADDRESS(175, '10 - Office Chairs-WUO_TRK'!A175),_xlfn.TEXTAFTER('10 - Office Chairs-WUO_ERR'!A175, ":"))))</f>
        <v/>
      </c>
    </row>
    <row r="176">
      <c r="A176" s="39">
        <f>IF('10 - Office Chairs'!B176 = "", "", IF('10 - Office Chairs-WUO_ERR'!A176 = "", "Validated", HYPERLINK("#" &amp; ADDRESS(176, '10 - Office Chairs-WUO_TRK'!A176),_xlfn.TEXTAFTER('10 - Office Chairs-WUO_ERR'!A176, ":"))))</f>
        <v/>
      </c>
    </row>
    <row r="177">
      <c r="A177" s="39">
        <f>IF('10 - Office Chairs'!B177 = "", "", IF('10 - Office Chairs-WUO_ERR'!A177 = "", "Validated", HYPERLINK("#" &amp; ADDRESS(177, '10 - Office Chairs-WUO_TRK'!A177),_xlfn.TEXTAFTER('10 - Office Chairs-WUO_ERR'!A177, ":"))))</f>
        <v/>
      </c>
    </row>
    <row r="178">
      <c r="A178" s="39">
        <f>IF('10 - Office Chairs'!B178 = "", "", IF('10 - Office Chairs-WUO_ERR'!A178 = "", "Validated", HYPERLINK("#" &amp; ADDRESS(178, '10 - Office Chairs-WUO_TRK'!A178),_xlfn.TEXTAFTER('10 - Office Chairs-WUO_ERR'!A178, ":"))))</f>
        <v/>
      </c>
    </row>
    <row r="179">
      <c r="A179" s="39">
        <f>IF('10 - Office Chairs'!B179 = "", "", IF('10 - Office Chairs-WUO_ERR'!A179 = "", "Validated", HYPERLINK("#" &amp; ADDRESS(179, '10 - Office Chairs-WUO_TRK'!A179),_xlfn.TEXTAFTER('10 - Office Chairs-WUO_ERR'!A179, ":"))))</f>
        <v/>
      </c>
    </row>
    <row r="180">
      <c r="A180" s="39">
        <f>IF('10 - Office Chairs'!B180 = "", "", IF('10 - Office Chairs-WUO_ERR'!A180 = "", "Validated", HYPERLINK("#" &amp; ADDRESS(180, '10 - Office Chairs-WUO_TRK'!A180),_xlfn.TEXTAFTER('10 - Office Chairs-WUO_ERR'!A180, ":"))))</f>
        <v/>
      </c>
    </row>
    <row r="181">
      <c r="A181" s="39">
        <f>IF('10 - Office Chairs'!B181 = "", "", IF('10 - Office Chairs-WUO_ERR'!A181 = "", "Validated", HYPERLINK("#" &amp; ADDRESS(181, '10 - Office Chairs-WUO_TRK'!A181),_xlfn.TEXTAFTER('10 - Office Chairs-WUO_ERR'!A181, ":"))))</f>
        <v/>
      </c>
    </row>
    <row r="182">
      <c r="A182" s="39">
        <f>IF('10 - Office Chairs'!B182 = "", "", IF('10 - Office Chairs-WUO_ERR'!A182 = "", "Validated", HYPERLINK("#" &amp; ADDRESS(182, '10 - Office Chairs-WUO_TRK'!A182),_xlfn.TEXTAFTER('10 - Office Chairs-WUO_ERR'!A182, ":"))))</f>
        <v/>
      </c>
    </row>
    <row r="183">
      <c r="A183" s="39">
        <f>IF('10 - Office Chairs'!B183 = "", "", IF('10 - Office Chairs-WUO_ERR'!A183 = "", "Validated", HYPERLINK("#" &amp; ADDRESS(183, '10 - Office Chairs-WUO_TRK'!A183),_xlfn.TEXTAFTER('10 - Office Chairs-WUO_ERR'!A183, ":"))))</f>
        <v/>
      </c>
    </row>
    <row r="184">
      <c r="A184" s="39">
        <f>IF('10 - Office Chairs'!B184 = "", "", IF('10 - Office Chairs-WUO_ERR'!A184 = "", "Validated", HYPERLINK("#" &amp; ADDRESS(184, '10 - Office Chairs-WUO_TRK'!A184),_xlfn.TEXTAFTER('10 - Office Chairs-WUO_ERR'!A184, ":"))))</f>
        <v/>
      </c>
    </row>
    <row r="185">
      <c r="A185" s="39">
        <f>IF('10 - Office Chairs'!B185 = "", "", IF('10 - Office Chairs-WUO_ERR'!A185 = "", "Validated", HYPERLINK("#" &amp; ADDRESS(185, '10 - Office Chairs-WUO_TRK'!A185),_xlfn.TEXTAFTER('10 - Office Chairs-WUO_ERR'!A185, ":"))))</f>
        <v/>
      </c>
    </row>
    <row r="186">
      <c r="A186" s="39">
        <f>IF('10 - Office Chairs'!B186 = "", "", IF('10 - Office Chairs-WUO_ERR'!A186 = "", "Validated", HYPERLINK("#" &amp; ADDRESS(186, '10 - Office Chairs-WUO_TRK'!A186),_xlfn.TEXTAFTER('10 - Office Chairs-WUO_ERR'!A186, ":"))))</f>
        <v/>
      </c>
    </row>
    <row r="187">
      <c r="A187" s="39">
        <f>IF('10 - Office Chairs'!B187 = "", "", IF('10 - Office Chairs-WUO_ERR'!A187 = "", "Validated", HYPERLINK("#" &amp; ADDRESS(187, '10 - Office Chairs-WUO_TRK'!A187),_xlfn.TEXTAFTER('10 - Office Chairs-WUO_ERR'!A187, ":"))))</f>
        <v/>
      </c>
    </row>
    <row r="188">
      <c r="A188" s="39">
        <f>IF('10 - Office Chairs'!B188 = "", "", IF('10 - Office Chairs-WUO_ERR'!A188 = "", "Validated", HYPERLINK("#" &amp; ADDRESS(188, '10 - Office Chairs-WUO_TRK'!A188),_xlfn.TEXTAFTER('10 - Office Chairs-WUO_ERR'!A188, ":"))))</f>
        <v/>
      </c>
    </row>
    <row r="189">
      <c r="A189" s="39">
        <f>IF('10 - Office Chairs'!B189 = "", "", IF('10 - Office Chairs-WUO_ERR'!A189 = "", "Validated", HYPERLINK("#" &amp; ADDRESS(189, '10 - Office Chairs-WUO_TRK'!A189),_xlfn.TEXTAFTER('10 - Office Chairs-WUO_ERR'!A189, ":"))))</f>
        <v/>
      </c>
    </row>
    <row r="190">
      <c r="A190" s="39">
        <f>IF('10 - Office Chairs'!B190 = "", "", IF('10 - Office Chairs-WUO_ERR'!A190 = "", "Validated", HYPERLINK("#" &amp; ADDRESS(190, '10 - Office Chairs-WUO_TRK'!A190),_xlfn.TEXTAFTER('10 - Office Chairs-WUO_ERR'!A190, ":"))))</f>
        <v/>
      </c>
    </row>
    <row r="191">
      <c r="A191" s="39">
        <f>IF('10 - Office Chairs'!B191 = "", "", IF('10 - Office Chairs-WUO_ERR'!A191 = "", "Validated", HYPERLINK("#" &amp; ADDRESS(191, '10 - Office Chairs-WUO_TRK'!A191),_xlfn.TEXTAFTER('10 - Office Chairs-WUO_ERR'!A191, ":"))))</f>
        <v/>
      </c>
    </row>
    <row r="192">
      <c r="A192" s="39">
        <f>IF('10 - Office Chairs'!B192 = "", "", IF('10 - Office Chairs-WUO_ERR'!A192 = "", "Validated", HYPERLINK("#" &amp; ADDRESS(192, '10 - Office Chairs-WUO_TRK'!A192),_xlfn.TEXTAFTER('10 - Office Chairs-WUO_ERR'!A192, ":"))))</f>
        <v/>
      </c>
    </row>
    <row r="193">
      <c r="A193" s="39">
        <f>IF('10 - Office Chairs'!B193 = "", "", IF('10 - Office Chairs-WUO_ERR'!A193 = "", "Validated", HYPERLINK("#" &amp; ADDRESS(193, '10 - Office Chairs-WUO_TRK'!A193),_xlfn.TEXTAFTER('10 - Office Chairs-WUO_ERR'!A193, ":"))))</f>
        <v/>
      </c>
    </row>
    <row r="194">
      <c r="A194" s="39">
        <f>IF('10 - Office Chairs'!B194 = "", "", IF('10 - Office Chairs-WUO_ERR'!A194 = "", "Validated", HYPERLINK("#" &amp; ADDRESS(194, '10 - Office Chairs-WUO_TRK'!A194),_xlfn.TEXTAFTER('10 - Office Chairs-WUO_ERR'!A194, ":"))))</f>
        <v/>
      </c>
    </row>
    <row r="195">
      <c r="A195" s="39">
        <f>IF('10 - Office Chairs'!B195 = "", "", IF('10 - Office Chairs-WUO_ERR'!A195 = "", "Validated", HYPERLINK("#" &amp; ADDRESS(195, '10 - Office Chairs-WUO_TRK'!A195),_xlfn.TEXTAFTER('10 - Office Chairs-WUO_ERR'!A195, ":"))))</f>
        <v/>
      </c>
    </row>
    <row r="196">
      <c r="A196" s="39">
        <f>IF('10 - Office Chairs'!B196 = "", "", IF('10 - Office Chairs-WUO_ERR'!A196 = "", "Validated", HYPERLINK("#" &amp; ADDRESS(196, '10 - Office Chairs-WUO_TRK'!A196),_xlfn.TEXTAFTER('10 - Office Chairs-WUO_ERR'!A196, ":"))))</f>
        <v/>
      </c>
    </row>
    <row r="197">
      <c r="A197" s="39">
        <f>IF('10 - Office Chairs'!B197 = "", "", IF('10 - Office Chairs-WUO_ERR'!A197 = "", "Validated", HYPERLINK("#" &amp; ADDRESS(197, '10 - Office Chairs-WUO_TRK'!A197),_xlfn.TEXTAFTER('10 - Office Chairs-WUO_ERR'!A197, ":"))))</f>
        <v/>
      </c>
    </row>
    <row r="198">
      <c r="A198" s="39">
        <f>IF('10 - Office Chairs'!B198 = "", "", IF('10 - Office Chairs-WUO_ERR'!A198 = "", "Validated", HYPERLINK("#" &amp; ADDRESS(198, '10 - Office Chairs-WUO_TRK'!A198),_xlfn.TEXTAFTER('10 - Office Chairs-WUO_ERR'!A198, ":"))))</f>
        <v/>
      </c>
    </row>
    <row r="199">
      <c r="A199" s="39">
        <f>IF('10 - Office Chairs'!B199 = "", "", IF('10 - Office Chairs-WUO_ERR'!A199 = "", "Validated", HYPERLINK("#" &amp; ADDRESS(199, '10 - Office Chairs-WUO_TRK'!A199),_xlfn.TEXTAFTER('10 - Office Chairs-WUO_ERR'!A199, ":"))))</f>
        <v/>
      </c>
    </row>
    <row r="200">
      <c r="A200" s="39">
        <f>IF('10 - Office Chairs'!B200 = "", "", IF('10 - Office Chairs-WUO_ERR'!A200 = "", "Validated", HYPERLINK("#" &amp; ADDRESS(200, '10 - Office Chairs-WUO_TRK'!A200),_xlfn.TEXTAFTER('10 - Office Chairs-WUO_ERR'!A200, ":"))))</f>
        <v/>
      </c>
    </row>
    <row r="201">
      <c r="A201" s="39">
        <f>IF('10 - Office Chairs'!B201 = "", "", IF('10 - Office Chairs-WUO_ERR'!A201 = "", "Validated", HYPERLINK("#" &amp; ADDRESS(201, '10 - Office Chairs-WUO_TRK'!A201),_xlfn.TEXTAFTER('10 - Office Chairs-WUO_ERR'!A201, ":"))))</f>
        <v/>
      </c>
    </row>
    <row r="202">
      <c r="A202" s="39">
        <f>IF('10 - Office Chairs'!B202 = "", "", IF('10 - Office Chairs-WUO_ERR'!A202 = "", "Validated", HYPERLINK("#" &amp; ADDRESS(202, '10 - Office Chairs-WUO_TRK'!A202),_xlfn.TEXTAFTER('10 - Office Chairs-WUO_ERR'!A202, ":"))))</f>
        <v/>
      </c>
    </row>
    <row r="203">
      <c r="A203" s="39">
        <f>IF('10 - Office Chairs'!B203 = "", "", IF('10 - Office Chairs-WUO_ERR'!A203 = "", "Validated", HYPERLINK("#" &amp; ADDRESS(203, '10 - Office Chairs-WUO_TRK'!A203),_xlfn.TEXTAFTER('10 - Office Chairs-WUO_ERR'!A203, ":"))))</f>
        <v/>
      </c>
    </row>
    <row r="204">
      <c r="A204" s="39">
        <f>IF('10 - Office Chairs'!B204 = "", "", IF('10 - Office Chairs-WUO_ERR'!A204 = "", "Validated", HYPERLINK("#" &amp; ADDRESS(204, '10 - Office Chairs-WUO_TRK'!A204),_xlfn.TEXTAFTER('10 - Office Chairs-WUO_ERR'!A204, ":"))))</f>
        <v/>
      </c>
    </row>
    <row r="205">
      <c r="A205" s="39">
        <f>IF('10 - Office Chairs'!B205 = "", "", IF('10 - Office Chairs-WUO_ERR'!A205 = "", "Validated", HYPERLINK("#" &amp; ADDRESS(205, '10 - Office Chairs-WUO_TRK'!A205),_xlfn.TEXTAFTER('10 - Office Chairs-WUO_ERR'!A205, ":"))))</f>
        <v/>
      </c>
    </row>
    <row r="206">
      <c r="A206" s="39">
        <f>IF('10 - Office Chairs'!B206 = "", "", IF('10 - Office Chairs-WUO_ERR'!A206 = "", "Validated", HYPERLINK("#" &amp; ADDRESS(206, '10 - Office Chairs-WUO_TRK'!A206),_xlfn.TEXTAFTER('10 - Office Chairs-WUO_ERR'!A206, ":"))))</f>
        <v/>
      </c>
    </row>
    <row r="207">
      <c r="A207" s="39">
        <f>IF('10 - Office Chairs'!B207 = "", "", IF('10 - Office Chairs-WUO_ERR'!A207 = "", "Validated", HYPERLINK("#" &amp; ADDRESS(207, '10 - Office Chairs-WUO_TRK'!A207),_xlfn.TEXTAFTER('10 - Office Chairs-WUO_ERR'!A207, ":"))))</f>
        <v/>
      </c>
    </row>
    <row r="208">
      <c r="A208" s="39">
        <f>IF('10 - Office Chairs'!B208 = "", "", IF('10 - Office Chairs-WUO_ERR'!A208 = "", "Validated", HYPERLINK("#" &amp; ADDRESS(208, '10 - Office Chairs-WUO_TRK'!A208),_xlfn.TEXTAFTER('10 - Office Chairs-WUO_ERR'!A208, ":"))))</f>
        <v/>
      </c>
    </row>
    <row r="209">
      <c r="A209" s="39">
        <f>IF('10 - Office Chairs'!B209 = "", "", IF('10 - Office Chairs-WUO_ERR'!A209 = "", "Validated", HYPERLINK("#" &amp; ADDRESS(209, '10 - Office Chairs-WUO_TRK'!A209),_xlfn.TEXTAFTER('10 - Office Chairs-WUO_ERR'!A209, ":"))))</f>
        <v/>
      </c>
    </row>
    <row r="210">
      <c r="A210" s="39">
        <f>IF('10 - Office Chairs'!B210 = "", "", IF('10 - Office Chairs-WUO_ERR'!A210 = "", "Validated", HYPERLINK("#" &amp; ADDRESS(210, '10 - Office Chairs-WUO_TRK'!A210),_xlfn.TEXTAFTER('10 - Office Chairs-WUO_ERR'!A210, ":"))))</f>
        <v/>
      </c>
    </row>
    <row r="211">
      <c r="A211" s="39">
        <f>IF('10 - Office Chairs'!B211 = "", "", IF('10 - Office Chairs-WUO_ERR'!A211 = "", "Validated", HYPERLINK("#" &amp; ADDRESS(211, '10 - Office Chairs-WUO_TRK'!A211),_xlfn.TEXTAFTER('10 - Office Chairs-WUO_ERR'!A211, ":"))))</f>
        <v/>
      </c>
    </row>
    <row r="212">
      <c r="A212" s="39">
        <f>IF('10 - Office Chairs'!B212 = "", "", IF('10 - Office Chairs-WUO_ERR'!A212 = "", "Validated", HYPERLINK("#" &amp; ADDRESS(212, '10 - Office Chairs-WUO_TRK'!A212),_xlfn.TEXTAFTER('10 - Office Chairs-WUO_ERR'!A212, ":"))))</f>
        <v/>
      </c>
    </row>
    <row r="213">
      <c r="A213" s="39">
        <f>IF('10 - Office Chairs'!B213 = "", "", IF('10 - Office Chairs-WUO_ERR'!A213 = "", "Validated", HYPERLINK("#" &amp; ADDRESS(213, '10 - Office Chairs-WUO_TRK'!A213),_xlfn.TEXTAFTER('10 - Office Chairs-WUO_ERR'!A213, ":"))))</f>
        <v/>
      </c>
    </row>
    <row r="214">
      <c r="A214" s="39">
        <f>IF('10 - Office Chairs'!B214 = "", "", IF('10 - Office Chairs-WUO_ERR'!A214 = "", "Validated", HYPERLINK("#" &amp; ADDRESS(214, '10 - Office Chairs-WUO_TRK'!A214),_xlfn.TEXTAFTER('10 - Office Chairs-WUO_ERR'!A214, ":"))))</f>
        <v/>
      </c>
    </row>
    <row r="215">
      <c r="A215" s="39">
        <f>IF('10 - Office Chairs'!B215 = "", "", IF('10 - Office Chairs-WUO_ERR'!A215 = "", "Validated", HYPERLINK("#" &amp; ADDRESS(215, '10 - Office Chairs-WUO_TRK'!A215),_xlfn.TEXTAFTER('10 - Office Chairs-WUO_ERR'!A215, ":"))))</f>
        <v/>
      </c>
    </row>
    <row r="216">
      <c r="A216" s="39">
        <f>IF('10 - Office Chairs'!B216 = "", "", IF('10 - Office Chairs-WUO_ERR'!A216 = "", "Validated", HYPERLINK("#" &amp; ADDRESS(216, '10 - Office Chairs-WUO_TRK'!A216),_xlfn.TEXTAFTER('10 - Office Chairs-WUO_ERR'!A216, ":"))))</f>
        <v/>
      </c>
    </row>
    <row r="217">
      <c r="A217" s="39">
        <f>IF('10 - Office Chairs'!B217 = "", "", IF('10 - Office Chairs-WUO_ERR'!A217 = "", "Validated", HYPERLINK("#" &amp; ADDRESS(217, '10 - Office Chairs-WUO_TRK'!A217),_xlfn.TEXTAFTER('10 - Office Chairs-WUO_ERR'!A217, ":"))))</f>
        <v/>
      </c>
    </row>
    <row r="218">
      <c r="A218" s="39">
        <f>IF('10 - Office Chairs'!B218 = "", "", IF('10 - Office Chairs-WUO_ERR'!A218 = "", "Validated", HYPERLINK("#" &amp; ADDRESS(218, '10 - Office Chairs-WUO_TRK'!A218),_xlfn.TEXTAFTER('10 - Office Chairs-WUO_ERR'!A218, ":"))))</f>
        <v/>
      </c>
    </row>
    <row r="219">
      <c r="A219" s="39">
        <f>IF('10 - Office Chairs'!B219 = "", "", IF('10 - Office Chairs-WUO_ERR'!A219 = "", "Validated", HYPERLINK("#" &amp; ADDRESS(219, '10 - Office Chairs-WUO_TRK'!A219),_xlfn.TEXTAFTER('10 - Office Chairs-WUO_ERR'!A219, ":"))))</f>
        <v/>
      </c>
    </row>
    <row r="220">
      <c r="A220" s="39">
        <f>IF('10 - Office Chairs'!B220 = "", "", IF('10 - Office Chairs-WUO_ERR'!A220 = "", "Validated", HYPERLINK("#" &amp; ADDRESS(220, '10 - Office Chairs-WUO_TRK'!A220),_xlfn.TEXTAFTER('10 - Office Chairs-WUO_ERR'!A220, ":"))))</f>
        <v/>
      </c>
    </row>
    <row r="221">
      <c r="A221" s="39">
        <f>IF('10 - Office Chairs'!B221 = "", "", IF('10 - Office Chairs-WUO_ERR'!A221 = "", "Validated", HYPERLINK("#" &amp; ADDRESS(221, '10 - Office Chairs-WUO_TRK'!A221),_xlfn.TEXTAFTER('10 - Office Chairs-WUO_ERR'!A221, ":"))))</f>
        <v/>
      </c>
    </row>
    <row r="222">
      <c r="A222" s="39">
        <f>IF('10 - Office Chairs'!B222 = "", "", IF('10 - Office Chairs-WUO_ERR'!A222 = "", "Validated", HYPERLINK("#" &amp; ADDRESS(222, '10 - Office Chairs-WUO_TRK'!A222),_xlfn.TEXTAFTER('10 - Office Chairs-WUO_ERR'!A222, ":"))))</f>
        <v/>
      </c>
    </row>
    <row r="223">
      <c r="A223" s="39">
        <f>IF('10 - Office Chairs'!B223 = "", "", IF('10 - Office Chairs-WUO_ERR'!A223 = "", "Validated", HYPERLINK("#" &amp; ADDRESS(223, '10 - Office Chairs-WUO_TRK'!A223),_xlfn.TEXTAFTER('10 - Office Chairs-WUO_ERR'!A223, ":"))))</f>
        <v/>
      </c>
    </row>
    <row r="224">
      <c r="A224" s="39">
        <f>IF('10 - Office Chairs'!B224 = "", "", IF('10 - Office Chairs-WUO_ERR'!A224 = "", "Validated", HYPERLINK("#" &amp; ADDRESS(224, '10 - Office Chairs-WUO_TRK'!A224),_xlfn.TEXTAFTER('10 - Office Chairs-WUO_ERR'!A224, ":"))))</f>
        <v/>
      </c>
    </row>
    <row r="225">
      <c r="A225" s="39">
        <f>IF('10 - Office Chairs'!B225 = "", "", IF('10 - Office Chairs-WUO_ERR'!A225 = "", "Validated", HYPERLINK("#" &amp; ADDRESS(225, '10 - Office Chairs-WUO_TRK'!A225),_xlfn.TEXTAFTER('10 - Office Chairs-WUO_ERR'!A225, ":"))))</f>
        <v/>
      </c>
    </row>
    <row r="226">
      <c r="A226" s="39">
        <f>IF('10 - Office Chairs'!B226 = "", "", IF('10 - Office Chairs-WUO_ERR'!A226 = "", "Validated", HYPERLINK("#" &amp; ADDRESS(226, '10 - Office Chairs-WUO_TRK'!A226),_xlfn.TEXTAFTER('10 - Office Chairs-WUO_ERR'!A226, ":"))))</f>
        <v/>
      </c>
    </row>
    <row r="227">
      <c r="A227" s="39">
        <f>IF('10 - Office Chairs'!B227 = "", "", IF('10 - Office Chairs-WUO_ERR'!A227 = "", "Validated", HYPERLINK("#" &amp; ADDRESS(227, '10 - Office Chairs-WUO_TRK'!A227),_xlfn.TEXTAFTER('10 - Office Chairs-WUO_ERR'!A227, ":"))))</f>
        <v/>
      </c>
    </row>
    <row r="228">
      <c r="A228" s="39">
        <f>IF('10 - Office Chairs'!B228 = "", "", IF('10 - Office Chairs-WUO_ERR'!A228 = "", "Validated", HYPERLINK("#" &amp; ADDRESS(228, '10 - Office Chairs-WUO_TRK'!A228),_xlfn.TEXTAFTER('10 - Office Chairs-WUO_ERR'!A228, ":"))))</f>
        <v/>
      </c>
    </row>
    <row r="229">
      <c r="A229" s="39">
        <f>IF('10 - Office Chairs'!B229 = "", "", IF('10 - Office Chairs-WUO_ERR'!A229 = "", "Validated", HYPERLINK("#" &amp; ADDRESS(229, '10 - Office Chairs-WUO_TRK'!A229),_xlfn.TEXTAFTER('10 - Office Chairs-WUO_ERR'!A229, ":"))))</f>
        <v/>
      </c>
    </row>
    <row r="230">
      <c r="A230" s="39">
        <f>IF('10 - Office Chairs'!B230 = "", "", IF('10 - Office Chairs-WUO_ERR'!A230 = "", "Validated", HYPERLINK("#" &amp; ADDRESS(230, '10 - Office Chairs-WUO_TRK'!A230),_xlfn.TEXTAFTER('10 - Office Chairs-WUO_ERR'!A230, ":"))))</f>
        <v/>
      </c>
    </row>
    <row r="231">
      <c r="A231" s="39">
        <f>IF('10 - Office Chairs'!B231 = "", "", IF('10 - Office Chairs-WUO_ERR'!A231 = "", "Validated", HYPERLINK("#" &amp; ADDRESS(231, '10 - Office Chairs-WUO_TRK'!A231),_xlfn.TEXTAFTER('10 - Office Chairs-WUO_ERR'!A231, ":"))))</f>
        <v/>
      </c>
    </row>
    <row r="232">
      <c r="A232" s="39">
        <f>IF('10 - Office Chairs'!B232 = "", "", IF('10 - Office Chairs-WUO_ERR'!A232 = "", "Validated", HYPERLINK("#" &amp; ADDRESS(232, '10 - Office Chairs-WUO_TRK'!A232),_xlfn.TEXTAFTER('10 - Office Chairs-WUO_ERR'!A232, ":"))))</f>
        <v/>
      </c>
    </row>
    <row r="233">
      <c r="A233" s="39">
        <f>IF('10 - Office Chairs'!B233 = "", "", IF('10 - Office Chairs-WUO_ERR'!A233 = "", "Validated", HYPERLINK("#" &amp; ADDRESS(233, '10 - Office Chairs-WUO_TRK'!A233),_xlfn.TEXTAFTER('10 - Office Chairs-WUO_ERR'!A233, ":"))))</f>
        <v/>
      </c>
    </row>
    <row r="234">
      <c r="A234" s="39">
        <f>IF('10 - Office Chairs'!B234 = "", "", IF('10 - Office Chairs-WUO_ERR'!A234 = "", "Validated", HYPERLINK("#" &amp; ADDRESS(234, '10 - Office Chairs-WUO_TRK'!A234),_xlfn.TEXTAFTER('10 - Office Chairs-WUO_ERR'!A234, ":"))))</f>
        <v/>
      </c>
    </row>
    <row r="235">
      <c r="A235" s="39">
        <f>IF('10 - Office Chairs'!B235 = "", "", IF('10 - Office Chairs-WUO_ERR'!A235 = "", "Validated", HYPERLINK("#" &amp; ADDRESS(235, '10 - Office Chairs-WUO_TRK'!A235),_xlfn.TEXTAFTER('10 - Office Chairs-WUO_ERR'!A235, ":"))))</f>
        <v/>
      </c>
    </row>
    <row r="236">
      <c r="A236" s="39">
        <f>IF('10 - Office Chairs'!B236 = "", "", IF('10 - Office Chairs-WUO_ERR'!A236 = "", "Validated", HYPERLINK("#" &amp; ADDRESS(236, '10 - Office Chairs-WUO_TRK'!A236),_xlfn.TEXTAFTER('10 - Office Chairs-WUO_ERR'!A236, ":"))))</f>
        <v/>
      </c>
    </row>
    <row r="237">
      <c r="A237" s="39">
        <f>IF('10 - Office Chairs'!B237 = "", "", IF('10 - Office Chairs-WUO_ERR'!A237 = "", "Validated", HYPERLINK("#" &amp; ADDRESS(237, '10 - Office Chairs-WUO_TRK'!A237),_xlfn.TEXTAFTER('10 - Office Chairs-WUO_ERR'!A237, ":"))))</f>
        <v/>
      </c>
    </row>
    <row r="238">
      <c r="A238" s="39">
        <f>IF('10 - Office Chairs'!B238 = "", "", IF('10 - Office Chairs-WUO_ERR'!A238 = "", "Validated", HYPERLINK("#" &amp; ADDRESS(238, '10 - Office Chairs-WUO_TRK'!A238),_xlfn.TEXTAFTER('10 - Office Chairs-WUO_ERR'!A238, ":"))))</f>
        <v/>
      </c>
    </row>
    <row r="239">
      <c r="A239" s="39">
        <f>IF('10 - Office Chairs'!B239 = "", "", IF('10 - Office Chairs-WUO_ERR'!A239 = "", "Validated", HYPERLINK("#" &amp; ADDRESS(239, '10 - Office Chairs-WUO_TRK'!A239),_xlfn.TEXTAFTER('10 - Office Chairs-WUO_ERR'!A239, ":"))))</f>
        <v/>
      </c>
    </row>
    <row r="240">
      <c r="A240" s="39">
        <f>IF('10 - Office Chairs'!B240 = "", "", IF('10 - Office Chairs-WUO_ERR'!A240 = "", "Validated", HYPERLINK("#" &amp; ADDRESS(240, '10 - Office Chairs-WUO_TRK'!A240),_xlfn.TEXTAFTER('10 - Office Chairs-WUO_ERR'!A240, ":"))))</f>
        <v/>
      </c>
    </row>
    <row r="241">
      <c r="A241" s="39">
        <f>IF('10 - Office Chairs'!B241 = "", "", IF('10 - Office Chairs-WUO_ERR'!A241 = "", "Validated", HYPERLINK("#" &amp; ADDRESS(241, '10 - Office Chairs-WUO_TRK'!A241),_xlfn.TEXTAFTER('10 - Office Chairs-WUO_ERR'!A241, ":"))))</f>
        <v/>
      </c>
    </row>
    <row r="242">
      <c r="A242" s="39">
        <f>IF('10 - Office Chairs'!B242 = "", "", IF('10 - Office Chairs-WUO_ERR'!A242 = "", "Validated", HYPERLINK("#" &amp; ADDRESS(242, '10 - Office Chairs-WUO_TRK'!A242),_xlfn.TEXTAFTER('10 - Office Chairs-WUO_ERR'!A242, ":"))))</f>
        <v/>
      </c>
    </row>
    <row r="243">
      <c r="A243" s="39">
        <f>IF('10 - Office Chairs'!B243 = "", "", IF('10 - Office Chairs-WUO_ERR'!A243 = "", "Validated", HYPERLINK("#" &amp; ADDRESS(243, '10 - Office Chairs-WUO_TRK'!A243),_xlfn.TEXTAFTER('10 - Office Chairs-WUO_ERR'!A243, ":"))))</f>
        <v/>
      </c>
    </row>
    <row r="244">
      <c r="A244" s="39">
        <f>IF('10 - Office Chairs'!B244 = "", "", IF('10 - Office Chairs-WUO_ERR'!A244 = "", "Validated", HYPERLINK("#" &amp; ADDRESS(244, '10 - Office Chairs-WUO_TRK'!A244),_xlfn.TEXTAFTER('10 - Office Chairs-WUO_ERR'!A244, ":"))))</f>
        <v/>
      </c>
    </row>
    <row r="245">
      <c r="A245" s="39">
        <f>IF('10 - Office Chairs'!B245 = "", "", IF('10 - Office Chairs-WUO_ERR'!A245 = "", "Validated", HYPERLINK("#" &amp; ADDRESS(245, '10 - Office Chairs-WUO_TRK'!A245),_xlfn.TEXTAFTER('10 - Office Chairs-WUO_ERR'!A245, ":"))))</f>
        <v/>
      </c>
    </row>
    <row r="246">
      <c r="A246" s="39">
        <f>IF('10 - Office Chairs'!B246 = "", "", IF('10 - Office Chairs-WUO_ERR'!A246 = "", "Validated", HYPERLINK("#" &amp; ADDRESS(246, '10 - Office Chairs-WUO_TRK'!A246),_xlfn.TEXTAFTER('10 - Office Chairs-WUO_ERR'!A246, ":"))))</f>
        <v/>
      </c>
    </row>
    <row r="247">
      <c r="A247" s="39">
        <f>IF('10 - Office Chairs'!B247 = "", "", IF('10 - Office Chairs-WUO_ERR'!A247 = "", "Validated", HYPERLINK("#" &amp; ADDRESS(247, '10 - Office Chairs-WUO_TRK'!A247),_xlfn.TEXTAFTER('10 - Office Chairs-WUO_ERR'!A247, ":"))))</f>
        <v/>
      </c>
    </row>
    <row r="248">
      <c r="A248" s="39">
        <f>IF('10 - Office Chairs'!B248 = "", "", IF('10 - Office Chairs-WUO_ERR'!A248 = "", "Validated", HYPERLINK("#" &amp; ADDRESS(248, '10 - Office Chairs-WUO_TRK'!A248),_xlfn.TEXTAFTER('10 - Office Chairs-WUO_ERR'!A248, ":"))))</f>
        <v/>
      </c>
    </row>
    <row r="249">
      <c r="A249" s="39">
        <f>IF('10 - Office Chairs'!B249 = "", "", IF('10 - Office Chairs-WUO_ERR'!A249 = "", "Validated", HYPERLINK("#" &amp; ADDRESS(249, '10 - Office Chairs-WUO_TRK'!A249),_xlfn.TEXTAFTER('10 - Office Chairs-WUO_ERR'!A249, ":"))))</f>
        <v/>
      </c>
    </row>
    <row r="250">
      <c r="A250" s="39">
        <f>IF('10 - Office Chairs'!B250 = "", "", IF('10 - Office Chairs-WUO_ERR'!A250 = "", "Validated", HYPERLINK("#" &amp; ADDRESS(250, '10 - Office Chairs-WUO_TRK'!A250),_xlfn.TEXTAFTER('10 - Office Chairs-WUO_ERR'!A250, ":"))))</f>
        <v/>
      </c>
    </row>
    <row r="251">
      <c r="A251" s="39">
        <f>IF('10 - Office Chairs'!B251 = "", "", IF('10 - Office Chairs-WUO_ERR'!A251 = "", "Validated", HYPERLINK("#" &amp; ADDRESS(251, '10 - Office Chairs-WUO_TRK'!A251),_xlfn.TEXTAFTER('10 - Office Chairs-WUO_ERR'!A251, ":"))))</f>
        <v/>
      </c>
    </row>
    <row r="252">
      <c r="A252" s="39">
        <f>IF('10 - Office Chairs'!B252 = "", "", IF('10 - Office Chairs-WUO_ERR'!A252 = "", "Validated", HYPERLINK("#" &amp; ADDRESS(252, '10 - Office Chairs-WUO_TRK'!A252),_xlfn.TEXTAFTER('10 - Office Chairs-WUO_ERR'!A252, ":"))))</f>
        <v/>
      </c>
    </row>
    <row r="253">
      <c r="A253" s="39">
        <f>IF('10 - Office Chairs'!B253 = "", "", IF('10 - Office Chairs-WUO_ERR'!A253 = "", "Validated", HYPERLINK("#" &amp; ADDRESS(253, '10 - Office Chairs-WUO_TRK'!A253),_xlfn.TEXTAFTER('10 - Office Chairs-WUO_ERR'!A253, ":"))))</f>
        <v/>
      </c>
    </row>
    <row r="254">
      <c r="A254" s="39">
        <f>IF('10 - Office Chairs'!B254 = "", "", IF('10 - Office Chairs-WUO_ERR'!A254 = "", "Validated", HYPERLINK("#" &amp; ADDRESS(254, '10 - Office Chairs-WUO_TRK'!A254),_xlfn.TEXTAFTER('10 - Office Chairs-WUO_ERR'!A254, ":"))))</f>
        <v/>
      </c>
    </row>
    <row r="255">
      <c r="A255" s="39">
        <f>IF('10 - Office Chairs'!B255 = "", "", IF('10 - Office Chairs-WUO_ERR'!A255 = "", "Validated", HYPERLINK("#" &amp; ADDRESS(255, '10 - Office Chairs-WUO_TRK'!A255),_xlfn.TEXTAFTER('10 - Office Chairs-WUO_ERR'!A255, ":"))))</f>
        <v/>
      </c>
    </row>
    <row r="256">
      <c r="A256" s="39">
        <f>IF('10 - Office Chairs'!B256 = "", "", IF('10 - Office Chairs-WUO_ERR'!A256 = "", "Validated", HYPERLINK("#" &amp; ADDRESS(256, '10 - Office Chairs-WUO_TRK'!A256),_xlfn.TEXTAFTER('10 - Office Chairs-WUO_ERR'!A256, ":"))))</f>
        <v/>
      </c>
    </row>
    <row r="257">
      <c r="A257" s="39">
        <f>IF('10 - Office Chairs'!B257 = "", "", IF('10 - Office Chairs-WUO_ERR'!A257 = "", "Validated", HYPERLINK("#" &amp; ADDRESS(257, '10 - Office Chairs-WUO_TRK'!A257),_xlfn.TEXTAFTER('10 - Office Chairs-WUO_ERR'!A257, ":"))))</f>
        <v/>
      </c>
    </row>
    <row r="258">
      <c r="A258" s="39">
        <f>IF('10 - Office Chairs'!B258 = "", "", IF('10 - Office Chairs-WUO_ERR'!A258 = "", "Validated", HYPERLINK("#" &amp; ADDRESS(258, '10 - Office Chairs-WUO_TRK'!A258),_xlfn.TEXTAFTER('10 - Office Chairs-WUO_ERR'!A258, ":"))))</f>
        <v/>
      </c>
    </row>
    <row r="259">
      <c r="A259" s="39">
        <f>IF('10 - Office Chairs'!B259 = "", "", IF('10 - Office Chairs-WUO_ERR'!A259 = "", "Validated", HYPERLINK("#" &amp; ADDRESS(259, '10 - Office Chairs-WUO_TRK'!A259),_xlfn.TEXTAFTER('10 - Office Chairs-WUO_ERR'!A259, ":"))))</f>
        <v/>
      </c>
    </row>
    <row r="260">
      <c r="A260" s="39">
        <f>IF('10 - Office Chairs'!B260 = "", "", IF('10 - Office Chairs-WUO_ERR'!A260 = "", "Validated", HYPERLINK("#" &amp; ADDRESS(260, '10 - Office Chairs-WUO_TRK'!A260),_xlfn.TEXTAFTER('10 - Office Chairs-WUO_ERR'!A260, ":"))))</f>
        <v/>
      </c>
    </row>
    <row r="261">
      <c r="A261" s="39">
        <f>IF('10 - Office Chairs'!B261 = "", "", IF('10 - Office Chairs-WUO_ERR'!A261 = "", "Validated", HYPERLINK("#" &amp; ADDRESS(261, '10 - Office Chairs-WUO_TRK'!A261),_xlfn.TEXTAFTER('10 - Office Chairs-WUO_ERR'!A261, ":"))))</f>
        <v/>
      </c>
    </row>
    <row r="262">
      <c r="A262" s="39">
        <f>IF('10 - Office Chairs'!B262 = "", "", IF('10 - Office Chairs-WUO_ERR'!A262 = "", "Validated", HYPERLINK("#" &amp; ADDRESS(262, '10 - Office Chairs-WUO_TRK'!A262),_xlfn.TEXTAFTER('10 - Office Chairs-WUO_ERR'!A262, ":"))))</f>
        <v/>
      </c>
    </row>
    <row r="263">
      <c r="A263" s="39">
        <f>IF('10 - Office Chairs'!B263 = "", "", IF('10 - Office Chairs-WUO_ERR'!A263 = "", "Validated", HYPERLINK("#" &amp; ADDRESS(263, '10 - Office Chairs-WUO_TRK'!A263),_xlfn.TEXTAFTER('10 - Office Chairs-WUO_ERR'!A263, ":"))))</f>
        <v/>
      </c>
    </row>
    <row r="264">
      <c r="A264" s="39">
        <f>IF('10 - Office Chairs'!B264 = "", "", IF('10 - Office Chairs-WUO_ERR'!A264 = "", "Validated", HYPERLINK("#" &amp; ADDRESS(264, '10 - Office Chairs-WUO_TRK'!A264),_xlfn.TEXTAFTER('10 - Office Chairs-WUO_ERR'!A264, ":"))))</f>
        <v/>
      </c>
    </row>
    <row r="265">
      <c r="A265" s="39">
        <f>IF('10 - Office Chairs'!B265 = "", "", IF('10 - Office Chairs-WUO_ERR'!A265 = "", "Validated", HYPERLINK("#" &amp; ADDRESS(265, '10 - Office Chairs-WUO_TRK'!A265),_xlfn.TEXTAFTER('10 - Office Chairs-WUO_ERR'!A265, ":"))))</f>
        <v/>
      </c>
    </row>
    <row r="266">
      <c r="A266" s="39">
        <f>IF('10 - Office Chairs'!B266 = "", "", IF('10 - Office Chairs-WUO_ERR'!A266 = "", "Validated", HYPERLINK("#" &amp; ADDRESS(266, '10 - Office Chairs-WUO_TRK'!A266),_xlfn.TEXTAFTER('10 - Office Chairs-WUO_ERR'!A266, ":"))))</f>
        <v/>
      </c>
    </row>
    <row r="267">
      <c r="A267" s="39">
        <f>IF('10 - Office Chairs'!B267 = "", "", IF('10 - Office Chairs-WUO_ERR'!A267 = "", "Validated", HYPERLINK("#" &amp; ADDRESS(267, '10 - Office Chairs-WUO_TRK'!A267),_xlfn.TEXTAFTER('10 - Office Chairs-WUO_ERR'!A267, ":"))))</f>
        <v/>
      </c>
    </row>
    <row r="268">
      <c r="A268" s="39">
        <f>IF('10 - Office Chairs'!B268 = "", "", IF('10 - Office Chairs-WUO_ERR'!A268 = "", "Validated", HYPERLINK("#" &amp; ADDRESS(268, '10 - Office Chairs-WUO_TRK'!A268),_xlfn.TEXTAFTER('10 - Office Chairs-WUO_ERR'!A268, ":"))))</f>
        <v/>
      </c>
    </row>
    <row r="269">
      <c r="A269" s="39">
        <f>IF('10 - Office Chairs'!B269 = "", "", IF('10 - Office Chairs-WUO_ERR'!A269 = "", "Validated", HYPERLINK("#" &amp; ADDRESS(269, '10 - Office Chairs-WUO_TRK'!A269),_xlfn.TEXTAFTER('10 - Office Chairs-WUO_ERR'!A269, ":"))))</f>
        <v/>
      </c>
    </row>
    <row r="270">
      <c r="A270" s="39">
        <f>IF('10 - Office Chairs'!B270 = "", "", IF('10 - Office Chairs-WUO_ERR'!A270 = "", "Validated", HYPERLINK("#" &amp; ADDRESS(270, '10 - Office Chairs-WUO_TRK'!A270),_xlfn.TEXTAFTER('10 - Office Chairs-WUO_ERR'!A270, ":"))))</f>
        <v/>
      </c>
    </row>
    <row r="271">
      <c r="A271" s="39">
        <f>IF('10 - Office Chairs'!B271 = "", "", IF('10 - Office Chairs-WUO_ERR'!A271 = "", "Validated", HYPERLINK("#" &amp; ADDRESS(271, '10 - Office Chairs-WUO_TRK'!A271),_xlfn.TEXTAFTER('10 - Office Chairs-WUO_ERR'!A271, ":"))))</f>
        <v/>
      </c>
    </row>
    <row r="272">
      <c r="A272" s="39">
        <f>IF('10 - Office Chairs'!B272 = "", "", IF('10 - Office Chairs-WUO_ERR'!A272 = "", "Validated", HYPERLINK("#" &amp; ADDRESS(272, '10 - Office Chairs-WUO_TRK'!A272),_xlfn.TEXTAFTER('10 - Office Chairs-WUO_ERR'!A272, ":"))))</f>
        <v/>
      </c>
    </row>
    <row r="273">
      <c r="A273" s="39">
        <f>IF('10 - Office Chairs'!B273 = "", "", IF('10 - Office Chairs-WUO_ERR'!A273 = "", "Validated", HYPERLINK("#" &amp; ADDRESS(273, '10 - Office Chairs-WUO_TRK'!A273),_xlfn.TEXTAFTER('10 - Office Chairs-WUO_ERR'!A273, ":"))))</f>
        <v/>
      </c>
    </row>
    <row r="274">
      <c r="A274" s="39">
        <f>IF('10 - Office Chairs'!B274 = "", "", IF('10 - Office Chairs-WUO_ERR'!A274 = "", "Validated", HYPERLINK("#" &amp; ADDRESS(274, '10 - Office Chairs-WUO_TRK'!A274),_xlfn.TEXTAFTER('10 - Office Chairs-WUO_ERR'!A274, ":"))))</f>
        <v/>
      </c>
    </row>
    <row r="275">
      <c r="A275" s="39">
        <f>IF('10 - Office Chairs'!B275 = "", "", IF('10 - Office Chairs-WUO_ERR'!A275 = "", "Validated", HYPERLINK("#" &amp; ADDRESS(275, '10 - Office Chairs-WUO_TRK'!A275),_xlfn.TEXTAFTER('10 - Office Chairs-WUO_ERR'!A275, ":"))))</f>
        <v/>
      </c>
    </row>
    <row r="276">
      <c r="A276" s="39">
        <f>IF('10 - Office Chairs'!B276 = "", "", IF('10 - Office Chairs-WUO_ERR'!A276 = "", "Validated", HYPERLINK("#" &amp; ADDRESS(276, '10 - Office Chairs-WUO_TRK'!A276),_xlfn.TEXTAFTER('10 - Office Chairs-WUO_ERR'!A276, ":"))))</f>
        <v/>
      </c>
    </row>
    <row r="277">
      <c r="A277" s="39">
        <f>IF('10 - Office Chairs'!B277 = "", "", IF('10 - Office Chairs-WUO_ERR'!A277 = "", "Validated", HYPERLINK("#" &amp; ADDRESS(277, '10 - Office Chairs-WUO_TRK'!A277),_xlfn.TEXTAFTER('10 - Office Chairs-WUO_ERR'!A277, ":"))))</f>
        <v/>
      </c>
    </row>
    <row r="278">
      <c r="A278" s="39">
        <f>IF('10 - Office Chairs'!B278 = "", "", IF('10 - Office Chairs-WUO_ERR'!A278 = "", "Validated", HYPERLINK("#" &amp; ADDRESS(278, '10 - Office Chairs-WUO_TRK'!A278),_xlfn.TEXTAFTER('10 - Office Chairs-WUO_ERR'!A278, ":"))))</f>
        <v/>
      </c>
    </row>
    <row r="279">
      <c r="A279" s="39">
        <f>IF('10 - Office Chairs'!B279 = "", "", IF('10 - Office Chairs-WUO_ERR'!A279 = "", "Validated", HYPERLINK("#" &amp; ADDRESS(279, '10 - Office Chairs-WUO_TRK'!A279),_xlfn.TEXTAFTER('10 - Office Chairs-WUO_ERR'!A279, ":"))))</f>
        <v/>
      </c>
    </row>
    <row r="280">
      <c r="A280" s="39">
        <f>IF('10 - Office Chairs'!B280 = "", "", IF('10 - Office Chairs-WUO_ERR'!A280 = "", "Validated", HYPERLINK("#" &amp; ADDRESS(280, '10 - Office Chairs-WUO_TRK'!A280),_xlfn.TEXTAFTER('10 - Office Chairs-WUO_ERR'!A280, ":"))))</f>
        <v/>
      </c>
    </row>
    <row r="281">
      <c r="A281" s="39">
        <f>IF('10 - Office Chairs'!B281 = "", "", IF('10 - Office Chairs-WUO_ERR'!A281 = "", "Validated", HYPERLINK("#" &amp; ADDRESS(281, '10 - Office Chairs-WUO_TRK'!A281),_xlfn.TEXTAFTER('10 - Office Chairs-WUO_ERR'!A281, ":"))))</f>
        <v/>
      </c>
    </row>
    <row r="282">
      <c r="A282" s="39">
        <f>IF('10 - Office Chairs'!B282 = "", "", IF('10 - Office Chairs-WUO_ERR'!A282 = "", "Validated", HYPERLINK("#" &amp; ADDRESS(282, '10 - Office Chairs-WUO_TRK'!A282),_xlfn.TEXTAFTER('10 - Office Chairs-WUO_ERR'!A282, ":"))))</f>
        <v/>
      </c>
    </row>
    <row r="283">
      <c r="A283" s="39">
        <f>IF('10 - Office Chairs'!B283 = "", "", IF('10 - Office Chairs-WUO_ERR'!A283 = "", "Validated", HYPERLINK("#" &amp; ADDRESS(283, '10 - Office Chairs-WUO_TRK'!A283),_xlfn.TEXTAFTER('10 - Office Chairs-WUO_ERR'!A283, ":"))))</f>
        <v/>
      </c>
    </row>
    <row r="284">
      <c r="A284" s="39">
        <f>IF('10 - Office Chairs'!B284 = "", "", IF('10 - Office Chairs-WUO_ERR'!A284 = "", "Validated", HYPERLINK("#" &amp; ADDRESS(284, '10 - Office Chairs-WUO_TRK'!A284),_xlfn.TEXTAFTER('10 - Office Chairs-WUO_ERR'!A284, ":"))))</f>
        <v/>
      </c>
    </row>
    <row r="285">
      <c r="A285" s="39">
        <f>IF('10 - Office Chairs'!B285 = "", "", IF('10 - Office Chairs-WUO_ERR'!A285 = "", "Validated", HYPERLINK("#" &amp; ADDRESS(285, '10 - Office Chairs-WUO_TRK'!A285),_xlfn.TEXTAFTER('10 - Office Chairs-WUO_ERR'!A285, ":"))))</f>
        <v/>
      </c>
    </row>
    <row r="286">
      <c r="A286" s="39">
        <f>IF('10 - Office Chairs'!B286 = "", "", IF('10 - Office Chairs-WUO_ERR'!A286 = "", "Validated", HYPERLINK("#" &amp; ADDRESS(286, '10 - Office Chairs-WUO_TRK'!A286),_xlfn.TEXTAFTER('10 - Office Chairs-WUO_ERR'!A286, ":"))))</f>
        <v/>
      </c>
    </row>
    <row r="287">
      <c r="A287" s="39">
        <f>IF('10 - Office Chairs'!B287 = "", "", IF('10 - Office Chairs-WUO_ERR'!A287 = "", "Validated", HYPERLINK("#" &amp; ADDRESS(287, '10 - Office Chairs-WUO_TRK'!A287),_xlfn.TEXTAFTER('10 - Office Chairs-WUO_ERR'!A287, ":"))))</f>
        <v/>
      </c>
    </row>
    <row r="288">
      <c r="A288" s="39">
        <f>IF('10 - Office Chairs'!B288 = "", "", IF('10 - Office Chairs-WUO_ERR'!A288 = "", "Validated", HYPERLINK("#" &amp; ADDRESS(288, '10 - Office Chairs-WUO_TRK'!A288),_xlfn.TEXTAFTER('10 - Office Chairs-WUO_ERR'!A288, ":"))))</f>
        <v/>
      </c>
    </row>
    <row r="289">
      <c r="A289" s="39">
        <f>IF('10 - Office Chairs'!B289 = "", "", IF('10 - Office Chairs-WUO_ERR'!A289 = "", "Validated", HYPERLINK("#" &amp; ADDRESS(289, '10 - Office Chairs-WUO_TRK'!A289),_xlfn.TEXTAFTER('10 - Office Chairs-WUO_ERR'!A289, ":"))))</f>
        <v/>
      </c>
    </row>
    <row r="290">
      <c r="A290" s="39">
        <f>IF('10 - Office Chairs'!B290 = "", "", IF('10 - Office Chairs-WUO_ERR'!A290 = "", "Validated", HYPERLINK("#" &amp; ADDRESS(290, '10 - Office Chairs-WUO_TRK'!A290),_xlfn.TEXTAFTER('10 - Office Chairs-WUO_ERR'!A290, ":"))))</f>
        <v/>
      </c>
    </row>
    <row r="291">
      <c r="A291" s="39">
        <f>IF('10 - Office Chairs'!B291 = "", "", IF('10 - Office Chairs-WUO_ERR'!A291 = "", "Validated", HYPERLINK("#" &amp; ADDRESS(291, '10 - Office Chairs-WUO_TRK'!A291),_xlfn.TEXTAFTER('10 - Office Chairs-WUO_ERR'!A291, ":"))))</f>
        <v/>
      </c>
    </row>
    <row r="292">
      <c r="A292" s="39">
        <f>IF('10 - Office Chairs'!B292 = "", "", IF('10 - Office Chairs-WUO_ERR'!A292 = "", "Validated", HYPERLINK("#" &amp; ADDRESS(292, '10 - Office Chairs-WUO_TRK'!A292),_xlfn.TEXTAFTER('10 - Office Chairs-WUO_ERR'!A292, ":"))))</f>
        <v/>
      </c>
    </row>
    <row r="293">
      <c r="A293" s="39">
        <f>IF('10 - Office Chairs'!B293 = "", "", IF('10 - Office Chairs-WUO_ERR'!A293 = "", "Validated", HYPERLINK("#" &amp; ADDRESS(293, '10 - Office Chairs-WUO_TRK'!A293),_xlfn.TEXTAFTER('10 - Office Chairs-WUO_ERR'!A293, ":"))))</f>
        <v/>
      </c>
    </row>
    <row r="294">
      <c r="A294" s="39">
        <f>IF('10 - Office Chairs'!B294 = "", "", IF('10 - Office Chairs-WUO_ERR'!A294 = "", "Validated", HYPERLINK("#" &amp; ADDRESS(294, '10 - Office Chairs-WUO_TRK'!A294),_xlfn.TEXTAFTER('10 - Office Chairs-WUO_ERR'!A294, ":"))))</f>
        <v/>
      </c>
    </row>
    <row r="295">
      <c r="A295" s="39">
        <f>IF('10 - Office Chairs'!B295 = "", "", IF('10 - Office Chairs-WUO_ERR'!A295 = "", "Validated", HYPERLINK("#" &amp; ADDRESS(295, '10 - Office Chairs-WUO_TRK'!A295),_xlfn.TEXTAFTER('10 - Office Chairs-WUO_ERR'!A295, ":"))))</f>
        <v/>
      </c>
    </row>
    <row r="296">
      <c r="A296" s="39">
        <f>IF('10 - Office Chairs'!B296 = "", "", IF('10 - Office Chairs-WUO_ERR'!A296 = "", "Validated", HYPERLINK("#" &amp; ADDRESS(296, '10 - Office Chairs-WUO_TRK'!A296),_xlfn.TEXTAFTER('10 - Office Chairs-WUO_ERR'!A296, ":"))))</f>
        <v/>
      </c>
    </row>
    <row r="297">
      <c r="A297" s="39">
        <f>IF('10 - Office Chairs'!B297 = "", "", IF('10 - Office Chairs-WUO_ERR'!A297 = "", "Validated", HYPERLINK("#" &amp; ADDRESS(297, '10 - Office Chairs-WUO_TRK'!A297),_xlfn.TEXTAFTER('10 - Office Chairs-WUO_ERR'!A297, ":"))))</f>
        <v/>
      </c>
    </row>
    <row r="298">
      <c r="A298" s="39">
        <f>IF('10 - Office Chairs'!B298 = "", "", IF('10 - Office Chairs-WUO_ERR'!A298 = "", "Validated", HYPERLINK("#" &amp; ADDRESS(298, '10 - Office Chairs-WUO_TRK'!A298),_xlfn.TEXTAFTER('10 - Office Chairs-WUO_ERR'!A298, ":"))))</f>
        <v/>
      </c>
    </row>
    <row r="299">
      <c r="A299" s="39">
        <f>IF('10 - Office Chairs'!B299 = "", "", IF('10 - Office Chairs-WUO_ERR'!A299 = "", "Validated", HYPERLINK("#" &amp; ADDRESS(299, '10 - Office Chairs-WUO_TRK'!A299),_xlfn.TEXTAFTER('10 - Office Chairs-WUO_ERR'!A299, ":"))))</f>
        <v/>
      </c>
    </row>
    <row r="300">
      <c r="A300" s="39">
        <f>IF('10 - Office Chairs'!B300 = "", "", IF('10 - Office Chairs-WUO_ERR'!A300 = "", "Validated", HYPERLINK("#" &amp; ADDRESS(300, '10 - Office Chairs-WUO_TRK'!A300),_xlfn.TEXTAFTER('10 - Office Chairs-WUO_ERR'!A300, ":"))))</f>
        <v/>
      </c>
    </row>
    <row r="301">
      <c r="A301" s="39">
        <f>IF('10 - Office Chairs'!B301 = "", "", IF('10 - Office Chairs-WUO_ERR'!A301 = "", "Validated", HYPERLINK("#" &amp; ADDRESS(301, '10 - Office Chairs-WUO_TRK'!A301),_xlfn.TEXTAFTER('10 - Office Chairs-WUO_ERR'!A301, ":"))))</f>
        <v/>
      </c>
    </row>
    <row r="302">
      <c r="A302" s="39">
        <f>IF('10 - Office Chairs'!B302 = "", "", IF('10 - Office Chairs-WUO_ERR'!A302 = "", "Validated", HYPERLINK("#" &amp; ADDRESS(302, '10 - Office Chairs-WUO_TRK'!A302),_xlfn.TEXTAFTER('10 - Office Chairs-WUO_ERR'!A302, ":"))))</f>
        <v/>
      </c>
    </row>
    <row r="303">
      <c r="A303" s="39">
        <f>IF('10 - Office Chairs'!B303 = "", "", IF('10 - Office Chairs-WUO_ERR'!A303 = "", "Validated", HYPERLINK("#" &amp; ADDRESS(303, '10 - Office Chairs-WUO_TRK'!A303),_xlfn.TEXTAFTER('10 - Office Chairs-WUO_ERR'!A303, ":"))))</f>
        <v/>
      </c>
    </row>
    <row r="304">
      <c r="A304" s="39">
        <f>IF('10 - Office Chairs'!B304 = "", "", IF('10 - Office Chairs-WUO_ERR'!A304 = "", "Validated", HYPERLINK("#" &amp; ADDRESS(304, '10 - Office Chairs-WUO_TRK'!A304),_xlfn.TEXTAFTER('10 - Office Chairs-WUO_ERR'!A304, ":"))))</f>
        <v/>
      </c>
    </row>
    <row r="305">
      <c r="A305" s="39">
        <f>IF('10 - Office Chairs'!B305 = "", "", IF('10 - Office Chairs-WUO_ERR'!A305 = "", "Validated", HYPERLINK("#" &amp; ADDRESS(305, '10 - Office Chairs-WUO_TRK'!A305),_xlfn.TEXTAFTER('10 - Office Chairs-WUO_ERR'!A305, ":"))))</f>
        <v/>
      </c>
    </row>
    <row r="306">
      <c r="A306" s="39">
        <f>IF('10 - Office Chairs'!B306 = "", "", IF('10 - Office Chairs-WUO_ERR'!A306 = "", "Validated", HYPERLINK("#" &amp; ADDRESS(306, '10 - Office Chairs-WUO_TRK'!A306),_xlfn.TEXTAFTER('10 - Office Chairs-WUO_ERR'!A306, ":"))))</f>
        <v/>
      </c>
    </row>
    <row r="307">
      <c r="A307" s="39">
        <f>IF('10 - Office Chairs'!B307 = "", "", IF('10 - Office Chairs-WUO_ERR'!A307 = "", "Validated", HYPERLINK("#" &amp; ADDRESS(307, '10 - Office Chairs-WUO_TRK'!A307),_xlfn.TEXTAFTER('10 - Office Chairs-WUO_ERR'!A307, ":"))))</f>
        <v/>
      </c>
    </row>
    <row r="308">
      <c r="A308" s="39">
        <f>IF('10 - Office Chairs'!B308 = "", "", IF('10 - Office Chairs-WUO_ERR'!A308 = "", "Validated", HYPERLINK("#" &amp; ADDRESS(308, '10 - Office Chairs-WUO_TRK'!A308),_xlfn.TEXTAFTER('10 - Office Chairs-WUO_ERR'!A308, ":"))))</f>
        <v/>
      </c>
    </row>
    <row r="309">
      <c r="A309" s="39">
        <f>IF('10 - Office Chairs'!B309 = "", "", IF('10 - Office Chairs-WUO_ERR'!A309 = "", "Validated", HYPERLINK("#" &amp; ADDRESS(309, '10 - Office Chairs-WUO_TRK'!A309),_xlfn.TEXTAFTER('10 - Office Chairs-WUO_ERR'!A309, ":"))))</f>
        <v/>
      </c>
    </row>
    <row r="310">
      <c r="A310" s="39">
        <f>IF('10 - Office Chairs'!B310 = "", "", IF('10 - Office Chairs-WUO_ERR'!A310 = "", "Validated", HYPERLINK("#" &amp; ADDRESS(310, '10 - Office Chairs-WUO_TRK'!A310),_xlfn.TEXTAFTER('10 - Office Chairs-WUO_ERR'!A310, ":"))))</f>
        <v/>
      </c>
    </row>
    <row r="311">
      <c r="A311" s="39">
        <f>IF('10 - Office Chairs'!B311 = "", "", IF('10 - Office Chairs-WUO_ERR'!A311 = "", "Validated", HYPERLINK("#" &amp; ADDRESS(311, '10 - Office Chairs-WUO_TRK'!A311),_xlfn.TEXTAFTER('10 - Office Chairs-WUO_ERR'!A311, ":"))))</f>
        <v/>
      </c>
    </row>
    <row r="312">
      <c r="A312" s="39">
        <f>IF('10 - Office Chairs'!B312 = "", "", IF('10 - Office Chairs-WUO_ERR'!A312 = "", "Validated", HYPERLINK("#" &amp; ADDRESS(312, '10 - Office Chairs-WUO_TRK'!A312),_xlfn.TEXTAFTER('10 - Office Chairs-WUO_ERR'!A312, ":"))))</f>
        <v/>
      </c>
    </row>
    <row r="313">
      <c r="A313" s="39">
        <f>IF('10 - Office Chairs'!B313 = "", "", IF('10 - Office Chairs-WUO_ERR'!A313 = "", "Validated", HYPERLINK("#" &amp; ADDRESS(313, '10 - Office Chairs-WUO_TRK'!A313),_xlfn.TEXTAFTER('10 - Office Chairs-WUO_ERR'!A313, ":"))))</f>
        <v/>
      </c>
    </row>
    <row r="314">
      <c r="A314" s="39">
        <f>IF('10 - Office Chairs'!B314 = "", "", IF('10 - Office Chairs-WUO_ERR'!A314 = "", "Validated", HYPERLINK("#" &amp; ADDRESS(314, '10 - Office Chairs-WUO_TRK'!A314),_xlfn.TEXTAFTER('10 - Office Chairs-WUO_ERR'!A314, ":"))))</f>
        <v/>
      </c>
    </row>
    <row r="315">
      <c r="A315" s="39">
        <f>IF('10 - Office Chairs'!B315 = "", "", IF('10 - Office Chairs-WUO_ERR'!A315 = "", "Validated", HYPERLINK("#" &amp; ADDRESS(315, '10 - Office Chairs-WUO_TRK'!A315),_xlfn.TEXTAFTER('10 - Office Chairs-WUO_ERR'!A315, ":"))))</f>
        <v/>
      </c>
    </row>
    <row r="316">
      <c r="A316" s="39">
        <f>IF('10 - Office Chairs'!B316 = "", "", IF('10 - Office Chairs-WUO_ERR'!A316 = "", "Validated", HYPERLINK("#" &amp; ADDRESS(316, '10 - Office Chairs-WUO_TRK'!A316),_xlfn.TEXTAFTER('10 - Office Chairs-WUO_ERR'!A316, ":"))))</f>
        <v/>
      </c>
    </row>
    <row r="317">
      <c r="A317" s="39">
        <f>IF('10 - Office Chairs'!B317 = "", "", IF('10 - Office Chairs-WUO_ERR'!A317 = "", "Validated", HYPERLINK("#" &amp; ADDRESS(317, '10 - Office Chairs-WUO_TRK'!A317),_xlfn.TEXTAFTER('10 - Office Chairs-WUO_ERR'!A317, ":"))))</f>
        <v/>
      </c>
    </row>
    <row r="318">
      <c r="A318" s="39">
        <f>IF('10 - Office Chairs'!B318 = "", "", IF('10 - Office Chairs-WUO_ERR'!A318 = "", "Validated", HYPERLINK("#" &amp; ADDRESS(318, '10 - Office Chairs-WUO_TRK'!A318),_xlfn.TEXTAFTER('10 - Office Chairs-WUO_ERR'!A318, ":"))))</f>
        <v/>
      </c>
    </row>
    <row r="319">
      <c r="A319" s="39">
        <f>IF('10 - Office Chairs'!B319 = "", "", IF('10 - Office Chairs-WUO_ERR'!A319 = "", "Validated", HYPERLINK("#" &amp; ADDRESS(319, '10 - Office Chairs-WUO_TRK'!A319),_xlfn.TEXTAFTER('10 - Office Chairs-WUO_ERR'!A319, ":"))))</f>
        <v/>
      </c>
    </row>
    <row r="320">
      <c r="A320" s="39">
        <f>IF('10 - Office Chairs'!B320 = "", "", IF('10 - Office Chairs-WUO_ERR'!A320 = "", "Validated", HYPERLINK("#" &amp; ADDRESS(320, '10 - Office Chairs-WUO_TRK'!A320),_xlfn.TEXTAFTER('10 - Office Chairs-WUO_ERR'!A320, ":"))))</f>
        <v/>
      </c>
    </row>
    <row r="321">
      <c r="A321" s="39">
        <f>IF('10 - Office Chairs'!B321 = "", "", IF('10 - Office Chairs-WUO_ERR'!A321 = "", "Validated", HYPERLINK("#" &amp; ADDRESS(321, '10 - Office Chairs-WUO_TRK'!A321),_xlfn.TEXTAFTER('10 - Office Chairs-WUO_ERR'!A321, ":"))))</f>
        <v/>
      </c>
    </row>
    <row r="322">
      <c r="A322" s="39">
        <f>IF('10 - Office Chairs'!B322 = "", "", IF('10 - Office Chairs-WUO_ERR'!A322 = "", "Validated", HYPERLINK("#" &amp; ADDRESS(322, '10 - Office Chairs-WUO_TRK'!A322),_xlfn.TEXTAFTER('10 - Office Chairs-WUO_ERR'!A322, ":"))))</f>
        <v/>
      </c>
    </row>
    <row r="323">
      <c r="A323" s="39">
        <f>IF('10 - Office Chairs'!B323 = "", "", IF('10 - Office Chairs-WUO_ERR'!A323 = "", "Validated", HYPERLINK("#" &amp; ADDRESS(323, '10 - Office Chairs-WUO_TRK'!A323),_xlfn.TEXTAFTER('10 - Office Chairs-WUO_ERR'!A323, ":"))))</f>
        <v/>
      </c>
    </row>
    <row r="324">
      <c r="A324" s="39">
        <f>IF('10 - Office Chairs'!B324 = "", "", IF('10 - Office Chairs-WUO_ERR'!A324 = "", "Validated", HYPERLINK("#" &amp; ADDRESS(324, '10 - Office Chairs-WUO_TRK'!A324),_xlfn.TEXTAFTER('10 - Office Chairs-WUO_ERR'!A324, ":"))))</f>
        <v/>
      </c>
    </row>
    <row r="325">
      <c r="A325" s="39">
        <f>IF('10 - Office Chairs'!B325 = "", "", IF('10 - Office Chairs-WUO_ERR'!A325 = "", "Validated", HYPERLINK("#" &amp; ADDRESS(325, '10 - Office Chairs-WUO_TRK'!A325),_xlfn.TEXTAFTER('10 - Office Chairs-WUO_ERR'!A325, ":"))))</f>
        <v/>
      </c>
    </row>
    <row r="326">
      <c r="A326" s="39">
        <f>IF('10 - Office Chairs'!B326 = "", "", IF('10 - Office Chairs-WUO_ERR'!A326 = "", "Validated", HYPERLINK("#" &amp; ADDRESS(326, '10 - Office Chairs-WUO_TRK'!A326),_xlfn.TEXTAFTER('10 - Office Chairs-WUO_ERR'!A326, ":"))))</f>
        <v/>
      </c>
    </row>
    <row r="327">
      <c r="A327" s="39">
        <f>IF('10 - Office Chairs'!B327 = "", "", IF('10 - Office Chairs-WUO_ERR'!A327 = "", "Validated", HYPERLINK("#" &amp; ADDRESS(327, '10 - Office Chairs-WUO_TRK'!A327),_xlfn.TEXTAFTER('10 - Office Chairs-WUO_ERR'!A327, ":"))))</f>
        <v/>
      </c>
    </row>
    <row r="328">
      <c r="A328" s="39">
        <f>IF('10 - Office Chairs'!B328 = "", "", IF('10 - Office Chairs-WUO_ERR'!A328 = "", "Validated", HYPERLINK("#" &amp; ADDRESS(328, '10 - Office Chairs-WUO_TRK'!A328),_xlfn.TEXTAFTER('10 - Office Chairs-WUO_ERR'!A328, ":"))))</f>
        <v/>
      </c>
    </row>
    <row r="329">
      <c r="A329" s="39">
        <f>IF('10 - Office Chairs'!B329 = "", "", IF('10 - Office Chairs-WUO_ERR'!A329 = "", "Validated", HYPERLINK("#" &amp; ADDRESS(329, '10 - Office Chairs-WUO_TRK'!A329),_xlfn.TEXTAFTER('10 - Office Chairs-WUO_ERR'!A329, ":"))))</f>
        <v/>
      </c>
    </row>
    <row r="330">
      <c r="A330" s="39">
        <f>IF('10 - Office Chairs'!B330 = "", "", IF('10 - Office Chairs-WUO_ERR'!A330 = "", "Validated", HYPERLINK("#" &amp; ADDRESS(330, '10 - Office Chairs-WUO_TRK'!A330),_xlfn.TEXTAFTER('10 - Office Chairs-WUO_ERR'!A330, ":"))))</f>
        <v/>
      </c>
    </row>
    <row r="331">
      <c r="A331" s="39">
        <f>IF('10 - Office Chairs'!B331 = "", "", IF('10 - Office Chairs-WUO_ERR'!A331 = "", "Validated", HYPERLINK("#" &amp; ADDRESS(331, '10 - Office Chairs-WUO_TRK'!A331),_xlfn.TEXTAFTER('10 - Office Chairs-WUO_ERR'!A331, ":"))))</f>
        <v/>
      </c>
    </row>
    <row r="332">
      <c r="A332" s="39">
        <f>IF('10 - Office Chairs'!B332 = "", "", IF('10 - Office Chairs-WUO_ERR'!A332 = "", "Validated", HYPERLINK("#" &amp; ADDRESS(332, '10 - Office Chairs-WUO_TRK'!A332),_xlfn.TEXTAFTER('10 - Office Chairs-WUO_ERR'!A332, ":"))))</f>
        <v/>
      </c>
    </row>
    <row r="333">
      <c r="A333" s="39">
        <f>IF('10 - Office Chairs'!B333 = "", "", IF('10 - Office Chairs-WUO_ERR'!A333 = "", "Validated", HYPERLINK("#" &amp; ADDRESS(333, '10 - Office Chairs-WUO_TRK'!A333),_xlfn.TEXTAFTER('10 - Office Chairs-WUO_ERR'!A333, ":"))))</f>
        <v/>
      </c>
    </row>
    <row r="334">
      <c r="A334" s="39">
        <f>IF('10 - Office Chairs'!B334 = "", "", IF('10 - Office Chairs-WUO_ERR'!A334 = "", "Validated", HYPERLINK("#" &amp; ADDRESS(334, '10 - Office Chairs-WUO_TRK'!A334),_xlfn.TEXTAFTER('10 - Office Chairs-WUO_ERR'!A334, ":"))))</f>
        <v/>
      </c>
    </row>
    <row r="335">
      <c r="A335" s="39">
        <f>IF('10 - Office Chairs'!B335 = "", "", IF('10 - Office Chairs-WUO_ERR'!A335 = "", "Validated", HYPERLINK("#" &amp; ADDRESS(335, '10 - Office Chairs-WUO_TRK'!A335),_xlfn.TEXTAFTER('10 - Office Chairs-WUO_ERR'!A335, ":"))))</f>
        <v/>
      </c>
    </row>
    <row r="336">
      <c r="A336" s="39">
        <f>IF('10 - Office Chairs'!B336 = "", "", IF('10 - Office Chairs-WUO_ERR'!A336 = "", "Validated", HYPERLINK("#" &amp; ADDRESS(336, '10 - Office Chairs-WUO_TRK'!A336),_xlfn.TEXTAFTER('10 - Office Chairs-WUO_ERR'!A336, ":"))))</f>
        <v/>
      </c>
    </row>
    <row r="337">
      <c r="A337" s="39">
        <f>IF('10 - Office Chairs'!B337 = "", "", IF('10 - Office Chairs-WUO_ERR'!A337 = "", "Validated", HYPERLINK("#" &amp; ADDRESS(337, '10 - Office Chairs-WUO_TRK'!A337),_xlfn.TEXTAFTER('10 - Office Chairs-WUO_ERR'!A337, ":"))))</f>
        <v/>
      </c>
    </row>
    <row r="338">
      <c r="A338" s="39">
        <f>IF('10 - Office Chairs'!B338 = "", "", IF('10 - Office Chairs-WUO_ERR'!A338 = "", "Validated", HYPERLINK("#" &amp; ADDRESS(338, '10 - Office Chairs-WUO_TRK'!A338),_xlfn.TEXTAFTER('10 - Office Chairs-WUO_ERR'!A338, ":"))))</f>
        <v/>
      </c>
    </row>
    <row r="339">
      <c r="A339" s="39">
        <f>IF('10 - Office Chairs'!B339 = "", "", IF('10 - Office Chairs-WUO_ERR'!A339 = "", "Validated", HYPERLINK("#" &amp; ADDRESS(339, '10 - Office Chairs-WUO_TRK'!A339),_xlfn.TEXTAFTER('10 - Office Chairs-WUO_ERR'!A339, ":"))))</f>
        <v/>
      </c>
    </row>
    <row r="340">
      <c r="A340" s="39">
        <f>IF('10 - Office Chairs'!B340 = "", "", IF('10 - Office Chairs-WUO_ERR'!A340 = "", "Validated", HYPERLINK("#" &amp; ADDRESS(340, '10 - Office Chairs-WUO_TRK'!A340),_xlfn.TEXTAFTER('10 - Office Chairs-WUO_ERR'!A340, ":"))))</f>
        <v/>
      </c>
    </row>
    <row r="341">
      <c r="A341" s="39">
        <f>IF('10 - Office Chairs'!B341 = "", "", IF('10 - Office Chairs-WUO_ERR'!A341 = "", "Validated", HYPERLINK("#" &amp; ADDRESS(341, '10 - Office Chairs-WUO_TRK'!A341),_xlfn.TEXTAFTER('10 - Office Chairs-WUO_ERR'!A341, ":"))))</f>
        <v/>
      </c>
    </row>
    <row r="342">
      <c r="A342" s="39">
        <f>IF('10 - Office Chairs'!B342 = "", "", IF('10 - Office Chairs-WUO_ERR'!A342 = "", "Validated", HYPERLINK("#" &amp; ADDRESS(342, '10 - Office Chairs-WUO_TRK'!A342),_xlfn.TEXTAFTER('10 - Office Chairs-WUO_ERR'!A342, ":"))))</f>
        <v/>
      </c>
    </row>
    <row r="343">
      <c r="A343" s="39">
        <f>IF('10 - Office Chairs'!B343 = "", "", IF('10 - Office Chairs-WUO_ERR'!A343 = "", "Validated", HYPERLINK("#" &amp; ADDRESS(343, '10 - Office Chairs-WUO_TRK'!A343),_xlfn.TEXTAFTER('10 - Office Chairs-WUO_ERR'!A343, ":"))))</f>
        <v/>
      </c>
    </row>
    <row r="344">
      <c r="A344" s="39">
        <f>IF('10 - Office Chairs'!B344 = "", "", IF('10 - Office Chairs-WUO_ERR'!A344 = "", "Validated", HYPERLINK("#" &amp; ADDRESS(344, '10 - Office Chairs-WUO_TRK'!A344),_xlfn.TEXTAFTER('10 - Office Chairs-WUO_ERR'!A344, ":"))))</f>
        <v/>
      </c>
    </row>
    <row r="345">
      <c r="A345" s="39">
        <f>IF('10 - Office Chairs'!B345 = "", "", IF('10 - Office Chairs-WUO_ERR'!A345 = "", "Validated", HYPERLINK("#" &amp; ADDRESS(345, '10 - Office Chairs-WUO_TRK'!A345),_xlfn.TEXTAFTER('10 - Office Chairs-WUO_ERR'!A345, ":"))))</f>
        <v/>
      </c>
    </row>
    <row r="346">
      <c r="A346" s="39">
        <f>IF('10 - Office Chairs'!B346 = "", "", IF('10 - Office Chairs-WUO_ERR'!A346 = "", "Validated", HYPERLINK("#" &amp; ADDRESS(346, '10 - Office Chairs-WUO_TRK'!A346),_xlfn.TEXTAFTER('10 - Office Chairs-WUO_ERR'!A346, ":"))))</f>
        <v/>
      </c>
    </row>
    <row r="347">
      <c r="A347" s="39">
        <f>IF('10 - Office Chairs'!B347 = "", "", IF('10 - Office Chairs-WUO_ERR'!A347 = "", "Validated", HYPERLINK("#" &amp; ADDRESS(347, '10 - Office Chairs-WUO_TRK'!A347),_xlfn.TEXTAFTER('10 - Office Chairs-WUO_ERR'!A347, ":"))))</f>
        <v/>
      </c>
    </row>
    <row r="348">
      <c r="A348" s="39">
        <f>IF('10 - Office Chairs'!B348 = "", "", IF('10 - Office Chairs-WUO_ERR'!A348 = "", "Validated", HYPERLINK("#" &amp; ADDRESS(348, '10 - Office Chairs-WUO_TRK'!A348),_xlfn.TEXTAFTER('10 - Office Chairs-WUO_ERR'!A348, ":"))))</f>
        <v/>
      </c>
    </row>
    <row r="349">
      <c r="A349" s="39">
        <f>IF('10 - Office Chairs'!B349 = "", "", IF('10 - Office Chairs-WUO_ERR'!A349 = "", "Validated", HYPERLINK("#" &amp; ADDRESS(349, '10 - Office Chairs-WUO_TRK'!A349),_xlfn.TEXTAFTER('10 - Office Chairs-WUO_ERR'!A349, ":"))))</f>
        <v/>
      </c>
    </row>
    <row r="350">
      <c r="A350" s="39">
        <f>IF('10 - Office Chairs'!B350 = "", "", IF('10 - Office Chairs-WUO_ERR'!A350 = "", "Validated", HYPERLINK("#" &amp; ADDRESS(350, '10 - Office Chairs-WUO_TRK'!A350),_xlfn.TEXTAFTER('10 - Office Chairs-WUO_ERR'!A350, ":"))))</f>
        <v/>
      </c>
    </row>
    <row r="351">
      <c r="A351" s="39">
        <f>IF('10 - Office Chairs'!B351 = "", "", IF('10 - Office Chairs-WUO_ERR'!A351 = "", "Validated", HYPERLINK("#" &amp; ADDRESS(351, '10 - Office Chairs-WUO_TRK'!A351),_xlfn.TEXTAFTER('10 - Office Chairs-WUO_ERR'!A351, ":"))))</f>
        <v/>
      </c>
    </row>
    <row r="352">
      <c r="A352" s="39">
        <f>IF('10 - Office Chairs'!B352 = "", "", IF('10 - Office Chairs-WUO_ERR'!A352 = "", "Validated", HYPERLINK("#" &amp; ADDRESS(352, '10 - Office Chairs-WUO_TRK'!A352),_xlfn.TEXTAFTER('10 - Office Chairs-WUO_ERR'!A352, ":"))))</f>
        <v/>
      </c>
    </row>
    <row r="353">
      <c r="A353" s="39">
        <f>IF('10 - Office Chairs'!B353 = "", "", IF('10 - Office Chairs-WUO_ERR'!A353 = "", "Validated", HYPERLINK("#" &amp; ADDRESS(353, '10 - Office Chairs-WUO_TRK'!A353),_xlfn.TEXTAFTER('10 - Office Chairs-WUO_ERR'!A353, ":"))))</f>
        <v/>
      </c>
    </row>
    <row r="354">
      <c r="A354" s="39">
        <f>IF('10 - Office Chairs'!B354 = "", "", IF('10 - Office Chairs-WUO_ERR'!A354 = "", "Validated", HYPERLINK("#" &amp; ADDRESS(354, '10 - Office Chairs-WUO_TRK'!A354),_xlfn.TEXTAFTER('10 - Office Chairs-WUO_ERR'!A354, ":"))))</f>
        <v/>
      </c>
    </row>
    <row r="355">
      <c r="A355" s="39">
        <f>IF('10 - Office Chairs'!B355 = "", "", IF('10 - Office Chairs-WUO_ERR'!A355 = "", "Validated", HYPERLINK("#" &amp; ADDRESS(355, '10 - Office Chairs-WUO_TRK'!A355),_xlfn.TEXTAFTER('10 - Office Chairs-WUO_ERR'!A355, ":"))))</f>
        <v/>
      </c>
    </row>
    <row r="356">
      <c r="A356" s="39">
        <f>IF('10 - Office Chairs'!B356 = "", "", IF('10 - Office Chairs-WUO_ERR'!A356 = "", "Validated", HYPERLINK("#" &amp; ADDRESS(356, '10 - Office Chairs-WUO_TRK'!A356),_xlfn.TEXTAFTER('10 - Office Chairs-WUO_ERR'!A356, ":"))))</f>
        <v/>
      </c>
    </row>
    <row r="357">
      <c r="A357" s="39">
        <f>IF('10 - Office Chairs'!B357 = "", "", IF('10 - Office Chairs-WUO_ERR'!A357 = "", "Validated", HYPERLINK("#" &amp; ADDRESS(357, '10 - Office Chairs-WUO_TRK'!A357),_xlfn.TEXTAFTER('10 - Office Chairs-WUO_ERR'!A357, ":"))))</f>
        <v/>
      </c>
    </row>
    <row r="358">
      <c r="A358" s="39">
        <f>IF('10 - Office Chairs'!B358 = "", "", IF('10 - Office Chairs-WUO_ERR'!A358 = "", "Validated", HYPERLINK("#" &amp; ADDRESS(358, '10 - Office Chairs-WUO_TRK'!A358),_xlfn.TEXTAFTER('10 - Office Chairs-WUO_ERR'!A358, ":"))))</f>
        <v/>
      </c>
    </row>
    <row r="359">
      <c r="A359" s="39">
        <f>IF('10 - Office Chairs'!B359 = "", "", IF('10 - Office Chairs-WUO_ERR'!A359 = "", "Validated", HYPERLINK("#" &amp; ADDRESS(359, '10 - Office Chairs-WUO_TRK'!A359),_xlfn.TEXTAFTER('10 - Office Chairs-WUO_ERR'!A359, ":"))))</f>
        <v/>
      </c>
    </row>
    <row r="360">
      <c r="A360" s="39">
        <f>IF('10 - Office Chairs'!B360 = "", "", IF('10 - Office Chairs-WUO_ERR'!A360 = "", "Validated", HYPERLINK("#" &amp; ADDRESS(360, '10 - Office Chairs-WUO_TRK'!A360),_xlfn.TEXTAFTER('10 - Office Chairs-WUO_ERR'!A360, ":"))))</f>
        <v/>
      </c>
    </row>
    <row r="361">
      <c r="A361" s="39">
        <f>IF('10 - Office Chairs'!B361 = "", "", IF('10 - Office Chairs-WUO_ERR'!A361 = "", "Validated", HYPERLINK("#" &amp; ADDRESS(361, '10 - Office Chairs-WUO_TRK'!A361),_xlfn.TEXTAFTER('10 - Office Chairs-WUO_ERR'!A361, ":"))))</f>
        <v/>
      </c>
    </row>
    <row r="362">
      <c r="A362" s="39">
        <f>IF('10 - Office Chairs'!B362 = "", "", IF('10 - Office Chairs-WUO_ERR'!A362 = "", "Validated", HYPERLINK("#" &amp; ADDRESS(362, '10 - Office Chairs-WUO_TRK'!A362),_xlfn.TEXTAFTER('10 - Office Chairs-WUO_ERR'!A362, ":"))))</f>
        <v/>
      </c>
    </row>
    <row r="363">
      <c r="A363" s="39">
        <f>IF('10 - Office Chairs'!B363 = "", "", IF('10 - Office Chairs-WUO_ERR'!A363 = "", "Validated", HYPERLINK("#" &amp; ADDRESS(363, '10 - Office Chairs-WUO_TRK'!A363),_xlfn.TEXTAFTER('10 - Office Chairs-WUO_ERR'!A363, ":"))))</f>
        <v/>
      </c>
    </row>
    <row r="364">
      <c r="A364" s="39">
        <f>IF('10 - Office Chairs'!B364 = "", "", IF('10 - Office Chairs-WUO_ERR'!A364 = "", "Validated", HYPERLINK("#" &amp; ADDRESS(364, '10 - Office Chairs-WUO_TRK'!A364),_xlfn.TEXTAFTER('10 - Office Chairs-WUO_ERR'!A364, ":"))))</f>
        <v/>
      </c>
    </row>
    <row r="365">
      <c r="A365" s="39">
        <f>IF('10 - Office Chairs'!B365 = "", "", IF('10 - Office Chairs-WUO_ERR'!A365 = "", "Validated", HYPERLINK("#" &amp; ADDRESS(365, '10 - Office Chairs-WUO_TRK'!A365),_xlfn.TEXTAFTER('10 - Office Chairs-WUO_ERR'!A365, ":"))))</f>
        <v/>
      </c>
    </row>
    <row r="366">
      <c r="A366" s="39">
        <f>IF('10 - Office Chairs'!B366 = "", "", IF('10 - Office Chairs-WUO_ERR'!A366 = "", "Validated", HYPERLINK("#" &amp; ADDRESS(366, '10 - Office Chairs-WUO_TRK'!A366),_xlfn.TEXTAFTER('10 - Office Chairs-WUO_ERR'!A366, ":"))))</f>
        <v/>
      </c>
    </row>
    <row r="367">
      <c r="A367" s="39">
        <f>IF('10 - Office Chairs'!B367 = "", "", IF('10 - Office Chairs-WUO_ERR'!A367 = "", "Validated", HYPERLINK("#" &amp; ADDRESS(367, '10 - Office Chairs-WUO_TRK'!A367),_xlfn.TEXTAFTER('10 - Office Chairs-WUO_ERR'!A367, ":"))))</f>
        <v/>
      </c>
    </row>
    <row r="368">
      <c r="A368" s="39">
        <f>IF('10 - Office Chairs'!B368 = "", "", IF('10 - Office Chairs-WUO_ERR'!A368 = "", "Validated", HYPERLINK("#" &amp; ADDRESS(368, '10 - Office Chairs-WUO_TRK'!A368),_xlfn.TEXTAFTER('10 - Office Chairs-WUO_ERR'!A368, ":"))))</f>
        <v/>
      </c>
    </row>
    <row r="369">
      <c r="A369" s="39">
        <f>IF('10 - Office Chairs'!B369 = "", "", IF('10 - Office Chairs-WUO_ERR'!A369 = "", "Validated", HYPERLINK("#" &amp; ADDRESS(369, '10 - Office Chairs-WUO_TRK'!A369),_xlfn.TEXTAFTER('10 - Office Chairs-WUO_ERR'!A369, ":"))))</f>
        <v/>
      </c>
    </row>
    <row r="370">
      <c r="A370" s="39">
        <f>IF('10 - Office Chairs'!B370 = "", "", IF('10 - Office Chairs-WUO_ERR'!A370 = "", "Validated", HYPERLINK("#" &amp; ADDRESS(370, '10 - Office Chairs-WUO_TRK'!A370),_xlfn.TEXTAFTER('10 - Office Chairs-WUO_ERR'!A370, ":"))))</f>
        <v/>
      </c>
    </row>
    <row r="371">
      <c r="A371" s="39">
        <f>IF('10 - Office Chairs'!B371 = "", "", IF('10 - Office Chairs-WUO_ERR'!A371 = "", "Validated", HYPERLINK("#" &amp; ADDRESS(371, '10 - Office Chairs-WUO_TRK'!A371),_xlfn.TEXTAFTER('10 - Office Chairs-WUO_ERR'!A371, ":"))))</f>
        <v/>
      </c>
    </row>
    <row r="372">
      <c r="A372" s="39">
        <f>IF('10 - Office Chairs'!B372 = "", "", IF('10 - Office Chairs-WUO_ERR'!A372 = "", "Validated", HYPERLINK("#" &amp; ADDRESS(372, '10 - Office Chairs-WUO_TRK'!A372),_xlfn.TEXTAFTER('10 - Office Chairs-WUO_ERR'!A372, ":"))))</f>
        <v/>
      </c>
    </row>
    <row r="373">
      <c r="A373" s="39">
        <f>IF('10 - Office Chairs'!B373 = "", "", IF('10 - Office Chairs-WUO_ERR'!A373 = "", "Validated", HYPERLINK("#" &amp; ADDRESS(373, '10 - Office Chairs-WUO_TRK'!A373),_xlfn.TEXTAFTER('10 - Office Chairs-WUO_ERR'!A373, ":"))))</f>
        <v/>
      </c>
    </row>
    <row r="374">
      <c r="A374" s="39">
        <f>IF('10 - Office Chairs'!B374 = "", "", IF('10 - Office Chairs-WUO_ERR'!A374 = "", "Validated", HYPERLINK("#" &amp; ADDRESS(374, '10 - Office Chairs-WUO_TRK'!A374),_xlfn.TEXTAFTER('10 - Office Chairs-WUO_ERR'!A374, ":"))))</f>
        <v/>
      </c>
    </row>
    <row r="375">
      <c r="A375" s="39">
        <f>IF('10 - Office Chairs'!B375 = "", "", IF('10 - Office Chairs-WUO_ERR'!A375 = "", "Validated", HYPERLINK("#" &amp; ADDRESS(375, '10 - Office Chairs-WUO_TRK'!A375),_xlfn.TEXTAFTER('10 - Office Chairs-WUO_ERR'!A375, ":"))))</f>
        <v/>
      </c>
    </row>
    <row r="376">
      <c r="A376" s="39">
        <f>IF('10 - Office Chairs'!B376 = "", "", IF('10 - Office Chairs-WUO_ERR'!A376 = "", "Validated", HYPERLINK("#" &amp; ADDRESS(376, '10 - Office Chairs-WUO_TRK'!A376),_xlfn.TEXTAFTER('10 - Office Chairs-WUO_ERR'!A376, ":"))))</f>
        <v/>
      </c>
    </row>
    <row r="377">
      <c r="A377" s="39">
        <f>IF('10 - Office Chairs'!B377 = "", "", IF('10 - Office Chairs-WUO_ERR'!A377 = "", "Validated", HYPERLINK("#" &amp; ADDRESS(377, '10 - Office Chairs-WUO_TRK'!A377),_xlfn.TEXTAFTER('10 - Office Chairs-WUO_ERR'!A377, ":"))))</f>
        <v/>
      </c>
    </row>
    <row r="378">
      <c r="A378" s="39">
        <f>IF('10 - Office Chairs'!B378 = "", "", IF('10 - Office Chairs-WUO_ERR'!A378 = "", "Validated", HYPERLINK("#" &amp; ADDRESS(378, '10 - Office Chairs-WUO_TRK'!A378),_xlfn.TEXTAFTER('10 - Office Chairs-WUO_ERR'!A378, ":"))))</f>
        <v/>
      </c>
    </row>
    <row r="379">
      <c r="A379" s="39">
        <f>IF('10 - Office Chairs'!B379 = "", "", IF('10 - Office Chairs-WUO_ERR'!A379 = "", "Validated", HYPERLINK("#" &amp; ADDRESS(379, '10 - Office Chairs-WUO_TRK'!A379),_xlfn.TEXTAFTER('10 - Office Chairs-WUO_ERR'!A379, ":"))))</f>
        <v/>
      </c>
    </row>
    <row r="380">
      <c r="A380" s="39">
        <f>IF('10 - Office Chairs'!B380 = "", "", IF('10 - Office Chairs-WUO_ERR'!A380 = "", "Validated", HYPERLINK("#" &amp; ADDRESS(380, '10 - Office Chairs-WUO_TRK'!A380),_xlfn.TEXTAFTER('10 - Office Chairs-WUO_ERR'!A380, ":"))))</f>
        <v/>
      </c>
    </row>
    <row r="381">
      <c r="A381" s="39">
        <f>IF('10 - Office Chairs'!B381 = "", "", IF('10 - Office Chairs-WUO_ERR'!A381 = "", "Validated", HYPERLINK("#" &amp; ADDRESS(381, '10 - Office Chairs-WUO_TRK'!A381),_xlfn.TEXTAFTER('10 - Office Chairs-WUO_ERR'!A381, ":"))))</f>
        <v/>
      </c>
    </row>
    <row r="382">
      <c r="A382" s="39">
        <f>IF('10 - Office Chairs'!B382 = "", "", IF('10 - Office Chairs-WUO_ERR'!A382 = "", "Validated", HYPERLINK("#" &amp; ADDRESS(382, '10 - Office Chairs-WUO_TRK'!A382),_xlfn.TEXTAFTER('10 - Office Chairs-WUO_ERR'!A382, ":"))))</f>
        <v/>
      </c>
    </row>
    <row r="383">
      <c r="A383" s="39">
        <f>IF('10 - Office Chairs'!B383 = "", "", IF('10 - Office Chairs-WUO_ERR'!A383 = "", "Validated", HYPERLINK("#" &amp; ADDRESS(383, '10 - Office Chairs-WUO_TRK'!A383),_xlfn.TEXTAFTER('10 - Office Chairs-WUO_ERR'!A383, ":"))))</f>
        <v/>
      </c>
    </row>
    <row r="384">
      <c r="A384" s="39">
        <f>IF('10 - Office Chairs'!B384 = "", "", IF('10 - Office Chairs-WUO_ERR'!A384 = "", "Validated", HYPERLINK("#" &amp; ADDRESS(384, '10 - Office Chairs-WUO_TRK'!A384),_xlfn.TEXTAFTER('10 - Office Chairs-WUO_ERR'!A384, ":"))))</f>
        <v/>
      </c>
    </row>
    <row r="385">
      <c r="A385" s="39">
        <f>IF('10 - Office Chairs'!B385 = "", "", IF('10 - Office Chairs-WUO_ERR'!A385 = "", "Validated", HYPERLINK("#" &amp; ADDRESS(385, '10 - Office Chairs-WUO_TRK'!A385),_xlfn.TEXTAFTER('10 - Office Chairs-WUO_ERR'!A385, ":"))))</f>
        <v/>
      </c>
    </row>
    <row r="386">
      <c r="A386" s="39">
        <f>IF('10 - Office Chairs'!B386 = "", "", IF('10 - Office Chairs-WUO_ERR'!A386 = "", "Validated", HYPERLINK("#" &amp; ADDRESS(386, '10 - Office Chairs-WUO_TRK'!A386),_xlfn.TEXTAFTER('10 - Office Chairs-WUO_ERR'!A386, ":"))))</f>
        <v/>
      </c>
    </row>
    <row r="387">
      <c r="A387" s="39">
        <f>IF('10 - Office Chairs'!B387 = "", "", IF('10 - Office Chairs-WUO_ERR'!A387 = "", "Validated", HYPERLINK("#" &amp; ADDRESS(387, '10 - Office Chairs-WUO_TRK'!A387),_xlfn.TEXTAFTER('10 - Office Chairs-WUO_ERR'!A387, ":"))))</f>
        <v/>
      </c>
    </row>
    <row r="388">
      <c r="A388" s="39">
        <f>IF('10 - Office Chairs'!B388 = "", "", IF('10 - Office Chairs-WUO_ERR'!A388 = "", "Validated", HYPERLINK("#" &amp; ADDRESS(388, '10 - Office Chairs-WUO_TRK'!A388),_xlfn.TEXTAFTER('10 - Office Chairs-WUO_ERR'!A388, ":"))))</f>
        <v/>
      </c>
    </row>
    <row r="389">
      <c r="A389" s="39">
        <f>IF('10 - Office Chairs'!B389 = "", "", IF('10 - Office Chairs-WUO_ERR'!A389 = "", "Validated", HYPERLINK("#" &amp; ADDRESS(389, '10 - Office Chairs-WUO_TRK'!A389),_xlfn.TEXTAFTER('10 - Office Chairs-WUO_ERR'!A389, ":"))))</f>
        <v/>
      </c>
    </row>
    <row r="390">
      <c r="A390" s="39">
        <f>IF('10 - Office Chairs'!B390 = "", "", IF('10 - Office Chairs-WUO_ERR'!A390 = "", "Validated", HYPERLINK("#" &amp; ADDRESS(390, '10 - Office Chairs-WUO_TRK'!A390),_xlfn.TEXTAFTER('10 - Office Chairs-WUO_ERR'!A390, ":"))))</f>
        <v/>
      </c>
    </row>
    <row r="391">
      <c r="A391" s="39">
        <f>IF('10 - Office Chairs'!B391 = "", "", IF('10 - Office Chairs-WUO_ERR'!A391 = "", "Validated", HYPERLINK("#" &amp; ADDRESS(391, '10 - Office Chairs-WUO_TRK'!A391),_xlfn.TEXTAFTER('10 - Office Chairs-WUO_ERR'!A391, ":"))))</f>
        <v/>
      </c>
    </row>
    <row r="392">
      <c r="A392" s="39">
        <f>IF('10 - Office Chairs'!B392 = "", "", IF('10 - Office Chairs-WUO_ERR'!A392 = "", "Validated", HYPERLINK("#" &amp; ADDRESS(392, '10 - Office Chairs-WUO_TRK'!A392),_xlfn.TEXTAFTER('10 - Office Chairs-WUO_ERR'!A392, ":"))))</f>
        <v/>
      </c>
    </row>
    <row r="393">
      <c r="A393" s="39">
        <f>IF('10 - Office Chairs'!B393 = "", "", IF('10 - Office Chairs-WUO_ERR'!A393 = "", "Validated", HYPERLINK("#" &amp; ADDRESS(393, '10 - Office Chairs-WUO_TRK'!A393),_xlfn.TEXTAFTER('10 - Office Chairs-WUO_ERR'!A393, ":"))))</f>
        <v/>
      </c>
    </row>
    <row r="394">
      <c r="A394" s="39">
        <f>IF('10 - Office Chairs'!B394 = "", "", IF('10 - Office Chairs-WUO_ERR'!A394 = "", "Validated", HYPERLINK("#" &amp; ADDRESS(394, '10 - Office Chairs-WUO_TRK'!A394),_xlfn.TEXTAFTER('10 - Office Chairs-WUO_ERR'!A394, ":"))))</f>
        <v/>
      </c>
    </row>
    <row r="395">
      <c r="A395" s="39">
        <f>IF('10 - Office Chairs'!B395 = "", "", IF('10 - Office Chairs-WUO_ERR'!A395 = "", "Validated", HYPERLINK("#" &amp; ADDRESS(395, '10 - Office Chairs-WUO_TRK'!A395),_xlfn.TEXTAFTER('10 - Office Chairs-WUO_ERR'!A395, ":"))))</f>
        <v/>
      </c>
    </row>
    <row r="396">
      <c r="A396" s="39">
        <f>IF('10 - Office Chairs'!B396 = "", "", IF('10 - Office Chairs-WUO_ERR'!A396 = "", "Validated", HYPERLINK("#" &amp; ADDRESS(396, '10 - Office Chairs-WUO_TRK'!A396),_xlfn.TEXTAFTER('10 - Office Chairs-WUO_ERR'!A396, ":"))))</f>
        <v/>
      </c>
    </row>
    <row r="397">
      <c r="A397" s="39">
        <f>IF('10 - Office Chairs'!B397 = "", "", IF('10 - Office Chairs-WUO_ERR'!A397 = "", "Validated", HYPERLINK("#" &amp; ADDRESS(397, '10 - Office Chairs-WUO_TRK'!A397),_xlfn.TEXTAFTER('10 - Office Chairs-WUO_ERR'!A397, ":"))))</f>
        <v/>
      </c>
    </row>
    <row r="398">
      <c r="A398" s="39">
        <f>IF('10 - Office Chairs'!B398 = "", "", IF('10 - Office Chairs-WUO_ERR'!A398 = "", "Validated", HYPERLINK("#" &amp; ADDRESS(398, '10 - Office Chairs-WUO_TRK'!A398),_xlfn.TEXTAFTER('10 - Office Chairs-WUO_ERR'!A398, ":"))))</f>
        <v/>
      </c>
    </row>
    <row r="399">
      <c r="A399" s="39">
        <f>IF('10 - Office Chairs'!B399 = "", "", IF('10 - Office Chairs-WUO_ERR'!A399 = "", "Validated", HYPERLINK("#" &amp; ADDRESS(399, '10 - Office Chairs-WUO_TRK'!A399),_xlfn.TEXTAFTER('10 - Office Chairs-WUO_ERR'!A399, ":"))))</f>
        <v/>
      </c>
    </row>
    <row r="400">
      <c r="A400" s="39">
        <f>IF('10 - Office Chairs'!B400 = "", "", IF('10 - Office Chairs-WUO_ERR'!A400 = "", "Validated", HYPERLINK("#" &amp; ADDRESS(400, '10 - Office Chairs-WUO_TRK'!A400),_xlfn.TEXTAFTER('10 - Office Chairs-WUO_ERR'!A400, ":"))))</f>
        <v/>
      </c>
    </row>
    <row r="401">
      <c r="A401" s="39">
        <f>IF('10 - Office Chairs'!B401 = "", "", IF('10 - Office Chairs-WUO_ERR'!A401 = "", "Validated", HYPERLINK("#" &amp; ADDRESS(401, '10 - Office Chairs-WUO_TRK'!A401),_xlfn.TEXTAFTER('10 - Office Chairs-WUO_ERR'!A401, ":"))))</f>
        <v/>
      </c>
    </row>
    <row r="402">
      <c r="A402" s="39">
        <f>IF('10 - Office Chairs'!B402 = "", "", IF('10 - Office Chairs-WUO_ERR'!A402 = "", "Validated", HYPERLINK("#" &amp; ADDRESS(402, '10 - Office Chairs-WUO_TRK'!A402),_xlfn.TEXTAFTER('10 - Office Chairs-WUO_ERR'!A402, ":"))))</f>
        <v/>
      </c>
    </row>
    <row r="403">
      <c r="A403" s="39">
        <f>IF('10 - Office Chairs'!B403 = "", "", IF('10 - Office Chairs-WUO_ERR'!A403 = "", "Validated", HYPERLINK("#" &amp; ADDRESS(403, '10 - Office Chairs-WUO_TRK'!A403),_xlfn.TEXTAFTER('10 - Office Chairs-WUO_ERR'!A403, ":"))))</f>
        <v/>
      </c>
    </row>
    <row r="404">
      <c r="A404" s="39">
        <f>IF('10 - Office Chairs'!B404 = "", "", IF('10 - Office Chairs-WUO_ERR'!A404 = "", "Validated", HYPERLINK("#" &amp; ADDRESS(404, '10 - Office Chairs-WUO_TRK'!A404),_xlfn.TEXTAFTER('10 - Office Chairs-WUO_ERR'!A404, ":"))))</f>
        <v/>
      </c>
    </row>
    <row r="405">
      <c r="A405" s="39">
        <f>IF('10 - Office Chairs'!B405 = "", "", IF('10 - Office Chairs-WUO_ERR'!A405 = "", "Validated", HYPERLINK("#" &amp; ADDRESS(405, '10 - Office Chairs-WUO_TRK'!A405),_xlfn.TEXTAFTER('10 - Office Chairs-WUO_ERR'!A405, ":"))))</f>
        <v/>
      </c>
    </row>
    <row r="406">
      <c r="A406" s="39">
        <f>IF('10 - Office Chairs'!B406 = "", "", IF('10 - Office Chairs-WUO_ERR'!A406 = "", "Validated", HYPERLINK("#" &amp; ADDRESS(406, '10 - Office Chairs-WUO_TRK'!A406),_xlfn.TEXTAFTER('10 - Office Chairs-WUO_ERR'!A406, ":"))))</f>
        <v/>
      </c>
    </row>
    <row r="407">
      <c r="A407" s="39">
        <f>IF('10 - Office Chairs'!B407 = "", "", IF('10 - Office Chairs-WUO_ERR'!A407 = "", "Validated", HYPERLINK("#" &amp; ADDRESS(407, '10 - Office Chairs-WUO_TRK'!A407),_xlfn.TEXTAFTER('10 - Office Chairs-WUO_ERR'!A407, ":"))))</f>
        <v/>
      </c>
    </row>
    <row r="408">
      <c r="A408" s="39">
        <f>IF('10 - Office Chairs'!B408 = "", "", IF('10 - Office Chairs-WUO_ERR'!A408 = "", "Validated", HYPERLINK("#" &amp; ADDRESS(408, '10 - Office Chairs-WUO_TRK'!A408),_xlfn.TEXTAFTER('10 - Office Chairs-WUO_ERR'!A408, ":"))))</f>
        <v/>
      </c>
    </row>
    <row r="409">
      <c r="A409" s="39">
        <f>IF('10 - Office Chairs'!B409 = "", "", IF('10 - Office Chairs-WUO_ERR'!A409 = "", "Validated", HYPERLINK("#" &amp; ADDRESS(409, '10 - Office Chairs-WUO_TRK'!A409),_xlfn.TEXTAFTER('10 - Office Chairs-WUO_ERR'!A409, ":"))))</f>
        <v/>
      </c>
    </row>
    <row r="410">
      <c r="A410" s="39">
        <f>IF('10 - Office Chairs'!B410 = "", "", IF('10 - Office Chairs-WUO_ERR'!A410 = "", "Validated", HYPERLINK("#" &amp; ADDRESS(410, '10 - Office Chairs-WUO_TRK'!A410),_xlfn.TEXTAFTER('10 - Office Chairs-WUO_ERR'!A410, ":"))))</f>
        <v/>
      </c>
    </row>
    <row r="411">
      <c r="A411" s="39">
        <f>IF('10 - Office Chairs'!B411 = "", "", IF('10 - Office Chairs-WUO_ERR'!A411 = "", "Validated", HYPERLINK("#" &amp; ADDRESS(411, '10 - Office Chairs-WUO_TRK'!A411),_xlfn.TEXTAFTER('10 - Office Chairs-WUO_ERR'!A411, ":"))))</f>
        <v/>
      </c>
    </row>
    <row r="412">
      <c r="A412" s="39">
        <f>IF('10 - Office Chairs'!B412 = "", "", IF('10 - Office Chairs-WUO_ERR'!A412 = "", "Validated", HYPERLINK("#" &amp; ADDRESS(412, '10 - Office Chairs-WUO_TRK'!A412),_xlfn.TEXTAFTER('10 - Office Chairs-WUO_ERR'!A412, ":"))))</f>
        <v/>
      </c>
    </row>
    <row r="413">
      <c r="A413" s="39">
        <f>IF('10 - Office Chairs'!B413 = "", "", IF('10 - Office Chairs-WUO_ERR'!A413 = "", "Validated", HYPERLINK("#" &amp; ADDRESS(413, '10 - Office Chairs-WUO_TRK'!A413),_xlfn.TEXTAFTER('10 - Office Chairs-WUO_ERR'!A413, ":"))))</f>
        <v/>
      </c>
    </row>
    <row r="414">
      <c r="A414" s="39">
        <f>IF('10 - Office Chairs'!B414 = "", "", IF('10 - Office Chairs-WUO_ERR'!A414 = "", "Validated", HYPERLINK("#" &amp; ADDRESS(414, '10 - Office Chairs-WUO_TRK'!A414),_xlfn.TEXTAFTER('10 - Office Chairs-WUO_ERR'!A414, ":"))))</f>
        <v/>
      </c>
    </row>
    <row r="415">
      <c r="A415" s="39">
        <f>IF('10 - Office Chairs'!B415 = "", "", IF('10 - Office Chairs-WUO_ERR'!A415 = "", "Validated", HYPERLINK("#" &amp; ADDRESS(415, '10 - Office Chairs-WUO_TRK'!A415),_xlfn.TEXTAFTER('10 - Office Chairs-WUO_ERR'!A415, ":"))))</f>
        <v/>
      </c>
    </row>
    <row r="416">
      <c r="A416" s="39">
        <f>IF('10 - Office Chairs'!B416 = "", "", IF('10 - Office Chairs-WUO_ERR'!A416 = "", "Validated", HYPERLINK("#" &amp; ADDRESS(416, '10 - Office Chairs-WUO_TRK'!A416),_xlfn.TEXTAFTER('10 - Office Chairs-WUO_ERR'!A416, ":"))))</f>
        <v/>
      </c>
    </row>
    <row r="417">
      <c r="A417" s="39">
        <f>IF('10 - Office Chairs'!B417 = "", "", IF('10 - Office Chairs-WUO_ERR'!A417 = "", "Validated", HYPERLINK("#" &amp; ADDRESS(417, '10 - Office Chairs-WUO_TRK'!A417),_xlfn.TEXTAFTER('10 - Office Chairs-WUO_ERR'!A417, ":"))))</f>
        <v/>
      </c>
    </row>
    <row r="418">
      <c r="A418" s="39">
        <f>IF('10 - Office Chairs'!B418 = "", "", IF('10 - Office Chairs-WUO_ERR'!A418 = "", "Validated", HYPERLINK("#" &amp; ADDRESS(418, '10 - Office Chairs-WUO_TRK'!A418),_xlfn.TEXTAFTER('10 - Office Chairs-WUO_ERR'!A418, ":"))))</f>
        <v/>
      </c>
    </row>
    <row r="419">
      <c r="A419" s="39">
        <f>IF('10 - Office Chairs'!B419 = "", "", IF('10 - Office Chairs-WUO_ERR'!A419 = "", "Validated", HYPERLINK("#" &amp; ADDRESS(419, '10 - Office Chairs-WUO_TRK'!A419),_xlfn.TEXTAFTER('10 - Office Chairs-WUO_ERR'!A419, ":"))))</f>
        <v/>
      </c>
    </row>
    <row r="420">
      <c r="A420" s="39">
        <f>IF('10 - Office Chairs'!B420 = "", "", IF('10 - Office Chairs-WUO_ERR'!A420 = "", "Validated", HYPERLINK("#" &amp; ADDRESS(420, '10 - Office Chairs-WUO_TRK'!A420),_xlfn.TEXTAFTER('10 - Office Chairs-WUO_ERR'!A420, ":"))))</f>
        <v/>
      </c>
    </row>
    <row r="421">
      <c r="A421" s="39">
        <f>IF('10 - Office Chairs'!B421 = "", "", IF('10 - Office Chairs-WUO_ERR'!A421 = "", "Validated", HYPERLINK("#" &amp; ADDRESS(421, '10 - Office Chairs-WUO_TRK'!A421),_xlfn.TEXTAFTER('10 - Office Chairs-WUO_ERR'!A421, ":"))))</f>
        <v/>
      </c>
    </row>
    <row r="422">
      <c r="A422" s="39">
        <f>IF('10 - Office Chairs'!B422 = "", "", IF('10 - Office Chairs-WUO_ERR'!A422 = "", "Validated", HYPERLINK("#" &amp; ADDRESS(422, '10 - Office Chairs-WUO_TRK'!A422),_xlfn.TEXTAFTER('10 - Office Chairs-WUO_ERR'!A422, ":"))))</f>
        <v/>
      </c>
    </row>
    <row r="423">
      <c r="A423" s="39">
        <f>IF('10 - Office Chairs'!B423 = "", "", IF('10 - Office Chairs-WUO_ERR'!A423 = "", "Validated", HYPERLINK("#" &amp; ADDRESS(423, '10 - Office Chairs-WUO_TRK'!A423),_xlfn.TEXTAFTER('10 - Office Chairs-WUO_ERR'!A423, ":"))))</f>
        <v/>
      </c>
    </row>
    <row r="424">
      <c r="A424" s="39">
        <f>IF('10 - Office Chairs'!B424 = "", "", IF('10 - Office Chairs-WUO_ERR'!A424 = "", "Validated", HYPERLINK("#" &amp; ADDRESS(424, '10 - Office Chairs-WUO_TRK'!A424),_xlfn.TEXTAFTER('10 - Office Chairs-WUO_ERR'!A424, ":"))))</f>
        <v/>
      </c>
    </row>
    <row r="425">
      <c r="A425" s="39">
        <f>IF('10 - Office Chairs'!B425 = "", "", IF('10 - Office Chairs-WUO_ERR'!A425 = "", "Validated", HYPERLINK("#" &amp; ADDRESS(425, '10 - Office Chairs-WUO_TRK'!A425),_xlfn.TEXTAFTER('10 - Office Chairs-WUO_ERR'!A425, ":"))))</f>
        <v/>
      </c>
    </row>
    <row r="426">
      <c r="A426" s="39">
        <f>IF('10 - Office Chairs'!B426 = "", "", IF('10 - Office Chairs-WUO_ERR'!A426 = "", "Validated", HYPERLINK("#" &amp; ADDRESS(426, '10 - Office Chairs-WUO_TRK'!A426),_xlfn.TEXTAFTER('10 - Office Chairs-WUO_ERR'!A426, ":"))))</f>
        <v/>
      </c>
    </row>
    <row r="427">
      <c r="A427" s="39">
        <f>IF('10 - Office Chairs'!B427 = "", "", IF('10 - Office Chairs-WUO_ERR'!A427 = "", "Validated", HYPERLINK("#" &amp; ADDRESS(427, '10 - Office Chairs-WUO_TRK'!A427),_xlfn.TEXTAFTER('10 - Office Chairs-WUO_ERR'!A427, ":"))))</f>
        <v/>
      </c>
    </row>
    <row r="428">
      <c r="A428" s="39">
        <f>IF('10 - Office Chairs'!B428 = "", "", IF('10 - Office Chairs-WUO_ERR'!A428 = "", "Validated", HYPERLINK("#" &amp; ADDRESS(428, '10 - Office Chairs-WUO_TRK'!A428),_xlfn.TEXTAFTER('10 - Office Chairs-WUO_ERR'!A428, ":"))))</f>
        <v/>
      </c>
    </row>
    <row r="429">
      <c r="A429" s="39">
        <f>IF('10 - Office Chairs'!B429 = "", "", IF('10 - Office Chairs-WUO_ERR'!A429 = "", "Validated", HYPERLINK("#" &amp; ADDRESS(429, '10 - Office Chairs-WUO_TRK'!A429),_xlfn.TEXTAFTER('10 - Office Chairs-WUO_ERR'!A429, ":"))))</f>
        <v/>
      </c>
    </row>
    <row r="430">
      <c r="A430" s="39">
        <f>IF('10 - Office Chairs'!B430 = "", "", IF('10 - Office Chairs-WUO_ERR'!A430 = "", "Validated", HYPERLINK("#" &amp; ADDRESS(430, '10 - Office Chairs-WUO_TRK'!A430),_xlfn.TEXTAFTER('10 - Office Chairs-WUO_ERR'!A430, ":"))))</f>
        <v/>
      </c>
    </row>
    <row r="431">
      <c r="A431" s="39">
        <f>IF('10 - Office Chairs'!B431 = "", "", IF('10 - Office Chairs-WUO_ERR'!A431 = "", "Validated", HYPERLINK("#" &amp; ADDRESS(431, '10 - Office Chairs-WUO_TRK'!A431),_xlfn.TEXTAFTER('10 - Office Chairs-WUO_ERR'!A431, ":"))))</f>
        <v/>
      </c>
    </row>
    <row r="432">
      <c r="A432" s="39">
        <f>IF('10 - Office Chairs'!B432 = "", "", IF('10 - Office Chairs-WUO_ERR'!A432 = "", "Validated", HYPERLINK("#" &amp; ADDRESS(432, '10 - Office Chairs-WUO_TRK'!A432),_xlfn.TEXTAFTER('10 - Office Chairs-WUO_ERR'!A432, ":"))))</f>
        <v/>
      </c>
    </row>
    <row r="433">
      <c r="A433" s="39">
        <f>IF('10 - Office Chairs'!B433 = "", "", IF('10 - Office Chairs-WUO_ERR'!A433 = "", "Validated", HYPERLINK("#" &amp; ADDRESS(433, '10 - Office Chairs-WUO_TRK'!A433),_xlfn.TEXTAFTER('10 - Office Chairs-WUO_ERR'!A433, ":"))))</f>
        <v/>
      </c>
    </row>
    <row r="434">
      <c r="A434" s="39">
        <f>IF('10 - Office Chairs'!B434 = "", "", IF('10 - Office Chairs-WUO_ERR'!A434 = "", "Validated", HYPERLINK("#" &amp; ADDRESS(434, '10 - Office Chairs-WUO_TRK'!A434),_xlfn.TEXTAFTER('10 - Office Chairs-WUO_ERR'!A434, ":"))))</f>
        <v/>
      </c>
    </row>
    <row r="435">
      <c r="A435" s="39">
        <f>IF('10 - Office Chairs'!B435 = "", "", IF('10 - Office Chairs-WUO_ERR'!A435 = "", "Validated", HYPERLINK("#" &amp; ADDRESS(435, '10 - Office Chairs-WUO_TRK'!A435),_xlfn.TEXTAFTER('10 - Office Chairs-WUO_ERR'!A435, ":"))))</f>
        <v/>
      </c>
    </row>
    <row r="436">
      <c r="A436" s="39">
        <f>IF('10 - Office Chairs'!B436 = "", "", IF('10 - Office Chairs-WUO_ERR'!A436 = "", "Validated", HYPERLINK("#" &amp; ADDRESS(436, '10 - Office Chairs-WUO_TRK'!A436),_xlfn.TEXTAFTER('10 - Office Chairs-WUO_ERR'!A436, ":"))))</f>
        <v/>
      </c>
    </row>
    <row r="437">
      <c r="A437" s="39">
        <f>IF('10 - Office Chairs'!B437 = "", "", IF('10 - Office Chairs-WUO_ERR'!A437 = "", "Validated", HYPERLINK("#" &amp; ADDRESS(437, '10 - Office Chairs-WUO_TRK'!A437),_xlfn.TEXTAFTER('10 - Office Chairs-WUO_ERR'!A437, ":"))))</f>
        <v/>
      </c>
    </row>
    <row r="438">
      <c r="A438" s="39">
        <f>IF('10 - Office Chairs'!B438 = "", "", IF('10 - Office Chairs-WUO_ERR'!A438 = "", "Validated", HYPERLINK("#" &amp; ADDRESS(438, '10 - Office Chairs-WUO_TRK'!A438),_xlfn.TEXTAFTER('10 - Office Chairs-WUO_ERR'!A438, ":"))))</f>
        <v/>
      </c>
    </row>
    <row r="439">
      <c r="A439" s="39">
        <f>IF('10 - Office Chairs'!B439 = "", "", IF('10 - Office Chairs-WUO_ERR'!A439 = "", "Validated", HYPERLINK("#" &amp; ADDRESS(439, '10 - Office Chairs-WUO_TRK'!A439),_xlfn.TEXTAFTER('10 - Office Chairs-WUO_ERR'!A439, ":"))))</f>
        <v/>
      </c>
    </row>
    <row r="440">
      <c r="A440" s="39">
        <f>IF('10 - Office Chairs'!B440 = "", "", IF('10 - Office Chairs-WUO_ERR'!A440 = "", "Validated", HYPERLINK("#" &amp; ADDRESS(440, '10 - Office Chairs-WUO_TRK'!A440),_xlfn.TEXTAFTER('10 - Office Chairs-WUO_ERR'!A440, ":"))))</f>
        <v/>
      </c>
    </row>
    <row r="441">
      <c r="A441" s="39">
        <f>IF('10 - Office Chairs'!B441 = "", "", IF('10 - Office Chairs-WUO_ERR'!A441 = "", "Validated", HYPERLINK("#" &amp; ADDRESS(441, '10 - Office Chairs-WUO_TRK'!A441),_xlfn.TEXTAFTER('10 - Office Chairs-WUO_ERR'!A441, ":"))))</f>
        <v/>
      </c>
    </row>
    <row r="442">
      <c r="A442" s="39">
        <f>IF('10 - Office Chairs'!B442 = "", "", IF('10 - Office Chairs-WUO_ERR'!A442 = "", "Validated", HYPERLINK("#" &amp; ADDRESS(442, '10 - Office Chairs-WUO_TRK'!A442),_xlfn.TEXTAFTER('10 - Office Chairs-WUO_ERR'!A442, ":"))))</f>
        <v/>
      </c>
    </row>
    <row r="443">
      <c r="A443" s="39">
        <f>IF('10 - Office Chairs'!B443 = "", "", IF('10 - Office Chairs-WUO_ERR'!A443 = "", "Validated", HYPERLINK("#" &amp; ADDRESS(443, '10 - Office Chairs-WUO_TRK'!A443),_xlfn.TEXTAFTER('10 - Office Chairs-WUO_ERR'!A443, ":"))))</f>
        <v/>
      </c>
    </row>
    <row r="444">
      <c r="A444" s="39">
        <f>IF('10 - Office Chairs'!B444 = "", "", IF('10 - Office Chairs-WUO_ERR'!A444 = "", "Validated", HYPERLINK("#" &amp; ADDRESS(444, '10 - Office Chairs-WUO_TRK'!A444),_xlfn.TEXTAFTER('10 - Office Chairs-WUO_ERR'!A444, ":"))))</f>
        <v/>
      </c>
    </row>
    <row r="445">
      <c r="A445" s="39">
        <f>IF('10 - Office Chairs'!B445 = "", "", IF('10 - Office Chairs-WUO_ERR'!A445 = "", "Validated", HYPERLINK("#" &amp; ADDRESS(445, '10 - Office Chairs-WUO_TRK'!A445),_xlfn.TEXTAFTER('10 - Office Chairs-WUO_ERR'!A445, ":"))))</f>
        <v/>
      </c>
    </row>
    <row r="446">
      <c r="A446" s="39">
        <f>IF('10 - Office Chairs'!B446 = "", "", IF('10 - Office Chairs-WUO_ERR'!A446 = "", "Validated", HYPERLINK("#" &amp; ADDRESS(446, '10 - Office Chairs-WUO_TRK'!A446),_xlfn.TEXTAFTER('10 - Office Chairs-WUO_ERR'!A446, ":"))))</f>
        <v/>
      </c>
    </row>
    <row r="447">
      <c r="A447" s="39">
        <f>IF('10 - Office Chairs'!B447 = "", "", IF('10 - Office Chairs-WUO_ERR'!A447 = "", "Validated", HYPERLINK("#" &amp; ADDRESS(447, '10 - Office Chairs-WUO_TRK'!A447),_xlfn.TEXTAFTER('10 - Office Chairs-WUO_ERR'!A447, ":"))))</f>
        <v/>
      </c>
    </row>
    <row r="448">
      <c r="A448" s="39">
        <f>IF('10 - Office Chairs'!B448 = "", "", IF('10 - Office Chairs-WUO_ERR'!A448 = "", "Validated", HYPERLINK("#" &amp; ADDRESS(448, '10 - Office Chairs-WUO_TRK'!A448),_xlfn.TEXTAFTER('10 - Office Chairs-WUO_ERR'!A448, ":"))))</f>
        <v/>
      </c>
    </row>
    <row r="449">
      <c r="A449" s="39">
        <f>IF('10 - Office Chairs'!B449 = "", "", IF('10 - Office Chairs-WUO_ERR'!A449 = "", "Validated", HYPERLINK("#" &amp; ADDRESS(449, '10 - Office Chairs-WUO_TRK'!A449),_xlfn.TEXTAFTER('10 - Office Chairs-WUO_ERR'!A449, ":"))))</f>
        <v/>
      </c>
    </row>
    <row r="450">
      <c r="A450" s="39">
        <f>IF('10 - Office Chairs'!B450 = "", "", IF('10 - Office Chairs-WUO_ERR'!A450 = "", "Validated", HYPERLINK("#" &amp; ADDRESS(450, '10 - Office Chairs-WUO_TRK'!A450),_xlfn.TEXTAFTER('10 - Office Chairs-WUO_ERR'!A450, ":"))))</f>
        <v/>
      </c>
    </row>
    <row r="451">
      <c r="A451" s="39">
        <f>IF('10 - Office Chairs'!B451 = "", "", IF('10 - Office Chairs-WUO_ERR'!A451 = "", "Validated", HYPERLINK("#" &amp; ADDRESS(451, '10 - Office Chairs-WUO_TRK'!A451),_xlfn.TEXTAFTER('10 - Office Chairs-WUO_ERR'!A451, ":"))))</f>
        <v/>
      </c>
    </row>
    <row r="452">
      <c r="A452" s="39">
        <f>IF('10 - Office Chairs'!B452 = "", "", IF('10 - Office Chairs-WUO_ERR'!A452 = "", "Validated", HYPERLINK("#" &amp; ADDRESS(452, '10 - Office Chairs-WUO_TRK'!A452),_xlfn.TEXTAFTER('10 - Office Chairs-WUO_ERR'!A452, ":"))))</f>
        <v/>
      </c>
    </row>
    <row r="453">
      <c r="A453" s="39">
        <f>IF('10 - Office Chairs'!B453 = "", "", IF('10 - Office Chairs-WUO_ERR'!A453 = "", "Validated", HYPERLINK("#" &amp; ADDRESS(453, '10 - Office Chairs-WUO_TRK'!A453),_xlfn.TEXTAFTER('10 - Office Chairs-WUO_ERR'!A453, ":"))))</f>
        <v/>
      </c>
    </row>
    <row r="454">
      <c r="A454" s="39">
        <f>IF('10 - Office Chairs'!B454 = "", "", IF('10 - Office Chairs-WUO_ERR'!A454 = "", "Validated", HYPERLINK("#" &amp; ADDRESS(454, '10 - Office Chairs-WUO_TRK'!A454),_xlfn.TEXTAFTER('10 - Office Chairs-WUO_ERR'!A454, ":"))))</f>
        <v/>
      </c>
    </row>
    <row r="455">
      <c r="A455" s="39">
        <f>IF('10 - Office Chairs'!B455 = "", "", IF('10 - Office Chairs-WUO_ERR'!A455 = "", "Validated", HYPERLINK("#" &amp; ADDRESS(455, '10 - Office Chairs-WUO_TRK'!A455),_xlfn.TEXTAFTER('10 - Office Chairs-WUO_ERR'!A455, ":"))))</f>
        <v/>
      </c>
    </row>
    <row r="456">
      <c r="A456" s="39">
        <f>IF('10 - Office Chairs'!B456 = "", "", IF('10 - Office Chairs-WUO_ERR'!A456 = "", "Validated", HYPERLINK("#" &amp; ADDRESS(456, '10 - Office Chairs-WUO_TRK'!A456),_xlfn.TEXTAFTER('10 - Office Chairs-WUO_ERR'!A456, ":"))))</f>
        <v/>
      </c>
    </row>
    <row r="457">
      <c r="A457" s="39">
        <f>IF('10 - Office Chairs'!B457 = "", "", IF('10 - Office Chairs-WUO_ERR'!A457 = "", "Validated", HYPERLINK("#" &amp; ADDRESS(457, '10 - Office Chairs-WUO_TRK'!A457),_xlfn.TEXTAFTER('10 - Office Chairs-WUO_ERR'!A457, ":"))))</f>
        <v/>
      </c>
    </row>
    <row r="458">
      <c r="A458" s="39">
        <f>IF('10 - Office Chairs'!B458 = "", "", IF('10 - Office Chairs-WUO_ERR'!A458 = "", "Validated", HYPERLINK("#" &amp; ADDRESS(458, '10 - Office Chairs-WUO_TRK'!A458),_xlfn.TEXTAFTER('10 - Office Chairs-WUO_ERR'!A458, ":"))))</f>
        <v/>
      </c>
    </row>
    <row r="459">
      <c r="A459" s="39">
        <f>IF('10 - Office Chairs'!B459 = "", "", IF('10 - Office Chairs-WUO_ERR'!A459 = "", "Validated", HYPERLINK("#" &amp; ADDRESS(459, '10 - Office Chairs-WUO_TRK'!A459),_xlfn.TEXTAFTER('10 - Office Chairs-WUO_ERR'!A459, ":"))))</f>
        <v/>
      </c>
    </row>
    <row r="460">
      <c r="A460" s="39">
        <f>IF('10 - Office Chairs'!B460 = "", "", IF('10 - Office Chairs-WUO_ERR'!A460 = "", "Validated", HYPERLINK("#" &amp; ADDRESS(460, '10 - Office Chairs-WUO_TRK'!A460),_xlfn.TEXTAFTER('10 - Office Chairs-WUO_ERR'!A460, ":"))))</f>
        <v/>
      </c>
    </row>
    <row r="461">
      <c r="A461" s="39">
        <f>IF('10 - Office Chairs'!B461 = "", "", IF('10 - Office Chairs-WUO_ERR'!A461 = "", "Validated", HYPERLINK("#" &amp; ADDRESS(461, '10 - Office Chairs-WUO_TRK'!A461),_xlfn.TEXTAFTER('10 - Office Chairs-WUO_ERR'!A461, ":"))))</f>
        <v/>
      </c>
    </row>
    <row r="462">
      <c r="A462" s="39">
        <f>IF('10 - Office Chairs'!B462 = "", "", IF('10 - Office Chairs-WUO_ERR'!A462 = "", "Validated", HYPERLINK("#" &amp; ADDRESS(462, '10 - Office Chairs-WUO_TRK'!A462),_xlfn.TEXTAFTER('10 - Office Chairs-WUO_ERR'!A462, ":"))))</f>
        <v/>
      </c>
    </row>
    <row r="463">
      <c r="A463" s="39">
        <f>IF('10 - Office Chairs'!B463 = "", "", IF('10 - Office Chairs-WUO_ERR'!A463 = "", "Validated", HYPERLINK("#" &amp; ADDRESS(463, '10 - Office Chairs-WUO_TRK'!A463),_xlfn.TEXTAFTER('10 - Office Chairs-WUO_ERR'!A463, ":"))))</f>
        <v/>
      </c>
    </row>
    <row r="464">
      <c r="A464" s="39">
        <f>IF('10 - Office Chairs'!B464 = "", "", IF('10 - Office Chairs-WUO_ERR'!A464 = "", "Validated", HYPERLINK("#" &amp; ADDRESS(464, '10 - Office Chairs-WUO_TRK'!A464),_xlfn.TEXTAFTER('10 - Office Chairs-WUO_ERR'!A464, ":"))))</f>
        <v/>
      </c>
    </row>
    <row r="465">
      <c r="A465" s="39">
        <f>IF('10 - Office Chairs'!B465 = "", "", IF('10 - Office Chairs-WUO_ERR'!A465 = "", "Validated", HYPERLINK("#" &amp; ADDRESS(465, '10 - Office Chairs-WUO_TRK'!A465),_xlfn.TEXTAFTER('10 - Office Chairs-WUO_ERR'!A465, ":"))))</f>
        <v/>
      </c>
    </row>
    <row r="466">
      <c r="A466" s="39">
        <f>IF('10 - Office Chairs'!B466 = "", "", IF('10 - Office Chairs-WUO_ERR'!A466 = "", "Validated", HYPERLINK("#" &amp; ADDRESS(466, '10 - Office Chairs-WUO_TRK'!A466),_xlfn.TEXTAFTER('10 - Office Chairs-WUO_ERR'!A466, ":"))))</f>
        <v/>
      </c>
    </row>
    <row r="467">
      <c r="A467" s="39">
        <f>IF('10 - Office Chairs'!B467 = "", "", IF('10 - Office Chairs-WUO_ERR'!A467 = "", "Validated", HYPERLINK("#" &amp; ADDRESS(467, '10 - Office Chairs-WUO_TRK'!A467),_xlfn.TEXTAFTER('10 - Office Chairs-WUO_ERR'!A467, ":"))))</f>
        <v/>
      </c>
    </row>
    <row r="468">
      <c r="A468" s="39">
        <f>IF('10 - Office Chairs'!B468 = "", "", IF('10 - Office Chairs-WUO_ERR'!A468 = "", "Validated", HYPERLINK("#" &amp; ADDRESS(468, '10 - Office Chairs-WUO_TRK'!A468),_xlfn.TEXTAFTER('10 - Office Chairs-WUO_ERR'!A468, ":"))))</f>
        <v/>
      </c>
    </row>
    <row r="469">
      <c r="A469" s="39">
        <f>IF('10 - Office Chairs'!B469 = "", "", IF('10 - Office Chairs-WUO_ERR'!A469 = "", "Validated", HYPERLINK("#" &amp; ADDRESS(469, '10 - Office Chairs-WUO_TRK'!A469),_xlfn.TEXTAFTER('10 - Office Chairs-WUO_ERR'!A469, ":"))))</f>
        <v/>
      </c>
    </row>
    <row r="470">
      <c r="A470" s="39">
        <f>IF('10 - Office Chairs'!B470 = "", "", IF('10 - Office Chairs-WUO_ERR'!A470 = "", "Validated", HYPERLINK("#" &amp; ADDRESS(470, '10 - Office Chairs-WUO_TRK'!A470),_xlfn.TEXTAFTER('10 - Office Chairs-WUO_ERR'!A470, ":"))))</f>
        <v/>
      </c>
    </row>
    <row r="471">
      <c r="A471" s="39">
        <f>IF('10 - Office Chairs'!B471 = "", "", IF('10 - Office Chairs-WUO_ERR'!A471 = "", "Validated", HYPERLINK("#" &amp; ADDRESS(471, '10 - Office Chairs-WUO_TRK'!A471),_xlfn.TEXTAFTER('10 - Office Chairs-WUO_ERR'!A471, ":"))))</f>
        <v/>
      </c>
    </row>
    <row r="472">
      <c r="A472" s="39">
        <f>IF('10 - Office Chairs'!B472 = "", "", IF('10 - Office Chairs-WUO_ERR'!A472 = "", "Validated", HYPERLINK("#" &amp; ADDRESS(472, '10 - Office Chairs-WUO_TRK'!A472),_xlfn.TEXTAFTER('10 - Office Chairs-WUO_ERR'!A472, ":"))))</f>
        <v/>
      </c>
    </row>
    <row r="473">
      <c r="A473" s="39">
        <f>IF('10 - Office Chairs'!B473 = "", "", IF('10 - Office Chairs-WUO_ERR'!A473 = "", "Validated", HYPERLINK("#" &amp; ADDRESS(473, '10 - Office Chairs-WUO_TRK'!A473),_xlfn.TEXTAFTER('10 - Office Chairs-WUO_ERR'!A473, ":"))))</f>
        <v/>
      </c>
    </row>
    <row r="474">
      <c r="A474" s="39">
        <f>IF('10 - Office Chairs'!B474 = "", "", IF('10 - Office Chairs-WUO_ERR'!A474 = "", "Validated", HYPERLINK("#" &amp; ADDRESS(474, '10 - Office Chairs-WUO_TRK'!A474),_xlfn.TEXTAFTER('10 - Office Chairs-WUO_ERR'!A474, ":"))))</f>
        <v/>
      </c>
    </row>
    <row r="475">
      <c r="A475" s="39">
        <f>IF('10 - Office Chairs'!B475 = "", "", IF('10 - Office Chairs-WUO_ERR'!A475 = "", "Validated", HYPERLINK("#" &amp; ADDRESS(475, '10 - Office Chairs-WUO_TRK'!A475),_xlfn.TEXTAFTER('10 - Office Chairs-WUO_ERR'!A475, ":"))))</f>
        <v/>
      </c>
    </row>
    <row r="476">
      <c r="A476" s="39">
        <f>IF('10 - Office Chairs'!B476 = "", "", IF('10 - Office Chairs-WUO_ERR'!A476 = "", "Validated", HYPERLINK("#" &amp; ADDRESS(476, '10 - Office Chairs-WUO_TRK'!A476),_xlfn.TEXTAFTER('10 - Office Chairs-WUO_ERR'!A476, ":"))))</f>
        <v/>
      </c>
    </row>
    <row r="477">
      <c r="A477" s="39">
        <f>IF('10 - Office Chairs'!B477 = "", "", IF('10 - Office Chairs-WUO_ERR'!A477 = "", "Validated", HYPERLINK("#" &amp; ADDRESS(477, '10 - Office Chairs-WUO_TRK'!A477),_xlfn.TEXTAFTER('10 - Office Chairs-WUO_ERR'!A477, ":"))))</f>
        <v/>
      </c>
    </row>
    <row r="478">
      <c r="A478" s="39">
        <f>IF('10 - Office Chairs'!B478 = "", "", IF('10 - Office Chairs-WUO_ERR'!A478 = "", "Validated", HYPERLINK("#" &amp; ADDRESS(478, '10 - Office Chairs-WUO_TRK'!A478),_xlfn.TEXTAFTER('10 - Office Chairs-WUO_ERR'!A478, ":"))))</f>
        <v/>
      </c>
    </row>
    <row r="479">
      <c r="A479" s="39">
        <f>IF('10 - Office Chairs'!B479 = "", "", IF('10 - Office Chairs-WUO_ERR'!A479 = "", "Validated", HYPERLINK("#" &amp; ADDRESS(479, '10 - Office Chairs-WUO_TRK'!A479),_xlfn.TEXTAFTER('10 - Office Chairs-WUO_ERR'!A479, ":"))))</f>
        <v/>
      </c>
    </row>
    <row r="480">
      <c r="A480" s="39">
        <f>IF('10 - Office Chairs'!B480 = "", "", IF('10 - Office Chairs-WUO_ERR'!A480 = "", "Validated", HYPERLINK("#" &amp; ADDRESS(480, '10 - Office Chairs-WUO_TRK'!A480),_xlfn.TEXTAFTER('10 - Office Chairs-WUO_ERR'!A480, ":"))))</f>
        <v/>
      </c>
    </row>
    <row r="481">
      <c r="A481" s="39">
        <f>IF('10 - Office Chairs'!B481 = "", "", IF('10 - Office Chairs-WUO_ERR'!A481 = "", "Validated", HYPERLINK("#" &amp; ADDRESS(481, '10 - Office Chairs-WUO_TRK'!A481),_xlfn.TEXTAFTER('10 - Office Chairs-WUO_ERR'!A481, ":"))))</f>
        <v/>
      </c>
    </row>
    <row r="482">
      <c r="A482" s="39">
        <f>IF('10 - Office Chairs'!B482 = "", "", IF('10 - Office Chairs-WUO_ERR'!A482 = "", "Validated", HYPERLINK("#" &amp; ADDRESS(482, '10 - Office Chairs-WUO_TRK'!A482),_xlfn.TEXTAFTER('10 - Office Chairs-WUO_ERR'!A482, ":"))))</f>
        <v/>
      </c>
    </row>
    <row r="483">
      <c r="A483" s="39">
        <f>IF('10 - Office Chairs'!B483 = "", "", IF('10 - Office Chairs-WUO_ERR'!A483 = "", "Validated", HYPERLINK("#" &amp; ADDRESS(483, '10 - Office Chairs-WUO_TRK'!A483),_xlfn.TEXTAFTER('10 - Office Chairs-WUO_ERR'!A483, ":"))))</f>
        <v/>
      </c>
    </row>
    <row r="484">
      <c r="A484" s="39">
        <f>IF('10 - Office Chairs'!B484 = "", "", IF('10 - Office Chairs-WUO_ERR'!A484 = "", "Validated", HYPERLINK("#" &amp; ADDRESS(484, '10 - Office Chairs-WUO_TRK'!A484),_xlfn.TEXTAFTER('10 - Office Chairs-WUO_ERR'!A484, ":"))))</f>
        <v/>
      </c>
    </row>
    <row r="485">
      <c r="A485" s="39">
        <f>IF('10 - Office Chairs'!B485 = "", "", IF('10 - Office Chairs-WUO_ERR'!A485 = "", "Validated", HYPERLINK("#" &amp; ADDRESS(485, '10 - Office Chairs-WUO_TRK'!A485),_xlfn.TEXTAFTER('10 - Office Chairs-WUO_ERR'!A485, ":"))))</f>
        <v/>
      </c>
    </row>
    <row r="486">
      <c r="A486" s="39">
        <f>IF('10 - Office Chairs'!B486 = "", "", IF('10 - Office Chairs-WUO_ERR'!A486 = "", "Validated", HYPERLINK("#" &amp; ADDRESS(486, '10 - Office Chairs-WUO_TRK'!A486),_xlfn.TEXTAFTER('10 - Office Chairs-WUO_ERR'!A486, ":"))))</f>
        <v/>
      </c>
    </row>
    <row r="487">
      <c r="A487" s="39">
        <f>IF('10 - Office Chairs'!B487 = "", "", IF('10 - Office Chairs-WUO_ERR'!A487 = "", "Validated", HYPERLINK("#" &amp; ADDRESS(487, '10 - Office Chairs-WUO_TRK'!A487),_xlfn.TEXTAFTER('10 - Office Chairs-WUO_ERR'!A487, ":"))))</f>
        <v/>
      </c>
    </row>
    <row r="488">
      <c r="A488" s="39">
        <f>IF('10 - Office Chairs'!B488 = "", "", IF('10 - Office Chairs-WUO_ERR'!A488 = "", "Validated", HYPERLINK("#" &amp; ADDRESS(488, '10 - Office Chairs-WUO_TRK'!A488),_xlfn.TEXTAFTER('10 - Office Chairs-WUO_ERR'!A488, ":"))))</f>
        <v/>
      </c>
    </row>
    <row r="489">
      <c r="A489" s="39">
        <f>IF('10 - Office Chairs'!B489 = "", "", IF('10 - Office Chairs-WUO_ERR'!A489 = "", "Validated", HYPERLINK("#" &amp; ADDRESS(489, '10 - Office Chairs-WUO_TRK'!A489),_xlfn.TEXTAFTER('10 - Office Chairs-WUO_ERR'!A489, ":"))))</f>
        <v/>
      </c>
    </row>
    <row r="490">
      <c r="A490" s="39">
        <f>IF('10 - Office Chairs'!B490 = "", "", IF('10 - Office Chairs-WUO_ERR'!A490 = "", "Validated", HYPERLINK("#" &amp; ADDRESS(490, '10 - Office Chairs-WUO_TRK'!A490),_xlfn.TEXTAFTER('10 - Office Chairs-WUO_ERR'!A490, ":"))))</f>
        <v/>
      </c>
    </row>
    <row r="491">
      <c r="A491" s="39">
        <f>IF('10 - Office Chairs'!B491 = "", "", IF('10 - Office Chairs-WUO_ERR'!A491 = "", "Validated", HYPERLINK("#" &amp; ADDRESS(491, '10 - Office Chairs-WUO_TRK'!A491),_xlfn.TEXTAFTER('10 - Office Chairs-WUO_ERR'!A491, ":"))))</f>
        <v/>
      </c>
    </row>
    <row r="492">
      <c r="A492" s="39">
        <f>IF('10 - Office Chairs'!B492 = "", "", IF('10 - Office Chairs-WUO_ERR'!A492 = "", "Validated", HYPERLINK("#" &amp; ADDRESS(492, '10 - Office Chairs-WUO_TRK'!A492),_xlfn.TEXTAFTER('10 - Office Chairs-WUO_ERR'!A492, ":"))))</f>
        <v/>
      </c>
    </row>
    <row r="493">
      <c r="A493" s="39">
        <f>IF('10 - Office Chairs'!B493 = "", "", IF('10 - Office Chairs-WUO_ERR'!A493 = "", "Validated", HYPERLINK("#" &amp; ADDRESS(493, '10 - Office Chairs-WUO_TRK'!A493),_xlfn.TEXTAFTER('10 - Office Chairs-WUO_ERR'!A493, ":"))))</f>
        <v/>
      </c>
    </row>
    <row r="494">
      <c r="A494" s="39">
        <f>IF('10 - Office Chairs'!B494 = "", "", IF('10 - Office Chairs-WUO_ERR'!A494 = "", "Validated", HYPERLINK("#" &amp; ADDRESS(494, '10 - Office Chairs-WUO_TRK'!A494),_xlfn.TEXTAFTER('10 - Office Chairs-WUO_ERR'!A494, ":"))))</f>
        <v/>
      </c>
    </row>
    <row r="495">
      <c r="A495" s="39">
        <f>IF('10 - Office Chairs'!B495 = "", "", IF('10 - Office Chairs-WUO_ERR'!A495 = "", "Validated", HYPERLINK("#" &amp; ADDRESS(495, '10 - Office Chairs-WUO_TRK'!A495),_xlfn.TEXTAFTER('10 - Office Chairs-WUO_ERR'!A495, ":"))))</f>
        <v/>
      </c>
    </row>
    <row r="496">
      <c r="A496" s="39">
        <f>IF('10 - Office Chairs'!B496 = "", "", IF('10 - Office Chairs-WUO_ERR'!A496 = "", "Validated", HYPERLINK("#" &amp; ADDRESS(496, '10 - Office Chairs-WUO_TRK'!A496),_xlfn.TEXTAFTER('10 - Office Chairs-WUO_ERR'!A496, ":"))))</f>
        <v/>
      </c>
    </row>
    <row r="497">
      <c r="A497" s="39">
        <f>IF('10 - Office Chairs'!B497 = "", "", IF('10 - Office Chairs-WUO_ERR'!A497 = "", "Validated", HYPERLINK("#" &amp; ADDRESS(497, '10 - Office Chairs-WUO_TRK'!A497),_xlfn.TEXTAFTER('10 - Office Chairs-WUO_ERR'!A497, ":"))))</f>
        <v/>
      </c>
    </row>
    <row r="498">
      <c r="A498" s="39">
        <f>IF('10 - Office Chairs'!B498 = "", "", IF('10 - Office Chairs-WUO_ERR'!A498 = "", "Validated", HYPERLINK("#" &amp; ADDRESS(498, '10 - Office Chairs-WUO_TRK'!A498),_xlfn.TEXTAFTER('10 - Office Chairs-WUO_ERR'!A498, ":"))))</f>
        <v/>
      </c>
    </row>
    <row r="499">
      <c r="A499" s="39">
        <f>IF('10 - Office Chairs'!B499 = "", "", IF('10 - Office Chairs-WUO_ERR'!A499 = "", "Validated", HYPERLINK("#" &amp; ADDRESS(499, '10 - Office Chairs-WUO_TRK'!A499),_xlfn.TEXTAFTER('10 - Office Chairs-WUO_ERR'!A499, ":"))))</f>
        <v/>
      </c>
    </row>
    <row r="500">
      <c r="A500" s="39">
        <f>IF('10 - Office Chairs'!B500 = "", "", IF('10 - Office Chairs-WUO_ERR'!A500 = "", "Validated", HYPERLINK("#" &amp; ADDRESS(500, '10 - Office Chairs-WUO_TRK'!A500),_xlfn.TEXTAFTER('10 - Office Chairs-WUO_ERR'!A500, ":"))))</f>
        <v/>
      </c>
    </row>
    <row r="501">
      <c r="A501" s="39">
        <f>IF('10 - Office Chairs'!B501 = "", "", IF('10 - Office Chairs-WUO_ERR'!A501 = "", "Validated", HYPERLINK("#" &amp; ADDRESS(501, '10 - Office Chairs-WUO_TRK'!A501),_xlfn.TEXTAFTER('10 - Office Chairs-WUO_ERR'!A501, ":"))))</f>
        <v/>
      </c>
    </row>
    <row r="502">
      <c r="A502" s="39">
        <f>IF('10 - Office Chairs'!B502 = "", "", IF('10 - Office Chairs-WUO_ERR'!A502 = "", "Validated", HYPERLINK("#" &amp; ADDRESS(502, '10 - Office Chairs-WUO_TRK'!A502),_xlfn.TEXTAFTER('10 - Office Chairs-WUO_ERR'!A502, ":"))))</f>
        <v/>
      </c>
    </row>
    <row r="503">
      <c r="A503" s="39">
        <f>IF('10 - Office Chairs'!B503 = "", "", IF('10 - Office Chairs-WUO_ERR'!A503 = "", "Validated", HYPERLINK("#" &amp; ADDRESS(503, '10 - Office Chairs-WUO_TRK'!A503),_xlfn.TEXTAFTER('10 - Office Chairs-WUO_ERR'!A503, ":"))))</f>
        <v/>
      </c>
    </row>
    <row r="504">
      <c r="A504" s="39">
        <f>IF('10 - Office Chairs'!B504 = "", "", IF('10 - Office Chairs-WUO_ERR'!A504 = "", "Validated", HYPERLINK("#" &amp; ADDRESS(504, '10 - Office Chairs-WUO_TRK'!A504),_xlfn.TEXTAFTER('10 - Office Chairs-WUO_ERR'!A504, ":"))))</f>
        <v/>
      </c>
    </row>
    <row r="505">
      <c r="A505" s="39">
        <f>IF('10 - Office Chairs'!B505 = "", "", IF('10 - Office Chairs-WUO_ERR'!A505 = "", "Validated", HYPERLINK("#" &amp; ADDRESS(505, '10 - Office Chairs-WUO_TRK'!A505),_xlfn.TEXTAFTER('10 - Office Chairs-WUO_ERR'!A505, ":"))))</f>
        <v/>
      </c>
    </row>
    <row r="506">
      <c r="A506" s="39">
        <f>IF('10 - Office Chairs'!B506 = "", "", IF('10 - Office Chairs-WUO_ERR'!A506 = "", "Validated", HYPERLINK("#" &amp; ADDRESS(506, '10 - Office Chairs-WUO_TRK'!A506),_xlfn.TEXTAFTER('10 - Office Chairs-WUO_ERR'!A506, ":"))))</f>
        <v/>
      </c>
    </row>
    <row r="507">
      <c r="A507" s="39">
        <f>IF('10 - Office Chairs'!B507 = "", "", IF('10 - Office Chairs-WUO_ERR'!A507 = "", "Validated", HYPERLINK("#" &amp; ADDRESS(507, '10 - Office Chairs-WUO_TRK'!A507),_xlfn.TEXTAFTER('10 - Office Chairs-WUO_ERR'!A507, ":"))))</f>
        <v/>
      </c>
    </row>
  </sheetData>
  <sheetProtection selectLockedCells="0" selectUnlockedCells="0" sheet="1" objects="1" insertRows="1" insertHyperlinks="1" autoFilter="1" scenarios="1" formatColumns="0" deleteColumns="1" insertColumns="1" pivotTables="1" deleteRows="1" formatCells="1" formatRows="0" sort="1" password="9B2C"/>
  <mergeCells count="9">
    <mergeCell ref="AL2:AO2"/>
    <mergeCell ref="AP2:AS2"/>
    <mergeCell ref="U2:Z2"/>
    <mergeCell ref="BO2:FP2"/>
    <mergeCell ref="R2:T2"/>
    <mergeCell ref="B2:I2"/>
    <mergeCell ref="AA2:AK2"/>
    <mergeCell ref="AT2:BN2"/>
    <mergeCell ref="J2:Q2"/>
  </mergeCells>
  <conditionalFormatting sqref="A8:A507">
    <cfRule type="expression" priority="5" dxfId="4">
      <formula>A8="Validated"</formula>
    </cfRule>
    <cfRule type="expression" priority="6" dxfId="5">
      <formula>OR(COUNTIF('10 - Office Chairs-WUO_TRK'!B8:FQ8,"Error"),COUNTIF('10 - Office Chairs-WUO_TRK'!B8:FQ8,"Required"))</formula>
    </cfRule>
    <cfRule type="expression" priority="7" dxfId="6">
      <formula>COUNTIF('10 - Office Chairs-WUO_TRK'!B8:FQ8,"Warning")</formula>
    </cfRule>
  </conditionalFormatting>
  <conditionalFormatting sqref="AA7">
    <cfRule type="notContainsBlanks" priority="38" dxfId="7">
      <formula>LEN(TRIM(AA7))&gt;0</formula>
    </cfRule>
    <cfRule type="containsBlanks" priority="39" dxfId="8">
      <formula>LEN(TRIM(AA7))=0</formula>
    </cfRule>
  </conditionalFormatting>
  <conditionalFormatting sqref="AA8:AA2501">
    <cfRule type="expression" priority="40" dxfId="7">
      <formula>AND($AA$7&lt;&gt;"", AA8="")</formula>
    </cfRule>
  </conditionalFormatting>
  <conditionalFormatting sqref="AB7">
    <cfRule type="notContainsBlanks" priority="41" dxfId="7">
      <formula>LEN(TRIM(AB7))&gt;0</formula>
    </cfRule>
    <cfRule type="containsBlanks" priority="42" dxfId="8">
      <formula>LEN(TRIM(AB7))=0</formula>
    </cfRule>
  </conditionalFormatting>
  <conditionalFormatting sqref="AB8:AB2501">
    <cfRule type="expression" priority="43" dxfId="7">
      <formula>AND($AB$7&lt;&gt;"", AB8="")</formula>
    </cfRule>
  </conditionalFormatting>
  <conditionalFormatting sqref="AC7">
    <cfRule type="notContainsBlanks" priority="44" dxfId="7">
      <formula>LEN(TRIM(AC7))&gt;0</formula>
    </cfRule>
    <cfRule type="containsBlanks" priority="45" dxfId="8">
      <formula>LEN(TRIM(AC7))=0</formula>
    </cfRule>
  </conditionalFormatting>
  <conditionalFormatting sqref="AC8:AC2501">
    <cfRule type="expression" priority="46" dxfId="7">
      <formula>AND($AC$7&lt;&gt;"", AC8="")</formula>
    </cfRule>
  </conditionalFormatting>
  <conditionalFormatting sqref="AD7">
    <cfRule type="notContainsBlanks" priority="47" dxfId="7">
      <formula>LEN(TRIM(AD7))&gt;0</formula>
    </cfRule>
    <cfRule type="containsBlanks" priority="48" dxfId="8">
      <formula>LEN(TRIM(AD7))=0</formula>
    </cfRule>
  </conditionalFormatting>
  <conditionalFormatting sqref="AD8:AD2501">
    <cfRule type="expression" priority="49" dxfId="7">
      <formula>AND($AD$7&lt;&gt;"", AD8="")</formula>
    </cfRule>
  </conditionalFormatting>
  <conditionalFormatting sqref="AE7">
    <cfRule type="notContainsBlanks" priority="50" dxfId="7">
      <formula>LEN(TRIM(AE7))&gt;0</formula>
    </cfRule>
    <cfRule type="containsBlanks" priority="51" dxfId="8">
      <formula>LEN(TRIM(AE7))=0</formula>
    </cfRule>
  </conditionalFormatting>
  <conditionalFormatting sqref="AE8:AE2501">
    <cfRule type="expression" priority="52" dxfId="7">
      <formula>AND($AE$7&lt;&gt;"", AE8="")</formula>
    </cfRule>
  </conditionalFormatting>
  <conditionalFormatting sqref="AF7">
    <cfRule type="notContainsBlanks" priority="53" dxfId="7">
      <formula>LEN(TRIM(AF7))&gt;0</formula>
    </cfRule>
    <cfRule type="containsBlanks" priority="54" dxfId="8">
      <formula>LEN(TRIM(AF7))=0</formula>
    </cfRule>
  </conditionalFormatting>
  <conditionalFormatting sqref="AF8:AF2501">
    <cfRule type="expression" priority="55" dxfId="7">
      <formula>AND($AF$7&lt;&gt;"", AF8="")</formula>
    </cfRule>
  </conditionalFormatting>
  <conditionalFormatting sqref="AG7">
    <cfRule type="notContainsBlanks" priority="56" dxfId="7">
      <formula>LEN(TRIM(AG7))&gt;0</formula>
    </cfRule>
    <cfRule type="containsBlanks" priority="57" dxfId="8">
      <formula>LEN(TRIM(AG7))=0</formula>
    </cfRule>
  </conditionalFormatting>
  <conditionalFormatting sqref="AG8:AG2501">
    <cfRule type="expression" priority="58" dxfId="7">
      <formula>AND($AG$7&lt;&gt;"", AG8="")</formula>
    </cfRule>
  </conditionalFormatting>
  <conditionalFormatting sqref="AH7">
    <cfRule type="notContainsBlanks" priority="59" dxfId="7">
      <formula>LEN(TRIM(AH7))&gt;0</formula>
    </cfRule>
    <cfRule type="containsBlanks" priority="60" dxfId="8">
      <formula>LEN(TRIM(AH7))=0</formula>
    </cfRule>
  </conditionalFormatting>
  <conditionalFormatting sqref="AH8:AH2501">
    <cfRule type="expression" priority="61" dxfId="7">
      <formula>AND($AH$7&lt;&gt;"", AH8="")</formula>
    </cfRule>
  </conditionalFormatting>
  <conditionalFormatting sqref="AI7">
    <cfRule type="notContainsBlanks" priority="62" dxfId="7">
      <formula>LEN(TRIM(AI7))&gt;0</formula>
    </cfRule>
    <cfRule type="containsBlanks" priority="63" dxfId="8">
      <formula>LEN(TRIM(AI7))=0</formula>
    </cfRule>
  </conditionalFormatting>
  <conditionalFormatting sqref="AI8:AI2501">
    <cfRule type="expression" priority="64" dxfId="7">
      <formula>AND($AI$7&lt;&gt;"", AI8="")</formula>
    </cfRule>
  </conditionalFormatting>
  <conditionalFormatting sqref="AJ7">
    <cfRule type="notContainsBlanks" priority="65" dxfId="7">
      <formula>LEN(TRIM(AJ7))&gt;0</formula>
    </cfRule>
    <cfRule type="containsBlanks" priority="66" dxfId="8">
      <formula>LEN(TRIM(AJ7))=0</formula>
    </cfRule>
  </conditionalFormatting>
  <conditionalFormatting sqref="AJ8:AJ2501">
    <cfRule type="expression" priority="67" dxfId="7">
      <formula>AND($AJ$7&lt;&gt;"", AJ8="")</formula>
    </cfRule>
  </conditionalFormatting>
  <conditionalFormatting sqref="AK7">
    <cfRule type="notContainsBlanks" priority="68" dxfId="7">
      <formula>LEN(TRIM(AK7))&gt;0</formula>
    </cfRule>
    <cfRule type="containsBlanks" priority="69" dxfId="8">
      <formula>LEN(TRIM(AK7))=0</formula>
    </cfRule>
  </conditionalFormatting>
  <conditionalFormatting sqref="AK8:AK2501">
    <cfRule type="expression" priority="70" dxfId="7">
      <formula>AND($AK$7&lt;&gt;"", AK8="")</formula>
    </cfRule>
  </conditionalFormatting>
  <conditionalFormatting sqref="AL7">
    <cfRule type="notContainsBlanks" priority="71" dxfId="7">
      <formula>LEN(TRIM(AL7))&gt;0</formula>
    </cfRule>
    <cfRule type="containsBlanks" priority="72" dxfId="8">
      <formula>LEN(TRIM(AL7))=0</formula>
    </cfRule>
  </conditionalFormatting>
  <conditionalFormatting sqref="AL8:AL2501">
    <cfRule type="expression" priority="73" dxfId="7">
      <formula>AND($AL$7&lt;&gt;"", AL8="")</formula>
    </cfRule>
  </conditionalFormatting>
  <conditionalFormatting sqref="AM7">
    <cfRule type="notContainsBlanks" priority="74" dxfId="7">
      <formula>LEN(TRIM(AM7))&gt;0</formula>
    </cfRule>
    <cfRule type="containsBlanks" priority="75" dxfId="8">
      <formula>LEN(TRIM(AM7))=0</formula>
    </cfRule>
  </conditionalFormatting>
  <conditionalFormatting sqref="AM8:AM2501">
    <cfRule type="expression" priority="76" dxfId="7">
      <formula>AND($AM$7&lt;&gt;"", AM8="")</formula>
    </cfRule>
  </conditionalFormatting>
  <conditionalFormatting sqref="AN7">
    <cfRule type="notContainsBlanks" priority="77" dxfId="7">
      <formula>LEN(TRIM(AN7))&gt;0</formula>
    </cfRule>
    <cfRule type="containsBlanks" priority="78" dxfId="8">
      <formula>LEN(TRIM(AN7))=0</formula>
    </cfRule>
  </conditionalFormatting>
  <conditionalFormatting sqref="AN8:AN2501">
    <cfRule type="expression" priority="79" dxfId="7">
      <formula>AND($AN$7&lt;&gt;"", AN8="")</formula>
    </cfRule>
  </conditionalFormatting>
  <conditionalFormatting sqref="AO7">
    <cfRule type="notContainsBlanks" priority="80" dxfId="7">
      <formula>LEN(TRIM(AO7))&gt;0</formula>
    </cfRule>
    <cfRule type="containsBlanks" priority="81" dxfId="8">
      <formula>LEN(TRIM(AO7))=0</formula>
    </cfRule>
  </conditionalFormatting>
  <conditionalFormatting sqref="AO8:AO2501">
    <cfRule type="expression" priority="82" dxfId="7">
      <formula>AND($AO$7&lt;&gt;"", AO8="")</formula>
    </cfRule>
  </conditionalFormatting>
  <conditionalFormatting sqref="AP7">
    <cfRule type="notContainsBlanks" priority="83" dxfId="7">
      <formula>LEN(TRIM(AP7))&gt;0</formula>
    </cfRule>
    <cfRule type="containsBlanks" priority="84" dxfId="8">
      <formula>LEN(TRIM(AP7))=0</formula>
    </cfRule>
  </conditionalFormatting>
  <conditionalFormatting sqref="AP8:AP2501">
    <cfRule type="expression" priority="85" dxfId="7">
      <formula>AND($AP$7&lt;&gt;"", AP8="")</formula>
    </cfRule>
  </conditionalFormatting>
  <conditionalFormatting sqref="AQ7">
    <cfRule type="notContainsBlanks" priority="86" dxfId="7">
      <formula>LEN(TRIM(AQ7))&gt;0</formula>
    </cfRule>
    <cfRule type="containsBlanks" priority="87" dxfId="8">
      <formula>LEN(TRIM(AQ7))=0</formula>
    </cfRule>
  </conditionalFormatting>
  <conditionalFormatting sqref="AQ8:AQ2501">
    <cfRule type="expression" priority="88" dxfId="7">
      <formula>AND($AQ$7&lt;&gt;"", AQ8="")</formula>
    </cfRule>
  </conditionalFormatting>
  <conditionalFormatting sqref="AR7">
    <cfRule type="notContainsBlanks" priority="89" dxfId="7">
      <formula>LEN(TRIM(AR7))&gt;0</formula>
    </cfRule>
    <cfRule type="containsBlanks" priority="90" dxfId="8">
      <formula>LEN(TRIM(AR7))=0</formula>
    </cfRule>
  </conditionalFormatting>
  <conditionalFormatting sqref="AR8:AR2501">
    <cfRule type="expression" priority="91" dxfId="7">
      <formula>AND($AR$7&lt;&gt;"", AR8="")</formula>
    </cfRule>
  </conditionalFormatting>
  <conditionalFormatting sqref="AS7">
    <cfRule type="notContainsBlanks" priority="92" dxfId="7">
      <formula>LEN(TRIM(AS7))&gt;0</formula>
    </cfRule>
    <cfRule type="containsBlanks" priority="93" dxfId="8">
      <formula>LEN(TRIM(AS7))=0</formula>
    </cfRule>
  </conditionalFormatting>
  <conditionalFormatting sqref="AS8:AS2501">
    <cfRule type="expression" priority="94" dxfId="7">
      <formula>AND($AS$7&lt;&gt;"", AS8="")</formula>
    </cfRule>
  </conditionalFormatting>
  <conditionalFormatting sqref="AZ7">
    <cfRule type="notContainsBlanks" priority="95" dxfId="7">
      <formula>LEN(TRIM(AZ7))&gt;0</formula>
    </cfRule>
    <cfRule type="containsBlanks" priority="96" dxfId="8">
      <formula>LEN(TRIM(AZ7))=0</formula>
    </cfRule>
  </conditionalFormatting>
  <conditionalFormatting sqref="AZ8:AZ2501">
    <cfRule type="expression" priority="97" dxfId="7">
      <formula>AND($AZ$7&lt;&gt;"", AZ8="")</formula>
    </cfRule>
  </conditionalFormatting>
  <conditionalFormatting sqref="B8:FQ507">
    <cfRule type="expression" priority="1" dxfId="0">
      <formula>'10 - Office Chairs-WUO_TRK'!B8="Error"</formula>
    </cfRule>
    <cfRule type="expression" priority="2" dxfId="1">
      <formula>'10 - Office Chairs-WUO_TRK'!B8="Required"</formula>
    </cfRule>
    <cfRule type="expression" priority="3" dxfId="2">
      <formula>'10 - Office Chairs-WUO_TRK'!B8="Warning"</formula>
    </cfRule>
    <cfRule type="expression" priority="4" dxfId="3">
      <formula>'10 - Office Chairs-WUO_TRK'!B8="Disabled"</formula>
    </cfRule>
  </conditionalFormatting>
  <conditionalFormatting sqref="BA7">
    <cfRule type="notContainsBlanks" priority="98" dxfId="7">
      <formula>LEN(TRIM(BA7))&gt;0</formula>
    </cfRule>
    <cfRule type="containsBlanks" priority="99" dxfId="8">
      <formula>LEN(TRIM(BA7))=0</formula>
    </cfRule>
  </conditionalFormatting>
  <conditionalFormatting sqref="BA8:BA2501">
    <cfRule type="expression" priority="100" dxfId="7">
      <formula>AND($BA$7&lt;&gt;"", BA8="")</formula>
    </cfRule>
  </conditionalFormatting>
  <conditionalFormatting sqref="BB7">
    <cfRule type="notContainsBlanks" priority="101" dxfId="7">
      <formula>LEN(TRIM(BB7))&gt;0</formula>
    </cfRule>
    <cfRule type="containsBlanks" priority="102" dxfId="8">
      <formula>LEN(TRIM(BB7))=0</formula>
    </cfRule>
  </conditionalFormatting>
  <conditionalFormatting sqref="BB8:BB2501">
    <cfRule type="expression" priority="103" dxfId="7">
      <formula>AND($BB$7&lt;&gt;"", BB8="")</formula>
    </cfRule>
  </conditionalFormatting>
  <conditionalFormatting sqref="BC7">
    <cfRule type="notContainsBlanks" priority="104" dxfId="7">
      <formula>LEN(TRIM(BC7))&gt;0</formula>
    </cfRule>
    <cfRule type="containsBlanks" priority="105" dxfId="8">
      <formula>LEN(TRIM(BC7))=0</formula>
    </cfRule>
  </conditionalFormatting>
  <conditionalFormatting sqref="BC8:BC2501">
    <cfRule type="expression" priority="106" dxfId="7">
      <formula>AND($BC$7&lt;&gt;"", BC8="")</formula>
    </cfRule>
  </conditionalFormatting>
  <conditionalFormatting sqref="BD7">
    <cfRule type="notContainsBlanks" priority="107" dxfId="7">
      <formula>LEN(TRIM(BD7))&gt;0</formula>
    </cfRule>
    <cfRule type="containsBlanks" priority="108" dxfId="8">
      <formula>LEN(TRIM(BD7))=0</formula>
    </cfRule>
  </conditionalFormatting>
  <conditionalFormatting sqref="BD8:BD2501">
    <cfRule type="expression" priority="109" dxfId="7">
      <formula>AND($BD$7&lt;&gt;"", BD8="")</formula>
    </cfRule>
  </conditionalFormatting>
  <conditionalFormatting sqref="BE7">
    <cfRule type="notContainsBlanks" priority="110" dxfId="7">
      <formula>LEN(TRIM(BE7))&gt;0</formula>
    </cfRule>
    <cfRule type="containsBlanks" priority="111" dxfId="8">
      <formula>LEN(TRIM(BE7))=0</formula>
    </cfRule>
  </conditionalFormatting>
  <conditionalFormatting sqref="BE8:BE2501">
    <cfRule type="expression" priority="112" dxfId="7">
      <formula>AND($BE$7&lt;&gt;"", BE8="")</formula>
    </cfRule>
  </conditionalFormatting>
  <conditionalFormatting sqref="BF7">
    <cfRule type="notContainsBlanks" priority="113" dxfId="7">
      <formula>LEN(TRIM(BF7))&gt;0</formula>
    </cfRule>
    <cfRule type="containsBlanks" priority="114" dxfId="8">
      <formula>LEN(TRIM(BF7))=0</formula>
    </cfRule>
  </conditionalFormatting>
  <conditionalFormatting sqref="BF8:BF2501">
    <cfRule type="expression" priority="115" dxfId="7">
      <formula>AND($BF$7&lt;&gt;"", BF8="")</formula>
    </cfRule>
  </conditionalFormatting>
  <conditionalFormatting sqref="BG7">
    <cfRule type="notContainsBlanks" priority="116" dxfId="7">
      <formula>LEN(TRIM(BG7))&gt;0</formula>
    </cfRule>
    <cfRule type="containsBlanks" priority="117" dxfId="8">
      <formula>LEN(TRIM(BG7))=0</formula>
    </cfRule>
  </conditionalFormatting>
  <conditionalFormatting sqref="BG8:BG2501">
    <cfRule type="expression" priority="118" dxfId="7">
      <formula>AND($BG$7&lt;&gt;"", BG8="")</formula>
    </cfRule>
  </conditionalFormatting>
  <conditionalFormatting sqref="BH7">
    <cfRule type="notContainsBlanks" priority="119" dxfId="7">
      <formula>LEN(TRIM(BH7))&gt;0</formula>
    </cfRule>
    <cfRule type="containsBlanks" priority="120" dxfId="8">
      <formula>LEN(TRIM(BH7))=0</formula>
    </cfRule>
  </conditionalFormatting>
  <conditionalFormatting sqref="BH8:BH2501">
    <cfRule type="expression" priority="121" dxfId="7">
      <formula>AND($BH$7&lt;&gt;"", BH8="")</formula>
    </cfRule>
  </conditionalFormatting>
  <conditionalFormatting sqref="BI7">
    <cfRule type="notContainsBlanks" priority="122" dxfId="7">
      <formula>LEN(TRIM(BI7))&gt;0</formula>
    </cfRule>
    <cfRule type="containsBlanks" priority="123" dxfId="8">
      <formula>LEN(TRIM(BI7))=0</formula>
    </cfRule>
  </conditionalFormatting>
  <conditionalFormatting sqref="BI8:BI2501">
    <cfRule type="expression" priority="124" dxfId="7">
      <formula>AND($BI$7&lt;&gt;"", BI8="")</formula>
    </cfRule>
  </conditionalFormatting>
  <conditionalFormatting sqref="BJ7">
    <cfRule type="notContainsBlanks" priority="125" dxfId="7">
      <formula>LEN(TRIM(BJ7))&gt;0</formula>
    </cfRule>
    <cfRule type="containsBlanks" priority="126" dxfId="8">
      <formula>LEN(TRIM(BJ7))=0</formula>
    </cfRule>
  </conditionalFormatting>
  <conditionalFormatting sqref="BJ8:BJ2501">
    <cfRule type="expression" priority="127" dxfId="7">
      <formula>AND($BJ$7&lt;&gt;"", BJ8="")</formula>
    </cfRule>
  </conditionalFormatting>
  <conditionalFormatting sqref="BK7">
    <cfRule type="notContainsBlanks" priority="128" dxfId="7">
      <formula>LEN(TRIM(BK7))&gt;0</formula>
    </cfRule>
    <cfRule type="containsBlanks" priority="129" dxfId="8">
      <formula>LEN(TRIM(BK7))=0</formula>
    </cfRule>
  </conditionalFormatting>
  <conditionalFormatting sqref="BK8:BK2501">
    <cfRule type="expression" priority="130" dxfId="7">
      <formula>AND($BK$7&lt;&gt;"", BK8="")</formula>
    </cfRule>
  </conditionalFormatting>
  <conditionalFormatting sqref="BL7">
    <cfRule type="notContainsBlanks" priority="131" dxfId="7">
      <formula>LEN(TRIM(BL7))&gt;0</formula>
    </cfRule>
    <cfRule type="containsBlanks" priority="132" dxfId="8">
      <formula>LEN(TRIM(BL7))=0</formula>
    </cfRule>
  </conditionalFormatting>
  <conditionalFormatting sqref="BL8:BL2501">
    <cfRule type="expression" priority="133" dxfId="7">
      <formula>AND($BL$7&lt;&gt;"", BL8="")</formula>
    </cfRule>
  </conditionalFormatting>
  <conditionalFormatting sqref="BM7">
    <cfRule type="notContainsBlanks" priority="134" dxfId="7">
      <formula>LEN(TRIM(BM7))&gt;0</formula>
    </cfRule>
    <cfRule type="containsBlanks" priority="135" dxfId="8">
      <formula>LEN(TRIM(BM7))=0</formula>
    </cfRule>
  </conditionalFormatting>
  <conditionalFormatting sqref="BM8:BM2501">
    <cfRule type="expression" priority="136" dxfId="7">
      <formula>AND($BM$7&lt;&gt;"", BM8="")</formula>
    </cfRule>
  </conditionalFormatting>
  <conditionalFormatting sqref="BN7">
    <cfRule type="notContainsBlanks" priority="137" dxfId="7">
      <formula>LEN(TRIM(BN7))&gt;0</formula>
    </cfRule>
    <cfRule type="containsBlanks" priority="138" dxfId="8">
      <formula>LEN(TRIM(BN7))=0</formula>
    </cfRule>
  </conditionalFormatting>
  <conditionalFormatting sqref="BN8:BN2501">
    <cfRule type="expression" priority="139" dxfId="7">
      <formula>AND($BN$7&lt;&gt;"", BN8="")</formula>
    </cfRule>
  </conditionalFormatting>
  <conditionalFormatting sqref="BO7">
    <cfRule type="notContainsBlanks" priority="140" dxfId="7">
      <formula>LEN(TRIM(BO7))&gt;0</formula>
    </cfRule>
    <cfRule type="containsBlanks" priority="141" dxfId="8">
      <formula>LEN(TRIM(BO7))=0</formula>
    </cfRule>
  </conditionalFormatting>
  <conditionalFormatting sqref="BO8:BO2501">
    <cfRule type="expression" priority="142" dxfId="7">
      <formula>AND($BO$7&lt;&gt;"", BO8="")</formula>
    </cfRule>
  </conditionalFormatting>
  <conditionalFormatting sqref="BP7">
    <cfRule type="notContainsBlanks" priority="143" dxfId="7">
      <formula>LEN(TRIM(BP7))&gt;0</formula>
    </cfRule>
    <cfRule type="containsBlanks" priority="144" dxfId="8">
      <formula>LEN(TRIM(BP7))=0</formula>
    </cfRule>
  </conditionalFormatting>
  <conditionalFormatting sqref="BP8:BP2501">
    <cfRule type="expression" priority="145" dxfId="7">
      <formula>AND($BP$7&lt;&gt;"", BP8="")</formula>
    </cfRule>
  </conditionalFormatting>
  <conditionalFormatting sqref="BQ7">
    <cfRule type="notContainsBlanks" priority="146" dxfId="7">
      <formula>LEN(TRIM(BQ7))&gt;0</formula>
    </cfRule>
    <cfRule type="containsBlanks" priority="147" dxfId="8">
      <formula>LEN(TRIM(BQ7))=0</formula>
    </cfRule>
  </conditionalFormatting>
  <conditionalFormatting sqref="BQ8:BQ2501">
    <cfRule type="expression" priority="148" dxfId="7">
      <formula>AND($BQ$7&lt;&gt;"", BQ8="")</formula>
    </cfRule>
  </conditionalFormatting>
  <conditionalFormatting sqref="BR7">
    <cfRule type="notContainsBlanks" priority="149" dxfId="7">
      <formula>LEN(TRIM(BR7))&gt;0</formula>
    </cfRule>
    <cfRule type="containsBlanks" priority="150" dxfId="8">
      <formula>LEN(TRIM(BR7))=0</formula>
    </cfRule>
  </conditionalFormatting>
  <conditionalFormatting sqref="BR8:BR2501">
    <cfRule type="expression" priority="151" dxfId="7">
      <formula>AND($BR$7&lt;&gt;"", BR8="")</formula>
    </cfRule>
  </conditionalFormatting>
  <conditionalFormatting sqref="BS7">
    <cfRule type="notContainsBlanks" priority="152" dxfId="7">
      <formula>LEN(TRIM(BS7))&gt;0</formula>
    </cfRule>
    <cfRule type="containsBlanks" priority="153" dxfId="8">
      <formula>LEN(TRIM(BS7))=0</formula>
    </cfRule>
  </conditionalFormatting>
  <conditionalFormatting sqref="BS8:BS2501">
    <cfRule type="expression" priority="154" dxfId="7">
      <formula>AND($BS$7&lt;&gt;"", BS8="")</formula>
    </cfRule>
  </conditionalFormatting>
  <conditionalFormatting sqref="BT7">
    <cfRule type="notContainsBlanks" priority="155" dxfId="7">
      <formula>LEN(TRIM(BT7))&gt;0</formula>
    </cfRule>
    <cfRule type="containsBlanks" priority="156" dxfId="8">
      <formula>LEN(TRIM(BT7))=0</formula>
    </cfRule>
  </conditionalFormatting>
  <conditionalFormatting sqref="BT8:BT2501">
    <cfRule type="expression" priority="157" dxfId="7">
      <formula>AND($BT$7&lt;&gt;"", BT8="")</formula>
    </cfRule>
  </conditionalFormatting>
  <conditionalFormatting sqref="BU7">
    <cfRule type="notContainsBlanks" priority="158" dxfId="7">
      <formula>LEN(TRIM(BU7))&gt;0</formula>
    </cfRule>
    <cfRule type="containsBlanks" priority="159" dxfId="8">
      <formula>LEN(TRIM(BU7))=0</formula>
    </cfRule>
  </conditionalFormatting>
  <conditionalFormatting sqref="BU8:BU2501">
    <cfRule type="expression" priority="160" dxfId="7">
      <formula>AND($BU$7&lt;&gt;"", BU8="")</formula>
    </cfRule>
  </conditionalFormatting>
  <conditionalFormatting sqref="BV7">
    <cfRule type="notContainsBlanks" priority="161" dxfId="7">
      <formula>LEN(TRIM(BV7))&gt;0</formula>
    </cfRule>
    <cfRule type="containsBlanks" priority="162" dxfId="8">
      <formula>LEN(TRIM(BV7))=0</formula>
    </cfRule>
  </conditionalFormatting>
  <conditionalFormatting sqref="BV8:BV2501">
    <cfRule type="expression" priority="163" dxfId="7">
      <formula>AND($BV$7&lt;&gt;"", BV8="")</formula>
    </cfRule>
  </conditionalFormatting>
  <conditionalFormatting sqref="BW7">
    <cfRule type="notContainsBlanks" priority="164" dxfId="7">
      <formula>LEN(TRIM(BW7))&gt;0</formula>
    </cfRule>
    <cfRule type="containsBlanks" priority="165" dxfId="8">
      <formula>LEN(TRIM(BW7))=0</formula>
    </cfRule>
  </conditionalFormatting>
  <conditionalFormatting sqref="BW8:BW2501">
    <cfRule type="expression" priority="166" dxfId="7">
      <formula>AND($BW$7&lt;&gt;"", BW8="")</formula>
    </cfRule>
  </conditionalFormatting>
  <conditionalFormatting sqref="BX7">
    <cfRule type="notContainsBlanks" priority="167" dxfId="7">
      <formula>LEN(TRIM(BX7))&gt;0</formula>
    </cfRule>
    <cfRule type="containsBlanks" priority="168" dxfId="8">
      <formula>LEN(TRIM(BX7))=0</formula>
    </cfRule>
  </conditionalFormatting>
  <conditionalFormatting sqref="BX8:BX2501">
    <cfRule type="expression" priority="169" dxfId="7">
      <formula>AND($BX$7&lt;&gt;"", BX8="")</formula>
    </cfRule>
  </conditionalFormatting>
  <conditionalFormatting sqref="BY7">
    <cfRule type="notContainsBlanks" priority="170" dxfId="7">
      <formula>LEN(TRIM(BY7))&gt;0</formula>
    </cfRule>
    <cfRule type="containsBlanks" priority="171" dxfId="8">
      <formula>LEN(TRIM(BY7))=0</formula>
    </cfRule>
  </conditionalFormatting>
  <conditionalFormatting sqref="BY8:BY2501">
    <cfRule type="expression" priority="172" dxfId="7">
      <formula>AND($BY$7&lt;&gt;"", BY8="")</formula>
    </cfRule>
  </conditionalFormatting>
  <conditionalFormatting sqref="BZ7">
    <cfRule type="notContainsBlanks" priority="173" dxfId="7">
      <formula>LEN(TRIM(BZ7))&gt;0</formula>
    </cfRule>
    <cfRule type="containsBlanks" priority="174" dxfId="8">
      <formula>LEN(TRIM(BZ7))=0</formula>
    </cfRule>
  </conditionalFormatting>
  <conditionalFormatting sqref="BZ8:BZ2501">
    <cfRule type="expression" priority="175" dxfId="7">
      <formula>AND($BZ$7&lt;&gt;"", BZ8="")</formula>
    </cfRule>
  </conditionalFormatting>
  <conditionalFormatting sqref="CA7">
    <cfRule type="notContainsBlanks" priority="176" dxfId="7">
      <formula>LEN(TRIM(CA7))&gt;0</formula>
    </cfRule>
    <cfRule type="containsBlanks" priority="177" dxfId="8">
      <formula>LEN(TRIM(CA7))=0</formula>
    </cfRule>
  </conditionalFormatting>
  <conditionalFormatting sqref="CA8:CA2501">
    <cfRule type="expression" priority="178" dxfId="7">
      <formula>AND($CA$7&lt;&gt;"", CA8="")</formula>
    </cfRule>
  </conditionalFormatting>
  <conditionalFormatting sqref="CB7">
    <cfRule type="notContainsBlanks" priority="179" dxfId="7">
      <formula>LEN(TRIM(CB7))&gt;0</formula>
    </cfRule>
    <cfRule type="containsBlanks" priority="180" dxfId="8">
      <formula>LEN(TRIM(CB7))=0</formula>
    </cfRule>
  </conditionalFormatting>
  <conditionalFormatting sqref="CB8:CB2501">
    <cfRule type="expression" priority="181" dxfId="7">
      <formula>AND($CB$7&lt;&gt;"", CB8="")</formula>
    </cfRule>
  </conditionalFormatting>
  <conditionalFormatting sqref="CC7">
    <cfRule type="notContainsBlanks" priority="182" dxfId="7">
      <formula>LEN(TRIM(CC7))&gt;0</formula>
    </cfRule>
    <cfRule type="containsBlanks" priority="183" dxfId="8">
      <formula>LEN(TRIM(CC7))=0</formula>
    </cfRule>
  </conditionalFormatting>
  <conditionalFormatting sqref="CC8:CC2501">
    <cfRule type="expression" priority="184" dxfId="7">
      <formula>AND($CC$7&lt;&gt;"", CC8="")</formula>
    </cfRule>
  </conditionalFormatting>
  <conditionalFormatting sqref="CD7">
    <cfRule type="notContainsBlanks" priority="185" dxfId="7">
      <formula>LEN(TRIM(CD7))&gt;0</formula>
    </cfRule>
    <cfRule type="containsBlanks" priority="186" dxfId="8">
      <formula>LEN(TRIM(CD7))=0</formula>
    </cfRule>
  </conditionalFormatting>
  <conditionalFormatting sqref="CD8:CD2501">
    <cfRule type="expression" priority="187" dxfId="7">
      <formula>AND($CD$7&lt;&gt;"", CD8="")</formula>
    </cfRule>
  </conditionalFormatting>
  <conditionalFormatting sqref="CE7">
    <cfRule type="notContainsBlanks" priority="188" dxfId="7">
      <formula>LEN(TRIM(CE7))&gt;0</formula>
    </cfRule>
    <cfRule type="containsBlanks" priority="189" dxfId="8">
      <formula>LEN(TRIM(CE7))=0</formula>
    </cfRule>
  </conditionalFormatting>
  <conditionalFormatting sqref="CE8:CE2501">
    <cfRule type="expression" priority="190" dxfId="7">
      <formula>AND($CE$7&lt;&gt;"", CE8="")</formula>
    </cfRule>
  </conditionalFormatting>
  <conditionalFormatting sqref="CF7">
    <cfRule type="notContainsBlanks" priority="191" dxfId="7">
      <formula>LEN(TRIM(CF7))&gt;0</formula>
    </cfRule>
    <cfRule type="containsBlanks" priority="192" dxfId="8">
      <formula>LEN(TRIM(CF7))=0</formula>
    </cfRule>
  </conditionalFormatting>
  <conditionalFormatting sqref="CF8:CF2501">
    <cfRule type="expression" priority="193" dxfId="7">
      <formula>AND($CF$7&lt;&gt;"", CF8="")</formula>
    </cfRule>
  </conditionalFormatting>
  <conditionalFormatting sqref="CG7">
    <cfRule type="notContainsBlanks" priority="194" dxfId="7">
      <formula>LEN(TRIM(CG7))&gt;0</formula>
    </cfRule>
    <cfRule type="containsBlanks" priority="195" dxfId="8">
      <formula>LEN(TRIM(CG7))=0</formula>
    </cfRule>
  </conditionalFormatting>
  <conditionalFormatting sqref="CG8:CG2501">
    <cfRule type="expression" priority="196" dxfId="7">
      <formula>AND($CG$7&lt;&gt;"", CG8="")</formula>
    </cfRule>
  </conditionalFormatting>
  <conditionalFormatting sqref="CH7">
    <cfRule type="notContainsBlanks" priority="197" dxfId="7">
      <formula>LEN(TRIM(CH7))&gt;0</formula>
    </cfRule>
    <cfRule type="containsBlanks" priority="198" dxfId="8">
      <formula>LEN(TRIM(CH7))=0</formula>
    </cfRule>
  </conditionalFormatting>
  <conditionalFormatting sqref="CH8:CH2501">
    <cfRule type="expression" priority="199" dxfId="7">
      <formula>AND($CH$7&lt;&gt;"", CH8="")</formula>
    </cfRule>
  </conditionalFormatting>
  <conditionalFormatting sqref="CI7">
    <cfRule type="notContainsBlanks" priority="200" dxfId="7">
      <formula>LEN(TRIM(CI7))&gt;0</formula>
    </cfRule>
    <cfRule type="containsBlanks" priority="201" dxfId="8">
      <formula>LEN(TRIM(CI7))=0</formula>
    </cfRule>
  </conditionalFormatting>
  <conditionalFormatting sqref="CI8:CI2501">
    <cfRule type="expression" priority="202" dxfId="7">
      <formula>AND($CI$7&lt;&gt;"", CI8="")</formula>
    </cfRule>
  </conditionalFormatting>
  <conditionalFormatting sqref="CJ7">
    <cfRule type="notContainsBlanks" priority="203" dxfId="7">
      <formula>LEN(TRIM(CJ7))&gt;0</formula>
    </cfRule>
    <cfRule type="containsBlanks" priority="204" dxfId="8">
      <formula>LEN(TRIM(CJ7))=0</formula>
    </cfRule>
  </conditionalFormatting>
  <conditionalFormatting sqref="CJ8:CJ2501">
    <cfRule type="expression" priority="205" dxfId="7">
      <formula>AND($CJ$7&lt;&gt;"", CJ8="")</formula>
    </cfRule>
  </conditionalFormatting>
  <conditionalFormatting sqref="CK7">
    <cfRule type="notContainsBlanks" priority="206" dxfId="7">
      <formula>LEN(TRIM(CK7))&gt;0</formula>
    </cfRule>
    <cfRule type="containsBlanks" priority="207" dxfId="8">
      <formula>LEN(TRIM(CK7))=0</formula>
    </cfRule>
  </conditionalFormatting>
  <conditionalFormatting sqref="CK8:CK2501">
    <cfRule type="expression" priority="208" dxfId="7">
      <formula>AND($CK$7&lt;&gt;"", CK8="")</formula>
    </cfRule>
  </conditionalFormatting>
  <conditionalFormatting sqref="CL7">
    <cfRule type="notContainsBlanks" priority="209" dxfId="7">
      <formula>LEN(TRIM(CL7))&gt;0</formula>
    </cfRule>
    <cfRule type="containsBlanks" priority="210" dxfId="8">
      <formula>LEN(TRIM(CL7))=0</formula>
    </cfRule>
  </conditionalFormatting>
  <conditionalFormatting sqref="CL8:CL2501">
    <cfRule type="expression" priority="211" dxfId="7">
      <formula>AND($CL$7&lt;&gt;"", CL8="")</formula>
    </cfRule>
  </conditionalFormatting>
  <conditionalFormatting sqref="CM7">
    <cfRule type="notContainsBlanks" priority="212" dxfId="7">
      <formula>LEN(TRIM(CM7))&gt;0</formula>
    </cfRule>
    <cfRule type="containsBlanks" priority="213" dxfId="8">
      <formula>LEN(TRIM(CM7))=0</formula>
    </cfRule>
  </conditionalFormatting>
  <conditionalFormatting sqref="CM8:CM2501">
    <cfRule type="expression" priority="214" dxfId="7">
      <formula>AND($CM$7&lt;&gt;"", CM8="")</formula>
    </cfRule>
  </conditionalFormatting>
  <conditionalFormatting sqref="CN7">
    <cfRule type="notContainsBlanks" priority="215" dxfId="7">
      <formula>LEN(TRIM(CN7))&gt;0</formula>
    </cfRule>
    <cfRule type="containsBlanks" priority="216" dxfId="8">
      <formula>LEN(TRIM(CN7))=0</formula>
    </cfRule>
  </conditionalFormatting>
  <conditionalFormatting sqref="CN8:CN2501">
    <cfRule type="expression" priority="217" dxfId="7">
      <formula>AND($CN$7&lt;&gt;"", CN8="")</formula>
    </cfRule>
  </conditionalFormatting>
  <conditionalFormatting sqref="CO7">
    <cfRule type="notContainsBlanks" priority="218" dxfId="7">
      <formula>LEN(TRIM(CO7))&gt;0</formula>
    </cfRule>
    <cfRule type="containsBlanks" priority="219" dxfId="8">
      <formula>LEN(TRIM(CO7))=0</formula>
    </cfRule>
  </conditionalFormatting>
  <conditionalFormatting sqref="CO8:CO2501">
    <cfRule type="expression" priority="220" dxfId="7">
      <formula>AND($CO$7&lt;&gt;"", CO8="")</formula>
    </cfRule>
  </conditionalFormatting>
  <conditionalFormatting sqref="CP7">
    <cfRule type="notContainsBlanks" priority="221" dxfId="7">
      <formula>LEN(TRIM(CP7))&gt;0</formula>
    </cfRule>
    <cfRule type="containsBlanks" priority="222" dxfId="8">
      <formula>LEN(TRIM(CP7))=0</formula>
    </cfRule>
  </conditionalFormatting>
  <conditionalFormatting sqref="CP8:CP2501">
    <cfRule type="expression" priority="223" dxfId="7">
      <formula>AND($CP$7&lt;&gt;"", CP8="")</formula>
    </cfRule>
  </conditionalFormatting>
  <conditionalFormatting sqref="CQ7">
    <cfRule type="notContainsBlanks" priority="224" dxfId="7">
      <formula>LEN(TRIM(CQ7))&gt;0</formula>
    </cfRule>
    <cfRule type="containsBlanks" priority="225" dxfId="8">
      <formula>LEN(TRIM(CQ7))=0</formula>
    </cfRule>
  </conditionalFormatting>
  <conditionalFormatting sqref="CQ8:CQ2501">
    <cfRule type="expression" priority="226" dxfId="7">
      <formula>AND($CQ$7&lt;&gt;"", CQ8="")</formula>
    </cfRule>
  </conditionalFormatting>
  <conditionalFormatting sqref="CR7">
    <cfRule type="notContainsBlanks" priority="227" dxfId="7">
      <formula>LEN(TRIM(CR7))&gt;0</formula>
    </cfRule>
    <cfRule type="containsBlanks" priority="228" dxfId="8">
      <formula>LEN(TRIM(CR7))=0</formula>
    </cfRule>
  </conditionalFormatting>
  <conditionalFormatting sqref="CR8:CR2501">
    <cfRule type="expression" priority="229" dxfId="7">
      <formula>AND($CR$7&lt;&gt;"", CR8="")</formula>
    </cfRule>
  </conditionalFormatting>
  <conditionalFormatting sqref="CS7">
    <cfRule type="notContainsBlanks" priority="230" dxfId="7">
      <formula>LEN(TRIM(CS7))&gt;0</formula>
    </cfRule>
    <cfRule type="containsBlanks" priority="231" dxfId="8">
      <formula>LEN(TRIM(CS7))=0</formula>
    </cfRule>
  </conditionalFormatting>
  <conditionalFormatting sqref="CS8:CS2501">
    <cfRule type="expression" priority="232" dxfId="7">
      <formula>AND($CS$7&lt;&gt;"", CS8="")</formula>
    </cfRule>
  </conditionalFormatting>
  <conditionalFormatting sqref="CT7">
    <cfRule type="notContainsBlanks" priority="233" dxfId="7">
      <formula>LEN(TRIM(CT7))&gt;0</formula>
    </cfRule>
    <cfRule type="containsBlanks" priority="234" dxfId="8">
      <formula>LEN(TRIM(CT7))=0</formula>
    </cfRule>
  </conditionalFormatting>
  <conditionalFormatting sqref="CT8:CT2501">
    <cfRule type="expression" priority="235" dxfId="7">
      <formula>AND($CT$7&lt;&gt;"", CT8="")</formula>
    </cfRule>
  </conditionalFormatting>
  <conditionalFormatting sqref="CU7">
    <cfRule type="notContainsBlanks" priority="236" dxfId="7">
      <formula>LEN(TRIM(CU7))&gt;0</formula>
    </cfRule>
    <cfRule type="containsBlanks" priority="237" dxfId="8">
      <formula>LEN(TRIM(CU7))=0</formula>
    </cfRule>
  </conditionalFormatting>
  <conditionalFormatting sqref="CU8:CU2501">
    <cfRule type="expression" priority="238" dxfId="7">
      <formula>AND($CU$7&lt;&gt;"", CU8="")</formula>
    </cfRule>
  </conditionalFormatting>
  <conditionalFormatting sqref="CV7">
    <cfRule type="notContainsBlanks" priority="239" dxfId="7">
      <formula>LEN(TRIM(CV7))&gt;0</formula>
    </cfRule>
    <cfRule type="containsBlanks" priority="240" dxfId="8">
      <formula>LEN(TRIM(CV7))=0</formula>
    </cfRule>
  </conditionalFormatting>
  <conditionalFormatting sqref="CV8:CV2501">
    <cfRule type="expression" priority="241" dxfId="7">
      <formula>AND($CV$7&lt;&gt;"", CV8="")</formula>
    </cfRule>
  </conditionalFormatting>
  <conditionalFormatting sqref="CW7">
    <cfRule type="notContainsBlanks" priority="242" dxfId="7">
      <formula>LEN(TRIM(CW7))&gt;0</formula>
    </cfRule>
    <cfRule type="containsBlanks" priority="243" dxfId="8">
      <formula>LEN(TRIM(CW7))=0</formula>
    </cfRule>
  </conditionalFormatting>
  <conditionalFormatting sqref="CW8:CW2501">
    <cfRule type="expression" priority="244" dxfId="7">
      <formula>AND($CW$7&lt;&gt;"", CW8="")</formula>
    </cfRule>
  </conditionalFormatting>
  <conditionalFormatting sqref="CX7">
    <cfRule type="notContainsBlanks" priority="245" dxfId="7">
      <formula>LEN(TRIM(CX7))&gt;0</formula>
    </cfRule>
    <cfRule type="containsBlanks" priority="246" dxfId="8">
      <formula>LEN(TRIM(CX7))=0</formula>
    </cfRule>
  </conditionalFormatting>
  <conditionalFormatting sqref="CX8:CX2501">
    <cfRule type="expression" priority="247" dxfId="7">
      <formula>AND($CX$7&lt;&gt;"", CX8="")</formula>
    </cfRule>
  </conditionalFormatting>
  <conditionalFormatting sqref="CY7">
    <cfRule type="notContainsBlanks" priority="248" dxfId="7">
      <formula>LEN(TRIM(CY7))&gt;0</formula>
    </cfRule>
    <cfRule type="containsBlanks" priority="249" dxfId="8">
      <formula>LEN(TRIM(CY7))=0</formula>
    </cfRule>
  </conditionalFormatting>
  <conditionalFormatting sqref="CY8:CY2501">
    <cfRule type="expression" priority="250" dxfId="7">
      <formula>AND($CY$7&lt;&gt;"", CY8="")</formula>
    </cfRule>
  </conditionalFormatting>
  <conditionalFormatting sqref="CZ7">
    <cfRule type="notContainsBlanks" priority="251" dxfId="7">
      <formula>LEN(TRIM(CZ7))&gt;0</formula>
    </cfRule>
    <cfRule type="containsBlanks" priority="252" dxfId="8">
      <formula>LEN(TRIM(CZ7))=0</formula>
    </cfRule>
  </conditionalFormatting>
  <conditionalFormatting sqref="CZ8:CZ2501">
    <cfRule type="expression" priority="253"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54" dxfId="7">
      <formula>LEN(TRIM(DA7))&gt;0</formula>
    </cfRule>
    <cfRule type="containsBlanks" priority="255" dxfId="8">
      <formula>LEN(TRIM(DA7))=0</formula>
    </cfRule>
  </conditionalFormatting>
  <conditionalFormatting sqref="DA8:DA2501">
    <cfRule type="expression" priority="256" dxfId="7">
      <formula>AND($DA$7&lt;&gt;"", DA8="")</formula>
    </cfRule>
  </conditionalFormatting>
  <conditionalFormatting sqref="DB7">
    <cfRule type="notContainsBlanks" priority="257" dxfId="7">
      <formula>LEN(TRIM(DB7))&gt;0</formula>
    </cfRule>
    <cfRule type="containsBlanks" priority="258" dxfId="8">
      <formula>LEN(TRIM(DB7))=0</formula>
    </cfRule>
  </conditionalFormatting>
  <conditionalFormatting sqref="DB8:DB2501">
    <cfRule type="expression" priority="259" dxfId="7">
      <formula>AND($DB$7&lt;&gt;"", DB8="")</formula>
    </cfRule>
  </conditionalFormatting>
  <conditionalFormatting sqref="DC7">
    <cfRule type="notContainsBlanks" priority="260" dxfId="7">
      <formula>LEN(TRIM(DC7))&gt;0</formula>
    </cfRule>
    <cfRule type="containsBlanks" priority="261" dxfId="8">
      <formula>LEN(TRIM(DC7))=0</formula>
    </cfRule>
  </conditionalFormatting>
  <conditionalFormatting sqref="DC8:DC2501">
    <cfRule type="expression" priority="262" dxfId="7">
      <formula>AND($DC$7&lt;&gt;"", DC8="")</formula>
    </cfRule>
  </conditionalFormatting>
  <conditionalFormatting sqref="DD7">
    <cfRule type="notContainsBlanks" priority="263" dxfId="7">
      <formula>LEN(TRIM(DD7))&gt;0</formula>
    </cfRule>
    <cfRule type="containsBlanks" priority="264" dxfId="8">
      <formula>LEN(TRIM(DD7))=0</formula>
    </cfRule>
  </conditionalFormatting>
  <conditionalFormatting sqref="DD8:DD2501">
    <cfRule type="expression" priority="265" dxfId="7">
      <formula>AND($DD$7&lt;&gt;"", DD8="")</formula>
    </cfRule>
  </conditionalFormatting>
  <conditionalFormatting sqref="DE7">
    <cfRule type="notContainsBlanks" priority="266" dxfId="7">
      <formula>LEN(TRIM(DE7))&gt;0</formula>
    </cfRule>
    <cfRule type="containsBlanks" priority="267" dxfId="8">
      <formula>LEN(TRIM(DE7))=0</formula>
    </cfRule>
  </conditionalFormatting>
  <conditionalFormatting sqref="DE8:DE2501">
    <cfRule type="expression" priority="268" dxfId="7">
      <formula>AND($DE$7&lt;&gt;"", DE8="")</formula>
    </cfRule>
  </conditionalFormatting>
  <conditionalFormatting sqref="DF7">
    <cfRule type="notContainsBlanks" priority="269" dxfId="7">
      <formula>LEN(TRIM(DF7))&gt;0</formula>
    </cfRule>
    <cfRule type="containsBlanks" priority="270" dxfId="8">
      <formula>LEN(TRIM(DF7))=0</formula>
    </cfRule>
  </conditionalFormatting>
  <conditionalFormatting sqref="DF8:DF2501">
    <cfRule type="expression" priority="271" dxfId="7">
      <formula>AND($DF$7&lt;&gt;"", DF8="")</formula>
    </cfRule>
  </conditionalFormatting>
  <conditionalFormatting sqref="DG7">
    <cfRule type="notContainsBlanks" priority="272" dxfId="7">
      <formula>LEN(TRIM(DG7))&gt;0</formula>
    </cfRule>
    <cfRule type="containsBlanks" priority="273" dxfId="8">
      <formula>LEN(TRIM(DG7))=0</formula>
    </cfRule>
  </conditionalFormatting>
  <conditionalFormatting sqref="DG8:DG2501">
    <cfRule type="expression" priority="274" dxfId="7">
      <formula>AND($DG$7&lt;&gt;"", DG8="")</formula>
    </cfRule>
  </conditionalFormatting>
  <conditionalFormatting sqref="DH7">
    <cfRule type="notContainsBlanks" priority="275" dxfId="7">
      <formula>LEN(TRIM(DH7))&gt;0</formula>
    </cfRule>
    <cfRule type="containsBlanks" priority="276" dxfId="8">
      <formula>LEN(TRIM(DH7))=0</formula>
    </cfRule>
  </conditionalFormatting>
  <conditionalFormatting sqref="DH8:DH2501">
    <cfRule type="expression" priority="277" dxfId="7">
      <formula>AND($DH$7&lt;&gt;"", DH8="")</formula>
    </cfRule>
  </conditionalFormatting>
  <conditionalFormatting sqref="DI7">
    <cfRule type="notContainsBlanks" priority="278" dxfId="7">
      <formula>LEN(TRIM(DI7))&gt;0</formula>
    </cfRule>
    <cfRule type="containsBlanks" priority="279" dxfId="8">
      <formula>LEN(TRIM(DI7))=0</formula>
    </cfRule>
  </conditionalFormatting>
  <conditionalFormatting sqref="DI8:DI2501">
    <cfRule type="expression" priority="280" dxfId="7">
      <formula>AND($DI$7&lt;&gt;"", DI8="")</formula>
    </cfRule>
  </conditionalFormatting>
  <conditionalFormatting sqref="DJ7">
    <cfRule type="notContainsBlanks" priority="281" dxfId="7">
      <formula>LEN(TRIM(DJ7))&gt;0</formula>
    </cfRule>
    <cfRule type="containsBlanks" priority="282" dxfId="8">
      <formula>LEN(TRIM(DJ7))=0</formula>
    </cfRule>
  </conditionalFormatting>
  <conditionalFormatting sqref="DJ8:DJ2501">
    <cfRule type="expression" priority="283" dxfId="7">
      <formula>AND($DJ$7&lt;&gt;"", DJ8="")</formula>
    </cfRule>
  </conditionalFormatting>
  <conditionalFormatting sqref="DK7">
    <cfRule type="notContainsBlanks" priority="284" dxfId="7">
      <formula>LEN(TRIM(DK7))&gt;0</formula>
    </cfRule>
    <cfRule type="containsBlanks" priority="285" dxfId="8">
      <formula>LEN(TRIM(DK7))=0</formula>
    </cfRule>
  </conditionalFormatting>
  <conditionalFormatting sqref="DK8:DK2501">
    <cfRule type="expression" priority="286" dxfId="7">
      <formula>AND($DK$7&lt;&gt;"", DK8="")</formula>
    </cfRule>
  </conditionalFormatting>
  <conditionalFormatting sqref="DL7">
    <cfRule type="notContainsBlanks" priority="287" dxfId="7">
      <formula>LEN(TRIM(DL7))&gt;0</formula>
    </cfRule>
    <cfRule type="containsBlanks" priority="288" dxfId="8">
      <formula>LEN(TRIM(DL7))=0</formula>
    </cfRule>
  </conditionalFormatting>
  <conditionalFormatting sqref="DL8:DL2501">
    <cfRule type="expression" priority="289" dxfId="7">
      <formula>AND($DL$7&lt;&gt;"", DL8="")</formula>
    </cfRule>
  </conditionalFormatting>
  <conditionalFormatting sqref="DM7">
    <cfRule type="notContainsBlanks" priority="290" dxfId="7">
      <formula>LEN(TRIM(DM7))&gt;0</formula>
    </cfRule>
    <cfRule type="containsBlanks" priority="291" dxfId="8">
      <formula>LEN(TRIM(DM7))=0</formula>
    </cfRule>
  </conditionalFormatting>
  <conditionalFormatting sqref="DM8:DM2501">
    <cfRule type="expression" priority="292" dxfId="7">
      <formula>AND($DM$7&lt;&gt;"", DM8="")</formula>
    </cfRule>
  </conditionalFormatting>
  <conditionalFormatting sqref="DN7">
    <cfRule type="notContainsBlanks" priority="293" dxfId="7">
      <formula>LEN(TRIM(DN7))&gt;0</formula>
    </cfRule>
    <cfRule type="containsBlanks" priority="294" dxfId="8">
      <formula>LEN(TRIM(DN7))=0</formula>
    </cfRule>
  </conditionalFormatting>
  <conditionalFormatting sqref="DN8:DN2501">
    <cfRule type="expression" priority="295" dxfId="7">
      <formula>AND($DN$7&lt;&gt;"", DN8="")</formula>
    </cfRule>
  </conditionalFormatting>
  <conditionalFormatting sqref="DO7">
    <cfRule type="notContainsBlanks" priority="296" dxfId="7">
      <formula>LEN(TRIM(DO7))&gt;0</formula>
    </cfRule>
    <cfRule type="containsBlanks" priority="297" dxfId="8">
      <formula>LEN(TRIM(DO7))=0</formula>
    </cfRule>
  </conditionalFormatting>
  <conditionalFormatting sqref="DO8:DO2501">
    <cfRule type="expression" priority="298" dxfId="7">
      <formula>AND($DO$7&lt;&gt;"", DO8="")</formula>
    </cfRule>
  </conditionalFormatting>
  <conditionalFormatting sqref="DP7">
    <cfRule type="notContainsBlanks" priority="299" dxfId="7">
      <formula>LEN(TRIM(DP7))&gt;0</formula>
    </cfRule>
    <cfRule type="containsBlanks" priority="300" dxfId="8">
      <formula>LEN(TRIM(DP7))=0</formula>
    </cfRule>
  </conditionalFormatting>
  <conditionalFormatting sqref="DP8:DP2501">
    <cfRule type="expression" priority="301" dxfId="7">
      <formula>AND($DP$7&lt;&gt;"", DP8="")</formula>
    </cfRule>
  </conditionalFormatting>
  <conditionalFormatting sqref="DQ7">
    <cfRule type="notContainsBlanks" priority="302" dxfId="7">
      <formula>LEN(TRIM(DQ7))&gt;0</formula>
    </cfRule>
    <cfRule type="containsBlanks" priority="303" dxfId="8">
      <formula>LEN(TRIM(DQ7))=0</formula>
    </cfRule>
  </conditionalFormatting>
  <conditionalFormatting sqref="DQ8:DQ2501">
    <cfRule type="expression" priority="304" dxfId="7">
      <formula>AND($DQ$7&lt;&gt;"", DQ8="")</formula>
    </cfRule>
  </conditionalFormatting>
  <conditionalFormatting sqref="DR7">
    <cfRule type="notContainsBlanks" priority="305" dxfId="7">
      <formula>LEN(TRIM(DR7))&gt;0</formula>
    </cfRule>
    <cfRule type="containsBlanks" priority="306" dxfId="8">
      <formula>LEN(TRIM(DR7))=0</formula>
    </cfRule>
  </conditionalFormatting>
  <conditionalFormatting sqref="DR8:DR2501">
    <cfRule type="expression" priority="307" dxfId="7">
      <formula>AND($DR$7&lt;&gt;"", DR8="")</formula>
    </cfRule>
  </conditionalFormatting>
  <conditionalFormatting sqref="DS7">
    <cfRule type="notContainsBlanks" priority="308" dxfId="7">
      <formula>LEN(TRIM(DS7))&gt;0</formula>
    </cfRule>
    <cfRule type="containsBlanks" priority="309" dxfId="8">
      <formula>LEN(TRIM(DS7))=0</formula>
    </cfRule>
  </conditionalFormatting>
  <conditionalFormatting sqref="DS8:DS2501">
    <cfRule type="expression" priority="310" dxfId="7">
      <formula>AND($DS$7&lt;&gt;"", DS8="")</formula>
    </cfRule>
  </conditionalFormatting>
  <conditionalFormatting sqref="DT7">
    <cfRule type="notContainsBlanks" priority="311" dxfId="7">
      <formula>LEN(TRIM(DT7))&gt;0</formula>
    </cfRule>
    <cfRule type="containsBlanks" priority="312" dxfId="8">
      <formula>LEN(TRIM(DT7))=0</formula>
    </cfRule>
  </conditionalFormatting>
  <conditionalFormatting sqref="DT8:DT2501">
    <cfRule type="expression" priority="313" dxfId="7">
      <formula>AND($DT$7&lt;&gt;"", DT8="")</formula>
    </cfRule>
  </conditionalFormatting>
  <conditionalFormatting sqref="DU7">
    <cfRule type="notContainsBlanks" priority="314" dxfId="7">
      <formula>LEN(TRIM(DU7))&gt;0</formula>
    </cfRule>
    <cfRule type="containsBlanks" priority="315" dxfId="8">
      <formula>LEN(TRIM(DU7))=0</formula>
    </cfRule>
  </conditionalFormatting>
  <conditionalFormatting sqref="DU8:DU2501">
    <cfRule type="expression" priority="316" dxfId="7">
      <formula>AND($DU$7&lt;&gt;"", DU8="")</formula>
    </cfRule>
  </conditionalFormatting>
  <conditionalFormatting sqref="DV7">
    <cfRule type="notContainsBlanks" priority="317" dxfId="7">
      <formula>LEN(TRIM(DV7))&gt;0</formula>
    </cfRule>
    <cfRule type="containsBlanks" priority="318" dxfId="8">
      <formula>LEN(TRIM(DV7))=0</formula>
    </cfRule>
  </conditionalFormatting>
  <conditionalFormatting sqref="DV8:DV2501">
    <cfRule type="expression" priority="319" dxfId="7">
      <formula>AND($DV$7&lt;&gt;"", DV8="")</formula>
    </cfRule>
  </conditionalFormatting>
  <conditionalFormatting sqref="DW7">
    <cfRule type="notContainsBlanks" priority="320" dxfId="7">
      <formula>LEN(TRIM(DW7))&gt;0</formula>
    </cfRule>
    <cfRule type="containsBlanks" priority="321" dxfId="8">
      <formula>LEN(TRIM(DW7))=0</formula>
    </cfRule>
  </conditionalFormatting>
  <conditionalFormatting sqref="DW8:DW2501">
    <cfRule type="expression" priority="322" dxfId="7">
      <formula>AND($DW$7&lt;&gt;"", DW8="")</formula>
    </cfRule>
  </conditionalFormatting>
  <conditionalFormatting sqref="DX7">
    <cfRule type="notContainsBlanks" priority="323" dxfId="7">
      <formula>LEN(TRIM(DX7))&gt;0</formula>
    </cfRule>
    <cfRule type="containsBlanks" priority="324" dxfId="8">
      <formula>LEN(TRIM(DX7))=0</formula>
    </cfRule>
  </conditionalFormatting>
  <conditionalFormatting sqref="DX8:DX2501">
    <cfRule type="expression" priority="325" dxfId="7">
      <formula>AND($DX$7&lt;&gt;"", DX8="")</formula>
    </cfRule>
  </conditionalFormatting>
  <conditionalFormatting sqref="DY7">
    <cfRule type="notContainsBlanks" priority="326" dxfId="7">
      <formula>LEN(TRIM(DY7))&gt;0</formula>
    </cfRule>
    <cfRule type="containsBlanks" priority="327" dxfId="8">
      <formula>LEN(TRIM(DY7))=0</formula>
    </cfRule>
  </conditionalFormatting>
  <conditionalFormatting sqref="DY8:DY2501">
    <cfRule type="expression" priority="328" dxfId="7">
      <formula>AND($DY$7&lt;&gt;"", DY8="")</formula>
    </cfRule>
  </conditionalFormatting>
  <conditionalFormatting sqref="DZ7">
    <cfRule type="notContainsBlanks" priority="329" dxfId="7">
      <formula>LEN(TRIM(DZ7))&gt;0</formula>
    </cfRule>
    <cfRule type="containsBlanks" priority="330" dxfId="8">
      <formula>LEN(TRIM(DZ7))=0</formula>
    </cfRule>
  </conditionalFormatting>
  <conditionalFormatting sqref="DZ8:DZ2501">
    <cfRule type="expression" priority="331" dxfId="7">
      <formula>AND($DZ$7&lt;&gt;"", DZ8="")</formula>
    </cfRule>
  </conditionalFormatting>
  <conditionalFormatting sqref="EA7">
    <cfRule type="notContainsBlanks" priority="332" dxfId="7">
      <formula>LEN(TRIM(EA7))&gt;0</formula>
    </cfRule>
    <cfRule type="containsBlanks" priority="333" dxfId="8">
      <formula>LEN(TRIM(EA7))=0</formula>
    </cfRule>
  </conditionalFormatting>
  <conditionalFormatting sqref="EA8:EA2501">
    <cfRule type="expression" priority="334" dxfId="7">
      <formula>AND($EA$7&lt;&gt;"", EA8="")</formula>
    </cfRule>
  </conditionalFormatting>
  <conditionalFormatting sqref="EB7">
    <cfRule type="notContainsBlanks" priority="335" dxfId="7">
      <formula>LEN(TRIM(EB7))&gt;0</formula>
    </cfRule>
    <cfRule type="containsBlanks" priority="336" dxfId="8">
      <formula>LEN(TRIM(EB7))=0</formula>
    </cfRule>
  </conditionalFormatting>
  <conditionalFormatting sqref="EB8:EB2501">
    <cfRule type="expression" priority="337" dxfId="7">
      <formula>AND($EB$7&lt;&gt;"", EB8="")</formula>
    </cfRule>
  </conditionalFormatting>
  <conditionalFormatting sqref="EC7">
    <cfRule type="notContainsBlanks" priority="338" dxfId="7">
      <formula>LEN(TRIM(EC7))&gt;0</formula>
    </cfRule>
    <cfRule type="containsBlanks" priority="339" dxfId="8">
      <formula>LEN(TRIM(EC7))=0</formula>
    </cfRule>
  </conditionalFormatting>
  <conditionalFormatting sqref="EC8:EC2501">
    <cfRule type="expression" priority="340" dxfId="7">
      <formula>AND($EC$7&lt;&gt;"", EC8="")</formula>
    </cfRule>
  </conditionalFormatting>
  <conditionalFormatting sqref="ED7">
    <cfRule type="notContainsBlanks" priority="341" dxfId="7">
      <formula>LEN(TRIM(ED7))&gt;0</formula>
    </cfRule>
    <cfRule type="containsBlanks" priority="342" dxfId="8">
      <formula>LEN(TRIM(ED7))=0</formula>
    </cfRule>
  </conditionalFormatting>
  <conditionalFormatting sqref="ED8:ED2501">
    <cfRule type="expression" priority="343" dxfId="7">
      <formula>AND($ED$7&lt;&gt;"", ED8="")</formula>
    </cfRule>
  </conditionalFormatting>
  <conditionalFormatting sqref="EE7">
    <cfRule type="notContainsBlanks" priority="344" dxfId="7">
      <formula>LEN(TRIM(EE7))&gt;0</formula>
    </cfRule>
    <cfRule type="containsBlanks" priority="345" dxfId="8">
      <formula>LEN(TRIM(EE7))=0</formula>
    </cfRule>
  </conditionalFormatting>
  <conditionalFormatting sqref="EE8:EE2501">
    <cfRule type="expression" priority="346" dxfId="7">
      <formula>AND($EE$7&lt;&gt;"", EE8="")</formula>
    </cfRule>
  </conditionalFormatting>
  <conditionalFormatting sqref="EF7">
    <cfRule type="notContainsBlanks" priority="347" dxfId="7">
      <formula>LEN(TRIM(EF7))&gt;0</formula>
    </cfRule>
    <cfRule type="containsBlanks" priority="348" dxfId="8">
      <formula>LEN(TRIM(EF7))=0</formula>
    </cfRule>
  </conditionalFormatting>
  <conditionalFormatting sqref="EF8:EF2501">
    <cfRule type="expression" priority="349" dxfId="7">
      <formula>AND($EF$7&lt;&gt;"", EF8="")</formula>
    </cfRule>
  </conditionalFormatting>
  <conditionalFormatting sqref="EG7">
    <cfRule type="notContainsBlanks" priority="350" dxfId="7">
      <formula>LEN(TRIM(EG7))&gt;0</formula>
    </cfRule>
    <cfRule type="containsBlanks" priority="351" dxfId="8">
      <formula>LEN(TRIM(EG7))=0</formula>
    </cfRule>
  </conditionalFormatting>
  <conditionalFormatting sqref="EG8:EG2501">
    <cfRule type="expression" priority="352" dxfId="7">
      <formula>AND($EG$7&lt;&gt;"", EG8="")</formula>
    </cfRule>
  </conditionalFormatting>
  <conditionalFormatting sqref="EH7">
    <cfRule type="notContainsBlanks" priority="353" dxfId="7">
      <formula>LEN(TRIM(EH7))&gt;0</formula>
    </cfRule>
    <cfRule type="containsBlanks" priority="354" dxfId="8">
      <formula>LEN(TRIM(EH7))=0</formula>
    </cfRule>
  </conditionalFormatting>
  <conditionalFormatting sqref="EH8:EH2501">
    <cfRule type="expression" priority="355" dxfId="7">
      <formula>AND($EH$7&lt;&gt;"", EH8="")</formula>
    </cfRule>
  </conditionalFormatting>
  <conditionalFormatting sqref="EI7">
    <cfRule type="notContainsBlanks" priority="356" dxfId="7">
      <formula>LEN(TRIM(EI7))&gt;0</formula>
    </cfRule>
    <cfRule type="containsBlanks" priority="357" dxfId="8">
      <formula>LEN(TRIM(EI7))=0</formula>
    </cfRule>
  </conditionalFormatting>
  <conditionalFormatting sqref="EI8:EI2501">
    <cfRule type="expression" priority="358" dxfId="7">
      <formula>AND($EI$7&lt;&gt;"", EI8="")</formula>
    </cfRule>
  </conditionalFormatting>
  <conditionalFormatting sqref="EJ7">
    <cfRule type="notContainsBlanks" priority="359" dxfId="7">
      <formula>LEN(TRIM(EJ7))&gt;0</formula>
    </cfRule>
    <cfRule type="containsBlanks" priority="360" dxfId="8">
      <formula>LEN(TRIM(EJ7))=0</formula>
    </cfRule>
  </conditionalFormatting>
  <conditionalFormatting sqref="EJ8:EJ2501">
    <cfRule type="expression" priority="361" dxfId="7">
      <formula>AND($EJ$7&lt;&gt;"", EJ8="")</formula>
    </cfRule>
  </conditionalFormatting>
  <conditionalFormatting sqref="EK7">
    <cfRule type="notContainsBlanks" priority="362" dxfId="7">
      <formula>LEN(TRIM(EK7))&gt;0</formula>
    </cfRule>
    <cfRule type="containsBlanks" priority="363" dxfId="8">
      <formula>LEN(TRIM(EK7))=0</formula>
    </cfRule>
  </conditionalFormatting>
  <conditionalFormatting sqref="EK8:EK2501">
    <cfRule type="expression" priority="364" dxfId="7">
      <formula>AND($EK$7&lt;&gt;"", EK8="")</formula>
    </cfRule>
  </conditionalFormatting>
  <conditionalFormatting sqref="EL7">
    <cfRule type="notContainsBlanks" priority="365" dxfId="7">
      <formula>LEN(TRIM(EL7))&gt;0</formula>
    </cfRule>
    <cfRule type="containsBlanks" priority="366" dxfId="8">
      <formula>LEN(TRIM(EL7))=0</formula>
    </cfRule>
  </conditionalFormatting>
  <conditionalFormatting sqref="EL8:EL2501">
    <cfRule type="expression" priority="367" dxfId="7">
      <formula>AND($EL$7&lt;&gt;"", EL8="")</formula>
    </cfRule>
  </conditionalFormatting>
  <conditionalFormatting sqref="EM7">
    <cfRule type="notContainsBlanks" priority="368" dxfId="7">
      <formula>LEN(TRIM(EM7))&gt;0</formula>
    </cfRule>
    <cfRule type="containsBlanks" priority="369" dxfId="8">
      <formula>LEN(TRIM(EM7))=0</formula>
    </cfRule>
  </conditionalFormatting>
  <conditionalFormatting sqref="EM8:EM2501">
    <cfRule type="expression" priority="370" dxfId="7">
      <formula>AND($EM$7&lt;&gt;"", EM8="")</formula>
    </cfRule>
  </conditionalFormatting>
  <conditionalFormatting sqref="EN7">
    <cfRule type="notContainsBlanks" priority="371" dxfId="7">
      <formula>LEN(TRIM(EN7))&gt;0</formula>
    </cfRule>
    <cfRule type="containsBlanks" priority="372" dxfId="8">
      <formula>LEN(TRIM(EN7))=0</formula>
    </cfRule>
  </conditionalFormatting>
  <conditionalFormatting sqref="EN8:EN2501">
    <cfRule type="expression" priority="373" dxfId="7">
      <formula>AND($EN$7&lt;&gt;"", EN8="")</formula>
    </cfRule>
  </conditionalFormatting>
  <conditionalFormatting sqref="EO7">
    <cfRule type="notContainsBlanks" priority="374" dxfId="7">
      <formula>LEN(TRIM(EO7))&gt;0</formula>
    </cfRule>
    <cfRule type="containsBlanks" priority="375" dxfId="8">
      <formula>LEN(TRIM(EO7))=0</formula>
    </cfRule>
  </conditionalFormatting>
  <conditionalFormatting sqref="EO8:EO2501">
    <cfRule type="expression" priority="376" dxfId="7">
      <formula>AND($EO$7&lt;&gt;"", EO8="")</formula>
    </cfRule>
  </conditionalFormatting>
  <conditionalFormatting sqref="EP7">
    <cfRule type="notContainsBlanks" priority="377" dxfId="7">
      <formula>LEN(TRIM(EP7))&gt;0</formula>
    </cfRule>
    <cfRule type="containsBlanks" priority="378" dxfId="8">
      <formula>LEN(TRIM(EP7))=0</formula>
    </cfRule>
  </conditionalFormatting>
  <conditionalFormatting sqref="EP8:EP2501">
    <cfRule type="expression" priority="379" dxfId="7">
      <formula>AND($EP$7&lt;&gt;"", EP8="")</formula>
    </cfRule>
  </conditionalFormatting>
  <conditionalFormatting sqref="EQ7">
    <cfRule type="notContainsBlanks" priority="380" dxfId="7">
      <formula>LEN(TRIM(EQ7))&gt;0</formula>
    </cfRule>
    <cfRule type="containsBlanks" priority="381" dxfId="8">
      <formula>LEN(TRIM(EQ7))=0</formula>
    </cfRule>
  </conditionalFormatting>
  <conditionalFormatting sqref="EQ8:EQ2501">
    <cfRule type="expression" priority="382" dxfId="7">
      <formula>AND($EQ$7&lt;&gt;"", EQ8="")</formula>
    </cfRule>
  </conditionalFormatting>
  <conditionalFormatting sqref="ER7">
    <cfRule type="notContainsBlanks" priority="383" dxfId="7">
      <formula>LEN(TRIM(ER7))&gt;0</formula>
    </cfRule>
    <cfRule type="containsBlanks" priority="384" dxfId="8">
      <formula>LEN(TRIM(ER7))=0</formula>
    </cfRule>
  </conditionalFormatting>
  <conditionalFormatting sqref="ER8:ER2501">
    <cfRule type="expression" priority="385" dxfId="7">
      <formula>AND($ER$7&lt;&gt;"", ER8="")</formula>
    </cfRule>
  </conditionalFormatting>
  <conditionalFormatting sqref="ES7">
    <cfRule type="notContainsBlanks" priority="386" dxfId="7">
      <formula>LEN(TRIM(ES7))&gt;0</formula>
    </cfRule>
    <cfRule type="containsBlanks" priority="387" dxfId="8">
      <formula>LEN(TRIM(ES7))=0</formula>
    </cfRule>
  </conditionalFormatting>
  <conditionalFormatting sqref="ES8:ES2501">
    <cfRule type="expression" priority="388" dxfId="7">
      <formula>AND($ES$7&lt;&gt;"", ES8="")</formula>
    </cfRule>
  </conditionalFormatting>
  <conditionalFormatting sqref="ET7">
    <cfRule type="notContainsBlanks" priority="389" dxfId="7">
      <formula>LEN(TRIM(ET7))&gt;0</formula>
    </cfRule>
    <cfRule type="containsBlanks" priority="390" dxfId="8">
      <formula>LEN(TRIM(ET7))=0</formula>
    </cfRule>
  </conditionalFormatting>
  <conditionalFormatting sqref="ET8:ET2501">
    <cfRule type="expression" priority="391" dxfId="7">
      <formula>AND($ET$7&lt;&gt;"", ET8="")</formula>
    </cfRule>
  </conditionalFormatting>
  <conditionalFormatting sqref="EU7">
    <cfRule type="notContainsBlanks" priority="392" dxfId="7">
      <formula>LEN(TRIM(EU7))&gt;0</formula>
    </cfRule>
    <cfRule type="containsBlanks" priority="393" dxfId="8">
      <formula>LEN(TRIM(EU7))=0</formula>
    </cfRule>
  </conditionalFormatting>
  <conditionalFormatting sqref="EU8:EU2501">
    <cfRule type="expression" priority="394" dxfId="7">
      <formula>AND($EU$7&lt;&gt;"", EU8="")</formula>
    </cfRule>
  </conditionalFormatting>
  <conditionalFormatting sqref="EV7">
    <cfRule type="notContainsBlanks" priority="395" dxfId="7">
      <formula>LEN(TRIM(EV7))&gt;0</formula>
    </cfRule>
    <cfRule type="containsBlanks" priority="396" dxfId="8">
      <formula>LEN(TRIM(EV7))=0</formula>
    </cfRule>
  </conditionalFormatting>
  <conditionalFormatting sqref="EV8:EV2501">
    <cfRule type="expression" priority="397" dxfId="7">
      <formula>AND($EV$7&lt;&gt;"", EV8="")</formula>
    </cfRule>
  </conditionalFormatting>
  <conditionalFormatting sqref="EW7">
    <cfRule type="notContainsBlanks" priority="398" dxfId="7">
      <formula>LEN(TRIM(EW7))&gt;0</formula>
    </cfRule>
    <cfRule type="containsBlanks" priority="399" dxfId="8">
      <formula>LEN(TRIM(EW7))=0</formula>
    </cfRule>
  </conditionalFormatting>
  <conditionalFormatting sqref="EW8:EW2501">
    <cfRule type="expression" priority="400" dxfId="7">
      <formula>AND($EW$7&lt;&gt;"", EW8="")</formula>
    </cfRule>
  </conditionalFormatting>
  <conditionalFormatting sqref="EX7">
    <cfRule type="notContainsBlanks" priority="401" dxfId="7">
      <formula>LEN(TRIM(EX7))&gt;0</formula>
    </cfRule>
    <cfRule type="containsBlanks" priority="402" dxfId="8">
      <formula>LEN(TRIM(EX7))=0</formula>
    </cfRule>
  </conditionalFormatting>
  <conditionalFormatting sqref="EX8:EX2501">
    <cfRule type="expression" priority="403" dxfId="7">
      <formula>AND($EX$7&lt;&gt;"", EX8="")</formula>
    </cfRule>
  </conditionalFormatting>
  <conditionalFormatting sqref="EY7">
    <cfRule type="notContainsBlanks" priority="404" dxfId="7">
      <formula>LEN(TRIM(EY7))&gt;0</formula>
    </cfRule>
    <cfRule type="containsBlanks" priority="405" dxfId="8">
      <formula>LEN(TRIM(EY7))=0</formula>
    </cfRule>
  </conditionalFormatting>
  <conditionalFormatting sqref="EY8:EY2501">
    <cfRule type="expression" priority="406" dxfId="7">
      <formula>AND($EY$7&lt;&gt;"", EY8="")</formula>
    </cfRule>
  </conditionalFormatting>
  <conditionalFormatting sqref="EZ7">
    <cfRule type="notContainsBlanks" priority="407" dxfId="7">
      <formula>LEN(TRIM(EZ7))&gt;0</formula>
    </cfRule>
    <cfRule type="containsBlanks" priority="408" dxfId="8">
      <formula>LEN(TRIM(EZ7))=0</formula>
    </cfRule>
  </conditionalFormatting>
  <conditionalFormatting sqref="EZ8:EZ2501">
    <cfRule type="expression" priority="409" dxfId="7">
      <formula>AND($EZ$7&lt;&gt;"", EZ8="")</formula>
    </cfRule>
  </conditionalFormatting>
  <conditionalFormatting sqref="FA7">
    <cfRule type="notContainsBlanks" priority="410" dxfId="7">
      <formula>LEN(TRIM(FA7))&gt;0</formula>
    </cfRule>
    <cfRule type="containsBlanks" priority="411" dxfId="8">
      <formula>LEN(TRIM(FA7))=0</formula>
    </cfRule>
  </conditionalFormatting>
  <conditionalFormatting sqref="FA8:FA2501">
    <cfRule type="expression" priority="412" dxfId="7">
      <formula>AND($FA$7&lt;&gt;"", FA8="")</formula>
    </cfRule>
  </conditionalFormatting>
  <conditionalFormatting sqref="FB7">
    <cfRule type="notContainsBlanks" priority="413" dxfId="7">
      <formula>LEN(TRIM(FB7))&gt;0</formula>
    </cfRule>
    <cfRule type="containsBlanks" priority="414" dxfId="8">
      <formula>LEN(TRIM(FB7))=0</formula>
    </cfRule>
  </conditionalFormatting>
  <conditionalFormatting sqref="FB8:FB2501">
    <cfRule type="expression" priority="415" dxfId="7">
      <formula>AND($FB$7&lt;&gt;"", FB8="")</formula>
    </cfRule>
  </conditionalFormatting>
  <conditionalFormatting sqref="FC7">
    <cfRule type="notContainsBlanks" priority="416" dxfId="7">
      <formula>LEN(TRIM(FC7))&gt;0</formula>
    </cfRule>
    <cfRule type="containsBlanks" priority="417" dxfId="8">
      <formula>LEN(TRIM(FC7))=0</formula>
    </cfRule>
  </conditionalFormatting>
  <conditionalFormatting sqref="FC8:FC2501">
    <cfRule type="expression" priority="418" dxfId="7">
      <formula>AND($FC$7&lt;&gt;"", FC8="")</formula>
    </cfRule>
  </conditionalFormatting>
  <conditionalFormatting sqref="FD7">
    <cfRule type="notContainsBlanks" priority="419" dxfId="7">
      <formula>LEN(TRIM(FD7))&gt;0</formula>
    </cfRule>
    <cfRule type="containsBlanks" priority="420" dxfId="8">
      <formula>LEN(TRIM(FD7))=0</formula>
    </cfRule>
  </conditionalFormatting>
  <conditionalFormatting sqref="FD8:FD2501">
    <cfRule type="expression" priority="421" dxfId="7">
      <formula>AND($FD$7&lt;&gt;"", FD8="")</formula>
    </cfRule>
  </conditionalFormatting>
  <conditionalFormatting sqref="FE7">
    <cfRule type="notContainsBlanks" priority="422" dxfId="7">
      <formula>LEN(TRIM(FE7))&gt;0</formula>
    </cfRule>
    <cfRule type="containsBlanks" priority="423" dxfId="8">
      <formula>LEN(TRIM(FE7))=0</formula>
    </cfRule>
  </conditionalFormatting>
  <conditionalFormatting sqref="FE8:FE2501">
    <cfRule type="expression" priority="424" dxfId="7">
      <formula>AND($FE$7&lt;&gt;"", FE8="")</formula>
    </cfRule>
  </conditionalFormatting>
  <conditionalFormatting sqref="FF7">
    <cfRule type="notContainsBlanks" priority="425" dxfId="7">
      <formula>LEN(TRIM(FF7))&gt;0</formula>
    </cfRule>
    <cfRule type="containsBlanks" priority="426" dxfId="8">
      <formula>LEN(TRIM(FF7))=0</formula>
    </cfRule>
  </conditionalFormatting>
  <conditionalFormatting sqref="FF8:FF2501">
    <cfRule type="expression" priority="427" dxfId="7">
      <formula>AND($FF$7&lt;&gt;"", FF8="")</formula>
    </cfRule>
  </conditionalFormatting>
  <conditionalFormatting sqref="FG7">
    <cfRule type="notContainsBlanks" priority="428" dxfId="7">
      <formula>LEN(TRIM(FG7))&gt;0</formula>
    </cfRule>
    <cfRule type="containsBlanks" priority="429" dxfId="8">
      <formula>LEN(TRIM(FG7))=0</formula>
    </cfRule>
  </conditionalFormatting>
  <conditionalFormatting sqref="FG8:FG2501">
    <cfRule type="expression" priority="430" dxfId="7">
      <formula>AND($FG$7&lt;&gt;"", FG8="")</formula>
    </cfRule>
  </conditionalFormatting>
  <conditionalFormatting sqref="FH7">
    <cfRule type="notContainsBlanks" priority="431" dxfId="7">
      <formula>LEN(TRIM(FH7))&gt;0</formula>
    </cfRule>
    <cfRule type="containsBlanks" priority="432" dxfId="8">
      <formula>LEN(TRIM(FH7))=0</formula>
    </cfRule>
  </conditionalFormatting>
  <conditionalFormatting sqref="FH8:FH2501">
    <cfRule type="expression" priority="433" dxfId="7">
      <formula>AND($FH$7&lt;&gt;"", FH8="")</formula>
    </cfRule>
  </conditionalFormatting>
  <conditionalFormatting sqref="FI7">
    <cfRule type="notContainsBlanks" priority="434" dxfId="7">
      <formula>LEN(TRIM(FI7))&gt;0</formula>
    </cfRule>
    <cfRule type="containsBlanks" priority="435" dxfId="8">
      <formula>LEN(TRIM(FI7))=0</formula>
    </cfRule>
  </conditionalFormatting>
  <conditionalFormatting sqref="FI8:FI2501">
    <cfRule type="expression" priority="436" dxfId="7">
      <formula>AND($FI$7&lt;&gt;"", FI8="")</formula>
    </cfRule>
  </conditionalFormatting>
  <conditionalFormatting sqref="FJ7">
    <cfRule type="notContainsBlanks" priority="437" dxfId="7">
      <formula>LEN(TRIM(FJ7))&gt;0</formula>
    </cfRule>
    <cfRule type="containsBlanks" priority="438" dxfId="8">
      <formula>LEN(TRIM(FJ7))=0</formula>
    </cfRule>
  </conditionalFormatting>
  <conditionalFormatting sqref="FJ8:FJ2501">
    <cfRule type="expression" priority="439" dxfId="7">
      <formula>AND($FJ$7&lt;&gt;"", FJ8="")</formula>
    </cfRule>
  </conditionalFormatting>
  <conditionalFormatting sqref="FK7">
    <cfRule type="notContainsBlanks" priority="440" dxfId="7">
      <formula>LEN(TRIM(FK7))&gt;0</formula>
    </cfRule>
    <cfRule type="containsBlanks" priority="441" dxfId="8">
      <formula>LEN(TRIM(FK7))=0</formula>
    </cfRule>
  </conditionalFormatting>
  <conditionalFormatting sqref="FK8:FK2501">
    <cfRule type="expression" priority="442" dxfId="7">
      <formula>AND($FK$7&lt;&gt;"", FK8="")</formula>
    </cfRule>
  </conditionalFormatting>
  <conditionalFormatting sqref="FL7">
    <cfRule type="notContainsBlanks" priority="443" dxfId="7">
      <formula>LEN(TRIM(FL7))&gt;0</formula>
    </cfRule>
    <cfRule type="containsBlanks" priority="444" dxfId="8">
      <formula>LEN(TRIM(FL7))=0</formula>
    </cfRule>
  </conditionalFormatting>
  <conditionalFormatting sqref="FL8:FL2501">
    <cfRule type="expression" priority="445" dxfId="7">
      <formula>AND($FL$7&lt;&gt;"", FL8="")</formula>
    </cfRule>
  </conditionalFormatting>
  <conditionalFormatting sqref="FM7">
    <cfRule type="notContainsBlanks" priority="446" dxfId="7">
      <formula>LEN(TRIM(FM7))&gt;0</formula>
    </cfRule>
    <cfRule type="containsBlanks" priority="447" dxfId="8">
      <formula>LEN(TRIM(FM7))=0</formula>
    </cfRule>
  </conditionalFormatting>
  <conditionalFormatting sqref="FM8:FM2501">
    <cfRule type="expression" priority="448" dxfId="7">
      <formula>AND($FM$7&lt;&gt;"", FM8="")</formula>
    </cfRule>
  </conditionalFormatting>
  <conditionalFormatting sqref="FN7">
    <cfRule type="notContainsBlanks" priority="449" dxfId="7">
      <formula>LEN(TRIM(FN7))&gt;0</formula>
    </cfRule>
    <cfRule type="containsBlanks" priority="450" dxfId="8">
      <formula>LEN(TRIM(FN7))=0</formula>
    </cfRule>
  </conditionalFormatting>
  <conditionalFormatting sqref="FN8:FN2501">
    <cfRule type="expression" priority="451" dxfId="7">
      <formula>AND($FN$7&lt;&gt;"", FN8="")</formula>
    </cfRule>
  </conditionalFormatting>
  <conditionalFormatting sqref="FO7">
    <cfRule type="notContainsBlanks" priority="452" dxfId="7">
      <formula>LEN(TRIM(FO7))&gt;0</formula>
    </cfRule>
    <cfRule type="containsBlanks" priority="453" dxfId="8">
      <formula>LEN(TRIM(FO7))=0</formula>
    </cfRule>
  </conditionalFormatting>
  <conditionalFormatting sqref="FO8:FO2501">
    <cfRule type="expression" priority="454" dxfId="7">
      <formula>AND($FO$7&lt;&gt;"", FO8="")</formula>
    </cfRule>
  </conditionalFormatting>
  <conditionalFormatting sqref="FP7">
    <cfRule type="notContainsBlanks" priority="455" dxfId="7">
      <formula>LEN(TRIM(FP7))&gt;0</formula>
    </cfRule>
    <cfRule type="containsBlanks" priority="456" dxfId="8">
      <formula>LEN(TRIM(FP7))=0</formula>
    </cfRule>
  </conditionalFormatting>
  <conditionalFormatting sqref="FP8:FP2501">
    <cfRule type="expression" priority="457" dxfId="7">
      <formula>AND($FP$7&lt;&gt;"", FP8="")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S7">
    <cfRule type="notContainsBlanks" priority="14" dxfId="7">
      <formula>LEN(TRIM(S7))&gt;0</formula>
    </cfRule>
    <cfRule type="containsBlanks" priority="15" dxfId="8">
      <formula>LEN(TRIM(S7))=0</formula>
    </cfRule>
  </conditionalFormatting>
  <conditionalFormatting sqref="S8:S2501">
    <cfRule type="expression" priority="16" dxfId="7">
      <formula>AND($S$7&lt;&gt;"", S8="")</formula>
    </cfRule>
  </conditionalFormatting>
  <conditionalFormatting sqref="T7">
    <cfRule type="notContainsBlanks" priority="17" dxfId="7">
      <formula>LEN(TRIM(T7))&gt;0</formula>
    </cfRule>
    <cfRule type="containsBlanks" priority="18" dxfId="8">
      <formula>LEN(TRIM(T7))=0</formula>
    </cfRule>
  </conditionalFormatting>
  <conditionalFormatting sqref="T8:T2501">
    <cfRule type="expression" priority="19" dxfId="7">
      <formula>AND($T$7&lt;&gt;"", T8="")</formula>
    </cfRule>
  </conditionalFormatting>
  <conditionalFormatting sqref="U7">
    <cfRule type="notContainsBlanks" priority="20" dxfId="7">
      <formula>LEN(TRIM(U7))&gt;0</formula>
    </cfRule>
    <cfRule type="containsBlanks" priority="21" dxfId="8">
      <formula>LEN(TRIM(U7))=0</formula>
    </cfRule>
  </conditionalFormatting>
  <conditionalFormatting sqref="U8:U2501">
    <cfRule type="expression" priority="22" dxfId="7">
      <formula>AND($U$7&lt;&gt;"", U8="")</formula>
    </cfRule>
  </conditionalFormatting>
  <conditionalFormatting sqref="V7">
    <cfRule type="notContainsBlanks" priority="23" dxfId="7">
      <formula>LEN(TRIM(V7))&gt;0</formula>
    </cfRule>
    <cfRule type="containsBlanks" priority="24" dxfId="8">
      <formula>LEN(TRIM(V7))=0</formula>
    </cfRule>
  </conditionalFormatting>
  <conditionalFormatting sqref="V8:V2501">
    <cfRule type="expression" priority="25" dxfId="7">
      <formula>AND($V$7&lt;&gt;"", V8="")</formula>
    </cfRule>
  </conditionalFormatting>
  <conditionalFormatting sqref="W7">
    <cfRule type="notContainsBlanks" priority="26" dxfId="7">
      <formula>LEN(TRIM(W7))&gt;0</formula>
    </cfRule>
    <cfRule type="containsBlanks" priority="27" dxfId="8">
      <formula>LEN(TRIM(W7))=0</formula>
    </cfRule>
  </conditionalFormatting>
  <conditionalFormatting sqref="W8:W2501">
    <cfRule type="expression" priority="28" dxfId="7">
      <formula>AND($W$7&lt;&gt;"", W8="")</formula>
    </cfRule>
  </conditionalFormatting>
  <conditionalFormatting sqref="X7">
    <cfRule type="notContainsBlanks" priority="29" dxfId="7">
      <formula>LEN(TRIM(X7))&gt;0</formula>
    </cfRule>
    <cfRule type="containsBlanks" priority="30" dxfId="8">
      <formula>LEN(TRIM(X7))=0</formula>
    </cfRule>
  </conditionalFormatting>
  <conditionalFormatting sqref="X8:X2501">
    <cfRule type="expression" priority="31" dxfId="7">
      <formula>AND($X$7&lt;&gt;"", X8="")</formula>
    </cfRule>
  </conditionalFormatting>
  <conditionalFormatting sqref="Y7">
    <cfRule type="notContainsBlanks" priority="32" dxfId="7">
      <formula>LEN(TRIM(Y7))&gt;0</formula>
    </cfRule>
    <cfRule type="containsBlanks" priority="33" dxfId="8">
      <formula>LEN(TRIM(Y7))=0</formula>
    </cfRule>
  </conditionalFormatting>
  <conditionalFormatting sqref="Y8:Y2501">
    <cfRule type="expression" priority="34" dxfId="7">
      <formula>AND($Y$7&lt;&gt;"", Y8="")</formula>
    </cfRule>
  </conditionalFormatting>
  <conditionalFormatting sqref="Z7">
    <cfRule type="notContainsBlanks" priority="35" dxfId="7">
      <formula>LEN(TRIM(Z7))&gt;0</formula>
    </cfRule>
    <cfRule type="containsBlanks" priority="36" dxfId="8">
      <formula>LEN(TRIM(Z7))=0</formula>
    </cfRule>
  </conditionalFormatting>
  <conditionalFormatting sqref="Z8:Z2501">
    <cfRule type="expression" priority="37" dxfId="7">
      <formula>AND($Z$7&lt;&gt;"", Z8="")</formula>
    </cfRule>
  </conditionalFormatting>
  <dataValidations count="305">
    <dataValidation sqref="B8:B250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C250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D2500" showDropDown="0" showInputMessage="1" showErrorMessage="1" allowBlank="1" errorTitle="Invalid Brand" error="The value provided is not a valid Brand." promptTitle="Brand" prompt="Please select a valid Brand" type="list">
      <formula1>'WAYFAIR_USE_ONLY'!$AP$7:$AP7</formula1>
    </dataValidation>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E8:E250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F250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Please enter Text" type="custom">
      <formula1>AND(LEN(F8)&lt;32767, IF(F8&lt;&gt;"",COUNTIF($F$8:$F$2500,F8)=1,""))</formula1>
    </dataValidation>
    <dataValidation sqref="G8:G250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H250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I8:I250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J2500" showDropDown="0" showInputMessage="1" showErrorMessage="1" allowBlank="1" errorTitle="Invalid Variant Type" error="The value provided is not a valid Variant Type." promptTitle="Variant Type" prompt="Please select a valid Variant Type" type="list">
      <formula1>'WAYFAIR_USE_ONLY'!$BB$7:$BB10</formula1>
    </dataValidation>
    <dataValidation sqref="K8:K2500" showDropDown="0" showInputMessage="1" showErrorMessage="1" allowBlank="0" errorTitle="Invalid Text" error="The value provided is not a valid Text." promptTitle="Group Reference ID" prompt="Please enter Text" type="textLength" errorStyle="warning" operator="lessThanOrEqual">
      <formula1>32767</formula1>
    </dataValidation>
    <dataValidation sqref="L8:L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'WAYFAIR_USE_ONLY'!$GE$7:$GE17</formula1>
    </dataValidation>
    <dataValidation sqref="M8:M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N8:N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'WAYFAIR_USE_ONLY'!$GE$7:$GE17</formula1>
    </dataValidation>
    <dataValidation sqref="O8:O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P8:P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'WAYFAIR_USE_ONLY'!$GE$7:$GE17</formula1>
    </dataValidation>
    <dataValidation sqref="Q8:Q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R8:R250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S8:S250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8:T250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8:U250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8:V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8:W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8:X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8:Y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8:Z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8:AA250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8:AB250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8:AC250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8:AD250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8:AE2500" showDropDown="0" showInputMessage="1" showErrorMessage="1" allowBlank="1" errorTitle="Invalid Ship Type" error="The value provided is not a valid Ship Type." promptTitle="Ship Type" prompt="Please select a valid Ship Type" type="list">
      <formula1>'WAYFAIR_USE_ONLY'!$AV$7:$AV9</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8:AF2500" showDropDown="0" showInputMessage="1" showErrorMessage="1" allowBlank="1" errorTitle="Invalid Freight Class" error="The value provided is not a valid Freight Class." promptTitle="Freight Class" prompt="Please select a valid Freight Class" type="list">
      <formula1>'WAYFAIR_USE_ONLY'!$AW$7:$AW25</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8:AG2500" showDropDown="0" showInputMessage="1" showErrorMessage="1" allowBlank="1" errorTitle="Invalid Lead Time" error="The value provided is not a valid Lead Time." promptTitle="Lead Time" prompt="Please select a valid Lead Time" type="list">
      <formula1>'WAYFAIR_USE_ONLY'!$AX$7:$AX24</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8:AH2500" showDropDown="0" showInputMessage="1" showErrorMessage="1" allowBlank="1" errorTitle="Invalid Replacement Lead Time" error="The value provided is not a valid Replacement Lead Time." promptTitle="Replacement Lead Time" prompt="Please select a valid Replacement Lead Time" type="list">
      <formula1>'WAYFAIR_USE_ONLY'!$AY$7:$AY13</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8:AI250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8:AJ2500" showDropDown="0" showInputMessage="1" showErrorMessage="1" allowBlank="1" errorTitle="Invalid Flat Pack" error="The value provided is not a valid Flat Pack." promptTitle="Flat Pack" prompt="Please select a valid Flat Pack" type="list">
      <formula1>'WAYFAIR_USE_ONLY'!$AZ$7:$AZ9</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8:AK2500" showDropDown="0" showInputMessage="1" showErrorMessage="1" allowBlank="1" errorTitle="Invalid Ship Palletized" error="The value provided is not a valid Ship Palletized." promptTitle="Ship Palletized" prompt="Please select a valid Ship Palletized" type="list">
      <formula1>'WAYFAIR_USE_ONLY'!$BA$7:$BA9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8:AL250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8:AM250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8:AN250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8:AO250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8:AP2500" showDropDown="0" showInputMessage="1" showErrorMessage="1" allowBlank="1" errorTitle="Invalid Warning Required" error="The value provided is not a valid Warning Required." promptTitle="Warning Required" prompt="Please select a valid Warning Required" type="list">
      <formula1>'WAYFAIR_USE_ONLY'!$AS$7:$AS9</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8:AQ2500" showDropDown="0" showInputMessage="1" showErrorMessage="1" allowBlank="1" errorTitle="Invalid Chemical" error="The value provided is not a valid Chemical." promptTitle="Chemical" prompt="Please select a valid Chemical" type="list">
      <formula1>'WAYFAIR_USE_ONLY'!$AT$7:$AT908</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8:AS250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'WAYFAIR_USE_ONLY'!$AU$7:$AU254</formula1>
    </dataValidation>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T8:AT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U8:AU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V8:AV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W8:AW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X8:AX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Y8:AY250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Z8:AZ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8:BC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8:BD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8:BE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8:BH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8:BI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8:BJ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8:BM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8:BN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8:BO250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'WAYFAIR_USE_ONLY'!$DN$7:$DN15</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'WAYFAIR_USE_ONLY'!$DN$7:$DN15</formula1>
    </dataValidation>
    <dataValidation sqref="BP8:BP2500" showDropDown="0" showInputMessage="1" showErrorMessage="1" allowBlank="1" errorTitle="Invalid Frame Material" error="The value provided is not a valid Frame Material. Would you like to provide a custom answer?" promptTitle="Frame Material" prompt="Please select a valid Frame Material" type="list" errorStyle="warning">
      <formula1>'WAYFAIR_USE_ONLY'!$DO$7:$DO62</formula1>
    </dataValidation>
    <dataValidation sqref="BP7" showDropDown="0" showInputMessage="1" showErrorMessage="1" allowBlank="1" errorTitle="Invalid Frame Material" error="The value provided is not a valid Frame Material.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'WAYFAIR_USE_ONLY'!$DO$7:$DO62</formula1>
    </dataValidation>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8:BS2500" showDropDown="0" showInputMessage="1" showErrorMessage="1" allowBlank="1" errorTitle="Invalid Upholstered" error="The value provided is not a valid Upholstered." promptTitle="Upholstered" prompt="Please select a valid Upholstered" type="list">
      <formula1>'WAYFAIR_USE_ONLY'!$DP$7:$DP9</formula1>
    </dataValidation>
    <dataValidation sqref="BS7" showDropDown="0" showInputMessage="1" showErrorMessage="1" allowBlank="1" errorTitle="Invalid Upholstered" error="The value provided is not a valid Upholstered." promptTitle="" prompt="If all products in this class consistently have the same answer, you can set a default value to apply automatically. For any exceptions, you can modify the answer for specific products without changing the default." type="list">
      <formula1>'WAYFAIR_USE_ONLY'!$DP$7:$DP9</formula1>
    </dataValidation>
    <dataValidation sqref="B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U8:BU2500" showDropDown="0" showInputMessage="1" showErrorMessage="1" allowBlank="1" errorTitle="Invalid Tufted" error="The value provided is not a valid Tufted." promptTitle="Tufted" prompt="Please select a valid Tufted" type="list">
      <formula1>'WAYFAIR_USE_ONLY'!$DQ$7:$DQ10</formula1>
    </dataValidation>
    <dataValidation sqref="BU7" showDropDown="0" showInputMessage="1" showErrorMessage="1" allowBlank="1" errorTitle="Invalid Tufted" error="The value provided is not a valid Tufted." promptTitle="" prompt="If all products in this class consistently have the same answer, you can set a default value to apply automatically. For any exceptions, you can modify the answer for specific products without changing the default." type="list">
      <formula1>'WAYFAIR_USE_ONLY'!$DQ$7:$DQ10</formula1>
    </dataValidation>
    <dataValidation sqref="BV8:BV2500" showDropDown="0" showInputMessage="1" showErrorMessage="1" allowBlank="1" errorTitle="Invalid Adjustable Backrest-Heig" error="The value provided is not a valid Adjustable Backrest-Height." promptTitle="Adjustable Backrest-Height" prompt="Please select a valid Adjustable Backrest-Height" type="list">
      <formula1>'WAYFAIR_USE_ONLY'!$DR$7:$DR10</formula1>
    </dataValidation>
    <dataValidation sqref="BV7" showDropDown="0" showInputMessage="1" showErrorMessage="1" allowBlank="1" errorTitle="Invalid Adjustable Backrest-Heig" error="The value provided is not a valid Adjustable Backrest-Height." promptTitle="" prompt="If all products in this class consistently have the same answer, you can set a default value to apply automatically. For any exceptions, you can modify the answer for specific products without changing the default." type="list">
      <formula1>'WAYFAIR_USE_ONLY'!$DR$7:$DR10</formula1>
    </dataValidation>
    <dataValidation sqref="BW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8:CB2500" showDropDown="0" showInputMessage="1" showErrorMessage="1" allowBlank="1" errorTitle="Invalid Arms Included" error="The value provided is not a valid Arms Included." promptTitle="Arms Included" prompt="Please select a valid Arms Included" type="list">
      <formula1>'WAYFAIR_USE_ONLY'!$DS$7:$DS10</formula1>
    </dataValidation>
    <dataValidation sqref="CB7" showDropDown="0" showInputMessage="1" showErrorMessage="1" allowBlank="1" errorTitle="Invalid Arms Included" error="The value provided is not a valid Arms Included." promptTitle="" prompt="If all products in this class consistently have the same answer, you can set a default value to apply automatically. For any exceptions, you can modify the answer for specific products without changing the default." type="list">
      <formula1>'WAYFAIR_USE_ONLY'!$DS$7:$DS10</formula1>
    </dataValidation>
    <dataValidation sqref="C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D8:CD2500" showDropDown="0" showInputMessage="1" showErrorMessage="1" allowBlank="1" errorTitle="Invalid Swivel" error="The value provided is not a valid Swivel." promptTitle="Swivel" prompt="Please select a valid Swivel" type="list">
      <formula1>'WAYFAIR_USE_ONLY'!$DT$7:$DT9</formula1>
    </dataValidation>
    <dataValidation sqref="CD7" showDropDown="0" showInputMessage="1" showErrorMessage="1" allowBlank="1" errorTitle="Invalid Swivel" error="The value provided is not a valid Swivel." promptTitle="" prompt="If all products in this class consistently have the same answer, you can set a default value to apply automatically. For any exceptions, you can modify the answer for specific products without changing the default." type="list">
      <formula1>'WAYFAIR_USE_ONLY'!$DT$7:$DT9</formula1>
    </dataValidation>
    <dataValidation sqref="CE8:CE2500" showDropDown="0" showInputMessage="1" showErrorMessage="1" allowBlank="1" errorTitle="Invalid Lumbar Support" error="The value provided is not a valid Lumbar Support." promptTitle="Lumbar Support" prompt="Please select a valid Lumbar Support" type="list">
      <formula1>'WAYFAIR_USE_ONLY'!$DU$7:$DU9</formula1>
    </dataValidation>
    <dataValidation sqref="CE7" showDropDown="0" showInputMessage="1" showErrorMessage="1" allowBlank="1" errorTitle="Invalid Lumbar Support" error="The value provided is not a valid Lumbar Support." promptTitle="" prompt="If all products in this class consistently have the same answer, you can set a default value to apply automatically. For any exceptions, you can modify the answer for specific products without changing the default." type="list">
      <formula1>'WAYFAIR_USE_ONLY'!$DU$7:$DU9</formula1>
    </dataValidation>
    <dataValidation sqref="CF8:CF2500" showDropDown="0" showInputMessage="1" showErrorMessage="1" allowBlank="1" errorTitle="Invalid Massage Setting" error="The value provided is not a valid Massage Setting." promptTitle="Massage Setting" prompt="Please select a valid Massage Setting" type="list">
      <formula1>'WAYFAIR_USE_ONLY'!$DV$7:$DV11</formula1>
    </dataValidation>
    <dataValidation sqref="CF7" showDropDown="0" showInputMessage="1" showErrorMessage="1" allowBlank="1" errorTitle="Invalid Massage Setting" error="The value provided is not a valid Massage Setting." promptTitle="" prompt="If all products in this class consistently have the same answer, you can set a default value to apply automatically. For any exceptions, you can modify the answer for specific products without changing the default." type="list">
      <formula1>'WAYFAIR_USE_ONLY'!$DV$7:$DV11</formula1>
    </dataValidation>
    <dataValidation sqref="CG8:CG2500" showDropDown="0" showInputMessage="1" showErrorMessage="1" allowBlank="1" errorTitle="Invalid Tilting" error="The value provided is not a valid Tilting." promptTitle="Tilting" prompt="Please select a valid Tilting" type="list">
      <formula1>'WAYFAIR_USE_ONLY'!$DW$7:$DW10</formula1>
    </dataValidation>
    <dataValidation sqref="CG7" showDropDown="0" showInputMessage="1" showErrorMessage="1" allowBlank="1" errorTitle="Invalid Tilting" error="The value provided is not a valid Tilting." promptTitle="" prompt="If all products in this class consistently have the same answer, you can set a default value to apply automatically. For any exceptions, you can modify the answer for specific products without changing the default." type="list">
      <formula1>'WAYFAIR_USE_ONLY'!$DW$7:$DW10</formula1>
    </dataValidation>
    <dataValidation sqref="CH8:CH2500" showDropDown="0" showInputMessage="1" showErrorMessage="1" allowBlank="1" errorTitle="Invalid Tilt Lock" error="The value provided is not a valid Tilt Lock." promptTitle="Tilt Lock" prompt="Please select a valid Tilt Lock" type="list">
      <formula1>'WAYFAIR_USE_ONLY'!$DX$7:$DX11</formula1>
    </dataValidation>
    <dataValidation sqref="CH7" showDropDown="0" showInputMessage="1" showErrorMessage="1" allowBlank="1" errorTitle="Invalid Tilt Lock" error="The value provided is not a valid Tilt Lock." promptTitle="" prompt="If all products in this class consistently have the same answer, you can set a default value to apply automatically. For any exceptions, you can modify the answer for specific products without changing the default." type="list">
      <formula1>'WAYFAIR_USE_ONLY'!$DX$7:$DX11</formula1>
    </dataValidation>
    <dataValidation sqref="CI8:CI2500" showDropDown="0" showInputMessage="1" showErrorMessage="1" allowBlank="1" errorTitle="Invalid Adjustable Tilt Tension" error="The value provided is not a valid Adjustable Tilt Tension." promptTitle="Adjustable Tilt Tension" prompt="Please select a valid Adjustable Tilt Tension" type="list">
      <formula1>'WAYFAIR_USE_ONLY'!$DY$7:$DY10</formula1>
    </dataValidation>
    <dataValidation sqref="CI7" showDropDown="0" showInputMessage="1" showErrorMessage="1" allowBlank="1" errorTitle="Invalid Adjustable Tilt Tension" error="The value provided is not a valid Adjustable Tilt Tension." promptTitle="" prompt="If all products in this class consistently have the same answer, you can set a default value to apply automatically. For any exceptions, you can modify the answer for specific products without changing the default." type="list">
      <formula1>'WAYFAIR_USE_ONLY'!$DY$7:$DY10</formula1>
    </dataValidation>
    <dataValidation sqref="CJ8:CJ2500" showDropDown="0" showInputMessage="1" showErrorMessage="1" allowBlank="1" errorTitle="Invalid Adjustable Height" error="The value provided is not a valid Adjustable Height." promptTitle="Adjustable Height" prompt="Please select a valid Adjustable Height" type="list">
      <formula1>'WAYFAIR_USE_ONLY'!$DZ$7:$DZ10</formula1>
    </dataValidation>
    <dataValidation sqref="CJ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'WAYFAIR_USE_ONLY'!$DZ$7:$DZ10</formula1>
    </dataValidation>
    <dataValidation sqref="CK8:CK2500" showDropDown="0" showInputMessage="1" showErrorMessage="1" allowBlank="1" errorTitle="Invalid Seat Depth Adjustment" error="The value provided is not a valid Seat Depth Adjustment." promptTitle="Seat Depth Adjustment" prompt="Please select a valid Seat Depth Adjustment" type="list">
      <formula1>'WAYFAIR_USE_ONLY'!$EA$7:$EA10</formula1>
    </dataValidation>
    <dataValidation sqref="CK7" showDropDown="0" showInputMessage="1" showErrorMessage="1" allowBlank="1" errorTitle="Invalid Seat Depth Adjustment" error="The value provided is not a valid Seat Depth Adjustment." promptTitle="" prompt="If all products in this class consistently have the same answer, you can set a default value to apply automatically. For any exceptions, you can modify the answer for specific products without changing the default." type="list">
      <formula1>'WAYFAIR_USE_ONLY'!$EA$7:$EA10</formula1>
    </dataValidation>
    <dataValidation sqref="CL8:CL2500" showDropDown="0" showInputMessage="1" showErrorMessage="1" allowBlank="1" errorTitle="Invalid Seat Angle Adjustment" error="The value provided is not a valid Seat Angle Adjustment." promptTitle="Seat Angle Adjustment" prompt="Please select a valid Seat Angle Adjustment" type="list">
      <formula1>'WAYFAIR_USE_ONLY'!$EB$7:$EB10</formula1>
    </dataValidation>
    <dataValidation sqref="CL7" showDropDown="0" showInputMessage="1" showErrorMessage="1" allowBlank="1" errorTitle="Invalid Seat Angle Adjustment" error="The value provided is not a valid Seat Angle Adjustment." promptTitle="" prompt="If all products in this class consistently have the same answer, you can set a default value to apply automatically. For any exceptions, you can modify the answer for specific products without changing the default." type="list">
      <formula1>'WAYFAIR_USE_ONLY'!$EB$7:$EB10</formula1>
    </dataValidation>
    <dataValidation sqref="CM8:CM2500" showDropDown="0" showInputMessage="1" showErrorMessage="1" allowBlank="1" errorTitle="Invalid Waterfall Seat Included" error="The value provided is not a valid Waterfall Seat Included." promptTitle="Waterfall Seat Included" prompt="Please select a valid Waterfall Seat Included" type="list">
      <formula1>'WAYFAIR_USE_ONLY'!$EC$7:$EC10</formula1>
    </dataValidation>
    <dataValidation sqref="CM7" showDropDown="0" showInputMessage="1" showErrorMessage="1" allowBlank="1" errorTitle="Invalid Waterfall Seat Included" error="The value provided is not a valid Waterfall Seat Included." promptTitle="" prompt="If all products in this class consistently have the same answer, you can set a default value to apply automatically. For any exceptions, you can modify the answer for specific products without changing the default." type="list">
      <formula1>'WAYFAIR_USE_ONLY'!$EC$7:$EC10</formula1>
    </dataValidation>
    <dataValidation sqref="CN8:CN2500" showDropDown="0" showInputMessage="1" showErrorMessage="1" allowBlank="1" errorTitle="Invalid Seat Glide Mechanism" error="The value provided is not a valid Seat Glide Mechanism." promptTitle="Seat Glide Mechanism" prompt="Please select a valid Seat Glide Mechanism" type="list">
      <formula1>'WAYFAIR_USE_ONLY'!$ED$7:$ED10</formula1>
    </dataValidation>
    <dataValidation sqref="CN7" showDropDown="0" showInputMessage="1" showErrorMessage="1" allowBlank="1" errorTitle="Invalid Seat Glide Mechanism" error="The value provided is not a valid Seat Glide Mechanism." promptTitle="" prompt="If all products in this class consistently have the same answer, you can set a default value to apply automatically. For any exceptions, you can modify the answer for specific products without changing the default." type="list">
      <formula1>'WAYFAIR_USE_ONLY'!$ED$7:$ED10</formula1>
    </dataValidation>
    <dataValidation sqref="CO8:CO2500" showDropDown="0" showInputMessage="1" showErrorMessage="1" allowBlank="1" errorTitle="Invalid Headrest Included" error="The value provided is not a valid Headrest Included." promptTitle="Headrest Included" prompt="Please select a valid Headrest Included" type="list">
      <formula1>'WAYFAIR_USE_ONLY'!$EE$7:$EE10</formula1>
    </dataValidation>
    <dataValidation sqref="CO7" showDropDown="0" showInputMessage="1" showErrorMessage="1" allowBlank="1" errorTitle="Invalid Headrest Included" error="The value provided is not a valid Headrest Included." promptTitle="" prompt="If all products in this class consistently have the same answer, you can set a default value to apply automatically. For any exceptions, you can modify the answer for specific products without changing the default." type="list">
      <formula1>'WAYFAIR_USE_ONLY'!$EE$7:$EE10</formula1>
    </dataValidation>
    <dataValidation sqref="CP8:CP2500" showDropDown="0" showInputMessage="1" showErrorMessage="1" allowBlank="1" errorTitle="Invalid Footrest Included" error="The value provided is not a valid Footrest Included." promptTitle="Footrest Included" prompt="Please select a valid Footrest Included" type="list">
      <formula1>'WAYFAIR_USE_ONLY'!$EF$7:$EF10</formula1>
    </dataValidation>
    <dataValidation sqref="CP7" showDropDown="0" showInputMessage="1" showErrorMessage="1" allowBlank="1" errorTitle="Invalid Footrest Included" error="The value provided is not a valid Footrest Included." promptTitle="" prompt="If all products in this class consistently have the same answer, you can set a default value to apply automatically. For any exceptions, you can modify the answer for specific products without changing the default." type="list">
      <formula1>'WAYFAIR_USE_ONLY'!$EF$7:$EF10</formula1>
    </dataValidation>
    <dataValidation sqref="CQ8:CQ2500" showDropDown="0" showInputMessage="1" showErrorMessage="1" allowBlank="1" errorTitle="Invalid Casters / Wheels" error="The value provided is not a valid Casters / Wheels." promptTitle="Casters / Wheels" prompt="Please select a valid Casters / Wheels" type="list">
      <formula1>'WAYFAIR_USE_ONLY'!$EG$7:$EG10</formula1>
    </dataValidation>
    <dataValidation sqref="CQ7" showDropDown="0" showInputMessage="1" showErrorMessage="1" allowBlank="1" errorTitle="Invalid Casters / Wheels" error="The value provided is not a valid Casters / Wheels." promptTitle="" prompt="If all products in this class consistently have the same answer, you can set a default value to apply automatically. For any exceptions, you can modify the answer for specific products without changing the default." type="list">
      <formula1>'WAYFAIR_USE_ONLY'!$EG$7:$EG10</formula1>
    </dataValidation>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8:CS2500" showDropDown="0" showInputMessage="1" showErrorMessage="1" allowBlank="1" errorTitle="Invalid Stackable" error="The value provided is not a valid Stackable." promptTitle="Stackable" prompt="Please select a valid Stackable" type="list">
      <formula1>'WAYFAIR_USE_ONLY'!$EH$7:$EH11</formula1>
    </dataValidation>
    <dataValidation sqref="CS7" showDropDown="0" showInputMessage="1" showErrorMessage="1" allowBlank="1" errorTitle="Invalid Stackable" error="The value provided is not a valid Stackable." promptTitle="" prompt="If all products in this class consistently have the same answer, you can set a default value to apply automatically. For any exceptions, you can modify the answer for specific products without changing the default." type="list">
      <formula1>'WAYFAIR_USE_ONLY'!$EH$7:$EH11</formula1>
    </dataValidation>
    <dataValidation sqref="C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V8:CV250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'WAYFAIR_USE_ONLY'!$EI$7:$EI26</formula1>
    </dataValidation>
    <dataValidation sqref="CV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'WAYFAIR_USE_ONLY'!$EI$7:$EI26</formula1>
    </dataValidation>
    <dataValidation sqref="CW8:CW2500" showDropDown="0" showInputMessage="1" showErrorMessage="1" allowBlank="1" errorTitle="Invalid Kiln-Dried Wood" error="The value provided is not a valid Kiln-Dried Wood." promptTitle="Kiln-Dried Wood" prompt="Please select a valid Kiln-Dried Wood" type="list">
      <formula1>'WAYFAIR_USE_ONLY'!$EJ$7:$EJ11</formula1>
    </dataValidation>
    <dataValidation sqref="CW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'WAYFAIR_USE_ONLY'!$EJ$7:$EJ11</formula1>
    </dataValidation>
    <dataValidation sqref="CX8:CX2500" showDropDown="0" showInputMessage="1" showErrorMessage="1" allowBlank="1" errorTitle="Invalid Vibration" error="The value provided is not a valid Vibration." promptTitle="Vibration" prompt="Please select a valid Vibration" type="list">
      <formula1>'WAYFAIR_USE_ONLY'!$EK$7:$EK11</formula1>
    </dataValidation>
    <dataValidation sqref="CX7" showDropDown="0" showInputMessage="1" showErrorMessage="1" allowBlank="1" errorTitle="Invalid Vibration" error="The value provided is not a valid Vibration." promptTitle="" prompt="If all products in this class consistently have the same answer, you can set a default value to apply automatically. For any exceptions, you can modify the answer for specific products without changing the default." type="list">
      <formula1>'WAYFAIR_USE_ONLY'!$EK$7:$EK11</formula1>
    </dataValidation>
    <dataValidation sqref="CY8:CY250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'WAYFAIR_USE_ONLY'!$ES$7:$ES10</formula1>
    </dataValidation>
    <dataValidation sqref="CY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'WAYFAIR_USE_ONLY'!$ES$7:$ES10</formula1>
    </dataValidation>
    <dataValidation sqref="CZ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Z8:CZ2500" showDropDown="0" showInputMessage="1" showErrorMessage="1" allowBlank="1" errorTitle="Invalid Battery Composition" error="The value provided is not a valid Battery Composition." promptTitle="Battery Composition" prompt="Please select a valid Battery Composition" type="list">
      <formula1>'WAYFAIR_USE_ONLY'!$EL$7:$EL17</formula1>
    </dataValidation>
    <dataValidation sqref="CZ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'WAYFAIR_USE_ONLY'!$EL$7:$EL17</formula1>
    </dataValidation>
    <dataValidation sqref="DA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A8:DA2500" showDropDown="0" showInputMessage="1" showErrorMessage="1" allowBlank="1" errorTitle="Invalid Battery Type" error="The value provided is not a valid Battery Type." promptTitle="Battery Type" prompt="Please select a valid Battery Type" type="list">
      <formula1>'WAYFAIR_USE_ONLY'!$EM$7:$EM11</formula1>
    </dataValidation>
    <dataValidation sqref="DA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'WAYFAIR_USE_ONLY'!$EM$7:$EM11</formula1>
    </dataValidation>
    <dataValidation sqref="DB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B8:DB2500"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'WAYFAIR_USE_ONLY'!$EN$7:$EN19</formula1>
    </dataValidation>
    <dataValidation sqref="DB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'WAYFAIR_USE_ONLY'!$EN$7:$EN19</formula1>
    </dataValidation>
    <dataValidation sqref="DC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C8:DC2500" showDropDown="0" showInputMessage="1" showErrorMessage="1" allowBlank="1" errorTitle="Invalid Battery Shipment" error="The value provided is not a valid Battery Shipment." promptTitle="Battery Shipment" prompt="Please select a valid Battery Shipment" type="list">
      <formula1>'WAYFAIR_USE_ONLY'!$EO$7:$EO11</formula1>
    </dataValidation>
    <dataValidation sqref="DC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'WAYFAIR_USE_ONLY'!$EO$7:$EO11</formula1>
    </dataValidation>
    <dataValidation sqref="DD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D8:DD2500" showDropDown="0" showInputMessage="1" showErrorMessage="1" allowBlank="1" errorTitle="Invalid Lithium Content" error="The value provided is not a valid Lithium Content." promptTitle="Lithium Content" prompt="Please select a valid Lithium Content" type="list">
      <formula1>'WAYFAIR_USE_ONLY'!$EP$7:$EP14</formula1>
    </dataValidation>
    <dataValidation sqref="DD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'WAYFAIR_USE_ONLY'!$EP$7:$EP14</formula1>
    </dataValidation>
    <dataValidation sqref="DE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E8:DE250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'WAYFAIR_USE_ONLY'!$EQ$7:$EQ14</formula1>
    </dataValidation>
    <dataValidation sqref="DE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'WAYFAIR_USE_ONLY'!$EQ$7:$EQ14</formula1>
    </dataValidation>
    <dataValidation sqref="DF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F8:DF250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'WAYFAIR_USE_ONLY'!$ER$7:$ER12</formula1>
    </dataValidation>
    <dataValidation sqref="DF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'WAYFAIR_USE_ONLY'!$ER$7:$ER12</formula1>
    </dataValidation>
    <dataValidation sqref="DG8:DG250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D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8:DH2500" showDropDown="0" showInputMessage="1" showErrorMessage="1" allowBlank="1" errorTitle="Invalid Adjustable Headrest" error="The value provided is not a valid Adjustable Headrest." promptTitle="Adjustable Headrest" prompt="Please select a valid Adjustable Headrest" type="list">
      <formula1>'WAYFAIR_USE_ONLY'!$ET$7:$ET10</formula1>
    </dataValidation>
    <dataValidation sqref="DH7" showDropDown="0" showInputMessage="1" showErrorMessage="1" allowBlank="1" errorTitle="Invalid Adjustable Headrest" error="The value provided is not a valid Adjustable Headrest." promptTitle="" prompt="If all products in this class consistently have the same answer, you can set a default value to apply automatically. For any exceptions, you can modify the answer for specific products without changing the default." type="list">
      <formula1>'WAYFAIR_USE_ONLY'!$ET$7:$ET10</formula1>
    </dataValidation>
    <dataValidation sqref="DI8:DI2500" showDropDown="0" showInputMessage="1" showErrorMessage="1" allowBlank="1" errorTitle="Invalid Adjustable Lumbar Suppor" error="The value provided is not a valid Adjustable Lumbar Support." promptTitle="Adjustable Lumbar Support" prompt="Please select a valid Adjustable Lumbar Support" type="list">
      <formula1>'WAYFAIR_USE_ONLY'!$EU$7:$EU10</formula1>
    </dataValidation>
    <dataValidation sqref="DI7" showDropDown="0" showInputMessage="1" showErrorMessage="1" allowBlank="1" errorTitle="Invalid Adjustable Lumbar Suppor" error="The value provided is not a valid Adjustable Lumbar Support." promptTitle="" prompt="If all products in this class consistently have the same answer, you can set a default value to apply automatically. For any exceptions, you can modify the answer for specific products without changing the default." type="list">
      <formula1>'WAYFAIR_USE_ONLY'!$EU$7:$EU10</formula1>
    </dataValidation>
    <dataValidation sqref="D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M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O8:DO2500" showDropDown="0" showInputMessage="1" showErrorMessage="1" allowBlank="1" errorTitle="Invalid Plug-In" error="The value provided is not a valid Plug-In." promptTitle="Plug-In" prompt="Please select a valid Plug-In" type="list">
      <formula1>'WAYFAIR_USE_ONLY'!$EV$7:$EV9</formula1>
    </dataValidation>
    <dataValidation sqref="DO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'WAYFAIR_USE_ONLY'!$EV$7:$EV9</formula1>
    </dataValidation>
    <dataValidation sqref="D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Q8:DQ2500" showDropDown="0" showInputMessage="1" showErrorMessage="1" allowBlank="1" errorTitle="Invalid Back Angle Adjustment" error="The value provided is not a valid Back Angle Adjustment." promptTitle="Back Angle Adjustment" prompt="Please select a valid Back Angle Adjustment" type="list">
      <formula1>'WAYFAIR_USE_ONLY'!$EW$7:$EW11</formula1>
    </dataValidation>
    <dataValidation sqref="DQ7" showDropDown="0" showInputMessage="1" showErrorMessage="1" allowBlank="1" errorTitle="Invalid Back Angle Adjustment" error="The value provided is not a valid Back Angle Adjustment." promptTitle="" prompt="If all products in this class consistently have the same answer, you can set a default value to apply automatically. For any exceptions, you can modify the answer for specific products without changing the default." type="list">
      <formula1>'WAYFAIR_USE_ONLY'!$EW$7:$EW11</formula1>
    </dataValidation>
    <dataValidation sqref="DR8:DR2500" showDropDown="0" showInputMessage="1" showErrorMessage="1" allowBlank="1" errorTitle="Invalid Removable Wheels / Caste" error="The value provided is not a valid Removable Wheels / Casters." promptTitle="Removable Wheels / Casters" prompt="Please select a valid Removable Wheels / Casters" type="list">
      <formula1>'WAYFAIR_USE_ONLY'!$EX$7:$EX11</formula1>
    </dataValidation>
    <dataValidation sqref="DR7" showDropDown="0" showInputMessage="1" showErrorMessage="1" allowBlank="1" errorTitle="Invalid Removable Wheels / Caste" error="The value provided is not a valid Removable Wheels / Casters." promptTitle="" prompt="If all products in this class consistently have the same answer, you can set a default value to apply automatically. For any exceptions, you can modify the answer for specific products without changing the default." type="list">
      <formula1>'WAYFAIR_USE_ONLY'!$EX$7:$EX11</formula1>
    </dataValidation>
    <dataValidation sqref="D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T8:DT2500" showDropDown="0" showInputMessage="1" showErrorMessage="1" allowBlank="1" errorTitle="Invalid Ribbed Detailing" error="The value provided is not a valid Ribbed Detailing." promptTitle="Ribbed Detailing" prompt="Please select a valid Ribbed Detailing" type="list">
      <formula1>'WAYFAIR_USE_ONLY'!$EY$7:$EY11</formula1>
    </dataValidation>
    <dataValidation sqref="DT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'WAYFAIR_USE_ONLY'!$EY$7:$EY11</formula1>
    </dataValidation>
    <dataValidation sqref="D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W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X8:DX2500" showDropDown="0" showInputMessage="1" showErrorMessage="1" allowBlank="1" errorTitle="Invalid Rub Count" error="The value provided is not a valid Rub Count." promptTitle="Rub Count" prompt="Please select a valid Rub Count" type="list">
      <formula1>'WAYFAIR_USE_ONLY'!$EZ$7:$EZ16</formula1>
    </dataValidation>
    <dataValidation sqref="DX7" showDropDown="0" showInputMessage="1" showErrorMessage="1" allowBlank="1" errorTitle="Invalid Rub Count" error="The value provided is not a valid Rub Count." promptTitle="" prompt="If all products in this class consistently have the same answer, you can set a default value to apply automatically. For any exceptions, you can modify the answer for specific products without changing the default." type="list">
      <formula1>'WAYFAIR_USE_ONLY'!$EZ$7:$EZ16</formula1>
    </dataValidation>
    <dataValidation sqref="DY8:DY2500" showDropDown="0" showInputMessage="1" showErrorMessage="1" allowBlank="1" errorTitle="Invalid CPSC - 16 CFR 1303 Compl" error="The value provided is not a valid CPSC - 16 CFR 1303 Compliant." promptTitle="CPSC - 16 CFR 1303 Compliant" prompt="Please select a valid CPSC - 16 CFR 1303 Compliant" type="list">
      <formula1>'WAYFAIR_USE_ONLY'!$FA$7:$FA10</formula1>
    </dataValidation>
    <dataValidation sqref="DY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'WAYFAIR_USE_ONLY'!$FA$7:$FA10</formula1>
    </dataValidation>
    <dataValidation sqref="DZ8:DZ250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'WAYFAIR_USE_ONLY'!$FE$7:$FE10</formula1>
    </dataValidation>
    <dataValidation sqref="DZ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'WAYFAIR_USE_ONLY'!$FE$7:$FE10</formula1>
    </dataValidation>
    <dataValidation sqref="EA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EA8:EA2500"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'WAYFAIR_USE_ONLY'!$FB$7:$FB11</formula1>
    </dataValidation>
    <dataValidation sqref="EA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'WAYFAIR_USE_ONLY'!$FB$7:$FB11</formula1>
    </dataValidation>
    <dataValidation sqref="EB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EB8:EB2500"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'WAYFAIR_USE_ONLY'!$FC$7:$FC11</formula1>
    </dataValidation>
    <dataValidation sqref="EB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'WAYFAIR_USE_ONLY'!$FC$7:$FC11</formula1>
    </dataValidation>
    <dataValidation sqref="EC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EC8:EC2500" showDropDown="0" showInputMessage="1" showErrorMessage="1" allowBlank="1" errorTitle="Invalid CANFER Compliant" error="The value provided is not a valid CANFER Compliant." promptTitle="CANFER Compliant" prompt="Please select a valid CANFER Compliant" type="list">
      <formula1>'WAYFAIR_USE_ONLY'!$FD$7:$FD11</formula1>
    </dataValidation>
    <dataValidation sqref="EC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'WAYFAIR_USE_ONLY'!$FD$7:$FD11</formula1>
    </dataValidation>
    <dataValidation sqref="ED8:ED2500" showDropDown="0" showInputMessage="1" showErrorMessage="1" allowBlank="1" errorTitle="Invalid ADA Compliant" error="The value provided is not a valid ADA Compliant." promptTitle="ADA Compliant" prompt="Please select a valid ADA Compliant" type="list">
      <formula1>'WAYFAIR_USE_ONLY'!$FF$7:$FF10</formula1>
    </dataValidation>
    <dataValidation sqref="ED7" showDropDown="0" showInputMessage="1" showErrorMessage="1" allowBlank="1" errorTitle="Invalid ADA Compliant" error="The value provided is not a valid ADA Compliant." promptTitle="" prompt="If all products in this class consistently have the same answer, you can set a default value to apply automatically. For any exceptions, you can modify the answer for specific products without changing the default." type="list">
      <formula1>'WAYFAIR_USE_ONLY'!$FF$7:$FF10</formula1>
    </dataValidation>
    <dataValidation sqref="EE8:EE2500" showDropDown="0" showInputMessage="1" showErrorMessage="1" allowBlank="1" errorTitle="Invalid Contains Flame Retardant" error="The value provided is not a valid Contains Flame Retardant Materials." promptTitle="Contains Flame Retardant Materia" prompt="Please select a valid Contains Flame Retardant Materials" type="list">
      <formula1>'WAYFAIR_USE_ONLY'!$FG$7:$FG9</formula1>
    </dataValidation>
    <dataValidation sqref="EE7" showDropDown="0" showInputMessage="1" showErrorMessage="1" allowBlank="1" errorTitle="Invalid Contains Flame Retardant" error="The value provided is not a valid Contains Flame Retardant Materials." promptTitle="" prompt="If all products in this class consistently have the same answer, you can set a default value to apply automatically. For any exceptions, you can modify the answer for specific products without changing the default." type="list">
      <formula1>'WAYFAIR_USE_ONLY'!$FG$7:$FG9</formula1>
    </dataValidation>
    <dataValidation sqref="EF8:EF2500" showDropDown="0" showInputMessage="1" showErrorMessage="1" allowBlank="1" errorTitle="Invalid CAL TB 116 Compliant" error="The value provided is not a valid CAL TB 116 Compliant." promptTitle="CAL TB 116 Compliant" prompt="Please select a valid CAL TB 116 Compliant" type="list">
      <formula1>'WAYFAIR_USE_ONLY'!$FH$7:$FH12</formula1>
    </dataValidation>
    <dataValidation sqref="EF7" showDropDown="0" showInputMessage="1" showErrorMessage="1" allowBlank="1" errorTitle="Invalid CAL TB 116 Compliant" error="The value provided is not a valid CAL TB 116 Compliant." promptTitle="" prompt="If all products in this class consistently have the same answer, you can set a default value to apply automatically. For any exceptions, you can modify the answer for specific products without changing the default." type="list">
      <formula1>'WAYFAIR_USE_ONLY'!$FH$7:$FH12</formula1>
    </dataValidation>
    <dataValidation sqref="EG8:EG2500" showDropDown="0" showInputMessage="1" showErrorMessage="1" allowBlank="1" errorTitle="Invalid CAL TB 117-2013 Complian" error="The value provided is not a valid CAL TB 117-2013 Compliant." promptTitle="CAL TB 117-2013 Compliant" prompt="Please select a valid CAL TB 117-2013 Compliant" type="list">
      <formula1>'WAYFAIR_USE_ONLY'!$FI$7:$FI12</formula1>
    </dataValidation>
    <dataValidation sqref="EG7" showDropDown="0" showInputMessage="1" showErrorMessage="1" allowBlank="1" errorTitle="Invalid CAL TB 117-2013 Complian" error="The value provided is not a valid CAL TB 117-2013 Compliant." promptTitle="" prompt="If all products in this class consistently have the same answer, you can set a default value to apply automatically. For any exceptions, you can modify the answer for specific products without changing the default." type="list">
      <formula1>'WAYFAIR_USE_ONLY'!$FI$7:$FI12</formula1>
    </dataValidation>
    <dataValidation sqref="EH8:EH250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'WAYFAIR_USE_ONLY'!$FJ$7:$FJ11</formula1>
    </dataValidation>
    <dataValidation sqref="EH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'WAYFAIR_USE_ONLY'!$FJ$7:$FJ11</formula1>
    </dataValidation>
    <dataValidation sqref="EI8:EI250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'WAYFAIR_USE_ONLY'!$FK$7:$FK10</formula1>
    </dataValidation>
    <dataValidation sqref="EI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'WAYFAIR_USE_ONLY'!$FK$7:$FK10</formula1>
    </dataValidation>
    <dataValidation sqref="EJ8:EJ250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'WAYFAIR_USE_ONLY'!$FL$7:$FL9</formula1>
    </dataValidation>
    <dataValidation sqref="EJ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'WAYFAIR_USE_ONLY'!$FL$7:$FL9</formula1>
    </dataValidation>
    <dataValidation sqref="EK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E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L8:EL2500" showDropDown="0" showInputMessage="1" showErrorMessage="1" allowBlank="1" errorTitle="Invalid Lacey Act Compliant" error="The value provided is not a valid Lacey Act Compliant." promptTitle="Lacey Act Compliant" prompt="Please select a valid Lacey Act Compliant" type="list">
      <formula1>'WAYFAIR_USE_ONLY'!$FM$7:$FM11</formula1>
    </dataValidation>
    <dataValidation sqref="EL7" showDropDown="0" showInputMessage="1" showErrorMessage="1" allowBlank="1" errorTitle="Invalid Lacey Act Compliant" error="The value provided is not a valid Lacey Act Compliant." promptTitle="" prompt="If all products in this class consistently have the same answer, you can set a default value to apply automatically. For any exceptions, you can modify the answer for specific products without changing the default." type="list">
      <formula1>'WAYFAIR_USE_ONLY'!$FM$7:$FM11</formula1>
    </dataValidation>
    <dataValidation sqref="EM8:EM2500" showDropDown="0" showInputMessage="1" showErrorMessage="1" allowBlank="1" errorTitle="Invalid SOFFA Compliant" error="The value provided is not a valid SOFFA Compliant." promptTitle="SOFFA Compliant" prompt="Please select a valid SOFFA Compliant" type="list">
      <formula1>'WAYFAIR_USE_ONLY'!$FN$7:$FN10</formula1>
    </dataValidation>
    <dataValidation sqref="EM7" showDropDown="0" showInputMessage="1" showErrorMessage="1" allowBlank="1" errorTitle="Invalid SOFFA Compliant" error="The value provided is not a valid SOFFA Compliant." promptTitle="" prompt="If all products in this class consistently have the same answer, you can set a default value to apply automatically. For any exceptions, you can modify the answer for specific products without changing the default." type="list">
      <formula1>'WAYFAIR_USE_ONLY'!$FN$7:$FN10</formula1>
    </dataValidation>
    <dataValidation sqref="EN8:EN250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'WAYFAIR_USE_ONLY'!$FR$7:$FR9</formula1>
    </dataValidation>
    <dataValidation sqref="EN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'WAYFAIR_USE_ONLY'!$FR$7:$FR9</formula1>
    </dataValidation>
    <dataValidation sqref="EO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P8:EP2500" showDropDown="0" showInputMessage="1" showErrorMessage="1" allowBlank="1" errorTitle="Invalid Hazard Class(es)" error="The value provided is not a valid Hazard Class(es)." promptTitle="Hazard Class(es)" prompt="Please select a valid Hazard Class(es)" type="list">
      <formula1>'WAYFAIR_USE_ONLY'!$FO$7:$FO23</formula1>
    </dataValidation>
    <dataValidation sqref="EP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'WAYFAIR_USE_ONLY'!$FO$7:$FO23</formula1>
    </dataValidation>
    <dataValidation sqref="EQ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Q8:EQ2500" showDropDown="0" showInputMessage="1" showErrorMessage="1" allowBlank="1" errorTitle="Invalid Packing Group" error="The value provided is not a valid Packing Group." promptTitle="Packing Group" prompt="Please select a valid Packing Group" type="list">
      <formula1>'WAYFAIR_USE_ONLY'!$FP$7:$FP12</formula1>
    </dataValidation>
    <dataValidation sqref="EQ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'WAYFAIR_USE_ONLY'!$FP$7:$FP12</formula1>
    </dataValidation>
    <dataValidation sqref="ER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R8:ER250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'WAYFAIR_USE_ONLY'!$FQ$7:$FQ19</formula1>
    </dataValidation>
    <dataValidation sqref="ER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'WAYFAIR_USE_ONLY'!$FQ$7:$FQ19</formula1>
    </dataValidation>
    <dataValidation sqref="ES8:ES2500"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'WAYFAIR_USE_ONLY'!$FS$7:$FS12</formula1>
    </dataValidation>
    <dataValidation sqref="ES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'WAYFAIR_USE_ONLY'!$FS$7:$FS12</formula1>
    </dataValidation>
    <dataValidation sqref="ET8:ET2500" showDropDown="0" showInputMessage="1" showErrorMessage="1" allowBlank="1" errorTitle="Invalid SOR/2016-193 - Surface C" error="The value provided is not a valid SOR/2016-193 - Surface Coating Materials Regulations." promptTitle="SOR/2016-193 - Surface Coating M" prompt="Please select a valid SOR/2016-193 - Surface Coating Materials Regulations" type="list">
      <formula1>'WAYFAIR_USE_ONLY'!$FT$7:$FT11</formula1>
    </dataValidation>
    <dataValidation sqref="ET7" showDropDown="0" showInputMessage="1" showErrorMessage="1" allowBlank="1" errorTitle="Invalid SOR/2016-193 - Surface C" error="The value provided is not a valid SOR/2016-193 - Surface Coating Materials Regulations." promptTitle="" prompt="If all products in this class consistently have the same answer, you can set a default value to apply automatically. For any exceptions, you can modify the answer for specific products without changing the default." type="list">
      <formula1>'WAYFAIR_USE_ONLY'!$FT$7:$FT11</formula1>
    </dataValidation>
    <dataValidation sqref="EU8:EU2500" showDropDown="0" showInputMessage="1" showErrorMessage="1" allowBlank="1" errorTitle="Invalid ISTA Certified" error="The value provided is not a valid ISTA Certified." promptTitle="ISTA Certified" prompt="Please select a valid ISTA Certified" type="list">
      <formula1>'WAYFAIR_USE_ONLY'!$FU$7:$FU10</formula1>
    </dataValidation>
    <dataValidation sqref="EU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'WAYFAIR_USE_ONLY'!$FU$7:$FU10</formula1>
    </dataValidation>
    <dataValidation sqref="EV8:EV2500" showDropDown="0" showInputMessage="1" showErrorMessage="1" allowBlank="1" errorTitle="Invalid California AB-1817 Compl" error="The value provided is not a valid California AB-1817 Compliant (CA PFAS)." promptTitle="California AB-1817 Compliant (CA" prompt="Please select a valid California AB-1817 Compliant (CA PFAS)" type="list">
      <formula1>'WAYFAIR_USE_ONLY'!$FV$7:$FV11</formula1>
    </dataValidation>
    <dataValidation sqref="EV7" showDropDown="0" showInputMessage="1" showErrorMessage="1" allowBlank="1" errorTitle="Invalid California AB-1817 Compl" error="The value provided is not a valid California AB-1817 Compliant (CA PFAS)." promptTitle="" prompt="If all products in this class consistently have the same answer, you can set a default value to apply automatically. For any exceptions, you can modify the answer for specific products without changing the default." type="list">
      <formula1>'WAYFAIR_USE_ONLY'!$FV$7:$FV11</formula1>
    </dataValidation>
    <dataValidation sqref="EW8:EW250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'WAYFAIR_USE_ONLY'!$FW$7:$FW10</formula1>
    </dataValidation>
    <dataValidation sqref="EW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'WAYFAIR_USE_ONLY'!$FW$7:$FW10</formula1>
    </dataValidation>
    <dataValidation sqref="EX8:EX250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'WAYFAIR_USE_ONLY'!$FX$7:$FX12</formula1>
    </dataValidation>
    <dataValidation sqref="EX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'WAYFAIR_USE_ONLY'!$FX$7:$FX12</formula1>
    </dataValidation>
    <dataValidation sqref="EY8:EY2500" showDropDown="0" showInputMessage="1" showErrorMessage="1" allowBlank="0" errorTitle="Invalid Number" error="The value provided is not a valid Number." promptTitle="Overall Height - Top to Bottom" prompt="Please enter Number" type="textLength" errorStyle="warning" operator="lessThanOrEqual">
      <formula1>32767</formula1>
    </dataValidation>
    <dataValidation sqref="EY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Z8:EZ2500" showDropDown="0" showInputMessage="1" showErrorMessage="1" allowBlank="0" errorTitle="Invalid Number" error="The value provided is not a valid Number." promptTitle="Overall Width - Side to Side" prompt="Please enter Number" type="textLength" errorStyle="warning" operator="lessThanOrEqual">
      <formula1>32767</formula1>
    </dataValidation>
    <dataValidation sqref="EZ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A8:FA2500" showDropDown="0" showInputMessage="1" showErrorMessage="1" allowBlank="0" errorTitle="Invalid Number" error="The value provided is not a valid Number." promptTitle="Overall Depth - Front to Back" prompt="Please enter Number" type="textLength" errorStyle="warning" operator="lessThanOrEqual">
      <formula1>32767</formula1>
    </dataValidation>
    <dataValidation sqref="FA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B8:FB2500" showDropDown="0" showInputMessage="1" showErrorMessage="1" allowBlank="0" errorTitle="Invalid Number" error="The value provided is not a valid Number." promptTitle="Seat Height - Floor to Seat" prompt="Please enter Number" type="textLength" errorStyle="warning" operator="lessThanOrEqual">
      <formula1>32767</formula1>
    </dataValidation>
    <dataValidation sqref="FB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C8:FC2500" showDropDown="0" showInputMessage="1" showErrorMessage="1" allowBlank="0" errorTitle="Invalid Number" error="The value provided is not a valid Number." promptTitle="Seat Width - Side to Side" prompt="Please enter Number" type="textLength" errorStyle="warning" operator="lessThanOrEqual">
      <formula1>32767</formula1>
    </dataValidation>
    <dataValidation sqref="FC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D8:FD2500" showDropDown="0" showInputMessage="1" showErrorMessage="1" allowBlank="0" errorTitle="Invalid Number" error="The value provided is not a valid Number." promptTitle="Seat Depth - Front to Back" prompt="Please enter Number" type="textLength" errorStyle="warning" operator="lessThanOrEqual">
      <formula1>32767</formula1>
    </dataValidation>
    <dataValidation sqref="F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E8:FE2500" showDropDown="0" showInputMessage="1" showErrorMessage="1" allowBlank="0" errorTitle="Invalid Number" error="The value provided is not a valid Number." promptTitle="Minimum Seat Height - Floor to S" prompt="Please enter Number" type="textLength" errorStyle="warning" operator="lessThanOrEqual">
      <formula1>32767</formula1>
    </dataValidation>
    <dataValidation sqref="F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F8:FF2500" showDropDown="0" showInputMessage="1" showErrorMessage="1" allowBlank="0" errorTitle="Invalid Number" error="The value provided is not a valid Number." promptTitle="Maximum Seat Height - Floor to S" prompt="Please enter Number" type="textLength" errorStyle="warning" operator="lessThanOrEqual">
      <formula1>32767</formula1>
    </dataValidation>
    <dataValidation sqref="F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G8:FG2500" showDropDown="0" showInputMessage="1" showErrorMessage="1" allowBlank="0" errorTitle="Invalid Number" error="The value provided is not a valid Number." promptTitle="Seat Cushion Thickness" prompt="Please enter Number" type="textLength" errorStyle="warning" operator="lessThanOrEqual">
      <formula1>32767</formula1>
    </dataValidation>
    <dataValidation sqref="F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H8:FH2500" showDropDown="0" showInputMessage="1" showErrorMessage="1" allowBlank="0" errorTitle="Invalid Number" error="The value provided is not a valid Number." promptTitle="Chair Back Height - Seat to Top " prompt="Please enter Number" type="textLength" errorStyle="warning" operator="lessThanOrEqual">
      <formula1>32767</formula1>
    </dataValidation>
    <dataValidation sqref="F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I8:FI250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F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J8:FJ2500" showDropDown="0" showInputMessage="1" showErrorMessage="1" allowBlank="1" errorTitle="Invalid Assembly Required" error="The value provided is not a valid Assembly Required." promptTitle="Assembly Required" prompt="Please select a valid Assembly Required" type="list">
      <formula1>'WAYFAIR_USE_ONLY'!$FY$7:$FY9</formula1>
    </dataValidation>
    <dataValidation sqref="FJ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'WAYFAIR_USE_ONLY'!$FY$7:$FY9</formula1>
    </dataValidation>
    <dataValidation sqref="FK8:FK2500" showDropDown="0" showInputMessage="1" showErrorMessage="1" allowBlank="1" errorTitle="Invalid Level of Assembly" error="The value provided is not a valid Level of Assembly." promptTitle="Level of Assembly" prompt="Please select a valid Level of Assembly" type="list">
      <formula1>'WAYFAIR_USE_ONLY'!$FZ$7:$FZ11</formula1>
    </dataValidation>
    <dataValidation sqref="FK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'WAYFAIR_USE_ONLY'!$FZ$7:$FZ11</formula1>
    </dataValidation>
    <dataValidation sqref="F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FM8:FM2500" showDropDown="0" showInputMessage="1" showErrorMessage="1" allowBlank="1" errorTitle="Invalid Commercial Warranty" error="The value provided is not a valid Commercial Warranty." promptTitle="Commercial Warranty" prompt="Please select a valid Commercial Warranty" type="list">
      <formula1>'WAYFAIR_USE_ONLY'!$GB$7:$GB10</formula1>
    </dataValidation>
    <dataValidation sqref="FM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'WAYFAIR_USE_ONLY'!$GB$7:$GB10</formula1>
    </dataValidation>
    <dataValidation sqref="FN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FN8:FN250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'WAYFAIR_USE_ONLY'!$GA$7:$GA32</formula1>
    </dataValidation>
    <dataValidation sqref="FN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'WAYFAIR_USE_ONLY'!$GA$7:$GA32</formula1>
    </dataValidation>
    <dataValidation sqref="FO8:FO2500" showDropDown="0" showInputMessage="1" showErrorMessage="1" allowBlank="1" errorTitle="Invalid Product Warranty" error="The value provided is not a valid Product Warranty." promptTitle="Product Warranty" prompt="Please select a valid Product Warranty" type="list">
      <formula1>'WAYFAIR_USE_ONLY'!$GC$7:$GC9</formula1>
    </dataValidation>
    <dataValidation sqref="FO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'WAYFAIR_USE_ONLY'!$GC$7:$GC9</formula1>
    </dataValidation>
    <dataValidation sqref="FP8:FP250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'WAYFAIR_USE_ONLY'!$GD$7:$GD10</formula1>
    </dataValidation>
    <dataValidation sqref="FP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'WAYFAIR_USE_ONLY'!$GD$7:$GD10</formula1>
    </dataValidation>
  </dataValidations>
  <hyperlinks>
    <hyperlink ref="D6" location="'Valid Values'!A1" display="Select"/>
    <hyperlink ref="J6" location="'Valid Values'!B1" display="Select"/>
    <hyperlink ref="L6" location="'Valid Values'!E1" display="Select"/>
    <hyperlink ref="N6" location="'Valid Values'!E1" display="Select"/>
    <hyperlink ref="P6" location="'Valid Values'!E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CW1" display="Select"/>
    <hyperlink ref="BP6" location="'Valid Values'!CX1" display="Select"/>
    <hyperlink ref="BQ6" location="'Valid Values'!CY1" display="Please choose one or more from the following, using a semicolon (;) to separate each value: Mesh; Bungee; Other; Manufactured Wood; Fabric; Solid Wood; Metal; Plastic; Leather; Unavailable"/>
    <hyperlink ref="BR6" location="'Valid Values'!CZ1" display="Please choose one or more from the following, using a semicolon (;) to separate each value: Ceramic; Plastic; Wood; Manufactured wood; Brass; Bungee; Chenille; Concrete; Copper; Fabric; Genuine Leather; Metal; Plastic / Resin; Nickel; Polyurethane; Solid + Manufactured Wood; Cotton; Stainless Steel; Wicker/Rattan; Faux Leather; Mesh; Iron; Plastic / Acrylic; Microfiber; Polyester/Polyester blend; Porcelain; Sling; Solid Wood; Velvet; Wicker; Steel; Twill; Aluminum; Resin; Leather; Vinyl; Suede; Upholstered; Polyester; Sunbrella®; Canvas; Does Not Apply"/>
    <hyperlink ref="BT6" location="'Valid Values'!DA1" display="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
    <hyperlink ref="BW6" location="'Valid Values'!DB1" display="Please choose one or more from the following, using a semicolon (;) to separate each value: Fabric; Solid Wood; Leather; Faux Leather; Metal; Vinyl; Mesh; Plastic / Acrylic; Manufactured Wood; Bungee; Copper; Nickel; Aluminum; Steel; Stainless Steel; Upholstered; Microfiber; Polyester / Polyester Blend; Iron; Brass; Cane; Unavailable"/>
    <hyperlink ref="BX6" location="'Valid Values'!DC1" display="Please choose one or more from the following, using a semicolon (;) to separate each value: Twill; Fabric; Polyurethane; Genuine Leather; Vinyl; Polyester / Polyester Blend; Faux Fur; Faux Leather; Suede; Microfiber; Velvet; Leather; Rayon; Chenille; Wool; Cotton; Linen; Microsuede; Unavailable; Does Not Apply"/>
    <hyperlink ref="BY6" location="'Valid Values'!DD1" display="Please choose one or more from the following, using a semicolon (;) to separate each value: Foam; Cotton; Down; Synthetic Fiber; Feather; Polyester; Pellets / Beads; Unavailable; Does Not Apply"/>
    <hyperlink ref="BZ6" location="'Valid Values'!DE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A6" location="'Valid Values'!DF1" display="Please choose one or more from the following, using a semicolon (;) to separate each value: No Natural Variation; Natural Wood Grain Color Variation; Weathered Steel; Wood Knots; Natural Stone Color Variation; Unavailable"/>
    <hyperlink ref="CC6" location="'Valid Values'!DG1" display="Please choose one or more from the following, using a semicolon (;) to separate each value: Up / Down; Pivot; Side to Side; Front to Back; Non-Adjustable; Flip Up; Unavailable; Does Not Apply"/>
    <hyperlink ref="CR6" location="'Valid Values'!DH1" display="Please choose one or more from the following, using a semicolon (;) to separate each value: Hardwood; Carpet; Linoleum / Laminate; Brick; Porcelain; Thick Carpet and Shag Rugs; Vinyl; Metal; Rug; Marble / Tile; Upholstery; Concrete / Stone; Grass; Heated Floor; Onyx; Thin Carpets and Low Pile Rugs; Engineered Wood; Bamboo; Cork; Unavailable; Does Not Apply"/>
    <hyperlink ref="CT6" location="'Valid Values'!DI1" display="Please choose one or more from the following, using a semicolon (;) to separate each value: Non Residential Use; Residential Use"/>
    <hyperlink ref="CU6" location="'Valid Values'!DJ1" display="Please choose one or more from the following, using a semicolon (;) to separate each value: Made in USA; Made in USA of Imported Materials; Product of Canada; Made In Canada; Does Not Apply"/>
    <hyperlink ref="CV6" location="'Valid Values'!DK1" display="Select"/>
    <hyperlink ref="CZ6" location="'Valid Values'!DL1" display="Select"/>
    <hyperlink ref="DA6" location="'Valid Values'!DM1" display="Select"/>
    <hyperlink ref="DB6" location="'Valid Values'!DN1" display="Select"/>
    <hyperlink ref="DC6" location="'Valid Values'!DO1" display="Select"/>
    <hyperlink ref="DD6" location="'Valid Values'!DP1" display="Select"/>
    <hyperlink ref="DE6" location="'Valid Values'!DQ1" display="Select"/>
    <hyperlink ref="DF6" location="'Valid Values'!DR1" display="Select"/>
    <hyperlink ref="DJ6" location="'Valid Values'!DS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DK6" location="'Valid Values'!DT1" display="Please choose one or more from the following, using a semicolon (;) to separate each value: Cream; Green; Gold; Blue; Beige; Tan; Gray; Black; Clear; Orange; Red; Purple; Pink; Silver; Navy; Ivory; Brown; White; Platinum; Yellow; Teal; Does Not Apply"/>
    <hyperlink ref="DL6" location="'Valid Values'!DU1" display="Please choose one or more from the following, using a semicolon (;) to separate each value: Wood; Manufactured Wood; Rubber; Foam; Plastic / Acrylic; Wicker; Fabric; Metal; Nylon; Polyester; Plastic; Vinyl; Polypropylene; Solid Wood; Faux Leather; Genuine Leather; Polyurethane; Solid + Manufactured Wood; Unavailable; Does Not Apply"/>
    <hyperlink ref="DM6" location="'Valid Values'!DV1" display="Please choose one or more from the following, using a semicolon (;) to separate each value: Down; Feather; Down Blend; Synthetic Fiber; Foam; Eco-Fill; Pellets / Beads; Cotton; Polyester; Unavailable; Does Not Apply"/>
    <hyperlink ref="DN6" location="'Valid Values'!DW1" display="Please choose one or more from the following, using a semicolon (;) to separate each value: Stainless Steel; White; Silver; Satin; Gold; Yellow; Clear; Satin Black; Medium Wood; Matte Black; White Wood; Black; Brown; Blue; Dark Brown Wood; Brown Wood; Oak Wood; Medium Yellow Wood; Light Yellow Wood; Rose Gold; Antique Brass; Nickel; Pink; Polished Brass; Satin Brass; Oil Rubbed Bronze; Polished Nickel; Red; Purple; Espresso Wood; Ivory; Orange; Beige; Teal; Green; Bronze; Brushed Gold; Brass; Red Wood; Tan; Navy; Brushed Nickel; Cream; Chrome; Brushed Brass; Polished Chrome; Gray; Gray Wood; Satin Nickel; Beige Wood; Natural Wood; Copper; Antique Copper; Antique Bronze"/>
    <hyperlink ref="DP6" location="'Valid Values'!DX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DS6" location="'Valid Values'!DY1" display="Please choose one or more from the following, using a semicolon (;) to separate each value: Armless; Tuxedo Arms; Fixed; Round Arms; Square Arms; Pillow Top Arms; Rolled Arms; Recessed Arms; Charles of London; Padded; Flip-Up; Track Arms; Adjustable Arms; Flared Arms; Unavailable; Does Not Apply"/>
    <hyperlink ref="DU6" location="'Valid Values'!DZ1" display="Please choose one or more from the following, using a semicolon (;) to separate each value: No Durability Features; Fire Resistant; Antimicrobial; Does Not Apply"/>
    <hyperlink ref="DV6" location="'Valid Values'!EA1" display="Please choose one or more from the following, using a semicolon (;) to separate each value: Center Tilt; Auto Tilt; Knee Tilt; Manual Tilt; Synchro Tilt; Rotational; Collar Tilt; Push Button; Does Not Apply"/>
    <hyperlink ref="DW6" location="'Valid Values'!EB1" display="Please choose one or more from the following, using a semicolon (;) to separate each value: Headrest; Pillow; Chair Mat; Waterfall Seat; Wheels / Casters; Arms; Footrest; Unavailable; Does Not Apply"/>
    <hyperlink ref="DX6" location="'Valid Values'!EC1" display="Select"/>
    <hyperlink ref="DY6" location="'Valid Values'!ED1" display="Select"/>
    <hyperlink ref="EA6" location="'Valid Values'!EE1" display="Select"/>
    <hyperlink ref="EB6" location="'Valid Values'!EF1" display="Select"/>
    <hyperlink ref="EC6" location="'Valid Values'!EG1" display="Select"/>
    <hyperlink ref="EF6" location="'Valid Values'!EH1" display="Select"/>
    <hyperlink ref="EG6" location="'Valid Values'!EI1" display="Select"/>
    <hyperlink ref="EH6" location="'Valid Values'!EJ1" display="Select"/>
    <hyperlink ref="EI6" location="'Valid Values'!EK1" display="Select"/>
    <hyperlink ref="EK6" location="'Valid Values'!EL1" display="Please choose one or more from the following, using a semicolon (;) to separate each value: Dual Language; Distribution Conflict; Logistics; Does Not Apply"/>
    <hyperlink ref="EL6" location="'Valid Values'!EM1" display="Select"/>
    <hyperlink ref="EO6" location="'Valid Values'!EN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EP6" location="'Valid Values'!EO1" display="Select"/>
    <hyperlink ref="EQ6" location="'Valid Values'!EP1" display="Select"/>
    <hyperlink ref="ER6" location="'Valid Values'!EQ1" display="Select"/>
    <hyperlink ref="ES6" location="'Valid Values'!ER1" display="Select"/>
    <hyperlink ref="ET6" location="'Valid Values'!ES1" display="Select"/>
    <hyperlink ref="EU6" location="'Valid Values'!ET1" display="Select"/>
    <hyperlink ref="EV6" location="'Valid Values'!EU1" display="Select"/>
    <hyperlink ref="EX6" location="'Valid Values'!EV1" display="Select"/>
    <hyperlink ref="FK6" location="'Valid Values'!EW1" display="Select"/>
    <hyperlink ref="FL6" location="'Valid Values'!EX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FN6" location="'Valid Values'!EY1" display="Select"/>
    <hyperlink ref="FP6" location="'Valid Values'!EZ1" display="Select"/>
  </hyperlink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FP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19.7109375" customWidth="1" style="22" min="68" max="68"/>
    <col width="22.7109375" customWidth="1" style="22" min="69" max="69"/>
    <col width="18.7109375" customWidth="1" style="22" min="70" max="70"/>
    <col width="16.7109375" customWidth="1" style="22" min="71" max="71"/>
    <col width="24.7109375" customWidth="1" style="22" min="72" max="72"/>
    <col width="11.7109375" customWidth="1" style="22" min="73" max="73"/>
    <col width="31.7109375" customWidth="1" style="22" min="74" max="74"/>
    <col width="18.7109375" customWidth="1" style="22" min="75" max="75"/>
    <col width="29.7109375" customWidth="1" style="22" min="76" max="76"/>
    <col width="23.7109375" customWidth="1" style="22" min="77" max="77"/>
    <col width="32.7109375" customWidth="1" style="22" min="78" max="78"/>
    <col width="27.7109375" customWidth="1" style="22" min="79" max="79"/>
    <col width="18.7109375" customWidth="1" style="22" min="80" max="80"/>
    <col width="28.7109375" customWidth="1" style="22" min="81" max="81"/>
    <col width="11.7109375" customWidth="1" style="22" min="82" max="82"/>
    <col width="19.7109375" customWidth="1" style="22" min="83" max="83"/>
    <col width="20.7109375" customWidth="1" style="22" min="84" max="84"/>
    <col width="12.7109375" customWidth="1" style="22" min="85" max="85"/>
    <col width="14.7109375" customWidth="1" style="22" min="86" max="86"/>
    <col width="28.7109375" customWidth="1" style="22" min="87" max="87"/>
    <col width="22.7109375" customWidth="1" style="22" min="88" max="88"/>
    <col width="26.7109375" customWidth="1" style="22" min="89" max="90"/>
    <col width="28.7109375" customWidth="1" style="22" min="91" max="91"/>
    <col width="25.7109375" customWidth="1" style="22" min="92" max="92"/>
    <col width="22.7109375" customWidth="1" style="22" min="93" max="94"/>
    <col width="21.7109375" customWidth="1" style="22" min="95" max="95"/>
    <col width="26.7109375" customWidth="1" style="22" min="96" max="96"/>
    <col width="14.7109375" customWidth="1" style="22" min="97" max="97"/>
    <col width="39.7109375" customWidth="1" style="22" min="98" max="98"/>
    <col width="43.7109375" customWidth="1" style="22" min="99" max="99"/>
    <col width="29.7109375" customWidth="1" style="22" min="100" max="100"/>
    <col width="20.7109375" customWidth="1" style="22" min="101" max="101"/>
    <col width="14.7109375" customWidth="1" style="22" min="102" max="102"/>
    <col width="34.7109375" customWidth="1" style="22" min="103" max="103"/>
    <col width="24.7109375" customWidth="1" style="22" min="104" max="104"/>
    <col width="17.7109375" customWidth="1" style="22" min="105" max="105"/>
    <col width="24.7109375" customWidth="1" style="22" min="106" max="106"/>
    <col width="21.7109375" customWidth="1" style="22" min="107" max="107"/>
    <col width="20.7109375" customWidth="1" style="22" min="108" max="108"/>
    <col width="35.7109375" customWidth="1" style="22" min="109" max="109"/>
    <col width="30.7109375" customWidth="1" style="22" min="110" max="110"/>
    <col width="20.7109375" customWidth="1" style="22" min="111" max="111"/>
    <col width="24.7109375" customWidth="1" style="22" min="112" max="112"/>
    <col width="30.7109375" customWidth="1" style="22" min="113" max="113"/>
    <col width="17.7109375" customWidth="1" style="22" min="114" max="114"/>
    <col width="15.7109375" customWidth="1" style="22" min="115" max="115"/>
    <col width="17.7109375" customWidth="1" style="22" min="116" max="116"/>
    <col width="29.7109375" customWidth="1" style="22" min="117" max="117"/>
    <col width="25.7109375" customWidth="1" style="22" min="118" max="118"/>
    <col width="12.7109375" customWidth="1" style="22" min="119" max="119"/>
    <col width="17.7109375" customWidth="1" style="22" min="120" max="120"/>
    <col width="26.7109375" customWidth="1" style="22" min="121" max="121"/>
    <col width="31.7109375" customWidth="1" style="22" min="122" max="122"/>
    <col width="13.7109375" customWidth="1" style="22" min="123" max="123"/>
    <col width="21.7109375" customWidth="1" style="22" min="124" max="124"/>
    <col width="15.7109375" customWidth="1" style="22" min="125" max="125"/>
    <col width="24.7109375" customWidth="1" style="22" min="126" max="126"/>
    <col width="20.7109375" customWidth="1" style="22" min="127" max="127"/>
    <col width="14.7109375" customWidth="1" style="22" min="128" max="128"/>
    <col width="33.7109375" customWidth="1" style="22" min="129" max="130"/>
    <col width="53.7109375" customWidth="1" style="22" min="131" max="132"/>
    <col width="21.7109375" customWidth="1" style="22" min="133" max="133"/>
    <col width="18.7109375" customWidth="1" style="22" min="134" max="134"/>
    <col width="39.7109375" customWidth="1" style="22" min="135" max="135"/>
    <col width="25.7109375" customWidth="1" style="22" min="136" max="136"/>
    <col width="30.7109375" customWidth="1" style="22" min="137" max="137"/>
    <col width="44.7109375" customWidth="1" style="22" min="138" max="138"/>
    <col width="64.7109375" customWidth="1" style="22" min="139" max="139"/>
    <col width="31.7109375" customWidth="1" style="22" min="140" max="140"/>
    <col width="27.7109375" customWidth="1" style="22" min="141" max="141"/>
    <col width="24.7109375" customWidth="1" style="22" min="142" max="142"/>
    <col width="20.7109375" customWidth="1" style="22" min="143" max="143"/>
    <col width="41.7109375" customWidth="1" style="22" min="144" max="144"/>
    <col width="20.7109375" customWidth="1" style="22" min="145" max="145"/>
    <col width="21.7109375" customWidth="1" style="22" min="146" max="146"/>
    <col width="18.7109375" customWidth="1" style="22" min="147" max="147"/>
    <col width="30.7109375" customWidth="1" style="22" min="148" max="148"/>
    <col width="44.7109375" customWidth="1" style="22" min="149" max="149"/>
    <col width="57.7109375" customWidth="1" style="22" min="150" max="150"/>
    <col width="19.7109375" customWidth="1" style="22" min="151" max="151"/>
    <col width="43.7109375" customWidth="1" style="22" min="152" max="152"/>
    <col width="79.7109375" customWidth="1" style="22" min="153" max="153"/>
    <col width="30.7109375" customWidth="1" style="22" min="154" max="154"/>
    <col width="35.7109375" customWidth="1" style="22" min="155" max="155"/>
    <col width="33.7109375" customWidth="1" style="22" min="156" max="156"/>
    <col width="34.7109375" customWidth="1" style="22" min="157" max="157"/>
    <col width="32.7109375" customWidth="1" style="22" min="158" max="158"/>
    <col width="30.7109375" customWidth="1" style="22" min="159" max="159"/>
    <col width="31.7109375" customWidth="1" style="22" min="160" max="160"/>
    <col width="40.7109375" customWidth="1" style="22" min="161" max="162"/>
    <col width="27.7109375" customWidth="1" style="22" min="163" max="163"/>
    <col width="44.7109375" customWidth="1" style="22" min="164" max="164"/>
    <col width="27.7109375" customWidth="1" style="22" min="165" max="165"/>
    <col width="22.7109375" customWidth="1" style="22" min="166" max="167"/>
    <col width="45.7109375" customWidth="1" style="22" min="168" max="168"/>
    <col width="24.7109375" customWidth="1" style="22" min="169" max="169"/>
    <col width="31.7109375" customWidth="1" style="22" min="170" max="170"/>
    <col width="21.7109375" customWidth="1" style="22" min="171" max="171"/>
    <col width="29.7109375" customWidth="1" style="22" min="172" max="172"/>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19928</t>
        </is>
      </c>
      <c r="BP1" s="22" t="inlineStr">
        <is>
          <t>200866</t>
        </is>
      </c>
      <c r="BQ1" s="22" t="inlineStr">
        <is>
          <t>200855</t>
        </is>
      </c>
      <c r="BR1" s="22" t="inlineStr">
        <is>
          <t>257300</t>
        </is>
      </c>
      <c r="BS1" s="22" t="inlineStr">
        <is>
          <t>200898</t>
        </is>
      </c>
      <c r="BT1" s="22" t="inlineStr">
        <is>
          <t>200874</t>
        </is>
      </c>
      <c r="BU1" s="22" t="inlineStr">
        <is>
          <t>228588</t>
        </is>
      </c>
      <c r="BV1" s="22" t="inlineStr">
        <is>
          <t>200882</t>
        </is>
      </c>
      <c r="BW1" s="22" t="inlineStr">
        <is>
          <t>257301</t>
        </is>
      </c>
      <c r="BX1" s="22" t="inlineStr">
        <is>
          <t>257309</t>
        </is>
      </c>
      <c r="BY1" s="22" t="inlineStr">
        <is>
          <t>257315</t>
        </is>
      </c>
      <c r="BZ1" s="22" t="inlineStr">
        <is>
          <t>222862</t>
        </is>
      </c>
      <c r="CA1" s="22" t="inlineStr">
        <is>
          <t>222863</t>
        </is>
      </c>
      <c r="CB1" s="22" t="inlineStr">
        <is>
          <t>19977</t>
        </is>
      </c>
      <c r="CC1" s="22" t="inlineStr">
        <is>
          <t>202222</t>
        </is>
      </c>
      <c r="CD1" s="22" t="inlineStr">
        <is>
          <t>19953</t>
        </is>
      </c>
      <c r="CE1" s="22" t="inlineStr">
        <is>
          <t>19967</t>
        </is>
      </c>
      <c r="CF1" s="22" t="inlineStr">
        <is>
          <t>258348</t>
        </is>
      </c>
      <c r="CG1" s="22" t="inlineStr">
        <is>
          <t>223891</t>
        </is>
      </c>
      <c r="CH1" s="22" t="inlineStr">
        <is>
          <t>200865</t>
        </is>
      </c>
      <c r="CI1" s="22" t="inlineStr">
        <is>
          <t>200864</t>
        </is>
      </c>
      <c r="CJ1" s="22" t="inlineStr">
        <is>
          <t>200858</t>
        </is>
      </c>
      <c r="CK1" s="22" t="inlineStr">
        <is>
          <t>200859</t>
        </is>
      </c>
      <c r="CL1" s="22" t="inlineStr">
        <is>
          <t>200860</t>
        </is>
      </c>
      <c r="CM1" s="22" t="inlineStr">
        <is>
          <t>257298</t>
        </is>
      </c>
      <c r="CN1" s="22" t="inlineStr">
        <is>
          <t>257299</t>
        </is>
      </c>
      <c r="CO1" s="22" t="inlineStr">
        <is>
          <t>19956</t>
        </is>
      </c>
      <c r="CP1" s="22" t="inlineStr">
        <is>
          <t>258347</t>
        </is>
      </c>
      <c r="CQ1" s="22" t="inlineStr">
        <is>
          <t>19972</t>
        </is>
      </c>
      <c r="CR1" s="22" t="inlineStr">
        <is>
          <t>20251</t>
        </is>
      </c>
      <c r="CS1" s="22" t="inlineStr">
        <is>
          <t>257302</t>
        </is>
      </c>
      <c r="CT1" s="22" t="inlineStr">
        <is>
          <t>222414</t>
        </is>
      </c>
      <c r="CU1" s="22" t="inlineStr">
        <is>
          <t>244581</t>
        </is>
      </c>
      <c r="CV1" s="22" t="inlineStr">
        <is>
          <t>293484</t>
        </is>
      </c>
      <c r="CW1" s="22" t="inlineStr">
        <is>
          <t>293550</t>
        </is>
      </c>
      <c r="CX1" s="22" t="inlineStr">
        <is>
          <t>294853</t>
        </is>
      </c>
      <c r="CY1" s="22" t="inlineStr">
        <is>
          <t>339359</t>
        </is>
      </c>
      <c r="CZ1" s="22" t="inlineStr">
        <is>
          <t>340396</t>
        </is>
      </c>
      <c r="DA1" s="22" t="inlineStr">
        <is>
          <t>342365</t>
        </is>
      </c>
      <c r="DB1" s="22" t="inlineStr">
        <is>
          <t>382978</t>
        </is>
      </c>
      <c r="DC1" s="22" t="inlineStr">
        <is>
          <t>342373</t>
        </is>
      </c>
      <c r="DD1" s="22" t="inlineStr">
        <is>
          <t>342809</t>
        </is>
      </c>
      <c r="DE1" s="22" t="inlineStr">
        <is>
          <t>342802</t>
        </is>
      </c>
      <c r="DF1" s="22" t="inlineStr">
        <is>
          <t>352585</t>
        </is>
      </c>
      <c r="DG1" s="22" t="inlineStr">
        <is>
          <t>173574</t>
        </is>
      </c>
      <c r="DH1" s="22" t="inlineStr">
        <is>
          <t>20239</t>
        </is>
      </c>
      <c r="DI1" s="22" t="inlineStr">
        <is>
          <t>200869</t>
        </is>
      </c>
      <c r="DJ1" s="22" t="inlineStr">
        <is>
          <t>368650</t>
        </is>
      </c>
      <c r="DK1" s="22" t="inlineStr">
        <is>
          <t>377815</t>
        </is>
      </c>
      <c r="DL1" s="22" t="inlineStr">
        <is>
          <t>20254</t>
        </is>
      </c>
      <c r="DM1" s="22" t="inlineStr">
        <is>
          <t>200875</t>
        </is>
      </c>
      <c r="DN1" s="22" t="inlineStr">
        <is>
          <t>378365</t>
        </is>
      </c>
      <c r="DO1" s="22" t="inlineStr">
        <is>
          <t>378859</t>
        </is>
      </c>
      <c r="DP1" s="22" t="inlineStr">
        <is>
          <t>381928</t>
        </is>
      </c>
      <c r="DQ1" s="22" t="inlineStr">
        <is>
          <t>200854</t>
        </is>
      </c>
      <c r="DR1" s="22" t="inlineStr">
        <is>
          <t>257304</t>
        </is>
      </c>
      <c r="DS1" s="22" t="inlineStr">
        <is>
          <t>20252</t>
        </is>
      </c>
      <c r="DT1" s="22" t="inlineStr">
        <is>
          <t>400787</t>
        </is>
      </c>
      <c r="DU1" s="22" t="inlineStr">
        <is>
          <t>400817</t>
        </is>
      </c>
      <c r="DV1" s="22" t="inlineStr">
        <is>
          <t>223412</t>
        </is>
      </c>
      <c r="DW1" s="22" t="inlineStr">
        <is>
          <t>420140</t>
        </is>
      </c>
      <c r="DX1" s="22" t="inlineStr">
        <is>
          <t>421669</t>
        </is>
      </c>
      <c r="DY1" s="22" t="inlineStr">
        <is>
          <t>194726</t>
        </is>
      </c>
      <c r="DZ1" s="22" t="inlineStr">
        <is>
          <t>201472</t>
        </is>
      </c>
      <c r="EA1" s="22" t="inlineStr">
        <is>
          <t>224856</t>
        </is>
      </c>
      <c r="EB1" s="22" t="inlineStr">
        <is>
          <t>225077</t>
        </is>
      </c>
      <c r="EC1" s="22" t="inlineStr">
        <is>
          <t>364710</t>
        </is>
      </c>
      <c r="ED1" s="22" t="inlineStr">
        <is>
          <t>194708</t>
        </is>
      </c>
      <c r="EE1" s="22" t="inlineStr">
        <is>
          <t>240144</t>
        </is>
      </c>
      <c r="EF1" s="22" t="inlineStr">
        <is>
          <t>225357</t>
        </is>
      </c>
      <c r="EG1" s="22" t="inlineStr">
        <is>
          <t>204373</t>
        </is>
      </c>
      <c r="EH1" s="22" t="inlineStr">
        <is>
          <t>225727</t>
        </is>
      </c>
      <c r="EI1" s="22" t="inlineStr">
        <is>
          <t>236085</t>
        </is>
      </c>
      <c r="EJ1" s="22" t="inlineStr">
        <is>
          <t>249430</t>
        </is>
      </c>
      <c r="EK1" s="22" t="inlineStr">
        <is>
          <t>251178</t>
        </is>
      </c>
      <c r="EL1" s="22" t="inlineStr">
        <is>
          <t>194739</t>
        </is>
      </c>
      <c r="EM1" s="22" t="inlineStr">
        <is>
          <t>295636</t>
        </is>
      </c>
      <c r="EN1" s="22" t="inlineStr">
        <is>
          <t>339355</t>
        </is>
      </c>
      <c r="EO1" s="22" t="inlineStr">
        <is>
          <t>373564</t>
        </is>
      </c>
      <c r="EP1" s="22" t="inlineStr">
        <is>
          <t>341383</t>
        </is>
      </c>
      <c r="EQ1" s="22" t="inlineStr">
        <is>
          <t>341396</t>
        </is>
      </c>
      <c r="ER1" s="22" t="inlineStr">
        <is>
          <t>369623</t>
        </is>
      </c>
      <c r="ES1" s="22" t="inlineStr">
        <is>
          <t>368267</t>
        </is>
      </c>
      <c r="ET1" s="22" t="inlineStr">
        <is>
          <t>384748</t>
        </is>
      </c>
      <c r="EU1" s="22" t="inlineStr">
        <is>
          <t>385923</t>
        </is>
      </c>
      <c r="EV1" s="22" t="inlineStr">
        <is>
          <t>394169</t>
        </is>
      </c>
      <c r="EW1" s="22" t="inlineStr">
        <is>
          <t>415311</t>
        </is>
      </c>
      <c r="EX1" s="22" t="inlineStr">
        <is>
          <t>421605</t>
        </is>
      </c>
      <c r="EY1" s="22" t="inlineStr">
        <is>
          <t>235400</t>
        </is>
      </c>
      <c r="EZ1" s="22" t="inlineStr">
        <is>
          <t>19998</t>
        </is>
      </c>
      <c r="FA1" s="22" t="inlineStr">
        <is>
          <t>19999</t>
        </is>
      </c>
      <c r="FB1" s="22" t="inlineStr">
        <is>
          <t>20003</t>
        </is>
      </c>
      <c r="FC1" s="22" t="inlineStr">
        <is>
          <t>20005</t>
        </is>
      </c>
      <c r="FD1" s="22" t="inlineStr">
        <is>
          <t>20006</t>
        </is>
      </c>
      <c r="FE1" s="22" t="inlineStr">
        <is>
          <t>20260</t>
        </is>
      </c>
      <c r="FF1" s="22" t="inlineStr">
        <is>
          <t>20259</t>
        </is>
      </c>
      <c r="FG1" s="22" t="inlineStr">
        <is>
          <t>294073</t>
        </is>
      </c>
      <c r="FH1" s="22" t="inlineStr">
        <is>
          <t>200888</t>
        </is>
      </c>
      <c r="FI1" s="22" t="inlineStr">
        <is>
          <t>20012</t>
        </is>
      </c>
      <c r="FJ1" s="22" t="inlineStr">
        <is>
          <t>20013</t>
        </is>
      </c>
      <c r="FK1" s="22" t="inlineStr">
        <is>
          <t>228640</t>
        </is>
      </c>
      <c r="FL1" s="22" t="inlineStr">
        <is>
          <t>258418</t>
        </is>
      </c>
      <c r="FM1" s="22" t="inlineStr">
        <is>
          <t>228913</t>
        </is>
      </c>
      <c r="FN1" s="22" t="inlineStr">
        <is>
          <t>333926</t>
        </is>
      </c>
      <c r="FO1" s="22" t="inlineStr">
        <is>
          <t>253982</t>
        </is>
      </c>
      <c r="FP1" s="22" t="inlineStr">
        <is>
          <t>255114</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1" t="n"/>
      <c r="EU2" s="41" t="n"/>
      <c r="EV2" s="41" t="n"/>
      <c r="EW2" s="41" t="n"/>
      <c r="EX2" s="41" t="n"/>
      <c r="EY2" s="41" t="n"/>
      <c r="EZ2" s="41" t="n"/>
      <c r="FA2" s="41" t="n"/>
      <c r="FB2" s="41" t="n"/>
      <c r="FC2" s="41" t="n"/>
      <c r="FD2" s="41" t="n"/>
      <c r="FE2" s="41" t="n"/>
      <c r="FF2" s="41" t="n"/>
      <c r="FG2" s="41" t="n"/>
      <c r="FH2" s="41" t="n"/>
      <c r="FI2" s="41" t="n"/>
      <c r="FJ2" s="41" t="n"/>
      <c r="FK2" s="41" t="n"/>
      <c r="FL2" s="41" t="n"/>
      <c r="FM2" s="41" t="n"/>
      <c r="FN2" s="41" t="n"/>
      <c r="FO2" s="41" t="n"/>
      <c r="FP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Required</t>
        </is>
      </c>
      <c r="BQ3" s="32" t="inlineStr">
        <is>
          <t>Recommended</t>
        </is>
      </c>
      <c r="BR3" s="32" t="inlineStr">
        <is>
          <t>Required</t>
        </is>
      </c>
      <c r="BS3" s="32" t="inlineStr">
        <is>
          <t>Required</t>
        </is>
      </c>
      <c r="BT3" s="32" t="inlineStr">
        <is>
          <t>Required</t>
        </is>
      </c>
      <c r="BU3" s="32" t="inlineStr">
        <is>
          <t>Recommended</t>
        </is>
      </c>
      <c r="BV3" s="32" t="inlineStr">
        <is>
          <t>Recommended</t>
        </is>
      </c>
      <c r="BW3" s="32" t="inlineStr">
        <is>
          <t>Required</t>
        </is>
      </c>
      <c r="BX3" s="32" t="inlineStr">
        <is>
          <t>Recommended</t>
        </is>
      </c>
      <c r="BY3" s="32" t="inlineStr">
        <is>
          <t>Recommended</t>
        </is>
      </c>
      <c r="BZ3" s="32" t="inlineStr">
        <is>
          <t>Recommended</t>
        </is>
      </c>
      <c r="CA3" s="32" t="inlineStr">
        <is>
          <t>Recommended</t>
        </is>
      </c>
      <c r="CB3" s="32" t="inlineStr">
        <is>
          <t>Required</t>
        </is>
      </c>
      <c r="CC3" s="32" t="inlineStr">
        <is>
          <t>Recommended</t>
        </is>
      </c>
      <c r="CD3" s="32" t="inlineStr">
        <is>
          <t>Required</t>
        </is>
      </c>
      <c r="CE3" s="32" t="inlineStr">
        <is>
          <t>Required</t>
        </is>
      </c>
      <c r="CF3" s="32" t="inlineStr">
        <is>
          <t>Recommended</t>
        </is>
      </c>
      <c r="CG3" s="32" t="inlineStr">
        <is>
          <t>Recommended</t>
        </is>
      </c>
      <c r="CH3" s="32" t="inlineStr">
        <is>
          <t>Recommended</t>
        </is>
      </c>
      <c r="CI3" s="32" t="inlineStr">
        <is>
          <t>Recommended</t>
        </is>
      </c>
      <c r="CJ3" s="32" t="inlineStr">
        <is>
          <t>Required</t>
        </is>
      </c>
      <c r="CK3" s="32" t="inlineStr">
        <is>
          <t>Recommended</t>
        </is>
      </c>
      <c r="CL3" s="32" t="inlineStr">
        <is>
          <t>Recommended</t>
        </is>
      </c>
      <c r="CM3" s="32" t="inlineStr">
        <is>
          <t>Recommended</t>
        </is>
      </c>
      <c r="CN3" s="32" t="inlineStr">
        <is>
          <t>Recommended</t>
        </is>
      </c>
      <c r="CO3" s="32" t="inlineStr">
        <is>
          <t>Recommended</t>
        </is>
      </c>
      <c r="CP3" s="32" t="inlineStr">
        <is>
          <t>Recommended</t>
        </is>
      </c>
      <c r="CQ3" s="32" t="inlineStr">
        <is>
          <t>Required</t>
        </is>
      </c>
      <c r="CR3" s="32" t="inlineStr">
        <is>
          <t>Recommended</t>
        </is>
      </c>
      <c r="CS3" s="32" t="inlineStr">
        <is>
          <t>Recommended</t>
        </is>
      </c>
      <c r="CT3" s="32" t="inlineStr">
        <is>
          <t>Required</t>
        </is>
      </c>
      <c r="CU3" s="32" t="inlineStr">
        <is>
          <t>Additional</t>
        </is>
      </c>
      <c r="CV3" s="32" t="inlineStr">
        <is>
          <t>Recommended</t>
        </is>
      </c>
      <c r="CW3" s="32" t="inlineStr">
        <is>
          <t>Recommended</t>
        </is>
      </c>
      <c r="CX3" s="32" t="inlineStr">
        <is>
          <t>Recommended</t>
        </is>
      </c>
      <c r="CY3" s="32" t="inlineStr">
        <is>
          <t>Additional</t>
        </is>
      </c>
      <c r="CZ3" s="32" t="inlineStr">
        <is>
          <t>Additional</t>
        </is>
      </c>
      <c r="DA3" s="32" t="inlineStr">
        <is>
          <t>Additional</t>
        </is>
      </c>
      <c r="DB3" s="32" t="inlineStr">
        <is>
          <t>Additional</t>
        </is>
      </c>
      <c r="DC3" s="32" t="inlineStr">
        <is>
          <t>Additional</t>
        </is>
      </c>
      <c r="DD3" s="32" t="inlineStr">
        <is>
          <t>Additional</t>
        </is>
      </c>
      <c r="DE3" s="32" t="inlineStr">
        <is>
          <t>Additional</t>
        </is>
      </c>
      <c r="DF3" s="32" t="inlineStr">
        <is>
          <t>Additional</t>
        </is>
      </c>
      <c r="DG3" s="32" t="inlineStr">
        <is>
          <t>Required</t>
        </is>
      </c>
      <c r="DH3" s="32" t="inlineStr">
        <is>
          <t>Recommended</t>
        </is>
      </c>
      <c r="DI3" s="32" t="inlineStr">
        <is>
          <t>Recommended</t>
        </is>
      </c>
      <c r="DJ3" s="32" t="inlineStr">
        <is>
          <t>Recommended</t>
        </is>
      </c>
      <c r="DK3" s="32" t="inlineStr">
        <is>
          <t>Required</t>
        </is>
      </c>
      <c r="DL3" s="32" t="inlineStr">
        <is>
          <t>Recommended</t>
        </is>
      </c>
      <c r="DM3" s="32" t="inlineStr">
        <is>
          <t>Recommended</t>
        </is>
      </c>
      <c r="DN3" s="32" t="inlineStr">
        <is>
          <t>Required</t>
        </is>
      </c>
      <c r="DO3" s="32" t="inlineStr">
        <is>
          <t>Required</t>
        </is>
      </c>
      <c r="DP3" s="32" t="inlineStr">
        <is>
          <t>Recommended</t>
        </is>
      </c>
      <c r="DQ3" s="32" t="inlineStr">
        <is>
          <t>Recommended</t>
        </is>
      </c>
      <c r="DR3" s="32" t="inlineStr">
        <is>
          <t>Recommended</t>
        </is>
      </c>
      <c r="DS3" s="32" t="inlineStr">
        <is>
          <t>Recommended</t>
        </is>
      </c>
      <c r="DT3" s="32" t="inlineStr">
        <is>
          <t>Recommended</t>
        </is>
      </c>
      <c r="DU3" s="32" t="inlineStr">
        <is>
          <t>Required</t>
        </is>
      </c>
      <c r="DV3" s="32" t="inlineStr">
        <is>
          <t>Recommended</t>
        </is>
      </c>
      <c r="DW3" s="32" t="inlineStr">
        <is>
          <t>Required</t>
        </is>
      </c>
      <c r="DX3" s="32" t="inlineStr">
        <is>
          <t>Recommended</t>
        </is>
      </c>
      <c r="DY3" s="32" t="inlineStr">
        <is>
          <t>Required</t>
        </is>
      </c>
      <c r="DZ3" s="32" t="inlineStr">
        <is>
          <t>Required</t>
        </is>
      </c>
      <c r="EA3" s="32" t="inlineStr">
        <is>
          <t>Required</t>
        </is>
      </c>
      <c r="EB3" s="32" t="inlineStr">
        <is>
          <t>Required</t>
        </is>
      </c>
      <c r="EC3" s="32" t="inlineStr">
        <is>
          <t>Required</t>
        </is>
      </c>
      <c r="ED3" s="32" t="inlineStr">
        <is>
          <t>Additional</t>
        </is>
      </c>
      <c r="EE3" s="32" t="inlineStr">
        <is>
          <t>Required</t>
        </is>
      </c>
      <c r="EF3" s="32" t="inlineStr">
        <is>
          <t>Recommended</t>
        </is>
      </c>
      <c r="EG3" s="32" t="inlineStr">
        <is>
          <t>Required</t>
        </is>
      </c>
      <c r="EH3" s="32" t="inlineStr">
        <is>
          <t>Required</t>
        </is>
      </c>
      <c r="EI3" s="32" t="inlineStr">
        <is>
          <t>Required</t>
        </is>
      </c>
      <c r="EJ3" s="32" t="inlineStr">
        <is>
          <t>Required</t>
        </is>
      </c>
      <c r="EK3" s="32" t="inlineStr">
        <is>
          <t>Required</t>
        </is>
      </c>
      <c r="EL3" s="32" t="inlineStr">
        <is>
          <t>Required</t>
        </is>
      </c>
      <c r="EM3" s="32" t="inlineStr">
        <is>
          <t>Required</t>
        </is>
      </c>
      <c r="EN3" s="32" t="inlineStr">
        <is>
          <t>Additional</t>
        </is>
      </c>
      <c r="EO3" s="32" t="inlineStr">
        <is>
          <t>Additional</t>
        </is>
      </c>
      <c r="EP3" s="32" t="inlineStr">
        <is>
          <t>Additional</t>
        </is>
      </c>
      <c r="EQ3" s="32" t="inlineStr">
        <is>
          <t>Additional</t>
        </is>
      </c>
      <c r="ER3" s="32" t="inlineStr">
        <is>
          <t>Additional</t>
        </is>
      </c>
      <c r="ES3" s="32" t="inlineStr">
        <is>
          <t>Required</t>
        </is>
      </c>
      <c r="ET3" s="32" t="inlineStr">
        <is>
          <t>Required</t>
        </is>
      </c>
      <c r="EU3" s="32" t="inlineStr">
        <is>
          <t>Recommended</t>
        </is>
      </c>
      <c r="EV3" s="32" t="inlineStr">
        <is>
          <t>Required</t>
        </is>
      </c>
      <c r="EW3" s="32" t="inlineStr">
        <is>
          <t>Recommended</t>
        </is>
      </c>
      <c r="EX3" s="32" t="inlineStr">
        <is>
          <t>Recommended</t>
        </is>
      </c>
      <c r="EY3" s="32" t="inlineStr">
        <is>
          <t>Recommended</t>
        </is>
      </c>
      <c r="EZ3" s="32" t="inlineStr">
        <is>
          <t>Required</t>
        </is>
      </c>
      <c r="FA3" s="32" t="inlineStr">
        <is>
          <t>Required</t>
        </is>
      </c>
      <c r="FB3" s="32" t="inlineStr">
        <is>
          <t>Required</t>
        </is>
      </c>
      <c r="FC3" s="32" t="inlineStr">
        <is>
          <t>Required</t>
        </is>
      </c>
      <c r="FD3" s="32" t="inlineStr">
        <is>
          <t>Required</t>
        </is>
      </c>
      <c r="FE3" s="32" t="inlineStr">
        <is>
          <t>Required</t>
        </is>
      </c>
      <c r="FF3" s="32" t="inlineStr">
        <is>
          <t>Required</t>
        </is>
      </c>
      <c r="FG3" s="32" t="inlineStr">
        <is>
          <t>Recommended</t>
        </is>
      </c>
      <c r="FH3" s="32" t="inlineStr">
        <is>
          <t>Required</t>
        </is>
      </c>
      <c r="FI3" s="32" t="inlineStr">
        <is>
          <t>Recommended</t>
        </is>
      </c>
      <c r="FJ3" s="32" t="inlineStr">
        <is>
          <t>Required</t>
        </is>
      </c>
      <c r="FK3" s="32" t="inlineStr">
        <is>
          <t>Recommended</t>
        </is>
      </c>
      <c r="FL3" s="32" t="inlineStr">
        <is>
          <t>Recommended</t>
        </is>
      </c>
      <c r="FM3" s="32" t="inlineStr">
        <is>
          <t>Required</t>
        </is>
      </c>
      <c r="FN3" s="32" t="inlineStr">
        <is>
          <t>Recommended</t>
        </is>
      </c>
      <c r="FO3" s="32" t="inlineStr">
        <is>
          <t>Recommended</t>
        </is>
      </c>
      <c r="FP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Frame Material</t>
        </is>
      </c>
      <c r="BQ4" s="19" t="inlineStr">
        <is>
          <t>Back Construction</t>
        </is>
      </c>
      <c r="BR4" s="19" t="inlineStr">
        <is>
          <t>Seat Material</t>
        </is>
      </c>
      <c r="BS4" s="19" t="inlineStr">
        <is>
          <t>Upholstered</t>
        </is>
      </c>
      <c r="BT4" s="19" t="inlineStr">
        <is>
          <t>Upholstery Material</t>
        </is>
      </c>
      <c r="BU4" s="19" t="inlineStr">
        <is>
          <t>Tufted</t>
        </is>
      </c>
      <c r="BV4" s="19" t="inlineStr">
        <is>
          <t>Adjustable Backrest-Height</t>
        </is>
      </c>
      <c r="BW4" s="19" t="inlineStr">
        <is>
          <t>Back Material</t>
        </is>
      </c>
      <c r="BX4" s="19" t="inlineStr">
        <is>
          <t>Back Upholstery Material</t>
        </is>
      </c>
      <c r="BY4" s="19" t="inlineStr">
        <is>
          <t>Back Fill Material</t>
        </is>
      </c>
      <c r="BZ4" s="19" t="inlineStr">
        <is>
          <t>Purposeful Distressing Type</t>
        </is>
      </c>
      <c r="CA4" s="19" t="inlineStr">
        <is>
          <t>Natural Variation Type</t>
        </is>
      </c>
      <c r="CB4" s="19" t="inlineStr">
        <is>
          <t>Arms Included</t>
        </is>
      </c>
      <c r="CC4" s="19" t="inlineStr">
        <is>
          <t>Adjustable Armrest Type</t>
        </is>
      </c>
      <c r="CD4" s="19" t="inlineStr">
        <is>
          <t>Swivel</t>
        </is>
      </c>
      <c r="CE4" s="19" t="inlineStr">
        <is>
          <t>Lumbar Support</t>
        </is>
      </c>
      <c r="CF4" s="19" t="inlineStr">
        <is>
          <t>Massage Setting</t>
        </is>
      </c>
      <c r="CG4" s="19" t="inlineStr">
        <is>
          <t>Tilting</t>
        </is>
      </c>
      <c r="CH4" s="19" t="inlineStr">
        <is>
          <t>Tilt Lock</t>
        </is>
      </c>
      <c r="CI4" s="19" t="inlineStr">
        <is>
          <t>Adjustable Tilt Tension</t>
        </is>
      </c>
      <c r="CJ4" s="19" t="inlineStr">
        <is>
          <t>Adjustable Height</t>
        </is>
      </c>
      <c r="CK4" s="19" t="inlineStr">
        <is>
          <t>Seat Depth Adjustment</t>
        </is>
      </c>
      <c r="CL4" s="19" t="inlineStr">
        <is>
          <t>Seat Angle Adjustment</t>
        </is>
      </c>
      <c r="CM4" s="19" t="inlineStr">
        <is>
          <t>Waterfall Seat Included</t>
        </is>
      </c>
      <c r="CN4" s="19" t="inlineStr">
        <is>
          <t>Seat Glide Mechanism</t>
        </is>
      </c>
      <c r="CO4" s="19" t="inlineStr">
        <is>
          <t>Headrest Included</t>
        </is>
      </c>
      <c r="CP4" s="19" t="inlineStr">
        <is>
          <t>Footrest Included</t>
        </is>
      </c>
      <c r="CQ4" s="19" t="inlineStr">
        <is>
          <t>Casters / Wheels</t>
        </is>
      </c>
      <c r="CR4" s="19" t="inlineStr">
        <is>
          <t>Compatible Floor Type</t>
        </is>
      </c>
      <c r="CS4" s="19" t="inlineStr">
        <is>
          <t>Stackable</t>
        </is>
      </c>
      <c r="CT4" s="19" t="inlineStr">
        <is>
          <t>Supplier Intended and Approved Use</t>
        </is>
      </c>
      <c r="CU4" s="19" t="inlineStr">
        <is>
          <t>Country of Origin - Additional Details</t>
        </is>
      </c>
      <c r="CV4" s="19" t="inlineStr">
        <is>
          <t>Main Wood Joinery Method</t>
        </is>
      </c>
      <c r="CW4" s="19" t="inlineStr">
        <is>
          <t>Kiln-Dried Wood</t>
        </is>
      </c>
      <c r="CX4" s="19" t="inlineStr">
        <is>
          <t>Vibration</t>
        </is>
      </c>
      <c r="CY4" s="33" t="inlineStr">
        <is>
          <t>Battery or Batteries Included</t>
        </is>
      </c>
      <c r="CZ4" s="34" t="inlineStr">
        <is>
          <t>Battery Composition</t>
        </is>
      </c>
      <c r="DA4" s="34" t="inlineStr">
        <is>
          <t>Battery Type</t>
        </is>
      </c>
      <c r="DB4" s="34" t="inlineStr">
        <is>
          <t>Number of Batteries</t>
        </is>
      </c>
      <c r="DC4" s="34" t="inlineStr">
        <is>
          <t>Battery Shipment</t>
        </is>
      </c>
      <c r="DD4" s="34" t="inlineStr">
        <is>
          <t>Lithium Content</t>
        </is>
      </c>
      <c r="DE4" s="34" t="inlineStr">
        <is>
          <t>Watt Rating of Cells / Battery</t>
        </is>
      </c>
      <c r="DF4" s="34" t="inlineStr">
        <is>
          <t>Weight of Cells / Battery</t>
        </is>
      </c>
      <c r="DG4" s="19" t="inlineStr">
        <is>
          <t>Weight Capacity</t>
        </is>
      </c>
      <c r="DH4" s="19" t="inlineStr">
        <is>
          <t>Adjustable Headrest</t>
        </is>
      </c>
      <c r="DI4" s="19" t="inlineStr">
        <is>
          <t>Adjustable Lumbar Support</t>
        </is>
      </c>
      <c r="DJ4" s="19" t="inlineStr">
        <is>
          <t>Product Care</t>
        </is>
      </c>
      <c r="DK4" s="19" t="inlineStr">
        <is>
          <t>Seat Color</t>
        </is>
      </c>
      <c r="DL4" s="19" t="inlineStr">
        <is>
          <t>Arm Material</t>
        </is>
      </c>
      <c r="DM4" s="19" t="inlineStr">
        <is>
          <t>Upholstery Fill Material</t>
        </is>
      </c>
      <c r="DN4" s="19" t="inlineStr">
        <is>
          <t>Frame Color / Finish</t>
        </is>
      </c>
      <c r="DO4" s="19" t="inlineStr">
        <is>
          <t>Plug-In</t>
        </is>
      </c>
      <c r="DP4" s="19" t="inlineStr">
        <is>
          <t>Wood Species</t>
        </is>
      </c>
      <c r="DQ4" s="19" t="inlineStr">
        <is>
          <t>Back Angle Adjustment</t>
        </is>
      </c>
      <c r="DR4" s="19" t="inlineStr">
        <is>
          <t>Removable Wheels / Casters</t>
        </is>
      </c>
      <c r="DS4" s="19" t="inlineStr">
        <is>
          <t>Arm Type</t>
        </is>
      </c>
      <c r="DT4" s="19" t="inlineStr">
        <is>
          <t>Ribbed Detailing</t>
        </is>
      </c>
      <c r="DU4" s="19" t="inlineStr">
        <is>
          <t>Durability</t>
        </is>
      </c>
      <c r="DV4" s="19" t="inlineStr">
        <is>
          <t>Tilt Mechanism Type</t>
        </is>
      </c>
      <c r="DW4" s="19" t="inlineStr">
        <is>
          <t>Pieces Included</t>
        </is>
      </c>
      <c r="DX4" s="19" t="inlineStr">
        <is>
          <t>Rub Count</t>
        </is>
      </c>
      <c r="DY4" s="19" t="inlineStr">
        <is>
          <t>CPSC - 16 CFR 1303 Compliant</t>
        </is>
      </c>
      <c r="DZ4" s="33" t="inlineStr">
        <is>
          <t>Composite Wood Product (CWP)</t>
        </is>
      </c>
      <c r="EA4" s="34" t="inlineStr">
        <is>
          <t>CARB Phase II Compliant (formaldehyde emissions)</t>
        </is>
      </c>
      <c r="EB4" s="34" t="inlineStr">
        <is>
          <t>TSCA Title VI Compliant (formaldehyde emissions)</t>
        </is>
      </c>
      <c r="EC4" s="34" t="inlineStr">
        <is>
          <t>CANFER Compliant</t>
        </is>
      </c>
      <c r="ED4" s="19" t="inlineStr">
        <is>
          <t>ADA Compliant</t>
        </is>
      </c>
      <c r="EE4" s="19" t="inlineStr">
        <is>
          <t>Contains Flame Retardant Materials</t>
        </is>
      </c>
      <c r="EF4" s="19" t="inlineStr">
        <is>
          <t>CAL TB 116 Compliant</t>
        </is>
      </c>
      <c r="EG4" s="19" t="inlineStr">
        <is>
          <t>CAL TB 117-2013 Compliant</t>
        </is>
      </c>
      <c r="EH4" s="19" t="inlineStr">
        <is>
          <t>General Certificate of Conformity (GCC)</t>
        </is>
      </c>
      <c r="EI4" s="19" t="inlineStr">
        <is>
          <t>Uniform Packaging and Labeling Regulations (UPLR) Compliant</t>
        </is>
      </c>
      <c r="EJ4" s="33" t="inlineStr">
        <is>
          <t>Canada Product Restriction</t>
        </is>
      </c>
      <c r="EK4" s="34" t="inlineStr">
        <is>
          <t>Reason for Restriction</t>
        </is>
      </c>
      <c r="EL4" s="19" t="inlineStr">
        <is>
          <t>Lacey Act Compliant</t>
        </is>
      </c>
      <c r="EM4" s="19" t="inlineStr">
        <is>
          <t>SOFFA Compliant</t>
        </is>
      </c>
      <c r="EN4" s="33" t="inlineStr">
        <is>
          <t>Hazardous Material / Dangerous Goods</t>
        </is>
      </c>
      <c r="EO4" s="34" t="inlineStr">
        <is>
          <t>UN or ID number</t>
        </is>
      </c>
      <c r="EP4" s="34" t="inlineStr">
        <is>
          <t>Hazard Class(es)</t>
        </is>
      </c>
      <c r="EQ4" s="34" t="inlineStr">
        <is>
          <t>Packing Group</t>
        </is>
      </c>
      <c r="ER4" s="34" t="inlineStr">
        <is>
          <t>Hazardous Material Weight</t>
        </is>
      </c>
      <c r="ES4" s="19" t="inlineStr">
        <is>
          <t>Energy Efficiency Regulations Compliant</t>
        </is>
      </c>
      <c r="ET4" s="19" t="inlineStr">
        <is>
          <t>SOR/2016-193 - Surface Coating Materials Regulations</t>
        </is>
      </c>
      <c r="EU4" s="19" t="inlineStr">
        <is>
          <t>ISTA Certified</t>
        </is>
      </c>
      <c r="EV4" s="19" t="inlineStr">
        <is>
          <t>California AB-1817 Compliant (CA PFAS)</t>
        </is>
      </c>
      <c r="EW4" s="19" t="inlineStr">
        <is>
          <t>Sustainability &amp; Social Responsibility Certifications (North America Only)</t>
        </is>
      </c>
      <c r="EX4" s="19" t="inlineStr">
        <is>
          <t>Commercial Certifications</t>
        </is>
      </c>
      <c r="EY4" s="19" t="inlineStr">
        <is>
          <t>Overall Height - Top to Bottom</t>
        </is>
      </c>
      <c r="EZ4" s="19" t="inlineStr">
        <is>
          <t>Overall Width - Side to Side</t>
        </is>
      </c>
      <c r="FA4" s="19" t="inlineStr">
        <is>
          <t>Overall Depth - Front to Back</t>
        </is>
      </c>
      <c r="FB4" s="19" t="inlineStr">
        <is>
          <t>Seat Height - Floor to Seat</t>
        </is>
      </c>
      <c r="FC4" s="19" t="inlineStr">
        <is>
          <t>Seat Width - Side to Side</t>
        </is>
      </c>
      <c r="FD4" s="19" t="inlineStr">
        <is>
          <t>Seat Depth - Front to Back</t>
        </is>
      </c>
      <c r="FE4" s="19" t="inlineStr">
        <is>
          <t>Minimum Seat Height - Floor to Seat</t>
        </is>
      </c>
      <c r="FF4" s="19" t="inlineStr">
        <is>
          <t>Maximum Seat Height - Floor to Seat</t>
        </is>
      </c>
      <c r="FG4" s="19" t="inlineStr">
        <is>
          <t>Seat Cushion Thickness</t>
        </is>
      </c>
      <c r="FH4" s="19" t="inlineStr">
        <is>
          <t>Chair Back Height - Seat to Top of Back</t>
        </is>
      </c>
      <c r="FI4" s="19" t="inlineStr">
        <is>
          <t>Overall Product Weight</t>
        </is>
      </c>
      <c r="FJ4" s="19" t="inlineStr">
        <is>
          <t>Assembly Required</t>
        </is>
      </c>
      <c r="FK4" s="19" t="inlineStr">
        <is>
          <t>Level of Assembly</t>
        </is>
      </c>
      <c r="FL4" s="19" t="inlineStr">
        <is>
          <t>Additional Tools Required (Not Included)</t>
        </is>
      </c>
      <c r="FM4" s="33" t="inlineStr">
        <is>
          <t>Commercial Warranty</t>
        </is>
      </c>
      <c r="FN4" s="34" t="inlineStr">
        <is>
          <t>Commercial Warranty Length</t>
        </is>
      </c>
      <c r="FO4" s="19" t="inlineStr">
        <is>
          <t>Product Warranty</t>
        </is>
      </c>
      <c r="FP4" s="19" t="inlineStr">
        <is>
          <t>Full or Limited Warranty</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What is the primary material used to construct the frame of the product? If the correct value is not listed, please type the material into this field.</t>
        </is>
      </c>
      <c r="BQ5" s="35" t="inlineStr">
        <is>
          <t>What is the back of the chair constructed of, excluding filling and covering material? Please choose from the options listed. If the construction is not listed, please choose 'Other'.</t>
        </is>
      </c>
      <c r="BR5" s="35" t="inlineStr">
        <is>
          <t>What is the primary material used to construct the seat? Please enter the most applicable option.</t>
        </is>
      </c>
      <c r="BS5" s="35" t="inlineStr">
        <is>
          <t>Select if this product is upholstered or comes with an upholstered component. (An upholstered item will have some sort of pad or filling material covered by fabric.)</t>
        </is>
      </c>
      <c r="BT5" s="35" t="inlineStr">
        <is>
          <t>What is the upholstery material used for this product? If the material is a combination of multiple materials, please choose the material that makes up the highest percentage of composition. For example, if the material is 55% Cotton, and 45% Polyester, please choose Cotton Blend.</t>
        </is>
      </c>
      <c r="BU5" s="35" t="inlineStr">
        <is>
          <t>If the product is upholstered, is it tufted? (A tuft is a gathered section of fabric, secured by a button, that creates a 3D cushioned effect.)</t>
        </is>
      </c>
      <c r="BV5" s="35" t="inlineStr">
        <is>
          <t>Is the height of the chair's backrest adjustable?</t>
        </is>
      </c>
      <c r="BW5" s="35" t="inlineStr">
        <is>
          <t>What is the covering material of the back made of?</t>
        </is>
      </c>
      <c r="BX5" s="35" t="inlineStr">
        <is>
          <t>What is the back upholstery material?</t>
        </is>
      </c>
      <c r="BY5" s="35" t="inlineStr">
        <is>
          <t>What fill is used in the back of the product?</t>
        </is>
      </c>
      <c r="BZ5" s="35" t="inlineStr">
        <is>
          <t>What specific type of distressing does this product have? Select all that apply.</t>
        </is>
      </c>
      <c r="CA5" s="35" t="inlineStr">
        <is>
          <t>Which of the following types of natural variation and texture does the product have? Multiple can be selected if applicable. If the product does NOT have natural variation, please select No Natural Variation.</t>
        </is>
      </c>
      <c r="CB5" s="35" t="inlineStr">
        <is>
          <t>Does this product have arms included?</t>
        </is>
      </c>
      <c r="CC5" s="35" t="inlineStr">
        <is>
          <t>In what way is this armrest adjustable?</t>
        </is>
      </c>
      <c r="CD5" s="35" t="inlineStr">
        <is>
          <t>Is this product able to swivel?</t>
        </is>
      </c>
      <c r="CE5" s="35" t="inlineStr">
        <is>
          <t>Does this product have a lumbar support feature?</t>
        </is>
      </c>
      <c r="CF5" s="35" t="inlineStr">
        <is>
          <t>Does this product include any massage features?</t>
        </is>
      </c>
      <c r="CG5" s="35" t="inlineStr">
        <is>
          <t>Does this product tilt?</t>
        </is>
      </c>
      <c r="CH5" s="35" t="inlineStr">
        <is>
          <t>Does this chair have a function that allows you to lock your chair into the tilt position that provides you the greatest comfort?</t>
        </is>
      </c>
      <c r="CI5" s="35" t="inlineStr">
        <is>
          <t>Does this chair have a function that allows you to adjust the amount of force required to recline?</t>
        </is>
      </c>
      <c r="CJ5" s="35" t="inlineStr">
        <is>
          <t>Is the height of this product adjustable?</t>
        </is>
      </c>
      <c r="CK5" s="35" t="inlineStr">
        <is>
          <t>Can the back of the seat move in and out to increase the seating depth?</t>
        </is>
      </c>
      <c r="CL5" s="35" t="inlineStr">
        <is>
          <t>Can you tilt the seat cushion/adjust the angle of the seat cushion independently of the back?</t>
        </is>
      </c>
      <c r="CM5" s="35" t="inlineStr">
        <is>
          <t>Does this product have a waterfall seat included?</t>
        </is>
      </c>
      <c r="CN5" s="35" t="inlineStr">
        <is>
          <t>Can the seat cushion more forward or back to adjust the seating depth?</t>
        </is>
      </c>
      <c r="CO5" s="35" t="inlineStr">
        <is>
          <t>Does this product have a headrest included?</t>
        </is>
      </c>
      <c r="CP5" s="35" t="inlineStr">
        <is>
          <t>Does this product have a footrest included?</t>
        </is>
      </c>
      <c r="CQ5" s="35" t="inlineStr">
        <is>
          <t>Does this product have any casters or wheels?</t>
        </is>
      </c>
      <c r="CR5" s="35" t="inlineStr">
        <is>
          <t>Which of the following surfaces can this product safely be used on or under without damaging the surface? Select all that apply.</t>
        </is>
      </c>
      <c r="CS5" s="35" t="inlineStr">
        <is>
          <t>Is this product stackable? Does it have the ability to be placed on top of another?</t>
        </is>
      </c>
      <c r="CT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U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V5" s="35" t="inlineStr">
        <is>
          <t>Which technique was used to join together the main pieces of wood to construct the overall product?</t>
        </is>
      </c>
      <c r="CW5" s="35" t="inlineStr">
        <is>
          <t>Is the wood kiln-dried? If product is not made of wood, please select "does not apply."</t>
        </is>
      </c>
      <c r="CX5" s="35" t="inlineStr">
        <is>
          <t>Does this chair vibrate?</t>
        </is>
      </c>
      <c r="CY5" s="35" t="inlineStr">
        <is>
          <t>Is the product a battery or does the product include batteries?</t>
        </is>
      </c>
      <c r="CZ5" s="35" t="inlineStr">
        <is>
          <t>What is the composition of the batteries included with product?</t>
        </is>
      </c>
      <c r="DA5" s="35" t="inlineStr">
        <is>
          <t>What type is the battery? Button Cell, Cell, Battery?</t>
        </is>
      </c>
      <c r="DB5" s="35" t="inlineStr">
        <is>
          <t>Confirm number of batteries in this product</t>
        </is>
      </c>
      <c r="DC5" s="35" t="inlineStr">
        <is>
          <t>Do the cells/batteries ship stand alone/packed with the equipment/ contained (installed) in the equipment?</t>
        </is>
      </c>
      <c r="DD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DE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DF5" s="35" t="inlineStr">
        <is>
          <t>What is the net weight of the cells or batteries that ship with the product in grams or kilograms.</t>
        </is>
      </c>
      <c r="DG5" s="35" t="inlineStr">
        <is>
          <t>[Pounds] What is the maximum weight capacity of the product? Please enter just the number (i.e., 45.5).</t>
        </is>
      </c>
      <c r="DH5" s="35" t="inlineStr">
        <is>
          <t>Is the headrest on this product adjustable?</t>
        </is>
      </c>
      <c r="DI5" s="35" t="inlineStr">
        <is>
          <t>Does the product feature lumbar support that adjusts independently of the back?</t>
        </is>
      </c>
      <c r="DJ5" s="35" t="inlineStr">
        <is>
          <t>What is the appropriate way to clean and/or care for this product? Please select as many answers as applicable.</t>
        </is>
      </c>
      <c r="DK5" s="35" t="inlineStr">
        <is>
          <t>What is the color of the seat?</t>
        </is>
      </c>
      <c r="DL5" s="35" t="inlineStr">
        <is>
          <t>What is the material used to construct the arms?</t>
        </is>
      </c>
      <c r="DM5" s="35" t="inlineStr">
        <is>
          <t>If the item is upholstered, what is the upholstery fill material? (foam, cotton batting, etc.)</t>
        </is>
      </c>
      <c r="DN5" s="35" t="inlineStr">
        <is>
          <t>What is the color or finish of the frame of the product?</t>
        </is>
      </c>
      <c r="DO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DP5" s="35" t="inlineStr">
        <is>
          <t>What type of wood was used to construct this product? This describes the actual materials used, not the product's appearance.</t>
        </is>
      </c>
      <c r="DQ5" s="35" t="inlineStr">
        <is>
          <t>Can the back angle be locked in a number of different positions?</t>
        </is>
      </c>
      <c r="DR5" s="35" t="inlineStr">
        <is>
          <t>Are the wheels / casters removable?</t>
        </is>
      </c>
      <c r="DS5" s="35" t="inlineStr">
        <is>
          <t>What type of arms does the chair have?</t>
        </is>
      </c>
      <c r="DT5" s="35" t="inlineStr">
        <is>
          <t>Is there a a raised pattern of parallel lines on a surface of this product?</t>
        </is>
      </c>
      <c r="DU5" s="35" t="inlineStr">
        <is>
          <t>Which of the following durability features are applicable to this product? Please select all applicable options from the list. If none apply, please select "No Durability Features."</t>
        </is>
      </c>
      <c r="DV5" s="35" t="inlineStr">
        <is>
          <t>Please select the type of tilt mechanism with which the angle of the product can be tilted.</t>
        </is>
      </c>
      <c r="DW5" s="35" t="inlineStr">
        <is>
          <t>What pieces are included with this product?</t>
        </is>
      </c>
      <c r="DX5" s="35" t="inlineStr">
        <is>
          <t>Please select the rating this product received on the Wyzenbeek Double Rub Abrasion Test, or on the Martindale Cycle Rating Abrasion Test.</t>
        </is>
      </c>
      <c r="DY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DZ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EA5" s="35" t="inlineStr">
        <is>
          <t>Is this product certified compliant for CARB ATCM Phase II formaldehyde emission standards from Composite Wood Products [California Air Resources Board (CARB)- Airborne Toxic Control Measures (ATCM) Phase II]</t>
        </is>
      </c>
      <c r="EB5" s="35" t="inlineStr">
        <is>
          <t>Is this product certified TSCA Title VI compliant regarding formaldehyde emissions from Composite Wood Products [Environmental Protection Agency (EPA)-Toxic Substance Control Act (TSCA)-Title VI]</t>
        </is>
      </c>
      <c r="EC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ED5" s="35" t="inlineStr">
        <is>
          <t>Is this product ADA (Americans with Disabilities Act) compliant?</t>
        </is>
      </c>
      <c r="EE5" s="35" t="inlineStr">
        <is>
          <t>Does this product contain flame resistant materials If any of these three chemicals (PBDEs – polybrominated diphenyl ethers, TDCP (or TDCPP) – Tris (1,3-dicholor-2-propyl) phosphate, TCEP – Tris (2-chloroethyl) phosphate) were used in the manufacturing of the furniture, please select yes.</t>
        </is>
      </c>
      <c r="EF5" s="35" t="inlineStr">
        <is>
          <t>Is this product certified compliant with California Technical Bulletin: CAL TB 116, the Flammability Standard for Upholstered Furniture?</t>
        </is>
      </c>
      <c r="EG5" s="35" t="inlineStr">
        <is>
          <t>Are this products components certified compliant with California Technical Bulletin: CAL TB 117-2013, the Flammability (Smolder) Standard for Upholstered Furniture Materials?</t>
        </is>
      </c>
      <c r="EH5" s="35" t="inlineStr">
        <is>
          <t>Does this product have a General Certificate of Conformity (GCC), as required by the U.S. CPSC for certain product classes?</t>
        </is>
      </c>
      <c r="EI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EJ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EK5" s="35" t="inlineStr">
        <is>
          <t>Please select the reason this product can not ship to Canada?  Please select from the options or write in a reason if not selectable</t>
        </is>
      </c>
      <c r="EL5" s="35" t="inlineStr">
        <is>
          <t>Is this product compliant with the Lacey Act (a set of conservation laws also known as the Lacey Act of 1900)?</t>
        </is>
      </c>
      <c r="EM5" s="35" t="inlineStr">
        <is>
          <t>Does this product meet the flammability standard for upholstered furniture set forth by Safer Occupancy Future Flammability Act (SOFFA)? Please note that SOFFA is incorporated into the COVID-19 Regulatory Relief and Work from Home Safety Act.</t>
        </is>
      </c>
      <c r="EN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EO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EP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EQ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ER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ES5" s="35"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ET5" s="35" t="inlineStr">
        <is>
          <t>Does your product comply with SOR/2016-193 (as amended by SOR/2022-122), the Canadian regulation banning paint or similar surface-coating materials for consumer use that contain more than 10 mg/kg total mercury and 90mg/kg total lead? Please note: A no answer to this question will prevent this item from being listed for sale on Wayfair.ca.</t>
        </is>
      </c>
      <c r="EU5" s="35" t="inlineStr">
        <is>
          <t>Is the packaging for this SKU ISTA Certified (1A, 3A, 6A)?</t>
        </is>
      </c>
      <c r="EV5" s="35" t="inlineStr">
        <is>
          <t>Select "Does Not Apply" if your product does not contain any textiles.
Is this product compliant with California's Safer Clothes and Textiles Act (AB 1817), the standard restricting per- and polyfluoroalkyl substances (PFAS) above 100 parts per million in textiles? 
Products marked "No" will be blocked from sale in California. 
Please see Help Center article here for more information: https://partners.wayfair.com/help/2/article/2828).</t>
        </is>
      </c>
      <c r="EW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X5" s="35"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Y5" s="35" t="inlineStr">
        <is>
          <t>[Inches] What is the overall height of the product from top to bottom? Please enter just the number (e.g. 45.5).</t>
        </is>
      </c>
      <c r="EZ5" s="35" t="inlineStr">
        <is>
          <t>[Inches] What is overall width of the product from side to side? Please enter just the number (e.g. 45.5).</t>
        </is>
      </c>
      <c r="FA5" s="35" t="inlineStr">
        <is>
          <t>[Inches] What is the overall depth of the product from front to back? Please enter just the number (e.g. 45.5).</t>
        </is>
      </c>
      <c r="FB5" s="35" t="inlineStr">
        <is>
          <t>[Inches] What is the height from the floor to the top of the seat? Please enter just the number (e.g. 12.5).</t>
        </is>
      </c>
      <c r="FC5" s="35" t="inlineStr">
        <is>
          <t>[Inches] What is the width of the seat from side to side? Please enter just the number (e.g. 12.5). Do not include the arms of the product (if the product has arms) in this measurement - it should be the inside distance between the arms.</t>
        </is>
      </c>
      <c r="FD5" s="35" t="inlineStr">
        <is>
          <t>[Inches] What is the depth of the seat from front to back? Please enter just the number (e.g. 12.5). Please do not include the back of the chair (if there is one) in this measurement.</t>
        </is>
      </c>
      <c r="FE5" s="35" t="inlineStr">
        <is>
          <t>[Inches] If the product height is adjustable, enter the minimum seat height (floor to seat). Enter just the value (i.e., 45.5).</t>
        </is>
      </c>
      <c r="FF5" s="35" t="inlineStr">
        <is>
          <t>[Inches] If the product height is adjustable, enter the maximum seat height (floor to seat). Enter just the value (i.e., 45.5).</t>
        </is>
      </c>
      <c r="FG5" s="35" t="inlineStr">
        <is>
          <t>[Inches] What is the thickness of the cushion from top to bottom? Please enter just the number (e.g. 30.5).</t>
        </is>
      </c>
      <c r="FH5" s="35" t="inlineStr">
        <is>
          <t>[Inches] What is the height from the top of the seat to the top of the back? Please enter just the number (e.g. 12.5).</t>
        </is>
      </c>
      <c r="FI5" s="35" t="inlineStr">
        <is>
          <t>[Pounds] What is the total weight of this product once assembled? If this product includes multiples of the same item, add weight of one individual unit (e.g. 1 Dining Chair in a set of 2). Please enter just the number (i.e. 45.5).</t>
        </is>
      </c>
      <c r="FJ5" s="35" t="inlineStr">
        <is>
          <t>Does the product require any form of assembly prior to use as intended?</t>
        </is>
      </c>
      <c r="FK5" s="35" t="inlineStr">
        <is>
          <t>What is the level of assembly required?</t>
        </is>
      </c>
      <c r="FL5" s="35" t="inlineStr">
        <is>
          <t>What additional tools will the customer need to set-up this product that are NOT included with purchase?</t>
        </is>
      </c>
      <c r="FM5" s="35" t="inlineStr">
        <is>
          <t>Does the manufacturer warranty cover the use of this product in a commercial environment?</t>
        </is>
      </c>
      <c r="FN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FO5" s="35" t="inlineStr">
        <is>
          <t>Please indicate if there is a warranty on this product if it were to be used in a residential setting.</t>
        </is>
      </c>
      <c r="FP5" s="35" t="inlineStr">
        <is>
          <t>Please indicate if the warranty is Full or Limited.</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Select</t>
        </is>
      </c>
      <c r="BQ6" s="36" t="inlineStr">
        <is>
          <t>Please choose one or more from the following, using a semicolon (;) to separate each value: Mesh; Bungee; Other; Manufactured Wood; Fabric; Solid Wood; Metal; Plastic; Leather; Unavailable</t>
        </is>
      </c>
      <c r="BR6" s="36" t="inlineStr">
        <is>
          <t>Please choose one or more from the following, using a semicolon (;) to separate each value: Ceramic; Plastic; Wood; Manufactured wood; Brass; Bungee; Chenille; Concrete; Copper; Fabric; Genuine Leather; Metal; Plastic / Resin; Nickel; Polyurethane; Solid + Manufactured Wood; Cotton; Stainless Steel; Wicker/Rattan; Faux Leather; Mesh; Iron; Plastic / Acrylic; Microfiber; Polyester/Polyester blend; Porcelain; Sling; Solid Wood; Velvet; Wicker; Steel; Twill; Aluminum; Resin; Leather; Vinyl; Suede; Upholstered; Polyester; Sunbrella®; Canvas; Does Not Apply</t>
        </is>
      </c>
      <c r="BS6" s="35" t="inlineStr">
        <is>
          <t>Yes or No</t>
        </is>
      </c>
      <c r="BT6" s="36" t="inlineStr">
        <is>
          <t>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t>
        </is>
      </c>
      <c r="BU6" s="35" t="inlineStr">
        <is>
          <t>Yes or No</t>
        </is>
      </c>
      <c r="BV6" s="35" t="inlineStr">
        <is>
          <t>Yes or No</t>
        </is>
      </c>
      <c r="BW6" s="36" t="inlineStr">
        <is>
          <t>Please choose one or more from the following, using a semicolon (;) to separate each value: Fabric; Solid Wood; Leather; Faux Leather; Metal; Vinyl; Mesh; Plastic / Acrylic; Manufactured Wood; Bungee; Copper; Nickel; Aluminum; Steel; Stainless Steel; Upholstered; Microfiber; Polyester / Polyester Blend; Iron; Brass; Cane; Unavailable</t>
        </is>
      </c>
      <c r="BX6" s="36" t="inlineStr">
        <is>
          <t>Please choose one or more from the following, using a semicolon (;) to separate each value: Twill; Fabric; Polyurethane; Genuine Leather; Vinyl; Polyester / Polyester Blend; Faux Fur; Faux Leather; Suede; Microfiber; Velvet; Leather; Rayon; Chenille; Wool; Cotton; Linen; Microsuede; Unavailable; Does Not Apply</t>
        </is>
      </c>
      <c r="BY6" s="36" t="inlineStr">
        <is>
          <t>Please choose one or more from the following, using a semicolon (;) to separate each value: Foam; Cotton; Down; Synthetic Fiber; Feather; Polyester; Pellets / Beads; Unavailable; Does Not Apply</t>
        </is>
      </c>
      <c r="BZ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A6" s="36" t="inlineStr">
        <is>
          <t>Please choose one or more from the following, using a semicolon (;) to separate each value: No Natural Variation; Natural Wood Grain Color Variation; Weathered Steel; Wood Knots; Natural Stone Color Variation; Unavailable</t>
        </is>
      </c>
      <c r="CB6" s="35" t="inlineStr">
        <is>
          <t>Yes or No</t>
        </is>
      </c>
      <c r="CC6" s="36" t="inlineStr">
        <is>
          <t>Please choose one or more from the following, using a semicolon (;) to separate each value: Up / Down; Pivot; Side to Side; Front to Back; Non-Adjustable; Flip Up; Unavailable; Does Not Apply</t>
        </is>
      </c>
      <c r="CD6" s="35" t="inlineStr">
        <is>
          <t>Yes or No</t>
        </is>
      </c>
      <c r="CE6" s="35" t="inlineStr">
        <is>
          <t>Yes or No</t>
        </is>
      </c>
      <c r="CF6" s="35" t="inlineStr">
        <is>
          <t>Yes or No</t>
        </is>
      </c>
      <c r="CG6" s="35" t="inlineStr">
        <is>
          <t>Yes or No</t>
        </is>
      </c>
      <c r="CH6" s="35" t="inlineStr">
        <is>
          <t>Yes or No</t>
        </is>
      </c>
      <c r="CI6" s="35" t="inlineStr">
        <is>
          <t>Yes or No</t>
        </is>
      </c>
      <c r="CJ6" s="35" t="inlineStr">
        <is>
          <t>Yes or No</t>
        </is>
      </c>
      <c r="CK6" s="35" t="inlineStr">
        <is>
          <t>Yes or No</t>
        </is>
      </c>
      <c r="CL6" s="35" t="inlineStr">
        <is>
          <t>Yes or No</t>
        </is>
      </c>
      <c r="CM6" s="35" t="inlineStr">
        <is>
          <t>Yes or No</t>
        </is>
      </c>
      <c r="CN6" s="35" t="inlineStr">
        <is>
          <t>Yes or No</t>
        </is>
      </c>
      <c r="CO6" s="35" t="inlineStr">
        <is>
          <t>Yes or No</t>
        </is>
      </c>
      <c r="CP6" s="35" t="inlineStr">
        <is>
          <t>Yes or No</t>
        </is>
      </c>
      <c r="CQ6" s="35" t="inlineStr">
        <is>
          <t>Yes or No</t>
        </is>
      </c>
      <c r="CR6" s="36" t="inlineStr">
        <is>
          <t>Please choose one or more from the following, using a semicolon (;) to separate each value: Hardwood; Carpet; Linoleum / Laminate; Brick; Porcelain; Thick Carpet and Shag Rugs; Vinyl; Metal; Rug; Marble / Tile; Upholstery; Concrete / Stone; Grass; Heated Floor; Onyx; Thin Carpets and Low Pile Rugs; Engineered Wood; Bamboo; Cork; Unavailable; Does Not Apply</t>
        </is>
      </c>
      <c r="CS6" s="35" t="inlineStr">
        <is>
          <t>Yes or No</t>
        </is>
      </c>
      <c r="CT6" s="36" t="inlineStr">
        <is>
          <t>Please choose one or more from the following, using a semicolon (;) to separate each value: Non Residential Use; Residential Use</t>
        </is>
      </c>
      <c r="CU6" s="36" t="inlineStr">
        <is>
          <t>Please choose one or more from the following, using a semicolon (;) to separate each value: Made in USA; Made in USA of Imported Materials; Product of Canada; Made In Canada; Does Not Apply</t>
        </is>
      </c>
      <c r="CV6" s="36" t="inlineStr">
        <is>
          <t>Select</t>
        </is>
      </c>
      <c r="CW6" s="35" t="inlineStr">
        <is>
          <t>Yes or No</t>
        </is>
      </c>
      <c r="CX6" s="35" t="inlineStr">
        <is>
          <t>Yes or No</t>
        </is>
      </c>
      <c r="CY6" s="35" t="inlineStr">
        <is>
          <t>Yes or No</t>
        </is>
      </c>
      <c r="CZ6" s="36" t="inlineStr">
        <is>
          <t>Select</t>
        </is>
      </c>
      <c r="DA6" s="36" t="inlineStr">
        <is>
          <t>Select</t>
        </is>
      </c>
      <c r="DB6" s="36" t="inlineStr">
        <is>
          <t>Select</t>
        </is>
      </c>
      <c r="DC6" s="36" t="inlineStr">
        <is>
          <t>Select</t>
        </is>
      </c>
      <c r="DD6" s="36" t="inlineStr">
        <is>
          <t>Select</t>
        </is>
      </c>
      <c r="DE6" s="36" t="inlineStr">
        <is>
          <t>Select</t>
        </is>
      </c>
      <c r="DF6" s="36" t="inlineStr">
        <is>
          <t>Select</t>
        </is>
      </c>
      <c r="DG6" s="35" t="inlineStr">
        <is>
          <t>Number</t>
        </is>
      </c>
      <c r="DH6" s="35" t="inlineStr">
        <is>
          <t>Yes or No</t>
        </is>
      </c>
      <c r="DI6" s="35" t="inlineStr">
        <is>
          <t>Yes or No</t>
        </is>
      </c>
      <c r="DJ6" s="36"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DK6" s="36" t="inlineStr">
        <is>
          <t>Please choose one or more from the following, using a semicolon (;) to separate each value: Cream; Green; Gold; Blue; Beige; Tan; Gray; Black; Clear; Orange; Red; Purple; Pink; Silver; Navy; Ivory; Brown; White; Platinum; Yellow; Teal; Does Not Apply</t>
        </is>
      </c>
      <c r="DL6" s="36" t="inlineStr">
        <is>
          <t>Please choose one or more from the following, using a semicolon (;) to separate each value: Wood; Manufactured Wood; Rubber; Foam; Plastic / Acrylic; Wicker; Fabric; Metal; Nylon; Polyester; Plastic; Vinyl; Polypropylene; Solid Wood; Faux Leather; Genuine Leather; Polyurethane; Solid + Manufactured Wood; Unavailable; Does Not Apply</t>
        </is>
      </c>
      <c r="DM6" s="36" t="inlineStr">
        <is>
          <t>Please choose one or more from the following, using a semicolon (;) to separate each value: Down; Feather; Down Blend; Synthetic Fiber; Foam; Eco-Fill; Pellets / Beads; Cotton; Polyester; Unavailable; Does Not Apply</t>
        </is>
      </c>
      <c r="DN6" s="36" t="inlineStr">
        <is>
          <t>Please choose one or more from the following, using a semicolon (;) to separate each value: Stainless Steel; White; Silver; Satin; Gold; Yellow; Clear; Satin Black; Medium Wood; Matte Black; White Wood; Black; Brown; Blue; Dark Brown Wood; Brown Wood; Oak Wood; Medium Yellow Wood; Light Yellow Wood; Rose Gold; Antique Brass; Nickel; Pink; Polished Brass; Satin Brass; Oil Rubbed Bronze; Polished Nickel; Red; Purple; Espresso Wood; Ivory; Orange; Beige; Teal; Green; Bronze; Brushed Gold; Brass; Red Wood; Tan; Navy; Brushed Nickel; Cream; Chrome; Brushed Brass; Polished Chrome; Gray; Gray Wood; Satin Nickel; Beige Wood; Natural Wood; Copper; Antique Copper; Antique Bronze</t>
        </is>
      </c>
      <c r="DO6" s="35" t="inlineStr">
        <is>
          <t>Yes or No</t>
        </is>
      </c>
      <c r="DP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DQ6" s="35" t="inlineStr">
        <is>
          <t>Yes or No</t>
        </is>
      </c>
      <c r="DR6" s="35" t="inlineStr">
        <is>
          <t>Yes or No</t>
        </is>
      </c>
      <c r="DS6" s="36" t="inlineStr">
        <is>
          <t>Please choose one or more from the following, using a semicolon (;) to separate each value: Armless; Tuxedo Arms; Fixed; Round Arms; Square Arms; Pillow Top Arms; Rolled Arms; Recessed Arms; Charles of London; Padded; Flip-Up; Track Arms; Adjustable Arms; Flared Arms; Unavailable; Does Not Apply</t>
        </is>
      </c>
      <c r="DT6" s="35" t="inlineStr">
        <is>
          <t>Yes or No</t>
        </is>
      </c>
      <c r="DU6" s="36" t="inlineStr">
        <is>
          <t>Please choose one or more from the following, using a semicolon (;) to separate each value: No Durability Features; Fire Resistant; Antimicrobial; Does Not Apply</t>
        </is>
      </c>
      <c r="DV6" s="36" t="inlineStr">
        <is>
          <t>Please choose one or more from the following, using a semicolon (;) to separate each value: Center Tilt; Auto Tilt; Knee Tilt; Manual Tilt; Synchro Tilt; Rotational; Collar Tilt; Push Button; Does Not Apply</t>
        </is>
      </c>
      <c r="DW6" s="36" t="inlineStr">
        <is>
          <t>Please choose one or more from the following, using a semicolon (;) to separate each value: Headrest; Pillow; Chair Mat; Waterfall Seat; Wheels / Casters; Arms; Footrest; Unavailable; Does Not Apply</t>
        </is>
      </c>
      <c r="DX6" s="36" t="inlineStr">
        <is>
          <t>Select</t>
        </is>
      </c>
      <c r="DY6" s="36" t="inlineStr">
        <is>
          <t>Select</t>
        </is>
      </c>
      <c r="DZ6" s="35" t="inlineStr">
        <is>
          <t>Yes or No</t>
        </is>
      </c>
      <c r="EA6" s="36" t="inlineStr">
        <is>
          <t>Select</t>
        </is>
      </c>
      <c r="EB6" s="36" t="inlineStr">
        <is>
          <t>Select</t>
        </is>
      </c>
      <c r="EC6" s="36" t="inlineStr">
        <is>
          <t>Select</t>
        </is>
      </c>
      <c r="ED6" s="35" t="inlineStr">
        <is>
          <t>Yes or No</t>
        </is>
      </c>
      <c r="EE6" s="35" t="inlineStr">
        <is>
          <t>Yes or No</t>
        </is>
      </c>
      <c r="EF6" s="36" t="inlineStr">
        <is>
          <t>Select</t>
        </is>
      </c>
      <c r="EG6" s="36" t="inlineStr">
        <is>
          <t>Select</t>
        </is>
      </c>
      <c r="EH6" s="36" t="inlineStr">
        <is>
          <t>Select</t>
        </is>
      </c>
      <c r="EI6" s="36" t="inlineStr">
        <is>
          <t>Select</t>
        </is>
      </c>
      <c r="EJ6" s="35" t="inlineStr">
        <is>
          <t>Yes or No</t>
        </is>
      </c>
      <c r="EK6" s="36" t="inlineStr">
        <is>
          <t>Please choose one or more from the following, using a semicolon (;) to separate each value: Dual Language; Distribution Conflict; Logistics; Does Not Apply</t>
        </is>
      </c>
      <c r="EL6" s="36" t="inlineStr">
        <is>
          <t>Select</t>
        </is>
      </c>
      <c r="EM6" s="35" t="inlineStr">
        <is>
          <t>Yes or No</t>
        </is>
      </c>
      <c r="EN6" s="35" t="inlineStr">
        <is>
          <t>Yes or No</t>
        </is>
      </c>
      <c r="EO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EP6" s="36" t="inlineStr">
        <is>
          <t>Select</t>
        </is>
      </c>
      <c r="EQ6" s="36" t="inlineStr">
        <is>
          <t>Select</t>
        </is>
      </c>
      <c r="ER6" s="36" t="inlineStr">
        <is>
          <t>Select</t>
        </is>
      </c>
      <c r="ES6" s="36" t="inlineStr">
        <is>
          <t>Select</t>
        </is>
      </c>
      <c r="ET6" s="36" t="inlineStr">
        <is>
          <t>Select</t>
        </is>
      </c>
      <c r="EU6" s="36" t="inlineStr">
        <is>
          <t>Select</t>
        </is>
      </c>
      <c r="EV6" s="36" t="inlineStr">
        <is>
          <t>Select</t>
        </is>
      </c>
      <c r="EW6" s="35" t="inlineStr">
        <is>
          <t>Yes or No</t>
        </is>
      </c>
      <c r="EX6" s="36" t="inlineStr">
        <is>
          <t>Select</t>
        </is>
      </c>
      <c r="EY6" s="35" t="inlineStr">
        <is>
          <t>Number</t>
        </is>
      </c>
      <c r="EZ6" s="35" t="inlineStr">
        <is>
          <t>Number</t>
        </is>
      </c>
      <c r="FA6" s="35" t="inlineStr">
        <is>
          <t>Number</t>
        </is>
      </c>
      <c r="FB6" s="35" t="inlineStr">
        <is>
          <t>Number</t>
        </is>
      </c>
      <c r="FC6" s="35" t="inlineStr">
        <is>
          <t>Number</t>
        </is>
      </c>
      <c r="FD6" s="35" t="inlineStr">
        <is>
          <t>Number</t>
        </is>
      </c>
      <c r="FE6" s="35" t="inlineStr">
        <is>
          <t>Number</t>
        </is>
      </c>
      <c r="FF6" s="35" t="inlineStr">
        <is>
          <t>Number</t>
        </is>
      </c>
      <c r="FG6" s="35" t="inlineStr">
        <is>
          <t>Number</t>
        </is>
      </c>
      <c r="FH6" s="35" t="inlineStr">
        <is>
          <t>Number</t>
        </is>
      </c>
      <c r="FI6" s="35" t="inlineStr">
        <is>
          <t>Number</t>
        </is>
      </c>
      <c r="FJ6" s="35" t="inlineStr">
        <is>
          <t>Yes or No</t>
        </is>
      </c>
      <c r="FK6" s="36" t="inlineStr">
        <is>
          <t>Select</t>
        </is>
      </c>
      <c r="FL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FM6" s="35" t="inlineStr">
        <is>
          <t>Yes or No</t>
        </is>
      </c>
      <c r="FN6" s="36" t="inlineStr">
        <is>
          <t>Select</t>
        </is>
      </c>
      <c r="FO6" s="35" t="inlineStr">
        <is>
          <t>Yes or No</t>
        </is>
      </c>
      <c r="FP6" s="36" t="inlineStr">
        <is>
          <t>Select</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c r="DZ7" s="38" t="n"/>
      <c r="EA7" s="38" t="n"/>
      <c r="EB7" s="38" t="n"/>
      <c r="EC7" s="38" t="n"/>
      <c r="ED7" s="38" t="n"/>
      <c r="EE7" s="38" t="n"/>
      <c r="EF7" s="38" t="n"/>
      <c r="EG7" s="38" t="n"/>
      <c r="EH7" s="38" t="n"/>
      <c r="EI7" s="38" t="n"/>
      <c r="EJ7" s="38" t="n"/>
      <c r="EK7" s="38" t="n"/>
      <c r="EL7" s="38" t="n"/>
      <c r="EM7" s="38" t="n"/>
      <c r="EN7" s="38" t="n"/>
      <c r="EO7" s="38" t="n"/>
      <c r="EP7" s="38" t="n"/>
      <c r="EQ7" s="38" t="n"/>
      <c r="ER7" s="38" t="n"/>
      <c r="ES7" s="38" t="n"/>
      <c r="ET7" s="38" t="n"/>
      <c r="EU7" s="38" t="n"/>
      <c r="EV7" s="38" t="n"/>
      <c r="EW7" s="38" t="n"/>
      <c r="EX7" s="38" t="n"/>
      <c r="EY7" s="38" t="n"/>
      <c r="EZ7" s="38" t="n"/>
      <c r="FA7" s="38" t="n"/>
      <c r="FB7" s="38" t="n"/>
      <c r="FC7" s="38" t="n"/>
      <c r="FD7" s="38" t="n"/>
      <c r="FE7" s="38" t="n"/>
      <c r="FF7" s="38" t="n"/>
      <c r="FG7" s="38" t="n"/>
      <c r="FH7" s="38" t="n"/>
      <c r="FI7" s="38" t="n"/>
      <c r="FJ7" s="38" t="n"/>
      <c r="FK7" s="38" t="n"/>
      <c r="FL7" s="38" t="n"/>
      <c r="FM7" s="38" t="n"/>
      <c r="FN7" s="38" t="n"/>
      <c r="FO7" s="38" t="n"/>
      <c r="FP7" s="38" t="n"/>
    </row>
    <row r="8">
      <c r="A8">
        <f t="array" ref="A8">_xlfn.BYROW(B8:FQ507, _xlfn.LAMBDA(_xlpm.r, _xlfn.LET(_xlpm.high_priority, IFERROR(INDEX(_xlpm.r, MATCH(TRUE, (_xlpm.r &lt;&gt; "") * ((LEFT(_xlpm.r, 2) = "1:") + (LEFT(_xlpm.r, 2) = "3:")) &gt; 0, 0)), ""), IF(_xlpm.high_priority &lt;&gt; "", _xlpm.high_priority, IFERROR(INDEX(_xlpm.r, MATCH(TRUE, (_xlpm.r &lt;&gt; "") * (LEFT(_xlpm.r, 2) = "4:") &gt; 0, 0)), "")))))</f>
        <v/>
      </c>
      <c r="B8" s="22">
        <f t="array" ref="B8">_xlfn.MAP('10 - Office Chairs'!B8:B507, '10 - Office Chairs'!B8:B507,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IF(OR('10 - Office Chairs'!B$7 = "", '10 - Office Chairs'!B$7 = "N/A"), "3:Supplier Part Number - Value is required", ""), ""))))))))</f>
        <v/>
      </c>
      <c r="C8" s="22">
        <f t="array" ref="C8">_xlfn.MAP('10 - Office Chairs'!B8:B507, '10 - Office Chairs'!C8:C507, _xlfn.LAMBDA(_xlpm.part, _xlpm.val, IF(_xlpm.part = "", "", IF(AND(_xlpm.val = "", C$3="Required"), IF(OR('10 - Office Chairs'!C$7 = "", '10 - Office Chairs'!C$7 = "N/A"), "3:ASIN or Amazon Seller SKU - Value is required", ""), ""))))</f>
        <v/>
      </c>
      <c r="D8" s="22">
        <f t="array" ref="D8">_xlfn.MAP('10 - Office Chairs'!B8:B507, '10 - Office Chairs'!D8:D507, '10 - Office Chairs'!J8:J507, _xlfn.LAMBDA(_xlpm.part, _xlpm.val, _xlpm.dep1, IF(_xlpm.part = "", "", _xlfn.LET(_xlpm.check1, IF(AND(_xlpm.val = "", _xlpm.dep1 = "NON-PRIMARY VARIANT"), "2:Autofill", ""), IF(LEN(_xlpm.check1) &gt; 0, _xlpm.check1, IF(AND(_xlpm.val = "", D$3="Required"), IF(OR('10 - Office Chairs'!D$7 = "", '10 - Office Chairs'!D$7 = "N/A"), "3:Brand - Value is required", ""), ""))))))</f>
        <v/>
      </c>
      <c r="E8" s="22">
        <f t="array" ref="E8">_xlfn.MAP('10 - Office Chairs'!B8:B507, '10 - Office Chairs'!E8:E507, _xlfn.LAMBDA(_xlpm.part, _xlpm.val, IF(_xlpm.part = "", "",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IF(OR('10 - Office Chairs'!E$7 = "", '10 - Office Chairs'!E$7 = "N/A"), "3:Manufacturer Part Number - Value is required", ""), ""))))))))))</f>
        <v/>
      </c>
      <c r="F8" s="22">
        <f t="array" ref="F8">_xlfn.MAP('10 - Office Chairs'!B8:B507, '10 - Office Chairs'!F8:F507, _xlfn.LAMBDA(_xlpm.part, _xlpm.val, IF(_xlpm.part = "", "",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IF(OR('10 - Office Chairs'!F$7 = "", '10 - Office Chairs'!F$7 = "N/A"), "3:Universal Product Code - Value is required", ""), ""))))))))</f>
        <v/>
      </c>
      <c r="G8" s="22">
        <f t="array" ref="G8">_xlfn.MAP('10 - Office Chairs'!B8:B507, '10 - Office Chairs'!G8:G507, _xlfn.LAMBDA(_xlpm.part, _xlpm.val, IF(_xlpm.part = "", "", _xlfn.LET(_xlpm.check1, IF(OR(ISNUMBER(SEARCH({"&lt;","&gt;","^","Ø","•","‣","⁃","⁌","™","∙","⌀","◦"}, _xlpm.val))), "1:Product name cannot contain special characters ([™Ø⌀•‣◦⁃⁌⁍∙&lt;&gt;])", ""), IF(LEN(_xlpm.check1) &gt; 0, _xlpm.check1, IF(AND(_xlpm.val = "", G$3="Required"), IF(OR('10 - Office Chairs'!G$7 = "", '10 - Office Chairs'!G$7 = "N/A"), "3:Product Name - Value is required", ""), ""))))))</f>
        <v/>
      </c>
      <c r="H8" s="22">
        <f t="array" ref="H8">_xlfn.MAP('10 - Office Chairs'!B8:B507, '10 - Office Chairs'!H8:H507, '10 - Office Chairs'!J8:J507, _xlfn.LAMBDA(_xlpm.part, _xlpm.val, _xlpm.dep1, IF(_xlpm.part = "", "", _xlfn.LET(_xlpm.check1, IF(AND(_xlpm.val = "", _xlpm.dep1 = "NON-PRIMARY VARIANT"), "2:Autofill", ""), IF(LEN(_xlpm.check1) &gt; 0, _xlpm.check1, IF(AND(_xlpm.val = "", H$3="Required"), IF(OR('10 - Office Chairs'!H$7 = "", '10 - Office Chairs'!H$7 = "N/A"), "3:Collection Name - Value is required", ""), ""))))))</f>
        <v/>
      </c>
      <c r="I8" s="22">
        <f t="array" ref="I8">_xlfn.MAP('10 - Office Chairs'!B8:B507, '10 - Office Chairs'!I8:I507, _xlfn.LAMBDA(_xlpm.part, _xlpm.val, IF(_xlpm.part = "", "", IF(AND(_xlpm.val = "", I$3="Required"), IF(OR('10 - Office Chairs'!I$7 = "", '10 - Office Chairs'!I$7 = "N/A"), "3:Manufacturer Product URL - Value is required", ""), ""))))</f>
        <v/>
      </c>
      <c r="J8" s="22">
        <f t="array" ref="J8">_xlfn.MAP('10 - Office Chairs'!B8:B507, '10 - Office Chairs'!J8:J507, _xlfn.LAMBDA(_xlpm.part, _xlpm.val, IF(_xlpm.part = "", "", IF(AND(_xlpm.val = "", J$3="Required"), IF(OR('10 - Office Chairs'!J$7 = "", '10 - Office Chairs'!J$7 = "N/A"), "3:Variant Type - Value is required", ""), ""))))</f>
        <v/>
      </c>
      <c r="K8" s="22">
        <f t="array" ref="K8">_xlfn.MAP('10 - Office Chairs'!B8:B507, '10 - Office Chairs'!K8:K507, '10 - Office Chairs'!J8:J507, _xlfn.LAMBDA(_xlpm.part, _xlpm.val, _xlpm.dep1, IF(_xlpm.part = "", "", _xlfn.LET(_xlpm.check1, IF(OR(_xlpm.dep1 = "NOT VARIANT", _xlpm.dep1 = ""), IF(_xlpm.val = "", "2:Disable", "1:Variant fields are not accepted when Variant Type is 'Not Variant' or blank. Please remove variant data or set a valid Variant Type."), ""), IF(LEN(_xlpm.check1) &gt; 0, _xlpm.check1, _xlfn.LET(_xlpm.check2, IF(AND(_xlpm.val = "", K$3="Required"), IF(OR('10 - Office Chairs'!K$7 = "", '10 - Office Chairs'!K$7 = "N/A"), "3:Group Reference ID - Value is required", ""), ""), IF(LEN(_xlpm.check2) &gt; 0, _xlpm.check2, _xlfn.LET(_xlpm.check3, IF(_xlpm.dep1 = "PRIMARY VARIANT", IF(_xlpm.val = "", IF(OR('10 - Office Chairs'!K$7 = "", '10 - Office Chairs'!K$7 = "N/A"), "3:Variant Group Reference Id is required for primary-variant", ""), ""), ""), IF(LEN(_xlpm.check3) &gt; 0, _xlpm.check3, IF(_xlpm.dep1 = "NON-PRIMARY VARIANT", IF(_xlpm.val = "", IF(OR('10 - Office Chairs'!K$7 = "", '10 - Office Chairs'!K$7 = "N/A"), "3:Variant Group Reference Id is required for non-primary variant", ""), ""), ""))))))))))</f>
        <v/>
      </c>
      <c r="L8" s="22">
        <f t="array" ref="L8">_xlfn.MAP('10 - Office Chairs'!B8:B507, '10 - Office Chairs'!L8:L507, '10 - Office Chairs'!J8:J507,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_xlfn.LET(_xlpm.check5, IF(AND(_xlpm.val = "", L$3="Required"), IF(OR('10 - Office Chairs'!L$7 = "", '10 - Office Chairs'!L$7 = "N/A"), "3:Variant Grouping - Value is required", ""), ""), IF(LEN(_xlpm.check5) &gt; 0, _xlpm.check5, IF(_xlpm.dep1 = "PRIMARY VARIANT", IF(_xlpm.val = "", IF(OR('10 - Office Chairs'!L$7 = "", '10 - Office Chairs'!L$7 = "N/A"), "3:Variant grouping value must be specified for primary variant", ""), ""), ""))))))))))))))</f>
        <v/>
      </c>
      <c r="M8" s="22">
        <f t="array" ref="M8">_xlfn.MAP('10 - Office Chairs'!B8:B507, '10 - Office Chairs'!M8:M507, '10 - Office Chairs'!J8:J507, '10 - Office Chairs'!L8:L507,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M$3="Required"), IF(OR('10 - Office Chairs'!M$7 = "", '10 - Office Chairs'!M$7 = "N/A"), "3:Variant Attribute Name On Site - Value is required", ""), ""), IF(LEN(_xlpm.check3) &gt; 0, _xlpm.check3, _xlfn.LET(_xlpm.check4, IF(AND(_xlpm.dep2 &lt;&gt; "", _xlpm.dep2 &lt;&gt; "Finish", _xlpm.dep2 &lt;&gt; "Assembly"), IF(_xlpm.val = "", IF(OR('10 - Office Chairs'!M$7 = "", '10 - Office Chairs'!M$7 = "N/A"), "3:Name on site is required when variant grouping value is provided", ""), ""), ""), IF(LEN(_xlpm.check4) &gt; 0, _xlpm.check4, _xlfn.LET(_xlpm.check5, IF(AND(_xlpm.dep2 &lt;&gt; "", _xlpm.dep2 &lt;&gt; "Color", _xlpm.dep2 &lt;&gt; "Material", _xlpm.dep2 &lt;&gt; "Size", _xlpm.dep2 &lt;&gt; "Fireplace Included"), IF(_xlpm.val = "", IF(OR('10 - Office Chairs'!M$7 = "", '10 - Office Chairs'!M$7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IF(OR('10 - Office Chairs'!M$7 = "", '10 - Office Chairs'!M$7 = "N/A"), "3:Name on site is required when variant grouping value is provided", ""), ""), ""), IF(LEN(_xlpm.check6) &gt; 0, _xlpm.check6, _xlfn.LET(_xlpm.check7, IF(AND(_xlpm.dep2 &lt;&gt; "", _xlpm.dep2 &lt;&gt; "Color"), IF(_xlpm.val = "", IF(OR('10 - Office Chairs'!M$7 = "", '10 - Office Chairs'!M$7 = "N/A"), "3:Name on site is required when variant grouping value is provided", ""), ""), ""), IF(LEN(_xlpm.check7) &gt; 0, _xlpm.check7, IF(AND(_xlpm.dep2 &lt;&gt; "", _xlpm.dep2 &lt;&gt; "Size", _xlpm.dep2 &lt;&gt; "Color", _xlpm.dep2 &lt;&gt; "Frame Material", _xlpm.dep2 &lt;&gt; "Print/Pattern", _xlpm.dep2 &lt;&gt; "Storage"), IF(_xlpm.val = "", IF(OR('10 - Office Chairs'!M$7 = "", '10 - Office Chairs'!M$7 = "N/A"), "3:Name on site is required when variant grouping value is provided", ""), ""), ""))))))))))))))))))</f>
        <v/>
      </c>
      <c r="N8" s="22">
        <f t="array" ref="N8">_xlfn.MAP('10 - Office Chairs'!B8:B507, '10 - Office Chairs'!N8:N507, '10 - Office Chairs'!J8:J507,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N$3="Required"), IF(OR('10 - Office Chairs'!N$7 = "", '10 - Office Chairs'!N$7 = "N/A"), "3:Variant Grouping - Value is required", ""), ""))))))))))))</f>
        <v/>
      </c>
      <c r="O8" s="22">
        <f t="array" ref="O8">_xlfn.MAP('10 - Office Chairs'!B8:B507, '10 - Office Chairs'!O8:O507, '10 - Office Chairs'!J8:J507, '10 - Office Chairs'!N8:N507,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O$3="Required"), IF(OR('10 - Office Chairs'!O$7 = "", '10 - Office Chairs'!O$7 = "N/A"), "3:Variant Attribute Name On Site - Value is required", ""), ""), IF(LEN(_xlpm.check3) &gt; 0, _xlpm.check3, _xlfn.LET(_xlpm.check4, IF(AND(_xlpm.dep2 &lt;&gt; "", _xlpm.dep2 &lt;&gt; "Finish", _xlpm.dep2 &lt;&gt; "Assembly"), IF(_xlpm.val = "", IF(OR('10 - Office Chairs'!O$7 = "", '10 - Office Chairs'!O$7 = "N/A"), "3:Name on site is required when variant grouping value is provided", ""), ""), ""), IF(LEN(_xlpm.check4) &gt; 0, _xlpm.check4, _xlfn.LET(_xlpm.check5, IF(AND(_xlpm.dep2 &lt;&gt; "", _xlpm.dep2 &lt;&gt; "Color", _xlpm.dep2 &lt;&gt; "Material", _xlpm.dep2 &lt;&gt; "Size", _xlpm.dep2 &lt;&gt; "Fireplace Included"), IF(_xlpm.val = "", IF(OR('10 - Office Chairs'!O$7 = "", '10 - Office Chairs'!O$7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IF(OR('10 - Office Chairs'!O$7 = "", '10 - Office Chairs'!O$7 = "N/A"), "3:Name on site is required when variant grouping value is provided", ""), ""), ""), IF(LEN(_xlpm.check6) &gt; 0, _xlpm.check6, _xlfn.LET(_xlpm.check7, IF(AND(_xlpm.dep2 &lt;&gt; "", _xlpm.dep2 &lt;&gt; "Color"), IF(_xlpm.val = "", IF(OR('10 - Office Chairs'!O$7 = "", '10 - Office Chairs'!O$7 = "N/A"), "3:Name on site is required when variant grouping value is provided", ""), ""), ""), IF(LEN(_xlpm.check7) &gt; 0, _xlpm.check7, IF(AND(_xlpm.dep2 &lt;&gt; "", _xlpm.dep2 &lt;&gt; "Size", _xlpm.dep2 &lt;&gt; "Color", _xlpm.dep2 &lt;&gt; "Frame Material", _xlpm.dep2 &lt;&gt; "Print/Pattern", _xlpm.dep2 &lt;&gt; "Storage"), IF(_xlpm.val = "", IF(OR('10 - Office Chairs'!O$7 = "", '10 - Office Chairs'!O$7 = "N/A"), "3:Name on site is required when variant grouping value is provided", ""), ""), ""))))))))))))))))))</f>
        <v/>
      </c>
      <c r="P8" s="22">
        <f t="array" ref="P8">_xlfn.MAP('10 - Office Chairs'!B8:B507, '10 - Office Chairs'!P8:P507, '10 - Office Chairs'!J8:J507,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P$3="Required"), IF(OR('10 - Office Chairs'!P$7 = "", '10 - Office Chairs'!P$7 = "N/A"), "3:Variant Grouping - Value is required", ""), ""))))))))))))</f>
        <v/>
      </c>
      <c r="Q8" s="22">
        <f t="array" ref="Q8">_xlfn.MAP('10 - Office Chairs'!B8:B507, '10 - Office Chairs'!Q8:Q507, '10 - Office Chairs'!J8:J507, '10 - Office Chairs'!P8:P507,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Q$3="Required"), IF(OR('10 - Office Chairs'!Q$7 = "", '10 - Office Chairs'!Q$7 = "N/A"), "3:Variant Attribute Name On Site - Value is required", ""), ""), IF(LEN(_xlpm.check3) &gt; 0, _xlpm.check3, _xlfn.LET(_xlpm.check4, IF(AND(_xlpm.dep2 &lt;&gt; "", _xlpm.dep2 &lt;&gt; "Finish", _xlpm.dep2 &lt;&gt; "Assembly"), IF(_xlpm.val = "", IF(OR('10 - Office Chairs'!Q$7 = "", '10 - Office Chairs'!Q$7 = "N/A"), "3:Name on site is required when variant grouping value is provided", ""), ""), ""), IF(LEN(_xlpm.check4) &gt; 0, _xlpm.check4, _xlfn.LET(_xlpm.check5, IF(AND(_xlpm.dep2 &lt;&gt; "", _xlpm.dep2 &lt;&gt; "Color", _xlpm.dep2 &lt;&gt; "Material", _xlpm.dep2 &lt;&gt; "Size", _xlpm.dep2 &lt;&gt; "Fireplace Included"), IF(_xlpm.val = "", IF(OR('10 - Office Chairs'!Q$7 = "", '10 - Office Chairs'!Q$7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IF(OR('10 - Office Chairs'!Q$7 = "", '10 - Office Chairs'!Q$7 = "N/A"), "3:Name on site is required when variant grouping value is provided", ""), ""), ""), IF(LEN(_xlpm.check6) &gt; 0, _xlpm.check6, _xlfn.LET(_xlpm.check7, IF(AND(_xlpm.dep2 &lt;&gt; "", _xlpm.dep2 &lt;&gt; "Color"), IF(_xlpm.val = "", IF(OR('10 - Office Chairs'!Q$7 = "", '10 - Office Chairs'!Q$7 = "N/A"), "3:Name on site is required when variant grouping value is provided", ""), ""), ""), IF(LEN(_xlpm.check7) &gt; 0, _xlpm.check7, IF(AND(_xlpm.dep2 &lt;&gt; "", _xlpm.dep2 &lt;&gt; "Size", _xlpm.dep2 &lt;&gt; "Color", _xlpm.dep2 &lt;&gt; "Frame Material", _xlpm.dep2 &lt;&gt; "Print/Pattern", _xlpm.dep2 &lt;&gt; "Storage"), IF(_xlpm.val = "", IF(OR('10 - Office Chairs'!Q$7 = "", '10 - Office Chairs'!Q$7 = "N/A"), "3:Name on site is required when variant grouping value is provided", ""), ""), ""))))))))))))))))))</f>
        <v/>
      </c>
      <c r="R8" s="22">
        <f t="array" ref="R8">_xlfn.MAP('10 - Office Chairs'!B8:B507, '10 - Office Chairs'!R8:R507, _xlfn.LAMBDA(_xlpm.part, _xlpm.val, IF(_xlpm.part = "", "", _xlfn.LET(_xlpm.check1, IF(AND(NOT(ISBLANK(_xlpm.val)),OR(NOT(ISNUMBER(IFERROR(VALUE(_xlpm.val), ""))), IFERROR(VALUE(_xlpm.val), -1) &lt; 0)), "1:Base Cost - Value should be numeric", ""), IF(LEN(_xlpm.check1) &gt; 0, _xlpm.check1, IF(AND(_xlpm.val = "", R$3="Required"), IF(OR('10 - Office Chairs'!R$7 = "", '10 - Office Chairs'!R$7 = "N/A"), "3:Base Cost - Value is required", ""), ""))))))</f>
        <v/>
      </c>
      <c r="S8" s="22">
        <f t="array" ref="S8">_xlfn.MAP('10 - Office Chairs'!B8:B507, '10 - Office Chairs'!S8:S507, _xlfn.LAMBDA(_xlpm.part, _xlpm.val, IF(_xlpm.part = "", "", _xlfn.LET(_xlpm.check1, IF(AND(NOT(ISBLANK(_xlpm.val)),OR(NOT(ISNUMBER(IFERROR(VALUE(_xlpm.val), ""))), IFERROR(VALUE(_xlpm.val), -1) &lt; 0)), "1:Minimum Advertised Price - Value should be numeric", ""), IF(LEN(_xlpm.check1) &gt; 0, _xlpm.check1, IF(AND(_xlpm.val = "", S$3="Required"), IF(OR('10 - Office Chairs'!S$7 = "", '10 - Office Chairs'!S$7 = "N/A"), "3:Minimum Advertised Price - Value is required", ""), ""))))))</f>
        <v/>
      </c>
      <c r="T8" s="22">
        <f t="array" ref="T8">_xlfn.MAP('10 - Office Chairs'!B8:B507, '10 - Office Chairs'!T8:T507, _xlfn.LAMBDA(_xlpm.part, _xlpm.val, IF(_xlpm.part = "", "", _xlfn.LET(_xlpm.check1, IF(AND(NOT(ISBLANK(_xlpm.val)),OR(NOT(ISNUMBER(IFERROR(VALUE(_xlpm.val), ""))), IFERROR(VALUE(_xlpm.val), -1) &lt; 0)), "1:Manufacturer Suggested Retail Price - Value should be numeric", ""), IF(LEN(_xlpm.check1) &gt; 0, _xlpm.check1, IF(AND(_xlpm.val = "", T$3="Required"), IF(OR('10 - Office Chairs'!T$7 = "", '10 - Office Chairs'!T$7 = "N/A"), "3:Manufacturer Suggested Retail Price - Value is required", ""), ""))))))</f>
        <v/>
      </c>
      <c r="U8" s="22">
        <f t="array" ref="U8">_xlfn.MAP('10 - Office Chairs'!B8:B507, '10 - Office Chairs'!U8:U507, '10 - Office Chairs'!J8:J507, '10 - Office Chairs'!V8:V507, '10 - Office Chairs'!W8:W507, '10 - Office Chairs'!X8:X507, _xlfn.LAMBDA(_xlpm.part, _xlpm.val, _xlpm.dep1, _xlpm.dep2, _xlpm.dep3, _xlpm.dep4, IF(_xlpm.part = "", "", _xlfn.LET(_xlpm.check1, IF(AND(_xlpm.val = "", _xlpm.dep1 = "NON-PRIMARY VARIANT"), "2:Autofill", ""), IF(LEN(_xlpm.check1) &gt; 0, _xlpm.check1, _xlfn.LET(_xlpm.check2, IF(OR(ISNUMBER(SEARCH({"&lt;","&gt;","^","Ø","•","‣","⁃","⁌","™","∙","⌀","◦"}, _xlpm.val))), "1:Marketing Copy cannot contain special characters ([™Ø⌀•‣◦⁃⁌⁍∙&lt;&gt;])", ""), IF(LEN(_xlpm.check2) &gt; 0, _xlpm.check2, _xlfn.LET(_xlpm.check3, IF(AND(_xlpm.val &lt;&gt; "", LEN(_xlpm.val) &lt; 16), "1:Marketing Copy should be more than 15 characters", ""), IF(LEN(_xlpm.check3) &gt; 0, _xlpm.check3, _xlfn.LET(_xlpm.check4, IF(AND(_xlpm.val = "", U$3="Required"), IF(OR('10 - Office Chairs'!U$7 = "", '10 - Office Chairs'!U$7 = "N/A"), "3:Marketing Copy - Value is required", ""), ""), IF(LEN(_xlpm.check4) &gt; 0, _xlpm.check4, IF(OR(_xlpm.dep2 = "", _xlpm.dep3 = "", _xlpm.dep4 = ""), IF(_xlpm.val = "", IF(OR('10 - Office Chairs'!U$7 = "", '10 - Office Chairs'!U$7 = "N/A"), "3:Either the Marketing Copy or at least three Feature Bullets are required for this part.", ""), ""), ""))))))))))))</f>
        <v/>
      </c>
      <c r="V8" s="22">
        <f t="array" ref="V8">_xlfn.MAP('10 - Office Chairs'!B8:B507, '10 - Office Chairs'!V8:V507, '10 - Office Chairs'!J8:J507, '10 - Office Chairs'!W8:W507, '10 - Office Chairs'!X8:X507, '10 - Office Chairs'!U8:U507,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V$3="Required"), IF(OR('10 - Office Chairs'!V$7 = "", '10 - Office Chairs'!V$7 = "N/A"), "3:Feature Bullet - Value is required", ""), ""), IF(LEN(_xlpm.check3) &gt; 0, _xlpm.check3, _xlfn.LET(_xlpm.check4, IF(AND(AND(_xlpm.dep2 = "", _xlpm.dep3 = ""), _xlpm.dep4 = ""), IF(_xlpm.val = "", IF(OR('10 - Office Chairs'!V$7 = "", '10 - Office Chairs'!V$7 = "N/A"), "3:Either the Marketing Copy or at least three Feature Bullets are required for this part.", ""), ""), ""), IF(LEN(_xlpm.check4) &gt; 0, _xlpm.check4, IF(_xlpm.dep4 = "", IF(_xlpm.val = "", IF(OR('10 - Office Chairs'!V$7 = "", '10 - Office Chairs'!V$7 = "N/A"), "3:Three feature bullets must be filled", ""), ""), ""))))))))))))</f>
        <v/>
      </c>
      <c r="W8" s="22">
        <f t="array" ref="W8">_xlfn.MAP('10 - Office Chairs'!B8:B507, '10 - Office Chairs'!W8:W507, '10 - Office Chairs'!J8:J507, '10 - Office Chairs'!V8:V507, '10 - Office Chairs'!X8:X507, '10 - Office Chairs'!U8:U507,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W$3="Required"), IF(OR('10 - Office Chairs'!W$7 = "", '10 - Office Chairs'!W$7 = "N/A"), "3:Feature Bullet - Value is required", ""), ""), IF(LEN(_xlpm.check3) &gt; 0, _xlpm.check3, _xlfn.LET(_xlpm.check4, IF(AND(AND(_xlpm.dep2 = "", _xlpm.dep3 = ""), _xlpm.dep4 = ""), IF(_xlpm.val = "", IF(OR('10 - Office Chairs'!W$7 = "", '10 - Office Chairs'!W$7 = "N/A"), "3:Either the Marketing Copy or at least three Feature Bullets are required for this part.", ""), ""), ""), IF(LEN(_xlpm.check4) &gt; 0, _xlpm.check4, IF(_xlpm.dep4 = "", IF(_xlpm.val = "", IF(OR('10 - Office Chairs'!W$7 = "", '10 - Office Chairs'!W$7 = "N/A"), "3:Three feature bullets must be filled", ""), ""), ""))))))))))))</f>
        <v/>
      </c>
      <c r="X8" s="22">
        <f t="array" ref="X8">_xlfn.MAP('10 - Office Chairs'!B8:B507, '10 - Office Chairs'!X8:X507, '10 - Office Chairs'!J8:J507, '10 - Office Chairs'!V8:V507, '10 - Office Chairs'!W8:W507, '10 - Office Chairs'!U8:U507,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X$3="Required"), IF(OR('10 - Office Chairs'!X$7 = "", '10 - Office Chairs'!X$7 = "N/A"), "3:Feature Bullet - Value is required", ""), ""), IF(LEN(_xlpm.check3) &gt; 0, _xlpm.check3, _xlfn.LET(_xlpm.check4, IF(AND(AND(_xlpm.dep2 = "", _xlpm.dep3 = ""), _xlpm.dep4 = ""), IF(_xlpm.val = "", IF(OR('10 - Office Chairs'!X$7 = "", '10 - Office Chairs'!X$7 = "N/A"), "3:Either the Marketing Copy or at least three Feature Bullets are required for this part.", ""), ""), ""), IF(LEN(_xlpm.check4) &gt; 0, _xlpm.check4, IF(_xlpm.dep4 = "", IF(_xlpm.val = "", IF(OR('10 - Office Chairs'!X$7 = "", '10 - Office Chairs'!X$7 = "N/A"), "3:Three feature bullets must be filled", ""), ""), ""))))))))))))</f>
        <v/>
      </c>
      <c r="Y8" s="22">
        <f t="array" ref="Y8">_xlfn.MAP('10 - Office Chairs'!B8:B507, '10 - Office Chairs'!Y8:Y507, '10 - Office Chairs'!J8:J507,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Y$3="Required"), IF(OR('10 - Office Chairs'!Y$7 = "", '10 - Office Chairs'!Y$7 = "N/A"), "3:Feature Bullet - Value is required", ""), ""))))))))</f>
        <v/>
      </c>
      <c r="Z8" s="22">
        <f t="array" ref="Z8">_xlfn.MAP('10 - Office Chairs'!B8:B507, '10 - Office Chairs'!Z8:Z507, '10 - Office Chairs'!J8:J507,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Z$3="Required"), IF(OR('10 - Office Chairs'!Z$7 = "", '10 - Office Chairs'!Z$7 = "N/A"), "3:Feature Bullet - Value is required", ""), ""))))))))</f>
        <v/>
      </c>
      <c r="AA8" s="22">
        <f t="array" ref="AA8">_xlfn.MAP('10 - Office Chairs'!B8:B507, '10 - Office Chairs'!AA8:AA507, '10 - Office Chairs'!J8:J507,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"1:Minimum Order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AA$3="Required"), IF(OR('10 - Office Chairs'!AA$7 = "", '10 - Office Chairs'!AA$7 = "N/A"), "3:Minimum Order Quantity - Value is required", ""), ""))))))))))))</f>
        <v/>
      </c>
      <c r="AB8" s="22">
        <f t="array" ref="AB8">_xlfn.MAP('10 - Office Chairs'!B8:B507, '10 - Office Chairs'!AB8:AB507, '10 - Office Chairs'!J8:J507,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"1:Force Quantity Multiplier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AB$3="Required"), IF(OR('10 - Office Chairs'!AB$7 = "", '10 - Office Chairs'!AB$7 = "N/A"), "3:Force Quantity Multiplier - Value is required", ""), ""))))))))))))</f>
        <v/>
      </c>
      <c r="AC8" s="22">
        <f t="array" ref="AC8">_xlfn.MAP('10 - Office Chairs'!B8:B507, '10 - Office Chairs'!AC8:AC507, '10 - Office Chairs'!J8:J507,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"1:Display Set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AC$3="Required"), IF(OR('10 - Office Chairs'!AC$7 = "", '10 - Office Chairs'!AC$7 = "N/A"), "3:Display Set Quantity - Value is required", ""), ""))))))))))))</f>
        <v/>
      </c>
      <c r="AD8" s="22">
        <f t="array" ref="AD8">_xlfn.MAP('10 - Office Chairs'!B8:B507, '10 - Office Chairs'!AD8:AD507, '10 - Office Chairs'!J8:J507,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"1:Product Weight - Value should be numeric", ""), IF(LEN(_xlpm.check2) &gt; 0, _xlpm.check2, _xlfn.LET(_xlpm.check3, IF(AND(_xlpm.val &lt;&gt; "" ,IFERROR(VALUE(_xlpm.val), _xlpm.val)&lt;0), "1:Product weight must be a positive number", ""), IF(LEN(_xlpm.check3) &gt; 0, _xlpm.check3, IF(AND(_xlpm.val = "", AD$3="Required"), IF(OR('10 - Office Chairs'!AD$7 = "", '10 - Office Chairs'!AD$7 = "N/A"), "3:Product Weight - Value is required", ""), ""))))))))))</f>
        <v/>
      </c>
      <c r="AE8" s="22">
        <f t="array" ref="AE8">_xlfn.MAP('10 - Office Chairs'!B8:B507, '10 - Office Chairs'!AE8:AE507, '10 - Office Chairs'!J8:J507, _xlfn.LAMBDA(_xlpm.part, _xlpm.val, _xlpm.dep1, IF(_xlpm.part = "", "", _xlfn.LET(_xlpm.check1, IF(AND(_xlpm.val = "", _xlpm.dep1 = "NON-PRIMARY VARIANT"), "2:Autofill", ""), IF(LEN(_xlpm.check1) &gt; 0, _xlpm.check1, IF(AND(_xlpm.val = "", AE$3="Required"), IF(OR('10 - Office Chairs'!AE$7 = "", '10 - Office Chairs'!AE$7 = "N/A"), "3:Ship Type - Value is required", ""), ""))))))</f>
        <v/>
      </c>
      <c r="AF8" s="22">
        <f t="array" ref="AF8">_xlfn.MAP('10 - Office Chairs'!B8:B507, '10 - Office Chairs'!AF8:AF507, '10 - Office Chairs'!J8:J507, _xlfn.LAMBDA(_xlpm.part, _xlpm.val, _xlpm.dep1, IF(_xlpm.part = "", "", _xlfn.LET(_xlpm.check1, IF(AND(_xlpm.val = "", _xlpm.dep1 = "NON-PRIMARY VARIANT"), "2:Autofill", ""), IF(LEN(_xlpm.check1) &gt; 0, _xlpm.check1, IF(AND(_xlpm.val = "", AF$3="Required"), IF(OR('10 - Office Chairs'!AF$7 = "", '10 - Office Chairs'!AF$7 = "N/A"), "3:Freight Class - Value is required", ""), ""))))))</f>
        <v/>
      </c>
      <c r="AG8" s="22">
        <f t="array" ref="AG8">_xlfn.MAP('10 - Office Chairs'!B8:B507, '10 - Office Chairs'!AG8:AG507, '10 - Office Chairs'!J8:J507, _xlfn.LAMBDA(_xlpm.part, _xlpm.val, _xlpm.dep1, IF(_xlpm.part = "", "", _xlfn.LET(_xlpm.check1, IF(AND(_xlpm.val = "", _xlpm.dep1 = "NON-PRIMARY VARIANT"), "2:Autofill", ""), IF(LEN(_xlpm.check1) &gt; 0, _xlpm.check1, IF(AND(_xlpm.val = "", AG$3="Required"), IF(OR('10 - Office Chairs'!AG$7 = "", '10 - Office Chairs'!AG$7 = "N/A"), "3:Lead Time - Value is required", ""), ""))))))</f>
        <v/>
      </c>
      <c r="AH8" s="22">
        <f t="array" ref="AH8">_xlfn.MAP('10 - Office Chairs'!B8:B507, '10 - Office Chairs'!AH8:AH507, '10 - Office Chairs'!J8:J507, _xlfn.LAMBDA(_xlpm.part, _xlpm.val, _xlpm.dep1, IF(_xlpm.part = "", "", _xlfn.LET(_xlpm.check1, IF(AND(_xlpm.val = "", _xlpm.dep1 = "NON-PRIMARY VARIANT"), "2:Autofill", ""), IF(LEN(_xlpm.check1) &gt; 0, _xlpm.check1, IF(AND(_xlpm.val = "", AH$3="Required"), IF(OR('10 - Office Chairs'!AH$7 = "", '10 - Office Chairs'!AH$7 = "N/A"), "3:Replacement Lead Time - Value is required", ""), ""))))))</f>
        <v/>
      </c>
      <c r="AI8" s="22">
        <f t="array" ref="AI8">_xlfn.MAP('10 - Office Chairs'!B8:B507, '10 - Office Chairs'!AI8:AI507, '10 - Office Chairs'!J8:J507, _xlfn.LAMBDA(_xlpm.part, _xlpm.val, _xlpm.dep1, IF(_xlpm.part = "", "", _xlfn.LET(_xlpm.check1, IF(AND(_xlpm.val = "", _xlpm.dep1 = "NON-PRIMARY VARIANT"), "2:Autofill", ""), IF(LEN(_xlpm.check1) &gt; 0, _xlpm.check1, _xlfn.LET(_xlpm.check2, IF(AND(_xlpm.val &lt;&gt; "", LEN(_xlpm.val) &lt; 5), "1:NMFC must contain at least 5 digits", ""), IF(LEN(_xlpm.check2) &gt; 0, _xlpm.check2, IF(AND(_xlpm.val = "", AI$3="Required"), IF(OR('10 - Office Chairs'!AI$7 = "", '10 - Office Chairs'!AI$7 = "N/A"), "3:National Motor Freight Class - Value is required", ""), ""))))))))</f>
        <v/>
      </c>
      <c r="AJ8" s="22">
        <f t="array" ref="AJ8">_xlfn.MAP('10 - Office Chairs'!B8:B507, '10 - Office Chairs'!AJ8:AJ507, '10 - Office Chairs'!J8:J507, _xlfn.LAMBDA(_xlpm.part, _xlpm.val, _xlpm.dep1, IF(_xlpm.part = "", "", _xlfn.LET(_xlpm.check1, IF(AND(_xlpm.val = "", _xlpm.dep1 = "NON-PRIMARY VARIANT"), "2:Autofill", ""), IF(LEN(_xlpm.check1) &gt; 0, _xlpm.check1, IF(AND(_xlpm.val = "", AJ$3="Required"), IF(OR('10 - Office Chairs'!AJ$7 = "", '10 - Office Chairs'!AJ$7 = "N/A"), "3:Flat Pack - Value is required", ""), ""))))))</f>
        <v/>
      </c>
      <c r="AK8" s="22">
        <f t="array" ref="AK8">_xlfn.MAP('10 - Office Chairs'!B8:B507, '10 - Office Chairs'!AK8:AK507, '10 - Office Chairs'!J8:J507, _xlfn.LAMBDA(_xlpm.part, _xlpm.val, _xlpm.dep1, IF(_xlpm.part = "", "", _xlfn.LET(_xlpm.check1, IF(AND(_xlpm.val = "", _xlpm.dep1 = "NON-PRIMARY VARIANT"), "2:Autofill", ""), IF(LEN(_xlpm.check1) &gt; 0, _xlpm.check1, IF(AND(_xlpm.val = "", AK$3="Required"), IF(OR('10 - Office Chairs'!AK$7 = "", '10 - Office Chairs'!AK$7 = "N/A"), "3:Ship Palletized - Value is required", ""), ""))))))</f>
        <v/>
      </c>
      <c r="AL8" s="22">
        <f t="array" ref="AL8">_xlfn.MAP('10 - Office Chairs'!B8:B507, '10 - Office Chairs'!AL8:AL507, '10 - Office Chairs'!AM8:AM507, '10 - Office Chairs'!AN8:AN507, '10 - Office Chairs'!AO8:AO507,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AL$3="Required"), IF(OR('10 - Office Chairs'!AL$7 = "", '10 - Office Chairs'!AL$7 = "N/A"), "3:Carton Weight - Value is required", ""), ""), IF(LEN(_xlpm.check3) &gt; 0, _xlpm.check3, _xlfn.LET(_xlpm.check4, IF(OR(_xlpm.dep1 &lt;&gt; "", _xlpm.dep2 &lt;&gt; "", _xlpm.dep3 &lt;&gt; ""), IF(_xlpm.val = "", IF(OR('10 - Office Chairs'!AL$7 = "", '10 - Office Chairs'!AL$7 = "N/A"), "3:Shipping weight is required", ""), ""), ""), IF(LEN(_xlpm.check4) &gt; 0, _xlpm.check4, IF(AND(_xlpm.dep3 = "", _xlpm.dep1 = "", _xlpm.dep2 = ""), IF(_xlpm.val = "", IF(OR('10 - Office Chairs'!AL$7 = "", '10 - Office Chairs'!AL$7 = "N/A"), "3:Shipping weight is required", ""), ""), ""))))))))))))</f>
        <v/>
      </c>
      <c r="AM8" s="22">
        <f t="array" ref="AM8">_xlfn.MAP('10 - Office Chairs'!B8:B507, '10 - Office Chairs'!AM8:AM507, '10 - Office Chairs'!AL8:AL507, '10 - Office Chairs'!AN8:AN507, '10 - Office Chairs'!AO8:AO507,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AM$3="Required"), IF(OR('10 - Office Chairs'!AM$7 = "", '10 - Office Chairs'!AM$7 = "N/A"), "3:Carton Height - Value is required", ""), ""), IF(LEN(_xlpm.check3) &gt; 0, _xlpm.check3, _xlfn.LET(_xlpm.check4, IF(OR(_xlpm.dep1 &lt;&gt; "", _xlpm.dep2 &lt;&gt; "", _xlpm.dep3 &lt;&gt; ""), IF(_xlpm.val = "", IF(OR('10 - Office Chairs'!AM$7 = "", '10 - Office Chairs'!AM$7 = "N/A"), "3:Carton height is required", ""), ""), ""), IF(LEN(_xlpm.check4) &gt; 0, _xlpm.check4, IF(AND(_xlpm.dep1 = "", _xlpm.dep3 = "", _xlpm.dep2 = ""), IF(_xlpm.val = "", IF(OR('10 - Office Chairs'!AM$7 = "", '10 - Office Chairs'!AM$7 = "N/A"), "3:Carton height is required", ""), ""), ""))))))))))))</f>
        <v/>
      </c>
      <c r="AN8" s="22">
        <f t="array" ref="AN8">_xlfn.MAP('10 - Office Chairs'!B8:B507, '10 - Office Chairs'!AN8:AN507, '10 - Office Chairs'!AL8:AL507, '10 - Office Chairs'!AM8:AM507, '10 - Office Chairs'!AO8:AO507,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AN$3="Required"), IF(OR('10 - Office Chairs'!AN$7 = "", '10 - Office Chairs'!AN$7 = "N/A"), "3:Carton Width - Value is required", ""), ""), IF(LEN(_xlpm.check3) &gt; 0, _xlpm.check3, _xlfn.LET(_xlpm.check4, IF(OR(_xlpm.dep1 &lt;&gt; "", _xlpm.dep2 &lt;&gt; "", _xlpm.dep3 &lt;&gt; ""), IF(_xlpm.val = "", IF(OR('10 - Office Chairs'!AN$7 = "", '10 - Office Chairs'!AN$7 = "N/A"), "3:Carton width is required", ""), ""), ""), IF(LEN(_xlpm.check4) &gt; 0, _xlpm.check4, IF(AND(_xlpm.dep1 = "", _xlpm.dep2 = "", _xlpm.dep3 = ""), IF(_xlpm.val = "", IF(OR('10 - Office Chairs'!AN$7 = "", '10 - Office Chairs'!AN$7 = "N/A"), "3:Carton width is required", ""), ""), ""))))))))))))</f>
        <v/>
      </c>
      <c r="AO8" s="22">
        <f t="array" ref="AO8">_xlfn.MAP('10 - Office Chairs'!B8:B507, '10 - Office Chairs'!AO8:AO507, '10 - Office Chairs'!AL8:AL507, '10 - Office Chairs'!AM8:AM507, '10 - Office Chairs'!AN8:AN507,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AO$3="Required"), IF(OR('10 - Office Chairs'!AO$7 = "", '10 - Office Chairs'!AO$7 = "N/A"), "3:Carton Depth - Value is required", ""), ""), IF(LEN(_xlpm.check3) &gt; 0, _xlpm.check3, _xlfn.LET(_xlpm.check4, IF(OR(_xlpm.dep1 &lt;&gt; "", _xlpm.dep2 &lt;&gt; "", _xlpm.dep3 &lt;&gt; ""), IF(_xlpm.val = "", IF(OR('10 - Office Chairs'!AO$7 = "", '10 - Office Chairs'!AO$7 = "N/A"), "3:Carton depth is required", ""), ""), ""), IF(LEN(_xlpm.check4) &gt; 0, _xlpm.check4, IF(AND(_xlpm.dep1 = "", _xlpm.dep2 = "", _xlpm.dep3 = ""), IF(_xlpm.val = "", IF(OR('10 - Office Chairs'!AO$7 = "", '10 - Office Chairs'!AO$7 = "N/A"), "3:Carton depth is required", ""), ""), ""))))))))))))</f>
        <v/>
      </c>
      <c r="AP8" s="22">
        <f t="array" ref="AP8">_xlfn.MAP('10 - Office Chairs'!B8:B507, '10 - Office Chairs'!AP8:AP507, _xlfn.LAMBDA(_xlpm.part, _xlpm.val, IF(_xlpm.part = "", "", IF(AND(_xlpm.val = "", AP$3="Required"), IF(OR('10 - Office Chairs'!AP$7 = "", '10 - Office Chairs'!AP$7 = "N/A"), "3:Warning Required - Value is required", ""), ""))))</f>
        <v/>
      </c>
      <c r="AQ8" s="22">
        <f t="array" ref="AQ8">_xlfn.MAP('10 - Office Chairs'!B8:B507, '10 - Office Chairs'!AQ8:AQ507, '10 - Office Chairs'!AR8:AR507, '10 - Office Chairs'!AP8:AP507, _xlfn.LAMBDA(_xlpm.part, _xlpm.val, _xlpm.dep1, _xlpm.dep2, IF(_xlpm.part = "", "", _xlfn.LET(_xlpm.check1, IF(AND(_xlpm.val = "", AQ$3="Required"), IF(OR('10 - Office Chairs'!AQ$7 = "", '10 - Office Chairs'!AQ$7 = "N/A"), "3:Chemical - Value is required", ""), ""), IF(LEN(_xlpm.check1) &gt; 0, _xlpm.check1, _xlfn.LET(_xlpm.check2, IF(_xlpm.dep1 &lt;&gt; "", IF(_xlpm.val = "", IF(OR('10 - Office Chairs'!AQ$7 = "", '10 - Office Chairs'!AQ$7 = "N/A"), "3:Please provide a chemical", ""), ""), ""), IF(LEN(_xlpm.check2) &gt; 0, _xlpm.check2, IF(_xlpm.dep2 = "Yes", IF(_xlpm.val = "", IF(OR('10 - Office Chairs'!AQ$7 = "", '10 - Office Chairs'!AQ$7 = "N/A"), "3:If a warning is required, then a chemical must also be provided", ""), ""), ""))))))))</f>
        <v/>
      </c>
      <c r="AR8" s="22">
        <f t="array" ref="AR8">_xlfn.MAP('10 - Office Chairs'!B8:B507, '10 - Office Chairs'!AR8:AR507, '10 - Office Chairs'!AQ8:AQ507, '10 - Office Chairs'!AP8:AP507, _xlfn.LAMBDA(_xlpm.part, _xlpm.val, _xlpm.dep1, _xlpm.dep2,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AR$3="Required"), IF(OR('10 - Office Chairs'!AR$7 = "", '10 - Office Chairs'!AR$7 = "N/A"), "3:Toxicity - Value is required", ""), ""), IF(LEN(_xlpm.check2) &gt; 0, _xlpm.check2, _xlfn.LET(_xlpm.check3, IF(_xlpm.dep1 &lt;&gt; "", IF(_xlpm.val = "", IF(OR('10 - Office Chairs'!AR$7 = "", '10 - Office Chairs'!AR$7 = "N/A"), "3:Please select a toxicity from the provided dropdown", ""), ""), ""), IF(LEN(_xlpm.check3) &gt; 0, _xlpm.check3, IF(_xlpm.dep2 = "Yes", IF(_xlpm.val = "", IF(OR('10 - Office Chairs'!AR$7 = "", '10 - Office Chairs'!AR$7 = "N/A"), "3:If a warning is required, then a chemical must also be provided", ""), ""), ""))))))))))</f>
        <v/>
      </c>
      <c r="AS8" s="22">
        <f t="array" ref="AS8">_xlfn.MAP('10 - Office Chairs'!B8:B507, '10 - Office Chairs'!AS8:AS507, '10 - Office Chairs'!J8:J507, _xlfn.LAMBDA(_xlpm.part, _xlpm.val, _xlpm.dep1, IF(_xlpm.part = "", "", _xlfn.LET(_xlpm.check1, IF(AND(_xlpm.val = "", _xlpm.dep1 = "NON-PRIMARY VARIANT"), "2:Autofill", ""), IF(LEN(_xlpm.check1) &gt; 0, _xlpm.check1, IF(AND(_xlpm.val = "", AS$3="Required"), IF(OR('10 - Office Chairs'!AS$7 = "", '10 - Office Chairs'!AS$7 = "N/A"), "3:Country Of Manufacturer - Value is required", ""), ""))))))</f>
        <v/>
      </c>
      <c r="AT8" s="22">
        <f t="array" ref="AT8">_xlfn.MAP('10 - Office Chairs'!B8:B507, '10 - Office Chairs'!AT8:AT507, _xlfn.LAMBDA(_xlpm.part, _xlpm.val, IF(_xlpm.part = "", "", IF(AND(_xlpm.val = "", AT$3="Required"), IF(OR('10 - Office Chairs'!AT$7 = "", '10 - Office Chairs'!AT$7 = "N/A"), "3:Image File Name or URL - Value is required", ""), ""))))</f>
        <v/>
      </c>
      <c r="AU8" s="22">
        <f t="array" ref="AU8">_xlfn.MAP('10 - Office Chairs'!B8:B507, '10 - Office Chairs'!AU8:AU507, _xlfn.LAMBDA(_xlpm.part, _xlpm.val, IF(_xlpm.part = "", "", IF(AND(_xlpm.val = "", AU$3="Required"), IF(OR('10 - Office Chairs'!AU$7 = "", '10 - Office Chairs'!AU$7 = "N/A"), "3:Image File Name or URL - Value is required", ""), ""))))</f>
        <v/>
      </c>
      <c r="AV8" s="22">
        <f t="array" ref="AV8">_xlfn.MAP('10 - Office Chairs'!B8:B507, '10 - Office Chairs'!AV8:AV507, _xlfn.LAMBDA(_xlpm.part, _xlpm.val, IF(_xlpm.part = "", "", IF(AND(_xlpm.val = "", AV$3="Required"), IF(OR('10 - Office Chairs'!AV$7 = "", '10 - Office Chairs'!AV$7 = "N/A"), "3:Image File Name or URL - Value is required", ""), ""))))</f>
        <v/>
      </c>
      <c r="AW8" s="22">
        <f t="array" ref="AW8">_xlfn.MAP('10 - Office Chairs'!B8:B507, '10 - Office Chairs'!AW8:AW507, _xlfn.LAMBDA(_xlpm.part, _xlpm.val, IF(_xlpm.part = "", "", IF(AND(_xlpm.val = "", AW$3="Required"), IF(OR('10 - Office Chairs'!AW$7 = "", '10 - Office Chairs'!AW$7 = "N/A"), "3:Image File Name or URL - Value is required", ""), ""))))</f>
        <v/>
      </c>
      <c r="AX8" s="22">
        <f t="array" ref="AX8">_xlfn.MAP('10 - Office Chairs'!B8:B507, '10 - Office Chairs'!AX8:AX507, _xlfn.LAMBDA(_xlpm.part, _xlpm.val, IF(_xlpm.part = "", "", IF(AND(_xlpm.val = "", AX$3="Required"), IF(OR('10 - Office Chairs'!AX$7 = "", '10 - Office Chairs'!AX$7 = "N/A"), "3:Image File Name or URL - Value is required", ""), ""))))</f>
        <v/>
      </c>
      <c r="AY8" s="22">
        <f t="array" ref="AY8">_xlfn.MAP('10 - Office Chairs'!B8:B507, '10 - Office Chairs'!AY8:AY507, _xlfn.LAMBDA(_xlpm.part, _xlpm.val, IF(_xlpm.part = "", "", IF(AND(_xlpm.val = "", AY$3="Required"), IF(OR('10 - Office Chairs'!AY$7 = "", '10 - Office Chairs'!AY$7 = "N/A"), "3:Video File Name or URL - Value is required", ""), ""))))</f>
        <v/>
      </c>
      <c r="AZ8" s="22">
        <f t="array" ref="AZ8">_xlfn.MAP('10 - Office Chairs'!B8:B507, '10 - Office Chairs'!AZ8:AZ507, '10 - Office Chairs'!BA8:BA507, '10 - Office Chairs'!BB8:BB507, '10 - Office Chairs'!BC8:BC507, '10 - Office Chairs'!BD8:BD507, _xlfn.LAMBDA(_xlpm.part, _xlpm.val, _xlpm.dep1, _xlpm.dep2, _xlpm.dep3, _xlpm.dep4, IF(_xlpm.part = "", "", _xlfn.LET(_xlpm.check1, IF(AND(_xlpm.val = "", AZ$3="Required"), IF(OR('10 - Office Chairs'!AZ$7 = "", '10 - Office Chairs'!AZ$7 = "N/A"), "3:Document File Name or URL - Value is required", ""), ""), IF(LEN(_xlpm.check1) &gt; 0, _xlpm.check1, IF(OR(_xlpm.dep1 &lt;&gt; "", _xlpm.dep2 &lt;&gt; "", _xlpm.dep3 &lt;&gt; "", _xlpm.dep4 &lt;&gt; ""), IF(_xlpm.val = "", IF(OR('10 - Office Chairs'!AZ$7 = "", '10 - Office Chairs'!AZ$7 = "N/A"), "3:Document value is required", ""), ""), ""))))))</f>
        <v/>
      </c>
      <c r="BA8" s="22">
        <f t="array" ref="BA8">_xlfn.MAP('10 - Office Chairs'!B8:B507, '10 - Office Chairs'!BA8:BA507,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BA$3="Required"), IF(OR('10 - Office Chairs'!BA$7 = "", '10 - Office Chairs'!BA$7 = "N/A"), "3:Document Type - Value is required", ""), ""))))))</f>
        <v/>
      </c>
      <c r="BB8" s="22">
        <f t="array" ref="BB8">_xlfn.MAP('10 - Office Chairs'!B8:B507, '10 - Office Chairs'!BB8:BB507,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BB$3="Required"), IF(OR('10 - Office Chairs'!BB$7 = "", '10 - Office Chairs'!BB$7 = "N/A"), "3:Legal Document Type - Value is required", ""), ""))))))</f>
        <v/>
      </c>
      <c r="BC8" s="22">
        <f t="array" ref="BC8">_xlfn.MAP('10 - Office Chairs'!B8:B507, '10 - Office Chairs'!BC8:BC507, _xlfn.LAMBDA(_xlpm.part, _xlpm.val, IF(_xlpm.part = "", "", IF(AND(_xlpm.val = "", BC$3="Required"), IF(OR('10 - Office Chairs'!BC$7 = "", '10 - Office Chairs'!BC$7 = "N/A"), "3:Document Region - Value is required", ""), ""))))</f>
        <v/>
      </c>
      <c r="BD8" s="22">
        <f t="array" ref="BD8">_xlfn.MAP('10 - Office Chairs'!B8:B507, '10 - Office Chairs'!BD8:BD507, _xlfn.LAMBDA(_xlpm.part, _xlpm.val, IF(_xlpm.part = "", "", IF(AND(_xlpm.val = "", BD$3="Required"), IF(OR('10 - Office Chairs'!BD$7 = "", '10 - Office Chairs'!BD$7 = "N/A"), "3:Document Language - Value is required", ""), ""))))</f>
        <v/>
      </c>
      <c r="BE8" s="22">
        <f t="array" ref="BE8">_xlfn.MAP('10 - Office Chairs'!B8:B507, '10 - Office Chairs'!BE8:BE507, '10 - Office Chairs'!BF8:BF507, '10 - Office Chairs'!BG8:BG507, '10 - Office Chairs'!BH8:BH507, '10 - Office Chairs'!BI8:BI507, _xlfn.LAMBDA(_xlpm.part, _xlpm.val, _xlpm.dep1, _xlpm.dep2, _xlpm.dep3, _xlpm.dep4, IF(_xlpm.part = "", "", _xlfn.LET(_xlpm.check1, IF(AND(_xlpm.val = "", BE$3="Required"), IF(OR('10 - Office Chairs'!BE$7 = "", '10 - Office Chairs'!BE$7 = "N/A"), "3:Document File Name or URL - Value is required", ""), ""), IF(LEN(_xlpm.check1) &gt; 0, _xlpm.check1, IF(OR(_xlpm.dep1 &lt;&gt; "", _xlpm.dep2 &lt;&gt; "", _xlpm.dep3 &lt;&gt; "", _xlpm.dep4 &lt;&gt; ""), IF(_xlpm.val = "", IF(OR('10 - Office Chairs'!BE$7 = "", '10 - Office Chairs'!BE$7 = "N/A"), "3:Document value is required", ""), ""), ""))))))</f>
        <v/>
      </c>
      <c r="BF8" s="22">
        <f t="array" ref="BF8">_xlfn.MAP('10 - Office Chairs'!B8:B507, '10 - Office Chairs'!BF8:BF507,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BF$3="Required"), IF(OR('10 - Office Chairs'!BF$7 = "", '10 - Office Chairs'!BF$7 = "N/A"), "3:Document Type - Value is required", ""), ""))))))</f>
        <v/>
      </c>
      <c r="BG8" s="22">
        <f t="array" ref="BG8">_xlfn.MAP('10 - Office Chairs'!B8:B507, '10 - Office Chairs'!BG8:BG507,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BG$3="Required"), IF(OR('10 - Office Chairs'!BG$7 = "", '10 - Office Chairs'!BG$7 = "N/A"), "3:Legal Document Type - Value is required", ""), ""))))))</f>
        <v/>
      </c>
      <c r="BH8" s="22">
        <f t="array" ref="BH8">_xlfn.MAP('10 - Office Chairs'!B8:B507, '10 - Office Chairs'!BH8:BH507, _xlfn.LAMBDA(_xlpm.part, _xlpm.val, IF(_xlpm.part = "", "", IF(AND(_xlpm.val = "", BH$3="Required"), IF(OR('10 - Office Chairs'!BH$7 = "", '10 - Office Chairs'!BH$7 = "N/A"), "3:Document Region - Value is required", ""), ""))))</f>
        <v/>
      </c>
      <c r="BI8" s="22">
        <f t="array" ref="BI8">_xlfn.MAP('10 - Office Chairs'!B8:B507, '10 - Office Chairs'!BI8:BI507, _xlfn.LAMBDA(_xlpm.part, _xlpm.val, IF(_xlpm.part = "", "", IF(AND(_xlpm.val = "", BI$3="Required"), IF(OR('10 - Office Chairs'!BI$7 = "", '10 - Office Chairs'!BI$7 = "N/A"), "3:Document Language - Value is required", ""), ""))))</f>
        <v/>
      </c>
      <c r="BJ8" s="22">
        <f t="array" ref="BJ8">_xlfn.MAP('10 - Office Chairs'!B8:B507, '10 - Office Chairs'!BJ8:BJ507, '10 - Office Chairs'!BK8:BK507, '10 - Office Chairs'!BL8:BL507, '10 - Office Chairs'!BM8:BM507, '10 - Office Chairs'!BN8:BN507, _xlfn.LAMBDA(_xlpm.part, _xlpm.val, _xlpm.dep1, _xlpm.dep2, _xlpm.dep3, _xlpm.dep4, IF(_xlpm.part = "", "", _xlfn.LET(_xlpm.check1, IF(AND(_xlpm.val = "", BJ$3="Required"), IF(OR('10 - Office Chairs'!BJ$7 = "", '10 - Office Chairs'!BJ$7 = "N/A"), "3:Document File Name or URL - Value is required", ""), ""), IF(LEN(_xlpm.check1) &gt; 0, _xlpm.check1, IF(OR(_xlpm.dep1 &lt;&gt; "", _xlpm.dep2 &lt;&gt; "", _xlpm.dep3 &lt;&gt; "", _xlpm.dep4 &lt;&gt; ""), IF(_xlpm.val = "", IF(OR('10 - Office Chairs'!BJ$7 = "", '10 - Office Chairs'!BJ$7 = "N/A"), "3:Document value is required", ""), ""), ""))))))</f>
        <v/>
      </c>
      <c r="BK8" s="22">
        <f t="array" ref="BK8">_xlfn.MAP('10 - Office Chairs'!B8:B507, '10 - Office Chairs'!BK8:BK507,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BK$3="Required"), IF(OR('10 - Office Chairs'!BK$7 = "", '10 - Office Chairs'!BK$7 = "N/A"), "3:Document Type - Value is required", ""), ""))))))</f>
        <v/>
      </c>
      <c r="BL8" s="22">
        <f t="array" ref="BL8">_xlfn.MAP('10 - Office Chairs'!B8:B507, '10 - Office Chairs'!BL8:BL507,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BL$3="Required"), IF(OR('10 - Office Chairs'!BL$7 = "", '10 - Office Chairs'!BL$7 = "N/A"), "3:Legal Document Type - Value is required", ""), ""))))))</f>
        <v/>
      </c>
      <c r="BM8" s="22">
        <f t="array" ref="BM8">_xlfn.MAP('10 - Office Chairs'!B8:B507, '10 - Office Chairs'!BM8:BM507, _xlfn.LAMBDA(_xlpm.part, _xlpm.val, IF(_xlpm.part = "", "", IF(AND(_xlpm.val = "", BM$3="Required"), IF(OR('10 - Office Chairs'!BM$7 = "", '10 - Office Chairs'!BM$7 = "N/A"), "3:Document Region - Value is required", ""), ""))))</f>
        <v/>
      </c>
      <c r="BN8" s="22">
        <f t="array" ref="BN8">_xlfn.MAP('10 - Office Chairs'!B8:B507, '10 - Office Chairs'!BN8:BN507, _xlfn.LAMBDA(_xlpm.part, _xlpm.val, IF(_xlpm.part = "", "", IF(AND(_xlpm.val = "", BN$3="Required"), IF(OR('10 - Office Chairs'!BN$7 = "", '10 - Office Chairs'!BN$7 = "N/A"), "3:Document Language - Value is required", ""), ""))))</f>
        <v/>
      </c>
      <c r="BO8" s="22">
        <f t="array" ref="BO8">_xlfn.MAP('10 - Office Chairs'!B8:B507, '10 - Office Chairs'!BO8:BO507, _xlfn.LAMBDA(_xlpm.part, _xlpm.val, IF(_xlpm.part = "", "", IF(AND(_xlpm.val = "", BO$3="Required"), IF(OR('10 - Office Chairs'!BO$7 = "", '10 - Office Chairs'!BO$7 = "N/A"), "3:Product Type - Value is required", ""), ""))))</f>
        <v/>
      </c>
      <c r="BP8" s="22">
        <f t="array" ref="BP8">_xlfn.MAP('10 - Office Chairs'!B8:B507, '10 - Office Chairs'!BP8:BP507, _xlfn.LAMBDA(_xlpm.part, _xlpm.val, IF(_xlpm.part = "", "", IF(AND(_xlpm.val = "", BP$3="Required"), IF(OR('10 - Office Chairs'!BP$7 = "", '10 - Office Chairs'!BP$7 = "N/A"), "3:Frame Material - Value is required", ""), ""))))</f>
        <v/>
      </c>
      <c r="BQ8" s="22">
        <f t="array" ref="BQ8">_xlfn.MAP('10 - Office Chairs'!B8:B507, '10 - Office Chairs'!BQ8:BQ507, _xlfn.LAMBDA(_xlpm.part, _xlpm.val, IF(_xlpm.part = "", "", IF(AND(_xlpm.val = "", BQ$3="Required"), IF(OR('10 - Office Chairs'!BQ$7 = "", '10 - Office Chairs'!BQ$7 = "N/A"), "3:Back Construction - Value is required", ""), ""))))</f>
        <v/>
      </c>
      <c r="BR8" s="22">
        <f t="array" ref="BR8">_xlfn.MAP('10 - Office Chairs'!B8:B507, '10 - Office Chairs'!BR8:BR507, _xlfn.LAMBDA(_xlpm.part, _xlpm.val, IF(_xlpm.part = "", "", IF(AND(_xlpm.val = "", BR$3="Required"), IF(OR('10 - Office Chairs'!BR$7 = "", '10 - Office Chairs'!BR$7 = "N/A"), "3:Seat Material - Value is required", ""), ""))))</f>
        <v/>
      </c>
      <c r="BS8" s="22">
        <f t="array" ref="BS8">_xlfn.MAP('10 - Office Chairs'!B8:B507, '10 - Office Chairs'!BS8:BS507, '10 - Office Chairs'!BR8:BR507, _xlfn.LAMBDA(_xlpm.part, _xlpm.val, _xlpm.dep1, IF(_xlpm.part = "", "", _xlfn.LET(_xlpm.check1, IF(AND(_xlpm.val = "", AND(NOT(OR(ISNUMBER(SEARCH("Chenille", _xlpm.dep1)), ISNUMBER(SEARCH("Fabric", _xlpm.dep1)), ISNUMBER(SEARCH("Upholstered", _xlpm.dep1)))), _xlpm.dep1 &lt;&gt; "")), "2:Autofill", ""), IF(LEN(_xlpm.check1) &gt; 0, _xlpm.check1, IF(AND(_xlpm.val = "", BS$3="Required"), IF(OR('10 - Office Chairs'!BS$7 = "", '10 - Office Chairs'!BS$7 = "N/A"), "3:Upholstered - Value is required", ""), ""))))))</f>
        <v/>
      </c>
      <c r="BT8" s="22">
        <f t="array" ref="BT8">_xlfn.MAP('10 - Office Chairs'!B8:B507, '10 - Office Chairs'!BT8:BT507, '10 - Office Chairs'!BS8:BS507, _xlfn.LAMBDA(_xlpm.part, _xlpm.val, _xlpm.dep1, IF(_xlpm.part = "", "", _xlfn.LET(_xlpm.check1, IF(AND(_xlpm.val = "", ISNUMBER(SEARCH("No", _xlpm.dep1))), "2:Autofill", ""), IF(LEN(_xlpm.check1) &gt; 0, _xlpm.check1, _xlfn.LET(_xlpm.check2, IF(ISNUMBER(SEARCH("No", _xlpm.dep1)), IF(_xlpm.val &lt;&gt; "Does Not Apply", "1:Based on Upholstered, value should be Does Not Apply", ""), ""), IF(LEN(_xlpm.check2) &gt; 0, _xlpm.check2, IF(AND(_xlpm.val = "", BT$3="Required"), IF(OR('10 - Office Chairs'!BT$7 = "", '10 - Office Chairs'!BT$7 = "N/A"), "3:Upholstery Material - Value is required", ""), ""))))))))</f>
        <v/>
      </c>
      <c r="BU8" s="22">
        <f t="array" ref="BU8">_xlfn.MAP('10 - Office Chairs'!B8:B507, '10 - Office Chairs'!BU8:BU507, '10 - Office Chairs'!BS8:BS507, _xlfn.LAMBDA(_xlpm.part, _xlpm.val, _xlpm.dep1, IF(_xlpm.part = "", "", _xlfn.LET(_xlpm.check1, IF(AND(_xlpm.val = "", ISNUMBER(SEARCH("No", _xlpm.dep1))), "2:Autofill", ""), IF(LEN(_xlpm.check1) &gt; 0, _xlpm.check1, _xlfn.LET(_xlpm.check2, IF(ISNUMBER(SEARCH("No", _xlpm.dep1)), IF(_xlpm.val &lt;&gt; "No", "1:Based on Upholstered, value should be No", ""), ""), IF(LEN(_xlpm.check2) &gt; 0, _xlpm.check2, IF(AND(_xlpm.val = "", BU$3="Required"), IF(OR('10 - Office Chairs'!BU$7 = "", '10 - Office Chairs'!BU$7 = "N/A"), "3:Tufted - Value is required", ""), ""))))))))</f>
        <v/>
      </c>
      <c r="BV8" s="22">
        <f t="array" ref="BV8">_xlfn.MAP('10 - Office Chairs'!B8:B507, '10 - Office Chairs'!BV8:BV507, _xlfn.LAMBDA(_xlpm.part, _xlpm.val, IF(_xlpm.part = "", "", IF(AND(_xlpm.val = "", BV$3="Required"), IF(OR('10 - Office Chairs'!BV$7 = "", '10 - Office Chairs'!BV$7 = "N/A"), "3:Adjustable Backrest-Height - Value is required", ""), ""))))</f>
        <v/>
      </c>
      <c r="BW8" s="22">
        <f t="array" ref="BW8">_xlfn.MAP('10 - Office Chairs'!B8:B507, '10 - Office Chairs'!BW8:BW507, _xlfn.LAMBDA(_xlpm.part, _xlpm.val, IF(_xlpm.part = "", "", IF(AND(_xlpm.val = "", BW$3="Required"), IF(OR('10 - Office Chairs'!BW$7 = "", '10 - Office Chairs'!BW$7 = "N/A"), "3:Back Material - Value is required", ""), ""))))</f>
        <v/>
      </c>
      <c r="BX8" s="22">
        <f t="array" ref="BX8">_xlfn.MAP('10 - Office Chairs'!B8:B507, '10 - Office Chairs'!BX8:BX507, '10 - Office Chairs'!BW8:BW507, _xlfn.LAMBDA(_xlpm.part, _xlpm.val, _xlpm.dep1, IF(_xlpm.part = "", "", _xlfn.LET(_xlpm.check1, IF(AND(_xlpm.val = "", AND(NOT(ISNUMBER(SEARCH("Upholstered", _xlpm.dep1))), _xlpm.dep1 &lt;&gt; "")), "2:Autofill", ""), IF(LEN(_xlpm.check1) &gt; 0, _xlpm.check1, IF(AND(_xlpm.val = "", BX$3="Required"), IF(OR('10 - Office Chairs'!BX$7 = "", '10 - Office Chairs'!BX$7 = "N/A"), "3:Back Upholstery Material - Value is required", ""), ""))))))</f>
        <v/>
      </c>
      <c r="BY8" s="22">
        <f t="array" ref="BY8">_xlfn.MAP('10 - Office Chairs'!B8:B507, '10 - Office Chairs'!BY8:BY507, '10 - Office Chairs'!BW8:BW507, _xlfn.LAMBDA(_xlpm.part, _xlpm.val, _xlpm.dep1, IF(_xlpm.part = "", "", _xlfn.LET(_xlpm.check1, IF(AND(_xlpm.val = "", AND(NOT(ISNUMBER(SEARCH("Upholstered", _xlpm.dep1))), _xlpm.dep1 &lt;&gt; "")), "2:Autofill", ""), IF(LEN(_xlpm.check1) &gt; 0, _xlpm.check1, _xlfn.LET(_xlpm.check2, IF(AND(NOT(ISNUMBER(SEARCH("Upholstered", _xlpm.dep1))), _xlpm.dep1 &lt;&gt; ""), IF(_xlpm.val &lt;&gt; "Does Not Apply", "1:Based on Back Material, value should be Does Not Apply", ""), ""), IF(LEN(_xlpm.check2) &gt; 0, _xlpm.check2, IF(AND(_xlpm.val = "", BY$3="Required"), IF(OR('10 - Office Chairs'!BY$7 = "", '10 - Office Chairs'!BY$7 = "N/A"), "3:Back Fill Material - Value is required", ""), ""))))))))</f>
        <v/>
      </c>
      <c r="BZ8" s="22">
        <f t="array" ref="BZ8">_xlfn.MAP('10 - Office Chairs'!B8:B507, '10 - Office Chairs'!BZ8:BZ507, '10 - Office Chairs'!BT8:BT507, _xlfn.LAMBDA(_xlpm.part, _xlpm.val, _xlpm.dep1, IF(_xlpm.part = "", "", _xlfn.LET(_xlpm.check1, IF(OR(ISNUMBER(SEARCH("Faux Leather", _xlpm.dep1)), ISNUMBER(SEARCH("Genuine Leather", _xlpm.dep1))), IF(_xlpm.val = "Worn/Fade", "1:Based on Upholstery Material, value should not be Worn/Fade", ""), ""), IF(LEN(_xlpm.check1) &gt; 0, _xlpm.check1, _xlfn.LET(_xlpm.check2, IF(AND(NOT(OR(ISNUMBER(SEARCH("Faux Leather", _xlpm.dep1)), ISNUMBER(SEARCH("Genuine Leather", _xlpm.dep1)))), _xlpm.dep1 &lt;&gt; ""), IF(_xlpm.val = "Distressed Leather", "1:Based on Upholstery Material, value should not be Distressed Leather", ""), ""), IF(LEN(_xlpm.check2) &gt; 0, _xlpm.check2, IF(AND(_xlpm.val = "", BZ$3="Required"), IF(OR('10 - Office Chairs'!BZ$7 = "", '10 - Office Chairs'!BZ$7 = "N/A"), "3:Purposeful Distressing Type - Value is required", ""), ""))))))))</f>
        <v/>
      </c>
      <c r="CA8" s="22">
        <f t="array" ref="CA8">_xlfn.MAP('10 - Office Chairs'!B8:B507, '10 - Office Chairs'!CA8:CA507, '10 - Office Chairs'!BP8:BP507, _xlfn.LAMBDA(_xlpm.part, _xlpm.val, _xlpm.dep1, IF(_xlpm.part = "", "", _xlfn.LET(_xlpm.check1, IF(AND(_xlpm.val = "", OR(AND(NOT(OR(ISNUMBER(SEARCH("Metal", _xlpm.dep1)), ISNUMBER(SEARCH("Steel", _xlpm.dep1)))), _xlpm.dep1 &lt;&gt; ""), AND(NOT(ISNUMBER(SEARCH("Solid + Manufactured Wood", _xlpm.dep1))), _xlpm.dep1 &lt;&gt; ""))), "2:Autofill", ""), IF(LEN(_xlpm.check1) &gt; 0, _xlpm.check1, IF(AND(_xlpm.val = "", CA$3="Required"), IF(OR('10 - Office Chairs'!CA$7 = "", '10 - Office Chairs'!CA$7 = "N/A"), "3:Natural Variation Type - Value is required", ""), ""))))))</f>
        <v/>
      </c>
      <c r="CB8" s="22">
        <f t="array" ref="CB8">_xlfn.MAP('10 - Office Chairs'!B8:B507, '10 - Office Chairs'!CB8:CB507, _xlfn.LAMBDA(_xlpm.part, _xlpm.val, IF(_xlpm.part = "", "", IF(AND(_xlpm.val = "", CB$3="Required"), IF(OR('10 - Office Chairs'!CB$7 = "", '10 - Office Chairs'!CB$7 = "N/A"), "3:Arms Included - Value is required", ""), ""))))</f>
        <v/>
      </c>
      <c r="CC8" s="22">
        <f t="array" ref="CC8">_xlfn.MAP('10 - Office Chairs'!B8:B507, '10 - Office Chairs'!CC8:CC507, '10 - Office Chairs'!CB8:CB507, _xlfn.LAMBDA(_xlpm.part, _xlpm.val, _xlpm.dep1, IF(_xlpm.part = "", "", _xlfn.LET(_xlpm.check1, IF(AND(_xlpm.val = "", OR(ISNUMBER(SEARCH("No", _xlpm.dep1)), _xlpm.dep1 = "No")), "2:Autofill", ""), IF(LEN(_xlpm.check1) &gt; 0, _xlpm.check1, _xlfn.LET(_xlpm.check2, IF(_xlpm.dep1 = "No", IF(_xlpm.val &lt;&gt; "Does Not Apply", "1:Based on Arms Included, value should be Does Not Apply", ""), ""), IF(LEN(_xlpm.check2) &gt; 0, _xlpm.check2, IF(AND(_xlpm.val = "", CC$3="Required"), IF(OR('10 - Office Chairs'!CC$7 = "", '10 - Office Chairs'!CC$7 = "N/A"), "3:Adjustable Armrest Type - Value is required", ""), ""))))))))</f>
        <v/>
      </c>
      <c r="CD8" s="22">
        <f t="array" ref="CD8">_xlfn.MAP('10 - Office Chairs'!B8:B507, '10 - Office Chairs'!CD8:CD507, _xlfn.LAMBDA(_xlpm.part, _xlpm.val, IF(_xlpm.part = "", "", IF(AND(_xlpm.val = "", CD$3="Required"), IF(OR('10 - Office Chairs'!CD$7 = "", '10 - Office Chairs'!CD$7 = "N/A"), "3:Swivel - Value is required", ""), ""))))</f>
        <v/>
      </c>
      <c r="CE8" s="22">
        <f t="array" ref="CE8">_xlfn.MAP('10 - Office Chairs'!B8:B507, '10 - Office Chairs'!CE8:CE507, _xlfn.LAMBDA(_xlpm.part, _xlpm.val, IF(_xlpm.part = "", "", IF(AND(_xlpm.val = "", CE$3="Required"), IF(OR('10 - Office Chairs'!CE$7 = "", '10 - Office Chairs'!CE$7 = "N/A"), "3:Lumbar Support - Value is required", ""), ""))))</f>
        <v/>
      </c>
      <c r="CF8" s="22">
        <f t="array" ref="CF8">_xlfn.MAP('10 - Office Chairs'!B8:B507, '10 - Office Chairs'!CF8:CF507, _xlfn.LAMBDA(_xlpm.part, _xlpm.val, IF(_xlpm.part = "", "", IF(AND(_xlpm.val = "", CF$3="Required"), IF(OR('10 - Office Chairs'!CF$7 = "", '10 - Office Chairs'!CF$7 = "N/A"), "3:Massage Setting - Value is required", ""), ""))))</f>
        <v/>
      </c>
      <c r="CG8" s="22">
        <f t="array" ref="CG8">_xlfn.MAP('10 - Office Chairs'!B8:B507, '10 - Office Chairs'!CG8:CG507, _xlfn.LAMBDA(_xlpm.part, _xlpm.val, IF(_xlpm.part = "", "", IF(AND(_xlpm.val = "", CG$3="Required"), IF(OR('10 - Office Chairs'!CG$7 = "", '10 - Office Chairs'!CG$7 = "N/A"), "3:Tilting - Value is required", ""), ""))))</f>
        <v/>
      </c>
      <c r="CH8" s="22">
        <f t="array" ref="CH8">_xlfn.MAP('10 - Office Chairs'!B8:B507, '10 - Office Chairs'!CH8:CH507, _xlfn.LAMBDA(_xlpm.part, _xlpm.val, IF(_xlpm.part = "", "", IF(AND(_xlpm.val = "", CH$3="Required"), IF(OR('10 - Office Chairs'!CH$7 = "", '10 - Office Chairs'!CH$7 = "N/A"), "3:Tilt Lock - Value is required", ""), ""))))</f>
        <v/>
      </c>
      <c r="CI8" s="22">
        <f t="array" ref="CI8">_xlfn.MAP('10 - Office Chairs'!B8:B507, '10 - Office Chairs'!CI8:CI507, _xlfn.LAMBDA(_xlpm.part, _xlpm.val, IF(_xlpm.part = "", "", IF(AND(_xlpm.val = "", CI$3="Required"), IF(OR('10 - Office Chairs'!CI$7 = "", '10 - Office Chairs'!CI$7 = "N/A"), "3:Adjustable Tilt Tension - Value is required", ""), ""))))</f>
        <v/>
      </c>
      <c r="CJ8" s="22">
        <f t="array" ref="CJ8">_xlfn.MAP('10 - Office Chairs'!B8:B507, '10 - Office Chairs'!CJ8:CJ507, '10 - Office Chairs'!BO8:BO507, _xlfn.LAMBDA(_xlpm.part, _xlpm.val, _xlpm.dep1, IF(_xlpm.part = "", "", _xlfn.LET(_xlpm.check1, IF(AND(_xlpm.val = "", ISNUMBER(SEARCH("Drafting Chair", _xlpm.dep1))), "2:Autofill", ""), IF(LEN(_xlpm.check1) &gt; 0, _xlpm.check1, IF(AND(_xlpm.val = "", CJ$3="Required"), IF(OR('10 - Office Chairs'!CJ$7 = "", '10 - Office Chairs'!CJ$7 = "N/A"), "3:Adjustable Height - Value is required", ""), ""))))))</f>
        <v/>
      </c>
      <c r="CK8" s="22">
        <f t="array" ref="CK8">_xlfn.MAP('10 - Office Chairs'!B8:B507, '10 - Office Chairs'!CK8:CK507, _xlfn.LAMBDA(_xlpm.part, _xlpm.val, IF(_xlpm.part = "", "", IF(AND(_xlpm.val = "", CK$3="Required"), IF(OR('10 - Office Chairs'!CK$7 = "", '10 - Office Chairs'!CK$7 = "N/A"), "3:Seat Depth Adjustment - Value is required", ""), ""))))</f>
        <v/>
      </c>
      <c r="CL8" s="22">
        <f t="array" ref="CL8">_xlfn.MAP('10 - Office Chairs'!B8:B507, '10 - Office Chairs'!CL8:CL507, _xlfn.LAMBDA(_xlpm.part, _xlpm.val, IF(_xlpm.part = "", "", IF(AND(_xlpm.val = "", CL$3="Required"), IF(OR('10 - Office Chairs'!CL$7 = "", '10 - Office Chairs'!CL$7 = "N/A"), "3:Seat Angle Adjustment - Value is required", ""), ""))))</f>
        <v/>
      </c>
      <c r="CM8" s="22">
        <f t="array" ref="CM8">_xlfn.MAP('10 - Office Chairs'!B8:B507, '10 - Office Chairs'!CM8:CM507, _xlfn.LAMBDA(_xlpm.part, _xlpm.val, IF(_xlpm.part = "", "", IF(AND(_xlpm.val = "", CM$3="Required"), IF(OR('10 - Office Chairs'!CM$7 = "", '10 - Office Chairs'!CM$7 = "N/A"), "3:Waterfall Seat Included - Value is required", ""), ""))))</f>
        <v/>
      </c>
      <c r="CN8" s="22">
        <f t="array" ref="CN8">_xlfn.MAP('10 - Office Chairs'!B8:B507, '10 - Office Chairs'!CN8:CN507, _xlfn.LAMBDA(_xlpm.part, _xlpm.val, IF(_xlpm.part = "", "", IF(AND(_xlpm.val = "", CN$3="Required"), IF(OR('10 - Office Chairs'!CN$7 = "", '10 - Office Chairs'!CN$7 = "N/A"), "3:Seat Glide Mechanism - Value is required", ""), ""))))</f>
        <v/>
      </c>
      <c r="CO8" s="22">
        <f t="array" ref="CO8">_xlfn.MAP('10 - Office Chairs'!B8:B507, '10 - Office Chairs'!CO8:CO507, _xlfn.LAMBDA(_xlpm.part, _xlpm.val, IF(_xlpm.part = "", "", IF(AND(_xlpm.val = "", CO$3="Required"), IF(OR('10 - Office Chairs'!CO$7 = "", '10 - Office Chairs'!CO$7 = "N/A"), "3:Headrest Included - Value is required", ""), ""))))</f>
        <v/>
      </c>
      <c r="CP8" s="22">
        <f t="array" ref="CP8">_xlfn.MAP('10 - Office Chairs'!B8:B507, '10 - Office Chairs'!CP8:CP507, _xlfn.LAMBDA(_xlpm.part, _xlpm.val, IF(_xlpm.part = "", "", IF(AND(_xlpm.val = "", CP$3="Required"), IF(OR('10 - Office Chairs'!CP$7 = "", '10 - Office Chairs'!CP$7 = "N/A"), "3:Footrest Included - Value is required", ""), ""))))</f>
        <v/>
      </c>
      <c r="CQ8" s="22">
        <f t="array" ref="CQ8">_xlfn.MAP('10 - Office Chairs'!B8:B507, '10 - Office Chairs'!CQ8:CQ507, _xlfn.LAMBDA(_xlpm.part, _xlpm.val, IF(_xlpm.part = "", "", IF(AND(_xlpm.val = "", CQ$3="Required"), IF(OR('10 - Office Chairs'!CQ$7 = "", '10 - Office Chairs'!CQ$7 = "N/A"), "3:Casters / Wheels - Value is required", ""), ""))))</f>
        <v/>
      </c>
      <c r="CR8" s="22">
        <f t="array" ref="CR8">_xlfn.MAP('10 - Office Chairs'!B8:B507, '10 - Office Chairs'!CR8:CR507, _xlfn.LAMBDA(_xlpm.part, _xlpm.val, IF(_xlpm.part = "", "", IF(AND(_xlpm.val = "", CR$3="Required"), IF(OR('10 - Office Chairs'!CR$7 = "", '10 - Office Chairs'!CR$7 = "N/A"), "3:Compatible Floor Type - Value is required", ""), ""))))</f>
        <v/>
      </c>
      <c r="CS8" s="22">
        <f t="array" ref="CS8">_xlfn.MAP('10 - Office Chairs'!B8:B507, '10 - Office Chairs'!CS8:CS507, _xlfn.LAMBDA(_xlpm.part, _xlpm.val, IF(_xlpm.part = "", "", IF(AND(_xlpm.val = "", CS$3="Required"), IF(OR('10 - Office Chairs'!CS$7 = "", '10 - Office Chairs'!CS$7 = "N/A"), "3:Stackable - Value is required", ""), ""))))</f>
        <v/>
      </c>
      <c r="CT8" s="22">
        <f t="array" ref="CT8">_xlfn.MAP('10 - Office Chairs'!B8:B507, '10 - Office Chairs'!CT8:CT507, _xlfn.LAMBDA(_xlpm.part, _xlpm.val, IF(_xlpm.part = "", "", _xlfn.LET(_xlpm.check1, IF(NOT(ISBLANK(_xlpm.val)),_xlfn.LET(_xlpm.items, _xlfn.TEXTSPLIT(_xlpm.val, ";"),_xlpm.trimmed, _xlfn.MAP(_xlpm.items, _xlfn.LAMBDA(_xlpm.x, TRIM(_xlpm.x))),_xlpm.invalid, _xlfn._xlws.FILTER(_xlpm.trimmed, ISNA(MATCH(_xlpm.trimmed, allowed222414, 0)), ""),IF(AND(_xlpm.invalid&lt;&gt;"", COUNTA(_xlpm.invalid)&gt;0),"1:Please select valid values from the provided list. Answers are case-sensitive and must be separated by a semicolon.","")), ""), IF(LEN(_xlpm.check1) &gt; 0, _xlpm.check1, IF(AND(_xlpm.val = "", CT$3="Required"), IF(OR('10 - Office Chairs'!CT$7 = "", '10 - Office Chairs'!CT$7 = "N/A"), "3:Supplier Intended and Approved Use - Value is required", ""), ""))))))</f>
        <v/>
      </c>
      <c r="CU8" s="22">
        <f t="array" ref="CU8">_xlfn.MAP('10 - Office Chairs'!B8:B507, '10 - Office Chairs'!CU8:CU507, _xlfn.LAMBDA(_xlpm.part, _xlpm.val, IF(_xlpm.part = "", "", IF(AND(_xlpm.val = "", CU$3="Required"), IF(OR('10 - Office Chairs'!CU$7 = "", '10 - Office Chairs'!CU$7 = "N/A"), "3:Country of Origin - Additional Details - Value is required", ""), ""))))</f>
        <v/>
      </c>
      <c r="CV8" s="22">
        <f t="array" ref="CV8">_xlfn.MAP('10 - Office Chairs'!B8:B507, '10 - Office Chairs'!CV8:CV507, '10 - Office Chairs'!BP8:BP507, _xlfn.LAMBDA(_xlpm.part, _xlpm.val, _xlpm.dep1, IF(_xlpm.part = "", "", _xlfn.LET(_xlpm.check1, IF(AND(_xlpm.val = "", AND(NOT(ISNUMBER(SEARCH("Solid + Manufactured Wood", _xlpm.dep1))), _xlpm.dep1 &lt;&gt; "")), "2:Autofill", ""), IF(LEN(_xlpm.check1) &gt; 0, _xlpm.check1, IF(AND(_xlpm.val = "", CV$3="Required"), IF(OR('10 - Office Chairs'!CV$7 = "", '10 - Office Chairs'!CV$7 = "N/A"), "3:Main Wood Joinery Method - Value is required", ""), ""))))))</f>
        <v/>
      </c>
      <c r="CW8" s="22">
        <f t="array" ref="CW8">_xlfn.MAP('10 - Office Chairs'!B8:B507, '10 - Office Chairs'!CW8:CW507, _xlfn.LAMBDA(_xlpm.part, _xlpm.val, IF(_xlpm.part = "", "", IF(AND(_xlpm.val = "", CW$3="Required"), IF(OR('10 - Office Chairs'!CW$7 = "", '10 - Office Chairs'!CW$7 = "N/A"), "3:Kiln-Dried Wood - Value is required", ""), ""))))</f>
        <v/>
      </c>
      <c r="CX8" s="22">
        <f t="array" ref="CX8">_xlfn.MAP('10 - Office Chairs'!B8:B507, '10 - Office Chairs'!CX8:CX507, _xlfn.LAMBDA(_xlpm.part, _xlpm.val, IF(_xlpm.part = "", "", IF(AND(_xlpm.val = "", CX$3="Required"), IF(OR('10 - Office Chairs'!CX$7 = "", '10 - Office Chairs'!CX$7 = "N/A"), "3:Vibration - Value is required", ""), ""))))</f>
        <v/>
      </c>
      <c r="CY8" s="22">
        <f t="array" ref="CY8">_xlfn.MAP('10 - Office Chairs'!B8:B507, '10 - Office Chairs'!CY8:CY507, _xlfn.LAMBDA(_xlpm.part, _xlpm.val, IF(_xlpm.part = "", "", IF(AND(_xlpm.val = "", CY$3="Required"), IF(OR('10 - Office Chairs'!CY$7 = "", '10 - Office Chairs'!CY$7 = "N/A"), "3:Battery or Batteries Included - Value is required", ""), ""))))</f>
        <v/>
      </c>
      <c r="CZ8" s="22">
        <f t="array" ref="CZ8">_xlfn.MAP('10 - Office Chairs'!B8:B507, '10 - Office Chairs'!CZ8:CZ507, '10 - Office Chairs'!CY8:CY507,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IF(OR('10 - Office Chairs'!CZ$7 = "", '10 - Office Chairs'!CZ$7 = "N/A"), "3:Since Battery or Batteries Included equals 'Yes', this field is required", ""), ""), ""), IF(LEN(_xlpm.check3) &gt; 0, _xlpm.check3, IF(AND(_xlpm.val = "", CZ$3="Required"), IF(OR('10 - Office Chairs'!CZ$7 = "", '10 - Office Chairs'!CZ$7 = "N/A"), "3:Battery Composition - Value is required", ""), ""))))))))))</f>
        <v/>
      </c>
      <c r="DA8" s="22">
        <f t="array" ref="DA8">_xlfn.MAP('10 - Office Chairs'!B8:B507, '10 - Office Chairs'!DA8:DA507, '10 - Office Chairs'!CY8:CY507,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IF(OR('10 - Office Chairs'!DA$7 = "", '10 - Office Chairs'!DA$7 = "N/A"), "3:Since Battery or Batteries Included equals 'Yes', this field is required", ""), ""), ""), IF(LEN(_xlpm.check3) &gt; 0, _xlpm.check3, IF(AND(_xlpm.val = "", DA$3="Required"), IF(OR('10 - Office Chairs'!DA$7 = "", '10 - Office Chairs'!DA$7 = "N/A"), "3:Battery Type - Value is required", ""), ""))))))))))</f>
        <v/>
      </c>
      <c r="DB8" s="22">
        <f t="array" ref="DB8">_xlfn.MAP('10 - Office Chairs'!B8:B507, '10 - Office Chairs'!DB8:DB507, '10 - Office Chairs'!CY8:CY507,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IF(OR('10 - Office Chairs'!DB$7 = "", '10 - Office Chairs'!DB$7 = "N/A"), "3:Since Battery or Batteries Included equals 'Yes', this field is required", ""), ""), ""), IF(LEN(_xlpm.check3) &gt; 0, _xlpm.check3, IF(AND(_xlpm.val = "", DB$3="Required"), IF(OR('10 - Office Chairs'!DB$7 = "", '10 - Office Chairs'!DB$7 = "N/A"), "3:Number of Batteries - Value is required", ""), ""))))))))))</f>
        <v/>
      </c>
      <c r="DC8" s="22">
        <f t="array" ref="DC8">_xlfn.MAP('10 - Office Chairs'!B8:B507, '10 - Office Chairs'!DC8:DC507, '10 - Office Chairs'!CY8:CY507, '10 - Office Chairs'!CZ8:CZ507, _xlfn.LAMBDA(_xlpm.part, _xlpm.val, _xlpm.dep1, _xlpm.dep2, IF(_xlpm.part = "", "",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IF(OR('10 - Office Chairs'!DC$7 = "", '10 - Office Chairs'!DC$7 = "N/A"), "3:Since Battery or Batteries Included equals 'Yes', this field is required", ""), ""), ""), IF(LEN(_xlpm.check4) &gt; 0, _xlpm.check4, IF(AND(_xlpm.val = "", DC$3="Required"), IF(OR('10 - Office Chairs'!DC$7 = "", '10 - Office Chairs'!DC$7 = "N/A"), "3:Battery Shipment - Value is required", ""), ""))))))))))))</f>
        <v/>
      </c>
      <c r="DD8" s="22">
        <f t="array" ref="DD8">_xlfn.MAP('10 - Office Chairs'!B8:B507, '10 - Office Chairs'!DD8:DD507, '10 - Office Chairs'!CY8:CY507, '10 - Office Chairs'!CZ8:CZ507, _xlfn.LAMBDA(_xlpm.part, _xlpm.val, _xlpm.dep1, _xlpm.dep2, IF(_xlpm.part = "", "", _xlfn.LET(_xlpm.check1, IF(AND(_xlpm.val = "", OR(_xlpm.dep1 = "No", _xlpm.dep2 = "Lithium Ion / Lithium Polymer",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Ion / Lithium Polymer",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IF(_xlpm.dep1 = "Yes", IF(_xlpm.val = "", IF(OR('10 - Office Chairs'!DD$7 = "", '10 - Office Chairs'!DD$7 = "N/A"), "3:Since Battery or Batteries Included equals 'Yes', this field is required", ""), ""), ""), IF(LEN(_xlpm.check5) &gt; 0, _xlpm.check5, IF(AND(_xlpm.val = "", DD$3="Required"), IF(OR('10 - Office Chairs'!DD$7 = "", '10 - Office Chairs'!DD$7 = "N/A"), "3:Lithium Content - Value is required", ""), ""))))))))))))))</f>
        <v/>
      </c>
      <c r="DE8" s="22">
        <f t="array" ref="DE8">_xlfn.MAP('10 - Office Chairs'!B8:B507, '10 - Office Chairs'!DE8:DE507, '10 - Office Chairs'!CY8:CY507, '10 - Office Chairs'!DA8:DA507, '10 - Office Chairs'!CZ8:CZ507, _xlfn.LAMBDA(_xlpm.part, _xlpm.val, _xlpm.dep1, _xlpm.dep2, _xlpm.dep3, IF(_xlpm.part = "", "", _xlfn.LET(_xlpm.check1, IF(AND(_xlpm.val = "", OR(_xlpm.dep1 = "No", _xlpm.dep3 = "Lithium Metal", AND(NOT(OR(ISNUMBER(SEARCH("Lithium Metal", _xlpm.dep3)), ISNUMBER(SEARCH("Lithium Ion / Lithium Polymer", _xlpm.dep3)))), _xlpm.dep3 &lt;&gt; ""))), "2:Autofill", ""), IF(LEN(_xlpm.check1) &gt; 0, _xlpm.check1, _xlfn.LET(_xlpm.check2, IF(_xlpm.dep1 = "No", IF(_xlpm.val &lt;&gt; "Does Not Apply", "1:Since Battery or Batteries Included equals 'No', this value should be 'Does Not Apply'", ""), ""), IF(LEN(_xlpm.check2) &gt; 0, _xlpm.check2, _xlfn.LET(_xlpm.check3, IF(OR(ISNUMBER(SEARCH("Cell", _xlpm.dep2)), ISNUMBER(SEARCH("Button Cell", _xlpm.dep2))), IF(OR(_xlpm.val = "Batteries exceeding 300w/h", _xlpm.val = "Batteries of between 100w/h and 300 w/h", _xlpm.val = "Batteries of 100w/h or less"), "1:Based on Battery Type, value should not be Batteries exceeding 300w/h, Batteries of between 100w/h and 300 w/h, Batteries of 100w/h or less", ""), ""), IF(LEN(_xlpm.check3) &gt; 0, _xlpm.check3, _xlfn.LET(_xlpm.check4, IF(ISNUMBER(SEARCH("Battery", _xlpm.dep2)), IF(OR(_xlpm.val = "Cells of between 20w/h and 60w/h", _xlpm.val = "Cells exceeding 60w/h", _xlpm.val = "Cells of 20w/h or less"), "1:Based on Battery Type, value should not be Cells of between 20w/h and 60w/h, Cells exceeding 60w/h, Cells of 20w/h or less", ""), ""), IF(LEN(_xlpm.check4) &gt; 0, _xlpm.check4, _xlfn.LET(_xlpm.check5, IF(_xlpm.dep3 = "Lithium Metal", IF(_xlpm.val &lt;&gt; "Does Not Apply", "1:Based on Battery Composition, value should be Does Not Apply", ""), ""), IF(LEN(_xlpm.check5) &gt; 0, _xlpm.check5, _xlfn.LET(_xlpm.check6, IF(AND(NOT(OR(ISNUMBER(SEARCH("Lithium Metal", _xlpm.dep3)), ISNUMBER(SEARCH("Lithium Ion / Lithium Polymer", _xlpm.dep3)))), _xlpm.dep3 &lt;&gt; ""), IF(_xlpm.val &lt;&gt; "Does Not Apply", "1:Based on Battery Composition, value should be Does Not Apply", ""), ""), IF(LEN(_xlpm.check6) &gt; 0, _xlpm.check6, _xlfn.LET(_xlpm.check7, IF(_xlpm.dep1 = "Yes", IF(_xlpm.val = "", IF(OR('10 - Office Chairs'!DE$7 = "", '10 - Office Chairs'!DE$7 = "N/A"), "3:Since Battery or Batteries Included equals 'Yes', this field is required", ""), ""), ""), IF(LEN(_xlpm.check7) &gt; 0, _xlpm.check7, IF(AND(_xlpm.val = "", DE$3="Required"), IF(OR('10 - Office Chairs'!DE$7 = "", '10 - Office Chairs'!DE$7 = "N/A"), "3:Watt Rating of Cells / Battery - Value is required", ""), ""))))))))))))))))))</f>
        <v/>
      </c>
      <c r="DF8" s="22">
        <f t="array" ref="DF8">_xlfn.MAP('10 - Office Chairs'!B8:B507, '10 - Office Chairs'!DF8:DF507, '10 - Office Chairs'!CY8:CY507, '10 - Office Chairs'!CZ8:CZ507, _xlfn.LAMBDA(_xlpm.part, _xlpm.val, _xlpm.dep1, _xlpm.dep2, IF(_xlpm.part = "", "",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IF(OR('10 - Office Chairs'!DF$7 = "", '10 - Office Chairs'!DF$7 = "N/A"), "3:Since Battery or Batteries Included equals 'Yes', this field is required", ""), ""), ""), IF(LEN(_xlpm.check4) &gt; 0, _xlpm.check4, IF(AND(_xlpm.val = "", DF$3="Required"), IF(OR('10 - Office Chairs'!DF$7 = "", '10 - Office Chairs'!DF$7 = "N/A"), "3:Weight of Cells / Battery - Value is required", ""), ""))))))))))))</f>
        <v/>
      </c>
      <c r="DG8" s="22">
        <f t="array" ref="DG8">_xlfn.MAP('10 - Office Chairs'!B8:B507, '10 - Office Chairs'!DG8:DG507, _xlfn.LAMBDA(_xlpm.part, _xlpm.val, IF(_xlpm.part = "", "", IF(AND(_xlpm.val = "", DG$3="Required"), IF(OR('10 - Office Chairs'!DG$7 = "", '10 - Office Chairs'!DG$7 = "N/A"), "3:Weight Capacity - Value is required", ""), ""))))</f>
        <v/>
      </c>
      <c r="DH8" s="22">
        <f t="array" ref="DH8">_xlfn.MAP('10 - Office Chairs'!B8:B507, '10 - Office Chairs'!DH8:DH507, '10 - Office Chairs'!CO8:CO507, _xlfn.LAMBDA(_xlpm.part, _xlpm.val, _xlpm.dep1, IF(_xlpm.part = "", "", _xlfn.LET(_xlpm.check1, IF(AND(_xlpm.val = "", _xlpm.dep1 = "No"), "2:Autofill", ""), IF(LEN(_xlpm.check1) &gt; 0, _xlpm.check1, IF(AND(_xlpm.val = "", DH$3="Required"), IF(OR('10 - Office Chairs'!DH$7 = "", '10 - Office Chairs'!DH$7 = "N/A"), "3:Adjustable Headrest - Value is required", ""), ""))))))</f>
        <v/>
      </c>
      <c r="DI8" s="22">
        <f t="array" ref="DI8">_xlfn.MAP('10 - Office Chairs'!B8:B507, '10 - Office Chairs'!DI8:DI507, '10 - Office Chairs'!CE8:CE507, _xlfn.LAMBDA(_xlpm.part, _xlpm.val, _xlpm.dep1, IF(_xlpm.part = "", "", _xlfn.LET(_xlpm.check1, IF(AND(_xlpm.val = "", _xlpm.dep1 = "No"), "2:Autofill", ""), IF(LEN(_xlpm.check1) &gt; 0, _xlpm.check1, _xlfn.LET(_xlpm.check2, IF(_xlpm.dep1 = "No", IF(_xlpm.val &lt;&gt; "No", "1:Based on Lumbar Support, value should be No", ""), ""), IF(LEN(_xlpm.check2) &gt; 0, _xlpm.check2, IF(AND(_xlpm.val = "", DI$3="Required"), IF(OR('10 - Office Chairs'!DI$7 = "", '10 - Office Chairs'!DI$7 = "N/A"), "3:Adjustable Lumbar Support - Value is required", ""), ""))))))))</f>
        <v/>
      </c>
      <c r="DJ8" s="22">
        <f t="array" ref="DJ8">_xlfn.MAP('10 - Office Chairs'!B8:B507, '10 - Office Chairs'!DJ8:DJ507, _xlfn.LAMBDA(_xlpm.part, _xlpm.val, IF(_xlpm.part = "", "", IF(AND(_xlpm.val = "", DJ$3="Required"), IF(OR('10 - Office Chairs'!DJ$7 = "", '10 - Office Chairs'!DJ$7 = "N/A"), "3:Product Care - Value is required", ""), ""))))</f>
        <v/>
      </c>
      <c r="DK8" s="22">
        <f t="array" ref="DK8">_xlfn.MAP('10 - Office Chairs'!B8:B507, '10 - Office Chairs'!DK8:DK507, _xlfn.LAMBDA(_xlpm.part, _xlpm.val, IF(_xlpm.part = "", "", IF(AND(_xlpm.val = "", DK$3="Required"), IF(OR('10 - Office Chairs'!DK$7 = "", '10 - Office Chairs'!DK$7 = "N/A"), "3:Seat Color - Value is required", ""), ""))))</f>
        <v/>
      </c>
      <c r="DL8" s="22">
        <f t="array" ref="DL8">_xlfn.MAP('10 - Office Chairs'!B8:B507, '10 - Office Chairs'!DL8:DL507, '10 - Office Chairs'!CB8:CB507, _xlfn.LAMBDA(_xlpm.part, _xlpm.val, _xlpm.dep1, IF(_xlpm.part = "", "", _xlfn.LET(_xlpm.check1, IF(AND(_xlpm.val = "", ISNUMBER(SEARCH("No", _xlpm.dep1))), "2:Autofill", ""), IF(LEN(_xlpm.check1) &gt; 0, _xlpm.check1, _xlfn.LET(_xlpm.check2, IF(ISNUMBER(SEARCH("No", _xlpm.dep1)), IF(_xlpm.val &lt;&gt; "Does Not Apply", "1:Based on Arms Included, value should be Does Not Apply", ""), ""), IF(LEN(_xlpm.check2) &gt; 0, _xlpm.check2, IF(AND(_xlpm.val = "", DL$3="Required"), IF(OR('10 - Office Chairs'!DL$7 = "", '10 - Office Chairs'!DL$7 = "N/A"), "3:Arm Material - Value is required", ""), ""))))))))</f>
        <v/>
      </c>
      <c r="DM8" s="22">
        <f t="array" ref="DM8">_xlfn.MAP('10 - Office Chairs'!B8:B507, '10 - Office Chairs'!DM8:DM507, '10 - Office Chairs'!BS8:BS507, _xlfn.LAMBDA(_xlpm.part, _xlpm.val, _xlpm.dep1, IF(_xlpm.part = "", "", _xlfn.LET(_xlpm.check1, IF(AND(_xlpm.val = "", ISNUMBER(SEARCH("No", _xlpm.dep1))), "2:Autofill", ""), IF(LEN(_xlpm.check1) &gt; 0, _xlpm.check1, _xlfn.LET(_xlpm.check2, IF(ISNUMBER(SEARCH("No", _xlpm.dep1)), IF(_xlpm.val &lt;&gt; "Does Not Apply", "1:Based on Upholstered, value should be Does Not Apply", ""), ""), IF(LEN(_xlpm.check2) &gt; 0, _xlpm.check2, IF(AND(_xlpm.val = "", DM$3="Required"), IF(OR('10 - Office Chairs'!DM$7 = "", '10 - Office Chairs'!DM$7 = "N/A"), "3:Upholstery Fill Material - Value is required", ""), ""))))))))</f>
        <v/>
      </c>
      <c r="DN8" s="22">
        <f t="array" ref="DN8">_xlfn.MAP('10 - Office Chairs'!B8:B507, '10 - Office Chairs'!DN8:DN507, _xlfn.LAMBDA(_xlpm.part, _xlpm.val, IF(_xlpm.part = "", "", IF(AND(_xlpm.val = "", DN$3="Required"), IF(OR('10 - Office Chairs'!DN$7 = "", '10 - Office Chairs'!DN$7 = "N/A"), "3:Frame Color / Finish - Value is required", ""), ""))))</f>
        <v/>
      </c>
      <c r="DO8" s="22">
        <f t="array" ref="DO8">_xlfn.MAP('10 - Office Chairs'!B8:B507, '10 - Office Chairs'!DO8:DO507, _xlfn.LAMBDA(_xlpm.part, _xlpm.val, IF(_xlpm.part = "", "", IF(AND(_xlpm.val = "", DO$3="Required"), IF(OR('10 - Office Chairs'!DO$7 = "", '10 - Office Chairs'!DO$7 = "N/A"), "3:Plug-In - Value is required", ""), ""))))</f>
        <v/>
      </c>
      <c r="DP8" s="22">
        <f t="array" ref="DP8">_xlfn.MAP('10 - Office Chairs'!B8:B507, '10 - Office Chairs'!DP8:DP507, '10 - Office Chairs'!BR8:BR507, '10 - Office Chairs'!BP8:BP507, _xlfn.LAMBDA(_xlpm.part, _xlpm.val, _xlpm.dep1, _xlpm.dep2, IF(_xlpm.part = "", "", _xlfn.LET(_xlpm.check1, IF(AND(_xlpm.val = "", OR(AND(NOT(OR(ISNUMBER(SEARCH("Manufactured wood", _xlpm.dep1)), ISNUMBER(SEARCH("Solid + Manufactured Wood", _xlpm.dep1)), ISNUMBER(SEARCH("Solid Wood", _xlpm.dep1)))), _xlpm.dep1 &lt;&gt; ""), AND(NOT(ISNUMBER(SEARCH("Solid + Manufactured Wood", _xlpm.dep2))), _xlpm.dep2 &lt;&gt; ""))), "2:Autofill", ""), IF(LEN(_xlpm.check1) &gt; 0, _xlpm.check1, _xlfn.LET(_xlpm.check2, IF(NOT(ISBLANK(_xlpm.val)),_xlfn.LET(_xlpm.items, _xlfn.TEXTSPLIT(_xlpm.val, ";"),_xlpm.trimmed, _xlfn.MAP(_xlpm.items, _xlfn.LAMBDA(_xlpm.x, TRIM(_xlpm.x))),_xlpm.invalid, _xlfn._xlws.FILTER(_xlpm.trimmed, ISNA(MATCH(_xlpm.trimmed, allowed381928, 0)), ""),IF(AND(_xlpm.invalid&lt;&gt;"", COUNTA(_xlpm.invalid)&gt;0),"1:Please select valid values from the provided list. Answers are case-sensitive and must be separated by a semicolon.","")), ""), IF(LEN(_xlpm.check2) &gt; 0, _xlpm.check2, IF(AND(_xlpm.val = "", DP$3="Required"), IF(OR('10 - Office Chairs'!DP$7 = "", '10 - Office Chairs'!DP$7 = "N/A"), "3:Wood Species - Value is required", ""), ""))))))))</f>
        <v/>
      </c>
      <c r="DQ8" s="22">
        <f t="array" ref="DQ8">_xlfn.MAP('10 - Office Chairs'!B8:B507, '10 - Office Chairs'!DQ8:DQ507, _xlfn.LAMBDA(_xlpm.part, _xlpm.val, IF(_xlpm.part = "", "", IF(AND(_xlpm.val = "", DQ$3="Required"), IF(OR('10 - Office Chairs'!DQ$7 = "", '10 - Office Chairs'!DQ$7 = "N/A"), "3:Back Angle Adjustment - Value is required", ""), ""))))</f>
        <v/>
      </c>
      <c r="DR8" s="22">
        <f t="array" ref="DR8">_xlfn.MAP('10 - Office Chairs'!B8:B507, '10 - Office Chairs'!DR8:DR507, '10 - Office Chairs'!CQ8:CQ507, _xlfn.LAMBDA(_xlpm.part, _xlpm.val, _xlpm.dep1, IF(_xlpm.part = "", "", _xlfn.LET(_xlpm.check1, IF(AND(_xlpm.val = "", _xlpm.dep1 = "No"), "2:Autofill", ""), IF(LEN(_xlpm.check1) &gt; 0, _xlpm.check1, _xlfn.LET(_xlpm.check2, IF(_xlpm.dep1 = "No", IF(_xlpm.val &lt;&gt; "Does Not Apply", "1:Based on Casters / Wheels, value should be Does Not Apply", ""), ""), IF(LEN(_xlpm.check2) &gt; 0, _xlpm.check2, IF(AND(_xlpm.val = "", DR$3="Required"), IF(OR('10 - Office Chairs'!DR$7 = "", '10 - Office Chairs'!DR$7 = "N/A"), "3:Removable Wheels / Casters - Value is required", ""), ""))))))))</f>
        <v/>
      </c>
      <c r="DS8" s="22">
        <f t="array" ref="DS8">_xlfn.MAP('10 - Office Chairs'!B8:B507, '10 - Office Chairs'!DS8:DS507, '10 - Office Chairs'!CB8:CB507, _xlfn.LAMBDA(_xlpm.part, _xlpm.val, _xlpm.dep1, IF(_xlpm.part = "", "", _xlfn.LET(_xlpm.check1, IF(AND(_xlpm.val = "", ISNUMBER(SEARCH("No", _xlpm.dep1))), "2:Autofill", ""), IF(LEN(_xlpm.check1) &gt; 0, _xlpm.check1, _xlfn.LET(_xlpm.check2, IF(NOT(ISBLANK(_xlpm.val)),_xlfn.LET(_xlpm.items, _xlfn.TEXTSPLIT(_xlpm.val, ";"),_xlpm.trimmed, _xlfn.MAP(_xlpm.items, _xlfn.LAMBDA(_xlpm.x, TRIM(_xlpm.x))),_xlpm.invalid, _xlfn._xlws.FILTER(_xlpm.trimmed, ISNA(MATCH(_xlpm.trimmed, allowed20252, 0)), ""),IF(AND(_xlpm.invalid&lt;&gt;"", COUNTA(_xlpm.invalid)&gt;0),"1:Please select valid values from the provided list. Answers are case-sensitive and must be separated by a semicolon.","")), ""), IF(LEN(_xlpm.check2) &gt; 0, _xlpm.check2, IF(AND(_xlpm.val = "", DS$3="Required"), IF(OR('10 - Office Chairs'!DS$7 = "", '10 - Office Chairs'!DS$7 = "N/A"), "3:Arm Type - Value is required", ""), ""))))))))</f>
        <v/>
      </c>
      <c r="DT8" s="22">
        <f t="array" ref="DT8">_xlfn.MAP('10 - Office Chairs'!B8:B507, '10 - Office Chairs'!DT8:DT507, _xlfn.LAMBDA(_xlpm.part, _xlpm.val, IF(_xlpm.part = "", "", IF(AND(_xlpm.val = "", DT$3="Required"), IF(OR('10 - Office Chairs'!DT$7 = "", '10 - Office Chairs'!DT$7 = "N/A"), "3:Ribbed Detailing - Value is required", ""), ""))))</f>
        <v/>
      </c>
      <c r="DU8" s="22">
        <f t="array" ref="DU8">_xlfn.MAP('10 - Office Chairs'!B8:B507, '10 - Office Chairs'!DU8:DU507, _xlfn.LAMBDA(_xlpm.part, _xlpm.val, IF(_xlpm.part = "", "", _xlfn.LET(_xlpm.check1, IF(NOT(ISBLANK(_xlpm.val)),_xlfn.LET(_xlpm.items, _xlfn.TEXTSPLIT(_xlpm.val, ";"),_xlpm.trimmed, _xlfn.MAP(_xlpm.items, _xlfn.LAMBDA(_xlpm.x, TRIM(_xlpm.x))),_xlpm.invalid, _xlfn._xlws.FILTER(_xlpm.trimmed, ISNA(MATCH(_xlpm.trimmed, allowed400817, 0)), ""),IF(AND(_xlpm.invalid&lt;&gt;"", COUNTA(_xlpm.invalid)&gt;0),"1:Please select valid values from the provided list. Answers are case-sensitive and must be separated by a semicolon.","")), ""), IF(LEN(_xlpm.check1) &gt; 0, _xlpm.check1, IF(AND(_xlpm.val = "", DU$3="Required"), IF(OR('10 - Office Chairs'!DU$7 = "", '10 - Office Chairs'!DU$7 = "N/A"), "3:Durability - Value is required", ""), ""))))))</f>
        <v/>
      </c>
      <c r="DV8" s="22">
        <f t="array" ref="DV8">_xlfn.MAP('10 - Office Chairs'!B8:B507, '10 - Office Chairs'!DV8:DV507, _xlfn.LAMBDA(_xlpm.part, _xlpm.val, IF(_xlpm.part = "", "", IF(AND(_xlpm.val = "", DV$3="Required"), IF(OR('10 - Office Chairs'!DV$7 = "", '10 - Office Chairs'!DV$7 = "N/A"), "3:Tilt Mechanism Type - Value is required", ""), ""))))</f>
        <v/>
      </c>
      <c r="DW8" s="22">
        <f t="array" ref="DW8">_xlfn.MAP('10 - Office Chairs'!B8:B507, '10 - Office Chairs'!DW8:DW507, _xlfn.LAMBDA(_xlpm.part, _xlpm.val, IF(_xlpm.part = "", "", _xlfn.LET(_xlpm.check1, IF(NOT(ISBLANK(_xlpm.val)),_xlfn.LET(_xlpm.items, _xlfn.TEXTSPLIT(_xlpm.val, ";"),_xlpm.trimmed, _xlfn.MAP(_xlpm.items, _xlfn.LAMBDA(_xlpm.x, TRIM(_xlpm.x))),_xlpm.invalid, _xlfn._xlws.FILTER(_xlpm.trimmed, ISNA(MATCH(_xlpm.trimmed, allowed420140, 0)), ""),IF(AND(_xlpm.invalid&lt;&gt;"", COUNTA(_xlpm.invalid)&gt;0),"1:Please select valid values from the provided list. Answers are case-sensitive and must be separated by a semicolon.","")), ""), IF(LEN(_xlpm.check1) &gt; 0, _xlpm.check1, IF(AND(_xlpm.val = "", DW$3="Required"), IF(OR('10 - Office Chairs'!DW$7 = "", '10 - Office Chairs'!DW$7 = "N/A"), "3:Pieces Included - Value is required", ""), ""))))))</f>
        <v/>
      </c>
      <c r="DX8" s="22">
        <f t="array" ref="DX8">_xlfn.MAP('10 - Office Chairs'!B8:B507, '10 - Office Chairs'!DX8:DX507, _xlfn.LAMBDA(_xlpm.part, _xlpm.val, IF(_xlpm.part = "", "", IF(AND(_xlpm.val = "", DX$3="Required"), IF(OR('10 - Office Chairs'!DX$7 = "", '10 - Office Chairs'!DX$7 = "N/A"), "3:Rub Count - Value is required", ""), ""))))</f>
        <v/>
      </c>
      <c r="DY8" s="22">
        <f t="array" ref="DY8">_xlfn.MAP('10 - Office Chairs'!B8:B507, '10 - Office Chairs'!DY8:DY507, _xlfn.LAMBDA(_xlpm.part, _xlpm.val, IF(_xlpm.part = "", "", IF(AND(_xlpm.val = "", DY$3="Required"), IF(OR('10 - Office Chairs'!DY$7 = "", '10 - Office Chairs'!DY$7 = "N/A"), "3:CPSC - 16 CFR 1303 Compliant - Value is required", ""), ""))))</f>
        <v/>
      </c>
      <c r="DZ8" s="22">
        <f t="array" ref="DZ8">_xlfn.MAP('10 - Office Chairs'!B8:B507, '10 - Office Chairs'!DZ8:DZ507, _xlfn.LAMBDA(_xlpm.part, _xlpm.val, IF(_xlpm.part = "", "", IF(AND(_xlpm.val = "", DZ$3="Required"), IF(OR('10 - Office Chairs'!DZ$7 = "", '10 - Office Chairs'!DZ$7 = "N/A"), "3:Composite Wood Product (CWP) - Value is required", ""), ""))))</f>
        <v/>
      </c>
      <c r="EA8" s="22">
        <f t="array" ref="EA8">_xlfn.MAP('10 - Office Chairs'!B8:B507, '10 - Office Chairs'!EA8:EA507, '10 - Office Chairs'!DZ8:DZ507,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IF(OR('10 - Office Chairs'!EA$7 = "", '10 - Office Chairs'!EA$7 = "N/A"), "3:Since Composite Wood Product (CWP) equals 'Yes', this field is required", ""), ""), ""), IF(LEN(_xlpm.check4) &gt; 0, _xlpm.check4, IF(AND(_xlpm.val = "", EA$3="Required"), IF(OR('10 - Office Chairs'!EA$7 = "", '10 - Office Chairs'!EA$7 = "N/A"), "3:CARB Phase II Compliant (formaldehyde emissions) - Value is required", ""), ""))))))))))))</f>
        <v/>
      </c>
      <c r="EB8" s="22">
        <f t="array" ref="EB8">_xlfn.MAP('10 - Office Chairs'!B8:B507, '10 - Office Chairs'!EB8:EB507, '10 - Office Chairs'!DZ8:DZ507,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IF(OR('10 - Office Chairs'!EB$7 = "", '10 - Office Chairs'!EB$7 = "N/A"), "3:Since Composite Wood Product (CWP) equals 'Yes', this field is required", ""), ""), ""), IF(LEN(_xlpm.check4) &gt; 0, _xlpm.check4, IF(AND(_xlpm.val = "", EB$3="Required"), IF(OR('10 - Office Chairs'!EB$7 = "", '10 - Office Chairs'!EB$7 = "N/A"), "3:TSCA Title VI Compliant (formaldehyde emissions) - Value is required", ""), ""))))))))))))</f>
        <v/>
      </c>
      <c r="EC8" s="22">
        <f t="array" ref="EC8">_xlfn.MAP('10 - Office Chairs'!B8:B507, '10 - Office Chairs'!EC8:EC507, '10 - Office Chairs'!DZ8:DZ507,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IF(OR('10 - Office Chairs'!EC$7 = "", '10 - Office Chairs'!EC$7 = "N/A"), "3:Since Composite Wood Product (CWP) equals 'Yes', this field is required", ""), ""), ""), IF(LEN(_xlpm.check4) &gt; 0, _xlpm.check4, IF(AND(_xlpm.val = "", EC$3="Required"), IF(OR('10 - Office Chairs'!EC$7 = "", '10 - Office Chairs'!EC$7 = "N/A"), "3:CANFER Compliant - Value is required", ""), ""))))))))))))</f>
        <v/>
      </c>
      <c r="ED8" s="22">
        <f t="array" ref="ED8">_xlfn.MAP('10 - Office Chairs'!B8:B507, '10 - Office Chairs'!ED8:ED507, _xlfn.LAMBDA(_xlpm.part, _xlpm.val, IF(_xlpm.part = "", "", IF(AND(_xlpm.val = "", ED$3="Required"), IF(OR('10 - Office Chairs'!ED$7 = "", '10 - Office Chairs'!ED$7 = "N/A"), "3:ADA Compliant - Value is required", ""), ""))))</f>
        <v/>
      </c>
      <c r="EE8" s="22">
        <f t="array" ref="EE8">_xlfn.MAP('10 - Office Chairs'!B8:B507, '10 - Office Chairs'!EE8:EE507, _xlfn.LAMBDA(_xlpm.part, _xlpm.val, IF(_xlpm.part = "", "", IF(AND(_xlpm.val = "", EE$3="Required"), IF(OR('10 - Office Chairs'!EE$7 = "", '10 - Office Chairs'!EE$7 = "N/A"), "3:Contains Flame Retardant Materials - Value is required", ""), ""))))</f>
        <v/>
      </c>
      <c r="EF8" s="22">
        <f t="array" ref="EF8">_xlfn.MAP('10 - Office Chairs'!B8:B507, '10 - Office Chairs'!EF8:EF507, '10 - Office Chairs'!BS8:BS507, _xlfn.LAMBDA(_xlpm.part, _xlpm.val, _xlpm.dep1, IF(_xlpm.part = "", "", _xlfn.LET(_xlpm.check1, IF(AND(_xlpm.val = "", OR(ISNUMBER(SEARCH("No", _xlpm.dep1)), AND(NOT(ISNUMBER(SEARCH("Yes", _xlpm.dep1))), _xlpm.dep1 &lt;&gt; ""))), "2:Autofill", ""), IF(LEN(_xlpm.check1) &gt; 0, _xlpm.check1, IF(AND(_xlpm.val = "", EF$3="Required"), IF(OR('10 - Office Chairs'!EF$7 = "", '10 - Office Chairs'!EF$7 = "N/A"), "3:CAL TB 116 Compliant - Value is required", ""), ""))))))</f>
        <v/>
      </c>
      <c r="EG8" s="22">
        <f t="array" ref="EG8">_xlfn.MAP('10 - Office Chairs'!B8:B507, '10 - Office Chairs'!EG8:EG507, '10 - Office Chairs'!BS8:BS507, _xlfn.LAMBDA(_xlpm.part, _xlpm.val, _xlpm.dep1, IF(_xlpm.part = "", "", _xlfn.LET(_xlpm.check1, IF(AND(_xlpm.val = "", ISNUMBER(SEARCH("No", _xlpm.dep1))), "2:Autofill", ""), IF(LEN(_xlpm.check1) &gt; 0, _xlpm.check1, IF(AND(_xlpm.val = "", EG$3="Required"), IF(OR('10 - Office Chairs'!EG$7 = "", '10 - Office Chairs'!EG$7 = "N/A"), "3:CAL TB 117-2013 Compliant - Value is required", ""), ""))))))</f>
        <v/>
      </c>
      <c r="EH8" s="22">
        <f t="array" ref="EH8">_xlfn.MAP('10 - Office Chairs'!B8:B507, '10 - Office Chairs'!EH8:EH507, _xlfn.LAMBDA(_xlpm.part, _xlpm.val, IF(_xlpm.part = "", "", IF(AND(_xlpm.val = "", EH$3="Required"), IF(OR('10 - Office Chairs'!EH$7 = "", '10 - Office Chairs'!EH$7 = "N/A"), "3:General Certificate of Conformity (GCC) - Value is required", ""), ""))))</f>
        <v/>
      </c>
      <c r="EI8" s="22">
        <f t="array" ref="EI8">_xlfn.MAP('10 - Office Chairs'!B8:B507, '10 - Office Chairs'!EI8:EI507, _xlfn.LAMBDA(_xlpm.part, _xlpm.val, IF(_xlpm.part = "", "", IF(AND(_xlpm.val = "", EI$3="Required"), IF(OR('10 - Office Chairs'!EI$7 = "", '10 - Office Chairs'!EI$7 = "N/A"), "3:Uniform Packaging and Labeling Regulations (UPLR) Compliant - Value is required", ""), ""))))</f>
        <v/>
      </c>
      <c r="EJ8" s="22">
        <f t="array" ref="EJ8">_xlfn.MAP('10 - Office Chairs'!B8:B507, '10 - Office Chairs'!EJ8:EJ507, _xlfn.LAMBDA(_xlpm.part, _xlpm.val, IF(_xlpm.part = "", "", IF(AND(_xlpm.val = "", EJ$3="Required"), IF(OR('10 - Office Chairs'!EJ$7 = "", '10 - Office Chairs'!EJ$7 = "N/A"), "3:Canada Product Restriction - Value is required", ""), ""))))</f>
        <v/>
      </c>
      <c r="EK8" s="22">
        <f t="array" ref="EK8">_xlfn.MAP('10 - Office Chairs'!B8:B507, '10 - Office Chairs'!EK8:EK507, '10 - Office Chairs'!EJ8:EJ507, _xlfn.LAMBDA(_xlpm.part, _xlpm.val, _xlpm.dep1, IF(_xlpm.part = "", "",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allowed251178, 0)), ""),IF(AND(_xlpm.invalid&lt;&gt;"", COUNTA(_xlpm.invalid)&gt;0),"1:Please select valid values from the provided list. Answers are case-sensitive and must be separated by a semicolon.","")), ""), IF(LEN(_xlpm.check3) &gt; 0, _xlpm.check3, _xlfn.LET(_xlpm.check4, IF(_xlpm.dep1 = "Yes", IF(_xlpm.val = "", IF(OR('10 - Office Chairs'!EK$7 = "", '10 - Office Chairs'!EK$7 = "N/A"), "3:Since Canada Product Restriction equals 'Yes', this field is required", ""), ""), ""), IF(LEN(_xlpm.check4) &gt; 0, _xlpm.check4, IF(AND(_xlpm.val = "", EK$3="Required"), IF(OR('10 - Office Chairs'!EK$7 = "", '10 - Office Chairs'!EK$7 = "N/A"), "3:Reason for Restriction - Value is required", ""), ""))))))))))))</f>
        <v/>
      </c>
      <c r="EL8" s="22">
        <f t="array" ref="EL8">_xlfn.MAP('10 - Office Chairs'!B8:B507, '10 - Office Chairs'!EL8:EL507, '10 - Office Chairs'!BP8:BP507, _xlfn.LAMBDA(_xlpm.part, _xlpm.val, _xlpm.dep1, IF(_xlpm.part = "", "", _xlfn.LET(_xlpm.check1, IF(AND(_xlpm.val = "", AND(NOT(OR(ISNUMBER(SEARCH("Kiln Dried Hardwood", _xlpm.dep1)), ISNUMBER(SEARCH("Plywood", _xlpm.dep1)), ISNUMBER(SEARCH("Particle Board", _xlpm.dep1)), ISNUMBER(SEARCH("Cardboard", _xlpm.dep1)), ISNUMBER(SEARCH("Cork", _xlpm.dep1)), ISNUMBER(SEARCH("Reclaimed Wood", _xlpm.dep1)))), _xlpm.dep1 &lt;&gt; "")), "2:Autofill", ""), IF(LEN(_xlpm.check1) &gt; 0, _xlpm.check1, _xlfn.LET(_xlpm.check2, IF(AND(NOT(OR(ISNUMBER(SEARCH("Kiln Dried Hardwood", _xlpm.dep1)), ISNUMBER(SEARCH("Plywood", _xlpm.dep1)), ISNUMBER(SEARCH("Particle Board", _xlpm.dep1)), ISNUMBER(SEARCH("Cardboard", _xlpm.dep1)), ISNUMBER(SEARCH("Cork", _xlpm.dep1)), ISNUMBER(SEARCH("Reclaimed Wood", _xlpm.dep1)))), _xlpm.dep1 &lt;&gt; ""), IF(_xlpm.val &lt;&gt; "Does Not Apply", "1:Based on Frame Material, value should be Does Not Apply", ""), ""), IF(LEN(_xlpm.check2) &gt; 0, _xlpm.check2, IF(AND(_xlpm.val = "", EL$3="Required"), IF(OR('10 - Office Chairs'!EL$7 = "", '10 - Office Chairs'!EL$7 = "N/A"), "3:Lacey Act Compliant - Value is required", ""), ""))))))))</f>
        <v/>
      </c>
      <c r="EM8" s="22">
        <f t="array" ref="EM8">_xlfn.MAP('10 - Office Chairs'!B8:B507, '10 - Office Chairs'!EM8:EM507, '10 - Office Chairs'!BS8:BS507, _xlfn.LAMBDA(_xlpm.part, _xlpm.val, _xlpm.dep1, IF(_xlpm.part = "", "", _xlfn.LET(_xlpm.check1, IF(AND(_xlpm.val = "", ISNUMBER(SEARCH("No", _xlpm.dep1))), "2:Autofill", ""), IF(LEN(_xlpm.check1) &gt; 0, _xlpm.check1, _xlfn.LET(_xlpm.check2, IF(ISNUMBER(SEARCH("No", _xlpm.dep1)), IF(_xlpm.val &lt;&gt; "Does Not Apply", "1:Based on Upholstered, value should be Does Not Apply", ""), ""), IF(LEN(_xlpm.check2) &gt; 0, _xlpm.check2, IF(AND(_xlpm.val = "", EM$3="Required"), IF(OR('10 - Office Chairs'!EM$7 = "", '10 - Office Chairs'!EM$7 = "N/A"), "3:SOFFA Compliant - Value is required", ""), ""))))))))</f>
        <v/>
      </c>
      <c r="EN8" s="22">
        <f t="array" ref="EN8">_xlfn.MAP('10 - Office Chairs'!B8:B507, '10 - Office Chairs'!EN8:EN507, '10 - Office Chairs'!CZ8:CZ507, _xlfn.LAMBDA(_xlpm.part, _xlpm.val, _xlpm.dep1, IF(_xlpm.part = "", "", _xlfn.LET(_xlpm.check1, IF(AND(_xlpm.val = "", OR(OR(ISNUMBER(SEARCH("Lead Acid (Spillable)", _xlpm.dep1)), ISNUMBER(SEARCH("Lead Acid (Non-Spillable)", _xlpm.dep1))), _xlpm.dep1 = "Lithium Metal", _xlpm.dep1 = "Lithium Ion / Lithium Polymer")), "2:Autofill", ""), IF(LEN(_xlpm.check1) &gt; 0, _xlpm.check1, _xlfn.LET(_xlpm.check2, IF(OR(ISNUMBER(SEARCH("Lead Acid (Spillable)", _xlpm.dep1)), ISNUMBER(SEARCH("Lead Acid (Non-Spillable)", _xlpm.dep1))), IF(_xlpm.val &lt;&gt; "Yes", "1:Based on Battery Composition, value should be Yes", ""), ""), IF(LEN(_xlpm.check2) &gt; 0, _xlpm.check2, _xlfn.LET(_xlpm.check3, IF(_xlpm.dep1 = "Lithium Metal", IF(_xlpm.val &lt;&gt; "Yes", "1:Based on Battery Composition, value should be Yes", ""), ""), IF(LEN(_xlpm.check3) &gt; 0, _xlpm.check3, _xlfn.LET(_xlpm.check4, IF(_xlpm.dep1 = "Lithium Ion / Lithium Polymer", IF(_xlpm.val &lt;&gt; "Yes", "1:Based on Battery Composition, value should be Yes", ""), ""), IF(LEN(_xlpm.check4) &gt; 0, _xlpm.check4, IF(AND(_xlpm.val = "", EN$3="Required"), IF(OR('10 - Office Chairs'!EN$7 = "", '10 - Office Chairs'!EN$7 = "N/A"), "3:Hazardous Material / Dangerous Goods - Value is required", ""), ""))))))))))))</f>
        <v/>
      </c>
      <c r="EO8" s="22">
        <f t="array" ref="EO8">_xlfn.MAP('10 - Office Chairs'!B8:B507, '10 - Office Chairs'!EO8:EO507, '10 - Office Chairs'!EN8:EN507,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allowed373564, 0)), ""),IF(AND(_xlpm.invalid&lt;&gt;"", COUNTA(_xlpm.invalid)&gt;0),"1:Please select valid values from the provided list. Answers are case-sensitive and must be separated by a semicolon.","")), ""), IF(LEN(_xlpm.check3) &gt; 0, _xlpm.check3, _xlfn.LET(_xlpm.check4, IF(_xlpm.dep1 = "Yes", IF(_xlpm.val = "", IF(OR('10 - Office Chairs'!EO$7 = "", '10 - Office Chairs'!EO$7 = "N/A"), "3:Since Hazardous Material / Dangerous Goods equals 'Yes', this field is required", ""), ""), ""), IF(LEN(_xlpm.check4) &gt; 0, _xlpm.check4, IF(AND(_xlpm.val = "", EO$3="Required"), IF(OR('10 - Office Chairs'!EO$7 = "", '10 - Office Chairs'!EO$7 = "N/A"), "3:UN or ID number - Value is required", ""), ""))))))))))))</f>
        <v/>
      </c>
      <c r="EP8" s="22">
        <f t="array" ref="EP8">_xlfn.MAP('10 - Office Chairs'!B8:B507, '10 - Office Chairs'!EP8:EP507, '10 - Office Chairs'!EN8:EN507,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IF(OR('10 - Office Chairs'!EP$7 = "", '10 - Office Chairs'!EP$7 = "N/A"), "3:Since Hazardous Material / Dangerous Goods equals 'Yes', this field is required", ""), ""), ""), IF(LEN(_xlpm.check3) &gt; 0, _xlpm.check3, IF(AND(_xlpm.val = "", EP$3="Required"), IF(OR('10 - Office Chairs'!EP$7 = "", '10 - Office Chairs'!EP$7 = "N/A"), "3:Hazard Class(es) - Value is required", ""), ""))))))))))</f>
        <v/>
      </c>
      <c r="EQ8" s="22">
        <f t="array" ref="EQ8">_xlfn.MAP('10 - Office Chairs'!B8:B507, '10 - Office Chairs'!EQ8:EQ507, '10 - Office Chairs'!EN8:EN507,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IF(OR('10 - Office Chairs'!EQ$7 = "", '10 - Office Chairs'!EQ$7 = "N/A"), "3:Since Hazardous Material / Dangerous Goods equals 'Yes', this field is required", ""), ""), ""), IF(LEN(_xlpm.check3) &gt; 0, _xlpm.check3, IF(AND(_xlpm.val = "", EQ$3="Required"), IF(OR('10 - Office Chairs'!EQ$7 = "", '10 - Office Chairs'!EQ$7 = "N/A"), "3:Packing Group - Value is required", ""), ""))))))))))</f>
        <v/>
      </c>
      <c r="ER8" s="22">
        <f t="array" ref="ER8">_xlfn.MAP('10 - Office Chairs'!B8:B507, '10 - Office Chairs'!ER8:ER507, '10 - Office Chairs'!EN8:EN507,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IF(OR('10 - Office Chairs'!ER$7 = "", '10 - Office Chairs'!ER$7 = "N/A"), "3:Since Hazardous Material / Dangerous Goods equals 'Yes', this field is required", ""), ""), ""), IF(LEN(_xlpm.check3) &gt; 0, _xlpm.check3, IF(AND(_xlpm.val = "", ER$3="Required"), IF(OR('10 - Office Chairs'!ER$7 = "", '10 - Office Chairs'!ER$7 = "N/A"), "3:Hazardous Material Weight - Value is required", ""), ""))))))))))</f>
        <v/>
      </c>
      <c r="ES8" s="22">
        <f t="array" ref="ES8">_xlfn.MAP('10 - Office Chairs'!B8:B507, '10 - Office Chairs'!ES8:ES507, _xlfn.LAMBDA(_xlpm.part, _xlpm.val, IF(_xlpm.part = "", "", IF(AND(_xlpm.val = "", ES$3="Required"), IF(OR('10 - Office Chairs'!ES$7 = "", '10 - Office Chairs'!ES$7 = "N/A"), "3:Energy Efficiency Regulations Compliant - Value is required", ""), ""))))</f>
        <v/>
      </c>
      <c r="ET8" s="22">
        <f t="array" ref="ET8">_xlfn.MAP('10 - Office Chairs'!B8:B507, '10 - Office Chairs'!ET8:ET507, _xlfn.LAMBDA(_xlpm.part, _xlpm.val, IF(_xlpm.part = "", "", IF(AND(_xlpm.val = "", ET$3="Required"), IF(OR('10 - Office Chairs'!ET$7 = "", '10 - Office Chairs'!ET$7 = "N/A"), "3:SOR/2016-193 - Surface Coating Materials Regulations - Value is required", ""), ""))))</f>
        <v/>
      </c>
      <c r="EU8" s="22">
        <f t="array" ref="EU8">_xlfn.MAP('10 - Office Chairs'!B8:B507, '10 - Office Chairs'!EU8:EU507, _xlfn.LAMBDA(_xlpm.part, _xlpm.val, IF(_xlpm.part = "", "", IF(AND(_xlpm.val = "", EU$3="Required"), IF(OR('10 - Office Chairs'!EU$7 = "", '10 - Office Chairs'!EU$7 = "N/A"), "3:ISTA Certified - Value is required", ""), ""))))</f>
        <v/>
      </c>
      <c r="EV8" s="22">
        <f t="array" ref="EV8">_xlfn.MAP('10 - Office Chairs'!B8:B507, '10 - Office Chairs'!EV8:EV507, '10 - Office Chairs'!BS8:BS507, _xlfn.LAMBDA(_xlpm.part, _xlpm.val, _xlpm.dep1, IF(_xlpm.part = "", "", _xlfn.LET(_xlpm.check1, IF(AND(_xlpm.val = "", AND(NOT(ISNUMBER(SEARCH("Yes", _xlpm.dep1))), _xlpm.dep1 &lt;&gt; "")), "2:Autofill", ""), IF(LEN(_xlpm.check1) &gt; 0, _xlpm.check1, _xlfn.LET(_xlpm.check2, IF(ISNUMBER(SEARCH("Yes", _xlpm.dep1)), IF(_xlpm.val = "Does Not Apply", "1:Based on Upholstered, value should not be Does Not Apply", ""), ""), IF(LEN(_xlpm.check2) &gt; 0, _xlpm.check2, IF(AND(_xlpm.val = "", EV$3="Required"), IF(OR('10 - Office Chairs'!EV$7 = "", '10 - Office Chairs'!EV$7 = "N/A"), "3:California AB-1817 Compliant (CA PFAS) - Value is required", ""), ""))))))))</f>
        <v/>
      </c>
      <c r="EW8" s="22">
        <f t="array" ref="EW8">_xlfn.MAP('10 - Office Chairs'!B8:B507, '10 - Office Chairs'!EW8:EW507, _xlfn.LAMBDA(_xlpm.part, _xlpm.val, IF(_xlpm.part = "", "", IF(AND(_xlpm.val = "", EW$3="Required"), IF(OR('10 - Office Chairs'!EW$7 = "", '10 - Office Chairs'!EW$7 = "N/A"), "3:Sustainability &amp; Social Responsibility Certifications (North America Only) - Value is required", ""), ""))))</f>
        <v/>
      </c>
      <c r="EX8" s="22">
        <f t="array" ref="EX8">_xlfn.MAP('10 - Office Chairs'!B8:B507, '10 - Office Chairs'!EX8:EX507, _xlfn.LAMBDA(_xlpm.part, _xlpm.val, IF(_xlpm.part = "", "", IF(AND(_xlpm.val = "", EX$3="Required"), IF(OR('10 - Office Chairs'!EX$7 = "", '10 - Office Chairs'!EX$7 = "N/A"), "3:Commercial Certifications - Value is required", ""), ""))))</f>
        <v/>
      </c>
      <c r="EY8" s="22">
        <f t="array" ref="EY8">_xlfn.MAP('10 - Office Chairs'!B8:B507, '10 - Office Chairs'!EY8:EY507, _xlfn.LAMBDA(_xlpm.part, _xlpm.val, IF(_xlpm.part = "", "", IF(AND(_xlpm.val = "", EY$3="Required"), IF(OR('10 - Office Chairs'!EY$7 = "", '10 - Office Chairs'!EY$7 = "N/A"), "3:Overall Height - Top to Bottom - Value is required", ""), ""))))</f>
        <v/>
      </c>
      <c r="EZ8" s="22">
        <f t="array" ref="EZ8">_xlfn.MAP('10 - Office Chairs'!B8:B507, '10 - Office Chairs'!EZ8:EZ507, _xlfn.LAMBDA(_xlpm.part, _xlpm.val, IF(_xlpm.part = "", "", _xlfn.LET(_xlpm.check1, IF(AND(NOT(ISBLANK(_xlpm.val)),OR(NOT(ISNUMBER(IFERROR(VALUE(_xlpm.val), ""))), IFERROR(VALUE(_xlpm.val), -1) &lt; 0)), "1:Overall Width - Side to Side - Value should be numeric", ""), IF(LEN(_xlpm.check1) &gt; 0, _xlpm.check1, IF(AND(_xlpm.val = "", EZ$3="Required"), IF(OR('10 - Office Chairs'!EZ$7 = "", '10 - Office Chairs'!EZ$7 = "N/A"), "3:Overall Width - Side to Side - Value is required", ""), ""))))))</f>
        <v/>
      </c>
      <c r="FA8" s="22">
        <f t="array" ref="FA8">_xlfn.MAP('10 - Office Chairs'!B8:B507, '10 - Office Chairs'!FA8:FA507, _xlfn.LAMBDA(_xlpm.part, _xlpm.val, IF(_xlpm.part = "", "", _xlfn.LET(_xlpm.check1, IF(AND(NOT(ISBLANK(_xlpm.val)),OR(NOT(ISNUMBER(IFERROR(VALUE(_xlpm.val), ""))), IFERROR(VALUE(_xlpm.val), -1) &lt; 0)), "1:Overall Depth - Front to Back - Value should be numeric", ""), IF(LEN(_xlpm.check1) &gt; 0, _xlpm.check1, IF(AND(_xlpm.val = "", FA$3="Required"), IF(OR('10 - Office Chairs'!FA$7 = "", '10 - Office Chairs'!FA$7 = "N/A"), "3:Overall Depth - Front to Back - Value is required", ""), ""))))))</f>
        <v/>
      </c>
      <c r="FB8" s="22">
        <f t="array" ref="FB8">_xlfn.MAP('10 - Office Chairs'!B8:B507, '10 - Office Chairs'!FB8:FB507, _xlfn.LAMBDA(_xlpm.part, _xlpm.val, IF(_xlpm.part = "", "", IF(AND(_xlpm.val = "", FB$3="Required"), IF(OR('10 - Office Chairs'!FB$7 = "", '10 - Office Chairs'!FB$7 = "N/A"), "3:Seat Height - Floor to Seat - Value is required", ""), ""))))</f>
        <v/>
      </c>
      <c r="FC8" s="22">
        <f t="array" ref="FC8">_xlfn.MAP('10 - Office Chairs'!B8:B507, '10 - Office Chairs'!FC8:FC507, _xlfn.LAMBDA(_xlpm.part, _xlpm.val, IF(_xlpm.part = "", "", IF(AND(_xlpm.val = "", FC$3="Required"), IF(OR('10 - Office Chairs'!FC$7 = "", '10 - Office Chairs'!FC$7 = "N/A"), "3:Seat Width - Side to Side - Value is required", ""), ""))))</f>
        <v/>
      </c>
      <c r="FD8" s="22">
        <f t="array" ref="FD8">_xlfn.MAP('10 - Office Chairs'!B8:B507, '10 - Office Chairs'!FD8:FD507, _xlfn.LAMBDA(_xlpm.part, _xlpm.val, IF(_xlpm.part = "", "", IF(AND(_xlpm.val = "", FD$3="Required"), IF(OR('10 - Office Chairs'!FD$7 = "", '10 - Office Chairs'!FD$7 = "N/A"), "3:Seat Depth - Front to Back - Value is required", ""), ""))))</f>
        <v/>
      </c>
      <c r="FE8" s="22">
        <f t="array" ref="FE8">_xlfn.MAP('10 - Office Chairs'!B8:B507, '10 - Office Chairs'!FE8:FE507, '10 - Office Chairs'!CJ8:CJ507, _xlfn.LAMBDA(_xlpm.part, _xlpm.val, _xlpm.dep1, IF(_xlpm.part = "", "", _xlfn.LET(_xlpm.check1, IF(AND(_xlpm.val = "", _xlpm.dep1 = "No"), "2:Autofill", ""), IF(LEN(_xlpm.check1) &gt; 0, _xlpm.check1, _xlfn.LET(_xlpm.check2, IF(_xlpm.dep1 = "No", IF(_xlpm.val &lt;&gt; "Does Not Apply", "1:Based on Adjustable Height, value should be Does Not Apply", ""), ""), IF(LEN(_xlpm.check2) &gt; 0, _xlpm.check2, IF(AND(_xlpm.val = "", FE$3="Required"), IF(OR('10 - Office Chairs'!FE$7 = "", '10 - Office Chairs'!FE$7 = "N/A"), "3:Minimum Seat Height - Floor to Seat - Value is required", ""), ""))))))))</f>
        <v/>
      </c>
      <c r="FF8" s="22">
        <f t="array" ref="FF8">_xlfn.MAP('10 - Office Chairs'!B8:B507, '10 - Office Chairs'!FF8:FF507, '10 - Office Chairs'!CJ8:CJ507, _xlfn.LAMBDA(_xlpm.part, _xlpm.val, _xlpm.dep1, IF(_xlpm.part = "", "", _xlfn.LET(_xlpm.check1, IF(AND(_xlpm.val = "", _xlpm.dep1 = "No"), "2:Autofill", ""), IF(LEN(_xlpm.check1) &gt; 0, _xlpm.check1, _xlfn.LET(_xlpm.check2, IF(_xlpm.dep1 = "No", IF(_xlpm.val &lt;&gt; "Does Not Apply", "1:Based on Adjustable Height, value should be Does Not Apply", ""), ""), IF(LEN(_xlpm.check2) &gt; 0, _xlpm.check2, IF(AND(_xlpm.val = "", FF$3="Required"), IF(OR('10 - Office Chairs'!FF$7 = "", '10 - Office Chairs'!FF$7 = "N/A"), "3:Maximum Seat Height - Floor to Seat - Value is required", ""), ""))))))))</f>
        <v/>
      </c>
      <c r="FG8" s="22">
        <f t="array" ref="FG8">_xlfn.MAP('10 - Office Chairs'!B8:B507, '10 - Office Chairs'!FG8:FG507, _xlfn.LAMBDA(_xlpm.part, _xlpm.val, IF(_xlpm.part = "", "", IF(AND(_xlpm.val = "", FG$3="Required"), IF(OR('10 - Office Chairs'!FG$7 = "", '10 - Office Chairs'!FG$7 = "N/A"), "3:Seat Cushion Thickness - Value is required", ""), ""))))</f>
        <v/>
      </c>
      <c r="FH8" s="22">
        <f t="array" ref="FH8">_xlfn.MAP('10 - Office Chairs'!B8:B507, '10 - Office Chairs'!FH8:FH507, '10 - Office Chairs'!BV8:BV507, _xlfn.LAMBDA(_xlpm.part, _xlpm.val, _xlpm.dep1, IF(_xlpm.part = "", "", _xlfn.LET(_xlpm.check1, IF(AND(_xlpm.val = "", ISNUMBER(SEARCH("Yes", _xlpm.dep1))), "2:Autofill", ""), IF(LEN(_xlpm.check1) &gt; 0, _xlpm.check1, _xlfn.LET(_xlpm.check2, IF(ISNUMBER(SEARCH("Yes", _xlpm.dep1)), IF(_xlpm.val &lt;&gt; "Does Not Apply", "1:Based on Adjustable Backrest-Height, value should be Does Not Apply", ""), ""), IF(LEN(_xlpm.check2) &gt; 0, _xlpm.check2, IF(AND(_xlpm.val = "", FH$3="Required"), IF(OR('10 - Office Chairs'!FH$7 = "", '10 - Office Chairs'!FH$7 = "N/A"), "3:Chair Back Height - Seat to Top of Back - Value is required", ""), ""))))))))</f>
        <v/>
      </c>
      <c r="FI8" s="22">
        <f t="array" ref="FI8">_xlfn.MAP('10 - Office Chairs'!B8:B507, '10 - Office Chairs'!FI8:FI507, _xlfn.LAMBDA(_xlpm.part, _xlpm.val, IF(_xlpm.part = "", "", IF(AND(_xlpm.val = "", FI$3="Required"), IF(OR('10 - Office Chairs'!FI$7 = "", '10 - Office Chairs'!FI$7 = "N/A"), "3:Overall Product Weight - Value is required", ""), ""))))</f>
        <v/>
      </c>
      <c r="FJ8" s="22">
        <f t="array" ref="FJ8">_xlfn.MAP('10 - Office Chairs'!B8:B507, '10 - Office Chairs'!FJ8:FJ507, _xlfn.LAMBDA(_xlpm.part, _xlpm.val, IF(_xlpm.part = "", "", IF(AND(_xlpm.val = "", FJ$3="Required"), IF(OR('10 - Office Chairs'!FJ$7 = "", '10 - Office Chairs'!FJ$7 = "N/A"), "3:Assembly Required - Value is required", ""), ""))))</f>
        <v/>
      </c>
      <c r="FK8" s="22">
        <f t="array" ref="FK8">_xlfn.MAP('10 - Office Chairs'!B8:B507, '10 - Office Chairs'!FK8:FK507, '10 - Office Chairs'!FJ8:FJ507, _xlfn.LAMBDA(_xlpm.part, _xlpm.val, _xlpm.dep1, IF(_xlpm.part = "", "", _xlfn.LET(_xlpm.check1, IF(AND(_xlpm.val = "", _xlpm.dep1 = "No"), "2:Autofill", ""), IF(LEN(_xlpm.check1) &gt; 0, _xlpm.check1, _xlfn.LET(_xlpm.check2, IF(_xlpm.dep1 = "No", IF(_xlpm.val &lt;&gt; "No Assembly Needed", "1:Based on Assembly Required, value should be No Assembly Needed", ""), ""), IF(LEN(_xlpm.check2) &gt; 0, _xlpm.check2, IF(AND(_xlpm.val = "", FK$3="Required"), IF(OR('10 - Office Chairs'!FK$7 = "", '10 - Office Chairs'!FK$7 = "N/A"), "3:Level of Assembly - Value is required", ""), ""))))))))</f>
        <v/>
      </c>
      <c r="FL8" s="22">
        <f t="array" ref="FL8">_xlfn.MAP('10 - Office Chairs'!B8:B507, '10 - Office Chairs'!FL8:FL507, '10 - Office Chairs'!FJ8:FJ507, _xlfn.LAMBDA(_xlpm.part, _xlpm.val, _xlpm.dep1, IF(_xlpm.part = "", "", _xlfn.LET(_xlpm.check1, IF(AND(_xlpm.val = "", _xlpm.dep1 = "No"), "2:Autofill", ""), IF(LEN(_xlpm.check1) &gt; 0, _xlpm.check1, _xlfn.LET(_xlpm.check2, IF(NOT(ISBLANK(_xlpm.val)),_xlfn.LET(_xlpm.items, _xlfn.TEXTSPLIT(_xlpm.val, ";"),_xlpm.trimmed, _xlfn.MAP(_xlpm.items, _xlfn.LAMBDA(_xlpm.x, TRIM(_xlpm.x))),_xlpm.invalid, _xlfn._xlws.FILTER(_xlpm.trimmed, ISNA(MATCH(_xlpm.trimmed, allowed258418, 0)), ""),IF(AND(_xlpm.invalid&lt;&gt;"", COUNTA(_xlpm.invalid)&gt;0),"1:Please select valid values from the provided list. Answers are case-sensitive and must be separated by a semicolon.","")), ""), IF(LEN(_xlpm.check2) &gt; 0, _xlpm.check2, _xlfn.LET(_xlpm.check3, IF(_xlpm.dep1 = "No", IF(_xlpm.val &lt;&gt; "Does Not Apply", "1:Based on Assembly Required, value should be Does Not Apply", ""), ""), IF(LEN(_xlpm.check3) &gt; 0, _xlpm.check3, IF(AND(_xlpm.val = "", FL$3="Required"), IF(OR('10 - Office Chairs'!FL$7 = "", '10 - Office Chairs'!FL$7 = "N/A"), "3:Additional Tools Required (Not Included) - Value is required", ""), ""))))))))))</f>
        <v/>
      </c>
      <c r="FM8" s="22">
        <f t="array" ref="FM8">_xlfn.MAP('10 - Office Chairs'!B8:B507, '10 - Office Chairs'!FM8:FM507, _xlfn.LAMBDA(_xlpm.part, _xlpm.val, IF(_xlpm.part = "", "", IF(AND(_xlpm.val = "", FM$3="Required"), IF(OR('10 - Office Chairs'!FM$7 = "", '10 - Office Chairs'!FM$7 = "N/A"), "3:Commercial Warranty - Value is required", ""), ""))))</f>
        <v/>
      </c>
      <c r="FN8" s="22">
        <f t="array" ref="FN8">_xlfn.MAP('10 - Office Chairs'!B8:B507, '10 - Office Chairs'!FN8:FN507, '10 - Office Chairs'!FM8:FM507, _xlfn.LAMBDA(_xlpm.part, _xlpm.val, _xlpm.dep1, IF(_xlpm.part = "", "",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IF(OR('10 - Office Chairs'!FN$7 = "", '10 - Office Chairs'!FN$7 = "N/A"), "3:Since Commercial Warranty equals 'Yes', this field is required", ""), ""), ""), IF(LEN(_xlpm.check3) &gt; 0, _xlpm.check3, IF(AND(_xlpm.val = "", FN$3="Required"), IF(OR('10 - Office Chairs'!FN$7 = "", '10 - Office Chairs'!FN$7 = "N/A"), "3:Commercial Warranty Length - Value is required", ""), ""))))))))))</f>
        <v/>
      </c>
      <c r="FO8" s="22">
        <f t="array" ref="FO8">_xlfn.MAP('10 - Office Chairs'!B8:B507, '10 - Office Chairs'!FO8:FO507, _xlfn.LAMBDA(_xlpm.part, _xlpm.val, IF(_xlpm.part = "", "", IF(AND(_xlpm.val = "", FO$3="Required"), IF(OR('10 - Office Chairs'!FO$7 = "", '10 - Office Chairs'!FO$7 = "N/A"), "3:Product Warranty - Value is required", ""), ""))))</f>
        <v/>
      </c>
      <c r="FP8" s="22">
        <f t="array" ref="FP8">_xlfn.MAP('10 - Office Chairs'!B8:B507, '10 - Office Chairs'!FP8:FP507, _xlfn.LAMBDA(_xlpm.part, _xlpm.val, IF(_xlpm.part = "", "", IF(AND(_xlpm.val = "", FP$3="Required"), IF(OR('10 - Office Chairs'!FP$7 = "", '10 - Office Chairs'!FP$7 = "N/A"), "3:Full or Limited Warranty - Value is required", ""), ""))))</f>
        <v/>
      </c>
    </row>
  </sheetData>
  <sheetProtection selectLockedCells="0" selectUnlockedCells="0" sheet="1" objects="1" insertRows="1" insertHyperlinks="1" autoFilter="1" scenarios="1" formatColumns="1" deleteColumns="1" insertColumns="1" pivotTables="1" deleteRows="1" formatCells="1" formatRows="1" sort="1" password="ACD2"/>
  <mergeCells count="9">
    <mergeCell ref="AL2:AO2"/>
    <mergeCell ref="AP2:AS2"/>
    <mergeCell ref="U2:Z2"/>
    <mergeCell ref="BO2:FP2"/>
    <mergeCell ref="R2:T2"/>
    <mergeCell ref="B2:I2"/>
    <mergeCell ref="AA2:AK2"/>
    <mergeCell ref="AT2:BN2"/>
    <mergeCell ref="J2:Q2"/>
  </mergeCells>
  <dataValidations count="166">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'WAYFAIR_USE_ONLY'!$DN$7:$DN15</formula1>
    </dataValidation>
    <dataValidation sqref="BP7" showDropDown="0" showInputMessage="1" showErrorMessage="1" allowBlank="1" errorTitle="Invalid Frame Material" error="The value provided is not a valid Frame Material.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'WAYFAIR_USE_ONLY'!$DO$7:$DO62</formula1>
    </dataValidation>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errorTitle="Invalid Upholstered" error="The value provided is not a valid Upholstered." promptTitle="" prompt="If all products in this class consistently have the same answer, you can set a default value to apply automatically. For any exceptions, you can modify the answer for specific products without changing the default." type="list">
      <formula1>'WAYFAIR_USE_ONLY'!$DP$7:$DP9</formula1>
    </dataValidation>
    <dataValidation sqref="B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U7" showDropDown="0" showInputMessage="1" showErrorMessage="1" allowBlank="1" errorTitle="Invalid Tufted" error="The value provided is not a valid Tufted." promptTitle="" prompt="If all products in this class consistently have the same answer, you can set a default value to apply automatically. For any exceptions, you can modify the answer for specific products without changing the default." type="list">
      <formula1>'WAYFAIR_USE_ONLY'!$DQ$7:$DQ10</formula1>
    </dataValidation>
    <dataValidation sqref="BV7" showDropDown="0" showInputMessage="1" showErrorMessage="1" allowBlank="1" errorTitle="Invalid Adjustable Backrest-Heig" error="The value provided is not a valid Adjustable Backrest-Height." promptTitle="" prompt="If all products in this class consistently have the same answer, you can set a default value to apply automatically. For any exceptions, you can modify the answer for specific products without changing the default." type="list">
      <formula1>'WAYFAIR_USE_ONLY'!$DR$7:$DR10</formula1>
    </dataValidation>
    <dataValidation sqref="BW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7" showDropDown="0" showInputMessage="1" showErrorMessage="1" allowBlank="1" errorTitle="Invalid Arms Included" error="The value provided is not a valid Arms Included." promptTitle="" prompt="If all products in this class consistently have the same answer, you can set a default value to apply automatically. For any exceptions, you can modify the answer for specific products without changing the default." type="list">
      <formula1>'WAYFAIR_USE_ONLY'!$DS$7:$DS10</formula1>
    </dataValidation>
    <dataValidation sqref="C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D7" showDropDown="0" showInputMessage="1" showErrorMessage="1" allowBlank="1" errorTitle="Invalid Swivel" error="The value provided is not a valid Swivel." promptTitle="" prompt="If all products in this class consistently have the same answer, you can set a default value to apply automatically. For any exceptions, you can modify the answer for specific products without changing the default." type="list">
      <formula1>'WAYFAIR_USE_ONLY'!$DT$7:$DT9</formula1>
    </dataValidation>
    <dataValidation sqref="CE7" showDropDown="0" showInputMessage="1" showErrorMessage="1" allowBlank="1" errorTitle="Invalid Lumbar Support" error="The value provided is not a valid Lumbar Support." promptTitle="" prompt="If all products in this class consistently have the same answer, you can set a default value to apply automatically. For any exceptions, you can modify the answer for specific products without changing the default." type="list">
      <formula1>'WAYFAIR_USE_ONLY'!$DU$7:$DU9</formula1>
    </dataValidation>
    <dataValidation sqref="CF7" showDropDown="0" showInputMessage="1" showErrorMessage="1" allowBlank="1" errorTitle="Invalid Massage Setting" error="The value provided is not a valid Massage Setting." promptTitle="" prompt="If all products in this class consistently have the same answer, you can set a default value to apply automatically. For any exceptions, you can modify the answer for specific products without changing the default." type="list">
      <formula1>'WAYFAIR_USE_ONLY'!$DV$7:$DV11</formula1>
    </dataValidation>
    <dataValidation sqref="CG7" showDropDown="0" showInputMessage="1" showErrorMessage="1" allowBlank="1" errorTitle="Invalid Tilting" error="The value provided is not a valid Tilting." promptTitle="" prompt="If all products in this class consistently have the same answer, you can set a default value to apply automatically. For any exceptions, you can modify the answer for specific products without changing the default." type="list">
      <formula1>'WAYFAIR_USE_ONLY'!$DW$7:$DW10</formula1>
    </dataValidation>
    <dataValidation sqref="CH7" showDropDown="0" showInputMessage="1" showErrorMessage="1" allowBlank="1" errorTitle="Invalid Tilt Lock" error="The value provided is not a valid Tilt Lock." promptTitle="" prompt="If all products in this class consistently have the same answer, you can set a default value to apply automatically. For any exceptions, you can modify the answer for specific products without changing the default." type="list">
      <formula1>'WAYFAIR_USE_ONLY'!$DX$7:$DX11</formula1>
    </dataValidation>
    <dataValidation sqref="CI7" showDropDown="0" showInputMessage="1" showErrorMessage="1" allowBlank="1" errorTitle="Invalid Adjustable Tilt Tension" error="The value provided is not a valid Adjustable Tilt Tension." promptTitle="" prompt="If all products in this class consistently have the same answer, you can set a default value to apply automatically. For any exceptions, you can modify the answer for specific products without changing the default." type="list">
      <formula1>'WAYFAIR_USE_ONLY'!$DY$7:$DY10</formula1>
    </dataValidation>
    <dataValidation sqref="CJ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'WAYFAIR_USE_ONLY'!$DZ$7:$DZ10</formula1>
    </dataValidation>
    <dataValidation sqref="CK7" showDropDown="0" showInputMessage="1" showErrorMessage="1" allowBlank="1" errorTitle="Invalid Seat Depth Adjustment" error="The value provided is not a valid Seat Depth Adjustment." promptTitle="" prompt="If all products in this class consistently have the same answer, you can set a default value to apply automatically. For any exceptions, you can modify the answer for specific products without changing the default." type="list">
      <formula1>'WAYFAIR_USE_ONLY'!$EA$7:$EA10</formula1>
    </dataValidation>
    <dataValidation sqref="CL7" showDropDown="0" showInputMessage="1" showErrorMessage="1" allowBlank="1" errorTitle="Invalid Seat Angle Adjustment" error="The value provided is not a valid Seat Angle Adjustment." promptTitle="" prompt="If all products in this class consistently have the same answer, you can set a default value to apply automatically. For any exceptions, you can modify the answer for specific products without changing the default." type="list">
      <formula1>'WAYFAIR_USE_ONLY'!$EB$7:$EB10</formula1>
    </dataValidation>
    <dataValidation sqref="CM7" showDropDown="0" showInputMessage="1" showErrorMessage="1" allowBlank="1" errorTitle="Invalid Waterfall Seat Included" error="The value provided is not a valid Waterfall Seat Included." promptTitle="" prompt="If all products in this class consistently have the same answer, you can set a default value to apply automatically. For any exceptions, you can modify the answer for specific products without changing the default." type="list">
      <formula1>'WAYFAIR_USE_ONLY'!$EC$7:$EC10</formula1>
    </dataValidation>
    <dataValidation sqref="CN7" showDropDown="0" showInputMessage="1" showErrorMessage="1" allowBlank="1" errorTitle="Invalid Seat Glide Mechanism" error="The value provided is not a valid Seat Glide Mechanism." promptTitle="" prompt="If all products in this class consistently have the same answer, you can set a default value to apply automatically. For any exceptions, you can modify the answer for specific products without changing the default." type="list">
      <formula1>'WAYFAIR_USE_ONLY'!$ED$7:$ED10</formula1>
    </dataValidation>
    <dataValidation sqref="CO7" showDropDown="0" showInputMessage="1" showErrorMessage="1" allowBlank="1" errorTitle="Invalid Headrest Included" error="The value provided is not a valid Headrest Included." promptTitle="" prompt="If all products in this class consistently have the same answer, you can set a default value to apply automatically. For any exceptions, you can modify the answer for specific products without changing the default." type="list">
      <formula1>'WAYFAIR_USE_ONLY'!$EE$7:$EE10</formula1>
    </dataValidation>
    <dataValidation sqref="CP7" showDropDown="0" showInputMessage="1" showErrorMessage="1" allowBlank="1" errorTitle="Invalid Footrest Included" error="The value provided is not a valid Footrest Included." promptTitle="" prompt="If all products in this class consistently have the same answer, you can set a default value to apply automatically. For any exceptions, you can modify the answer for specific products without changing the default." type="list">
      <formula1>'WAYFAIR_USE_ONLY'!$EF$7:$EF10</formula1>
    </dataValidation>
    <dataValidation sqref="CQ7" showDropDown="0" showInputMessage="1" showErrorMessage="1" allowBlank="1" errorTitle="Invalid Casters / Wheels" error="The value provided is not a valid Casters / Wheels." promptTitle="" prompt="If all products in this class consistently have the same answer, you can set a default value to apply automatically. For any exceptions, you can modify the answer for specific products without changing the default." type="list">
      <formula1>'WAYFAIR_USE_ONLY'!$EG$7:$EG10</formula1>
    </dataValidation>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7" showDropDown="0" showInputMessage="1" showErrorMessage="1" allowBlank="1" errorTitle="Invalid Stackable" error="The value provided is not a valid Stackable." promptTitle="" prompt="If all products in this class consistently have the same answer, you can set a default value to apply automatically. For any exceptions, you can modify the answer for specific products without changing the default." type="list">
      <formula1>'WAYFAIR_USE_ONLY'!$EH$7:$EH11</formula1>
    </dataValidation>
    <dataValidation sqref="C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V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'WAYFAIR_USE_ONLY'!$EI$7:$EI26</formula1>
    </dataValidation>
    <dataValidation sqref="CW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'WAYFAIR_USE_ONLY'!$EJ$7:$EJ11</formula1>
    </dataValidation>
    <dataValidation sqref="CX7" showDropDown="0" showInputMessage="1" showErrorMessage="1" allowBlank="1" errorTitle="Invalid Vibration" error="The value provided is not a valid Vibration." promptTitle="" prompt="If all products in this class consistently have the same answer, you can set a default value to apply automatically. For any exceptions, you can modify the answer for specific products without changing the default." type="list">
      <formula1>'WAYFAIR_USE_ONLY'!$EK$7:$EK11</formula1>
    </dataValidation>
    <dataValidation sqref="CY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'WAYFAIR_USE_ONLY'!$ES$7:$ES10</formula1>
    </dataValidation>
    <dataValidation sqref="CZ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Z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'WAYFAIR_USE_ONLY'!$EL$7:$EL17</formula1>
    </dataValidation>
    <dataValidation sqref="DA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A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'WAYFAIR_USE_ONLY'!$EM$7:$EM11</formula1>
    </dataValidation>
    <dataValidation sqref="DB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B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'WAYFAIR_USE_ONLY'!$EN$7:$EN19</formula1>
    </dataValidation>
    <dataValidation sqref="DC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C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'WAYFAIR_USE_ONLY'!$EO$7:$EO11</formula1>
    </dataValidation>
    <dataValidation sqref="DD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D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'WAYFAIR_USE_ONLY'!$EP$7:$EP14</formula1>
    </dataValidation>
    <dataValidation sqref="DE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E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'WAYFAIR_USE_ONLY'!$EQ$7:$EQ14</formula1>
    </dataValidation>
    <dataValidation sqref="DF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F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'WAYFAIR_USE_ONLY'!$ER$7:$ER12</formula1>
    </dataValidation>
    <dataValidation sqref="D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Adjustable Headrest" error="The value provided is not a valid Adjustable Headrest." promptTitle="" prompt="If all products in this class consistently have the same answer, you can set a default value to apply automatically. For any exceptions, you can modify the answer for specific products without changing the default." type="list">
      <formula1>'WAYFAIR_USE_ONLY'!$ET$7:$ET10</formula1>
    </dataValidation>
    <dataValidation sqref="DI7" showDropDown="0" showInputMessage="1" showErrorMessage="1" allowBlank="1" errorTitle="Invalid Adjustable Lumbar Suppor" error="The value provided is not a valid Adjustable Lumbar Support." promptTitle="" prompt="If all products in this class consistently have the same answer, you can set a default value to apply automatically. For any exceptions, you can modify the answer for specific products without changing the default." type="list">
      <formula1>'WAYFAIR_USE_ONLY'!$EU$7:$EU10</formula1>
    </dataValidation>
    <dataValidation sqref="D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M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O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'WAYFAIR_USE_ONLY'!$EV$7:$EV9</formula1>
    </dataValidation>
    <dataValidation sqref="D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Q7" showDropDown="0" showInputMessage="1" showErrorMessage="1" allowBlank="1" errorTitle="Invalid Back Angle Adjustment" error="The value provided is not a valid Back Angle Adjustment." promptTitle="" prompt="If all products in this class consistently have the same answer, you can set a default value to apply automatically. For any exceptions, you can modify the answer for specific products without changing the default." type="list">
      <formula1>'WAYFAIR_USE_ONLY'!$EW$7:$EW11</formula1>
    </dataValidation>
    <dataValidation sqref="DR7" showDropDown="0" showInputMessage="1" showErrorMessage="1" allowBlank="1" errorTitle="Invalid Removable Wheels / Caste" error="The value provided is not a valid Removable Wheels / Casters." promptTitle="" prompt="If all products in this class consistently have the same answer, you can set a default value to apply automatically. For any exceptions, you can modify the answer for specific products without changing the default." type="list">
      <formula1>'WAYFAIR_USE_ONLY'!$EX$7:$EX11</formula1>
    </dataValidation>
    <dataValidation sqref="D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T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'WAYFAIR_USE_ONLY'!$EY$7:$EY11</formula1>
    </dataValidation>
    <dataValidation sqref="D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W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X7" showDropDown="0" showInputMessage="1" showErrorMessage="1" allowBlank="1" errorTitle="Invalid Rub Count" error="The value provided is not a valid Rub Count." promptTitle="" prompt="If all products in this class consistently have the same answer, you can set a default value to apply automatically. For any exceptions, you can modify the answer for specific products without changing the default." type="list">
      <formula1>'WAYFAIR_USE_ONLY'!$EZ$7:$EZ16</formula1>
    </dataValidation>
    <dataValidation sqref="DY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'WAYFAIR_USE_ONLY'!$FA$7:$FA10</formula1>
    </dataValidation>
    <dataValidation sqref="DZ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'WAYFAIR_USE_ONLY'!$FE$7:$FE10</formula1>
    </dataValidation>
    <dataValidation sqref="EA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EA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'WAYFAIR_USE_ONLY'!$FB$7:$FB11</formula1>
    </dataValidation>
    <dataValidation sqref="EB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EB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'WAYFAIR_USE_ONLY'!$FC$7:$FC11</formula1>
    </dataValidation>
    <dataValidation sqref="EC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EC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'WAYFAIR_USE_ONLY'!$FD$7:$FD11</formula1>
    </dataValidation>
    <dataValidation sqref="ED7" showDropDown="0" showInputMessage="1" showErrorMessage="1" allowBlank="1" errorTitle="Invalid ADA Compliant" error="The value provided is not a valid ADA Compliant." promptTitle="" prompt="If all products in this class consistently have the same answer, you can set a default value to apply automatically. For any exceptions, you can modify the answer for specific products without changing the default." type="list">
      <formula1>'WAYFAIR_USE_ONLY'!$FF$7:$FF10</formula1>
    </dataValidation>
    <dataValidation sqref="EE7" showDropDown="0" showInputMessage="1" showErrorMessage="1" allowBlank="1" errorTitle="Invalid Contains Flame Retardant" error="The value provided is not a valid Contains Flame Retardant Materials." promptTitle="" prompt="If all products in this class consistently have the same answer, you can set a default value to apply automatically. For any exceptions, you can modify the answer for specific products without changing the default." type="list">
      <formula1>'WAYFAIR_USE_ONLY'!$FG$7:$FG9</formula1>
    </dataValidation>
    <dataValidation sqref="EF7" showDropDown="0" showInputMessage="1" showErrorMessage="1" allowBlank="1" errorTitle="Invalid CAL TB 116 Compliant" error="The value provided is not a valid CAL TB 116 Compliant." promptTitle="" prompt="If all products in this class consistently have the same answer, you can set a default value to apply automatically. For any exceptions, you can modify the answer for specific products without changing the default." type="list">
      <formula1>'WAYFAIR_USE_ONLY'!$FH$7:$FH12</formula1>
    </dataValidation>
    <dataValidation sqref="EG7" showDropDown="0" showInputMessage="1" showErrorMessage="1" allowBlank="1" errorTitle="Invalid CAL TB 117-2013 Complian" error="The value provided is not a valid CAL TB 117-2013 Compliant." promptTitle="" prompt="If all products in this class consistently have the same answer, you can set a default value to apply automatically. For any exceptions, you can modify the answer for specific products without changing the default." type="list">
      <formula1>'WAYFAIR_USE_ONLY'!$FI$7:$FI12</formula1>
    </dataValidation>
    <dataValidation sqref="EH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'WAYFAIR_USE_ONLY'!$FJ$7:$FJ11</formula1>
    </dataValidation>
    <dataValidation sqref="EI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'WAYFAIR_USE_ONLY'!$FK$7:$FK10</formula1>
    </dataValidation>
    <dataValidation sqref="EJ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'WAYFAIR_USE_ONLY'!$FL$7:$FL9</formula1>
    </dataValidation>
    <dataValidation sqref="EK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E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L7" showDropDown="0" showInputMessage="1" showErrorMessage="1" allowBlank="1" errorTitle="Invalid Lacey Act Compliant" error="The value provided is not a valid Lacey Act Compliant." promptTitle="" prompt="If all products in this class consistently have the same answer, you can set a default value to apply automatically. For any exceptions, you can modify the answer for specific products without changing the default." type="list">
      <formula1>'WAYFAIR_USE_ONLY'!$FM$7:$FM11</formula1>
    </dataValidation>
    <dataValidation sqref="EM7" showDropDown="0" showInputMessage="1" showErrorMessage="1" allowBlank="1" errorTitle="Invalid SOFFA Compliant" error="The value provided is not a valid SOFFA Compliant." promptTitle="" prompt="If all products in this class consistently have the same answer, you can set a default value to apply automatically. For any exceptions, you can modify the answer for specific products without changing the default." type="list">
      <formula1>'WAYFAIR_USE_ONLY'!$FN$7:$FN10</formula1>
    </dataValidation>
    <dataValidation sqref="EN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'WAYFAIR_USE_ONLY'!$FR$7:$FR9</formula1>
    </dataValidation>
    <dataValidation sqref="EO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P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'WAYFAIR_USE_ONLY'!$FO$7:$FO23</formula1>
    </dataValidation>
    <dataValidation sqref="EQ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Q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'WAYFAIR_USE_ONLY'!$FP$7:$FP12</formula1>
    </dataValidation>
    <dataValidation sqref="ER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R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'WAYFAIR_USE_ONLY'!$FQ$7:$FQ19</formula1>
    </dataValidation>
    <dataValidation sqref="ES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'WAYFAIR_USE_ONLY'!$FS$7:$FS12</formula1>
    </dataValidation>
    <dataValidation sqref="ET7" showDropDown="0" showInputMessage="1" showErrorMessage="1" allowBlank="1" errorTitle="Invalid SOR/2016-193 - Surface C" error="The value provided is not a valid SOR/2016-193 - Surface Coating Materials Regulations." promptTitle="" prompt="If all products in this class consistently have the same answer, you can set a default value to apply automatically. For any exceptions, you can modify the answer for specific products without changing the default." type="list">
      <formula1>'WAYFAIR_USE_ONLY'!$FT$7:$FT11</formula1>
    </dataValidation>
    <dataValidation sqref="EU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'WAYFAIR_USE_ONLY'!$FU$7:$FU10</formula1>
    </dataValidation>
    <dataValidation sqref="EV7" showDropDown="0" showInputMessage="1" showErrorMessage="1" allowBlank="1" errorTitle="Invalid California AB-1817 Compl" error="The value provided is not a valid California AB-1817 Compliant (CA PFAS)." promptTitle="" prompt="If all products in this class consistently have the same answer, you can set a default value to apply automatically. For any exceptions, you can modify the answer for specific products without changing the default." type="list">
      <formula1>'WAYFAIR_USE_ONLY'!$FV$7:$FV11</formula1>
    </dataValidation>
    <dataValidation sqref="EW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'WAYFAIR_USE_ONLY'!$FW$7:$FW10</formula1>
    </dataValidation>
    <dataValidation sqref="EX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'WAYFAIR_USE_ONLY'!$FX$7:$FX12</formula1>
    </dataValidation>
    <dataValidation sqref="EY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Z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A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B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C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J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'WAYFAIR_USE_ONLY'!$FY$7:$FY9</formula1>
    </dataValidation>
    <dataValidation sqref="FK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'WAYFAIR_USE_ONLY'!$FZ$7:$FZ11</formula1>
    </dataValidation>
    <dataValidation sqref="F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FM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'WAYFAIR_USE_ONLY'!$GB$7:$GB10</formula1>
    </dataValidation>
    <dataValidation sqref="FN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FN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'WAYFAIR_USE_ONLY'!$GA$7:$GA32</formula1>
    </dataValidation>
    <dataValidation sqref="FO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'WAYFAIR_USE_ONLY'!$GC$7:$GC9</formula1>
    </dataValidation>
    <dataValidation sqref="FP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'WAYFAIR_USE_ONLY'!$GD$7:$GD10</formula1>
    </dataValidation>
  </dataValidations>
  <hyperlinks>
    <hyperlink ref="D6" location="'Valid Values'!A1" display="Select"/>
    <hyperlink ref="J6" location="'Valid Values'!B1" display="Select"/>
    <hyperlink ref="L6" location="'Valid Values'!E1" display="Select"/>
    <hyperlink ref="N6" location="'Valid Values'!E1" display="Select"/>
    <hyperlink ref="P6" location="'Valid Values'!E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CW1" display="Select"/>
    <hyperlink ref="BP6" location="'Valid Values'!CX1" display="Select"/>
    <hyperlink ref="BQ6" location="'Valid Values'!CY1" display="Please choose one or more from the following, using a semicolon (;) to separate each value: Mesh; Bungee; Other; Manufactured Wood; Fabric; Solid Wood; Metal; Plastic; Leather; Unavailable"/>
    <hyperlink ref="BR6" location="'Valid Values'!CZ1" display="Please choose one or more from the following, using a semicolon (;) to separate each value: Ceramic; Plastic; Wood; Manufactured wood; Brass; Bungee; Chenille; Concrete; Copper; Fabric; Genuine Leather; Metal; Plastic / Resin; Nickel; Polyurethane; Solid + Manufactured Wood; Cotton; Stainless Steel; Wicker/Rattan; Faux Leather; Mesh; Iron; Plastic / Acrylic; Microfiber; Polyester/Polyester blend; Porcelain; Sling; Solid Wood; Velvet; Wicker; Steel; Twill; Aluminum; Resin; Leather; Vinyl; Suede; Upholstered; Polyester; Sunbrella®; Canvas; Does Not Apply"/>
    <hyperlink ref="BT6" location="'Valid Values'!DA1" display="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
    <hyperlink ref="BW6" location="'Valid Values'!DB1" display="Please choose one or more from the following, using a semicolon (;) to separate each value: Fabric; Solid Wood; Leather; Faux Leather; Metal; Vinyl; Mesh; Plastic / Acrylic; Manufactured Wood; Bungee; Copper; Nickel; Aluminum; Steel; Stainless Steel; Upholstered; Microfiber; Polyester / Polyester Blend; Iron; Brass; Cane; Unavailable"/>
    <hyperlink ref="BX6" location="'Valid Values'!DC1" display="Please choose one or more from the following, using a semicolon (;) to separate each value: Twill; Fabric; Polyurethane; Genuine Leather; Vinyl; Polyester / Polyester Blend; Faux Fur; Faux Leather; Suede; Microfiber; Velvet; Leather; Rayon; Chenille; Wool; Cotton; Linen; Microsuede; Unavailable; Does Not Apply"/>
    <hyperlink ref="BY6" location="'Valid Values'!DD1" display="Please choose one or more from the following, using a semicolon (;) to separate each value: Foam; Cotton; Down; Synthetic Fiber; Feather; Polyester; Pellets / Beads; Unavailable; Does Not Apply"/>
    <hyperlink ref="BZ6" location="'Valid Values'!DE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A6" location="'Valid Values'!DF1" display="Please choose one or more from the following, using a semicolon (;) to separate each value: No Natural Variation; Natural Wood Grain Color Variation; Weathered Steel; Wood Knots; Natural Stone Color Variation; Unavailable"/>
    <hyperlink ref="CC6" location="'Valid Values'!DG1" display="Please choose one or more from the following, using a semicolon (;) to separate each value: Up / Down; Pivot; Side to Side; Front to Back; Non-Adjustable; Flip Up; Unavailable; Does Not Apply"/>
    <hyperlink ref="CR6" location="'Valid Values'!DH1" display="Please choose one or more from the following, using a semicolon (;) to separate each value: Hardwood; Carpet; Linoleum / Laminate; Brick; Porcelain; Thick Carpet and Shag Rugs; Vinyl; Metal; Rug; Marble / Tile; Upholstery; Concrete / Stone; Grass; Heated Floor; Onyx; Thin Carpets and Low Pile Rugs; Engineered Wood; Bamboo; Cork; Unavailable; Does Not Apply"/>
    <hyperlink ref="CT6" location="'Valid Values'!DI1" display="Please choose one or more from the following, using a semicolon (;) to separate each value: Non Residential Use; Residential Use"/>
    <hyperlink ref="CU6" location="'Valid Values'!DJ1" display="Please choose one or more from the following, using a semicolon (;) to separate each value: Made in USA; Made in USA of Imported Materials; Product of Canada; Made In Canada; Does Not Apply"/>
    <hyperlink ref="CV6" location="'Valid Values'!DK1" display="Select"/>
    <hyperlink ref="CZ6" location="'Valid Values'!DL1" display="Select"/>
    <hyperlink ref="DA6" location="'Valid Values'!DM1" display="Select"/>
    <hyperlink ref="DB6" location="'Valid Values'!DN1" display="Select"/>
    <hyperlink ref="DC6" location="'Valid Values'!DO1" display="Select"/>
    <hyperlink ref="DD6" location="'Valid Values'!DP1" display="Select"/>
    <hyperlink ref="DE6" location="'Valid Values'!DQ1" display="Select"/>
    <hyperlink ref="DF6" location="'Valid Values'!DR1" display="Select"/>
    <hyperlink ref="DJ6" location="'Valid Values'!DS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DK6" location="'Valid Values'!DT1" display="Please choose one or more from the following, using a semicolon (;) to separate each value: Cream; Green; Gold; Blue; Beige; Tan; Gray; Black; Clear; Orange; Red; Purple; Pink; Silver; Navy; Ivory; Brown; White; Platinum; Yellow; Teal; Does Not Apply"/>
    <hyperlink ref="DL6" location="'Valid Values'!DU1" display="Please choose one or more from the following, using a semicolon (;) to separate each value: Wood; Manufactured Wood; Rubber; Foam; Plastic / Acrylic; Wicker; Fabric; Metal; Nylon; Polyester; Plastic; Vinyl; Polypropylene; Solid Wood; Faux Leather; Genuine Leather; Polyurethane; Solid + Manufactured Wood; Unavailable; Does Not Apply"/>
    <hyperlink ref="DM6" location="'Valid Values'!DV1" display="Please choose one or more from the following, using a semicolon (;) to separate each value: Down; Feather; Down Blend; Synthetic Fiber; Foam; Eco-Fill; Pellets / Beads; Cotton; Polyester; Unavailable; Does Not Apply"/>
    <hyperlink ref="DN6" location="'Valid Values'!DW1" display="Please choose one or more from the following, using a semicolon (;) to separate each value: Stainless Steel; White; Silver; Satin; Gold; Yellow; Clear; Satin Black; Medium Wood; Matte Black; White Wood; Black; Brown; Blue; Dark Brown Wood; Brown Wood; Oak Wood; Medium Yellow Wood; Light Yellow Wood; Rose Gold; Antique Brass; Nickel; Pink; Polished Brass; Satin Brass; Oil Rubbed Bronze; Polished Nickel; Red; Purple; Espresso Wood; Ivory; Orange; Beige; Teal; Green; Bronze; Brushed Gold; Brass; Red Wood; Tan; Navy; Brushed Nickel; Cream; Chrome; Brushed Brass; Polished Chrome; Gray; Gray Wood; Satin Nickel; Beige Wood; Natural Wood; Copper; Antique Copper; Antique Bronze"/>
    <hyperlink ref="DP6" location="'Valid Values'!DX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DS6" location="'Valid Values'!DY1" display="Please choose one or more from the following, using a semicolon (;) to separate each value: Armless; Tuxedo Arms; Fixed; Round Arms; Square Arms; Pillow Top Arms; Rolled Arms; Recessed Arms; Charles of London; Padded; Flip-Up; Track Arms; Adjustable Arms; Flared Arms; Unavailable; Does Not Apply"/>
    <hyperlink ref="DU6" location="'Valid Values'!DZ1" display="Please choose one or more from the following, using a semicolon (;) to separate each value: No Durability Features; Fire Resistant; Antimicrobial; Does Not Apply"/>
    <hyperlink ref="DV6" location="'Valid Values'!EA1" display="Please choose one or more from the following, using a semicolon (;) to separate each value: Center Tilt; Auto Tilt; Knee Tilt; Manual Tilt; Synchro Tilt; Rotational; Collar Tilt; Push Button; Does Not Apply"/>
    <hyperlink ref="DW6" location="'Valid Values'!EB1" display="Please choose one or more from the following, using a semicolon (;) to separate each value: Headrest; Pillow; Chair Mat; Waterfall Seat; Wheels / Casters; Arms; Footrest; Unavailable; Does Not Apply"/>
    <hyperlink ref="DX6" location="'Valid Values'!EC1" display="Select"/>
    <hyperlink ref="DY6" location="'Valid Values'!ED1" display="Select"/>
    <hyperlink ref="EA6" location="'Valid Values'!EE1" display="Select"/>
    <hyperlink ref="EB6" location="'Valid Values'!EF1" display="Select"/>
    <hyperlink ref="EC6" location="'Valid Values'!EG1" display="Select"/>
    <hyperlink ref="EF6" location="'Valid Values'!EH1" display="Select"/>
    <hyperlink ref="EG6" location="'Valid Values'!EI1" display="Select"/>
    <hyperlink ref="EH6" location="'Valid Values'!EJ1" display="Select"/>
    <hyperlink ref="EI6" location="'Valid Values'!EK1" display="Select"/>
    <hyperlink ref="EK6" location="'Valid Values'!EL1" display="Please choose one or more from the following, using a semicolon (;) to separate each value: Dual Language; Distribution Conflict; Logistics; Does Not Apply"/>
    <hyperlink ref="EL6" location="'Valid Values'!EM1" display="Select"/>
    <hyperlink ref="EO6" location="'Valid Values'!EN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EP6" location="'Valid Values'!EO1" display="Select"/>
    <hyperlink ref="EQ6" location="'Valid Values'!EP1" display="Select"/>
    <hyperlink ref="ER6" location="'Valid Values'!EQ1" display="Select"/>
    <hyperlink ref="ES6" location="'Valid Values'!ER1" display="Select"/>
    <hyperlink ref="ET6" location="'Valid Values'!ES1" display="Select"/>
    <hyperlink ref="EU6" location="'Valid Values'!ET1" display="Select"/>
    <hyperlink ref="EV6" location="'Valid Values'!EU1" display="Select"/>
    <hyperlink ref="EX6" location="'Valid Values'!EV1" display="Select"/>
    <hyperlink ref="FK6" location="'Valid Values'!EW1" display="Select"/>
    <hyperlink ref="FL6" location="'Valid Values'!EX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FN6" location="'Valid Values'!EY1" display="Select"/>
    <hyperlink ref="FP6" location="'Valid Values'!EZ1" display="Select"/>
  </hyperlink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FP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19.7109375" customWidth="1" style="22" min="68" max="68"/>
    <col width="22.7109375" customWidth="1" style="22" min="69" max="69"/>
    <col width="18.7109375" customWidth="1" style="22" min="70" max="70"/>
    <col width="16.7109375" customWidth="1" style="22" min="71" max="71"/>
    <col width="24.7109375" customWidth="1" style="22" min="72" max="72"/>
    <col width="11.7109375" customWidth="1" style="22" min="73" max="73"/>
    <col width="31.7109375" customWidth="1" style="22" min="74" max="74"/>
    <col width="18.7109375" customWidth="1" style="22" min="75" max="75"/>
    <col width="29.7109375" customWidth="1" style="22" min="76" max="76"/>
    <col width="23.7109375" customWidth="1" style="22" min="77" max="77"/>
    <col width="32.7109375" customWidth="1" style="22" min="78" max="78"/>
    <col width="27.7109375" customWidth="1" style="22" min="79" max="79"/>
    <col width="18.7109375" customWidth="1" style="22" min="80" max="80"/>
    <col width="28.7109375" customWidth="1" style="22" min="81" max="81"/>
    <col width="11.7109375" customWidth="1" style="22" min="82" max="82"/>
    <col width="19.7109375" customWidth="1" style="22" min="83" max="83"/>
    <col width="20.7109375" customWidth="1" style="22" min="84" max="84"/>
    <col width="12.7109375" customWidth="1" style="22" min="85" max="85"/>
    <col width="14.7109375" customWidth="1" style="22" min="86" max="86"/>
    <col width="28.7109375" customWidth="1" style="22" min="87" max="87"/>
    <col width="22.7109375" customWidth="1" style="22" min="88" max="88"/>
    <col width="26.7109375" customWidth="1" style="22" min="89" max="90"/>
    <col width="28.7109375" customWidth="1" style="22" min="91" max="91"/>
    <col width="25.7109375" customWidth="1" style="22" min="92" max="92"/>
    <col width="22.7109375" customWidth="1" style="22" min="93" max="94"/>
    <col width="21.7109375" customWidth="1" style="22" min="95" max="95"/>
    <col width="26.7109375" customWidth="1" style="22" min="96" max="96"/>
    <col width="14.7109375" customWidth="1" style="22" min="97" max="97"/>
    <col width="39.7109375" customWidth="1" style="22" min="98" max="98"/>
    <col width="43.7109375" customWidth="1" style="22" min="99" max="99"/>
    <col width="29.7109375" customWidth="1" style="22" min="100" max="100"/>
    <col width="20.7109375" customWidth="1" style="22" min="101" max="101"/>
    <col width="14.7109375" customWidth="1" style="22" min="102" max="102"/>
    <col width="34.7109375" customWidth="1" style="22" min="103" max="103"/>
    <col width="24.7109375" customWidth="1" style="22" min="104" max="104"/>
    <col width="17.7109375" customWidth="1" style="22" min="105" max="105"/>
    <col width="24.7109375" customWidth="1" style="22" min="106" max="106"/>
    <col width="21.7109375" customWidth="1" style="22" min="107" max="107"/>
    <col width="20.7109375" customWidth="1" style="22" min="108" max="108"/>
    <col width="35.7109375" customWidth="1" style="22" min="109" max="109"/>
    <col width="30.7109375" customWidth="1" style="22" min="110" max="110"/>
    <col width="20.7109375" customWidth="1" style="22" min="111" max="111"/>
    <col width="24.7109375" customWidth="1" style="22" min="112" max="112"/>
    <col width="30.7109375" customWidth="1" style="22" min="113" max="113"/>
    <col width="17.7109375" customWidth="1" style="22" min="114" max="114"/>
    <col width="15.7109375" customWidth="1" style="22" min="115" max="115"/>
    <col width="17.7109375" customWidth="1" style="22" min="116" max="116"/>
    <col width="29.7109375" customWidth="1" style="22" min="117" max="117"/>
    <col width="25.7109375" customWidth="1" style="22" min="118" max="118"/>
    <col width="12.7109375" customWidth="1" style="22" min="119" max="119"/>
    <col width="17.7109375" customWidth="1" style="22" min="120" max="120"/>
    <col width="26.7109375" customWidth="1" style="22" min="121" max="121"/>
    <col width="31.7109375" customWidth="1" style="22" min="122" max="122"/>
    <col width="13.7109375" customWidth="1" style="22" min="123" max="123"/>
    <col width="21.7109375" customWidth="1" style="22" min="124" max="124"/>
    <col width="15.7109375" customWidth="1" style="22" min="125" max="125"/>
    <col width="24.7109375" customWidth="1" style="22" min="126" max="126"/>
    <col width="20.7109375" customWidth="1" style="22" min="127" max="127"/>
    <col width="14.7109375" customWidth="1" style="22" min="128" max="128"/>
    <col width="33.7109375" customWidth="1" style="22" min="129" max="130"/>
    <col width="53.7109375" customWidth="1" style="22" min="131" max="132"/>
    <col width="21.7109375" customWidth="1" style="22" min="133" max="133"/>
    <col width="18.7109375" customWidth="1" style="22" min="134" max="134"/>
    <col width="39.7109375" customWidth="1" style="22" min="135" max="135"/>
    <col width="25.7109375" customWidth="1" style="22" min="136" max="136"/>
    <col width="30.7109375" customWidth="1" style="22" min="137" max="137"/>
    <col width="44.7109375" customWidth="1" style="22" min="138" max="138"/>
    <col width="64.7109375" customWidth="1" style="22" min="139" max="139"/>
    <col width="31.7109375" customWidth="1" style="22" min="140" max="140"/>
    <col width="27.7109375" customWidth="1" style="22" min="141" max="141"/>
    <col width="24.7109375" customWidth="1" style="22" min="142" max="142"/>
    <col width="20.7109375" customWidth="1" style="22" min="143" max="143"/>
    <col width="41.7109375" customWidth="1" style="22" min="144" max="144"/>
    <col width="20.7109375" customWidth="1" style="22" min="145" max="145"/>
    <col width="21.7109375" customWidth="1" style="22" min="146" max="146"/>
    <col width="18.7109375" customWidth="1" style="22" min="147" max="147"/>
    <col width="30.7109375" customWidth="1" style="22" min="148" max="148"/>
    <col width="44.7109375" customWidth="1" style="22" min="149" max="149"/>
    <col width="57.7109375" customWidth="1" style="22" min="150" max="150"/>
    <col width="19.7109375" customWidth="1" style="22" min="151" max="151"/>
    <col width="43.7109375" customWidth="1" style="22" min="152" max="152"/>
    <col width="79.7109375" customWidth="1" style="22" min="153" max="153"/>
    <col width="30.7109375" customWidth="1" style="22" min="154" max="154"/>
    <col width="35.7109375" customWidth="1" style="22" min="155" max="155"/>
    <col width="33.7109375" customWidth="1" style="22" min="156" max="156"/>
    <col width="34.7109375" customWidth="1" style="22" min="157" max="157"/>
    <col width="32.7109375" customWidth="1" style="22" min="158" max="158"/>
    <col width="30.7109375" customWidth="1" style="22" min="159" max="159"/>
    <col width="31.7109375" customWidth="1" style="22" min="160" max="160"/>
    <col width="40.7109375" customWidth="1" style="22" min="161" max="162"/>
    <col width="27.7109375" customWidth="1" style="22" min="163" max="163"/>
    <col width="44.7109375" customWidth="1" style="22" min="164" max="164"/>
    <col width="27.7109375" customWidth="1" style="22" min="165" max="165"/>
    <col width="22.7109375" customWidth="1" style="22" min="166" max="167"/>
    <col width="45.7109375" customWidth="1" style="22" min="168" max="168"/>
    <col width="24.7109375" customWidth="1" style="22" min="169" max="169"/>
    <col width="31.7109375" customWidth="1" style="22" min="170" max="170"/>
    <col width="21.7109375" customWidth="1" style="22" min="171" max="171"/>
    <col width="29.7109375" customWidth="1" style="22" min="172" max="172"/>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19928</t>
        </is>
      </c>
      <c r="BP1" s="22" t="inlineStr">
        <is>
          <t>200866</t>
        </is>
      </c>
      <c r="BQ1" s="22" t="inlineStr">
        <is>
          <t>200855</t>
        </is>
      </c>
      <c r="BR1" s="22" t="inlineStr">
        <is>
          <t>257300</t>
        </is>
      </c>
      <c r="BS1" s="22" t="inlineStr">
        <is>
          <t>200898</t>
        </is>
      </c>
      <c r="BT1" s="22" t="inlineStr">
        <is>
          <t>200874</t>
        </is>
      </c>
      <c r="BU1" s="22" t="inlineStr">
        <is>
          <t>228588</t>
        </is>
      </c>
      <c r="BV1" s="22" t="inlineStr">
        <is>
          <t>200882</t>
        </is>
      </c>
      <c r="BW1" s="22" t="inlineStr">
        <is>
          <t>257301</t>
        </is>
      </c>
      <c r="BX1" s="22" t="inlineStr">
        <is>
          <t>257309</t>
        </is>
      </c>
      <c r="BY1" s="22" t="inlineStr">
        <is>
          <t>257315</t>
        </is>
      </c>
      <c r="BZ1" s="22" t="inlineStr">
        <is>
          <t>222862</t>
        </is>
      </c>
      <c r="CA1" s="22" t="inlineStr">
        <is>
          <t>222863</t>
        </is>
      </c>
      <c r="CB1" s="22" t="inlineStr">
        <is>
          <t>19977</t>
        </is>
      </c>
      <c r="CC1" s="22" t="inlineStr">
        <is>
          <t>202222</t>
        </is>
      </c>
      <c r="CD1" s="22" t="inlineStr">
        <is>
          <t>19953</t>
        </is>
      </c>
      <c r="CE1" s="22" t="inlineStr">
        <is>
          <t>19967</t>
        </is>
      </c>
      <c r="CF1" s="22" t="inlineStr">
        <is>
          <t>258348</t>
        </is>
      </c>
      <c r="CG1" s="22" t="inlineStr">
        <is>
          <t>223891</t>
        </is>
      </c>
      <c r="CH1" s="22" t="inlineStr">
        <is>
          <t>200865</t>
        </is>
      </c>
      <c r="CI1" s="22" t="inlineStr">
        <is>
          <t>200864</t>
        </is>
      </c>
      <c r="CJ1" s="22" t="inlineStr">
        <is>
          <t>200858</t>
        </is>
      </c>
      <c r="CK1" s="22" t="inlineStr">
        <is>
          <t>200859</t>
        </is>
      </c>
      <c r="CL1" s="22" t="inlineStr">
        <is>
          <t>200860</t>
        </is>
      </c>
      <c r="CM1" s="22" t="inlineStr">
        <is>
          <t>257298</t>
        </is>
      </c>
      <c r="CN1" s="22" t="inlineStr">
        <is>
          <t>257299</t>
        </is>
      </c>
      <c r="CO1" s="22" t="inlineStr">
        <is>
          <t>19956</t>
        </is>
      </c>
      <c r="CP1" s="22" t="inlineStr">
        <is>
          <t>258347</t>
        </is>
      </c>
      <c r="CQ1" s="22" t="inlineStr">
        <is>
          <t>19972</t>
        </is>
      </c>
      <c r="CR1" s="22" t="inlineStr">
        <is>
          <t>20251</t>
        </is>
      </c>
      <c r="CS1" s="22" t="inlineStr">
        <is>
          <t>257302</t>
        </is>
      </c>
      <c r="CT1" s="22" t="inlineStr">
        <is>
          <t>222414</t>
        </is>
      </c>
      <c r="CU1" s="22" t="inlineStr">
        <is>
          <t>244581</t>
        </is>
      </c>
      <c r="CV1" s="22" t="inlineStr">
        <is>
          <t>293484</t>
        </is>
      </c>
      <c r="CW1" s="22" t="inlineStr">
        <is>
          <t>293550</t>
        </is>
      </c>
      <c r="CX1" s="22" t="inlineStr">
        <is>
          <t>294853</t>
        </is>
      </c>
      <c r="CY1" s="22" t="inlineStr">
        <is>
          <t>339359</t>
        </is>
      </c>
      <c r="CZ1" s="22" t="inlineStr">
        <is>
          <t>340396</t>
        </is>
      </c>
      <c r="DA1" s="22" t="inlineStr">
        <is>
          <t>342365</t>
        </is>
      </c>
      <c r="DB1" s="22" t="inlineStr">
        <is>
          <t>382978</t>
        </is>
      </c>
      <c r="DC1" s="22" t="inlineStr">
        <is>
          <t>342373</t>
        </is>
      </c>
      <c r="DD1" s="22" t="inlineStr">
        <is>
          <t>342809</t>
        </is>
      </c>
      <c r="DE1" s="22" t="inlineStr">
        <is>
          <t>342802</t>
        </is>
      </c>
      <c r="DF1" s="22" t="inlineStr">
        <is>
          <t>352585</t>
        </is>
      </c>
      <c r="DG1" s="22" t="inlineStr">
        <is>
          <t>173574</t>
        </is>
      </c>
      <c r="DH1" s="22" t="inlineStr">
        <is>
          <t>20239</t>
        </is>
      </c>
      <c r="DI1" s="22" t="inlineStr">
        <is>
          <t>200869</t>
        </is>
      </c>
      <c r="DJ1" s="22" t="inlineStr">
        <is>
          <t>368650</t>
        </is>
      </c>
      <c r="DK1" s="22" t="inlineStr">
        <is>
          <t>377815</t>
        </is>
      </c>
      <c r="DL1" s="22" t="inlineStr">
        <is>
          <t>20254</t>
        </is>
      </c>
      <c r="DM1" s="22" t="inlineStr">
        <is>
          <t>200875</t>
        </is>
      </c>
      <c r="DN1" s="22" t="inlineStr">
        <is>
          <t>378365</t>
        </is>
      </c>
      <c r="DO1" s="22" t="inlineStr">
        <is>
          <t>378859</t>
        </is>
      </c>
      <c r="DP1" s="22" t="inlineStr">
        <is>
          <t>381928</t>
        </is>
      </c>
      <c r="DQ1" s="22" t="inlineStr">
        <is>
          <t>200854</t>
        </is>
      </c>
      <c r="DR1" s="22" t="inlineStr">
        <is>
          <t>257304</t>
        </is>
      </c>
      <c r="DS1" s="22" t="inlineStr">
        <is>
          <t>20252</t>
        </is>
      </c>
      <c r="DT1" s="22" t="inlineStr">
        <is>
          <t>400787</t>
        </is>
      </c>
      <c r="DU1" s="22" t="inlineStr">
        <is>
          <t>400817</t>
        </is>
      </c>
      <c r="DV1" s="22" t="inlineStr">
        <is>
          <t>223412</t>
        </is>
      </c>
      <c r="DW1" s="22" t="inlineStr">
        <is>
          <t>420140</t>
        </is>
      </c>
      <c r="DX1" s="22" t="inlineStr">
        <is>
          <t>421669</t>
        </is>
      </c>
      <c r="DY1" s="22" t="inlineStr">
        <is>
          <t>194726</t>
        </is>
      </c>
      <c r="DZ1" s="22" t="inlineStr">
        <is>
          <t>201472</t>
        </is>
      </c>
      <c r="EA1" s="22" t="inlineStr">
        <is>
          <t>224856</t>
        </is>
      </c>
      <c r="EB1" s="22" t="inlineStr">
        <is>
          <t>225077</t>
        </is>
      </c>
      <c r="EC1" s="22" t="inlineStr">
        <is>
          <t>364710</t>
        </is>
      </c>
      <c r="ED1" s="22" t="inlineStr">
        <is>
          <t>194708</t>
        </is>
      </c>
      <c r="EE1" s="22" t="inlineStr">
        <is>
          <t>240144</t>
        </is>
      </c>
      <c r="EF1" s="22" t="inlineStr">
        <is>
          <t>225357</t>
        </is>
      </c>
      <c r="EG1" s="22" t="inlineStr">
        <is>
          <t>204373</t>
        </is>
      </c>
      <c r="EH1" s="22" t="inlineStr">
        <is>
          <t>225727</t>
        </is>
      </c>
      <c r="EI1" s="22" t="inlineStr">
        <is>
          <t>236085</t>
        </is>
      </c>
      <c r="EJ1" s="22" t="inlineStr">
        <is>
          <t>249430</t>
        </is>
      </c>
      <c r="EK1" s="22" t="inlineStr">
        <is>
          <t>251178</t>
        </is>
      </c>
      <c r="EL1" s="22" t="inlineStr">
        <is>
          <t>194739</t>
        </is>
      </c>
      <c r="EM1" s="22" t="inlineStr">
        <is>
          <t>295636</t>
        </is>
      </c>
      <c r="EN1" s="22" t="inlineStr">
        <is>
          <t>339355</t>
        </is>
      </c>
      <c r="EO1" s="22" t="inlineStr">
        <is>
          <t>373564</t>
        </is>
      </c>
      <c r="EP1" s="22" t="inlineStr">
        <is>
          <t>341383</t>
        </is>
      </c>
      <c r="EQ1" s="22" t="inlineStr">
        <is>
          <t>341396</t>
        </is>
      </c>
      <c r="ER1" s="22" t="inlineStr">
        <is>
          <t>369623</t>
        </is>
      </c>
      <c r="ES1" s="22" t="inlineStr">
        <is>
          <t>368267</t>
        </is>
      </c>
      <c r="ET1" s="22" t="inlineStr">
        <is>
          <t>384748</t>
        </is>
      </c>
      <c r="EU1" s="22" t="inlineStr">
        <is>
          <t>385923</t>
        </is>
      </c>
      <c r="EV1" s="22" t="inlineStr">
        <is>
          <t>394169</t>
        </is>
      </c>
      <c r="EW1" s="22" t="inlineStr">
        <is>
          <t>415311</t>
        </is>
      </c>
      <c r="EX1" s="22" t="inlineStr">
        <is>
          <t>421605</t>
        </is>
      </c>
      <c r="EY1" s="22" t="inlineStr">
        <is>
          <t>235400</t>
        </is>
      </c>
      <c r="EZ1" s="22" t="inlineStr">
        <is>
          <t>19998</t>
        </is>
      </c>
      <c r="FA1" s="22" t="inlineStr">
        <is>
          <t>19999</t>
        </is>
      </c>
      <c r="FB1" s="22" t="inlineStr">
        <is>
          <t>20003</t>
        </is>
      </c>
      <c r="FC1" s="22" t="inlineStr">
        <is>
          <t>20005</t>
        </is>
      </c>
      <c r="FD1" s="22" t="inlineStr">
        <is>
          <t>20006</t>
        </is>
      </c>
      <c r="FE1" s="22" t="inlineStr">
        <is>
          <t>20260</t>
        </is>
      </c>
      <c r="FF1" s="22" t="inlineStr">
        <is>
          <t>20259</t>
        </is>
      </c>
      <c r="FG1" s="22" t="inlineStr">
        <is>
          <t>294073</t>
        </is>
      </c>
      <c r="FH1" s="22" t="inlineStr">
        <is>
          <t>200888</t>
        </is>
      </c>
      <c r="FI1" s="22" t="inlineStr">
        <is>
          <t>20012</t>
        </is>
      </c>
      <c r="FJ1" s="22" t="inlineStr">
        <is>
          <t>20013</t>
        </is>
      </c>
      <c r="FK1" s="22" t="inlineStr">
        <is>
          <t>228640</t>
        </is>
      </c>
      <c r="FL1" s="22" t="inlineStr">
        <is>
          <t>258418</t>
        </is>
      </c>
      <c r="FM1" s="22" t="inlineStr">
        <is>
          <t>228913</t>
        </is>
      </c>
      <c r="FN1" s="22" t="inlineStr">
        <is>
          <t>333926</t>
        </is>
      </c>
      <c r="FO1" s="22" t="inlineStr">
        <is>
          <t>253982</t>
        </is>
      </c>
      <c r="FP1" s="22" t="inlineStr">
        <is>
          <t>255114</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1" t="n"/>
      <c r="EU2" s="41" t="n"/>
      <c r="EV2" s="41" t="n"/>
      <c r="EW2" s="41" t="n"/>
      <c r="EX2" s="41" t="n"/>
      <c r="EY2" s="41" t="n"/>
      <c r="EZ2" s="41" t="n"/>
      <c r="FA2" s="41" t="n"/>
      <c r="FB2" s="41" t="n"/>
      <c r="FC2" s="41" t="n"/>
      <c r="FD2" s="41" t="n"/>
      <c r="FE2" s="41" t="n"/>
      <c r="FF2" s="41" t="n"/>
      <c r="FG2" s="41" t="n"/>
      <c r="FH2" s="41" t="n"/>
      <c r="FI2" s="41" t="n"/>
      <c r="FJ2" s="41" t="n"/>
      <c r="FK2" s="41" t="n"/>
      <c r="FL2" s="41" t="n"/>
      <c r="FM2" s="41" t="n"/>
      <c r="FN2" s="41" t="n"/>
      <c r="FO2" s="41" t="n"/>
      <c r="FP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Required</t>
        </is>
      </c>
      <c r="BQ3" s="32" t="inlineStr">
        <is>
          <t>Recommended</t>
        </is>
      </c>
      <c r="BR3" s="32" t="inlineStr">
        <is>
          <t>Required</t>
        </is>
      </c>
      <c r="BS3" s="32" t="inlineStr">
        <is>
          <t>Required</t>
        </is>
      </c>
      <c r="BT3" s="32" t="inlineStr">
        <is>
          <t>Required</t>
        </is>
      </c>
      <c r="BU3" s="32" t="inlineStr">
        <is>
          <t>Recommended</t>
        </is>
      </c>
      <c r="BV3" s="32" t="inlineStr">
        <is>
          <t>Recommended</t>
        </is>
      </c>
      <c r="BW3" s="32" t="inlineStr">
        <is>
          <t>Required</t>
        </is>
      </c>
      <c r="BX3" s="32" t="inlineStr">
        <is>
          <t>Recommended</t>
        </is>
      </c>
      <c r="BY3" s="32" t="inlineStr">
        <is>
          <t>Recommended</t>
        </is>
      </c>
      <c r="BZ3" s="32" t="inlineStr">
        <is>
          <t>Recommended</t>
        </is>
      </c>
      <c r="CA3" s="32" t="inlineStr">
        <is>
          <t>Recommended</t>
        </is>
      </c>
      <c r="CB3" s="32" t="inlineStr">
        <is>
          <t>Required</t>
        </is>
      </c>
      <c r="CC3" s="32" t="inlineStr">
        <is>
          <t>Recommended</t>
        </is>
      </c>
      <c r="CD3" s="32" t="inlineStr">
        <is>
          <t>Required</t>
        </is>
      </c>
      <c r="CE3" s="32" t="inlineStr">
        <is>
          <t>Required</t>
        </is>
      </c>
      <c r="CF3" s="32" t="inlineStr">
        <is>
          <t>Recommended</t>
        </is>
      </c>
      <c r="CG3" s="32" t="inlineStr">
        <is>
          <t>Recommended</t>
        </is>
      </c>
      <c r="CH3" s="32" t="inlineStr">
        <is>
          <t>Recommended</t>
        </is>
      </c>
      <c r="CI3" s="32" t="inlineStr">
        <is>
          <t>Recommended</t>
        </is>
      </c>
      <c r="CJ3" s="32" t="inlineStr">
        <is>
          <t>Required</t>
        </is>
      </c>
      <c r="CK3" s="32" t="inlineStr">
        <is>
          <t>Recommended</t>
        </is>
      </c>
      <c r="CL3" s="32" t="inlineStr">
        <is>
          <t>Recommended</t>
        </is>
      </c>
      <c r="CM3" s="32" t="inlineStr">
        <is>
          <t>Recommended</t>
        </is>
      </c>
      <c r="CN3" s="32" t="inlineStr">
        <is>
          <t>Recommended</t>
        </is>
      </c>
      <c r="CO3" s="32" t="inlineStr">
        <is>
          <t>Recommended</t>
        </is>
      </c>
      <c r="CP3" s="32" t="inlineStr">
        <is>
          <t>Recommended</t>
        </is>
      </c>
      <c r="CQ3" s="32" t="inlineStr">
        <is>
          <t>Required</t>
        </is>
      </c>
      <c r="CR3" s="32" t="inlineStr">
        <is>
          <t>Recommended</t>
        </is>
      </c>
      <c r="CS3" s="32" t="inlineStr">
        <is>
          <t>Recommended</t>
        </is>
      </c>
      <c r="CT3" s="32" t="inlineStr">
        <is>
          <t>Required</t>
        </is>
      </c>
      <c r="CU3" s="32" t="inlineStr">
        <is>
          <t>Additional</t>
        </is>
      </c>
      <c r="CV3" s="32" t="inlineStr">
        <is>
          <t>Recommended</t>
        </is>
      </c>
      <c r="CW3" s="32" t="inlineStr">
        <is>
          <t>Recommended</t>
        </is>
      </c>
      <c r="CX3" s="32" t="inlineStr">
        <is>
          <t>Recommended</t>
        </is>
      </c>
      <c r="CY3" s="32" t="inlineStr">
        <is>
          <t>Additional</t>
        </is>
      </c>
      <c r="CZ3" s="32" t="inlineStr">
        <is>
          <t>Additional</t>
        </is>
      </c>
      <c r="DA3" s="32" t="inlineStr">
        <is>
          <t>Additional</t>
        </is>
      </c>
      <c r="DB3" s="32" t="inlineStr">
        <is>
          <t>Additional</t>
        </is>
      </c>
      <c r="DC3" s="32" t="inlineStr">
        <is>
          <t>Additional</t>
        </is>
      </c>
      <c r="DD3" s="32" t="inlineStr">
        <is>
          <t>Additional</t>
        </is>
      </c>
      <c r="DE3" s="32" t="inlineStr">
        <is>
          <t>Additional</t>
        </is>
      </c>
      <c r="DF3" s="32" t="inlineStr">
        <is>
          <t>Additional</t>
        </is>
      </c>
      <c r="DG3" s="32" t="inlineStr">
        <is>
          <t>Required</t>
        </is>
      </c>
      <c r="DH3" s="32" t="inlineStr">
        <is>
          <t>Recommended</t>
        </is>
      </c>
      <c r="DI3" s="32" t="inlineStr">
        <is>
          <t>Recommended</t>
        </is>
      </c>
      <c r="DJ3" s="32" t="inlineStr">
        <is>
          <t>Recommended</t>
        </is>
      </c>
      <c r="DK3" s="32" t="inlineStr">
        <is>
          <t>Required</t>
        </is>
      </c>
      <c r="DL3" s="32" t="inlineStr">
        <is>
          <t>Recommended</t>
        </is>
      </c>
      <c r="DM3" s="32" t="inlineStr">
        <is>
          <t>Recommended</t>
        </is>
      </c>
      <c r="DN3" s="32" t="inlineStr">
        <is>
          <t>Required</t>
        </is>
      </c>
      <c r="DO3" s="32" t="inlineStr">
        <is>
          <t>Required</t>
        </is>
      </c>
      <c r="DP3" s="32" t="inlineStr">
        <is>
          <t>Recommended</t>
        </is>
      </c>
      <c r="DQ3" s="32" t="inlineStr">
        <is>
          <t>Recommended</t>
        </is>
      </c>
      <c r="DR3" s="32" t="inlineStr">
        <is>
          <t>Recommended</t>
        </is>
      </c>
      <c r="DS3" s="32" t="inlineStr">
        <is>
          <t>Recommended</t>
        </is>
      </c>
      <c r="DT3" s="32" t="inlineStr">
        <is>
          <t>Recommended</t>
        </is>
      </c>
      <c r="DU3" s="32" t="inlineStr">
        <is>
          <t>Required</t>
        </is>
      </c>
      <c r="DV3" s="32" t="inlineStr">
        <is>
          <t>Recommended</t>
        </is>
      </c>
      <c r="DW3" s="32" t="inlineStr">
        <is>
          <t>Required</t>
        </is>
      </c>
      <c r="DX3" s="32" t="inlineStr">
        <is>
          <t>Recommended</t>
        </is>
      </c>
      <c r="DY3" s="32" t="inlineStr">
        <is>
          <t>Required</t>
        </is>
      </c>
      <c r="DZ3" s="32" t="inlineStr">
        <is>
          <t>Required</t>
        </is>
      </c>
      <c r="EA3" s="32" t="inlineStr">
        <is>
          <t>Required</t>
        </is>
      </c>
      <c r="EB3" s="32" t="inlineStr">
        <is>
          <t>Required</t>
        </is>
      </c>
      <c r="EC3" s="32" t="inlineStr">
        <is>
          <t>Required</t>
        </is>
      </c>
      <c r="ED3" s="32" t="inlineStr">
        <is>
          <t>Additional</t>
        </is>
      </c>
      <c r="EE3" s="32" t="inlineStr">
        <is>
          <t>Required</t>
        </is>
      </c>
      <c r="EF3" s="32" t="inlineStr">
        <is>
          <t>Recommended</t>
        </is>
      </c>
      <c r="EG3" s="32" t="inlineStr">
        <is>
          <t>Required</t>
        </is>
      </c>
      <c r="EH3" s="32" t="inlineStr">
        <is>
          <t>Required</t>
        </is>
      </c>
      <c r="EI3" s="32" t="inlineStr">
        <is>
          <t>Required</t>
        </is>
      </c>
      <c r="EJ3" s="32" t="inlineStr">
        <is>
          <t>Required</t>
        </is>
      </c>
      <c r="EK3" s="32" t="inlineStr">
        <is>
          <t>Required</t>
        </is>
      </c>
      <c r="EL3" s="32" t="inlineStr">
        <is>
          <t>Required</t>
        </is>
      </c>
      <c r="EM3" s="32" t="inlineStr">
        <is>
          <t>Required</t>
        </is>
      </c>
      <c r="EN3" s="32" t="inlineStr">
        <is>
          <t>Additional</t>
        </is>
      </c>
      <c r="EO3" s="32" t="inlineStr">
        <is>
          <t>Additional</t>
        </is>
      </c>
      <c r="EP3" s="32" t="inlineStr">
        <is>
          <t>Additional</t>
        </is>
      </c>
      <c r="EQ3" s="32" t="inlineStr">
        <is>
          <t>Additional</t>
        </is>
      </c>
      <c r="ER3" s="32" t="inlineStr">
        <is>
          <t>Additional</t>
        </is>
      </c>
      <c r="ES3" s="32" t="inlineStr">
        <is>
          <t>Required</t>
        </is>
      </c>
      <c r="ET3" s="32" t="inlineStr">
        <is>
          <t>Required</t>
        </is>
      </c>
      <c r="EU3" s="32" t="inlineStr">
        <is>
          <t>Recommended</t>
        </is>
      </c>
      <c r="EV3" s="32" t="inlineStr">
        <is>
          <t>Required</t>
        </is>
      </c>
      <c r="EW3" s="32" t="inlineStr">
        <is>
          <t>Recommended</t>
        </is>
      </c>
      <c r="EX3" s="32" t="inlineStr">
        <is>
          <t>Recommended</t>
        </is>
      </c>
      <c r="EY3" s="32" t="inlineStr">
        <is>
          <t>Recommended</t>
        </is>
      </c>
      <c r="EZ3" s="32" t="inlineStr">
        <is>
          <t>Required</t>
        </is>
      </c>
      <c r="FA3" s="32" t="inlineStr">
        <is>
          <t>Required</t>
        </is>
      </c>
      <c r="FB3" s="32" t="inlineStr">
        <is>
          <t>Required</t>
        </is>
      </c>
      <c r="FC3" s="32" t="inlineStr">
        <is>
          <t>Required</t>
        </is>
      </c>
      <c r="FD3" s="32" t="inlineStr">
        <is>
          <t>Required</t>
        </is>
      </c>
      <c r="FE3" s="32" t="inlineStr">
        <is>
          <t>Required</t>
        </is>
      </c>
      <c r="FF3" s="32" t="inlineStr">
        <is>
          <t>Required</t>
        </is>
      </c>
      <c r="FG3" s="32" t="inlineStr">
        <is>
          <t>Recommended</t>
        </is>
      </c>
      <c r="FH3" s="32" t="inlineStr">
        <is>
          <t>Required</t>
        </is>
      </c>
      <c r="FI3" s="32" t="inlineStr">
        <is>
          <t>Recommended</t>
        </is>
      </c>
      <c r="FJ3" s="32" t="inlineStr">
        <is>
          <t>Required</t>
        </is>
      </c>
      <c r="FK3" s="32" t="inlineStr">
        <is>
          <t>Recommended</t>
        </is>
      </c>
      <c r="FL3" s="32" t="inlineStr">
        <is>
          <t>Recommended</t>
        </is>
      </c>
      <c r="FM3" s="32" t="inlineStr">
        <is>
          <t>Required</t>
        </is>
      </c>
      <c r="FN3" s="32" t="inlineStr">
        <is>
          <t>Recommended</t>
        </is>
      </c>
      <c r="FO3" s="32" t="inlineStr">
        <is>
          <t>Recommended</t>
        </is>
      </c>
      <c r="FP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Frame Material</t>
        </is>
      </c>
      <c r="BQ4" s="19" t="inlineStr">
        <is>
          <t>Back Construction</t>
        </is>
      </c>
      <c r="BR4" s="19" t="inlineStr">
        <is>
          <t>Seat Material</t>
        </is>
      </c>
      <c r="BS4" s="19" t="inlineStr">
        <is>
          <t>Upholstered</t>
        </is>
      </c>
      <c r="BT4" s="19" t="inlineStr">
        <is>
          <t>Upholstery Material</t>
        </is>
      </c>
      <c r="BU4" s="19" t="inlineStr">
        <is>
          <t>Tufted</t>
        </is>
      </c>
      <c r="BV4" s="19" t="inlineStr">
        <is>
          <t>Adjustable Backrest-Height</t>
        </is>
      </c>
      <c r="BW4" s="19" t="inlineStr">
        <is>
          <t>Back Material</t>
        </is>
      </c>
      <c r="BX4" s="19" t="inlineStr">
        <is>
          <t>Back Upholstery Material</t>
        </is>
      </c>
      <c r="BY4" s="19" t="inlineStr">
        <is>
          <t>Back Fill Material</t>
        </is>
      </c>
      <c r="BZ4" s="19" t="inlineStr">
        <is>
          <t>Purposeful Distressing Type</t>
        </is>
      </c>
      <c r="CA4" s="19" t="inlineStr">
        <is>
          <t>Natural Variation Type</t>
        </is>
      </c>
      <c r="CB4" s="19" t="inlineStr">
        <is>
          <t>Arms Included</t>
        </is>
      </c>
      <c r="CC4" s="19" t="inlineStr">
        <is>
          <t>Adjustable Armrest Type</t>
        </is>
      </c>
      <c r="CD4" s="19" t="inlineStr">
        <is>
          <t>Swivel</t>
        </is>
      </c>
      <c r="CE4" s="19" t="inlineStr">
        <is>
          <t>Lumbar Support</t>
        </is>
      </c>
      <c r="CF4" s="19" t="inlineStr">
        <is>
          <t>Massage Setting</t>
        </is>
      </c>
      <c r="CG4" s="19" t="inlineStr">
        <is>
          <t>Tilting</t>
        </is>
      </c>
      <c r="CH4" s="19" t="inlineStr">
        <is>
          <t>Tilt Lock</t>
        </is>
      </c>
      <c r="CI4" s="19" t="inlineStr">
        <is>
          <t>Adjustable Tilt Tension</t>
        </is>
      </c>
      <c r="CJ4" s="19" t="inlineStr">
        <is>
          <t>Adjustable Height</t>
        </is>
      </c>
      <c r="CK4" s="19" t="inlineStr">
        <is>
          <t>Seat Depth Adjustment</t>
        </is>
      </c>
      <c r="CL4" s="19" t="inlineStr">
        <is>
          <t>Seat Angle Adjustment</t>
        </is>
      </c>
      <c r="CM4" s="19" t="inlineStr">
        <is>
          <t>Waterfall Seat Included</t>
        </is>
      </c>
      <c r="CN4" s="19" t="inlineStr">
        <is>
          <t>Seat Glide Mechanism</t>
        </is>
      </c>
      <c r="CO4" s="19" t="inlineStr">
        <is>
          <t>Headrest Included</t>
        </is>
      </c>
      <c r="CP4" s="19" t="inlineStr">
        <is>
          <t>Footrest Included</t>
        </is>
      </c>
      <c r="CQ4" s="19" t="inlineStr">
        <is>
          <t>Casters / Wheels</t>
        </is>
      </c>
      <c r="CR4" s="19" t="inlineStr">
        <is>
          <t>Compatible Floor Type</t>
        </is>
      </c>
      <c r="CS4" s="19" t="inlineStr">
        <is>
          <t>Stackable</t>
        </is>
      </c>
      <c r="CT4" s="19" t="inlineStr">
        <is>
          <t>Supplier Intended and Approved Use</t>
        </is>
      </c>
      <c r="CU4" s="19" t="inlineStr">
        <is>
          <t>Country of Origin - Additional Details</t>
        </is>
      </c>
      <c r="CV4" s="19" t="inlineStr">
        <is>
          <t>Main Wood Joinery Method</t>
        </is>
      </c>
      <c r="CW4" s="19" t="inlineStr">
        <is>
          <t>Kiln-Dried Wood</t>
        </is>
      </c>
      <c r="CX4" s="19" t="inlineStr">
        <is>
          <t>Vibration</t>
        </is>
      </c>
      <c r="CY4" s="33" t="inlineStr">
        <is>
          <t>Battery or Batteries Included</t>
        </is>
      </c>
      <c r="CZ4" s="34" t="inlineStr">
        <is>
          <t>Battery Composition</t>
        </is>
      </c>
      <c r="DA4" s="34" t="inlineStr">
        <is>
          <t>Battery Type</t>
        </is>
      </c>
      <c r="DB4" s="34" t="inlineStr">
        <is>
          <t>Number of Batteries</t>
        </is>
      </c>
      <c r="DC4" s="34" t="inlineStr">
        <is>
          <t>Battery Shipment</t>
        </is>
      </c>
      <c r="DD4" s="34" t="inlineStr">
        <is>
          <t>Lithium Content</t>
        </is>
      </c>
      <c r="DE4" s="34" t="inlineStr">
        <is>
          <t>Watt Rating of Cells / Battery</t>
        </is>
      </c>
      <c r="DF4" s="34" t="inlineStr">
        <is>
          <t>Weight of Cells / Battery</t>
        </is>
      </c>
      <c r="DG4" s="19" t="inlineStr">
        <is>
          <t>Weight Capacity</t>
        </is>
      </c>
      <c r="DH4" s="19" t="inlineStr">
        <is>
          <t>Adjustable Headrest</t>
        </is>
      </c>
      <c r="DI4" s="19" t="inlineStr">
        <is>
          <t>Adjustable Lumbar Support</t>
        </is>
      </c>
      <c r="DJ4" s="19" t="inlineStr">
        <is>
          <t>Product Care</t>
        </is>
      </c>
      <c r="DK4" s="19" t="inlineStr">
        <is>
          <t>Seat Color</t>
        </is>
      </c>
      <c r="DL4" s="19" t="inlineStr">
        <is>
          <t>Arm Material</t>
        </is>
      </c>
      <c r="DM4" s="19" t="inlineStr">
        <is>
          <t>Upholstery Fill Material</t>
        </is>
      </c>
      <c r="DN4" s="19" t="inlineStr">
        <is>
          <t>Frame Color / Finish</t>
        </is>
      </c>
      <c r="DO4" s="19" t="inlineStr">
        <is>
          <t>Plug-In</t>
        </is>
      </c>
      <c r="DP4" s="19" t="inlineStr">
        <is>
          <t>Wood Species</t>
        </is>
      </c>
      <c r="DQ4" s="19" t="inlineStr">
        <is>
          <t>Back Angle Adjustment</t>
        </is>
      </c>
      <c r="DR4" s="19" t="inlineStr">
        <is>
          <t>Removable Wheels / Casters</t>
        </is>
      </c>
      <c r="DS4" s="19" t="inlineStr">
        <is>
          <t>Arm Type</t>
        </is>
      </c>
      <c r="DT4" s="19" t="inlineStr">
        <is>
          <t>Ribbed Detailing</t>
        </is>
      </c>
      <c r="DU4" s="19" t="inlineStr">
        <is>
          <t>Durability</t>
        </is>
      </c>
      <c r="DV4" s="19" t="inlineStr">
        <is>
          <t>Tilt Mechanism Type</t>
        </is>
      </c>
      <c r="DW4" s="19" t="inlineStr">
        <is>
          <t>Pieces Included</t>
        </is>
      </c>
      <c r="DX4" s="19" t="inlineStr">
        <is>
          <t>Rub Count</t>
        </is>
      </c>
      <c r="DY4" s="19" t="inlineStr">
        <is>
          <t>CPSC - 16 CFR 1303 Compliant</t>
        </is>
      </c>
      <c r="DZ4" s="33" t="inlineStr">
        <is>
          <t>Composite Wood Product (CWP)</t>
        </is>
      </c>
      <c r="EA4" s="34" t="inlineStr">
        <is>
          <t>CARB Phase II Compliant (formaldehyde emissions)</t>
        </is>
      </c>
      <c r="EB4" s="34" t="inlineStr">
        <is>
          <t>TSCA Title VI Compliant (formaldehyde emissions)</t>
        </is>
      </c>
      <c r="EC4" s="34" t="inlineStr">
        <is>
          <t>CANFER Compliant</t>
        </is>
      </c>
      <c r="ED4" s="19" t="inlineStr">
        <is>
          <t>ADA Compliant</t>
        </is>
      </c>
      <c r="EE4" s="19" t="inlineStr">
        <is>
          <t>Contains Flame Retardant Materials</t>
        </is>
      </c>
      <c r="EF4" s="19" t="inlineStr">
        <is>
          <t>CAL TB 116 Compliant</t>
        </is>
      </c>
      <c r="EG4" s="19" t="inlineStr">
        <is>
          <t>CAL TB 117-2013 Compliant</t>
        </is>
      </c>
      <c r="EH4" s="19" t="inlineStr">
        <is>
          <t>General Certificate of Conformity (GCC)</t>
        </is>
      </c>
      <c r="EI4" s="19" t="inlineStr">
        <is>
          <t>Uniform Packaging and Labeling Regulations (UPLR) Compliant</t>
        </is>
      </c>
      <c r="EJ4" s="33" t="inlineStr">
        <is>
          <t>Canada Product Restriction</t>
        </is>
      </c>
      <c r="EK4" s="34" t="inlineStr">
        <is>
          <t>Reason for Restriction</t>
        </is>
      </c>
      <c r="EL4" s="19" t="inlineStr">
        <is>
          <t>Lacey Act Compliant</t>
        </is>
      </c>
      <c r="EM4" s="19" t="inlineStr">
        <is>
          <t>SOFFA Compliant</t>
        </is>
      </c>
      <c r="EN4" s="33" t="inlineStr">
        <is>
          <t>Hazardous Material / Dangerous Goods</t>
        </is>
      </c>
      <c r="EO4" s="34" t="inlineStr">
        <is>
          <t>UN or ID number</t>
        </is>
      </c>
      <c r="EP4" s="34" t="inlineStr">
        <is>
          <t>Hazard Class(es)</t>
        </is>
      </c>
      <c r="EQ4" s="34" t="inlineStr">
        <is>
          <t>Packing Group</t>
        </is>
      </c>
      <c r="ER4" s="34" t="inlineStr">
        <is>
          <t>Hazardous Material Weight</t>
        </is>
      </c>
      <c r="ES4" s="19" t="inlineStr">
        <is>
          <t>Energy Efficiency Regulations Compliant</t>
        </is>
      </c>
      <c r="ET4" s="19" t="inlineStr">
        <is>
          <t>SOR/2016-193 - Surface Coating Materials Regulations</t>
        </is>
      </c>
      <c r="EU4" s="19" t="inlineStr">
        <is>
          <t>ISTA Certified</t>
        </is>
      </c>
      <c r="EV4" s="19" t="inlineStr">
        <is>
          <t>California AB-1817 Compliant (CA PFAS)</t>
        </is>
      </c>
      <c r="EW4" s="19" t="inlineStr">
        <is>
          <t>Sustainability &amp; Social Responsibility Certifications (North America Only)</t>
        </is>
      </c>
      <c r="EX4" s="19" t="inlineStr">
        <is>
          <t>Commercial Certifications</t>
        </is>
      </c>
      <c r="EY4" s="19" t="inlineStr">
        <is>
          <t>Overall Height - Top to Bottom</t>
        </is>
      </c>
      <c r="EZ4" s="19" t="inlineStr">
        <is>
          <t>Overall Width - Side to Side</t>
        </is>
      </c>
      <c r="FA4" s="19" t="inlineStr">
        <is>
          <t>Overall Depth - Front to Back</t>
        </is>
      </c>
      <c r="FB4" s="19" t="inlineStr">
        <is>
          <t>Seat Height - Floor to Seat</t>
        </is>
      </c>
      <c r="FC4" s="19" t="inlineStr">
        <is>
          <t>Seat Width - Side to Side</t>
        </is>
      </c>
      <c r="FD4" s="19" t="inlineStr">
        <is>
          <t>Seat Depth - Front to Back</t>
        </is>
      </c>
      <c r="FE4" s="19" t="inlineStr">
        <is>
          <t>Minimum Seat Height - Floor to Seat</t>
        </is>
      </c>
      <c r="FF4" s="19" t="inlineStr">
        <is>
          <t>Maximum Seat Height - Floor to Seat</t>
        </is>
      </c>
      <c r="FG4" s="19" t="inlineStr">
        <is>
          <t>Seat Cushion Thickness</t>
        </is>
      </c>
      <c r="FH4" s="19" t="inlineStr">
        <is>
          <t>Chair Back Height - Seat to Top of Back</t>
        </is>
      </c>
      <c r="FI4" s="19" t="inlineStr">
        <is>
          <t>Overall Product Weight</t>
        </is>
      </c>
      <c r="FJ4" s="19" t="inlineStr">
        <is>
          <t>Assembly Required</t>
        </is>
      </c>
      <c r="FK4" s="19" t="inlineStr">
        <is>
          <t>Level of Assembly</t>
        </is>
      </c>
      <c r="FL4" s="19" t="inlineStr">
        <is>
          <t>Additional Tools Required (Not Included)</t>
        </is>
      </c>
      <c r="FM4" s="33" t="inlineStr">
        <is>
          <t>Commercial Warranty</t>
        </is>
      </c>
      <c r="FN4" s="34" t="inlineStr">
        <is>
          <t>Commercial Warranty Length</t>
        </is>
      </c>
      <c r="FO4" s="19" t="inlineStr">
        <is>
          <t>Product Warranty</t>
        </is>
      </c>
      <c r="FP4" s="19" t="inlineStr">
        <is>
          <t>Full or Limited Warranty</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What is the primary material used to construct the frame of the product? If the correct value is not listed, please type the material into this field.</t>
        </is>
      </c>
      <c r="BQ5" s="35" t="inlineStr">
        <is>
          <t>What is the back of the chair constructed of, excluding filling and covering material? Please choose from the options listed. If the construction is not listed, please choose 'Other'.</t>
        </is>
      </c>
      <c r="BR5" s="35" t="inlineStr">
        <is>
          <t>What is the primary material used to construct the seat? Please enter the most applicable option.</t>
        </is>
      </c>
      <c r="BS5" s="35" t="inlineStr">
        <is>
          <t>Select if this product is upholstered or comes with an upholstered component. (An upholstered item will have some sort of pad or filling material covered by fabric.)</t>
        </is>
      </c>
      <c r="BT5" s="35" t="inlineStr">
        <is>
          <t>What is the upholstery material used for this product? If the material is a combination of multiple materials, please choose the material that makes up the highest percentage of composition. For example, if the material is 55% Cotton, and 45% Polyester, please choose Cotton Blend.</t>
        </is>
      </c>
      <c r="BU5" s="35" t="inlineStr">
        <is>
          <t>If the product is upholstered, is it tufted? (A tuft is a gathered section of fabric, secured by a button, that creates a 3D cushioned effect.)</t>
        </is>
      </c>
      <c r="BV5" s="35" t="inlineStr">
        <is>
          <t>Is the height of the chair's backrest adjustable?</t>
        </is>
      </c>
      <c r="BW5" s="35" t="inlineStr">
        <is>
          <t>What is the covering material of the back made of?</t>
        </is>
      </c>
      <c r="BX5" s="35" t="inlineStr">
        <is>
          <t>What is the back upholstery material?</t>
        </is>
      </c>
      <c r="BY5" s="35" t="inlineStr">
        <is>
          <t>What fill is used in the back of the product?</t>
        </is>
      </c>
      <c r="BZ5" s="35" t="inlineStr">
        <is>
          <t>What specific type of distressing does this product have? Select all that apply.</t>
        </is>
      </c>
      <c r="CA5" s="35" t="inlineStr">
        <is>
          <t>Which of the following types of natural variation and texture does the product have? Multiple can be selected if applicable. If the product does NOT have natural variation, please select No Natural Variation.</t>
        </is>
      </c>
      <c r="CB5" s="35" t="inlineStr">
        <is>
          <t>Does this product have arms included?</t>
        </is>
      </c>
      <c r="CC5" s="35" t="inlineStr">
        <is>
          <t>In what way is this armrest adjustable?</t>
        </is>
      </c>
      <c r="CD5" s="35" t="inlineStr">
        <is>
          <t>Is this product able to swivel?</t>
        </is>
      </c>
      <c r="CE5" s="35" t="inlineStr">
        <is>
          <t>Does this product have a lumbar support feature?</t>
        </is>
      </c>
      <c r="CF5" s="35" t="inlineStr">
        <is>
          <t>Does this product include any massage features?</t>
        </is>
      </c>
      <c r="CG5" s="35" t="inlineStr">
        <is>
          <t>Does this product tilt?</t>
        </is>
      </c>
      <c r="CH5" s="35" t="inlineStr">
        <is>
          <t>Does this chair have a function that allows you to lock your chair into the tilt position that provides you the greatest comfort?</t>
        </is>
      </c>
      <c r="CI5" s="35" t="inlineStr">
        <is>
          <t>Does this chair have a function that allows you to adjust the amount of force required to recline?</t>
        </is>
      </c>
      <c r="CJ5" s="35" t="inlineStr">
        <is>
          <t>Is the height of this product adjustable?</t>
        </is>
      </c>
      <c r="CK5" s="35" t="inlineStr">
        <is>
          <t>Can the back of the seat move in and out to increase the seating depth?</t>
        </is>
      </c>
      <c r="CL5" s="35" t="inlineStr">
        <is>
          <t>Can you tilt the seat cushion/adjust the angle of the seat cushion independently of the back?</t>
        </is>
      </c>
      <c r="CM5" s="35" t="inlineStr">
        <is>
          <t>Does this product have a waterfall seat included?</t>
        </is>
      </c>
      <c r="CN5" s="35" t="inlineStr">
        <is>
          <t>Can the seat cushion more forward or back to adjust the seating depth?</t>
        </is>
      </c>
      <c r="CO5" s="35" t="inlineStr">
        <is>
          <t>Does this product have a headrest included?</t>
        </is>
      </c>
      <c r="CP5" s="35" t="inlineStr">
        <is>
          <t>Does this product have a footrest included?</t>
        </is>
      </c>
      <c r="CQ5" s="35" t="inlineStr">
        <is>
          <t>Does this product have any casters or wheels?</t>
        </is>
      </c>
      <c r="CR5" s="35" t="inlineStr">
        <is>
          <t>Which of the following surfaces can this product safely be used on or under without damaging the surface? Select all that apply.</t>
        </is>
      </c>
      <c r="CS5" s="35" t="inlineStr">
        <is>
          <t>Is this product stackable? Does it have the ability to be placed on top of another?</t>
        </is>
      </c>
      <c r="CT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U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V5" s="35" t="inlineStr">
        <is>
          <t>Which technique was used to join together the main pieces of wood to construct the overall product?</t>
        </is>
      </c>
      <c r="CW5" s="35" t="inlineStr">
        <is>
          <t>Is the wood kiln-dried? If product is not made of wood, please select "does not apply."</t>
        </is>
      </c>
      <c r="CX5" s="35" t="inlineStr">
        <is>
          <t>Does this chair vibrate?</t>
        </is>
      </c>
      <c r="CY5" s="35" t="inlineStr">
        <is>
          <t>Is the product a battery or does the product include batteries?</t>
        </is>
      </c>
      <c r="CZ5" s="35" t="inlineStr">
        <is>
          <t>What is the composition of the batteries included with product?</t>
        </is>
      </c>
      <c r="DA5" s="35" t="inlineStr">
        <is>
          <t>What type is the battery? Button Cell, Cell, Battery?</t>
        </is>
      </c>
      <c r="DB5" s="35" t="inlineStr">
        <is>
          <t>Confirm number of batteries in this product</t>
        </is>
      </c>
      <c r="DC5" s="35" t="inlineStr">
        <is>
          <t>Do the cells/batteries ship stand alone/packed with the equipment/ contained (installed) in the equipment?</t>
        </is>
      </c>
      <c r="DD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DE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DF5" s="35" t="inlineStr">
        <is>
          <t>What is the net weight of the cells or batteries that ship with the product in grams or kilograms.</t>
        </is>
      </c>
      <c r="DG5" s="35" t="inlineStr">
        <is>
          <t>[Pounds] What is the maximum weight capacity of the product? Please enter just the number (i.e., 45.5).</t>
        </is>
      </c>
      <c r="DH5" s="35" t="inlineStr">
        <is>
          <t>Is the headrest on this product adjustable?</t>
        </is>
      </c>
      <c r="DI5" s="35" t="inlineStr">
        <is>
          <t>Does the product feature lumbar support that adjusts independently of the back?</t>
        </is>
      </c>
      <c r="DJ5" s="35" t="inlineStr">
        <is>
          <t>What is the appropriate way to clean and/or care for this product? Please select as many answers as applicable.</t>
        </is>
      </c>
      <c r="DK5" s="35" t="inlineStr">
        <is>
          <t>What is the color of the seat?</t>
        </is>
      </c>
      <c r="DL5" s="35" t="inlineStr">
        <is>
          <t>What is the material used to construct the arms?</t>
        </is>
      </c>
      <c r="DM5" s="35" t="inlineStr">
        <is>
          <t>If the item is upholstered, what is the upholstery fill material? (foam, cotton batting, etc.)</t>
        </is>
      </c>
      <c r="DN5" s="35" t="inlineStr">
        <is>
          <t>What is the color or finish of the frame of the product?</t>
        </is>
      </c>
      <c r="DO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DP5" s="35" t="inlineStr">
        <is>
          <t>What type of wood was used to construct this product? This describes the actual materials used, not the product's appearance.</t>
        </is>
      </c>
      <c r="DQ5" s="35" t="inlineStr">
        <is>
          <t>Can the back angle be locked in a number of different positions?</t>
        </is>
      </c>
      <c r="DR5" s="35" t="inlineStr">
        <is>
          <t>Are the wheels / casters removable?</t>
        </is>
      </c>
      <c r="DS5" s="35" t="inlineStr">
        <is>
          <t>What type of arms does the chair have?</t>
        </is>
      </c>
      <c r="DT5" s="35" t="inlineStr">
        <is>
          <t>Is there a a raised pattern of parallel lines on a surface of this product?</t>
        </is>
      </c>
      <c r="DU5" s="35" t="inlineStr">
        <is>
          <t>Which of the following durability features are applicable to this product? Please select all applicable options from the list. If none apply, please select "No Durability Features."</t>
        </is>
      </c>
      <c r="DV5" s="35" t="inlineStr">
        <is>
          <t>Please select the type of tilt mechanism with which the angle of the product can be tilted.</t>
        </is>
      </c>
      <c r="DW5" s="35" t="inlineStr">
        <is>
          <t>What pieces are included with this product?</t>
        </is>
      </c>
      <c r="DX5" s="35" t="inlineStr">
        <is>
          <t>Please select the rating this product received on the Wyzenbeek Double Rub Abrasion Test, or on the Martindale Cycle Rating Abrasion Test.</t>
        </is>
      </c>
      <c r="DY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DZ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EA5" s="35" t="inlineStr">
        <is>
          <t>Is this product certified compliant for CARB ATCM Phase II formaldehyde emission standards from Composite Wood Products [California Air Resources Board (CARB)- Airborne Toxic Control Measures (ATCM) Phase II]</t>
        </is>
      </c>
      <c r="EB5" s="35" t="inlineStr">
        <is>
          <t>Is this product certified TSCA Title VI compliant regarding formaldehyde emissions from Composite Wood Products [Environmental Protection Agency (EPA)-Toxic Substance Control Act (TSCA)-Title VI]</t>
        </is>
      </c>
      <c r="EC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ED5" s="35" t="inlineStr">
        <is>
          <t>Is this product ADA (Americans with Disabilities Act) compliant?</t>
        </is>
      </c>
      <c r="EE5" s="35" t="inlineStr">
        <is>
          <t>Does this product contain flame resistant materials If any of these three chemicals (PBDEs – polybrominated diphenyl ethers, TDCP (or TDCPP) – Tris (1,3-dicholor-2-propyl) phosphate, TCEP – Tris (2-chloroethyl) phosphate) were used in the manufacturing of the furniture, please select yes.</t>
        </is>
      </c>
      <c r="EF5" s="35" t="inlineStr">
        <is>
          <t>Is this product certified compliant with California Technical Bulletin: CAL TB 116, the Flammability Standard for Upholstered Furniture?</t>
        </is>
      </c>
      <c r="EG5" s="35" t="inlineStr">
        <is>
          <t>Are this products components certified compliant with California Technical Bulletin: CAL TB 117-2013, the Flammability (Smolder) Standard for Upholstered Furniture Materials?</t>
        </is>
      </c>
      <c r="EH5" s="35" t="inlineStr">
        <is>
          <t>Does this product have a General Certificate of Conformity (GCC), as required by the U.S. CPSC for certain product classes?</t>
        </is>
      </c>
      <c r="EI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EJ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EK5" s="35" t="inlineStr">
        <is>
          <t>Please select the reason this product can not ship to Canada?  Please select from the options or write in a reason if not selectable</t>
        </is>
      </c>
      <c r="EL5" s="35" t="inlineStr">
        <is>
          <t>Is this product compliant with the Lacey Act (a set of conservation laws also known as the Lacey Act of 1900)?</t>
        </is>
      </c>
      <c r="EM5" s="35" t="inlineStr">
        <is>
          <t>Does this product meet the flammability standard for upholstered furniture set forth by Safer Occupancy Future Flammability Act (SOFFA)? Please note that SOFFA is incorporated into the COVID-19 Regulatory Relief and Work from Home Safety Act.</t>
        </is>
      </c>
      <c r="EN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EO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EP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EQ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ER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ES5" s="35"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ET5" s="35" t="inlineStr">
        <is>
          <t>Does your product comply with SOR/2016-193 (as amended by SOR/2022-122), the Canadian regulation banning paint or similar surface-coating materials for consumer use that contain more than 10 mg/kg total mercury and 90mg/kg total lead? Please note: A no answer to this question will prevent this item from being listed for sale on Wayfair.ca.</t>
        </is>
      </c>
      <c r="EU5" s="35" t="inlineStr">
        <is>
          <t>Is the packaging for this SKU ISTA Certified (1A, 3A, 6A)?</t>
        </is>
      </c>
      <c r="EV5" s="35" t="inlineStr">
        <is>
          <t>Select "Does Not Apply" if your product does not contain any textiles.
Is this product compliant with California's Safer Clothes and Textiles Act (AB 1817), the standard restricting per- and polyfluoroalkyl substances (PFAS) above 100 parts per million in textiles? 
Products marked "No" will be blocked from sale in California. 
Please see Help Center article here for more information: https://partners.wayfair.com/help/2/article/2828).</t>
        </is>
      </c>
      <c r="EW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X5" s="35"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Y5" s="35" t="inlineStr">
        <is>
          <t>[Inches] What is the overall height of the product from top to bottom? Please enter just the number (e.g. 45.5).</t>
        </is>
      </c>
      <c r="EZ5" s="35" t="inlineStr">
        <is>
          <t>[Inches] What is overall width of the product from side to side? Please enter just the number (e.g. 45.5).</t>
        </is>
      </c>
      <c r="FA5" s="35" t="inlineStr">
        <is>
          <t>[Inches] What is the overall depth of the product from front to back? Please enter just the number (e.g. 45.5).</t>
        </is>
      </c>
      <c r="FB5" s="35" t="inlineStr">
        <is>
          <t>[Inches] What is the height from the floor to the top of the seat? Please enter just the number (e.g. 12.5).</t>
        </is>
      </c>
      <c r="FC5" s="35" t="inlineStr">
        <is>
          <t>[Inches] What is the width of the seat from side to side? Please enter just the number (e.g. 12.5). Do not include the arms of the product (if the product has arms) in this measurement - it should be the inside distance between the arms.</t>
        </is>
      </c>
      <c r="FD5" s="35" t="inlineStr">
        <is>
          <t>[Inches] What is the depth of the seat from front to back? Please enter just the number (e.g. 12.5). Please do not include the back of the chair (if there is one) in this measurement.</t>
        </is>
      </c>
      <c r="FE5" s="35" t="inlineStr">
        <is>
          <t>[Inches] If the product height is adjustable, enter the minimum seat height (floor to seat). Enter just the value (i.e., 45.5).</t>
        </is>
      </c>
      <c r="FF5" s="35" t="inlineStr">
        <is>
          <t>[Inches] If the product height is adjustable, enter the maximum seat height (floor to seat). Enter just the value (i.e., 45.5).</t>
        </is>
      </c>
      <c r="FG5" s="35" t="inlineStr">
        <is>
          <t>[Inches] What is the thickness of the cushion from top to bottom? Please enter just the number (e.g. 30.5).</t>
        </is>
      </c>
      <c r="FH5" s="35" t="inlineStr">
        <is>
          <t>[Inches] What is the height from the top of the seat to the top of the back? Please enter just the number (e.g. 12.5).</t>
        </is>
      </c>
      <c r="FI5" s="35" t="inlineStr">
        <is>
          <t>[Pounds] What is the total weight of this product once assembled? If this product includes multiples of the same item, add weight of one individual unit (e.g. 1 Dining Chair in a set of 2). Please enter just the number (i.e. 45.5).</t>
        </is>
      </c>
      <c r="FJ5" s="35" t="inlineStr">
        <is>
          <t>Does the product require any form of assembly prior to use as intended?</t>
        </is>
      </c>
      <c r="FK5" s="35" t="inlineStr">
        <is>
          <t>What is the level of assembly required?</t>
        </is>
      </c>
      <c r="FL5" s="35" t="inlineStr">
        <is>
          <t>What additional tools will the customer need to set-up this product that are NOT included with purchase?</t>
        </is>
      </c>
      <c r="FM5" s="35" t="inlineStr">
        <is>
          <t>Does the manufacturer warranty cover the use of this product in a commercial environment?</t>
        </is>
      </c>
      <c r="FN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FO5" s="35" t="inlineStr">
        <is>
          <t>Please indicate if there is a warranty on this product if it were to be used in a residential setting.</t>
        </is>
      </c>
      <c r="FP5" s="35" t="inlineStr">
        <is>
          <t>Please indicate if the warranty is Full or Limited.</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Select</t>
        </is>
      </c>
      <c r="BQ6" s="36" t="inlineStr">
        <is>
          <t>Please choose one or more from the following, using a semicolon (;) to separate each value: Mesh; Bungee; Other; Manufactured Wood; Fabric; Solid Wood; Metal; Plastic; Leather; Unavailable</t>
        </is>
      </c>
      <c r="BR6" s="36" t="inlineStr">
        <is>
          <t>Please choose one or more from the following, using a semicolon (;) to separate each value: Ceramic; Plastic; Wood; Manufactured wood; Brass; Bungee; Chenille; Concrete; Copper; Fabric; Genuine Leather; Metal; Plastic / Resin; Nickel; Polyurethane; Solid + Manufactured Wood; Cotton; Stainless Steel; Wicker/Rattan; Faux Leather; Mesh; Iron; Plastic / Acrylic; Microfiber; Polyester/Polyester blend; Porcelain; Sling; Solid Wood; Velvet; Wicker; Steel; Twill; Aluminum; Resin; Leather; Vinyl; Suede; Upholstered; Polyester; Sunbrella®; Canvas; Does Not Apply</t>
        </is>
      </c>
      <c r="BS6" s="35" t="inlineStr">
        <is>
          <t>Yes or No</t>
        </is>
      </c>
      <c r="BT6" s="36" t="inlineStr">
        <is>
          <t>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t>
        </is>
      </c>
      <c r="BU6" s="35" t="inlineStr">
        <is>
          <t>Yes or No</t>
        </is>
      </c>
      <c r="BV6" s="35" t="inlineStr">
        <is>
          <t>Yes or No</t>
        </is>
      </c>
      <c r="BW6" s="36" t="inlineStr">
        <is>
          <t>Please choose one or more from the following, using a semicolon (;) to separate each value: Fabric; Solid Wood; Leather; Faux Leather; Metal; Vinyl; Mesh; Plastic / Acrylic; Manufactured Wood; Bungee; Copper; Nickel; Aluminum; Steel; Stainless Steel; Upholstered; Microfiber; Polyester / Polyester Blend; Iron; Brass; Cane; Unavailable</t>
        </is>
      </c>
      <c r="BX6" s="36" t="inlineStr">
        <is>
          <t>Please choose one or more from the following, using a semicolon (;) to separate each value: Twill; Fabric; Polyurethane; Genuine Leather; Vinyl; Polyester / Polyester Blend; Faux Fur; Faux Leather; Suede; Microfiber; Velvet; Leather; Rayon; Chenille; Wool; Cotton; Linen; Microsuede; Unavailable; Does Not Apply</t>
        </is>
      </c>
      <c r="BY6" s="36" t="inlineStr">
        <is>
          <t>Please choose one or more from the following, using a semicolon (;) to separate each value: Foam; Cotton; Down; Synthetic Fiber; Feather; Polyester; Pellets / Beads; Unavailable; Does Not Apply</t>
        </is>
      </c>
      <c r="BZ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A6" s="36" t="inlineStr">
        <is>
          <t>Please choose one or more from the following, using a semicolon (;) to separate each value: No Natural Variation; Natural Wood Grain Color Variation; Weathered Steel; Wood Knots; Natural Stone Color Variation; Unavailable</t>
        </is>
      </c>
      <c r="CB6" s="35" t="inlineStr">
        <is>
          <t>Yes or No</t>
        </is>
      </c>
      <c r="CC6" s="36" t="inlineStr">
        <is>
          <t>Please choose one or more from the following, using a semicolon (;) to separate each value: Up / Down; Pivot; Side to Side; Front to Back; Non-Adjustable; Flip Up; Unavailable; Does Not Apply</t>
        </is>
      </c>
      <c r="CD6" s="35" t="inlineStr">
        <is>
          <t>Yes or No</t>
        </is>
      </c>
      <c r="CE6" s="35" t="inlineStr">
        <is>
          <t>Yes or No</t>
        </is>
      </c>
      <c r="CF6" s="35" t="inlineStr">
        <is>
          <t>Yes or No</t>
        </is>
      </c>
      <c r="CG6" s="35" t="inlineStr">
        <is>
          <t>Yes or No</t>
        </is>
      </c>
      <c r="CH6" s="35" t="inlineStr">
        <is>
          <t>Yes or No</t>
        </is>
      </c>
      <c r="CI6" s="35" t="inlineStr">
        <is>
          <t>Yes or No</t>
        </is>
      </c>
      <c r="CJ6" s="35" t="inlineStr">
        <is>
          <t>Yes or No</t>
        </is>
      </c>
      <c r="CK6" s="35" t="inlineStr">
        <is>
          <t>Yes or No</t>
        </is>
      </c>
      <c r="CL6" s="35" t="inlineStr">
        <is>
          <t>Yes or No</t>
        </is>
      </c>
      <c r="CM6" s="35" t="inlineStr">
        <is>
          <t>Yes or No</t>
        </is>
      </c>
      <c r="CN6" s="35" t="inlineStr">
        <is>
          <t>Yes or No</t>
        </is>
      </c>
      <c r="CO6" s="35" t="inlineStr">
        <is>
          <t>Yes or No</t>
        </is>
      </c>
      <c r="CP6" s="35" t="inlineStr">
        <is>
          <t>Yes or No</t>
        </is>
      </c>
      <c r="CQ6" s="35" t="inlineStr">
        <is>
          <t>Yes or No</t>
        </is>
      </c>
      <c r="CR6" s="36" t="inlineStr">
        <is>
          <t>Please choose one or more from the following, using a semicolon (;) to separate each value: Hardwood; Carpet; Linoleum / Laminate; Brick; Porcelain; Thick Carpet and Shag Rugs; Vinyl; Metal; Rug; Marble / Tile; Upholstery; Concrete / Stone; Grass; Heated Floor; Onyx; Thin Carpets and Low Pile Rugs; Engineered Wood; Bamboo; Cork; Unavailable; Does Not Apply</t>
        </is>
      </c>
      <c r="CS6" s="35" t="inlineStr">
        <is>
          <t>Yes or No</t>
        </is>
      </c>
      <c r="CT6" s="36" t="inlineStr">
        <is>
          <t>Please choose one or more from the following, using a semicolon (;) to separate each value: Non Residential Use; Residential Use</t>
        </is>
      </c>
      <c r="CU6" s="36" t="inlineStr">
        <is>
          <t>Please choose one or more from the following, using a semicolon (;) to separate each value: Made in USA; Made in USA of Imported Materials; Product of Canada; Made In Canada; Does Not Apply</t>
        </is>
      </c>
      <c r="CV6" s="36" t="inlineStr">
        <is>
          <t>Select</t>
        </is>
      </c>
      <c r="CW6" s="35" t="inlineStr">
        <is>
          <t>Yes or No</t>
        </is>
      </c>
      <c r="CX6" s="35" t="inlineStr">
        <is>
          <t>Yes or No</t>
        </is>
      </c>
      <c r="CY6" s="35" t="inlineStr">
        <is>
          <t>Yes or No</t>
        </is>
      </c>
      <c r="CZ6" s="36" t="inlineStr">
        <is>
          <t>Select</t>
        </is>
      </c>
      <c r="DA6" s="36" t="inlineStr">
        <is>
          <t>Select</t>
        </is>
      </c>
      <c r="DB6" s="36" t="inlineStr">
        <is>
          <t>Select</t>
        </is>
      </c>
      <c r="DC6" s="36" t="inlineStr">
        <is>
          <t>Select</t>
        </is>
      </c>
      <c r="DD6" s="36" t="inlineStr">
        <is>
          <t>Select</t>
        </is>
      </c>
      <c r="DE6" s="36" t="inlineStr">
        <is>
          <t>Select</t>
        </is>
      </c>
      <c r="DF6" s="36" t="inlineStr">
        <is>
          <t>Select</t>
        </is>
      </c>
      <c r="DG6" s="35" t="inlineStr">
        <is>
          <t>Number</t>
        </is>
      </c>
      <c r="DH6" s="35" t="inlineStr">
        <is>
          <t>Yes or No</t>
        </is>
      </c>
      <c r="DI6" s="35" t="inlineStr">
        <is>
          <t>Yes or No</t>
        </is>
      </c>
      <c r="DJ6" s="36"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DK6" s="36" t="inlineStr">
        <is>
          <t>Please choose one or more from the following, using a semicolon (;) to separate each value: Cream; Green; Gold; Blue; Beige; Tan; Gray; Black; Clear; Orange; Red; Purple; Pink; Silver; Navy; Ivory; Brown; White; Platinum; Yellow; Teal; Does Not Apply</t>
        </is>
      </c>
      <c r="DL6" s="36" t="inlineStr">
        <is>
          <t>Please choose one or more from the following, using a semicolon (;) to separate each value: Wood; Manufactured Wood; Rubber; Foam; Plastic / Acrylic; Wicker; Fabric; Metal; Nylon; Polyester; Plastic; Vinyl; Polypropylene; Solid Wood; Faux Leather; Genuine Leather; Polyurethane; Solid + Manufactured Wood; Unavailable; Does Not Apply</t>
        </is>
      </c>
      <c r="DM6" s="36" t="inlineStr">
        <is>
          <t>Please choose one or more from the following, using a semicolon (;) to separate each value: Down; Feather; Down Blend; Synthetic Fiber; Foam; Eco-Fill; Pellets / Beads; Cotton; Polyester; Unavailable; Does Not Apply</t>
        </is>
      </c>
      <c r="DN6" s="36" t="inlineStr">
        <is>
          <t>Please choose one or more from the following, using a semicolon (;) to separate each value: Stainless Steel; White; Silver; Satin; Gold; Yellow; Clear; Satin Black; Medium Wood; Matte Black; White Wood; Black; Brown; Blue; Dark Brown Wood; Brown Wood; Oak Wood; Medium Yellow Wood; Light Yellow Wood; Rose Gold; Antique Brass; Nickel; Pink; Polished Brass; Satin Brass; Oil Rubbed Bronze; Polished Nickel; Red; Purple; Espresso Wood; Ivory; Orange; Beige; Teal; Green; Bronze; Brushed Gold; Brass; Red Wood; Tan; Navy; Brushed Nickel; Cream; Chrome; Brushed Brass; Polished Chrome; Gray; Gray Wood; Satin Nickel; Beige Wood; Natural Wood; Copper; Antique Copper; Antique Bronze</t>
        </is>
      </c>
      <c r="DO6" s="35" t="inlineStr">
        <is>
          <t>Yes or No</t>
        </is>
      </c>
      <c r="DP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DQ6" s="35" t="inlineStr">
        <is>
          <t>Yes or No</t>
        </is>
      </c>
      <c r="DR6" s="35" t="inlineStr">
        <is>
          <t>Yes or No</t>
        </is>
      </c>
      <c r="DS6" s="36" t="inlineStr">
        <is>
          <t>Please choose one or more from the following, using a semicolon (;) to separate each value: Armless; Tuxedo Arms; Fixed; Round Arms; Square Arms; Pillow Top Arms; Rolled Arms; Recessed Arms; Charles of London; Padded; Flip-Up; Track Arms; Adjustable Arms; Flared Arms; Unavailable; Does Not Apply</t>
        </is>
      </c>
      <c r="DT6" s="35" t="inlineStr">
        <is>
          <t>Yes or No</t>
        </is>
      </c>
      <c r="DU6" s="36" t="inlineStr">
        <is>
          <t>Please choose one or more from the following, using a semicolon (;) to separate each value: No Durability Features; Fire Resistant; Antimicrobial; Does Not Apply</t>
        </is>
      </c>
      <c r="DV6" s="36" t="inlineStr">
        <is>
          <t>Please choose one or more from the following, using a semicolon (;) to separate each value: Center Tilt; Auto Tilt; Knee Tilt; Manual Tilt; Synchro Tilt; Rotational; Collar Tilt; Push Button; Does Not Apply</t>
        </is>
      </c>
      <c r="DW6" s="36" t="inlineStr">
        <is>
          <t>Please choose one or more from the following, using a semicolon (;) to separate each value: Headrest; Pillow; Chair Mat; Waterfall Seat; Wheels / Casters; Arms; Footrest; Unavailable; Does Not Apply</t>
        </is>
      </c>
      <c r="DX6" s="36" t="inlineStr">
        <is>
          <t>Select</t>
        </is>
      </c>
      <c r="DY6" s="36" t="inlineStr">
        <is>
          <t>Select</t>
        </is>
      </c>
      <c r="DZ6" s="35" t="inlineStr">
        <is>
          <t>Yes or No</t>
        </is>
      </c>
      <c r="EA6" s="36" t="inlineStr">
        <is>
          <t>Select</t>
        </is>
      </c>
      <c r="EB6" s="36" t="inlineStr">
        <is>
          <t>Select</t>
        </is>
      </c>
      <c r="EC6" s="36" t="inlineStr">
        <is>
          <t>Select</t>
        </is>
      </c>
      <c r="ED6" s="35" t="inlineStr">
        <is>
          <t>Yes or No</t>
        </is>
      </c>
      <c r="EE6" s="35" t="inlineStr">
        <is>
          <t>Yes or No</t>
        </is>
      </c>
      <c r="EF6" s="36" t="inlineStr">
        <is>
          <t>Select</t>
        </is>
      </c>
      <c r="EG6" s="36" t="inlineStr">
        <is>
          <t>Select</t>
        </is>
      </c>
      <c r="EH6" s="36" t="inlineStr">
        <is>
          <t>Select</t>
        </is>
      </c>
      <c r="EI6" s="36" t="inlineStr">
        <is>
          <t>Select</t>
        </is>
      </c>
      <c r="EJ6" s="35" t="inlineStr">
        <is>
          <t>Yes or No</t>
        </is>
      </c>
      <c r="EK6" s="36" t="inlineStr">
        <is>
          <t>Please choose one or more from the following, using a semicolon (;) to separate each value: Dual Language; Distribution Conflict; Logistics; Does Not Apply</t>
        </is>
      </c>
      <c r="EL6" s="36" t="inlineStr">
        <is>
          <t>Select</t>
        </is>
      </c>
      <c r="EM6" s="35" t="inlineStr">
        <is>
          <t>Yes or No</t>
        </is>
      </c>
      <c r="EN6" s="35" t="inlineStr">
        <is>
          <t>Yes or No</t>
        </is>
      </c>
      <c r="EO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EP6" s="36" t="inlineStr">
        <is>
          <t>Select</t>
        </is>
      </c>
      <c r="EQ6" s="36" t="inlineStr">
        <is>
          <t>Select</t>
        </is>
      </c>
      <c r="ER6" s="36" t="inlineStr">
        <is>
          <t>Select</t>
        </is>
      </c>
      <c r="ES6" s="36" t="inlineStr">
        <is>
          <t>Select</t>
        </is>
      </c>
      <c r="ET6" s="36" t="inlineStr">
        <is>
          <t>Select</t>
        </is>
      </c>
      <c r="EU6" s="36" t="inlineStr">
        <is>
          <t>Select</t>
        </is>
      </c>
      <c r="EV6" s="36" t="inlineStr">
        <is>
          <t>Select</t>
        </is>
      </c>
      <c r="EW6" s="35" t="inlineStr">
        <is>
          <t>Yes or No</t>
        </is>
      </c>
      <c r="EX6" s="36" t="inlineStr">
        <is>
          <t>Select</t>
        </is>
      </c>
      <c r="EY6" s="35" t="inlineStr">
        <is>
          <t>Number</t>
        </is>
      </c>
      <c r="EZ6" s="35" t="inlineStr">
        <is>
          <t>Number</t>
        </is>
      </c>
      <c r="FA6" s="35" t="inlineStr">
        <is>
          <t>Number</t>
        </is>
      </c>
      <c r="FB6" s="35" t="inlineStr">
        <is>
          <t>Number</t>
        </is>
      </c>
      <c r="FC6" s="35" t="inlineStr">
        <is>
          <t>Number</t>
        </is>
      </c>
      <c r="FD6" s="35" t="inlineStr">
        <is>
          <t>Number</t>
        </is>
      </c>
      <c r="FE6" s="35" t="inlineStr">
        <is>
          <t>Number</t>
        </is>
      </c>
      <c r="FF6" s="35" t="inlineStr">
        <is>
          <t>Number</t>
        </is>
      </c>
      <c r="FG6" s="35" t="inlineStr">
        <is>
          <t>Number</t>
        </is>
      </c>
      <c r="FH6" s="35" t="inlineStr">
        <is>
          <t>Number</t>
        </is>
      </c>
      <c r="FI6" s="35" t="inlineStr">
        <is>
          <t>Number</t>
        </is>
      </c>
      <c r="FJ6" s="35" t="inlineStr">
        <is>
          <t>Yes or No</t>
        </is>
      </c>
      <c r="FK6" s="36" t="inlineStr">
        <is>
          <t>Select</t>
        </is>
      </c>
      <c r="FL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FM6" s="35" t="inlineStr">
        <is>
          <t>Yes or No</t>
        </is>
      </c>
      <c r="FN6" s="36" t="inlineStr">
        <is>
          <t>Select</t>
        </is>
      </c>
      <c r="FO6" s="35" t="inlineStr">
        <is>
          <t>Yes or No</t>
        </is>
      </c>
      <c r="FP6" s="36" t="inlineStr">
        <is>
          <t>Select</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c r="DZ7" s="38" t="n"/>
      <c r="EA7" s="38" t="n"/>
      <c r="EB7" s="38" t="n"/>
      <c r="EC7" s="38" t="n"/>
      <c r="ED7" s="38" t="n"/>
      <c r="EE7" s="38" t="n"/>
      <c r="EF7" s="38" t="n"/>
      <c r="EG7" s="38" t="n"/>
      <c r="EH7" s="38" t="n"/>
      <c r="EI7" s="38" t="n"/>
      <c r="EJ7" s="38" t="n"/>
      <c r="EK7" s="38" t="n"/>
      <c r="EL7" s="38" t="n"/>
      <c r="EM7" s="38" t="n"/>
      <c r="EN7" s="38" t="n"/>
      <c r="EO7" s="38" t="n"/>
      <c r="EP7" s="38" t="n"/>
      <c r="EQ7" s="38" t="n"/>
      <c r="ER7" s="38" t="n"/>
      <c r="ES7" s="38" t="n"/>
      <c r="ET7" s="38" t="n"/>
      <c r="EU7" s="38" t="n"/>
      <c r="EV7" s="38" t="n"/>
      <c r="EW7" s="38" t="n"/>
      <c r="EX7" s="38" t="n"/>
      <c r="EY7" s="38" t="n"/>
      <c r="EZ7" s="38" t="n"/>
      <c r="FA7" s="38" t="n"/>
      <c r="FB7" s="38" t="n"/>
      <c r="FC7" s="38" t="n"/>
      <c r="FD7" s="38" t="n"/>
      <c r="FE7" s="38" t="n"/>
      <c r="FF7" s="38" t="n"/>
      <c r="FG7" s="38" t="n"/>
      <c r="FH7" s="38" t="n"/>
      <c r="FI7" s="38" t="n"/>
      <c r="FJ7" s="38" t="n"/>
      <c r="FK7" s="38" t="n"/>
      <c r="FL7" s="38" t="n"/>
      <c r="FM7" s="38" t="n"/>
      <c r="FN7" s="38" t="n"/>
      <c r="FO7" s="38" t="n"/>
      <c r="FP7" s="38" t="n"/>
    </row>
    <row r="8">
      <c r="A8">
        <f t="array" ref="A8">_xlfn.BYROW(B8:FQ507, _xlfn.LAMBDA(_xlpm.r, _xlfn.LET(_xlpm.high_priority_idx, IFERROR(MATCH(TRUE, (_xlpm.r = "Error") + (_xlpm.r = "Required") &gt; 0, 0), 0), IF(_xlpm.high_priority_idx &gt; 0, _xlpm.high_priority_idx + 1, IFERROR(MATCH(1, (_xlpm.r = "Warning") * 1, 0) + 1, "")))))</f>
        <v/>
      </c>
      <c r="B8" s="22">
        <f t="array" ref="B8">_xlfn.MAP('10 - Office Chairs'!B8:B507, '10 - Office Chairs'!B8:B507, '10 - Office Chairs-WUO_ERR'!B8:B507, _xlfn.LAMBDA(_xlpm.part, _xlpm.val, _xlpm.error, IF(_xlpm.part = "", "", IF(LEN(_xlpm.error), _xlfn.SWITCH(IFERROR(_xlfn.TEXTBEFORE(_xlpm.error,":"), ""), "1", "Error", "2", "Disabled", "3", "Required", "4", "Warning", "Valid"), "Valid"))))</f>
        <v/>
      </c>
      <c r="C8" s="22">
        <f t="array" ref="C8">_xlfn.MAP('10 - Office Chairs'!B8:B507, '10 - Office Chairs'!C8:C507, '10 - Office Chairs-WUO_ERR'!C8:C507, _xlfn.LAMBDA(_xlpm.part, _xlpm.val, _xlpm.error, IF(_xlpm.part = "", "", IF(LEN(_xlpm.error), _xlfn.SWITCH(IFERROR(_xlfn.TEXTBEFORE(_xlpm.error,":"), ""), "1", "Error", "2", "Disabled", "3", "Required", "4", "Warning", "Valid"), "Valid"))))</f>
        <v/>
      </c>
      <c r="D8" s="22">
        <f t="array" ref="D8">_xlfn.MAP('10 - Office Chairs'!B8:B507, '10 - Office Chairs'!D8:D507, '10 - Office Chairs-WUO_ERR'!D8:D507, _xlfn.LAMBDA(_xlpm.part, _xlpm.val, _xlpm.error, IF(_xlpm.part = "", "", IF(LEN(_xlpm.error), _xlfn.SWITCH(IFERROR(_xlfn.TEXTBEFORE(_xlpm.error,":"), ""), "1", "Error", "2", "Disabled", "3", "Required", "4", "Warning", "Valid"), "Valid"))))</f>
        <v/>
      </c>
      <c r="E8" s="22">
        <f t="array" ref="E8">_xlfn.MAP('10 - Office Chairs'!B8:B507, '10 - Office Chairs'!E8:E507, '10 - Office Chairs-WUO_ERR'!E8:E507, _xlfn.LAMBDA(_xlpm.part, _xlpm.val, _xlpm.error, IF(_xlpm.part = "", "", IF(LEN(_xlpm.error), _xlfn.SWITCH(IFERROR(_xlfn.TEXTBEFORE(_xlpm.error,":"), ""), "1", "Error", "2", "Disabled", "3", "Required", "4", "Warning", "Valid"), "Valid"))))</f>
        <v/>
      </c>
      <c r="F8" s="22">
        <f t="array" ref="F8">_xlfn.MAP('10 - Office Chairs'!B8:B507, '10 - Office Chairs'!F8:F507, '10 - Office Chairs-WUO_ERR'!F8:F507, _xlfn.LAMBDA(_xlpm.part, _xlpm.val, _xlpm.error, IF(_xlpm.part = "", "", IF(LEN(_xlpm.error), _xlfn.SWITCH(IFERROR(_xlfn.TEXTBEFORE(_xlpm.error,":"), ""), "1", "Error", "2", "Disabled", "3", "Required", "4", "Warning", "Valid"), "Valid"))))</f>
        <v/>
      </c>
      <c r="G8" s="22">
        <f t="array" ref="G8">_xlfn.MAP('10 - Office Chairs'!B8:B507, '10 - Office Chairs'!G8:G507, '10 - Office Chairs-WUO_ERR'!G8:G507, _xlfn.LAMBDA(_xlpm.part, _xlpm.val, _xlpm.error, IF(_xlpm.part = "", "", IF(LEN(_xlpm.error), _xlfn.SWITCH(IFERROR(_xlfn.TEXTBEFORE(_xlpm.error,":"), ""), "1", "Error", "2", "Disabled", "3", "Required", "4", "Warning", "Valid"), "Valid"))))</f>
        <v/>
      </c>
      <c r="H8" s="22">
        <f t="array" ref="H8">_xlfn.MAP('10 - Office Chairs'!B8:B507, '10 - Office Chairs'!H8:H507, '10 - Office Chairs-WUO_ERR'!H8:H507, _xlfn.LAMBDA(_xlpm.part, _xlpm.val, _xlpm.error, IF(_xlpm.part = "", "", IF(LEN(_xlpm.error), _xlfn.SWITCH(IFERROR(_xlfn.TEXTBEFORE(_xlpm.error,":"), ""), "1", "Error", "2", "Disabled", "3", "Required", "4", "Warning", "Valid"), "Valid"))))</f>
        <v/>
      </c>
      <c r="I8" s="22">
        <f t="array" ref="I8">_xlfn.MAP('10 - Office Chairs'!B8:B507, '10 - Office Chairs'!I8:I507, '10 - Office Chairs-WUO_ERR'!I8:I507, _xlfn.LAMBDA(_xlpm.part, _xlpm.val, _xlpm.error, IF(_xlpm.part = "", "", IF(LEN(_xlpm.error), _xlfn.SWITCH(IFERROR(_xlfn.TEXTBEFORE(_xlpm.error,":"), ""), "1", "Error", "2", "Disabled", "3", "Required", "4", "Warning", "Valid"), "Valid"))))</f>
        <v/>
      </c>
      <c r="J8" s="22">
        <f t="array" ref="J8">_xlfn.MAP('10 - Office Chairs'!B8:B507, '10 - Office Chairs'!J8:J507, '10 - Office Chairs-WUO_ERR'!J8:J507, _xlfn.LAMBDA(_xlpm.part, _xlpm.val, _xlpm.error, IF(_xlpm.part = "", "", IF(LEN(_xlpm.error), _xlfn.SWITCH(IFERROR(_xlfn.TEXTBEFORE(_xlpm.error,":"), ""), "1", "Error", "2", "Disabled", "3", "Required", "4", "Warning", "Valid"), "Valid"))))</f>
        <v/>
      </c>
      <c r="K8" s="22">
        <f t="array" ref="K8">_xlfn.MAP('10 - Office Chairs'!B8:B507, '10 - Office Chairs'!K8:K507, '10 - Office Chairs-WUO_ERR'!K8:K507, _xlfn.LAMBDA(_xlpm.part, _xlpm.val, _xlpm.error, IF(_xlpm.part = "", "", IF(LEN(_xlpm.error), _xlfn.SWITCH(IFERROR(_xlfn.TEXTBEFORE(_xlpm.error,":"), ""), "1", "Error", "2", "Disabled", "3", "Required", "4", "Warning", "Valid"), "Valid"))))</f>
        <v/>
      </c>
      <c r="L8" s="22">
        <f t="array" ref="L8">_xlfn.MAP('10 - Office Chairs'!B8:B507, '10 - Office Chairs'!L8:L507, '10 - Office Chairs-WUO_ERR'!L8:L507, _xlfn.LAMBDA(_xlpm.part, _xlpm.val, _xlpm.error, IF(_xlpm.part = "", "", IF(LEN(_xlpm.error), _xlfn.SWITCH(IFERROR(_xlfn.TEXTBEFORE(_xlpm.error,":"), ""), "1", "Error", "2", "Disabled", "3", "Required", "4", "Warning", "Valid"), "Valid"))))</f>
        <v/>
      </c>
      <c r="M8" s="22">
        <f t="array" ref="M8">_xlfn.MAP('10 - Office Chairs'!B8:B507, '10 - Office Chairs'!M8:M507, '10 - Office Chairs-WUO_ERR'!M8:M507, _xlfn.LAMBDA(_xlpm.part, _xlpm.val, _xlpm.error, IF(_xlpm.part = "", "", IF(LEN(_xlpm.error), _xlfn.SWITCH(IFERROR(_xlfn.TEXTBEFORE(_xlpm.error,":"), ""), "1", "Error", "2", "Disabled", "3", "Required", "4", "Warning", "Valid"), "Valid"))))</f>
        <v/>
      </c>
      <c r="N8" s="22">
        <f t="array" ref="N8">_xlfn.MAP('10 - Office Chairs'!B8:B507, '10 - Office Chairs'!N8:N507, '10 - Office Chairs-WUO_ERR'!N8:N507, _xlfn.LAMBDA(_xlpm.part, _xlpm.val, _xlpm.error, IF(_xlpm.part = "", "", IF(LEN(_xlpm.error), _xlfn.SWITCH(IFERROR(_xlfn.TEXTBEFORE(_xlpm.error,":"), ""), "1", "Error", "2", "Disabled", "3", "Required", "4", "Warning", "Valid"), "Valid"))))</f>
        <v/>
      </c>
      <c r="O8" s="22">
        <f t="array" ref="O8">_xlfn.MAP('10 - Office Chairs'!B8:B507, '10 - Office Chairs'!O8:O507, '10 - Office Chairs-WUO_ERR'!O8:O507, _xlfn.LAMBDA(_xlpm.part, _xlpm.val, _xlpm.error, IF(_xlpm.part = "", "", IF(LEN(_xlpm.error), _xlfn.SWITCH(IFERROR(_xlfn.TEXTBEFORE(_xlpm.error,":"), ""), "1", "Error", "2", "Disabled", "3", "Required", "4", "Warning", "Valid"), "Valid"))))</f>
        <v/>
      </c>
      <c r="P8" s="22">
        <f t="array" ref="P8">_xlfn.MAP('10 - Office Chairs'!B8:B507, '10 - Office Chairs'!P8:P507, '10 - Office Chairs-WUO_ERR'!P8:P507, _xlfn.LAMBDA(_xlpm.part, _xlpm.val, _xlpm.error, IF(_xlpm.part = "", "", IF(LEN(_xlpm.error), _xlfn.SWITCH(IFERROR(_xlfn.TEXTBEFORE(_xlpm.error,":"), ""), "1", "Error", "2", "Disabled", "3", "Required", "4", "Warning", "Valid"), "Valid"))))</f>
        <v/>
      </c>
      <c r="Q8" s="22">
        <f t="array" ref="Q8">_xlfn.MAP('10 - Office Chairs'!B8:B507, '10 - Office Chairs'!Q8:Q507, '10 - Office Chairs-WUO_ERR'!Q8:Q507, _xlfn.LAMBDA(_xlpm.part, _xlpm.val, _xlpm.error, IF(_xlpm.part = "", "", IF(LEN(_xlpm.error), _xlfn.SWITCH(IFERROR(_xlfn.TEXTBEFORE(_xlpm.error,":"), ""), "1", "Error", "2", "Disabled", "3", "Required", "4", "Warning", "Valid"), "Valid"))))</f>
        <v/>
      </c>
      <c r="R8" s="22">
        <f t="array" ref="R8">_xlfn.MAP('10 - Office Chairs'!B8:B507, '10 - Office Chairs'!R8:R507, '10 - Office Chairs-WUO_ERR'!R8:R507, _xlfn.LAMBDA(_xlpm.part, _xlpm.val, _xlpm.error, IF(_xlpm.part = "", "", IF(LEN(_xlpm.error), _xlfn.SWITCH(IFERROR(_xlfn.TEXTBEFORE(_xlpm.error,":"), ""), "1", "Error", "2", "Disabled", "3", "Required", "4", "Warning", "Valid"), "Valid"))))</f>
        <v/>
      </c>
      <c r="S8" s="22">
        <f t="array" ref="S8">_xlfn.MAP('10 - Office Chairs'!B8:B507, '10 - Office Chairs'!S8:S507, '10 - Office Chairs-WUO_ERR'!S8:S507, _xlfn.LAMBDA(_xlpm.part, _xlpm.val, _xlpm.error, IF(_xlpm.part = "", "", IF(LEN(_xlpm.error), _xlfn.SWITCH(IFERROR(_xlfn.TEXTBEFORE(_xlpm.error,":"), ""), "1", "Error", "2", "Disabled", "3", "Required", "4", "Warning", "Valid"), "Valid"))))</f>
        <v/>
      </c>
      <c r="T8" s="22">
        <f t="array" ref="T8">_xlfn.MAP('10 - Office Chairs'!B8:B507, '10 - Office Chairs'!T8:T507, '10 - Office Chairs-WUO_ERR'!T8:T507, _xlfn.LAMBDA(_xlpm.part, _xlpm.val, _xlpm.error, IF(_xlpm.part = "", "", IF(LEN(_xlpm.error), _xlfn.SWITCH(IFERROR(_xlfn.TEXTBEFORE(_xlpm.error,":"), ""), "1", "Error", "2", "Disabled", "3", "Required", "4", "Warning", "Valid"), "Valid"))))</f>
        <v/>
      </c>
      <c r="U8" s="22">
        <f t="array" ref="U8">_xlfn.MAP('10 - Office Chairs'!B8:B507, '10 - Office Chairs'!U8:U507, '10 - Office Chairs-WUO_ERR'!U8:U507, _xlfn.LAMBDA(_xlpm.part, _xlpm.val, _xlpm.error, IF(_xlpm.part = "", "", IF(LEN(_xlpm.error), _xlfn.SWITCH(IFERROR(_xlfn.TEXTBEFORE(_xlpm.error,":"), ""), "1", "Error", "2", "Disabled", "3", "Required", "4", "Warning", "Valid"), "Valid"))))</f>
        <v/>
      </c>
      <c r="V8" s="22">
        <f t="array" ref="V8">_xlfn.MAP('10 - Office Chairs'!B8:B507, '10 - Office Chairs'!V8:V507, '10 - Office Chairs-WUO_ERR'!V8:V507, _xlfn.LAMBDA(_xlpm.part, _xlpm.val, _xlpm.error, IF(_xlpm.part = "", "", IF(LEN(_xlpm.error), _xlfn.SWITCH(IFERROR(_xlfn.TEXTBEFORE(_xlpm.error,":"), ""), "1", "Error", "2", "Disabled", "3", "Required", "4", "Warning", "Valid"), "Valid"))))</f>
        <v/>
      </c>
      <c r="W8" s="22">
        <f t="array" ref="W8">_xlfn.MAP('10 - Office Chairs'!B8:B507, '10 - Office Chairs'!W8:W507, '10 - Office Chairs-WUO_ERR'!W8:W507, _xlfn.LAMBDA(_xlpm.part, _xlpm.val, _xlpm.error, IF(_xlpm.part = "", "", IF(LEN(_xlpm.error), _xlfn.SWITCH(IFERROR(_xlfn.TEXTBEFORE(_xlpm.error,":"), ""), "1", "Error", "2", "Disabled", "3", "Required", "4", "Warning", "Valid"), "Valid"))))</f>
        <v/>
      </c>
      <c r="X8" s="22">
        <f t="array" ref="X8">_xlfn.MAP('10 - Office Chairs'!B8:B507, '10 - Office Chairs'!X8:X507, '10 - Office Chairs-WUO_ERR'!X8:X507, _xlfn.LAMBDA(_xlpm.part, _xlpm.val, _xlpm.error, IF(_xlpm.part = "", "", IF(LEN(_xlpm.error), _xlfn.SWITCH(IFERROR(_xlfn.TEXTBEFORE(_xlpm.error,":"), ""), "1", "Error", "2", "Disabled", "3", "Required", "4", "Warning", "Valid"), "Valid"))))</f>
        <v/>
      </c>
      <c r="Y8" s="22">
        <f t="array" ref="Y8">_xlfn.MAP('10 - Office Chairs'!B8:B507, '10 - Office Chairs'!Y8:Y507, '10 - Office Chairs-WUO_ERR'!Y8:Y507, _xlfn.LAMBDA(_xlpm.part, _xlpm.val, _xlpm.error, IF(_xlpm.part = "", "", IF(LEN(_xlpm.error), _xlfn.SWITCH(IFERROR(_xlfn.TEXTBEFORE(_xlpm.error,":"), ""), "1", "Error", "2", "Disabled", "3", "Required", "4", "Warning", "Valid"), "Valid"))))</f>
        <v/>
      </c>
      <c r="Z8" s="22">
        <f t="array" ref="Z8">_xlfn.MAP('10 - Office Chairs'!B8:B507, '10 - Office Chairs'!Z8:Z507, '10 - Office Chairs-WUO_ERR'!Z8:Z507, _xlfn.LAMBDA(_xlpm.part, _xlpm.val, _xlpm.error, IF(_xlpm.part = "", "", IF(LEN(_xlpm.error), _xlfn.SWITCH(IFERROR(_xlfn.TEXTBEFORE(_xlpm.error,":"), ""), "1", "Error", "2", "Disabled", "3", "Required", "4", "Warning", "Valid"), "Valid"))))</f>
        <v/>
      </c>
      <c r="AA8" s="22">
        <f t="array" ref="AA8">_xlfn.MAP('10 - Office Chairs'!B8:B507, '10 - Office Chairs'!AA8:AA507, '10 - Office Chairs-WUO_ERR'!AA8:AA507, _xlfn.LAMBDA(_xlpm.part, _xlpm.val, _xlpm.error, IF(_xlpm.part = "", "", IF(LEN(_xlpm.error), _xlfn.SWITCH(IFERROR(_xlfn.TEXTBEFORE(_xlpm.error,":"), ""), "1", "Error", "2", "Disabled", "3", "Required", "4", "Warning", "Valid"), "Valid"))))</f>
        <v/>
      </c>
      <c r="AB8" s="22">
        <f t="array" ref="AB8">_xlfn.MAP('10 - Office Chairs'!B8:B507, '10 - Office Chairs'!AB8:AB507, '10 - Office Chairs-WUO_ERR'!AB8:AB507, _xlfn.LAMBDA(_xlpm.part, _xlpm.val, _xlpm.error, IF(_xlpm.part = "", "", IF(LEN(_xlpm.error), _xlfn.SWITCH(IFERROR(_xlfn.TEXTBEFORE(_xlpm.error,":"), ""), "1", "Error", "2", "Disabled", "3", "Required", "4", "Warning", "Valid"), "Valid"))))</f>
        <v/>
      </c>
      <c r="AC8" s="22">
        <f t="array" ref="AC8">_xlfn.MAP('10 - Office Chairs'!B8:B507, '10 - Office Chairs'!AC8:AC507, '10 - Office Chairs-WUO_ERR'!AC8:AC507, _xlfn.LAMBDA(_xlpm.part, _xlpm.val, _xlpm.error, IF(_xlpm.part = "", "", IF(LEN(_xlpm.error), _xlfn.SWITCH(IFERROR(_xlfn.TEXTBEFORE(_xlpm.error,":"), ""), "1", "Error", "2", "Disabled", "3", "Required", "4", "Warning", "Valid"), "Valid"))))</f>
        <v/>
      </c>
      <c r="AD8" s="22">
        <f t="array" ref="AD8">_xlfn.MAP('10 - Office Chairs'!B8:B507, '10 - Office Chairs'!AD8:AD507, '10 - Office Chairs-WUO_ERR'!AD8:AD507, _xlfn.LAMBDA(_xlpm.part, _xlpm.val, _xlpm.error, IF(_xlpm.part = "", "", IF(LEN(_xlpm.error), _xlfn.SWITCH(IFERROR(_xlfn.TEXTBEFORE(_xlpm.error,":"), ""), "1", "Error", "2", "Disabled", "3", "Required", "4", "Warning", "Valid"), "Valid"))))</f>
        <v/>
      </c>
      <c r="AE8" s="22">
        <f t="array" ref="AE8">_xlfn.MAP('10 - Office Chairs'!B8:B507, '10 - Office Chairs'!AE8:AE507, '10 - Office Chairs-WUO_ERR'!AE8:AE507, _xlfn.LAMBDA(_xlpm.part, _xlpm.val, _xlpm.error, IF(_xlpm.part = "", "", IF(LEN(_xlpm.error), _xlfn.SWITCH(IFERROR(_xlfn.TEXTBEFORE(_xlpm.error,":"), ""), "1", "Error", "2", "Disabled", "3", "Required", "4", "Warning", "Valid"), "Valid"))))</f>
        <v/>
      </c>
      <c r="AF8" s="22">
        <f t="array" ref="AF8">_xlfn.MAP('10 - Office Chairs'!B8:B507, '10 - Office Chairs'!AF8:AF507, '10 - Office Chairs-WUO_ERR'!AF8:AF507, _xlfn.LAMBDA(_xlpm.part, _xlpm.val, _xlpm.error, IF(_xlpm.part = "", "", IF(LEN(_xlpm.error), _xlfn.SWITCH(IFERROR(_xlfn.TEXTBEFORE(_xlpm.error,":"), ""), "1", "Error", "2", "Disabled", "3", "Required", "4", "Warning", "Valid"), "Valid"))))</f>
        <v/>
      </c>
      <c r="AG8" s="22">
        <f t="array" ref="AG8">_xlfn.MAP('10 - Office Chairs'!B8:B507, '10 - Office Chairs'!AG8:AG507, '10 - Office Chairs-WUO_ERR'!AG8:AG507, _xlfn.LAMBDA(_xlpm.part, _xlpm.val, _xlpm.error, IF(_xlpm.part = "", "", IF(LEN(_xlpm.error), _xlfn.SWITCH(IFERROR(_xlfn.TEXTBEFORE(_xlpm.error,":"), ""), "1", "Error", "2", "Disabled", "3", "Required", "4", "Warning", "Valid"), "Valid"))))</f>
        <v/>
      </c>
      <c r="AH8" s="22">
        <f t="array" ref="AH8">_xlfn.MAP('10 - Office Chairs'!B8:B507, '10 - Office Chairs'!AH8:AH507, '10 - Office Chairs-WUO_ERR'!AH8:AH507, _xlfn.LAMBDA(_xlpm.part, _xlpm.val, _xlpm.error, IF(_xlpm.part = "", "", IF(LEN(_xlpm.error), _xlfn.SWITCH(IFERROR(_xlfn.TEXTBEFORE(_xlpm.error,":"), ""), "1", "Error", "2", "Disabled", "3", "Required", "4", "Warning", "Valid"), "Valid"))))</f>
        <v/>
      </c>
      <c r="AI8" s="22">
        <f t="array" ref="AI8">_xlfn.MAP('10 - Office Chairs'!B8:B507, '10 - Office Chairs'!AI8:AI507, '10 - Office Chairs-WUO_ERR'!AI8:AI507, _xlfn.LAMBDA(_xlpm.part, _xlpm.val, _xlpm.error, IF(_xlpm.part = "", "", IF(LEN(_xlpm.error), _xlfn.SWITCH(IFERROR(_xlfn.TEXTBEFORE(_xlpm.error,":"), ""), "1", "Error", "2", "Disabled", "3", "Required", "4", "Warning", "Valid"), "Valid"))))</f>
        <v/>
      </c>
      <c r="AJ8" s="22">
        <f t="array" ref="AJ8">_xlfn.MAP('10 - Office Chairs'!B8:B507, '10 - Office Chairs'!AJ8:AJ507, '10 - Office Chairs-WUO_ERR'!AJ8:AJ507, _xlfn.LAMBDA(_xlpm.part, _xlpm.val, _xlpm.error, IF(_xlpm.part = "", "", IF(LEN(_xlpm.error), _xlfn.SWITCH(IFERROR(_xlfn.TEXTBEFORE(_xlpm.error,":"), ""), "1", "Error", "2", "Disabled", "3", "Required", "4", "Warning", "Valid"), "Valid"))))</f>
        <v/>
      </c>
      <c r="AK8" s="22">
        <f t="array" ref="AK8">_xlfn.MAP('10 - Office Chairs'!B8:B507, '10 - Office Chairs'!AK8:AK507, '10 - Office Chairs-WUO_ERR'!AK8:AK507, _xlfn.LAMBDA(_xlpm.part, _xlpm.val, _xlpm.error, IF(_xlpm.part = "", "", IF(LEN(_xlpm.error), _xlfn.SWITCH(IFERROR(_xlfn.TEXTBEFORE(_xlpm.error,":"), ""), "1", "Error", "2", "Disabled", "3", "Required", "4", "Warning", "Valid"), "Valid"))))</f>
        <v/>
      </c>
      <c r="AL8" s="22">
        <f t="array" ref="AL8">_xlfn.MAP('10 - Office Chairs'!B8:B507, '10 - Office Chairs'!AL8:AL507, '10 - Office Chairs-WUO_ERR'!AL8:AL507, _xlfn.LAMBDA(_xlpm.part, _xlpm.val, _xlpm.error, IF(_xlpm.part = "", "", IF(LEN(_xlpm.error), _xlfn.SWITCH(IFERROR(_xlfn.TEXTBEFORE(_xlpm.error,":"), ""), "1", "Error", "2", "Disabled", "3", "Required", "4", "Warning", "Valid"), "Valid"))))</f>
        <v/>
      </c>
      <c r="AM8" s="22">
        <f t="array" ref="AM8">_xlfn.MAP('10 - Office Chairs'!B8:B507, '10 - Office Chairs'!AM8:AM507, '10 - Office Chairs-WUO_ERR'!AM8:AM507, _xlfn.LAMBDA(_xlpm.part, _xlpm.val, _xlpm.error, IF(_xlpm.part = "", "", IF(LEN(_xlpm.error), _xlfn.SWITCH(IFERROR(_xlfn.TEXTBEFORE(_xlpm.error,":"), ""), "1", "Error", "2", "Disabled", "3", "Required", "4", "Warning", "Valid"), "Valid"))))</f>
        <v/>
      </c>
      <c r="AN8" s="22">
        <f t="array" ref="AN8">_xlfn.MAP('10 - Office Chairs'!B8:B507, '10 - Office Chairs'!AN8:AN507, '10 - Office Chairs-WUO_ERR'!AN8:AN507, _xlfn.LAMBDA(_xlpm.part, _xlpm.val, _xlpm.error, IF(_xlpm.part = "", "", IF(LEN(_xlpm.error), _xlfn.SWITCH(IFERROR(_xlfn.TEXTBEFORE(_xlpm.error,":"), ""), "1", "Error", "2", "Disabled", "3", "Required", "4", "Warning", "Valid"), "Valid"))))</f>
        <v/>
      </c>
      <c r="AO8" s="22">
        <f t="array" ref="AO8">_xlfn.MAP('10 - Office Chairs'!B8:B507, '10 - Office Chairs'!AO8:AO507, '10 - Office Chairs-WUO_ERR'!AO8:AO507, _xlfn.LAMBDA(_xlpm.part, _xlpm.val, _xlpm.error, IF(_xlpm.part = "", "", IF(LEN(_xlpm.error), _xlfn.SWITCH(IFERROR(_xlfn.TEXTBEFORE(_xlpm.error,":"), ""), "1", "Error", "2", "Disabled", "3", "Required", "4", "Warning", "Valid"), "Valid"))))</f>
        <v/>
      </c>
      <c r="AP8" s="22">
        <f t="array" ref="AP8">_xlfn.MAP('10 - Office Chairs'!B8:B507, '10 - Office Chairs'!AP8:AP507, '10 - Office Chairs-WUO_ERR'!AP8:AP507, _xlfn.LAMBDA(_xlpm.part, _xlpm.val, _xlpm.error, IF(_xlpm.part = "", "", IF(LEN(_xlpm.error), _xlfn.SWITCH(IFERROR(_xlfn.TEXTBEFORE(_xlpm.error,":"), ""), "1", "Error", "2", "Disabled", "3", "Required", "4", "Warning", "Valid"), "Valid"))))</f>
        <v/>
      </c>
      <c r="AQ8" s="22">
        <f t="array" ref="AQ8">_xlfn.MAP('10 - Office Chairs'!B8:B507, '10 - Office Chairs'!AQ8:AQ507, '10 - Office Chairs-WUO_ERR'!AQ8:AQ507, _xlfn.LAMBDA(_xlpm.part, _xlpm.val, _xlpm.error, IF(_xlpm.part = "", "", IF(LEN(_xlpm.error), _xlfn.SWITCH(IFERROR(_xlfn.TEXTBEFORE(_xlpm.error,":"), ""), "1", "Error", "2", "Disabled", "3", "Required", "4", "Warning", "Valid"), "Valid"))))</f>
        <v/>
      </c>
      <c r="AR8" s="22">
        <f t="array" ref="AR8">_xlfn.MAP('10 - Office Chairs'!B8:B507, '10 - Office Chairs'!AR8:AR507, '10 - Office Chairs-WUO_ERR'!AR8:AR507, _xlfn.LAMBDA(_xlpm.part, _xlpm.val, _xlpm.error, IF(_xlpm.part = "", "", IF(LEN(_xlpm.error), _xlfn.SWITCH(IFERROR(_xlfn.TEXTBEFORE(_xlpm.error,":"), ""), "1", "Error", "2", "Disabled", "3", "Required", "4", "Warning", "Valid"), "Valid"))))</f>
        <v/>
      </c>
      <c r="AS8" s="22">
        <f t="array" ref="AS8">_xlfn.MAP('10 - Office Chairs'!B8:B507, '10 - Office Chairs'!AS8:AS507, '10 - Office Chairs-WUO_ERR'!AS8:AS507, _xlfn.LAMBDA(_xlpm.part, _xlpm.val, _xlpm.error, IF(_xlpm.part = "", "", IF(LEN(_xlpm.error), _xlfn.SWITCH(IFERROR(_xlfn.TEXTBEFORE(_xlpm.error,":"), ""), "1", "Error", "2", "Disabled", "3", "Required", "4", "Warning", "Valid"), "Valid"))))</f>
        <v/>
      </c>
      <c r="AT8" s="22">
        <f t="array" ref="AT8">_xlfn.MAP('10 - Office Chairs'!B8:B507, '10 - Office Chairs'!AT8:AT507, '10 - Office Chairs-WUO_ERR'!AT8:AT507, _xlfn.LAMBDA(_xlpm.part, _xlpm.val, _xlpm.error, IF(_xlpm.part = "", "", IF(LEN(_xlpm.error), _xlfn.SWITCH(IFERROR(_xlfn.TEXTBEFORE(_xlpm.error,":"), ""), "1", "Error", "2", "Disabled", "3", "Required", "4", "Warning", "Valid"), "Valid"))))</f>
        <v/>
      </c>
      <c r="AU8" s="22">
        <f t="array" ref="AU8">_xlfn.MAP('10 - Office Chairs'!B8:B507, '10 - Office Chairs'!AU8:AU507, '10 - Office Chairs-WUO_ERR'!AU8:AU507, _xlfn.LAMBDA(_xlpm.part, _xlpm.val, _xlpm.error, IF(_xlpm.part = "", "", IF(LEN(_xlpm.error), _xlfn.SWITCH(IFERROR(_xlfn.TEXTBEFORE(_xlpm.error,":"), ""), "1", "Error", "2", "Disabled", "3", "Required", "4", "Warning", "Valid"), "Valid"))))</f>
        <v/>
      </c>
      <c r="AV8" s="22">
        <f t="array" ref="AV8">_xlfn.MAP('10 - Office Chairs'!B8:B507, '10 - Office Chairs'!AV8:AV507, '10 - Office Chairs-WUO_ERR'!AV8:AV507, _xlfn.LAMBDA(_xlpm.part, _xlpm.val, _xlpm.error, IF(_xlpm.part = "", "", IF(LEN(_xlpm.error), _xlfn.SWITCH(IFERROR(_xlfn.TEXTBEFORE(_xlpm.error,":"), ""), "1", "Error", "2", "Disabled", "3", "Required", "4", "Warning", "Valid"), "Valid"))))</f>
        <v/>
      </c>
      <c r="AW8" s="22">
        <f t="array" ref="AW8">_xlfn.MAP('10 - Office Chairs'!B8:B507, '10 - Office Chairs'!AW8:AW507, '10 - Office Chairs-WUO_ERR'!AW8:AW507, _xlfn.LAMBDA(_xlpm.part, _xlpm.val, _xlpm.error, IF(_xlpm.part = "", "", IF(LEN(_xlpm.error), _xlfn.SWITCH(IFERROR(_xlfn.TEXTBEFORE(_xlpm.error,":"), ""), "1", "Error", "2", "Disabled", "3", "Required", "4", "Warning", "Valid"), "Valid"))))</f>
        <v/>
      </c>
      <c r="AX8" s="22">
        <f t="array" ref="AX8">_xlfn.MAP('10 - Office Chairs'!B8:B507, '10 - Office Chairs'!AX8:AX507, '10 - Office Chairs-WUO_ERR'!AX8:AX507, _xlfn.LAMBDA(_xlpm.part, _xlpm.val, _xlpm.error, IF(_xlpm.part = "", "", IF(LEN(_xlpm.error), _xlfn.SWITCH(IFERROR(_xlfn.TEXTBEFORE(_xlpm.error,":"), ""), "1", "Error", "2", "Disabled", "3", "Required", "4", "Warning", "Valid"), "Valid"))))</f>
        <v/>
      </c>
      <c r="AY8" s="22">
        <f t="array" ref="AY8">_xlfn.MAP('10 - Office Chairs'!B8:B507, '10 - Office Chairs'!AY8:AY507, '10 - Office Chairs-WUO_ERR'!AY8:AY507, _xlfn.LAMBDA(_xlpm.part, _xlpm.val, _xlpm.error, IF(_xlpm.part = "", "", IF(LEN(_xlpm.error), _xlfn.SWITCH(IFERROR(_xlfn.TEXTBEFORE(_xlpm.error,":"), ""), "1", "Error", "2", "Disabled", "3", "Required", "4", "Warning", "Valid"), "Valid"))))</f>
        <v/>
      </c>
      <c r="AZ8" s="22">
        <f t="array" ref="AZ8">_xlfn.MAP('10 - Office Chairs'!B8:B507, '10 - Office Chairs'!AZ8:AZ507, '10 - Office Chairs-WUO_ERR'!AZ8:AZ507, _xlfn.LAMBDA(_xlpm.part, _xlpm.val, _xlpm.error, IF(_xlpm.part = "", "", IF(LEN(_xlpm.error), _xlfn.SWITCH(IFERROR(_xlfn.TEXTBEFORE(_xlpm.error,":"), ""), "1", "Error", "2", "Disabled", "3", "Required", "4", "Warning", "Valid"), "Valid"))))</f>
        <v/>
      </c>
      <c r="BA8" s="22">
        <f t="array" ref="BA8">_xlfn.MAP('10 - Office Chairs'!B8:B507, '10 - Office Chairs'!BA8:BA507, '10 - Office Chairs-WUO_ERR'!BA8:BA507, _xlfn.LAMBDA(_xlpm.part, _xlpm.val, _xlpm.error, IF(_xlpm.part = "", "", IF(LEN(_xlpm.error), _xlfn.SWITCH(IFERROR(_xlfn.TEXTBEFORE(_xlpm.error,":"), ""), "1", "Error", "2", "Disabled", "3", "Required", "4", "Warning", "Valid"), "Valid"))))</f>
        <v/>
      </c>
      <c r="BB8" s="22">
        <f t="array" ref="BB8">_xlfn.MAP('10 - Office Chairs'!B8:B507, '10 - Office Chairs'!BB8:BB507, '10 - Office Chairs-WUO_ERR'!BB8:BB507, _xlfn.LAMBDA(_xlpm.part, _xlpm.val, _xlpm.error, IF(_xlpm.part = "", "", IF(LEN(_xlpm.error), _xlfn.SWITCH(IFERROR(_xlfn.TEXTBEFORE(_xlpm.error,":"), ""), "1", "Error", "2", "Disabled", "3", "Required", "4", "Warning", "Valid"), "Valid"))))</f>
        <v/>
      </c>
      <c r="BC8" s="22">
        <f t="array" ref="BC8">_xlfn.MAP('10 - Office Chairs'!B8:B507, '10 - Office Chairs'!BC8:BC507, '10 - Office Chairs-WUO_ERR'!BC8:BC507, _xlfn.LAMBDA(_xlpm.part, _xlpm.val, _xlpm.error, IF(_xlpm.part = "", "", IF(LEN(_xlpm.error), _xlfn.SWITCH(IFERROR(_xlfn.TEXTBEFORE(_xlpm.error,":"), ""), "1", "Error", "2", "Disabled", "3", "Required", "4", "Warning", "Valid"), "Valid"))))</f>
        <v/>
      </c>
      <c r="BD8" s="22">
        <f t="array" ref="BD8">_xlfn.MAP('10 - Office Chairs'!B8:B507, '10 - Office Chairs'!BD8:BD507, '10 - Office Chairs-WUO_ERR'!BD8:BD507, _xlfn.LAMBDA(_xlpm.part, _xlpm.val, _xlpm.error, IF(_xlpm.part = "", "", IF(LEN(_xlpm.error), _xlfn.SWITCH(IFERROR(_xlfn.TEXTBEFORE(_xlpm.error,":"), ""), "1", "Error", "2", "Disabled", "3", "Required", "4", "Warning", "Valid"), "Valid"))))</f>
        <v/>
      </c>
      <c r="BE8" s="22">
        <f t="array" ref="BE8">_xlfn.MAP('10 - Office Chairs'!B8:B507, '10 - Office Chairs'!BE8:BE507, '10 - Office Chairs-WUO_ERR'!BE8:BE507, _xlfn.LAMBDA(_xlpm.part, _xlpm.val, _xlpm.error, IF(_xlpm.part = "", "", IF(LEN(_xlpm.error), _xlfn.SWITCH(IFERROR(_xlfn.TEXTBEFORE(_xlpm.error,":"), ""), "1", "Error", "2", "Disabled", "3", "Required", "4", "Warning", "Valid"), "Valid"))))</f>
        <v/>
      </c>
      <c r="BF8" s="22">
        <f t="array" ref="BF8">_xlfn.MAP('10 - Office Chairs'!B8:B507, '10 - Office Chairs'!BF8:BF507, '10 - Office Chairs-WUO_ERR'!BF8:BF507, _xlfn.LAMBDA(_xlpm.part, _xlpm.val, _xlpm.error, IF(_xlpm.part = "", "", IF(LEN(_xlpm.error), _xlfn.SWITCH(IFERROR(_xlfn.TEXTBEFORE(_xlpm.error,":"), ""), "1", "Error", "2", "Disabled", "3", "Required", "4", "Warning", "Valid"), "Valid"))))</f>
        <v/>
      </c>
      <c r="BG8" s="22">
        <f t="array" ref="BG8">_xlfn.MAP('10 - Office Chairs'!B8:B507, '10 - Office Chairs'!BG8:BG507, '10 - Office Chairs-WUO_ERR'!BG8:BG507, _xlfn.LAMBDA(_xlpm.part, _xlpm.val, _xlpm.error, IF(_xlpm.part = "", "", IF(LEN(_xlpm.error), _xlfn.SWITCH(IFERROR(_xlfn.TEXTBEFORE(_xlpm.error,":"), ""), "1", "Error", "2", "Disabled", "3", "Required", "4", "Warning", "Valid"), "Valid"))))</f>
        <v/>
      </c>
      <c r="BH8" s="22">
        <f t="array" ref="BH8">_xlfn.MAP('10 - Office Chairs'!B8:B507, '10 - Office Chairs'!BH8:BH507, '10 - Office Chairs-WUO_ERR'!BH8:BH507, _xlfn.LAMBDA(_xlpm.part, _xlpm.val, _xlpm.error, IF(_xlpm.part = "", "", IF(LEN(_xlpm.error), _xlfn.SWITCH(IFERROR(_xlfn.TEXTBEFORE(_xlpm.error,":"), ""), "1", "Error", "2", "Disabled", "3", "Required", "4", "Warning", "Valid"), "Valid"))))</f>
        <v/>
      </c>
      <c r="BI8" s="22">
        <f t="array" ref="BI8">_xlfn.MAP('10 - Office Chairs'!B8:B507, '10 - Office Chairs'!BI8:BI507, '10 - Office Chairs-WUO_ERR'!BI8:BI507, _xlfn.LAMBDA(_xlpm.part, _xlpm.val, _xlpm.error, IF(_xlpm.part = "", "", IF(LEN(_xlpm.error), _xlfn.SWITCH(IFERROR(_xlfn.TEXTBEFORE(_xlpm.error,":"), ""), "1", "Error", "2", "Disabled", "3", "Required", "4", "Warning", "Valid"), "Valid"))))</f>
        <v/>
      </c>
      <c r="BJ8" s="22">
        <f t="array" ref="BJ8">_xlfn.MAP('10 - Office Chairs'!B8:B507, '10 - Office Chairs'!BJ8:BJ507, '10 - Office Chairs-WUO_ERR'!BJ8:BJ507, _xlfn.LAMBDA(_xlpm.part, _xlpm.val, _xlpm.error, IF(_xlpm.part = "", "", IF(LEN(_xlpm.error), _xlfn.SWITCH(IFERROR(_xlfn.TEXTBEFORE(_xlpm.error,":"), ""), "1", "Error", "2", "Disabled", "3", "Required", "4", "Warning", "Valid"), "Valid"))))</f>
        <v/>
      </c>
      <c r="BK8" s="22">
        <f t="array" ref="BK8">_xlfn.MAP('10 - Office Chairs'!B8:B507, '10 - Office Chairs'!BK8:BK507, '10 - Office Chairs-WUO_ERR'!BK8:BK507, _xlfn.LAMBDA(_xlpm.part, _xlpm.val, _xlpm.error, IF(_xlpm.part = "", "", IF(LEN(_xlpm.error), _xlfn.SWITCH(IFERROR(_xlfn.TEXTBEFORE(_xlpm.error,":"), ""), "1", "Error", "2", "Disabled", "3", "Required", "4", "Warning", "Valid"), "Valid"))))</f>
        <v/>
      </c>
      <c r="BL8" s="22">
        <f t="array" ref="BL8">_xlfn.MAP('10 - Office Chairs'!B8:B507, '10 - Office Chairs'!BL8:BL507, '10 - Office Chairs-WUO_ERR'!BL8:BL507, _xlfn.LAMBDA(_xlpm.part, _xlpm.val, _xlpm.error, IF(_xlpm.part = "", "", IF(LEN(_xlpm.error), _xlfn.SWITCH(IFERROR(_xlfn.TEXTBEFORE(_xlpm.error,":"), ""), "1", "Error", "2", "Disabled", "3", "Required", "4", "Warning", "Valid"), "Valid"))))</f>
        <v/>
      </c>
      <c r="BM8" s="22">
        <f t="array" ref="BM8">_xlfn.MAP('10 - Office Chairs'!B8:B507, '10 - Office Chairs'!BM8:BM507, '10 - Office Chairs-WUO_ERR'!BM8:BM507, _xlfn.LAMBDA(_xlpm.part, _xlpm.val, _xlpm.error, IF(_xlpm.part = "", "", IF(LEN(_xlpm.error), _xlfn.SWITCH(IFERROR(_xlfn.TEXTBEFORE(_xlpm.error,":"), ""), "1", "Error", "2", "Disabled", "3", "Required", "4", "Warning", "Valid"), "Valid"))))</f>
        <v/>
      </c>
      <c r="BN8" s="22">
        <f t="array" ref="BN8">_xlfn.MAP('10 - Office Chairs'!B8:B507, '10 - Office Chairs'!BN8:BN507, '10 - Office Chairs-WUO_ERR'!BN8:BN507, _xlfn.LAMBDA(_xlpm.part, _xlpm.val, _xlpm.error, IF(_xlpm.part = "", "", IF(LEN(_xlpm.error), _xlfn.SWITCH(IFERROR(_xlfn.TEXTBEFORE(_xlpm.error,":"), ""), "1", "Error", "2", "Disabled", "3", "Required", "4", "Warning", "Valid"), "Valid"))))</f>
        <v/>
      </c>
      <c r="BO8" s="22">
        <f t="array" ref="BO8">_xlfn.MAP('10 - Office Chairs'!B8:B507, '10 - Office Chairs'!BO8:BO507, '10 - Office Chairs-WUO_ERR'!BO8:BO507, _xlfn.LAMBDA(_xlpm.part, _xlpm.val, _xlpm.error, IF(_xlpm.part = "", "", IF(LEN(_xlpm.error), _xlfn.SWITCH(IFERROR(_xlfn.TEXTBEFORE(_xlpm.error,":"), ""), "1", "Error", "2", "Disabled", "3", "Required", "4", "Warning", "Valid"), "Valid"))))</f>
        <v/>
      </c>
      <c r="BP8" s="22">
        <f t="array" ref="BP8">_xlfn.MAP('10 - Office Chairs'!B8:B507, '10 - Office Chairs'!BP8:BP507, '10 - Office Chairs-WUO_ERR'!BP8:BP507, _xlfn.LAMBDA(_xlpm.part, _xlpm.val, _xlpm.error, IF(_xlpm.part = "", "", IF(LEN(_xlpm.error), _xlfn.SWITCH(IFERROR(_xlfn.TEXTBEFORE(_xlpm.error,":"), ""), "1", "Error", "2", "Disabled", "3", "Required", "4", "Warning", "Valid"), "Valid"))))</f>
        <v/>
      </c>
      <c r="BQ8" s="22">
        <f t="array" ref="BQ8">_xlfn.MAP('10 - Office Chairs'!B8:B507, '10 - Office Chairs'!BQ8:BQ507, '10 - Office Chairs-WUO_ERR'!BQ8:BQ507, _xlfn.LAMBDA(_xlpm.part, _xlpm.val, _xlpm.error, IF(_xlpm.part = "", "", IF(LEN(_xlpm.error), _xlfn.SWITCH(IFERROR(_xlfn.TEXTBEFORE(_xlpm.error,":"), ""), "1", "Error", "2", "Disabled", "3", "Required", "4", "Warning", "Valid"), "Valid"))))</f>
        <v/>
      </c>
      <c r="BR8" s="22">
        <f t="array" ref="BR8">_xlfn.MAP('10 - Office Chairs'!B8:B507, '10 - Office Chairs'!BR8:BR507, '10 - Office Chairs-WUO_ERR'!BR8:BR507, _xlfn.LAMBDA(_xlpm.part, _xlpm.val, _xlpm.error, IF(_xlpm.part = "", "", IF(LEN(_xlpm.error), _xlfn.SWITCH(IFERROR(_xlfn.TEXTBEFORE(_xlpm.error,":"), ""), "1", "Error", "2", "Disabled", "3", "Required", "4", "Warning", "Valid"), "Valid"))))</f>
        <v/>
      </c>
      <c r="BS8" s="22">
        <f t="array" ref="BS8">_xlfn.MAP('10 - Office Chairs'!B8:B507, '10 - Office Chairs'!BS8:BS507, '10 - Office Chairs-WUO_ERR'!BS8:BS507, _xlfn.LAMBDA(_xlpm.part, _xlpm.val, _xlpm.error, IF(_xlpm.part = "", "", IF(LEN(_xlpm.error), _xlfn.SWITCH(IFERROR(_xlfn.TEXTBEFORE(_xlpm.error,":"), ""), "1", "Error", "2", "Disabled", "3", "Required", "4", "Warning", "Valid"), "Valid"))))</f>
        <v/>
      </c>
      <c r="BT8" s="22">
        <f t="array" ref="BT8">_xlfn.MAP('10 - Office Chairs'!B8:B507, '10 - Office Chairs'!BT8:BT507, '10 - Office Chairs-WUO_ERR'!BT8:BT507, _xlfn.LAMBDA(_xlpm.part, _xlpm.val, _xlpm.error, IF(_xlpm.part = "", "", IF(LEN(_xlpm.error), _xlfn.SWITCH(IFERROR(_xlfn.TEXTBEFORE(_xlpm.error,":"), ""), "1", "Error", "2", "Disabled", "3", "Required", "4", "Warning", "Valid"), "Valid"))))</f>
        <v/>
      </c>
      <c r="BU8" s="22">
        <f t="array" ref="BU8">_xlfn.MAP('10 - Office Chairs'!B8:B507, '10 - Office Chairs'!BU8:BU507, '10 - Office Chairs-WUO_ERR'!BU8:BU507, _xlfn.LAMBDA(_xlpm.part, _xlpm.val, _xlpm.error, IF(_xlpm.part = "", "", IF(LEN(_xlpm.error), _xlfn.SWITCH(IFERROR(_xlfn.TEXTBEFORE(_xlpm.error,":"), ""), "1", "Error", "2", "Disabled", "3", "Required", "4", "Warning", "Valid"), "Valid"))))</f>
        <v/>
      </c>
      <c r="BV8" s="22">
        <f t="array" ref="BV8">_xlfn.MAP('10 - Office Chairs'!B8:B507, '10 - Office Chairs'!BV8:BV507, '10 - Office Chairs-WUO_ERR'!BV8:BV507, _xlfn.LAMBDA(_xlpm.part, _xlpm.val, _xlpm.error, IF(_xlpm.part = "", "", IF(LEN(_xlpm.error), _xlfn.SWITCH(IFERROR(_xlfn.TEXTBEFORE(_xlpm.error,":"), ""), "1", "Error", "2", "Disabled", "3", "Required", "4", "Warning", "Valid"), "Valid"))))</f>
        <v/>
      </c>
      <c r="BW8" s="22">
        <f t="array" ref="BW8">_xlfn.MAP('10 - Office Chairs'!B8:B507, '10 - Office Chairs'!BW8:BW507, '10 - Office Chairs-WUO_ERR'!BW8:BW507, _xlfn.LAMBDA(_xlpm.part, _xlpm.val, _xlpm.error, IF(_xlpm.part = "", "", IF(LEN(_xlpm.error), _xlfn.SWITCH(IFERROR(_xlfn.TEXTBEFORE(_xlpm.error,":"), ""), "1", "Error", "2", "Disabled", "3", "Required", "4", "Warning", "Valid"), "Valid"))))</f>
        <v/>
      </c>
      <c r="BX8" s="22">
        <f t="array" ref="BX8">_xlfn.MAP('10 - Office Chairs'!B8:B507, '10 - Office Chairs'!BX8:BX507, '10 - Office Chairs-WUO_ERR'!BX8:BX507, _xlfn.LAMBDA(_xlpm.part, _xlpm.val, _xlpm.error, IF(_xlpm.part = "", "", IF(LEN(_xlpm.error), _xlfn.SWITCH(IFERROR(_xlfn.TEXTBEFORE(_xlpm.error,":"), ""), "1", "Error", "2", "Disabled", "3", "Required", "4", "Warning", "Valid"), "Valid"))))</f>
        <v/>
      </c>
      <c r="BY8" s="22">
        <f t="array" ref="BY8">_xlfn.MAP('10 - Office Chairs'!B8:B507, '10 - Office Chairs'!BY8:BY507, '10 - Office Chairs-WUO_ERR'!BY8:BY507, _xlfn.LAMBDA(_xlpm.part, _xlpm.val, _xlpm.error, IF(_xlpm.part = "", "", IF(LEN(_xlpm.error), _xlfn.SWITCH(IFERROR(_xlfn.TEXTBEFORE(_xlpm.error,":"), ""), "1", "Error", "2", "Disabled", "3", "Required", "4", "Warning", "Valid"), "Valid"))))</f>
        <v/>
      </c>
      <c r="BZ8" s="22">
        <f t="array" ref="BZ8">_xlfn.MAP('10 - Office Chairs'!B8:B507, '10 - Office Chairs'!BZ8:BZ507, '10 - Office Chairs-WUO_ERR'!BZ8:BZ507, _xlfn.LAMBDA(_xlpm.part, _xlpm.val, _xlpm.error, IF(_xlpm.part = "", "", IF(LEN(_xlpm.error), _xlfn.SWITCH(IFERROR(_xlfn.TEXTBEFORE(_xlpm.error,":"), ""), "1", "Error", "2", "Disabled", "3", "Required", "4", "Warning", "Valid"), "Valid"))))</f>
        <v/>
      </c>
      <c r="CA8" s="22">
        <f t="array" ref="CA8">_xlfn.MAP('10 - Office Chairs'!B8:B507, '10 - Office Chairs'!CA8:CA507, '10 - Office Chairs-WUO_ERR'!CA8:CA507, _xlfn.LAMBDA(_xlpm.part, _xlpm.val, _xlpm.error, IF(_xlpm.part = "", "", IF(LEN(_xlpm.error), _xlfn.SWITCH(IFERROR(_xlfn.TEXTBEFORE(_xlpm.error,":"), ""), "1", "Error", "2", "Disabled", "3", "Required", "4", "Warning", "Valid"), "Valid"))))</f>
        <v/>
      </c>
      <c r="CB8" s="22">
        <f t="array" ref="CB8">_xlfn.MAP('10 - Office Chairs'!B8:B507, '10 - Office Chairs'!CB8:CB507, '10 - Office Chairs-WUO_ERR'!CB8:CB507, _xlfn.LAMBDA(_xlpm.part, _xlpm.val, _xlpm.error, IF(_xlpm.part = "", "", IF(LEN(_xlpm.error), _xlfn.SWITCH(IFERROR(_xlfn.TEXTBEFORE(_xlpm.error,":"), ""), "1", "Error", "2", "Disabled", "3", "Required", "4", "Warning", "Valid"), "Valid"))))</f>
        <v/>
      </c>
      <c r="CC8" s="22">
        <f t="array" ref="CC8">_xlfn.MAP('10 - Office Chairs'!B8:B507, '10 - Office Chairs'!CC8:CC507, '10 - Office Chairs-WUO_ERR'!CC8:CC507, _xlfn.LAMBDA(_xlpm.part, _xlpm.val, _xlpm.error, IF(_xlpm.part = "", "", IF(LEN(_xlpm.error), _xlfn.SWITCH(IFERROR(_xlfn.TEXTBEFORE(_xlpm.error,":"), ""), "1", "Error", "2", "Disabled", "3", "Required", "4", "Warning", "Valid"), "Valid"))))</f>
        <v/>
      </c>
      <c r="CD8" s="22">
        <f t="array" ref="CD8">_xlfn.MAP('10 - Office Chairs'!B8:B507, '10 - Office Chairs'!CD8:CD507, '10 - Office Chairs-WUO_ERR'!CD8:CD507, _xlfn.LAMBDA(_xlpm.part, _xlpm.val, _xlpm.error, IF(_xlpm.part = "", "", IF(LEN(_xlpm.error), _xlfn.SWITCH(IFERROR(_xlfn.TEXTBEFORE(_xlpm.error,":"), ""), "1", "Error", "2", "Disabled", "3", "Required", "4", "Warning", "Valid"), "Valid"))))</f>
        <v/>
      </c>
      <c r="CE8" s="22">
        <f t="array" ref="CE8">_xlfn.MAP('10 - Office Chairs'!B8:B507, '10 - Office Chairs'!CE8:CE507, '10 - Office Chairs-WUO_ERR'!CE8:CE507, _xlfn.LAMBDA(_xlpm.part, _xlpm.val, _xlpm.error, IF(_xlpm.part = "", "", IF(LEN(_xlpm.error), _xlfn.SWITCH(IFERROR(_xlfn.TEXTBEFORE(_xlpm.error,":"), ""), "1", "Error", "2", "Disabled", "3", "Required", "4", "Warning", "Valid"), "Valid"))))</f>
        <v/>
      </c>
      <c r="CF8" s="22">
        <f t="array" ref="CF8">_xlfn.MAP('10 - Office Chairs'!B8:B507, '10 - Office Chairs'!CF8:CF507, '10 - Office Chairs-WUO_ERR'!CF8:CF507, _xlfn.LAMBDA(_xlpm.part, _xlpm.val, _xlpm.error, IF(_xlpm.part = "", "", IF(LEN(_xlpm.error), _xlfn.SWITCH(IFERROR(_xlfn.TEXTBEFORE(_xlpm.error,":"), ""), "1", "Error", "2", "Disabled", "3", "Required", "4", "Warning", "Valid"), "Valid"))))</f>
        <v/>
      </c>
      <c r="CG8" s="22">
        <f t="array" ref="CG8">_xlfn.MAP('10 - Office Chairs'!B8:B507, '10 - Office Chairs'!CG8:CG507, '10 - Office Chairs-WUO_ERR'!CG8:CG507, _xlfn.LAMBDA(_xlpm.part, _xlpm.val, _xlpm.error, IF(_xlpm.part = "", "", IF(LEN(_xlpm.error), _xlfn.SWITCH(IFERROR(_xlfn.TEXTBEFORE(_xlpm.error,":"), ""), "1", "Error", "2", "Disabled", "3", "Required", "4", "Warning", "Valid"), "Valid"))))</f>
        <v/>
      </c>
      <c r="CH8" s="22">
        <f t="array" ref="CH8">_xlfn.MAP('10 - Office Chairs'!B8:B507, '10 - Office Chairs'!CH8:CH507, '10 - Office Chairs-WUO_ERR'!CH8:CH507, _xlfn.LAMBDA(_xlpm.part, _xlpm.val, _xlpm.error, IF(_xlpm.part = "", "", IF(LEN(_xlpm.error), _xlfn.SWITCH(IFERROR(_xlfn.TEXTBEFORE(_xlpm.error,":"), ""), "1", "Error", "2", "Disabled", "3", "Required", "4", "Warning", "Valid"), "Valid"))))</f>
        <v/>
      </c>
      <c r="CI8" s="22">
        <f t="array" ref="CI8">_xlfn.MAP('10 - Office Chairs'!B8:B507, '10 - Office Chairs'!CI8:CI507, '10 - Office Chairs-WUO_ERR'!CI8:CI507, _xlfn.LAMBDA(_xlpm.part, _xlpm.val, _xlpm.error, IF(_xlpm.part = "", "", IF(LEN(_xlpm.error), _xlfn.SWITCH(IFERROR(_xlfn.TEXTBEFORE(_xlpm.error,":"), ""), "1", "Error", "2", "Disabled", "3", "Required", "4", "Warning", "Valid"), "Valid"))))</f>
        <v/>
      </c>
      <c r="CJ8" s="22">
        <f t="array" ref="CJ8">_xlfn.MAP('10 - Office Chairs'!B8:B507, '10 - Office Chairs'!CJ8:CJ507, '10 - Office Chairs-WUO_ERR'!CJ8:CJ507, _xlfn.LAMBDA(_xlpm.part, _xlpm.val, _xlpm.error, IF(_xlpm.part = "", "", IF(LEN(_xlpm.error), _xlfn.SWITCH(IFERROR(_xlfn.TEXTBEFORE(_xlpm.error,":"), ""), "1", "Error", "2", "Disabled", "3", "Required", "4", "Warning", "Valid"), "Valid"))))</f>
        <v/>
      </c>
      <c r="CK8" s="22">
        <f t="array" ref="CK8">_xlfn.MAP('10 - Office Chairs'!B8:B507, '10 - Office Chairs'!CK8:CK507, '10 - Office Chairs-WUO_ERR'!CK8:CK507, _xlfn.LAMBDA(_xlpm.part, _xlpm.val, _xlpm.error, IF(_xlpm.part = "", "", IF(LEN(_xlpm.error), _xlfn.SWITCH(IFERROR(_xlfn.TEXTBEFORE(_xlpm.error,":"), ""), "1", "Error", "2", "Disabled", "3", "Required", "4", "Warning", "Valid"), "Valid"))))</f>
        <v/>
      </c>
      <c r="CL8" s="22">
        <f t="array" ref="CL8">_xlfn.MAP('10 - Office Chairs'!B8:B507, '10 - Office Chairs'!CL8:CL507, '10 - Office Chairs-WUO_ERR'!CL8:CL507, _xlfn.LAMBDA(_xlpm.part, _xlpm.val, _xlpm.error, IF(_xlpm.part = "", "", IF(LEN(_xlpm.error), _xlfn.SWITCH(IFERROR(_xlfn.TEXTBEFORE(_xlpm.error,":"), ""), "1", "Error", "2", "Disabled", "3", "Required", "4", "Warning", "Valid"), "Valid"))))</f>
        <v/>
      </c>
      <c r="CM8" s="22">
        <f t="array" ref="CM8">_xlfn.MAP('10 - Office Chairs'!B8:B507, '10 - Office Chairs'!CM8:CM507, '10 - Office Chairs-WUO_ERR'!CM8:CM507, _xlfn.LAMBDA(_xlpm.part, _xlpm.val, _xlpm.error, IF(_xlpm.part = "", "", IF(LEN(_xlpm.error), _xlfn.SWITCH(IFERROR(_xlfn.TEXTBEFORE(_xlpm.error,":"), ""), "1", "Error", "2", "Disabled", "3", "Required", "4", "Warning", "Valid"), "Valid"))))</f>
        <v/>
      </c>
      <c r="CN8" s="22">
        <f t="array" ref="CN8">_xlfn.MAP('10 - Office Chairs'!B8:B507, '10 - Office Chairs'!CN8:CN507, '10 - Office Chairs-WUO_ERR'!CN8:CN507, _xlfn.LAMBDA(_xlpm.part, _xlpm.val, _xlpm.error, IF(_xlpm.part = "", "", IF(LEN(_xlpm.error), _xlfn.SWITCH(IFERROR(_xlfn.TEXTBEFORE(_xlpm.error,":"), ""), "1", "Error", "2", "Disabled", "3", "Required", "4", "Warning", "Valid"), "Valid"))))</f>
        <v/>
      </c>
      <c r="CO8" s="22">
        <f t="array" ref="CO8">_xlfn.MAP('10 - Office Chairs'!B8:B507, '10 - Office Chairs'!CO8:CO507, '10 - Office Chairs-WUO_ERR'!CO8:CO507, _xlfn.LAMBDA(_xlpm.part, _xlpm.val, _xlpm.error, IF(_xlpm.part = "", "", IF(LEN(_xlpm.error), _xlfn.SWITCH(IFERROR(_xlfn.TEXTBEFORE(_xlpm.error,":"), ""), "1", "Error", "2", "Disabled", "3", "Required", "4", "Warning", "Valid"), "Valid"))))</f>
        <v/>
      </c>
      <c r="CP8" s="22">
        <f t="array" ref="CP8">_xlfn.MAP('10 - Office Chairs'!B8:B507, '10 - Office Chairs'!CP8:CP507, '10 - Office Chairs-WUO_ERR'!CP8:CP507, _xlfn.LAMBDA(_xlpm.part, _xlpm.val, _xlpm.error, IF(_xlpm.part = "", "", IF(LEN(_xlpm.error), _xlfn.SWITCH(IFERROR(_xlfn.TEXTBEFORE(_xlpm.error,":"), ""), "1", "Error", "2", "Disabled", "3", "Required", "4", "Warning", "Valid"), "Valid"))))</f>
        <v/>
      </c>
      <c r="CQ8" s="22">
        <f t="array" ref="CQ8">_xlfn.MAP('10 - Office Chairs'!B8:B507, '10 - Office Chairs'!CQ8:CQ507, '10 - Office Chairs-WUO_ERR'!CQ8:CQ507, _xlfn.LAMBDA(_xlpm.part, _xlpm.val, _xlpm.error, IF(_xlpm.part = "", "", IF(LEN(_xlpm.error), _xlfn.SWITCH(IFERROR(_xlfn.TEXTBEFORE(_xlpm.error,":"), ""), "1", "Error", "2", "Disabled", "3", "Required", "4", "Warning", "Valid"), "Valid"))))</f>
        <v/>
      </c>
      <c r="CR8" s="22">
        <f t="array" ref="CR8">_xlfn.MAP('10 - Office Chairs'!B8:B507, '10 - Office Chairs'!CR8:CR507, '10 - Office Chairs-WUO_ERR'!CR8:CR507, _xlfn.LAMBDA(_xlpm.part, _xlpm.val, _xlpm.error, IF(_xlpm.part = "", "", IF(LEN(_xlpm.error), _xlfn.SWITCH(IFERROR(_xlfn.TEXTBEFORE(_xlpm.error,":"), ""), "1", "Error", "2", "Disabled", "3", "Required", "4", "Warning", "Valid"), "Valid"))))</f>
        <v/>
      </c>
      <c r="CS8" s="22">
        <f t="array" ref="CS8">_xlfn.MAP('10 - Office Chairs'!B8:B507, '10 - Office Chairs'!CS8:CS507, '10 - Office Chairs-WUO_ERR'!CS8:CS507, _xlfn.LAMBDA(_xlpm.part, _xlpm.val, _xlpm.error, IF(_xlpm.part = "", "", IF(LEN(_xlpm.error), _xlfn.SWITCH(IFERROR(_xlfn.TEXTBEFORE(_xlpm.error,":"), ""), "1", "Error", "2", "Disabled", "3", "Required", "4", "Warning", "Valid"), "Valid"))))</f>
        <v/>
      </c>
      <c r="CT8" s="22">
        <f t="array" ref="CT8">_xlfn.MAP('10 - Office Chairs'!B8:B507, '10 - Office Chairs'!CT8:CT507, '10 - Office Chairs-WUO_ERR'!CT8:CT507, _xlfn.LAMBDA(_xlpm.part, _xlpm.val, _xlpm.error, IF(_xlpm.part = "", "", IF(LEN(_xlpm.error), _xlfn.SWITCH(IFERROR(_xlfn.TEXTBEFORE(_xlpm.error,":"), ""), "1", "Error", "2", "Disabled", "3", "Required", "4", "Warning", "Valid"), "Valid"))))</f>
        <v/>
      </c>
      <c r="CU8" s="22">
        <f t="array" ref="CU8">_xlfn.MAP('10 - Office Chairs'!B8:B507, '10 - Office Chairs'!CU8:CU507, '10 - Office Chairs-WUO_ERR'!CU8:CU507, _xlfn.LAMBDA(_xlpm.part, _xlpm.val, _xlpm.error, IF(_xlpm.part = "", "", IF(LEN(_xlpm.error), _xlfn.SWITCH(IFERROR(_xlfn.TEXTBEFORE(_xlpm.error,":"), ""), "1", "Error", "2", "Disabled", "3", "Required", "4", "Warning", "Valid"), "Valid"))))</f>
        <v/>
      </c>
      <c r="CV8" s="22">
        <f t="array" ref="CV8">_xlfn.MAP('10 - Office Chairs'!B8:B507, '10 - Office Chairs'!CV8:CV507, '10 - Office Chairs-WUO_ERR'!CV8:CV507, _xlfn.LAMBDA(_xlpm.part, _xlpm.val, _xlpm.error, IF(_xlpm.part = "", "", IF(LEN(_xlpm.error), _xlfn.SWITCH(IFERROR(_xlfn.TEXTBEFORE(_xlpm.error,":"), ""), "1", "Error", "2", "Disabled", "3", "Required", "4", "Warning", "Valid"), "Valid"))))</f>
        <v/>
      </c>
      <c r="CW8" s="22">
        <f t="array" ref="CW8">_xlfn.MAP('10 - Office Chairs'!B8:B507, '10 - Office Chairs'!CW8:CW507, '10 - Office Chairs-WUO_ERR'!CW8:CW507, _xlfn.LAMBDA(_xlpm.part, _xlpm.val, _xlpm.error, IF(_xlpm.part = "", "", IF(LEN(_xlpm.error), _xlfn.SWITCH(IFERROR(_xlfn.TEXTBEFORE(_xlpm.error,":"), ""), "1", "Error", "2", "Disabled", "3", "Required", "4", "Warning", "Valid"), "Valid"))))</f>
        <v/>
      </c>
      <c r="CX8" s="22">
        <f t="array" ref="CX8">_xlfn.MAP('10 - Office Chairs'!B8:B507, '10 - Office Chairs'!CX8:CX507, '10 - Office Chairs-WUO_ERR'!CX8:CX507, _xlfn.LAMBDA(_xlpm.part, _xlpm.val, _xlpm.error, IF(_xlpm.part = "", "", IF(LEN(_xlpm.error), _xlfn.SWITCH(IFERROR(_xlfn.TEXTBEFORE(_xlpm.error,":"), ""), "1", "Error", "2", "Disabled", "3", "Required", "4", "Warning", "Valid"), "Valid"))))</f>
        <v/>
      </c>
      <c r="CY8" s="22">
        <f t="array" ref="CY8">_xlfn.MAP('10 - Office Chairs'!B8:B507, '10 - Office Chairs'!CY8:CY507, '10 - Office Chairs-WUO_ERR'!CY8:CY507, _xlfn.LAMBDA(_xlpm.part, _xlpm.val, _xlpm.error, IF(_xlpm.part = "", "", IF(LEN(_xlpm.error), _xlfn.SWITCH(IFERROR(_xlfn.TEXTBEFORE(_xlpm.error,":"), ""), "1", "Error", "2", "Disabled", "3", "Required", "4", "Warning", "Valid"), "Valid"))))</f>
        <v/>
      </c>
      <c r="CZ8" s="22">
        <f t="array" ref="CZ8">_xlfn.MAP('10 - Office Chairs'!B8:B507, '10 - Office Chairs'!CZ8:CZ507, '10 - Office Chairs-WUO_ERR'!CZ8:CZ507, _xlfn.LAMBDA(_xlpm.part, _xlpm.val, _xlpm.error, IF(_xlpm.part = "", "", IF(LEN(_xlpm.error), _xlfn.SWITCH(IFERROR(_xlfn.TEXTBEFORE(_xlpm.error,":"), ""), "1", "Error", "2", "Disabled", "3", "Required", "4", "Warning", "Valid"), "Valid"))))</f>
        <v/>
      </c>
      <c r="DA8" s="22">
        <f t="array" ref="DA8">_xlfn.MAP('10 - Office Chairs'!B8:B507, '10 - Office Chairs'!DA8:DA507, '10 - Office Chairs-WUO_ERR'!DA8:DA507, _xlfn.LAMBDA(_xlpm.part, _xlpm.val, _xlpm.error, IF(_xlpm.part = "", "", IF(LEN(_xlpm.error), _xlfn.SWITCH(IFERROR(_xlfn.TEXTBEFORE(_xlpm.error,":"), ""), "1", "Error", "2", "Disabled", "3", "Required", "4", "Warning", "Valid"), "Valid"))))</f>
        <v/>
      </c>
      <c r="DB8" s="22">
        <f t="array" ref="DB8">_xlfn.MAP('10 - Office Chairs'!B8:B507, '10 - Office Chairs'!DB8:DB507, '10 - Office Chairs-WUO_ERR'!DB8:DB507, _xlfn.LAMBDA(_xlpm.part, _xlpm.val, _xlpm.error, IF(_xlpm.part = "", "", IF(LEN(_xlpm.error), _xlfn.SWITCH(IFERROR(_xlfn.TEXTBEFORE(_xlpm.error,":"), ""), "1", "Error", "2", "Disabled", "3", "Required", "4", "Warning", "Valid"), "Valid"))))</f>
        <v/>
      </c>
      <c r="DC8" s="22">
        <f t="array" ref="DC8">_xlfn.MAP('10 - Office Chairs'!B8:B507, '10 - Office Chairs'!DC8:DC507, '10 - Office Chairs-WUO_ERR'!DC8:DC507, _xlfn.LAMBDA(_xlpm.part, _xlpm.val, _xlpm.error, IF(_xlpm.part = "", "", IF(LEN(_xlpm.error), _xlfn.SWITCH(IFERROR(_xlfn.TEXTBEFORE(_xlpm.error,":"), ""), "1", "Error", "2", "Disabled", "3", "Required", "4", "Warning", "Valid"), "Valid"))))</f>
        <v/>
      </c>
      <c r="DD8" s="22">
        <f t="array" ref="DD8">_xlfn.MAP('10 - Office Chairs'!B8:B507, '10 - Office Chairs'!DD8:DD507, '10 - Office Chairs-WUO_ERR'!DD8:DD507, _xlfn.LAMBDA(_xlpm.part, _xlpm.val, _xlpm.error, IF(_xlpm.part = "", "", IF(LEN(_xlpm.error), _xlfn.SWITCH(IFERROR(_xlfn.TEXTBEFORE(_xlpm.error,":"), ""), "1", "Error", "2", "Disabled", "3", "Required", "4", "Warning", "Valid"), "Valid"))))</f>
        <v/>
      </c>
      <c r="DE8" s="22">
        <f t="array" ref="DE8">_xlfn.MAP('10 - Office Chairs'!B8:B507, '10 - Office Chairs'!DE8:DE507, '10 - Office Chairs-WUO_ERR'!DE8:DE507, _xlfn.LAMBDA(_xlpm.part, _xlpm.val, _xlpm.error, IF(_xlpm.part = "", "", IF(LEN(_xlpm.error), _xlfn.SWITCH(IFERROR(_xlfn.TEXTBEFORE(_xlpm.error,":"), ""), "1", "Error", "2", "Disabled", "3", "Required", "4", "Warning", "Valid"), "Valid"))))</f>
        <v/>
      </c>
      <c r="DF8" s="22">
        <f t="array" ref="DF8">_xlfn.MAP('10 - Office Chairs'!B8:B507, '10 - Office Chairs'!DF8:DF507, '10 - Office Chairs-WUO_ERR'!DF8:DF507, _xlfn.LAMBDA(_xlpm.part, _xlpm.val, _xlpm.error, IF(_xlpm.part = "", "", IF(LEN(_xlpm.error), _xlfn.SWITCH(IFERROR(_xlfn.TEXTBEFORE(_xlpm.error,":"), ""), "1", "Error", "2", "Disabled", "3", "Required", "4", "Warning", "Valid"), "Valid"))))</f>
        <v/>
      </c>
      <c r="DG8" s="22">
        <f t="array" ref="DG8">_xlfn.MAP('10 - Office Chairs'!B8:B507, '10 - Office Chairs'!DG8:DG507, '10 - Office Chairs-WUO_ERR'!DG8:DG507, _xlfn.LAMBDA(_xlpm.part, _xlpm.val, _xlpm.error, IF(_xlpm.part = "", "", IF(LEN(_xlpm.error), _xlfn.SWITCH(IFERROR(_xlfn.TEXTBEFORE(_xlpm.error,":"), ""), "1", "Error", "2", "Disabled", "3", "Required", "4", "Warning", "Valid"), "Valid"))))</f>
        <v/>
      </c>
      <c r="DH8" s="22">
        <f t="array" ref="DH8">_xlfn.MAP('10 - Office Chairs'!B8:B507, '10 - Office Chairs'!DH8:DH507, '10 - Office Chairs-WUO_ERR'!DH8:DH507, _xlfn.LAMBDA(_xlpm.part, _xlpm.val, _xlpm.error, IF(_xlpm.part = "", "", IF(LEN(_xlpm.error), _xlfn.SWITCH(IFERROR(_xlfn.TEXTBEFORE(_xlpm.error,":"), ""), "1", "Error", "2", "Disabled", "3", "Required", "4", "Warning", "Valid"), "Valid"))))</f>
        <v/>
      </c>
      <c r="DI8" s="22">
        <f t="array" ref="DI8">_xlfn.MAP('10 - Office Chairs'!B8:B507, '10 - Office Chairs'!DI8:DI507, '10 - Office Chairs-WUO_ERR'!DI8:DI507, _xlfn.LAMBDA(_xlpm.part, _xlpm.val, _xlpm.error, IF(_xlpm.part = "", "", IF(LEN(_xlpm.error), _xlfn.SWITCH(IFERROR(_xlfn.TEXTBEFORE(_xlpm.error,":"), ""), "1", "Error", "2", "Disabled", "3", "Required", "4", "Warning", "Valid"), "Valid"))))</f>
        <v/>
      </c>
      <c r="DJ8" s="22">
        <f t="array" ref="DJ8">_xlfn.MAP('10 - Office Chairs'!B8:B507, '10 - Office Chairs'!DJ8:DJ507, '10 - Office Chairs-WUO_ERR'!DJ8:DJ507, _xlfn.LAMBDA(_xlpm.part, _xlpm.val, _xlpm.error, IF(_xlpm.part = "", "", IF(LEN(_xlpm.error), _xlfn.SWITCH(IFERROR(_xlfn.TEXTBEFORE(_xlpm.error,":"), ""), "1", "Error", "2", "Disabled", "3", "Required", "4", "Warning", "Valid"), "Valid"))))</f>
        <v/>
      </c>
      <c r="DK8" s="22">
        <f t="array" ref="DK8">_xlfn.MAP('10 - Office Chairs'!B8:B507, '10 - Office Chairs'!DK8:DK507, '10 - Office Chairs-WUO_ERR'!DK8:DK507, _xlfn.LAMBDA(_xlpm.part, _xlpm.val, _xlpm.error, IF(_xlpm.part = "", "", IF(LEN(_xlpm.error), _xlfn.SWITCH(IFERROR(_xlfn.TEXTBEFORE(_xlpm.error,":"), ""), "1", "Error", "2", "Disabled", "3", "Required", "4", "Warning", "Valid"), "Valid"))))</f>
        <v/>
      </c>
      <c r="DL8" s="22">
        <f t="array" ref="DL8">_xlfn.MAP('10 - Office Chairs'!B8:B507, '10 - Office Chairs'!DL8:DL507, '10 - Office Chairs-WUO_ERR'!DL8:DL507, _xlfn.LAMBDA(_xlpm.part, _xlpm.val, _xlpm.error, IF(_xlpm.part = "", "", IF(LEN(_xlpm.error), _xlfn.SWITCH(IFERROR(_xlfn.TEXTBEFORE(_xlpm.error,":"), ""), "1", "Error", "2", "Disabled", "3", "Required", "4", "Warning", "Valid"), "Valid"))))</f>
        <v/>
      </c>
      <c r="DM8" s="22">
        <f t="array" ref="DM8">_xlfn.MAP('10 - Office Chairs'!B8:B507, '10 - Office Chairs'!DM8:DM507, '10 - Office Chairs-WUO_ERR'!DM8:DM507, _xlfn.LAMBDA(_xlpm.part, _xlpm.val, _xlpm.error, IF(_xlpm.part = "", "", IF(LEN(_xlpm.error), _xlfn.SWITCH(IFERROR(_xlfn.TEXTBEFORE(_xlpm.error,":"), ""), "1", "Error", "2", "Disabled", "3", "Required", "4", "Warning", "Valid"), "Valid"))))</f>
        <v/>
      </c>
      <c r="DN8" s="22">
        <f t="array" ref="DN8">_xlfn.MAP('10 - Office Chairs'!B8:B507, '10 - Office Chairs'!DN8:DN507, '10 - Office Chairs-WUO_ERR'!DN8:DN507, _xlfn.LAMBDA(_xlpm.part, _xlpm.val, _xlpm.error, IF(_xlpm.part = "", "", IF(LEN(_xlpm.error), _xlfn.SWITCH(IFERROR(_xlfn.TEXTBEFORE(_xlpm.error,":"), ""), "1", "Error", "2", "Disabled", "3", "Required", "4", "Warning", "Valid"), "Valid"))))</f>
        <v/>
      </c>
      <c r="DO8" s="22">
        <f t="array" ref="DO8">_xlfn.MAP('10 - Office Chairs'!B8:B507, '10 - Office Chairs'!DO8:DO507, '10 - Office Chairs-WUO_ERR'!DO8:DO507, _xlfn.LAMBDA(_xlpm.part, _xlpm.val, _xlpm.error, IF(_xlpm.part = "", "", IF(LEN(_xlpm.error), _xlfn.SWITCH(IFERROR(_xlfn.TEXTBEFORE(_xlpm.error,":"), ""), "1", "Error", "2", "Disabled", "3", "Required", "4", "Warning", "Valid"), "Valid"))))</f>
        <v/>
      </c>
      <c r="DP8" s="22">
        <f t="array" ref="DP8">_xlfn.MAP('10 - Office Chairs'!B8:B507, '10 - Office Chairs'!DP8:DP507, '10 - Office Chairs-WUO_ERR'!DP8:DP507, _xlfn.LAMBDA(_xlpm.part, _xlpm.val, _xlpm.error, IF(_xlpm.part = "", "", IF(LEN(_xlpm.error), _xlfn.SWITCH(IFERROR(_xlfn.TEXTBEFORE(_xlpm.error,":"), ""), "1", "Error", "2", "Disabled", "3", "Required", "4", "Warning", "Valid"), "Valid"))))</f>
        <v/>
      </c>
      <c r="DQ8" s="22">
        <f t="array" ref="DQ8">_xlfn.MAP('10 - Office Chairs'!B8:B507, '10 - Office Chairs'!DQ8:DQ507, '10 - Office Chairs-WUO_ERR'!DQ8:DQ507, _xlfn.LAMBDA(_xlpm.part, _xlpm.val, _xlpm.error, IF(_xlpm.part = "", "", IF(LEN(_xlpm.error), _xlfn.SWITCH(IFERROR(_xlfn.TEXTBEFORE(_xlpm.error,":"), ""), "1", "Error", "2", "Disabled", "3", "Required", "4", "Warning", "Valid"), "Valid"))))</f>
        <v/>
      </c>
      <c r="DR8" s="22">
        <f t="array" ref="DR8">_xlfn.MAP('10 - Office Chairs'!B8:B507, '10 - Office Chairs'!DR8:DR507, '10 - Office Chairs-WUO_ERR'!DR8:DR507, _xlfn.LAMBDA(_xlpm.part, _xlpm.val, _xlpm.error, IF(_xlpm.part = "", "", IF(LEN(_xlpm.error), _xlfn.SWITCH(IFERROR(_xlfn.TEXTBEFORE(_xlpm.error,":"), ""), "1", "Error", "2", "Disabled", "3", "Required", "4", "Warning", "Valid"), "Valid"))))</f>
        <v/>
      </c>
      <c r="DS8" s="22">
        <f t="array" ref="DS8">_xlfn.MAP('10 - Office Chairs'!B8:B507, '10 - Office Chairs'!DS8:DS507, '10 - Office Chairs-WUO_ERR'!DS8:DS507, _xlfn.LAMBDA(_xlpm.part, _xlpm.val, _xlpm.error, IF(_xlpm.part = "", "", IF(LEN(_xlpm.error), _xlfn.SWITCH(IFERROR(_xlfn.TEXTBEFORE(_xlpm.error,":"), ""), "1", "Error", "2", "Disabled", "3", "Required", "4", "Warning", "Valid"), "Valid"))))</f>
        <v/>
      </c>
      <c r="DT8" s="22">
        <f t="array" ref="DT8">_xlfn.MAP('10 - Office Chairs'!B8:B507, '10 - Office Chairs'!DT8:DT507, '10 - Office Chairs-WUO_ERR'!DT8:DT507, _xlfn.LAMBDA(_xlpm.part, _xlpm.val, _xlpm.error, IF(_xlpm.part = "", "", IF(LEN(_xlpm.error), _xlfn.SWITCH(IFERROR(_xlfn.TEXTBEFORE(_xlpm.error,":"), ""), "1", "Error", "2", "Disabled", "3", "Required", "4", "Warning", "Valid"), "Valid"))))</f>
        <v/>
      </c>
      <c r="DU8" s="22">
        <f t="array" ref="DU8">_xlfn.MAP('10 - Office Chairs'!B8:B507, '10 - Office Chairs'!DU8:DU507, '10 - Office Chairs-WUO_ERR'!DU8:DU507, _xlfn.LAMBDA(_xlpm.part, _xlpm.val, _xlpm.error, IF(_xlpm.part = "", "", IF(LEN(_xlpm.error), _xlfn.SWITCH(IFERROR(_xlfn.TEXTBEFORE(_xlpm.error,":"), ""), "1", "Error", "2", "Disabled", "3", "Required", "4", "Warning", "Valid"), "Valid"))))</f>
        <v/>
      </c>
      <c r="DV8" s="22">
        <f t="array" ref="DV8">_xlfn.MAP('10 - Office Chairs'!B8:B507, '10 - Office Chairs'!DV8:DV507, '10 - Office Chairs-WUO_ERR'!DV8:DV507, _xlfn.LAMBDA(_xlpm.part, _xlpm.val, _xlpm.error, IF(_xlpm.part = "", "", IF(LEN(_xlpm.error), _xlfn.SWITCH(IFERROR(_xlfn.TEXTBEFORE(_xlpm.error,":"), ""), "1", "Error", "2", "Disabled", "3", "Required", "4", "Warning", "Valid"), "Valid"))))</f>
        <v/>
      </c>
      <c r="DW8" s="22">
        <f t="array" ref="DW8">_xlfn.MAP('10 - Office Chairs'!B8:B507, '10 - Office Chairs'!DW8:DW507, '10 - Office Chairs-WUO_ERR'!DW8:DW507, _xlfn.LAMBDA(_xlpm.part, _xlpm.val, _xlpm.error, IF(_xlpm.part = "", "", IF(LEN(_xlpm.error), _xlfn.SWITCH(IFERROR(_xlfn.TEXTBEFORE(_xlpm.error,":"), ""), "1", "Error", "2", "Disabled", "3", "Required", "4", "Warning", "Valid"), "Valid"))))</f>
        <v/>
      </c>
      <c r="DX8" s="22">
        <f t="array" ref="DX8">_xlfn.MAP('10 - Office Chairs'!B8:B507, '10 - Office Chairs'!DX8:DX507, '10 - Office Chairs-WUO_ERR'!DX8:DX507, _xlfn.LAMBDA(_xlpm.part, _xlpm.val, _xlpm.error, IF(_xlpm.part = "", "", IF(LEN(_xlpm.error), _xlfn.SWITCH(IFERROR(_xlfn.TEXTBEFORE(_xlpm.error,":"), ""), "1", "Error", "2", "Disabled", "3", "Required", "4", "Warning", "Valid"), "Valid"))))</f>
        <v/>
      </c>
      <c r="DY8" s="22">
        <f t="array" ref="DY8">_xlfn.MAP('10 - Office Chairs'!B8:B507, '10 - Office Chairs'!DY8:DY507, '10 - Office Chairs-WUO_ERR'!DY8:DY507, _xlfn.LAMBDA(_xlpm.part, _xlpm.val, _xlpm.error, IF(_xlpm.part = "", "", IF(LEN(_xlpm.error), _xlfn.SWITCH(IFERROR(_xlfn.TEXTBEFORE(_xlpm.error,":"), ""), "1", "Error", "2", "Disabled", "3", "Required", "4", "Warning", "Valid"), "Valid"))))</f>
        <v/>
      </c>
      <c r="DZ8" s="22">
        <f t="array" ref="DZ8">_xlfn.MAP('10 - Office Chairs'!B8:B507, '10 - Office Chairs'!DZ8:DZ507, '10 - Office Chairs-WUO_ERR'!DZ8:DZ507, _xlfn.LAMBDA(_xlpm.part, _xlpm.val, _xlpm.error, IF(_xlpm.part = "", "", IF(LEN(_xlpm.error), _xlfn.SWITCH(IFERROR(_xlfn.TEXTBEFORE(_xlpm.error,":"), ""), "1", "Error", "2", "Disabled", "3", "Required", "4", "Warning", "Valid"), "Valid"))))</f>
        <v/>
      </c>
      <c r="EA8" s="22">
        <f t="array" ref="EA8">_xlfn.MAP('10 - Office Chairs'!B8:B507, '10 - Office Chairs'!EA8:EA507, '10 - Office Chairs-WUO_ERR'!EA8:EA507, _xlfn.LAMBDA(_xlpm.part, _xlpm.val, _xlpm.error, IF(_xlpm.part = "", "", IF(LEN(_xlpm.error), _xlfn.SWITCH(IFERROR(_xlfn.TEXTBEFORE(_xlpm.error,":"), ""), "1", "Error", "2", "Disabled", "3", "Required", "4", "Warning", "Valid"), "Valid"))))</f>
        <v/>
      </c>
      <c r="EB8" s="22">
        <f t="array" ref="EB8">_xlfn.MAP('10 - Office Chairs'!B8:B507, '10 - Office Chairs'!EB8:EB507, '10 - Office Chairs-WUO_ERR'!EB8:EB507, _xlfn.LAMBDA(_xlpm.part, _xlpm.val, _xlpm.error, IF(_xlpm.part = "", "", IF(LEN(_xlpm.error), _xlfn.SWITCH(IFERROR(_xlfn.TEXTBEFORE(_xlpm.error,":"), ""), "1", "Error", "2", "Disabled", "3", "Required", "4", "Warning", "Valid"), "Valid"))))</f>
        <v/>
      </c>
      <c r="EC8" s="22">
        <f t="array" ref="EC8">_xlfn.MAP('10 - Office Chairs'!B8:B507, '10 - Office Chairs'!EC8:EC507, '10 - Office Chairs-WUO_ERR'!EC8:EC507, _xlfn.LAMBDA(_xlpm.part, _xlpm.val, _xlpm.error, IF(_xlpm.part = "", "", IF(LEN(_xlpm.error), _xlfn.SWITCH(IFERROR(_xlfn.TEXTBEFORE(_xlpm.error,":"), ""), "1", "Error", "2", "Disabled", "3", "Required", "4", "Warning", "Valid"), "Valid"))))</f>
        <v/>
      </c>
      <c r="ED8" s="22">
        <f t="array" ref="ED8">_xlfn.MAP('10 - Office Chairs'!B8:B507, '10 - Office Chairs'!ED8:ED507, '10 - Office Chairs-WUO_ERR'!ED8:ED507, _xlfn.LAMBDA(_xlpm.part, _xlpm.val, _xlpm.error, IF(_xlpm.part = "", "", IF(LEN(_xlpm.error), _xlfn.SWITCH(IFERROR(_xlfn.TEXTBEFORE(_xlpm.error,":"), ""), "1", "Error", "2", "Disabled", "3", "Required", "4", "Warning", "Valid"), "Valid"))))</f>
        <v/>
      </c>
      <c r="EE8" s="22">
        <f t="array" ref="EE8">_xlfn.MAP('10 - Office Chairs'!B8:B507, '10 - Office Chairs'!EE8:EE507, '10 - Office Chairs-WUO_ERR'!EE8:EE507, _xlfn.LAMBDA(_xlpm.part, _xlpm.val, _xlpm.error, IF(_xlpm.part = "", "", IF(LEN(_xlpm.error), _xlfn.SWITCH(IFERROR(_xlfn.TEXTBEFORE(_xlpm.error,":"), ""), "1", "Error", "2", "Disabled", "3", "Required", "4", "Warning", "Valid"), "Valid"))))</f>
        <v/>
      </c>
      <c r="EF8" s="22">
        <f t="array" ref="EF8">_xlfn.MAP('10 - Office Chairs'!B8:B507, '10 - Office Chairs'!EF8:EF507, '10 - Office Chairs-WUO_ERR'!EF8:EF507, _xlfn.LAMBDA(_xlpm.part, _xlpm.val, _xlpm.error, IF(_xlpm.part = "", "", IF(LEN(_xlpm.error), _xlfn.SWITCH(IFERROR(_xlfn.TEXTBEFORE(_xlpm.error,":"), ""), "1", "Error", "2", "Disabled", "3", "Required", "4", "Warning", "Valid"), "Valid"))))</f>
        <v/>
      </c>
      <c r="EG8" s="22">
        <f t="array" ref="EG8">_xlfn.MAP('10 - Office Chairs'!B8:B507, '10 - Office Chairs'!EG8:EG507, '10 - Office Chairs-WUO_ERR'!EG8:EG507, _xlfn.LAMBDA(_xlpm.part, _xlpm.val, _xlpm.error, IF(_xlpm.part = "", "", IF(LEN(_xlpm.error), _xlfn.SWITCH(IFERROR(_xlfn.TEXTBEFORE(_xlpm.error,":"), ""), "1", "Error", "2", "Disabled", "3", "Required", "4", "Warning", "Valid"), "Valid"))))</f>
        <v/>
      </c>
      <c r="EH8" s="22">
        <f t="array" ref="EH8">_xlfn.MAP('10 - Office Chairs'!B8:B507, '10 - Office Chairs'!EH8:EH507, '10 - Office Chairs-WUO_ERR'!EH8:EH507, _xlfn.LAMBDA(_xlpm.part, _xlpm.val, _xlpm.error, IF(_xlpm.part = "", "", IF(LEN(_xlpm.error), _xlfn.SWITCH(IFERROR(_xlfn.TEXTBEFORE(_xlpm.error,":"), ""), "1", "Error", "2", "Disabled", "3", "Required", "4", "Warning", "Valid"), "Valid"))))</f>
        <v/>
      </c>
      <c r="EI8" s="22">
        <f t="array" ref="EI8">_xlfn.MAP('10 - Office Chairs'!B8:B507, '10 - Office Chairs'!EI8:EI507, '10 - Office Chairs-WUO_ERR'!EI8:EI507, _xlfn.LAMBDA(_xlpm.part, _xlpm.val, _xlpm.error, IF(_xlpm.part = "", "", IF(LEN(_xlpm.error), _xlfn.SWITCH(IFERROR(_xlfn.TEXTBEFORE(_xlpm.error,":"), ""), "1", "Error", "2", "Disabled", "3", "Required", "4", "Warning", "Valid"), "Valid"))))</f>
        <v/>
      </c>
      <c r="EJ8" s="22">
        <f t="array" ref="EJ8">_xlfn.MAP('10 - Office Chairs'!B8:B507, '10 - Office Chairs'!EJ8:EJ507, '10 - Office Chairs-WUO_ERR'!EJ8:EJ507, _xlfn.LAMBDA(_xlpm.part, _xlpm.val, _xlpm.error, IF(_xlpm.part = "", "", IF(LEN(_xlpm.error), _xlfn.SWITCH(IFERROR(_xlfn.TEXTBEFORE(_xlpm.error,":"), ""), "1", "Error", "2", "Disabled", "3", "Required", "4", "Warning", "Valid"), "Valid"))))</f>
        <v/>
      </c>
      <c r="EK8" s="22">
        <f t="array" ref="EK8">_xlfn.MAP('10 - Office Chairs'!B8:B507, '10 - Office Chairs'!EK8:EK507, '10 - Office Chairs-WUO_ERR'!EK8:EK507, _xlfn.LAMBDA(_xlpm.part, _xlpm.val, _xlpm.error, IF(_xlpm.part = "", "", IF(LEN(_xlpm.error), _xlfn.SWITCH(IFERROR(_xlfn.TEXTBEFORE(_xlpm.error,":"), ""), "1", "Error", "2", "Disabled", "3", "Required", "4", "Warning", "Valid"), "Valid"))))</f>
        <v/>
      </c>
      <c r="EL8" s="22">
        <f t="array" ref="EL8">_xlfn.MAP('10 - Office Chairs'!B8:B507, '10 - Office Chairs'!EL8:EL507, '10 - Office Chairs-WUO_ERR'!EL8:EL507, _xlfn.LAMBDA(_xlpm.part, _xlpm.val, _xlpm.error, IF(_xlpm.part = "", "", IF(LEN(_xlpm.error), _xlfn.SWITCH(IFERROR(_xlfn.TEXTBEFORE(_xlpm.error,":"), ""), "1", "Error", "2", "Disabled", "3", "Required", "4", "Warning", "Valid"), "Valid"))))</f>
        <v/>
      </c>
      <c r="EM8" s="22">
        <f t="array" ref="EM8">_xlfn.MAP('10 - Office Chairs'!B8:B507, '10 - Office Chairs'!EM8:EM507, '10 - Office Chairs-WUO_ERR'!EM8:EM507, _xlfn.LAMBDA(_xlpm.part, _xlpm.val, _xlpm.error, IF(_xlpm.part = "", "", IF(LEN(_xlpm.error), _xlfn.SWITCH(IFERROR(_xlfn.TEXTBEFORE(_xlpm.error,":"), ""), "1", "Error", "2", "Disabled", "3", "Required", "4", "Warning", "Valid"), "Valid"))))</f>
        <v/>
      </c>
      <c r="EN8" s="22">
        <f t="array" ref="EN8">_xlfn.MAP('10 - Office Chairs'!B8:B507, '10 - Office Chairs'!EN8:EN507, '10 - Office Chairs-WUO_ERR'!EN8:EN507, _xlfn.LAMBDA(_xlpm.part, _xlpm.val, _xlpm.error, IF(_xlpm.part = "", "", IF(LEN(_xlpm.error), _xlfn.SWITCH(IFERROR(_xlfn.TEXTBEFORE(_xlpm.error,":"), ""), "1", "Error", "2", "Disabled", "3", "Required", "4", "Warning", "Valid"), "Valid"))))</f>
        <v/>
      </c>
      <c r="EO8" s="22">
        <f t="array" ref="EO8">_xlfn.MAP('10 - Office Chairs'!B8:B507, '10 - Office Chairs'!EO8:EO507, '10 - Office Chairs-WUO_ERR'!EO8:EO507, _xlfn.LAMBDA(_xlpm.part, _xlpm.val, _xlpm.error, IF(_xlpm.part = "", "", IF(LEN(_xlpm.error), _xlfn.SWITCH(IFERROR(_xlfn.TEXTBEFORE(_xlpm.error,":"), ""), "1", "Error", "2", "Disabled", "3", "Required", "4", "Warning", "Valid"), "Valid"))))</f>
        <v/>
      </c>
      <c r="EP8" s="22">
        <f t="array" ref="EP8">_xlfn.MAP('10 - Office Chairs'!B8:B507, '10 - Office Chairs'!EP8:EP507, '10 - Office Chairs-WUO_ERR'!EP8:EP507, _xlfn.LAMBDA(_xlpm.part, _xlpm.val, _xlpm.error, IF(_xlpm.part = "", "", IF(LEN(_xlpm.error), _xlfn.SWITCH(IFERROR(_xlfn.TEXTBEFORE(_xlpm.error,":"), ""), "1", "Error", "2", "Disabled", "3", "Required", "4", "Warning", "Valid"), "Valid"))))</f>
        <v/>
      </c>
      <c r="EQ8" s="22">
        <f t="array" ref="EQ8">_xlfn.MAP('10 - Office Chairs'!B8:B507, '10 - Office Chairs'!EQ8:EQ507, '10 - Office Chairs-WUO_ERR'!EQ8:EQ507, _xlfn.LAMBDA(_xlpm.part, _xlpm.val, _xlpm.error, IF(_xlpm.part = "", "", IF(LEN(_xlpm.error), _xlfn.SWITCH(IFERROR(_xlfn.TEXTBEFORE(_xlpm.error,":"), ""), "1", "Error", "2", "Disabled", "3", "Required", "4", "Warning", "Valid"), "Valid"))))</f>
        <v/>
      </c>
      <c r="ER8" s="22">
        <f t="array" ref="ER8">_xlfn.MAP('10 - Office Chairs'!B8:B507, '10 - Office Chairs'!ER8:ER507, '10 - Office Chairs-WUO_ERR'!ER8:ER507, _xlfn.LAMBDA(_xlpm.part, _xlpm.val, _xlpm.error, IF(_xlpm.part = "", "", IF(LEN(_xlpm.error), _xlfn.SWITCH(IFERROR(_xlfn.TEXTBEFORE(_xlpm.error,":"), ""), "1", "Error", "2", "Disabled", "3", "Required", "4", "Warning", "Valid"), "Valid"))))</f>
        <v/>
      </c>
      <c r="ES8" s="22">
        <f t="array" ref="ES8">_xlfn.MAP('10 - Office Chairs'!B8:B507, '10 - Office Chairs'!ES8:ES507, '10 - Office Chairs-WUO_ERR'!ES8:ES507, _xlfn.LAMBDA(_xlpm.part, _xlpm.val, _xlpm.error, IF(_xlpm.part = "", "", IF(LEN(_xlpm.error), _xlfn.SWITCH(IFERROR(_xlfn.TEXTBEFORE(_xlpm.error,":"), ""), "1", "Error", "2", "Disabled", "3", "Required", "4", "Warning", "Valid"), "Valid"))))</f>
        <v/>
      </c>
      <c r="ET8" s="22">
        <f t="array" ref="ET8">_xlfn.MAP('10 - Office Chairs'!B8:B507, '10 - Office Chairs'!ET8:ET507, '10 - Office Chairs-WUO_ERR'!ET8:ET507, _xlfn.LAMBDA(_xlpm.part, _xlpm.val, _xlpm.error, IF(_xlpm.part = "", "", IF(LEN(_xlpm.error), _xlfn.SWITCH(IFERROR(_xlfn.TEXTBEFORE(_xlpm.error,":"), ""), "1", "Error", "2", "Disabled", "3", "Required", "4", "Warning", "Valid"), "Valid"))))</f>
        <v/>
      </c>
      <c r="EU8" s="22">
        <f t="array" ref="EU8">_xlfn.MAP('10 - Office Chairs'!B8:B507, '10 - Office Chairs'!EU8:EU507, '10 - Office Chairs-WUO_ERR'!EU8:EU507, _xlfn.LAMBDA(_xlpm.part, _xlpm.val, _xlpm.error, IF(_xlpm.part = "", "", IF(LEN(_xlpm.error), _xlfn.SWITCH(IFERROR(_xlfn.TEXTBEFORE(_xlpm.error,":"), ""), "1", "Error", "2", "Disabled", "3", "Required", "4", "Warning", "Valid"), "Valid"))))</f>
        <v/>
      </c>
      <c r="EV8" s="22">
        <f t="array" ref="EV8">_xlfn.MAP('10 - Office Chairs'!B8:B507, '10 - Office Chairs'!EV8:EV507, '10 - Office Chairs-WUO_ERR'!EV8:EV507, _xlfn.LAMBDA(_xlpm.part, _xlpm.val, _xlpm.error, IF(_xlpm.part = "", "", IF(LEN(_xlpm.error), _xlfn.SWITCH(IFERROR(_xlfn.TEXTBEFORE(_xlpm.error,":"), ""), "1", "Error", "2", "Disabled", "3", "Required", "4", "Warning", "Valid"), "Valid"))))</f>
        <v/>
      </c>
      <c r="EW8" s="22">
        <f t="array" ref="EW8">_xlfn.MAP('10 - Office Chairs'!B8:B507, '10 - Office Chairs'!EW8:EW507, '10 - Office Chairs-WUO_ERR'!EW8:EW507, _xlfn.LAMBDA(_xlpm.part, _xlpm.val, _xlpm.error, IF(_xlpm.part = "", "", IF(LEN(_xlpm.error), _xlfn.SWITCH(IFERROR(_xlfn.TEXTBEFORE(_xlpm.error,":"), ""), "1", "Error", "2", "Disabled", "3", "Required", "4", "Warning", "Valid"), "Valid"))))</f>
        <v/>
      </c>
      <c r="EX8" s="22">
        <f t="array" ref="EX8">_xlfn.MAP('10 - Office Chairs'!B8:B507, '10 - Office Chairs'!EX8:EX507, '10 - Office Chairs-WUO_ERR'!EX8:EX507, _xlfn.LAMBDA(_xlpm.part, _xlpm.val, _xlpm.error, IF(_xlpm.part = "", "", IF(LEN(_xlpm.error), _xlfn.SWITCH(IFERROR(_xlfn.TEXTBEFORE(_xlpm.error,":"), ""), "1", "Error", "2", "Disabled", "3", "Required", "4", "Warning", "Valid"), "Valid"))))</f>
        <v/>
      </c>
      <c r="EY8" s="22">
        <f t="array" ref="EY8">_xlfn.MAP('10 - Office Chairs'!B8:B507, '10 - Office Chairs'!EY8:EY507, '10 - Office Chairs-WUO_ERR'!EY8:EY507, _xlfn.LAMBDA(_xlpm.part, _xlpm.val, _xlpm.error, IF(_xlpm.part = "", "", IF(LEN(_xlpm.error), _xlfn.SWITCH(IFERROR(_xlfn.TEXTBEFORE(_xlpm.error,":"), ""), "1", "Error", "2", "Disabled", "3", "Required", "4", "Warning", "Valid"), "Valid"))))</f>
        <v/>
      </c>
      <c r="EZ8" s="22">
        <f t="array" ref="EZ8">_xlfn.MAP('10 - Office Chairs'!B8:B507, '10 - Office Chairs'!EZ8:EZ507, '10 - Office Chairs-WUO_ERR'!EZ8:EZ507, _xlfn.LAMBDA(_xlpm.part, _xlpm.val, _xlpm.error, IF(_xlpm.part = "", "", IF(LEN(_xlpm.error), _xlfn.SWITCH(IFERROR(_xlfn.TEXTBEFORE(_xlpm.error,":"), ""), "1", "Error", "2", "Disabled", "3", "Required", "4", "Warning", "Valid"), "Valid"))))</f>
        <v/>
      </c>
      <c r="FA8" s="22">
        <f t="array" ref="FA8">_xlfn.MAP('10 - Office Chairs'!B8:B507, '10 - Office Chairs'!FA8:FA507, '10 - Office Chairs-WUO_ERR'!FA8:FA507, _xlfn.LAMBDA(_xlpm.part, _xlpm.val, _xlpm.error, IF(_xlpm.part = "", "", IF(LEN(_xlpm.error), _xlfn.SWITCH(IFERROR(_xlfn.TEXTBEFORE(_xlpm.error,":"), ""), "1", "Error", "2", "Disabled", "3", "Required", "4", "Warning", "Valid"), "Valid"))))</f>
        <v/>
      </c>
      <c r="FB8" s="22">
        <f t="array" ref="FB8">_xlfn.MAP('10 - Office Chairs'!B8:B507, '10 - Office Chairs'!FB8:FB507, '10 - Office Chairs-WUO_ERR'!FB8:FB507, _xlfn.LAMBDA(_xlpm.part, _xlpm.val, _xlpm.error, IF(_xlpm.part = "", "", IF(LEN(_xlpm.error), _xlfn.SWITCH(IFERROR(_xlfn.TEXTBEFORE(_xlpm.error,":"), ""), "1", "Error", "2", "Disabled", "3", "Required", "4", "Warning", "Valid"), "Valid"))))</f>
        <v/>
      </c>
      <c r="FC8" s="22">
        <f t="array" ref="FC8">_xlfn.MAP('10 - Office Chairs'!B8:B507, '10 - Office Chairs'!FC8:FC507, '10 - Office Chairs-WUO_ERR'!FC8:FC507, _xlfn.LAMBDA(_xlpm.part, _xlpm.val, _xlpm.error, IF(_xlpm.part = "", "", IF(LEN(_xlpm.error), _xlfn.SWITCH(IFERROR(_xlfn.TEXTBEFORE(_xlpm.error,":"), ""), "1", "Error", "2", "Disabled", "3", "Required", "4", "Warning", "Valid"), "Valid"))))</f>
        <v/>
      </c>
      <c r="FD8" s="22">
        <f t="array" ref="FD8">_xlfn.MAP('10 - Office Chairs'!B8:B507, '10 - Office Chairs'!FD8:FD507, '10 - Office Chairs-WUO_ERR'!FD8:FD507, _xlfn.LAMBDA(_xlpm.part, _xlpm.val, _xlpm.error, IF(_xlpm.part = "", "", IF(LEN(_xlpm.error), _xlfn.SWITCH(IFERROR(_xlfn.TEXTBEFORE(_xlpm.error,":"), ""), "1", "Error", "2", "Disabled", "3", "Required", "4", "Warning", "Valid"), "Valid"))))</f>
        <v/>
      </c>
      <c r="FE8" s="22">
        <f t="array" ref="FE8">_xlfn.MAP('10 - Office Chairs'!B8:B507, '10 - Office Chairs'!FE8:FE507, '10 - Office Chairs-WUO_ERR'!FE8:FE507, _xlfn.LAMBDA(_xlpm.part, _xlpm.val, _xlpm.error, IF(_xlpm.part = "", "", IF(LEN(_xlpm.error), _xlfn.SWITCH(IFERROR(_xlfn.TEXTBEFORE(_xlpm.error,":"), ""), "1", "Error", "2", "Disabled", "3", "Required", "4", "Warning", "Valid"), "Valid"))))</f>
        <v/>
      </c>
      <c r="FF8" s="22">
        <f t="array" ref="FF8">_xlfn.MAP('10 - Office Chairs'!B8:B507, '10 - Office Chairs'!FF8:FF507, '10 - Office Chairs-WUO_ERR'!FF8:FF507, _xlfn.LAMBDA(_xlpm.part, _xlpm.val, _xlpm.error, IF(_xlpm.part = "", "", IF(LEN(_xlpm.error), _xlfn.SWITCH(IFERROR(_xlfn.TEXTBEFORE(_xlpm.error,":"), ""), "1", "Error", "2", "Disabled", "3", "Required", "4", "Warning", "Valid"), "Valid"))))</f>
        <v/>
      </c>
      <c r="FG8" s="22">
        <f t="array" ref="FG8">_xlfn.MAP('10 - Office Chairs'!B8:B507, '10 - Office Chairs'!FG8:FG507, '10 - Office Chairs-WUO_ERR'!FG8:FG507, _xlfn.LAMBDA(_xlpm.part, _xlpm.val, _xlpm.error, IF(_xlpm.part = "", "", IF(LEN(_xlpm.error), _xlfn.SWITCH(IFERROR(_xlfn.TEXTBEFORE(_xlpm.error,":"), ""), "1", "Error", "2", "Disabled", "3", "Required", "4", "Warning", "Valid"), "Valid"))))</f>
        <v/>
      </c>
      <c r="FH8" s="22">
        <f t="array" ref="FH8">_xlfn.MAP('10 - Office Chairs'!B8:B507, '10 - Office Chairs'!FH8:FH507, '10 - Office Chairs-WUO_ERR'!FH8:FH507, _xlfn.LAMBDA(_xlpm.part, _xlpm.val, _xlpm.error, IF(_xlpm.part = "", "", IF(LEN(_xlpm.error), _xlfn.SWITCH(IFERROR(_xlfn.TEXTBEFORE(_xlpm.error,":"), ""), "1", "Error", "2", "Disabled", "3", "Required", "4", "Warning", "Valid"), "Valid"))))</f>
        <v/>
      </c>
      <c r="FI8" s="22">
        <f t="array" ref="FI8">_xlfn.MAP('10 - Office Chairs'!B8:B507, '10 - Office Chairs'!FI8:FI507, '10 - Office Chairs-WUO_ERR'!FI8:FI507, _xlfn.LAMBDA(_xlpm.part, _xlpm.val, _xlpm.error, IF(_xlpm.part = "", "", IF(LEN(_xlpm.error), _xlfn.SWITCH(IFERROR(_xlfn.TEXTBEFORE(_xlpm.error,":"), ""), "1", "Error", "2", "Disabled", "3", "Required", "4", "Warning", "Valid"), "Valid"))))</f>
        <v/>
      </c>
      <c r="FJ8" s="22">
        <f t="array" ref="FJ8">_xlfn.MAP('10 - Office Chairs'!B8:B507, '10 - Office Chairs'!FJ8:FJ507, '10 - Office Chairs-WUO_ERR'!FJ8:FJ507, _xlfn.LAMBDA(_xlpm.part, _xlpm.val, _xlpm.error, IF(_xlpm.part = "", "", IF(LEN(_xlpm.error), _xlfn.SWITCH(IFERROR(_xlfn.TEXTBEFORE(_xlpm.error,":"), ""), "1", "Error", "2", "Disabled", "3", "Required", "4", "Warning", "Valid"), "Valid"))))</f>
        <v/>
      </c>
      <c r="FK8" s="22">
        <f t="array" ref="FK8">_xlfn.MAP('10 - Office Chairs'!B8:B507, '10 - Office Chairs'!FK8:FK507, '10 - Office Chairs-WUO_ERR'!FK8:FK507, _xlfn.LAMBDA(_xlpm.part, _xlpm.val, _xlpm.error, IF(_xlpm.part = "", "", IF(LEN(_xlpm.error), _xlfn.SWITCH(IFERROR(_xlfn.TEXTBEFORE(_xlpm.error,":"), ""), "1", "Error", "2", "Disabled", "3", "Required", "4", "Warning", "Valid"), "Valid"))))</f>
        <v/>
      </c>
      <c r="FL8" s="22">
        <f t="array" ref="FL8">_xlfn.MAP('10 - Office Chairs'!B8:B507, '10 - Office Chairs'!FL8:FL507, '10 - Office Chairs-WUO_ERR'!FL8:FL507, _xlfn.LAMBDA(_xlpm.part, _xlpm.val, _xlpm.error, IF(_xlpm.part = "", "", IF(LEN(_xlpm.error), _xlfn.SWITCH(IFERROR(_xlfn.TEXTBEFORE(_xlpm.error,":"), ""), "1", "Error", "2", "Disabled", "3", "Required", "4", "Warning", "Valid"), "Valid"))))</f>
        <v/>
      </c>
      <c r="FM8" s="22">
        <f t="array" ref="FM8">_xlfn.MAP('10 - Office Chairs'!B8:B507, '10 - Office Chairs'!FM8:FM507, '10 - Office Chairs-WUO_ERR'!FM8:FM507, _xlfn.LAMBDA(_xlpm.part, _xlpm.val, _xlpm.error, IF(_xlpm.part = "", "", IF(LEN(_xlpm.error), _xlfn.SWITCH(IFERROR(_xlfn.TEXTBEFORE(_xlpm.error,":"), ""), "1", "Error", "2", "Disabled", "3", "Required", "4", "Warning", "Valid"), "Valid"))))</f>
        <v/>
      </c>
      <c r="FN8" s="22">
        <f t="array" ref="FN8">_xlfn.MAP('10 - Office Chairs'!B8:B507, '10 - Office Chairs'!FN8:FN507, '10 - Office Chairs-WUO_ERR'!FN8:FN507, _xlfn.LAMBDA(_xlpm.part, _xlpm.val, _xlpm.error, IF(_xlpm.part = "", "", IF(LEN(_xlpm.error), _xlfn.SWITCH(IFERROR(_xlfn.TEXTBEFORE(_xlpm.error,":"), ""), "1", "Error", "2", "Disabled", "3", "Required", "4", "Warning", "Valid"), "Valid"))))</f>
        <v/>
      </c>
      <c r="FO8" s="22">
        <f t="array" ref="FO8">_xlfn.MAP('10 - Office Chairs'!B8:B507, '10 - Office Chairs'!FO8:FO507, '10 - Office Chairs-WUO_ERR'!FO8:FO507, _xlfn.LAMBDA(_xlpm.part, _xlpm.val, _xlpm.error, IF(_xlpm.part = "", "", IF(LEN(_xlpm.error), _xlfn.SWITCH(IFERROR(_xlfn.TEXTBEFORE(_xlpm.error,":"), ""), "1", "Error", "2", "Disabled", "3", "Required", "4", "Warning", "Valid"), "Valid"))))</f>
        <v/>
      </c>
      <c r="FP8" s="22">
        <f t="array" ref="FP8">_xlfn.MAP('10 - Office Chairs'!B8:B507, '10 - Office Chairs'!FP8:FP507, '10 - Office Chairs-WUO_ERR'!FP8:FP507,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C6D3"/>
  <mergeCells count="9">
    <mergeCell ref="AL2:AO2"/>
    <mergeCell ref="AP2:AS2"/>
    <mergeCell ref="U2:Z2"/>
    <mergeCell ref="BO2:FP2"/>
    <mergeCell ref="R2:T2"/>
    <mergeCell ref="B2:I2"/>
    <mergeCell ref="AA2:AK2"/>
    <mergeCell ref="AT2:BN2"/>
    <mergeCell ref="J2:Q2"/>
  </mergeCells>
  <dataValidations count="166">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'WAYFAIR_USE_ONLY'!$DN$7:$DN15</formula1>
    </dataValidation>
    <dataValidation sqref="BP7" showDropDown="0" showInputMessage="1" showErrorMessage="1" allowBlank="1" errorTitle="Invalid Frame Material" error="The value provided is not a valid Frame Material.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'WAYFAIR_USE_ONLY'!$DO$7:$DO62</formula1>
    </dataValidation>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errorTitle="Invalid Upholstered" error="The value provided is not a valid Upholstered." promptTitle="" prompt="If all products in this class consistently have the same answer, you can set a default value to apply automatically. For any exceptions, you can modify the answer for specific products without changing the default." type="list">
      <formula1>'WAYFAIR_USE_ONLY'!$DP$7:$DP9</formula1>
    </dataValidation>
    <dataValidation sqref="B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U7" showDropDown="0" showInputMessage="1" showErrorMessage="1" allowBlank="1" errorTitle="Invalid Tufted" error="The value provided is not a valid Tufted." promptTitle="" prompt="If all products in this class consistently have the same answer, you can set a default value to apply automatically. For any exceptions, you can modify the answer for specific products without changing the default." type="list">
      <formula1>'WAYFAIR_USE_ONLY'!$DQ$7:$DQ10</formula1>
    </dataValidation>
    <dataValidation sqref="BV7" showDropDown="0" showInputMessage="1" showErrorMessage="1" allowBlank="1" errorTitle="Invalid Adjustable Backrest-Heig" error="The value provided is not a valid Adjustable Backrest-Height." promptTitle="" prompt="If all products in this class consistently have the same answer, you can set a default value to apply automatically. For any exceptions, you can modify the answer for specific products without changing the default." type="list">
      <formula1>'WAYFAIR_USE_ONLY'!$DR$7:$DR10</formula1>
    </dataValidation>
    <dataValidation sqref="BW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7" showDropDown="0" showInputMessage="1" showErrorMessage="1" allowBlank="1" errorTitle="Invalid Arms Included" error="The value provided is not a valid Arms Included." promptTitle="" prompt="If all products in this class consistently have the same answer, you can set a default value to apply automatically. For any exceptions, you can modify the answer for specific products without changing the default." type="list">
      <formula1>'WAYFAIR_USE_ONLY'!$DS$7:$DS10</formula1>
    </dataValidation>
    <dataValidation sqref="C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D7" showDropDown="0" showInputMessage="1" showErrorMessage="1" allowBlank="1" errorTitle="Invalid Swivel" error="The value provided is not a valid Swivel." promptTitle="" prompt="If all products in this class consistently have the same answer, you can set a default value to apply automatically. For any exceptions, you can modify the answer for specific products without changing the default." type="list">
      <formula1>'WAYFAIR_USE_ONLY'!$DT$7:$DT9</formula1>
    </dataValidation>
    <dataValidation sqref="CE7" showDropDown="0" showInputMessage="1" showErrorMessage="1" allowBlank="1" errorTitle="Invalid Lumbar Support" error="The value provided is not a valid Lumbar Support." promptTitle="" prompt="If all products in this class consistently have the same answer, you can set a default value to apply automatically. For any exceptions, you can modify the answer for specific products without changing the default." type="list">
      <formula1>'WAYFAIR_USE_ONLY'!$DU$7:$DU9</formula1>
    </dataValidation>
    <dataValidation sqref="CF7" showDropDown="0" showInputMessage="1" showErrorMessage="1" allowBlank="1" errorTitle="Invalid Massage Setting" error="The value provided is not a valid Massage Setting." promptTitle="" prompt="If all products in this class consistently have the same answer, you can set a default value to apply automatically. For any exceptions, you can modify the answer for specific products without changing the default." type="list">
      <formula1>'WAYFAIR_USE_ONLY'!$DV$7:$DV11</formula1>
    </dataValidation>
    <dataValidation sqref="CG7" showDropDown="0" showInputMessage="1" showErrorMessage="1" allowBlank="1" errorTitle="Invalid Tilting" error="The value provided is not a valid Tilting." promptTitle="" prompt="If all products in this class consistently have the same answer, you can set a default value to apply automatically. For any exceptions, you can modify the answer for specific products without changing the default." type="list">
      <formula1>'WAYFAIR_USE_ONLY'!$DW$7:$DW10</formula1>
    </dataValidation>
    <dataValidation sqref="CH7" showDropDown="0" showInputMessage="1" showErrorMessage="1" allowBlank="1" errorTitle="Invalid Tilt Lock" error="The value provided is not a valid Tilt Lock." promptTitle="" prompt="If all products in this class consistently have the same answer, you can set a default value to apply automatically. For any exceptions, you can modify the answer for specific products without changing the default." type="list">
      <formula1>'WAYFAIR_USE_ONLY'!$DX$7:$DX11</formula1>
    </dataValidation>
    <dataValidation sqref="CI7" showDropDown="0" showInputMessage="1" showErrorMessage="1" allowBlank="1" errorTitle="Invalid Adjustable Tilt Tension" error="The value provided is not a valid Adjustable Tilt Tension." promptTitle="" prompt="If all products in this class consistently have the same answer, you can set a default value to apply automatically. For any exceptions, you can modify the answer for specific products without changing the default." type="list">
      <formula1>'WAYFAIR_USE_ONLY'!$DY$7:$DY10</formula1>
    </dataValidation>
    <dataValidation sqref="CJ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'WAYFAIR_USE_ONLY'!$DZ$7:$DZ10</formula1>
    </dataValidation>
    <dataValidation sqref="CK7" showDropDown="0" showInputMessage="1" showErrorMessage="1" allowBlank="1" errorTitle="Invalid Seat Depth Adjustment" error="The value provided is not a valid Seat Depth Adjustment." promptTitle="" prompt="If all products in this class consistently have the same answer, you can set a default value to apply automatically. For any exceptions, you can modify the answer for specific products without changing the default." type="list">
      <formula1>'WAYFAIR_USE_ONLY'!$EA$7:$EA10</formula1>
    </dataValidation>
    <dataValidation sqref="CL7" showDropDown="0" showInputMessage="1" showErrorMessage="1" allowBlank="1" errorTitle="Invalid Seat Angle Adjustment" error="The value provided is not a valid Seat Angle Adjustment." promptTitle="" prompt="If all products in this class consistently have the same answer, you can set a default value to apply automatically. For any exceptions, you can modify the answer for specific products without changing the default." type="list">
      <formula1>'WAYFAIR_USE_ONLY'!$EB$7:$EB10</formula1>
    </dataValidation>
    <dataValidation sqref="CM7" showDropDown="0" showInputMessage="1" showErrorMessage="1" allowBlank="1" errorTitle="Invalid Waterfall Seat Included" error="The value provided is not a valid Waterfall Seat Included." promptTitle="" prompt="If all products in this class consistently have the same answer, you can set a default value to apply automatically. For any exceptions, you can modify the answer for specific products without changing the default." type="list">
      <formula1>'WAYFAIR_USE_ONLY'!$EC$7:$EC10</formula1>
    </dataValidation>
    <dataValidation sqref="CN7" showDropDown="0" showInputMessage="1" showErrorMessage="1" allowBlank="1" errorTitle="Invalid Seat Glide Mechanism" error="The value provided is not a valid Seat Glide Mechanism." promptTitle="" prompt="If all products in this class consistently have the same answer, you can set a default value to apply automatically. For any exceptions, you can modify the answer for specific products without changing the default." type="list">
      <formula1>'WAYFAIR_USE_ONLY'!$ED$7:$ED10</formula1>
    </dataValidation>
    <dataValidation sqref="CO7" showDropDown="0" showInputMessage="1" showErrorMessage="1" allowBlank="1" errorTitle="Invalid Headrest Included" error="The value provided is not a valid Headrest Included." promptTitle="" prompt="If all products in this class consistently have the same answer, you can set a default value to apply automatically. For any exceptions, you can modify the answer for specific products without changing the default." type="list">
      <formula1>'WAYFAIR_USE_ONLY'!$EE$7:$EE10</formula1>
    </dataValidation>
    <dataValidation sqref="CP7" showDropDown="0" showInputMessage="1" showErrorMessage="1" allowBlank="1" errorTitle="Invalid Footrest Included" error="The value provided is not a valid Footrest Included." promptTitle="" prompt="If all products in this class consistently have the same answer, you can set a default value to apply automatically. For any exceptions, you can modify the answer for specific products without changing the default." type="list">
      <formula1>'WAYFAIR_USE_ONLY'!$EF$7:$EF10</formula1>
    </dataValidation>
    <dataValidation sqref="CQ7" showDropDown="0" showInputMessage="1" showErrorMessage="1" allowBlank="1" errorTitle="Invalid Casters / Wheels" error="The value provided is not a valid Casters / Wheels." promptTitle="" prompt="If all products in this class consistently have the same answer, you can set a default value to apply automatically. For any exceptions, you can modify the answer for specific products without changing the default." type="list">
      <formula1>'WAYFAIR_USE_ONLY'!$EG$7:$EG10</formula1>
    </dataValidation>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7" showDropDown="0" showInputMessage="1" showErrorMessage="1" allowBlank="1" errorTitle="Invalid Stackable" error="The value provided is not a valid Stackable." promptTitle="" prompt="If all products in this class consistently have the same answer, you can set a default value to apply automatically. For any exceptions, you can modify the answer for specific products without changing the default." type="list">
      <formula1>'WAYFAIR_USE_ONLY'!$EH$7:$EH11</formula1>
    </dataValidation>
    <dataValidation sqref="C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V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'WAYFAIR_USE_ONLY'!$EI$7:$EI26</formula1>
    </dataValidation>
    <dataValidation sqref="CW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'WAYFAIR_USE_ONLY'!$EJ$7:$EJ11</formula1>
    </dataValidation>
    <dataValidation sqref="CX7" showDropDown="0" showInputMessage="1" showErrorMessage="1" allowBlank="1" errorTitle="Invalid Vibration" error="The value provided is not a valid Vibration." promptTitle="" prompt="If all products in this class consistently have the same answer, you can set a default value to apply automatically. For any exceptions, you can modify the answer for specific products without changing the default." type="list">
      <formula1>'WAYFAIR_USE_ONLY'!$EK$7:$EK11</formula1>
    </dataValidation>
    <dataValidation sqref="CY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'WAYFAIR_USE_ONLY'!$ES$7:$ES10</formula1>
    </dataValidation>
    <dataValidation sqref="CZ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Z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'WAYFAIR_USE_ONLY'!$EL$7:$EL17</formula1>
    </dataValidation>
    <dataValidation sqref="DA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A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'WAYFAIR_USE_ONLY'!$EM$7:$EM11</formula1>
    </dataValidation>
    <dataValidation sqref="DB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B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'WAYFAIR_USE_ONLY'!$EN$7:$EN19</formula1>
    </dataValidation>
    <dataValidation sqref="DC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C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'WAYFAIR_USE_ONLY'!$EO$7:$EO11</formula1>
    </dataValidation>
    <dataValidation sqref="DD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D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'WAYFAIR_USE_ONLY'!$EP$7:$EP14</formula1>
    </dataValidation>
    <dataValidation sqref="DE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E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'WAYFAIR_USE_ONLY'!$EQ$7:$EQ14</formula1>
    </dataValidation>
    <dataValidation sqref="DF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F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'WAYFAIR_USE_ONLY'!$ER$7:$ER12</formula1>
    </dataValidation>
    <dataValidation sqref="D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Adjustable Headrest" error="The value provided is not a valid Adjustable Headrest." promptTitle="" prompt="If all products in this class consistently have the same answer, you can set a default value to apply automatically. For any exceptions, you can modify the answer for specific products without changing the default." type="list">
      <formula1>'WAYFAIR_USE_ONLY'!$ET$7:$ET10</formula1>
    </dataValidation>
    <dataValidation sqref="DI7" showDropDown="0" showInputMessage="1" showErrorMessage="1" allowBlank="1" errorTitle="Invalid Adjustable Lumbar Suppor" error="The value provided is not a valid Adjustable Lumbar Support." promptTitle="" prompt="If all products in this class consistently have the same answer, you can set a default value to apply automatically. For any exceptions, you can modify the answer for specific products without changing the default." type="list">
      <formula1>'WAYFAIR_USE_ONLY'!$EU$7:$EU10</formula1>
    </dataValidation>
    <dataValidation sqref="D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M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O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'WAYFAIR_USE_ONLY'!$EV$7:$EV9</formula1>
    </dataValidation>
    <dataValidation sqref="D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Q7" showDropDown="0" showInputMessage="1" showErrorMessage="1" allowBlank="1" errorTitle="Invalid Back Angle Adjustment" error="The value provided is not a valid Back Angle Adjustment." promptTitle="" prompt="If all products in this class consistently have the same answer, you can set a default value to apply automatically. For any exceptions, you can modify the answer for specific products without changing the default." type="list">
      <formula1>'WAYFAIR_USE_ONLY'!$EW$7:$EW11</formula1>
    </dataValidation>
    <dataValidation sqref="DR7" showDropDown="0" showInputMessage="1" showErrorMessage="1" allowBlank="1" errorTitle="Invalid Removable Wheels / Caste" error="The value provided is not a valid Removable Wheels / Casters." promptTitle="" prompt="If all products in this class consistently have the same answer, you can set a default value to apply automatically. For any exceptions, you can modify the answer for specific products without changing the default." type="list">
      <formula1>'WAYFAIR_USE_ONLY'!$EX$7:$EX11</formula1>
    </dataValidation>
    <dataValidation sqref="D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T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'WAYFAIR_USE_ONLY'!$EY$7:$EY11</formula1>
    </dataValidation>
    <dataValidation sqref="D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W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X7" showDropDown="0" showInputMessage="1" showErrorMessage="1" allowBlank="1" errorTitle="Invalid Rub Count" error="The value provided is not a valid Rub Count." promptTitle="" prompt="If all products in this class consistently have the same answer, you can set a default value to apply automatically. For any exceptions, you can modify the answer for specific products without changing the default." type="list">
      <formula1>'WAYFAIR_USE_ONLY'!$EZ$7:$EZ16</formula1>
    </dataValidation>
    <dataValidation sqref="DY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'WAYFAIR_USE_ONLY'!$FA$7:$FA10</formula1>
    </dataValidation>
    <dataValidation sqref="DZ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'WAYFAIR_USE_ONLY'!$FE$7:$FE10</formula1>
    </dataValidation>
    <dataValidation sqref="EA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EA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'WAYFAIR_USE_ONLY'!$FB$7:$FB11</formula1>
    </dataValidation>
    <dataValidation sqref="EB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EB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'WAYFAIR_USE_ONLY'!$FC$7:$FC11</formula1>
    </dataValidation>
    <dataValidation sqref="EC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EC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'WAYFAIR_USE_ONLY'!$FD$7:$FD11</formula1>
    </dataValidation>
    <dataValidation sqref="ED7" showDropDown="0" showInputMessage="1" showErrorMessage="1" allowBlank="1" errorTitle="Invalid ADA Compliant" error="The value provided is not a valid ADA Compliant." promptTitle="" prompt="If all products in this class consistently have the same answer, you can set a default value to apply automatically. For any exceptions, you can modify the answer for specific products without changing the default." type="list">
      <formula1>'WAYFAIR_USE_ONLY'!$FF$7:$FF10</formula1>
    </dataValidation>
    <dataValidation sqref="EE7" showDropDown="0" showInputMessage="1" showErrorMessage="1" allowBlank="1" errorTitle="Invalid Contains Flame Retardant" error="The value provided is not a valid Contains Flame Retardant Materials." promptTitle="" prompt="If all products in this class consistently have the same answer, you can set a default value to apply automatically. For any exceptions, you can modify the answer for specific products without changing the default." type="list">
      <formula1>'WAYFAIR_USE_ONLY'!$FG$7:$FG9</formula1>
    </dataValidation>
    <dataValidation sqref="EF7" showDropDown="0" showInputMessage="1" showErrorMessage="1" allowBlank="1" errorTitle="Invalid CAL TB 116 Compliant" error="The value provided is not a valid CAL TB 116 Compliant." promptTitle="" prompt="If all products in this class consistently have the same answer, you can set a default value to apply automatically. For any exceptions, you can modify the answer for specific products without changing the default." type="list">
      <formula1>'WAYFAIR_USE_ONLY'!$FH$7:$FH12</formula1>
    </dataValidation>
    <dataValidation sqref="EG7" showDropDown="0" showInputMessage="1" showErrorMessage="1" allowBlank="1" errorTitle="Invalid CAL TB 117-2013 Complian" error="The value provided is not a valid CAL TB 117-2013 Compliant." promptTitle="" prompt="If all products in this class consistently have the same answer, you can set a default value to apply automatically. For any exceptions, you can modify the answer for specific products without changing the default." type="list">
      <formula1>'WAYFAIR_USE_ONLY'!$FI$7:$FI12</formula1>
    </dataValidation>
    <dataValidation sqref="EH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'WAYFAIR_USE_ONLY'!$FJ$7:$FJ11</formula1>
    </dataValidation>
    <dataValidation sqref="EI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'WAYFAIR_USE_ONLY'!$FK$7:$FK10</formula1>
    </dataValidation>
    <dataValidation sqref="EJ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'WAYFAIR_USE_ONLY'!$FL$7:$FL9</formula1>
    </dataValidation>
    <dataValidation sqref="EK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E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L7" showDropDown="0" showInputMessage="1" showErrorMessage="1" allowBlank="1" errorTitle="Invalid Lacey Act Compliant" error="The value provided is not a valid Lacey Act Compliant." promptTitle="" prompt="If all products in this class consistently have the same answer, you can set a default value to apply automatically. For any exceptions, you can modify the answer for specific products without changing the default." type="list">
      <formula1>'WAYFAIR_USE_ONLY'!$FM$7:$FM11</formula1>
    </dataValidation>
    <dataValidation sqref="EM7" showDropDown="0" showInputMessage="1" showErrorMessage="1" allowBlank="1" errorTitle="Invalid SOFFA Compliant" error="The value provided is not a valid SOFFA Compliant." promptTitle="" prompt="If all products in this class consistently have the same answer, you can set a default value to apply automatically. For any exceptions, you can modify the answer for specific products without changing the default." type="list">
      <formula1>'WAYFAIR_USE_ONLY'!$FN$7:$FN10</formula1>
    </dataValidation>
    <dataValidation sqref="EN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'WAYFAIR_USE_ONLY'!$FR$7:$FR9</formula1>
    </dataValidation>
    <dataValidation sqref="EO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P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'WAYFAIR_USE_ONLY'!$FO$7:$FO23</formula1>
    </dataValidation>
    <dataValidation sqref="EQ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Q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'WAYFAIR_USE_ONLY'!$FP$7:$FP12</formula1>
    </dataValidation>
    <dataValidation sqref="ER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R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'WAYFAIR_USE_ONLY'!$FQ$7:$FQ19</formula1>
    </dataValidation>
    <dataValidation sqref="ES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'WAYFAIR_USE_ONLY'!$FS$7:$FS12</formula1>
    </dataValidation>
    <dataValidation sqref="ET7" showDropDown="0" showInputMessage="1" showErrorMessage="1" allowBlank="1" errorTitle="Invalid SOR/2016-193 - Surface C" error="The value provided is not a valid SOR/2016-193 - Surface Coating Materials Regulations." promptTitle="" prompt="If all products in this class consistently have the same answer, you can set a default value to apply automatically. For any exceptions, you can modify the answer for specific products without changing the default." type="list">
      <formula1>'WAYFAIR_USE_ONLY'!$FT$7:$FT11</formula1>
    </dataValidation>
    <dataValidation sqref="EU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'WAYFAIR_USE_ONLY'!$FU$7:$FU10</formula1>
    </dataValidation>
    <dataValidation sqref="EV7" showDropDown="0" showInputMessage="1" showErrorMessage="1" allowBlank="1" errorTitle="Invalid California AB-1817 Compl" error="The value provided is not a valid California AB-1817 Compliant (CA PFAS)." promptTitle="" prompt="If all products in this class consistently have the same answer, you can set a default value to apply automatically. For any exceptions, you can modify the answer for specific products without changing the default." type="list">
      <formula1>'WAYFAIR_USE_ONLY'!$FV$7:$FV11</formula1>
    </dataValidation>
    <dataValidation sqref="EW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'WAYFAIR_USE_ONLY'!$FW$7:$FW10</formula1>
    </dataValidation>
    <dataValidation sqref="EX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'WAYFAIR_USE_ONLY'!$FX$7:$FX12</formula1>
    </dataValidation>
    <dataValidation sqref="EY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Z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A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B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C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J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'WAYFAIR_USE_ONLY'!$FY$7:$FY9</formula1>
    </dataValidation>
    <dataValidation sqref="FK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'WAYFAIR_USE_ONLY'!$FZ$7:$FZ11</formula1>
    </dataValidation>
    <dataValidation sqref="F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FM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'WAYFAIR_USE_ONLY'!$GB$7:$GB10</formula1>
    </dataValidation>
    <dataValidation sqref="FN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FN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'WAYFAIR_USE_ONLY'!$GA$7:$GA32</formula1>
    </dataValidation>
    <dataValidation sqref="FO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'WAYFAIR_USE_ONLY'!$GC$7:$GC9</formula1>
    </dataValidation>
    <dataValidation sqref="FP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'WAYFAIR_USE_ONLY'!$GD$7:$GD10</formula1>
    </dataValidation>
  </dataValidations>
  <hyperlinks>
    <hyperlink ref="D6" location="'Valid Values'!A1" display="Select"/>
    <hyperlink ref="J6" location="'Valid Values'!B1" display="Select"/>
    <hyperlink ref="L6" location="'Valid Values'!E1" display="Select"/>
    <hyperlink ref="N6" location="'Valid Values'!E1" display="Select"/>
    <hyperlink ref="P6" location="'Valid Values'!E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CW1" display="Select"/>
    <hyperlink ref="BP6" location="'Valid Values'!CX1" display="Select"/>
    <hyperlink ref="BQ6" location="'Valid Values'!CY1" display="Please choose one or more from the following, using a semicolon (;) to separate each value: Mesh; Bungee; Other; Manufactured Wood; Fabric; Solid Wood; Metal; Plastic; Leather; Unavailable"/>
    <hyperlink ref="BR6" location="'Valid Values'!CZ1" display="Please choose one or more from the following, using a semicolon (;) to separate each value: Ceramic; Plastic; Wood; Manufactured wood; Brass; Bungee; Chenille; Concrete; Copper; Fabric; Genuine Leather; Metal; Plastic / Resin; Nickel; Polyurethane; Solid + Manufactured Wood; Cotton; Stainless Steel; Wicker/Rattan; Faux Leather; Mesh; Iron; Plastic / Acrylic; Microfiber; Polyester/Polyester blend; Porcelain; Sling; Solid Wood; Velvet; Wicker; Steel; Twill; Aluminum; Resin; Leather; Vinyl; Suede; Upholstered; Polyester; Sunbrella®; Canvas; Does Not Apply"/>
    <hyperlink ref="BT6" location="'Valid Values'!DA1" display="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
    <hyperlink ref="BW6" location="'Valid Values'!DB1" display="Please choose one or more from the following, using a semicolon (;) to separate each value: Fabric; Solid Wood; Leather; Faux Leather; Metal; Vinyl; Mesh; Plastic / Acrylic; Manufactured Wood; Bungee; Copper; Nickel; Aluminum; Steel; Stainless Steel; Upholstered; Microfiber; Polyester / Polyester Blend; Iron; Brass; Cane; Unavailable"/>
    <hyperlink ref="BX6" location="'Valid Values'!DC1" display="Please choose one or more from the following, using a semicolon (;) to separate each value: Twill; Fabric; Polyurethane; Genuine Leather; Vinyl; Polyester / Polyester Blend; Faux Fur; Faux Leather; Suede; Microfiber; Velvet; Leather; Rayon; Chenille; Wool; Cotton; Linen; Microsuede; Unavailable; Does Not Apply"/>
    <hyperlink ref="BY6" location="'Valid Values'!DD1" display="Please choose one or more from the following, using a semicolon (;) to separate each value: Foam; Cotton; Down; Synthetic Fiber; Feather; Polyester; Pellets / Beads; Unavailable; Does Not Apply"/>
    <hyperlink ref="BZ6" location="'Valid Values'!DE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A6" location="'Valid Values'!DF1" display="Please choose one or more from the following, using a semicolon (;) to separate each value: No Natural Variation; Natural Wood Grain Color Variation; Weathered Steel; Wood Knots; Natural Stone Color Variation; Unavailable"/>
    <hyperlink ref="CC6" location="'Valid Values'!DG1" display="Please choose one or more from the following, using a semicolon (;) to separate each value: Up / Down; Pivot; Side to Side; Front to Back; Non-Adjustable; Flip Up; Unavailable; Does Not Apply"/>
    <hyperlink ref="CR6" location="'Valid Values'!DH1" display="Please choose one or more from the following, using a semicolon (;) to separate each value: Hardwood; Carpet; Linoleum / Laminate; Brick; Porcelain; Thick Carpet and Shag Rugs; Vinyl; Metal; Rug; Marble / Tile; Upholstery; Concrete / Stone; Grass; Heated Floor; Onyx; Thin Carpets and Low Pile Rugs; Engineered Wood; Bamboo; Cork; Unavailable; Does Not Apply"/>
    <hyperlink ref="CT6" location="'Valid Values'!DI1" display="Please choose one or more from the following, using a semicolon (;) to separate each value: Non Residential Use; Residential Use"/>
    <hyperlink ref="CU6" location="'Valid Values'!DJ1" display="Please choose one or more from the following, using a semicolon (;) to separate each value: Made in USA; Made in USA of Imported Materials; Product of Canada; Made In Canada; Does Not Apply"/>
    <hyperlink ref="CV6" location="'Valid Values'!DK1" display="Select"/>
    <hyperlink ref="CZ6" location="'Valid Values'!DL1" display="Select"/>
    <hyperlink ref="DA6" location="'Valid Values'!DM1" display="Select"/>
    <hyperlink ref="DB6" location="'Valid Values'!DN1" display="Select"/>
    <hyperlink ref="DC6" location="'Valid Values'!DO1" display="Select"/>
    <hyperlink ref="DD6" location="'Valid Values'!DP1" display="Select"/>
    <hyperlink ref="DE6" location="'Valid Values'!DQ1" display="Select"/>
    <hyperlink ref="DF6" location="'Valid Values'!DR1" display="Select"/>
    <hyperlink ref="DJ6" location="'Valid Values'!DS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DK6" location="'Valid Values'!DT1" display="Please choose one or more from the following, using a semicolon (;) to separate each value: Cream; Green; Gold; Blue; Beige; Tan; Gray; Black; Clear; Orange; Red; Purple; Pink; Silver; Navy; Ivory; Brown; White; Platinum; Yellow; Teal; Does Not Apply"/>
    <hyperlink ref="DL6" location="'Valid Values'!DU1" display="Please choose one or more from the following, using a semicolon (;) to separate each value: Wood; Manufactured Wood; Rubber; Foam; Plastic / Acrylic; Wicker; Fabric; Metal; Nylon; Polyester; Plastic; Vinyl; Polypropylene; Solid Wood; Faux Leather; Genuine Leather; Polyurethane; Solid + Manufactured Wood; Unavailable; Does Not Apply"/>
    <hyperlink ref="DM6" location="'Valid Values'!DV1" display="Please choose one or more from the following, using a semicolon (;) to separate each value: Down; Feather; Down Blend; Synthetic Fiber; Foam; Eco-Fill; Pellets / Beads; Cotton; Polyester; Unavailable; Does Not Apply"/>
    <hyperlink ref="DN6" location="'Valid Values'!DW1" display="Please choose one or more from the following, using a semicolon (;) to separate each value: Stainless Steel; White; Silver; Satin; Gold; Yellow; Clear; Satin Black; Medium Wood; Matte Black; White Wood; Black; Brown; Blue; Dark Brown Wood; Brown Wood; Oak Wood; Medium Yellow Wood; Light Yellow Wood; Rose Gold; Antique Brass; Nickel; Pink; Polished Brass; Satin Brass; Oil Rubbed Bronze; Polished Nickel; Red; Purple; Espresso Wood; Ivory; Orange; Beige; Teal; Green; Bronze; Brushed Gold; Brass; Red Wood; Tan; Navy; Brushed Nickel; Cream; Chrome; Brushed Brass; Polished Chrome; Gray; Gray Wood; Satin Nickel; Beige Wood; Natural Wood; Copper; Antique Copper; Antique Bronze"/>
    <hyperlink ref="DP6" location="'Valid Values'!DX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DS6" location="'Valid Values'!DY1" display="Please choose one or more from the following, using a semicolon (;) to separate each value: Armless; Tuxedo Arms; Fixed; Round Arms; Square Arms; Pillow Top Arms; Rolled Arms; Recessed Arms; Charles of London; Padded; Flip-Up; Track Arms; Adjustable Arms; Flared Arms; Unavailable; Does Not Apply"/>
    <hyperlink ref="DU6" location="'Valid Values'!DZ1" display="Please choose one or more from the following, using a semicolon (;) to separate each value: No Durability Features; Fire Resistant; Antimicrobial; Does Not Apply"/>
    <hyperlink ref="DV6" location="'Valid Values'!EA1" display="Please choose one or more from the following, using a semicolon (;) to separate each value: Center Tilt; Auto Tilt; Knee Tilt; Manual Tilt; Synchro Tilt; Rotational; Collar Tilt; Push Button; Does Not Apply"/>
    <hyperlink ref="DW6" location="'Valid Values'!EB1" display="Please choose one or more from the following, using a semicolon (;) to separate each value: Headrest; Pillow; Chair Mat; Waterfall Seat; Wheels / Casters; Arms; Footrest; Unavailable; Does Not Apply"/>
    <hyperlink ref="DX6" location="'Valid Values'!EC1" display="Select"/>
    <hyperlink ref="DY6" location="'Valid Values'!ED1" display="Select"/>
    <hyperlink ref="EA6" location="'Valid Values'!EE1" display="Select"/>
    <hyperlink ref="EB6" location="'Valid Values'!EF1" display="Select"/>
    <hyperlink ref="EC6" location="'Valid Values'!EG1" display="Select"/>
    <hyperlink ref="EF6" location="'Valid Values'!EH1" display="Select"/>
    <hyperlink ref="EG6" location="'Valid Values'!EI1" display="Select"/>
    <hyperlink ref="EH6" location="'Valid Values'!EJ1" display="Select"/>
    <hyperlink ref="EI6" location="'Valid Values'!EK1" display="Select"/>
    <hyperlink ref="EK6" location="'Valid Values'!EL1" display="Please choose one or more from the following, using a semicolon (;) to separate each value: Dual Language; Distribution Conflict; Logistics; Does Not Apply"/>
    <hyperlink ref="EL6" location="'Valid Values'!EM1" display="Select"/>
    <hyperlink ref="EO6" location="'Valid Values'!EN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EP6" location="'Valid Values'!EO1" display="Select"/>
    <hyperlink ref="EQ6" location="'Valid Values'!EP1" display="Select"/>
    <hyperlink ref="ER6" location="'Valid Values'!EQ1" display="Select"/>
    <hyperlink ref="ES6" location="'Valid Values'!ER1" display="Select"/>
    <hyperlink ref="ET6" location="'Valid Values'!ES1" display="Select"/>
    <hyperlink ref="EU6" location="'Valid Values'!ET1" display="Select"/>
    <hyperlink ref="EV6" location="'Valid Values'!EU1" display="Select"/>
    <hyperlink ref="EX6" location="'Valid Values'!EV1" display="Select"/>
    <hyperlink ref="FK6" location="'Valid Values'!EW1" display="Select"/>
    <hyperlink ref="FL6" location="'Valid Values'!EX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FN6" location="'Valid Values'!EY1" display="Select"/>
    <hyperlink ref="FP6" location="'Valid Values'!EZ1" display="Select"/>
  </hyperlink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DY507"/>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13.7109375" customWidth="1" style="22" min="68" max="68"/>
    <col width="17.7109375" customWidth="1" style="22" min="69" max="69"/>
    <col width="22.7109375" customWidth="1" style="22" min="70" max="71"/>
    <col width="34.7109375" customWidth="1" style="22" min="72" max="72"/>
    <col width="25.7109375" customWidth="1" style="22" min="73" max="73"/>
    <col width="18.7109375" customWidth="1" style="22" min="74" max="74"/>
    <col width="38.7109375" customWidth="1" style="22" min="75" max="75"/>
    <col width="22.7109375" customWidth="1" style="22" min="76" max="76"/>
    <col width="12.7109375" customWidth="1" style="22" min="77" max="77"/>
    <col width="32.7109375" customWidth="1" style="22" min="78" max="78"/>
    <col width="27.7109375" customWidth="1" style="22" min="79" max="79"/>
    <col width="39.7109375" customWidth="1" style="22" min="80" max="80"/>
    <col width="20.7109375" customWidth="1" style="22" min="81" max="81"/>
    <col width="21.7109375" customWidth="1" style="22" min="82" max="82"/>
    <col width="43.7109375" customWidth="1" style="22" min="83" max="83"/>
    <col width="29.7109375" customWidth="1" style="22" min="84" max="84"/>
    <col width="20.7109375" customWidth="1" style="22" min="85" max="85"/>
    <col width="17.7109375" customWidth="1" style="22" min="86" max="87"/>
    <col width="22.7109375" customWidth="1" style="22" min="88" max="88"/>
    <col width="15.7109375" customWidth="1" style="22" min="89" max="89"/>
    <col width="19.7109375" customWidth="1" style="22" min="90" max="90"/>
    <col width="10.7109375" customWidth="1" style="22" min="91" max="91"/>
    <col width="27.7109375" customWidth="1" style="22" min="92" max="92"/>
    <col width="20.7109375" customWidth="1" style="22" min="93" max="93"/>
    <col width="21.7109375" customWidth="1" style="22" min="94" max="95"/>
    <col width="20.7109375" customWidth="1" style="22" min="96" max="96"/>
    <col width="23.7109375" customWidth="1" style="22" min="97" max="97"/>
    <col width="38.7109375" customWidth="1" style="22" min="98" max="98"/>
    <col width="62.7109375" customWidth="1" style="22" min="99" max="99"/>
    <col width="33.7109375" customWidth="1" style="22" min="100" max="100"/>
    <col width="41.7109375" customWidth="1" style="22" min="101" max="101"/>
    <col width="44.7109375" customWidth="1" style="22" min="102" max="102"/>
    <col width="33.7109375" customWidth="1" style="22" min="103" max="103"/>
    <col width="53.7109375" customWidth="1" style="22" min="104" max="105"/>
    <col width="21.7109375" customWidth="1" style="22" min="106" max="106"/>
    <col width="34.7109375" customWidth="1" style="22" min="107" max="107"/>
    <col width="64.7109375" customWidth="1" style="22" min="108" max="108"/>
    <col width="31.7109375" customWidth="1" style="22" min="109" max="109"/>
    <col width="27.7109375" customWidth="1" style="22" min="110" max="111"/>
    <col width="19.7109375" customWidth="1" style="22" min="112" max="112"/>
    <col width="43.7109375" customWidth="1" style="22" min="113" max="113"/>
    <col width="79.7109375" customWidth="1" style="22" min="114" max="114"/>
    <col width="30.7109375" customWidth="1" style="22" min="115" max="115"/>
    <col width="35.7109375" customWidth="1" style="22" min="116" max="116"/>
    <col width="33.7109375" customWidth="1" style="22" min="117" max="117"/>
    <col width="34.7109375" customWidth="1" style="22" min="118" max="118"/>
    <col width="43.7109375" customWidth="1" style="22" min="119" max="119"/>
    <col width="42.7109375" customWidth="1" style="22" min="120" max="120"/>
    <col width="27.7109375" customWidth="1" style="22" min="121" max="121"/>
    <col width="41.7109375" customWidth="1" style="22" min="122" max="122"/>
    <col width="22.7109375" customWidth="1" style="22" min="123" max="124"/>
    <col width="45.7109375" customWidth="1" style="22" min="125" max="125"/>
    <col width="24.7109375" customWidth="1" style="22" min="126" max="126"/>
    <col width="31.7109375" customWidth="1" style="22" min="127" max="127"/>
    <col width="21.7109375" customWidth="1" style="22" min="128" max="128"/>
    <col width="29.7109375" customWidth="1" style="22" min="129" max="129"/>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4100</t>
        </is>
      </c>
      <c r="BP1" s="22" t="inlineStr">
        <is>
          <t>4099</t>
        </is>
      </c>
      <c r="BQ1" s="22" t="inlineStr">
        <is>
          <t>4104</t>
        </is>
      </c>
      <c r="BR1" s="22" t="inlineStr">
        <is>
          <t>4150</t>
        </is>
      </c>
      <c r="BS1" s="22" t="inlineStr">
        <is>
          <t>4410</t>
        </is>
      </c>
      <c r="BT1" s="22" t="inlineStr">
        <is>
          <t>376182</t>
        </is>
      </c>
      <c r="BU1" s="22" t="inlineStr">
        <is>
          <t>375291</t>
        </is>
      </c>
      <c r="BV1" s="22" t="inlineStr">
        <is>
          <t>4125</t>
        </is>
      </c>
      <c r="BW1" s="22" t="inlineStr">
        <is>
          <t>214542</t>
        </is>
      </c>
      <c r="BX1" s="22" t="inlineStr">
        <is>
          <t>220140</t>
        </is>
      </c>
      <c r="BY1" s="22" t="inlineStr">
        <is>
          <t>189878</t>
        </is>
      </c>
      <c r="BZ1" s="22" t="inlineStr">
        <is>
          <t>222867</t>
        </is>
      </c>
      <c r="CA1" s="22" t="inlineStr">
        <is>
          <t>222868</t>
        </is>
      </c>
      <c r="CB1" s="22" t="inlineStr">
        <is>
          <t>223515</t>
        </is>
      </c>
      <c r="CC1" s="22" t="inlineStr">
        <is>
          <t>231828</t>
        </is>
      </c>
      <c r="CD1" s="22" t="inlineStr">
        <is>
          <t>243181</t>
        </is>
      </c>
      <c r="CE1" s="22" t="inlineStr">
        <is>
          <t>244538</t>
        </is>
      </c>
      <c r="CF1" s="22" t="inlineStr">
        <is>
          <t>293477</t>
        </is>
      </c>
      <c r="CG1" s="22" t="inlineStr">
        <is>
          <t>293540</t>
        </is>
      </c>
      <c r="CH1" s="22" t="inlineStr">
        <is>
          <t>185257</t>
        </is>
      </c>
      <c r="CI1" s="22" t="inlineStr">
        <is>
          <t>332816</t>
        </is>
      </c>
      <c r="CJ1" s="22" t="inlineStr">
        <is>
          <t>294498</t>
        </is>
      </c>
      <c r="CK1" s="22" t="inlineStr">
        <is>
          <t>370850</t>
        </is>
      </c>
      <c r="CL1" s="22" t="inlineStr">
        <is>
          <t>4419</t>
        </is>
      </c>
      <c r="CM1" s="22" t="inlineStr">
        <is>
          <t>378139</t>
        </is>
      </c>
      <c r="CN1" s="22" t="inlineStr">
        <is>
          <t>292710</t>
        </is>
      </c>
      <c r="CO1" s="22" t="inlineStr">
        <is>
          <t>387438</t>
        </is>
      </c>
      <c r="CP1" s="22" t="inlineStr">
        <is>
          <t>400770</t>
        </is>
      </c>
      <c r="CQ1" s="22" t="inlineStr">
        <is>
          <t>400782</t>
        </is>
      </c>
      <c r="CR1" s="22" t="inlineStr">
        <is>
          <t>420142</t>
        </is>
      </c>
      <c r="CS1" s="22" t="inlineStr">
        <is>
          <t>294497</t>
        </is>
      </c>
      <c r="CT1" s="22" t="inlineStr">
        <is>
          <t>331921</t>
        </is>
      </c>
      <c r="CU1" s="22" t="inlineStr">
        <is>
          <t>405443</t>
        </is>
      </c>
      <c r="CV1" s="22" t="inlineStr">
        <is>
          <t>258936</t>
        </is>
      </c>
      <c r="CW1" s="22" t="inlineStr">
        <is>
          <t>331917</t>
        </is>
      </c>
      <c r="CX1" s="22" t="inlineStr">
        <is>
          <t>4142</t>
        </is>
      </c>
      <c r="CY1" s="22" t="inlineStr">
        <is>
          <t>201437</t>
        </is>
      </c>
      <c r="CZ1" s="22" t="inlineStr">
        <is>
          <t>224770</t>
        </is>
      </c>
      <c r="DA1" s="22" t="inlineStr">
        <is>
          <t>224991</t>
        </is>
      </c>
      <c r="DB1" s="22" t="inlineStr">
        <is>
          <t>364712</t>
        </is>
      </c>
      <c r="DC1" s="22" t="inlineStr">
        <is>
          <t>229941</t>
        </is>
      </c>
      <c r="DD1" s="22" t="inlineStr">
        <is>
          <t>236087</t>
        </is>
      </c>
      <c r="DE1" s="22" t="inlineStr">
        <is>
          <t>249276</t>
        </is>
      </c>
      <c r="DF1" s="22" t="inlineStr">
        <is>
          <t>251022</t>
        </is>
      </c>
      <c r="DG1" s="22" t="inlineStr">
        <is>
          <t>371796</t>
        </is>
      </c>
      <c r="DH1" s="22" t="inlineStr">
        <is>
          <t>385925</t>
        </is>
      </c>
      <c r="DI1" s="22" t="inlineStr">
        <is>
          <t>411838</t>
        </is>
      </c>
      <c r="DJ1" s="22" t="inlineStr">
        <is>
          <t>415141</t>
        </is>
      </c>
      <c r="DK1" s="22" t="inlineStr">
        <is>
          <t>421600</t>
        </is>
      </c>
      <c r="DL1" s="22" t="inlineStr">
        <is>
          <t>4144</t>
        </is>
      </c>
      <c r="DM1" s="22" t="inlineStr">
        <is>
          <t>4145</t>
        </is>
      </c>
      <c r="DN1" s="22" t="inlineStr">
        <is>
          <t>4146</t>
        </is>
      </c>
      <c r="DO1" s="22" t="inlineStr">
        <is>
          <t>4430</t>
        </is>
      </c>
      <c r="DP1" s="22" t="inlineStr">
        <is>
          <t>4432</t>
        </is>
      </c>
      <c r="DQ1" s="22" t="inlineStr">
        <is>
          <t>4151</t>
        </is>
      </c>
      <c r="DR1" s="22" t="inlineStr">
        <is>
          <t>393965</t>
        </is>
      </c>
      <c r="DS1" s="22" t="inlineStr">
        <is>
          <t>4152</t>
        </is>
      </c>
      <c r="DT1" s="22" t="inlineStr">
        <is>
          <t>222789</t>
        </is>
      </c>
      <c r="DU1" s="22" t="inlineStr">
        <is>
          <t>222792</t>
        </is>
      </c>
      <c r="DV1" s="22" t="inlineStr">
        <is>
          <t>228903</t>
        </is>
      </c>
      <c r="DW1" s="22" t="inlineStr">
        <is>
          <t>333844</t>
        </is>
      </c>
      <c r="DX1" s="22" t="inlineStr">
        <is>
          <t>254189</t>
        </is>
      </c>
      <c r="DY1" s="22" t="inlineStr">
        <is>
          <t>255311</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Recommended</t>
        </is>
      </c>
      <c r="BP3" s="32" t="inlineStr">
        <is>
          <t>Required</t>
        </is>
      </c>
      <c r="BQ3" s="32" t="inlineStr">
        <is>
          <t>Recommended</t>
        </is>
      </c>
      <c r="BR3" s="32" t="inlineStr">
        <is>
          <t>Recommended</t>
        </is>
      </c>
      <c r="BS3" s="32" t="inlineStr">
        <is>
          <t>Required</t>
        </is>
      </c>
      <c r="BT3" s="32" t="inlineStr">
        <is>
          <t>Recommended</t>
        </is>
      </c>
      <c r="BU3" s="32" t="inlineStr">
        <is>
          <t>Recommended</t>
        </is>
      </c>
      <c r="BV3" s="32" t="inlineStr">
        <is>
          <t>Recommended</t>
        </is>
      </c>
      <c r="BW3" s="32" t="inlineStr">
        <is>
          <t>Required</t>
        </is>
      </c>
      <c r="BX3" s="32" t="inlineStr">
        <is>
          <t>Recommended</t>
        </is>
      </c>
      <c r="BY3" s="32" t="inlineStr">
        <is>
          <t>Required</t>
        </is>
      </c>
      <c r="BZ3" s="32" t="inlineStr">
        <is>
          <t>Recommended</t>
        </is>
      </c>
      <c r="CA3" s="32" t="inlineStr">
        <is>
          <t>Recommended</t>
        </is>
      </c>
      <c r="CB3" s="32" t="inlineStr">
        <is>
          <t>Required</t>
        </is>
      </c>
      <c r="CC3" s="32" t="inlineStr">
        <is>
          <t>Recommended</t>
        </is>
      </c>
      <c r="CD3" s="32" t="inlineStr">
        <is>
          <t>Recommended</t>
        </is>
      </c>
      <c r="CE3" s="32" t="inlineStr">
        <is>
          <t>Additional</t>
        </is>
      </c>
      <c r="CF3" s="32" t="inlineStr">
        <is>
          <t>Recommended</t>
        </is>
      </c>
      <c r="CG3" s="32" t="inlineStr">
        <is>
          <t>Recommended</t>
        </is>
      </c>
      <c r="CH3" s="32" t="inlineStr">
        <is>
          <t>Recommended</t>
        </is>
      </c>
      <c r="CI3" s="32" t="inlineStr">
        <is>
          <t>Recommended</t>
        </is>
      </c>
      <c r="CJ3" s="32" t="inlineStr">
        <is>
          <t>Recommended</t>
        </is>
      </c>
      <c r="CK3" s="32" t="inlineStr">
        <is>
          <t>Recommended</t>
        </is>
      </c>
      <c r="CL3" s="32" t="inlineStr">
        <is>
          <t>Recommended</t>
        </is>
      </c>
      <c r="CM3" s="32" t="inlineStr">
        <is>
          <t>Required</t>
        </is>
      </c>
      <c r="CN3" s="32" t="inlineStr">
        <is>
          <t>Recommended</t>
        </is>
      </c>
      <c r="CO3" s="32" t="inlineStr">
        <is>
          <t>Recommended</t>
        </is>
      </c>
      <c r="CP3" s="32" t="inlineStr">
        <is>
          <t>Recommended</t>
        </is>
      </c>
      <c r="CQ3" s="32" t="inlineStr">
        <is>
          <t>Recommended</t>
        </is>
      </c>
      <c r="CR3" s="32" t="inlineStr">
        <is>
          <t>Required</t>
        </is>
      </c>
      <c r="CS3" s="32" t="inlineStr">
        <is>
          <t>Recommended</t>
        </is>
      </c>
      <c r="CT3" s="32" t="inlineStr">
        <is>
          <t>Required</t>
        </is>
      </c>
      <c r="CU3" s="32" t="inlineStr">
        <is>
          <t>Required</t>
        </is>
      </c>
      <c r="CV3" s="32" t="inlineStr">
        <is>
          <t>Required</t>
        </is>
      </c>
      <c r="CW3" s="32" t="inlineStr">
        <is>
          <t>Required</t>
        </is>
      </c>
      <c r="CX3" s="32" t="inlineStr">
        <is>
          <t>Required</t>
        </is>
      </c>
      <c r="CY3" s="32" t="inlineStr">
        <is>
          <t>Required</t>
        </is>
      </c>
      <c r="CZ3" s="32" t="inlineStr">
        <is>
          <t>Required</t>
        </is>
      </c>
      <c r="DA3" s="32" t="inlineStr">
        <is>
          <t>Required</t>
        </is>
      </c>
      <c r="DB3" s="32" t="inlineStr">
        <is>
          <t>Required</t>
        </is>
      </c>
      <c r="DC3" s="32" t="inlineStr">
        <is>
          <t>Required</t>
        </is>
      </c>
      <c r="DD3" s="32" t="inlineStr">
        <is>
          <t>Required</t>
        </is>
      </c>
      <c r="DE3" s="32" t="inlineStr">
        <is>
          <t>Required</t>
        </is>
      </c>
      <c r="DF3" s="32" t="inlineStr">
        <is>
          <t>Required</t>
        </is>
      </c>
      <c r="DG3" s="32" t="inlineStr">
        <is>
          <t>Required</t>
        </is>
      </c>
      <c r="DH3" s="32" t="inlineStr">
        <is>
          <t>Recommended</t>
        </is>
      </c>
      <c r="DI3" s="32" t="inlineStr">
        <is>
          <t>Required</t>
        </is>
      </c>
      <c r="DJ3" s="32" t="inlineStr">
        <is>
          <t>Recommended</t>
        </is>
      </c>
      <c r="DK3" s="32" t="inlineStr">
        <is>
          <t>Recommended</t>
        </is>
      </c>
      <c r="DL3" s="32" t="inlineStr">
        <is>
          <t>Required</t>
        </is>
      </c>
      <c r="DM3" s="32" t="inlineStr">
        <is>
          <t>Required</t>
        </is>
      </c>
      <c r="DN3" s="32" t="inlineStr">
        <is>
          <t>Required</t>
        </is>
      </c>
      <c r="DO3" s="32" t="inlineStr">
        <is>
          <t>Recommended</t>
        </is>
      </c>
      <c r="DP3" s="32" t="inlineStr">
        <is>
          <t>Recommended</t>
        </is>
      </c>
      <c r="DQ3" s="32" t="inlineStr">
        <is>
          <t>Recommended</t>
        </is>
      </c>
      <c r="DR3" s="32" t="inlineStr">
        <is>
          <t>Recommended</t>
        </is>
      </c>
      <c r="DS3" s="32" t="inlineStr">
        <is>
          <t>Required</t>
        </is>
      </c>
      <c r="DT3" s="32" t="inlineStr">
        <is>
          <t>Recommended</t>
        </is>
      </c>
      <c r="DU3" s="32" t="inlineStr">
        <is>
          <t>Recommended</t>
        </is>
      </c>
      <c r="DV3" s="32" t="inlineStr">
        <is>
          <t>Required</t>
        </is>
      </c>
      <c r="DW3" s="32" t="inlineStr">
        <is>
          <t>Recommended</t>
        </is>
      </c>
      <c r="DX3" s="32" t="inlineStr">
        <is>
          <t>Recommended</t>
        </is>
      </c>
      <c r="DY3" s="32"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Material</t>
        </is>
      </c>
      <c r="BQ4" s="19" t="inlineStr">
        <is>
          <t>Gloss Finish</t>
        </is>
      </c>
      <c r="BR4" s="19" t="inlineStr">
        <is>
          <t>Cabinets Included</t>
        </is>
      </c>
      <c r="BS4" s="19" t="inlineStr">
        <is>
          <t>Number of Drawers</t>
        </is>
      </c>
      <c r="BT4" s="19" t="inlineStr">
        <is>
          <t>Drawer Glide Type &amp; Extension</t>
        </is>
      </c>
      <c r="BU4" s="19" t="inlineStr">
        <is>
          <t>Interlocking Drawers</t>
        </is>
      </c>
      <c r="BV4" s="19" t="inlineStr">
        <is>
          <t>Finished Back</t>
        </is>
      </c>
      <c r="BW4" s="19" t="inlineStr">
        <is>
          <t>Tipover Restraint Device Included</t>
        </is>
      </c>
      <c r="BX4" s="19" t="inlineStr">
        <is>
          <t>Lighting Included</t>
        </is>
      </c>
      <c r="BY4" s="19" t="inlineStr">
        <is>
          <t>Plug-In</t>
        </is>
      </c>
      <c r="BZ4" s="19" t="inlineStr">
        <is>
          <t>Purposeful Distressing Type</t>
        </is>
      </c>
      <c r="CA4" s="19" t="inlineStr">
        <is>
          <t>Natural Variation Type</t>
        </is>
      </c>
      <c r="CB4" s="19" t="inlineStr">
        <is>
          <t>Supplier Intended and Approved Use</t>
        </is>
      </c>
      <c r="CC4" s="19" t="inlineStr">
        <is>
          <t>Handle Material</t>
        </is>
      </c>
      <c r="CD4" s="19" t="inlineStr">
        <is>
          <t>Removable Handle</t>
        </is>
      </c>
      <c r="CE4" s="19" t="inlineStr">
        <is>
          <t>Country of Origin - Additional Details</t>
        </is>
      </c>
      <c r="CF4" s="19" t="inlineStr">
        <is>
          <t>Main Wood Joinery Method</t>
        </is>
      </c>
      <c r="CG4" s="19" t="inlineStr">
        <is>
          <t>Kiln-Dried Wood</t>
        </is>
      </c>
      <c r="CH4" s="19" t="inlineStr">
        <is>
          <t>Wood Species</t>
        </is>
      </c>
      <c r="CI4" s="19" t="inlineStr">
        <is>
          <t>Product Care</t>
        </is>
      </c>
      <c r="CJ4" s="19" t="inlineStr">
        <is>
          <t>Removable Drawers</t>
        </is>
      </c>
      <c r="CK4" s="19" t="inlineStr">
        <is>
          <t>Unfinished</t>
        </is>
      </c>
      <c r="CL4" s="19" t="inlineStr">
        <is>
          <t>Lined Interior</t>
        </is>
      </c>
      <c r="CM4" s="19" t="inlineStr">
        <is>
          <t>Color</t>
        </is>
      </c>
      <c r="CN4" s="19" t="inlineStr">
        <is>
          <t>Manufactured Wood Type</t>
        </is>
      </c>
      <c r="CO4" s="19" t="inlineStr">
        <is>
          <t>Scalloped Edges</t>
        </is>
      </c>
      <c r="CP4" s="19" t="inlineStr">
        <is>
          <t>Fluted Detailing</t>
        </is>
      </c>
      <c r="CQ4" s="19" t="inlineStr">
        <is>
          <t>Ribbed Detailing</t>
        </is>
      </c>
      <c r="CR4" s="19" t="inlineStr">
        <is>
          <t>Pieces Included</t>
        </is>
      </c>
      <c r="CS4" s="19" t="inlineStr">
        <is>
          <t>Drawer Safety Stop</t>
        </is>
      </c>
      <c r="CT4" s="19" t="inlineStr">
        <is>
          <t>Additional Intended Use For Child</t>
        </is>
      </c>
      <c r="CU4" s="19" t="inlineStr">
        <is>
          <t>Consumer Product Safety Improvement Act (CPSIA) Compliant</t>
        </is>
      </c>
      <c r="CV4" s="19" t="inlineStr">
        <is>
          <t>CPSC - 16 CFR 1303 Compliant</t>
        </is>
      </c>
      <c r="CW4" s="19" t="inlineStr">
        <is>
          <t>Children’s Product Certificate (CPC)</t>
        </is>
      </c>
      <c r="CX4" s="19" t="inlineStr">
        <is>
          <t>General Certificate of Conformity (GCC)</t>
        </is>
      </c>
      <c r="CY4" s="33" t="inlineStr">
        <is>
          <t>Composite Wood Product (CWP)</t>
        </is>
      </c>
      <c r="CZ4" s="34" t="inlineStr">
        <is>
          <t>CARB Phase II Compliant (formaldehyde emissions)</t>
        </is>
      </c>
      <c r="DA4" s="34" t="inlineStr">
        <is>
          <t>TSCA Title VI Compliant (formaldehyde emissions)</t>
        </is>
      </c>
      <c r="DB4" s="34" t="inlineStr">
        <is>
          <t>CANFER Compliant</t>
        </is>
      </c>
      <c r="DC4" s="19" t="inlineStr">
        <is>
          <t>Product Stability UL Verified</t>
        </is>
      </c>
      <c r="DD4" s="19" t="inlineStr">
        <is>
          <t>Uniform Packaging and Labeling Regulations (UPLR) Compliant</t>
        </is>
      </c>
      <c r="DE4" s="33" t="inlineStr">
        <is>
          <t>Canada Product Restriction</t>
        </is>
      </c>
      <c r="DF4" s="34" t="inlineStr">
        <is>
          <t>Reason for Restriction</t>
        </is>
      </c>
      <c r="DG4" s="19" t="inlineStr">
        <is>
          <t>ASTM F2057-23 (STURDY)</t>
        </is>
      </c>
      <c r="DH4" s="19" t="inlineStr">
        <is>
          <t>ISTA Certified</t>
        </is>
      </c>
      <c r="DI4" s="19" t="inlineStr">
        <is>
          <t>California AB-1817 Compliant (CA PFAS)</t>
        </is>
      </c>
      <c r="DJ4" s="19" t="inlineStr">
        <is>
          <t>Sustainability &amp; Social Responsibility Certifications (North America Only)</t>
        </is>
      </c>
      <c r="DK4" s="19" t="inlineStr">
        <is>
          <t>Commercial Certifications</t>
        </is>
      </c>
      <c r="DL4" s="19" t="inlineStr">
        <is>
          <t>Overall Height - Top to Bottom</t>
        </is>
      </c>
      <c r="DM4" s="19" t="inlineStr">
        <is>
          <t>Overall Width - Side to Side</t>
        </is>
      </c>
      <c r="DN4" s="19" t="inlineStr">
        <is>
          <t>Overall Depth - Front to Back</t>
        </is>
      </c>
      <c r="DO4" s="19" t="inlineStr">
        <is>
          <t>Drawer Interior Height - Top to Bottom</t>
        </is>
      </c>
      <c r="DP4" s="19" t="inlineStr">
        <is>
          <t>Interior Drawer Depth - Front to Back</t>
        </is>
      </c>
      <c r="DQ4" s="19" t="inlineStr">
        <is>
          <t>Overall Product Weight</t>
        </is>
      </c>
      <c r="DR4" s="19" t="inlineStr">
        <is>
          <t>Interior Drawer Width - Side to Side</t>
        </is>
      </c>
      <c r="DS4" s="19" t="inlineStr">
        <is>
          <t>Assembly Required</t>
        </is>
      </c>
      <c r="DT4" s="19" t="inlineStr">
        <is>
          <t>Level of Assembly</t>
        </is>
      </c>
      <c r="DU4" s="19" t="inlineStr">
        <is>
          <t>Additional Tools Required (Not Included)</t>
        </is>
      </c>
      <c r="DV4" s="33" t="inlineStr">
        <is>
          <t>Commercial Warranty</t>
        </is>
      </c>
      <c r="DW4" s="34" t="inlineStr">
        <is>
          <t>Commercial Warranty Length</t>
        </is>
      </c>
      <c r="DX4" s="19" t="inlineStr">
        <is>
          <t>Product Warranty</t>
        </is>
      </c>
      <c r="DY4" s="19" t="inlineStr">
        <is>
          <t>Full or Limited Warranty</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What material is the product made of?</t>
        </is>
      </c>
      <c r="BQ5" s="35" t="inlineStr">
        <is>
          <t>Does this product have a shiny and sheer gloss finish over the normal painted finish?</t>
        </is>
      </c>
      <c r="BR5" s="35" t="inlineStr">
        <is>
          <t>Does this product include cabinets?</t>
        </is>
      </c>
      <c r="BS5" s="35" t="inlineStr">
        <is>
          <t>How many drawers are included in this product?</t>
        </is>
      </c>
      <c r="BT5" s="35" t="inlineStr">
        <is>
          <t>Please select which type of glide the drawer features and/or how far it can extend.</t>
        </is>
      </c>
      <c r="BU5" s="35" t="inlineStr">
        <is>
          <t>Does this product feature an interlock mechanism that prevents more than one drawer from opening at once?</t>
        </is>
      </c>
      <c r="BV5" s="35" t="inlineStr">
        <is>
          <t>Does this product have a "finished" back, meaning that the back is stained, colored, no visible hardware, or otherwise finished? (e.g., may be fully finished so item can "float" in room)</t>
        </is>
      </c>
      <c r="BW5" s="35" t="inlineStr">
        <is>
          <t>Does this product include a device to prevent the product from tipping over? Tipover restraint devices (TRDs) include brackets, straps, or other specialized hardware</t>
        </is>
      </c>
      <c r="BX5" s="35" t="inlineStr">
        <is>
          <t>Does this product feature any lighting?</t>
        </is>
      </c>
      <c r="BY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BZ5" s="35" t="inlineStr">
        <is>
          <t>What specific type of distressing does this product have? Select all that apply.</t>
        </is>
      </c>
      <c r="CA5" s="35" t="inlineStr">
        <is>
          <t>Which of the following types of natural variation and texture does the product have? Multiple can be selected if applicable. If the product does NOT have natural variation, please select No Natural Variation.</t>
        </is>
      </c>
      <c r="CB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C5" s="35" t="inlineStr">
        <is>
          <t>What is the primary material used to construct the handle?</t>
        </is>
      </c>
      <c r="CD5" s="35" t="inlineStr">
        <is>
          <t>Is the handle or knob able to be removed, replaced, or taken off?</t>
        </is>
      </c>
      <c r="CE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F5" s="35" t="inlineStr">
        <is>
          <t>Which technique was used to join together the main pieces of wood to construct the overall product?</t>
        </is>
      </c>
      <c r="CG5" s="35" t="inlineStr">
        <is>
          <t>Is the wood kiln-dried? If product is not made of wood, please select "does not apply."</t>
        </is>
      </c>
      <c r="CH5" s="35" t="inlineStr">
        <is>
          <t>What type of wood was used to construct this product? This describes the actual materials used, not the product's appearance.</t>
        </is>
      </c>
      <c r="CI5" s="35" t="inlineStr">
        <is>
          <t>What is the appropriate way to clean and/or care for this product? Please select as many answers as applicable.</t>
        </is>
      </c>
      <c r="CJ5" s="35" t="inlineStr">
        <is>
          <t>Does this product have drawers that can be removed?</t>
        </is>
      </c>
      <c r="CK5" s="35" t="inlineStr">
        <is>
          <t>Is this product unfinished (no paint, stain, or varnish)?</t>
        </is>
      </c>
      <c r="CL5" s="35" t="inlineStr">
        <is>
          <t>Is this product lined with fabric?</t>
        </is>
      </c>
      <c r="CM5" s="35" t="inlineStr">
        <is>
          <t>What is the color of the product? If your color name is not listed, please type in the value.</t>
        </is>
      </c>
      <c r="CN5" s="35" t="inlineStr">
        <is>
          <t>What type of manufactured wood was used to construct this product?</t>
        </is>
      </c>
      <c r="CO5" s="35" t="inlineStr">
        <is>
          <t>A product has scalloped edges if it contains curved, semicircular edges.</t>
        </is>
      </c>
      <c r="CP5" s="35" t="inlineStr">
        <is>
          <t>Is there a a concave pattern of parallel lines on a surface of this product?</t>
        </is>
      </c>
      <c r="CQ5" s="35" t="inlineStr">
        <is>
          <t>Is there a a raised pattern of parallel lines on a surface of this product?</t>
        </is>
      </c>
      <c r="CR5" s="35" t="inlineStr">
        <is>
          <t>What pieces are included with this product?</t>
        </is>
      </c>
      <c r="CS5" s="35" t="inlineStr">
        <is>
          <t>Do any drawers feature safety stops (intended to keep the drawers from pulling all the way out)?</t>
        </is>
      </c>
      <c r="CT5" s="35" t="inlineStr">
        <is>
          <t>Is this product intended to be used by a child 12 and under in addition to adults?</t>
        </is>
      </c>
      <c r="CU5" s="35" t="inlineStr">
        <is>
          <t>Is this product compliant with the Consumer Product Safety Improvement Act (CPSIA), including all of the following provisions, as applicable:
- Lead provisions;
- Phthalate provisions; 
- Toy safety provisions;
- Durable infant and toddler product provisions;
- Tracking label provisions; AND
- Compliance with all applicable children's product safety rules (found here: https://www.cpsc.gov/Business--Manufacturing/Testing-Certification/Lab-Accreditation/Rules-Requiring-Third-Party-Testing). Please note: a "No" answer to this question will prevent your product from being listed for sale.</t>
        </is>
      </c>
      <c r="CV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CW5" s="35" t="inlineStr">
        <is>
          <t>Does this product have a Children's Product Certificate (CPC), as required by the U.S. CPSC for children's products?
Please note: A No answer to this question will prevent this item from being listed for sale.</t>
        </is>
      </c>
      <c r="CX5" s="35" t="inlineStr">
        <is>
          <t>Does this product have a General Certificate of Conformity (GCC), as required by the U.S. CPSC for certain product classes?</t>
        </is>
      </c>
      <c r="CY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CZ5" s="35" t="inlineStr">
        <is>
          <t>Is this product certified compliant for CARB ATCM Phase II formaldehyde emission standards from Composite Wood Products [California Air Resources Board (CARB)- Airborne Toxic Control Measures (ATCM) Phase II]</t>
        </is>
      </c>
      <c r="DA5" s="35" t="inlineStr">
        <is>
          <t>Is this product certified TSCA Title VI compliant regarding formaldehyde emissions from Composite Wood Products [Environmental Protection Agency (EPA)-Toxic Substance Control Act (TSCA)-Title VI]</t>
        </is>
      </c>
      <c r="DB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C5" s="35" t="inlineStr">
        <is>
          <t>Does your product meet the UL voluntary stability standard?</t>
        </is>
      </c>
      <c r="DD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E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F5" s="35" t="inlineStr">
        <is>
          <t>Please select the reason this product can not ship to Canada?  Please select from the options or write in a reason if not selectable</t>
        </is>
      </c>
      <c r="DG5" s="35" t="inlineStr">
        <is>
          <t>Is this product compliant with ASTM F2057-23, the safety specification for clothing storage units? This tag is referring to compliance with the STURDY Act.</t>
        </is>
      </c>
      <c r="DH5" s="35" t="inlineStr">
        <is>
          <t>Is the packaging for this SKU ISTA Certified (1A, 3A, 6A)?</t>
        </is>
      </c>
      <c r="DI5" s="35" t="inlineStr">
        <is>
          <t>Select "Does Not Apply" if your product does not contain any textiles.
Is this product compliant with California's Safer Clothes and Textiles Act (AB 1817), the standard restricting per- and polyfluoroalkyl substances (PFAS) above 100 parts per million in textiles? 
Products marked "No" will be blocked from sale in California. 
Please see Help Center article here for more information: https://partners.wayfair.com/help/2/article/2828).</t>
        </is>
      </c>
      <c r="DJ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DK5" s="35"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DL5" s="35" t="inlineStr">
        <is>
          <t>[Inches] What is the overall height of the product from top to bottom? Please enter just the number (e.g. 45.5).</t>
        </is>
      </c>
      <c r="DM5" s="35" t="inlineStr">
        <is>
          <t>[Inches] What is overall width of the product from side to side? Please enter just the number (e.g. 45.5).</t>
        </is>
      </c>
      <c r="DN5" s="35" t="inlineStr">
        <is>
          <t>[Inches] What is the overall depth of the product from front to back? Please enter just the number (e.g. 45.5).</t>
        </is>
      </c>
      <c r="DO5" s="35" t="inlineStr">
        <is>
          <t>[Inches] The interior height of the drawers from top to bottom. List out different heights for each drawer as needed. Please enter just the number (i.e. 45.5). E.g., Top drawer: 15, Bottom drawer: 20</t>
        </is>
      </c>
      <c r="DP5" s="35" t="inlineStr">
        <is>
          <t>[Inches] The interior depth of the drawers from front to back. List out different depths for each drawer as needed. Please enter just the number (i.e. 45.5).</t>
        </is>
      </c>
      <c r="DQ5" s="35" t="inlineStr">
        <is>
          <t>[Pounds] What is the total weight of this product once assembled? If this product includes multiples of the same item, add weight of one individual unit (e.g. 1 Dining Chair in a set of 2). Please enter just the number (i.e. 45.5).</t>
        </is>
      </c>
      <c r="DR5" s="35" t="inlineStr">
        <is>
          <t>[Inches] The interior width of the drawers from side to side. List out different widths for each drawer as needed. Please enter just the number (i.e. 45.5).</t>
        </is>
      </c>
      <c r="DS5" s="35" t="inlineStr">
        <is>
          <t>Does the product require any form of assembly prior to use as intended?</t>
        </is>
      </c>
      <c r="DT5" s="35" t="inlineStr">
        <is>
          <t>What is the level of assembly required?</t>
        </is>
      </c>
      <c r="DU5" s="35" t="inlineStr">
        <is>
          <t>What additional tools will the customer need to set-up this product that are NOT included with purchase?</t>
        </is>
      </c>
      <c r="DV5" s="35" t="inlineStr">
        <is>
          <t>Does the manufacturer warranty cover the use of this product in a commercial environment?</t>
        </is>
      </c>
      <c r="DW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DX5" s="35" t="inlineStr">
        <is>
          <t>Please indicate if there is a warranty on this product if it were to be used in a residential setting.</t>
        </is>
      </c>
      <c r="DY5" s="35" t="inlineStr">
        <is>
          <t>Please indicate if the warranty is Full or Limited.</t>
        </is>
      </c>
    </row>
    <row r="6" ht="50" customHeight="1">
      <c r="A6" s="35" t="inlineStr">
        <is>
          <t>Read-Only</t>
        </is>
      </c>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Please choose one or more from the following, using a semicolon (;) to separate each value: Glass; Stainless Steel; Cane; Raffia; Mango Wood; Aluminum; Manufactured Wood; Leather; Bamboo; Ceramic; Faux Leather; Iron; Laminate; Marble / Granite; Metal; Plastic / Acrylic; Teak; Solid + Manufactured Wood; Steel; Solid Wood; Wicker; Reclaimed Wood</t>
        </is>
      </c>
      <c r="BQ6" s="35" t="inlineStr">
        <is>
          <t>Yes or No</t>
        </is>
      </c>
      <c r="BR6" s="35" t="inlineStr">
        <is>
          <t>Yes or No</t>
        </is>
      </c>
      <c r="BS6" s="35" t="inlineStr">
        <is>
          <t>Whole Number</t>
        </is>
      </c>
      <c r="BT6" s="36"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BU6" s="35" t="inlineStr">
        <is>
          <t>Yes or No</t>
        </is>
      </c>
      <c r="BV6" s="35" t="inlineStr">
        <is>
          <t>Yes or No</t>
        </is>
      </c>
      <c r="BW6" s="36" t="inlineStr">
        <is>
          <t>Select</t>
        </is>
      </c>
      <c r="BX6" s="35" t="inlineStr">
        <is>
          <t>Yes or No</t>
        </is>
      </c>
      <c r="BY6" s="35" t="inlineStr">
        <is>
          <t>Yes or No</t>
        </is>
      </c>
      <c r="BZ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A6" s="36" t="inlineStr">
        <is>
          <t>Please choose one or more from the following, using a semicolon (;) to separate each value: No Natural Variation; Natural Wood Grain Color Variation; Weathered Steel; Wood Knots; Natural Stone Color Variation; Unavailable</t>
        </is>
      </c>
      <c r="CB6" s="36" t="inlineStr">
        <is>
          <t>Please choose one or more from the following, using a semicolon (;) to separate each value: Non Residential Use; Residential Use</t>
        </is>
      </c>
      <c r="CC6" s="36" t="inlineStr">
        <is>
          <t>Select</t>
        </is>
      </c>
      <c r="CD6" s="35" t="inlineStr">
        <is>
          <t>Yes or No</t>
        </is>
      </c>
      <c r="CE6" s="36" t="inlineStr">
        <is>
          <t>Please choose one or more from the following, using a semicolon (;) to separate each value: Made in USA; Made in USA of Imported Materials; Product of Canada; Made In Canada; Does Not Apply</t>
        </is>
      </c>
      <c r="CF6" s="36" t="inlineStr">
        <is>
          <t>Select</t>
        </is>
      </c>
      <c r="CG6" s="35" t="inlineStr">
        <is>
          <t>Yes or No</t>
        </is>
      </c>
      <c r="CH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Larch; Sungkai; Does Not Apply</t>
        </is>
      </c>
      <c r="CI6" s="36"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J6" s="35" t="inlineStr">
        <is>
          <t>Yes or No</t>
        </is>
      </c>
      <c r="CK6" s="35" t="inlineStr">
        <is>
          <t>Yes or No</t>
        </is>
      </c>
      <c r="CL6" s="35" t="inlineStr">
        <is>
          <t>Yes or No</t>
        </is>
      </c>
      <c r="CM6" s="36" t="inlineStr">
        <is>
          <t>Please choose one or more from the following, using a semicolon (;) to separate each value: Blue; Black; Brown; Red; Beige; Yellow; Pink; Purple; Gold; White; Ivory; Tan; Teal; Navy; Orange; Silver; Gray; Green; Cream; Clear</t>
        </is>
      </c>
      <c r="CN6" s="36" t="inlineStr">
        <is>
          <t>Select</t>
        </is>
      </c>
      <c r="CO6" s="35" t="inlineStr">
        <is>
          <t>Yes or No</t>
        </is>
      </c>
      <c r="CP6" s="35" t="inlineStr">
        <is>
          <t>Yes or No</t>
        </is>
      </c>
      <c r="CQ6" s="35" t="inlineStr">
        <is>
          <t>Yes or No</t>
        </is>
      </c>
      <c r="CR6" s="36" t="inlineStr">
        <is>
          <t>Please choose one or more from the following, using a semicolon (;) to separate each value: Drawers; Hutch; Mirror; Shelves; Lighting; Cabinets; Doors; Unavailable; Does Not Apply</t>
        </is>
      </c>
      <c r="CS6" s="35" t="inlineStr">
        <is>
          <t>Yes or No</t>
        </is>
      </c>
      <c r="CT6" s="35" t="inlineStr">
        <is>
          <t>Yes or No</t>
        </is>
      </c>
      <c r="CU6" s="36" t="inlineStr">
        <is>
          <t>Select</t>
        </is>
      </c>
      <c r="CV6" s="36" t="inlineStr">
        <is>
          <t>Select</t>
        </is>
      </c>
      <c r="CW6" s="36" t="inlineStr">
        <is>
          <t>Select</t>
        </is>
      </c>
      <c r="CX6" s="36" t="inlineStr">
        <is>
          <t>Select</t>
        </is>
      </c>
      <c r="CY6" s="35" t="inlineStr">
        <is>
          <t>Yes or No</t>
        </is>
      </c>
      <c r="CZ6" s="36" t="inlineStr">
        <is>
          <t>Select</t>
        </is>
      </c>
      <c r="DA6" s="36" t="inlineStr">
        <is>
          <t>Select</t>
        </is>
      </c>
      <c r="DB6" s="36" t="inlineStr">
        <is>
          <t>Select</t>
        </is>
      </c>
      <c r="DC6" s="35" t="inlineStr">
        <is>
          <t>Yes or No</t>
        </is>
      </c>
      <c r="DD6" s="36" t="inlineStr">
        <is>
          <t>Select</t>
        </is>
      </c>
      <c r="DE6" s="35" t="inlineStr">
        <is>
          <t>Yes or No</t>
        </is>
      </c>
      <c r="DF6" s="36" t="inlineStr">
        <is>
          <t>Please choose one or more from the following, using a semicolon (;) to separate each value: Dual Language; Distribution Conflict; Logistics; Does Not Apply</t>
        </is>
      </c>
      <c r="DG6" s="36" t="inlineStr">
        <is>
          <t>Select</t>
        </is>
      </c>
      <c r="DH6" s="36" t="inlineStr">
        <is>
          <t>Select</t>
        </is>
      </c>
      <c r="DI6" s="36" t="inlineStr">
        <is>
          <t>Select</t>
        </is>
      </c>
      <c r="DJ6" s="35" t="inlineStr">
        <is>
          <t>Yes or No</t>
        </is>
      </c>
      <c r="DK6" s="36" t="inlineStr">
        <is>
          <t>Select</t>
        </is>
      </c>
      <c r="DL6" s="35" t="inlineStr">
        <is>
          <t>Number</t>
        </is>
      </c>
      <c r="DM6" s="35" t="inlineStr">
        <is>
          <t>Number</t>
        </is>
      </c>
      <c r="DN6" s="35" t="inlineStr">
        <is>
          <t>Number</t>
        </is>
      </c>
      <c r="DO6" s="35" t="inlineStr">
        <is>
          <t>Number</t>
        </is>
      </c>
      <c r="DP6" s="35" t="inlineStr">
        <is>
          <t>Number</t>
        </is>
      </c>
      <c r="DQ6" s="35" t="inlineStr">
        <is>
          <t>Number</t>
        </is>
      </c>
      <c r="DR6" s="35" t="inlineStr">
        <is>
          <t>Number</t>
        </is>
      </c>
      <c r="DS6" s="35" t="inlineStr">
        <is>
          <t>Yes or No</t>
        </is>
      </c>
      <c r="DT6" s="36" t="inlineStr">
        <is>
          <t>Select</t>
        </is>
      </c>
      <c r="DU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DV6" s="35" t="inlineStr">
        <is>
          <t>Yes or No</t>
        </is>
      </c>
      <c r="DW6" s="36" t="inlineStr">
        <is>
          <t>Select</t>
        </is>
      </c>
      <c r="DX6" s="35" t="inlineStr">
        <is>
          <t>Yes or No</t>
        </is>
      </c>
      <c r="DY6" s="36" t="inlineStr">
        <is>
          <t>Select</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row>
    <row r="8">
      <c r="A8" s="39">
        <f>IF('13 - Dressers &amp; Chests'!B8 = "", "", IF('13 - Dressers &amp; Chests-WUO_ERR'!A8 = "", "Validated", HYPERLINK("#" &amp; ADDRESS(8, '13 - Dressers &amp; Chests-WUO_TRK'!A8),_xlfn.TEXTAFTER('13 - Dressers &amp; Chests-WUO_ERR'!A8, ":"))))</f>
        <v/>
      </c>
    </row>
    <row r="9">
      <c r="A9" s="39">
        <f>IF('13 - Dressers &amp; Chests'!B9 = "", "", IF('13 - Dressers &amp; Chests-WUO_ERR'!A9 = "", "Validated", HYPERLINK("#" &amp; ADDRESS(9, '13 - Dressers &amp; Chests-WUO_TRK'!A9),_xlfn.TEXTAFTER('13 - Dressers &amp; Chests-WUO_ERR'!A9, ":"))))</f>
        <v/>
      </c>
    </row>
    <row r="10">
      <c r="A10" s="39">
        <f>IF('13 - Dressers &amp; Chests'!B10 = "", "", IF('13 - Dressers &amp; Chests-WUO_ERR'!A10 = "", "Validated", HYPERLINK("#" &amp; ADDRESS(10, '13 - Dressers &amp; Chests-WUO_TRK'!A10),_xlfn.TEXTAFTER('13 - Dressers &amp; Chests-WUO_ERR'!A10, ":"))))</f>
        <v/>
      </c>
    </row>
    <row r="11">
      <c r="A11" s="39">
        <f>IF('13 - Dressers &amp; Chests'!B11 = "", "", IF('13 - Dressers &amp; Chests-WUO_ERR'!A11 = "", "Validated", HYPERLINK("#" &amp; ADDRESS(11, '13 - Dressers &amp; Chests-WUO_TRK'!A11),_xlfn.TEXTAFTER('13 - Dressers &amp; Chests-WUO_ERR'!A11, ":"))))</f>
        <v/>
      </c>
    </row>
    <row r="12">
      <c r="A12" s="39">
        <f>IF('13 - Dressers &amp; Chests'!B12 = "", "", IF('13 - Dressers &amp; Chests-WUO_ERR'!A12 = "", "Validated", HYPERLINK("#" &amp; ADDRESS(12, '13 - Dressers &amp; Chests-WUO_TRK'!A12),_xlfn.TEXTAFTER('13 - Dressers &amp; Chests-WUO_ERR'!A12, ":"))))</f>
        <v/>
      </c>
    </row>
    <row r="13">
      <c r="A13" s="39">
        <f>IF('13 - Dressers &amp; Chests'!B13 = "", "", IF('13 - Dressers &amp; Chests-WUO_ERR'!A13 = "", "Validated", HYPERLINK("#" &amp; ADDRESS(13, '13 - Dressers &amp; Chests-WUO_TRK'!A13),_xlfn.TEXTAFTER('13 - Dressers &amp; Chests-WUO_ERR'!A13, ":"))))</f>
        <v/>
      </c>
    </row>
    <row r="14">
      <c r="A14" s="39">
        <f>IF('13 - Dressers &amp; Chests'!B14 = "", "", IF('13 - Dressers &amp; Chests-WUO_ERR'!A14 = "", "Validated", HYPERLINK("#" &amp; ADDRESS(14, '13 - Dressers &amp; Chests-WUO_TRK'!A14),_xlfn.TEXTAFTER('13 - Dressers &amp; Chests-WUO_ERR'!A14, ":"))))</f>
        <v/>
      </c>
    </row>
    <row r="15">
      <c r="A15" s="39">
        <f>IF('13 - Dressers &amp; Chests'!B15 = "", "", IF('13 - Dressers &amp; Chests-WUO_ERR'!A15 = "", "Validated", HYPERLINK("#" &amp; ADDRESS(15, '13 - Dressers &amp; Chests-WUO_TRK'!A15),_xlfn.TEXTAFTER('13 - Dressers &amp; Chests-WUO_ERR'!A15, ":"))))</f>
        <v/>
      </c>
    </row>
    <row r="16">
      <c r="A16" s="39">
        <f>IF('13 - Dressers &amp; Chests'!B16 = "", "", IF('13 - Dressers &amp; Chests-WUO_ERR'!A16 = "", "Validated", HYPERLINK("#" &amp; ADDRESS(16, '13 - Dressers &amp; Chests-WUO_TRK'!A16),_xlfn.TEXTAFTER('13 - Dressers &amp; Chests-WUO_ERR'!A16, ":"))))</f>
        <v/>
      </c>
    </row>
    <row r="17">
      <c r="A17" s="39">
        <f>IF('13 - Dressers &amp; Chests'!B17 = "", "", IF('13 - Dressers &amp; Chests-WUO_ERR'!A17 = "", "Validated", HYPERLINK("#" &amp; ADDRESS(17, '13 - Dressers &amp; Chests-WUO_TRK'!A17),_xlfn.TEXTAFTER('13 - Dressers &amp; Chests-WUO_ERR'!A17, ":"))))</f>
        <v/>
      </c>
    </row>
    <row r="18">
      <c r="A18" s="39">
        <f>IF('13 - Dressers &amp; Chests'!B18 = "", "", IF('13 - Dressers &amp; Chests-WUO_ERR'!A18 = "", "Validated", HYPERLINK("#" &amp; ADDRESS(18, '13 - Dressers &amp; Chests-WUO_TRK'!A18),_xlfn.TEXTAFTER('13 - Dressers &amp; Chests-WUO_ERR'!A18, ":"))))</f>
        <v/>
      </c>
    </row>
    <row r="19">
      <c r="A19" s="39">
        <f>IF('13 - Dressers &amp; Chests'!B19 = "", "", IF('13 - Dressers &amp; Chests-WUO_ERR'!A19 = "", "Validated", HYPERLINK("#" &amp; ADDRESS(19, '13 - Dressers &amp; Chests-WUO_TRK'!A19),_xlfn.TEXTAFTER('13 - Dressers &amp; Chests-WUO_ERR'!A19, ":"))))</f>
        <v/>
      </c>
    </row>
    <row r="20">
      <c r="A20" s="39">
        <f>IF('13 - Dressers &amp; Chests'!B20 = "", "", IF('13 - Dressers &amp; Chests-WUO_ERR'!A20 = "", "Validated", HYPERLINK("#" &amp; ADDRESS(20, '13 - Dressers &amp; Chests-WUO_TRK'!A20),_xlfn.TEXTAFTER('13 - Dressers &amp; Chests-WUO_ERR'!A20, ":"))))</f>
        <v/>
      </c>
    </row>
    <row r="21">
      <c r="A21" s="39">
        <f>IF('13 - Dressers &amp; Chests'!B21 = "", "", IF('13 - Dressers &amp; Chests-WUO_ERR'!A21 = "", "Validated", HYPERLINK("#" &amp; ADDRESS(21, '13 - Dressers &amp; Chests-WUO_TRK'!A21),_xlfn.TEXTAFTER('13 - Dressers &amp; Chests-WUO_ERR'!A21, ":"))))</f>
        <v/>
      </c>
    </row>
    <row r="22">
      <c r="A22" s="39">
        <f>IF('13 - Dressers &amp; Chests'!B22 = "", "", IF('13 - Dressers &amp; Chests-WUO_ERR'!A22 = "", "Validated", HYPERLINK("#" &amp; ADDRESS(22, '13 - Dressers &amp; Chests-WUO_TRK'!A22),_xlfn.TEXTAFTER('13 - Dressers &amp; Chests-WUO_ERR'!A22, ":"))))</f>
        <v/>
      </c>
    </row>
    <row r="23">
      <c r="A23" s="39">
        <f>IF('13 - Dressers &amp; Chests'!B23 = "", "", IF('13 - Dressers &amp; Chests-WUO_ERR'!A23 = "", "Validated", HYPERLINK("#" &amp; ADDRESS(23, '13 - Dressers &amp; Chests-WUO_TRK'!A23),_xlfn.TEXTAFTER('13 - Dressers &amp; Chests-WUO_ERR'!A23, ":"))))</f>
        <v/>
      </c>
    </row>
    <row r="24">
      <c r="A24" s="39">
        <f>IF('13 - Dressers &amp; Chests'!B24 = "", "", IF('13 - Dressers &amp; Chests-WUO_ERR'!A24 = "", "Validated", HYPERLINK("#" &amp; ADDRESS(24, '13 - Dressers &amp; Chests-WUO_TRK'!A24),_xlfn.TEXTAFTER('13 - Dressers &amp; Chests-WUO_ERR'!A24, ":"))))</f>
        <v/>
      </c>
    </row>
    <row r="25">
      <c r="A25" s="39">
        <f>IF('13 - Dressers &amp; Chests'!B25 = "", "", IF('13 - Dressers &amp; Chests-WUO_ERR'!A25 = "", "Validated", HYPERLINK("#" &amp; ADDRESS(25, '13 - Dressers &amp; Chests-WUO_TRK'!A25),_xlfn.TEXTAFTER('13 - Dressers &amp; Chests-WUO_ERR'!A25, ":"))))</f>
        <v/>
      </c>
    </row>
    <row r="26">
      <c r="A26" s="39">
        <f>IF('13 - Dressers &amp; Chests'!B26 = "", "", IF('13 - Dressers &amp; Chests-WUO_ERR'!A26 = "", "Validated", HYPERLINK("#" &amp; ADDRESS(26, '13 - Dressers &amp; Chests-WUO_TRK'!A26),_xlfn.TEXTAFTER('13 - Dressers &amp; Chests-WUO_ERR'!A26, ":"))))</f>
        <v/>
      </c>
    </row>
    <row r="27">
      <c r="A27" s="39">
        <f>IF('13 - Dressers &amp; Chests'!B27 = "", "", IF('13 - Dressers &amp; Chests-WUO_ERR'!A27 = "", "Validated", HYPERLINK("#" &amp; ADDRESS(27, '13 - Dressers &amp; Chests-WUO_TRK'!A27),_xlfn.TEXTAFTER('13 - Dressers &amp; Chests-WUO_ERR'!A27, ":"))))</f>
        <v/>
      </c>
    </row>
    <row r="28">
      <c r="A28" s="39">
        <f>IF('13 - Dressers &amp; Chests'!B28 = "", "", IF('13 - Dressers &amp; Chests-WUO_ERR'!A28 = "", "Validated", HYPERLINK("#" &amp; ADDRESS(28, '13 - Dressers &amp; Chests-WUO_TRK'!A28),_xlfn.TEXTAFTER('13 - Dressers &amp; Chests-WUO_ERR'!A28, ":"))))</f>
        <v/>
      </c>
    </row>
    <row r="29">
      <c r="A29" s="39">
        <f>IF('13 - Dressers &amp; Chests'!B29 = "", "", IF('13 - Dressers &amp; Chests-WUO_ERR'!A29 = "", "Validated", HYPERLINK("#" &amp; ADDRESS(29, '13 - Dressers &amp; Chests-WUO_TRK'!A29),_xlfn.TEXTAFTER('13 - Dressers &amp; Chests-WUO_ERR'!A29, ":"))))</f>
        <v/>
      </c>
    </row>
    <row r="30">
      <c r="A30" s="39">
        <f>IF('13 - Dressers &amp; Chests'!B30 = "", "", IF('13 - Dressers &amp; Chests-WUO_ERR'!A30 = "", "Validated", HYPERLINK("#" &amp; ADDRESS(30, '13 - Dressers &amp; Chests-WUO_TRK'!A30),_xlfn.TEXTAFTER('13 - Dressers &amp; Chests-WUO_ERR'!A30, ":"))))</f>
        <v/>
      </c>
    </row>
    <row r="31">
      <c r="A31" s="39">
        <f>IF('13 - Dressers &amp; Chests'!B31 = "", "", IF('13 - Dressers &amp; Chests-WUO_ERR'!A31 = "", "Validated", HYPERLINK("#" &amp; ADDRESS(31, '13 - Dressers &amp; Chests-WUO_TRK'!A31),_xlfn.TEXTAFTER('13 - Dressers &amp; Chests-WUO_ERR'!A31, ":"))))</f>
        <v/>
      </c>
    </row>
    <row r="32">
      <c r="A32" s="39">
        <f>IF('13 - Dressers &amp; Chests'!B32 = "", "", IF('13 - Dressers &amp; Chests-WUO_ERR'!A32 = "", "Validated", HYPERLINK("#" &amp; ADDRESS(32, '13 - Dressers &amp; Chests-WUO_TRK'!A32),_xlfn.TEXTAFTER('13 - Dressers &amp; Chests-WUO_ERR'!A32, ":"))))</f>
        <v/>
      </c>
    </row>
    <row r="33">
      <c r="A33" s="39">
        <f>IF('13 - Dressers &amp; Chests'!B33 = "", "", IF('13 - Dressers &amp; Chests-WUO_ERR'!A33 = "", "Validated", HYPERLINK("#" &amp; ADDRESS(33, '13 - Dressers &amp; Chests-WUO_TRK'!A33),_xlfn.TEXTAFTER('13 - Dressers &amp; Chests-WUO_ERR'!A33, ":"))))</f>
        <v/>
      </c>
    </row>
    <row r="34">
      <c r="A34" s="39">
        <f>IF('13 - Dressers &amp; Chests'!B34 = "", "", IF('13 - Dressers &amp; Chests-WUO_ERR'!A34 = "", "Validated", HYPERLINK("#" &amp; ADDRESS(34, '13 - Dressers &amp; Chests-WUO_TRK'!A34),_xlfn.TEXTAFTER('13 - Dressers &amp; Chests-WUO_ERR'!A34, ":"))))</f>
        <v/>
      </c>
    </row>
    <row r="35">
      <c r="A35" s="39">
        <f>IF('13 - Dressers &amp; Chests'!B35 = "", "", IF('13 - Dressers &amp; Chests-WUO_ERR'!A35 = "", "Validated", HYPERLINK("#" &amp; ADDRESS(35, '13 - Dressers &amp; Chests-WUO_TRK'!A35),_xlfn.TEXTAFTER('13 - Dressers &amp; Chests-WUO_ERR'!A35, ":"))))</f>
        <v/>
      </c>
    </row>
    <row r="36">
      <c r="A36" s="39">
        <f>IF('13 - Dressers &amp; Chests'!B36 = "", "", IF('13 - Dressers &amp; Chests-WUO_ERR'!A36 = "", "Validated", HYPERLINK("#" &amp; ADDRESS(36, '13 - Dressers &amp; Chests-WUO_TRK'!A36),_xlfn.TEXTAFTER('13 - Dressers &amp; Chests-WUO_ERR'!A36, ":"))))</f>
        <v/>
      </c>
    </row>
    <row r="37">
      <c r="A37" s="39">
        <f>IF('13 - Dressers &amp; Chests'!B37 = "", "", IF('13 - Dressers &amp; Chests-WUO_ERR'!A37 = "", "Validated", HYPERLINK("#" &amp; ADDRESS(37, '13 - Dressers &amp; Chests-WUO_TRK'!A37),_xlfn.TEXTAFTER('13 - Dressers &amp; Chests-WUO_ERR'!A37, ":"))))</f>
        <v/>
      </c>
    </row>
    <row r="38">
      <c r="A38" s="39">
        <f>IF('13 - Dressers &amp; Chests'!B38 = "", "", IF('13 - Dressers &amp; Chests-WUO_ERR'!A38 = "", "Validated", HYPERLINK("#" &amp; ADDRESS(38, '13 - Dressers &amp; Chests-WUO_TRK'!A38),_xlfn.TEXTAFTER('13 - Dressers &amp; Chests-WUO_ERR'!A38, ":"))))</f>
        <v/>
      </c>
    </row>
    <row r="39">
      <c r="A39" s="39">
        <f>IF('13 - Dressers &amp; Chests'!B39 = "", "", IF('13 - Dressers &amp; Chests-WUO_ERR'!A39 = "", "Validated", HYPERLINK("#" &amp; ADDRESS(39, '13 - Dressers &amp; Chests-WUO_TRK'!A39),_xlfn.TEXTAFTER('13 - Dressers &amp; Chests-WUO_ERR'!A39, ":"))))</f>
        <v/>
      </c>
    </row>
    <row r="40">
      <c r="A40" s="39">
        <f>IF('13 - Dressers &amp; Chests'!B40 = "", "", IF('13 - Dressers &amp; Chests-WUO_ERR'!A40 = "", "Validated", HYPERLINK("#" &amp; ADDRESS(40, '13 - Dressers &amp; Chests-WUO_TRK'!A40),_xlfn.TEXTAFTER('13 - Dressers &amp; Chests-WUO_ERR'!A40, ":"))))</f>
        <v/>
      </c>
    </row>
    <row r="41">
      <c r="A41" s="39">
        <f>IF('13 - Dressers &amp; Chests'!B41 = "", "", IF('13 - Dressers &amp; Chests-WUO_ERR'!A41 = "", "Validated", HYPERLINK("#" &amp; ADDRESS(41, '13 - Dressers &amp; Chests-WUO_TRK'!A41),_xlfn.TEXTAFTER('13 - Dressers &amp; Chests-WUO_ERR'!A41, ":"))))</f>
        <v/>
      </c>
    </row>
    <row r="42">
      <c r="A42" s="39">
        <f>IF('13 - Dressers &amp; Chests'!B42 = "", "", IF('13 - Dressers &amp; Chests-WUO_ERR'!A42 = "", "Validated", HYPERLINK("#" &amp; ADDRESS(42, '13 - Dressers &amp; Chests-WUO_TRK'!A42),_xlfn.TEXTAFTER('13 - Dressers &amp; Chests-WUO_ERR'!A42, ":"))))</f>
        <v/>
      </c>
    </row>
    <row r="43">
      <c r="A43" s="39">
        <f>IF('13 - Dressers &amp; Chests'!B43 = "", "", IF('13 - Dressers &amp; Chests-WUO_ERR'!A43 = "", "Validated", HYPERLINK("#" &amp; ADDRESS(43, '13 - Dressers &amp; Chests-WUO_TRK'!A43),_xlfn.TEXTAFTER('13 - Dressers &amp; Chests-WUO_ERR'!A43, ":"))))</f>
        <v/>
      </c>
    </row>
    <row r="44">
      <c r="A44" s="39">
        <f>IF('13 - Dressers &amp; Chests'!B44 = "", "", IF('13 - Dressers &amp; Chests-WUO_ERR'!A44 = "", "Validated", HYPERLINK("#" &amp; ADDRESS(44, '13 - Dressers &amp; Chests-WUO_TRK'!A44),_xlfn.TEXTAFTER('13 - Dressers &amp; Chests-WUO_ERR'!A44, ":"))))</f>
        <v/>
      </c>
    </row>
    <row r="45">
      <c r="A45" s="39">
        <f>IF('13 - Dressers &amp; Chests'!B45 = "", "", IF('13 - Dressers &amp; Chests-WUO_ERR'!A45 = "", "Validated", HYPERLINK("#" &amp; ADDRESS(45, '13 - Dressers &amp; Chests-WUO_TRK'!A45),_xlfn.TEXTAFTER('13 - Dressers &amp; Chests-WUO_ERR'!A45, ":"))))</f>
        <v/>
      </c>
    </row>
    <row r="46">
      <c r="A46" s="39">
        <f>IF('13 - Dressers &amp; Chests'!B46 = "", "", IF('13 - Dressers &amp; Chests-WUO_ERR'!A46 = "", "Validated", HYPERLINK("#" &amp; ADDRESS(46, '13 - Dressers &amp; Chests-WUO_TRK'!A46),_xlfn.TEXTAFTER('13 - Dressers &amp; Chests-WUO_ERR'!A46, ":"))))</f>
        <v/>
      </c>
    </row>
    <row r="47">
      <c r="A47" s="39">
        <f>IF('13 - Dressers &amp; Chests'!B47 = "", "", IF('13 - Dressers &amp; Chests-WUO_ERR'!A47 = "", "Validated", HYPERLINK("#" &amp; ADDRESS(47, '13 - Dressers &amp; Chests-WUO_TRK'!A47),_xlfn.TEXTAFTER('13 - Dressers &amp; Chests-WUO_ERR'!A47, ":"))))</f>
        <v/>
      </c>
    </row>
    <row r="48">
      <c r="A48" s="39">
        <f>IF('13 - Dressers &amp; Chests'!B48 = "", "", IF('13 - Dressers &amp; Chests-WUO_ERR'!A48 = "", "Validated", HYPERLINK("#" &amp; ADDRESS(48, '13 - Dressers &amp; Chests-WUO_TRK'!A48),_xlfn.TEXTAFTER('13 - Dressers &amp; Chests-WUO_ERR'!A48, ":"))))</f>
        <v/>
      </c>
    </row>
    <row r="49">
      <c r="A49" s="39">
        <f>IF('13 - Dressers &amp; Chests'!B49 = "", "", IF('13 - Dressers &amp; Chests-WUO_ERR'!A49 = "", "Validated", HYPERLINK("#" &amp; ADDRESS(49, '13 - Dressers &amp; Chests-WUO_TRK'!A49),_xlfn.TEXTAFTER('13 - Dressers &amp; Chests-WUO_ERR'!A49, ":"))))</f>
        <v/>
      </c>
    </row>
    <row r="50">
      <c r="A50" s="39">
        <f>IF('13 - Dressers &amp; Chests'!B50 = "", "", IF('13 - Dressers &amp; Chests-WUO_ERR'!A50 = "", "Validated", HYPERLINK("#" &amp; ADDRESS(50, '13 - Dressers &amp; Chests-WUO_TRK'!A50),_xlfn.TEXTAFTER('13 - Dressers &amp; Chests-WUO_ERR'!A50, ":"))))</f>
        <v/>
      </c>
    </row>
    <row r="51">
      <c r="A51" s="39">
        <f>IF('13 - Dressers &amp; Chests'!B51 = "", "", IF('13 - Dressers &amp; Chests-WUO_ERR'!A51 = "", "Validated", HYPERLINK("#" &amp; ADDRESS(51, '13 - Dressers &amp; Chests-WUO_TRK'!A51),_xlfn.TEXTAFTER('13 - Dressers &amp; Chests-WUO_ERR'!A51, ":"))))</f>
        <v/>
      </c>
    </row>
    <row r="52">
      <c r="A52" s="39">
        <f>IF('13 - Dressers &amp; Chests'!B52 = "", "", IF('13 - Dressers &amp; Chests-WUO_ERR'!A52 = "", "Validated", HYPERLINK("#" &amp; ADDRESS(52, '13 - Dressers &amp; Chests-WUO_TRK'!A52),_xlfn.TEXTAFTER('13 - Dressers &amp; Chests-WUO_ERR'!A52, ":"))))</f>
        <v/>
      </c>
    </row>
    <row r="53">
      <c r="A53" s="39">
        <f>IF('13 - Dressers &amp; Chests'!B53 = "", "", IF('13 - Dressers &amp; Chests-WUO_ERR'!A53 = "", "Validated", HYPERLINK("#" &amp; ADDRESS(53, '13 - Dressers &amp; Chests-WUO_TRK'!A53),_xlfn.TEXTAFTER('13 - Dressers &amp; Chests-WUO_ERR'!A53, ":"))))</f>
        <v/>
      </c>
    </row>
    <row r="54">
      <c r="A54" s="39">
        <f>IF('13 - Dressers &amp; Chests'!B54 = "", "", IF('13 - Dressers &amp; Chests-WUO_ERR'!A54 = "", "Validated", HYPERLINK("#" &amp; ADDRESS(54, '13 - Dressers &amp; Chests-WUO_TRK'!A54),_xlfn.TEXTAFTER('13 - Dressers &amp; Chests-WUO_ERR'!A54, ":"))))</f>
        <v/>
      </c>
    </row>
    <row r="55">
      <c r="A55" s="39">
        <f>IF('13 - Dressers &amp; Chests'!B55 = "", "", IF('13 - Dressers &amp; Chests-WUO_ERR'!A55 = "", "Validated", HYPERLINK("#" &amp; ADDRESS(55, '13 - Dressers &amp; Chests-WUO_TRK'!A55),_xlfn.TEXTAFTER('13 - Dressers &amp; Chests-WUO_ERR'!A55, ":"))))</f>
        <v/>
      </c>
    </row>
    <row r="56">
      <c r="A56" s="39">
        <f>IF('13 - Dressers &amp; Chests'!B56 = "", "", IF('13 - Dressers &amp; Chests-WUO_ERR'!A56 = "", "Validated", HYPERLINK("#" &amp; ADDRESS(56, '13 - Dressers &amp; Chests-WUO_TRK'!A56),_xlfn.TEXTAFTER('13 - Dressers &amp; Chests-WUO_ERR'!A56, ":"))))</f>
        <v/>
      </c>
    </row>
    <row r="57">
      <c r="A57" s="39">
        <f>IF('13 - Dressers &amp; Chests'!B57 = "", "", IF('13 - Dressers &amp; Chests-WUO_ERR'!A57 = "", "Validated", HYPERLINK("#" &amp; ADDRESS(57, '13 - Dressers &amp; Chests-WUO_TRK'!A57),_xlfn.TEXTAFTER('13 - Dressers &amp; Chests-WUO_ERR'!A57, ":"))))</f>
        <v/>
      </c>
    </row>
    <row r="58">
      <c r="A58" s="39">
        <f>IF('13 - Dressers &amp; Chests'!B58 = "", "", IF('13 - Dressers &amp; Chests-WUO_ERR'!A58 = "", "Validated", HYPERLINK("#" &amp; ADDRESS(58, '13 - Dressers &amp; Chests-WUO_TRK'!A58),_xlfn.TEXTAFTER('13 - Dressers &amp; Chests-WUO_ERR'!A58, ":"))))</f>
        <v/>
      </c>
    </row>
    <row r="59">
      <c r="A59" s="39">
        <f>IF('13 - Dressers &amp; Chests'!B59 = "", "", IF('13 - Dressers &amp; Chests-WUO_ERR'!A59 = "", "Validated", HYPERLINK("#" &amp; ADDRESS(59, '13 - Dressers &amp; Chests-WUO_TRK'!A59),_xlfn.TEXTAFTER('13 - Dressers &amp; Chests-WUO_ERR'!A59, ":"))))</f>
        <v/>
      </c>
    </row>
    <row r="60">
      <c r="A60" s="39">
        <f>IF('13 - Dressers &amp; Chests'!B60 = "", "", IF('13 - Dressers &amp; Chests-WUO_ERR'!A60 = "", "Validated", HYPERLINK("#" &amp; ADDRESS(60, '13 - Dressers &amp; Chests-WUO_TRK'!A60),_xlfn.TEXTAFTER('13 - Dressers &amp; Chests-WUO_ERR'!A60, ":"))))</f>
        <v/>
      </c>
    </row>
    <row r="61">
      <c r="A61" s="39">
        <f>IF('13 - Dressers &amp; Chests'!B61 = "", "", IF('13 - Dressers &amp; Chests-WUO_ERR'!A61 = "", "Validated", HYPERLINK("#" &amp; ADDRESS(61, '13 - Dressers &amp; Chests-WUO_TRK'!A61),_xlfn.TEXTAFTER('13 - Dressers &amp; Chests-WUO_ERR'!A61, ":"))))</f>
        <v/>
      </c>
    </row>
    <row r="62">
      <c r="A62" s="39">
        <f>IF('13 - Dressers &amp; Chests'!B62 = "", "", IF('13 - Dressers &amp; Chests-WUO_ERR'!A62 = "", "Validated", HYPERLINK("#" &amp; ADDRESS(62, '13 - Dressers &amp; Chests-WUO_TRK'!A62),_xlfn.TEXTAFTER('13 - Dressers &amp; Chests-WUO_ERR'!A62, ":"))))</f>
        <v/>
      </c>
    </row>
    <row r="63">
      <c r="A63" s="39">
        <f>IF('13 - Dressers &amp; Chests'!B63 = "", "", IF('13 - Dressers &amp; Chests-WUO_ERR'!A63 = "", "Validated", HYPERLINK("#" &amp; ADDRESS(63, '13 - Dressers &amp; Chests-WUO_TRK'!A63),_xlfn.TEXTAFTER('13 - Dressers &amp; Chests-WUO_ERR'!A63, ":"))))</f>
        <v/>
      </c>
    </row>
    <row r="64">
      <c r="A64" s="39">
        <f>IF('13 - Dressers &amp; Chests'!B64 = "", "", IF('13 - Dressers &amp; Chests-WUO_ERR'!A64 = "", "Validated", HYPERLINK("#" &amp; ADDRESS(64, '13 - Dressers &amp; Chests-WUO_TRK'!A64),_xlfn.TEXTAFTER('13 - Dressers &amp; Chests-WUO_ERR'!A64, ":"))))</f>
        <v/>
      </c>
    </row>
    <row r="65">
      <c r="A65" s="39">
        <f>IF('13 - Dressers &amp; Chests'!B65 = "", "", IF('13 - Dressers &amp; Chests-WUO_ERR'!A65 = "", "Validated", HYPERLINK("#" &amp; ADDRESS(65, '13 - Dressers &amp; Chests-WUO_TRK'!A65),_xlfn.TEXTAFTER('13 - Dressers &amp; Chests-WUO_ERR'!A65, ":"))))</f>
        <v/>
      </c>
    </row>
    <row r="66">
      <c r="A66" s="39">
        <f>IF('13 - Dressers &amp; Chests'!B66 = "", "", IF('13 - Dressers &amp; Chests-WUO_ERR'!A66 = "", "Validated", HYPERLINK("#" &amp; ADDRESS(66, '13 - Dressers &amp; Chests-WUO_TRK'!A66),_xlfn.TEXTAFTER('13 - Dressers &amp; Chests-WUO_ERR'!A66, ":"))))</f>
        <v/>
      </c>
    </row>
    <row r="67">
      <c r="A67" s="39">
        <f>IF('13 - Dressers &amp; Chests'!B67 = "", "", IF('13 - Dressers &amp; Chests-WUO_ERR'!A67 = "", "Validated", HYPERLINK("#" &amp; ADDRESS(67, '13 - Dressers &amp; Chests-WUO_TRK'!A67),_xlfn.TEXTAFTER('13 - Dressers &amp; Chests-WUO_ERR'!A67, ":"))))</f>
        <v/>
      </c>
    </row>
    <row r="68">
      <c r="A68" s="39">
        <f>IF('13 - Dressers &amp; Chests'!B68 = "", "", IF('13 - Dressers &amp; Chests-WUO_ERR'!A68 = "", "Validated", HYPERLINK("#" &amp; ADDRESS(68, '13 - Dressers &amp; Chests-WUO_TRK'!A68),_xlfn.TEXTAFTER('13 - Dressers &amp; Chests-WUO_ERR'!A68, ":"))))</f>
        <v/>
      </c>
    </row>
    <row r="69">
      <c r="A69" s="39">
        <f>IF('13 - Dressers &amp; Chests'!B69 = "", "", IF('13 - Dressers &amp; Chests-WUO_ERR'!A69 = "", "Validated", HYPERLINK("#" &amp; ADDRESS(69, '13 - Dressers &amp; Chests-WUO_TRK'!A69),_xlfn.TEXTAFTER('13 - Dressers &amp; Chests-WUO_ERR'!A69, ":"))))</f>
        <v/>
      </c>
    </row>
    <row r="70">
      <c r="A70" s="39">
        <f>IF('13 - Dressers &amp; Chests'!B70 = "", "", IF('13 - Dressers &amp; Chests-WUO_ERR'!A70 = "", "Validated", HYPERLINK("#" &amp; ADDRESS(70, '13 - Dressers &amp; Chests-WUO_TRK'!A70),_xlfn.TEXTAFTER('13 - Dressers &amp; Chests-WUO_ERR'!A70, ":"))))</f>
        <v/>
      </c>
    </row>
    <row r="71">
      <c r="A71" s="39">
        <f>IF('13 - Dressers &amp; Chests'!B71 = "", "", IF('13 - Dressers &amp; Chests-WUO_ERR'!A71 = "", "Validated", HYPERLINK("#" &amp; ADDRESS(71, '13 - Dressers &amp; Chests-WUO_TRK'!A71),_xlfn.TEXTAFTER('13 - Dressers &amp; Chests-WUO_ERR'!A71, ":"))))</f>
        <v/>
      </c>
    </row>
    <row r="72">
      <c r="A72" s="39">
        <f>IF('13 - Dressers &amp; Chests'!B72 = "", "", IF('13 - Dressers &amp; Chests-WUO_ERR'!A72 = "", "Validated", HYPERLINK("#" &amp; ADDRESS(72, '13 - Dressers &amp; Chests-WUO_TRK'!A72),_xlfn.TEXTAFTER('13 - Dressers &amp; Chests-WUO_ERR'!A72, ":"))))</f>
        <v/>
      </c>
    </row>
    <row r="73">
      <c r="A73" s="39">
        <f>IF('13 - Dressers &amp; Chests'!B73 = "", "", IF('13 - Dressers &amp; Chests-WUO_ERR'!A73 = "", "Validated", HYPERLINK("#" &amp; ADDRESS(73, '13 - Dressers &amp; Chests-WUO_TRK'!A73),_xlfn.TEXTAFTER('13 - Dressers &amp; Chests-WUO_ERR'!A73, ":"))))</f>
        <v/>
      </c>
    </row>
    <row r="74">
      <c r="A74" s="39">
        <f>IF('13 - Dressers &amp; Chests'!B74 = "", "", IF('13 - Dressers &amp; Chests-WUO_ERR'!A74 = "", "Validated", HYPERLINK("#" &amp; ADDRESS(74, '13 - Dressers &amp; Chests-WUO_TRK'!A74),_xlfn.TEXTAFTER('13 - Dressers &amp; Chests-WUO_ERR'!A74, ":"))))</f>
        <v/>
      </c>
    </row>
    <row r="75">
      <c r="A75" s="39">
        <f>IF('13 - Dressers &amp; Chests'!B75 = "", "", IF('13 - Dressers &amp; Chests-WUO_ERR'!A75 = "", "Validated", HYPERLINK("#" &amp; ADDRESS(75, '13 - Dressers &amp; Chests-WUO_TRK'!A75),_xlfn.TEXTAFTER('13 - Dressers &amp; Chests-WUO_ERR'!A75, ":"))))</f>
        <v/>
      </c>
    </row>
    <row r="76">
      <c r="A76" s="39">
        <f>IF('13 - Dressers &amp; Chests'!B76 = "", "", IF('13 - Dressers &amp; Chests-WUO_ERR'!A76 = "", "Validated", HYPERLINK("#" &amp; ADDRESS(76, '13 - Dressers &amp; Chests-WUO_TRK'!A76),_xlfn.TEXTAFTER('13 - Dressers &amp; Chests-WUO_ERR'!A76, ":"))))</f>
        <v/>
      </c>
    </row>
    <row r="77">
      <c r="A77" s="39">
        <f>IF('13 - Dressers &amp; Chests'!B77 = "", "", IF('13 - Dressers &amp; Chests-WUO_ERR'!A77 = "", "Validated", HYPERLINK("#" &amp; ADDRESS(77, '13 - Dressers &amp; Chests-WUO_TRK'!A77),_xlfn.TEXTAFTER('13 - Dressers &amp; Chests-WUO_ERR'!A77, ":"))))</f>
        <v/>
      </c>
    </row>
    <row r="78">
      <c r="A78" s="39">
        <f>IF('13 - Dressers &amp; Chests'!B78 = "", "", IF('13 - Dressers &amp; Chests-WUO_ERR'!A78 = "", "Validated", HYPERLINK("#" &amp; ADDRESS(78, '13 - Dressers &amp; Chests-WUO_TRK'!A78),_xlfn.TEXTAFTER('13 - Dressers &amp; Chests-WUO_ERR'!A78, ":"))))</f>
        <v/>
      </c>
    </row>
    <row r="79">
      <c r="A79" s="39">
        <f>IF('13 - Dressers &amp; Chests'!B79 = "", "", IF('13 - Dressers &amp; Chests-WUO_ERR'!A79 = "", "Validated", HYPERLINK("#" &amp; ADDRESS(79, '13 - Dressers &amp; Chests-WUO_TRK'!A79),_xlfn.TEXTAFTER('13 - Dressers &amp; Chests-WUO_ERR'!A79, ":"))))</f>
        <v/>
      </c>
    </row>
    <row r="80">
      <c r="A80" s="39">
        <f>IF('13 - Dressers &amp; Chests'!B80 = "", "", IF('13 - Dressers &amp; Chests-WUO_ERR'!A80 = "", "Validated", HYPERLINK("#" &amp; ADDRESS(80, '13 - Dressers &amp; Chests-WUO_TRK'!A80),_xlfn.TEXTAFTER('13 - Dressers &amp; Chests-WUO_ERR'!A80, ":"))))</f>
        <v/>
      </c>
    </row>
    <row r="81">
      <c r="A81" s="39">
        <f>IF('13 - Dressers &amp; Chests'!B81 = "", "", IF('13 - Dressers &amp; Chests-WUO_ERR'!A81 = "", "Validated", HYPERLINK("#" &amp; ADDRESS(81, '13 - Dressers &amp; Chests-WUO_TRK'!A81),_xlfn.TEXTAFTER('13 - Dressers &amp; Chests-WUO_ERR'!A81, ":"))))</f>
        <v/>
      </c>
    </row>
    <row r="82">
      <c r="A82" s="39">
        <f>IF('13 - Dressers &amp; Chests'!B82 = "", "", IF('13 - Dressers &amp; Chests-WUO_ERR'!A82 = "", "Validated", HYPERLINK("#" &amp; ADDRESS(82, '13 - Dressers &amp; Chests-WUO_TRK'!A82),_xlfn.TEXTAFTER('13 - Dressers &amp; Chests-WUO_ERR'!A82, ":"))))</f>
        <v/>
      </c>
    </row>
    <row r="83">
      <c r="A83" s="39">
        <f>IF('13 - Dressers &amp; Chests'!B83 = "", "", IF('13 - Dressers &amp; Chests-WUO_ERR'!A83 = "", "Validated", HYPERLINK("#" &amp; ADDRESS(83, '13 - Dressers &amp; Chests-WUO_TRK'!A83),_xlfn.TEXTAFTER('13 - Dressers &amp; Chests-WUO_ERR'!A83, ":"))))</f>
        <v/>
      </c>
    </row>
    <row r="84">
      <c r="A84" s="39">
        <f>IF('13 - Dressers &amp; Chests'!B84 = "", "", IF('13 - Dressers &amp; Chests-WUO_ERR'!A84 = "", "Validated", HYPERLINK("#" &amp; ADDRESS(84, '13 - Dressers &amp; Chests-WUO_TRK'!A84),_xlfn.TEXTAFTER('13 - Dressers &amp; Chests-WUO_ERR'!A84, ":"))))</f>
        <v/>
      </c>
    </row>
    <row r="85">
      <c r="A85" s="39">
        <f>IF('13 - Dressers &amp; Chests'!B85 = "", "", IF('13 - Dressers &amp; Chests-WUO_ERR'!A85 = "", "Validated", HYPERLINK("#" &amp; ADDRESS(85, '13 - Dressers &amp; Chests-WUO_TRK'!A85),_xlfn.TEXTAFTER('13 - Dressers &amp; Chests-WUO_ERR'!A85, ":"))))</f>
        <v/>
      </c>
    </row>
    <row r="86">
      <c r="A86" s="39">
        <f>IF('13 - Dressers &amp; Chests'!B86 = "", "", IF('13 - Dressers &amp; Chests-WUO_ERR'!A86 = "", "Validated", HYPERLINK("#" &amp; ADDRESS(86, '13 - Dressers &amp; Chests-WUO_TRK'!A86),_xlfn.TEXTAFTER('13 - Dressers &amp; Chests-WUO_ERR'!A86, ":"))))</f>
        <v/>
      </c>
    </row>
    <row r="87">
      <c r="A87" s="39">
        <f>IF('13 - Dressers &amp; Chests'!B87 = "", "", IF('13 - Dressers &amp; Chests-WUO_ERR'!A87 = "", "Validated", HYPERLINK("#" &amp; ADDRESS(87, '13 - Dressers &amp; Chests-WUO_TRK'!A87),_xlfn.TEXTAFTER('13 - Dressers &amp; Chests-WUO_ERR'!A87, ":"))))</f>
        <v/>
      </c>
    </row>
    <row r="88">
      <c r="A88" s="39">
        <f>IF('13 - Dressers &amp; Chests'!B88 = "", "", IF('13 - Dressers &amp; Chests-WUO_ERR'!A88 = "", "Validated", HYPERLINK("#" &amp; ADDRESS(88, '13 - Dressers &amp; Chests-WUO_TRK'!A88),_xlfn.TEXTAFTER('13 - Dressers &amp; Chests-WUO_ERR'!A88, ":"))))</f>
        <v/>
      </c>
    </row>
    <row r="89">
      <c r="A89" s="39">
        <f>IF('13 - Dressers &amp; Chests'!B89 = "", "", IF('13 - Dressers &amp; Chests-WUO_ERR'!A89 = "", "Validated", HYPERLINK("#" &amp; ADDRESS(89, '13 - Dressers &amp; Chests-WUO_TRK'!A89),_xlfn.TEXTAFTER('13 - Dressers &amp; Chests-WUO_ERR'!A89, ":"))))</f>
        <v/>
      </c>
    </row>
    <row r="90">
      <c r="A90" s="39">
        <f>IF('13 - Dressers &amp; Chests'!B90 = "", "", IF('13 - Dressers &amp; Chests-WUO_ERR'!A90 = "", "Validated", HYPERLINK("#" &amp; ADDRESS(90, '13 - Dressers &amp; Chests-WUO_TRK'!A90),_xlfn.TEXTAFTER('13 - Dressers &amp; Chests-WUO_ERR'!A90, ":"))))</f>
        <v/>
      </c>
    </row>
    <row r="91">
      <c r="A91" s="39">
        <f>IF('13 - Dressers &amp; Chests'!B91 = "", "", IF('13 - Dressers &amp; Chests-WUO_ERR'!A91 = "", "Validated", HYPERLINK("#" &amp; ADDRESS(91, '13 - Dressers &amp; Chests-WUO_TRK'!A91),_xlfn.TEXTAFTER('13 - Dressers &amp; Chests-WUO_ERR'!A91, ":"))))</f>
        <v/>
      </c>
    </row>
    <row r="92">
      <c r="A92" s="39">
        <f>IF('13 - Dressers &amp; Chests'!B92 = "", "", IF('13 - Dressers &amp; Chests-WUO_ERR'!A92 = "", "Validated", HYPERLINK("#" &amp; ADDRESS(92, '13 - Dressers &amp; Chests-WUO_TRK'!A92),_xlfn.TEXTAFTER('13 - Dressers &amp; Chests-WUO_ERR'!A92, ":"))))</f>
        <v/>
      </c>
    </row>
    <row r="93">
      <c r="A93" s="39">
        <f>IF('13 - Dressers &amp; Chests'!B93 = "", "", IF('13 - Dressers &amp; Chests-WUO_ERR'!A93 = "", "Validated", HYPERLINK("#" &amp; ADDRESS(93, '13 - Dressers &amp; Chests-WUO_TRK'!A93),_xlfn.TEXTAFTER('13 - Dressers &amp; Chests-WUO_ERR'!A93, ":"))))</f>
        <v/>
      </c>
    </row>
    <row r="94">
      <c r="A94" s="39">
        <f>IF('13 - Dressers &amp; Chests'!B94 = "", "", IF('13 - Dressers &amp; Chests-WUO_ERR'!A94 = "", "Validated", HYPERLINK("#" &amp; ADDRESS(94, '13 - Dressers &amp; Chests-WUO_TRK'!A94),_xlfn.TEXTAFTER('13 - Dressers &amp; Chests-WUO_ERR'!A94, ":"))))</f>
        <v/>
      </c>
    </row>
    <row r="95">
      <c r="A95" s="39">
        <f>IF('13 - Dressers &amp; Chests'!B95 = "", "", IF('13 - Dressers &amp; Chests-WUO_ERR'!A95 = "", "Validated", HYPERLINK("#" &amp; ADDRESS(95, '13 - Dressers &amp; Chests-WUO_TRK'!A95),_xlfn.TEXTAFTER('13 - Dressers &amp; Chests-WUO_ERR'!A95, ":"))))</f>
        <v/>
      </c>
    </row>
    <row r="96">
      <c r="A96" s="39">
        <f>IF('13 - Dressers &amp; Chests'!B96 = "", "", IF('13 - Dressers &amp; Chests-WUO_ERR'!A96 = "", "Validated", HYPERLINK("#" &amp; ADDRESS(96, '13 - Dressers &amp; Chests-WUO_TRK'!A96),_xlfn.TEXTAFTER('13 - Dressers &amp; Chests-WUO_ERR'!A96, ":"))))</f>
        <v/>
      </c>
    </row>
    <row r="97">
      <c r="A97" s="39">
        <f>IF('13 - Dressers &amp; Chests'!B97 = "", "", IF('13 - Dressers &amp; Chests-WUO_ERR'!A97 = "", "Validated", HYPERLINK("#" &amp; ADDRESS(97, '13 - Dressers &amp; Chests-WUO_TRK'!A97),_xlfn.TEXTAFTER('13 - Dressers &amp; Chests-WUO_ERR'!A97, ":"))))</f>
        <v/>
      </c>
    </row>
    <row r="98">
      <c r="A98" s="39">
        <f>IF('13 - Dressers &amp; Chests'!B98 = "", "", IF('13 - Dressers &amp; Chests-WUO_ERR'!A98 = "", "Validated", HYPERLINK("#" &amp; ADDRESS(98, '13 - Dressers &amp; Chests-WUO_TRK'!A98),_xlfn.TEXTAFTER('13 - Dressers &amp; Chests-WUO_ERR'!A98, ":"))))</f>
        <v/>
      </c>
    </row>
    <row r="99">
      <c r="A99" s="39">
        <f>IF('13 - Dressers &amp; Chests'!B99 = "", "", IF('13 - Dressers &amp; Chests-WUO_ERR'!A99 = "", "Validated", HYPERLINK("#" &amp; ADDRESS(99, '13 - Dressers &amp; Chests-WUO_TRK'!A99),_xlfn.TEXTAFTER('13 - Dressers &amp; Chests-WUO_ERR'!A99, ":"))))</f>
        <v/>
      </c>
    </row>
    <row r="100">
      <c r="A100" s="39">
        <f>IF('13 - Dressers &amp; Chests'!B100 = "", "", IF('13 - Dressers &amp; Chests-WUO_ERR'!A100 = "", "Validated", HYPERLINK("#" &amp; ADDRESS(100, '13 - Dressers &amp; Chests-WUO_TRK'!A100),_xlfn.TEXTAFTER('13 - Dressers &amp; Chests-WUO_ERR'!A100, ":"))))</f>
        <v/>
      </c>
    </row>
    <row r="101">
      <c r="A101" s="39">
        <f>IF('13 - Dressers &amp; Chests'!B101 = "", "", IF('13 - Dressers &amp; Chests-WUO_ERR'!A101 = "", "Validated", HYPERLINK("#" &amp; ADDRESS(101, '13 - Dressers &amp; Chests-WUO_TRK'!A101),_xlfn.TEXTAFTER('13 - Dressers &amp; Chests-WUO_ERR'!A101, ":"))))</f>
        <v/>
      </c>
    </row>
    <row r="102">
      <c r="A102" s="39">
        <f>IF('13 - Dressers &amp; Chests'!B102 = "", "", IF('13 - Dressers &amp; Chests-WUO_ERR'!A102 = "", "Validated", HYPERLINK("#" &amp; ADDRESS(102, '13 - Dressers &amp; Chests-WUO_TRK'!A102),_xlfn.TEXTAFTER('13 - Dressers &amp; Chests-WUO_ERR'!A102, ":"))))</f>
        <v/>
      </c>
    </row>
    <row r="103">
      <c r="A103" s="39">
        <f>IF('13 - Dressers &amp; Chests'!B103 = "", "", IF('13 - Dressers &amp; Chests-WUO_ERR'!A103 = "", "Validated", HYPERLINK("#" &amp; ADDRESS(103, '13 - Dressers &amp; Chests-WUO_TRK'!A103),_xlfn.TEXTAFTER('13 - Dressers &amp; Chests-WUO_ERR'!A103, ":"))))</f>
        <v/>
      </c>
    </row>
    <row r="104">
      <c r="A104" s="39">
        <f>IF('13 - Dressers &amp; Chests'!B104 = "", "", IF('13 - Dressers &amp; Chests-WUO_ERR'!A104 = "", "Validated", HYPERLINK("#" &amp; ADDRESS(104, '13 - Dressers &amp; Chests-WUO_TRK'!A104),_xlfn.TEXTAFTER('13 - Dressers &amp; Chests-WUO_ERR'!A104, ":"))))</f>
        <v/>
      </c>
    </row>
    <row r="105">
      <c r="A105" s="39">
        <f>IF('13 - Dressers &amp; Chests'!B105 = "", "", IF('13 - Dressers &amp; Chests-WUO_ERR'!A105 = "", "Validated", HYPERLINK("#" &amp; ADDRESS(105, '13 - Dressers &amp; Chests-WUO_TRK'!A105),_xlfn.TEXTAFTER('13 - Dressers &amp; Chests-WUO_ERR'!A105, ":"))))</f>
        <v/>
      </c>
    </row>
    <row r="106">
      <c r="A106" s="39">
        <f>IF('13 - Dressers &amp; Chests'!B106 = "", "", IF('13 - Dressers &amp; Chests-WUO_ERR'!A106 = "", "Validated", HYPERLINK("#" &amp; ADDRESS(106, '13 - Dressers &amp; Chests-WUO_TRK'!A106),_xlfn.TEXTAFTER('13 - Dressers &amp; Chests-WUO_ERR'!A106, ":"))))</f>
        <v/>
      </c>
    </row>
    <row r="107">
      <c r="A107" s="39">
        <f>IF('13 - Dressers &amp; Chests'!B107 = "", "", IF('13 - Dressers &amp; Chests-WUO_ERR'!A107 = "", "Validated", HYPERLINK("#" &amp; ADDRESS(107, '13 - Dressers &amp; Chests-WUO_TRK'!A107),_xlfn.TEXTAFTER('13 - Dressers &amp; Chests-WUO_ERR'!A107, ":"))))</f>
        <v/>
      </c>
    </row>
    <row r="108">
      <c r="A108" s="39">
        <f>IF('13 - Dressers &amp; Chests'!B108 = "", "", IF('13 - Dressers &amp; Chests-WUO_ERR'!A108 = "", "Validated", HYPERLINK("#" &amp; ADDRESS(108, '13 - Dressers &amp; Chests-WUO_TRK'!A108),_xlfn.TEXTAFTER('13 - Dressers &amp; Chests-WUO_ERR'!A108, ":"))))</f>
        <v/>
      </c>
    </row>
    <row r="109">
      <c r="A109" s="39">
        <f>IF('13 - Dressers &amp; Chests'!B109 = "", "", IF('13 - Dressers &amp; Chests-WUO_ERR'!A109 = "", "Validated", HYPERLINK("#" &amp; ADDRESS(109, '13 - Dressers &amp; Chests-WUO_TRK'!A109),_xlfn.TEXTAFTER('13 - Dressers &amp; Chests-WUO_ERR'!A109, ":"))))</f>
        <v/>
      </c>
    </row>
    <row r="110">
      <c r="A110" s="39">
        <f>IF('13 - Dressers &amp; Chests'!B110 = "", "", IF('13 - Dressers &amp; Chests-WUO_ERR'!A110 = "", "Validated", HYPERLINK("#" &amp; ADDRESS(110, '13 - Dressers &amp; Chests-WUO_TRK'!A110),_xlfn.TEXTAFTER('13 - Dressers &amp; Chests-WUO_ERR'!A110, ":"))))</f>
        <v/>
      </c>
    </row>
    <row r="111">
      <c r="A111" s="39">
        <f>IF('13 - Dressers &amp; Chests'!B111 = "", "", IF('13 - Dressers &amp; Chests-WUO_ERR'!A111 = "", "Validated", HYPERLINK("#" &amp; ADDRESS(111, '13 - Dressers &amp; Chests-WUO_TRK'!A111),_xlfn.TEXTAFTER('13 - Dressers &amp; Chests-WUO_ERR'!A111, ":"))))</f>
        <v/>
      </c>
    </row>
    <row r="112">
      <c r="A112" s="39">
        <f>IF('13 - Dressers &amp; Chests'!B112 = "", "", IF('13 - Dressers &amp; Chests-WUO_ERR'!A112 = "", "Validated", HYPERLINK("#" &amp; ADDRESS(112, '13 - Dressers &amp; Chests-WUO_TRK'!A112),_xlfn.TEXTAFTER('13 - Dressers &amp; Chests-WUO_ERR'!A112, ":"))))</f>
        <v/>
      </c>
    </row>
    <row r="113">
      <c r="A113" s="39">
        <f>IF('13 - Dressers &amp; Chests'!B113 = "", "", IF('13 - Dressers &amp; Chests-WUO_ERR'!A113 = "", "Validated", HYPERLINK("#" &amp; ADDRESS(113, '13 - Dressers &amp; Chests-WUO_TRK'!A113),_xlfn.TEXTAFTER('13 - Dressers &amp; Chests-WUO_ERR'!A113, ":"))))</f>
        <v/>
      </c>
    </row>
    <row r="114">
      <c r="A114" s="39">
        <f>IF('13 - Dressers &amp; Chests'!B114 = "", "", IF('13 - Dressers &amp; Chests-WUO_ERR'!A114 = "", "Validated", HYPERLINK("#" &amp; ADDRESS(114, '13 - Dressers &amp; Chests-WUO_TRK'!A114),_xlfn.TEXTAFTER('13 - Dressers &amp; Chests-WUO_ERR'!A114, ":"))))</f>
        <v/>
      </c>
    </row>
    <row r="115">
      <c r="A115" s="39">
        <f>IF('13 - Dressers &amp; Chests'!B115 = "", "", IF('13 - Dressers &amp; Chests-WUO_ERR'!A115 = "", "Validated", HYPERLINK("#" &amp; ADDRESS(115, '13 - Dressers &amp; Chests-WUO_TRK'!A115),_xlfn.TEXTAFTER('13 - Dressers &amp; Chests-WUO_ERR'!A115, ":"))))</f>
        <v/>
      </c>
    </row>
    <row r="116">
      <c r="A116" s="39">
        <f>IF('13 - Dressers &amp; Chests'!B116 = "", "", IF('13 - Dressers &amp; Chests-WUO_ERR'!A116 = "", "Validated", HYPERLINK("#" &amp; ADDRESS(116, '13 - Dressers &amp; Chests-WUO_TRK'!A116),_xlfn.TEXTAFTER('13 - Dressers &amp; Chests-WUO_ERR'!A116, ":"))))</f>
        <v/>
      </c>
    </row>
    <row r="117">
      <c r="A117" s="39">
        <f>IF('13 - Dressers &amp; Chests'!B117 = "", "", IF('13 - Dressers &amp; Chests-WUO_ERR'!A117 = "", "Validated", HYPERLINK("#" &amp; ADDRESS(117, '13 - Dressers &amp; Chests-WUO_TRK'!A117),_xlfn.TEXTAFTER('13 - Dressers &amp; Chests-WUO_ERR'!A117, ":"))))</f>
        <v/>
      </c>
    </row>
    <row r="118">
      <c r="A118" s="39">
        <f>IF('13 - Dressers &amp; Chests'!B118 = "", "", IF('13 - Dressers &amp; Chests-WUO_ERR'!A118 = "", "Validated", HYPERLINK("#" &amp; ADDRESS(118, '13 - Dressers &amp; Chests-WUO_TRK'!A118),_xlfn.TEXTAFTER('13 - Dressers &amp; Chests-WUO_ERR'!A118, ":"))))</f>
        <v/>
      </c>
    </row>
    <row r="119">
      <c r="A119" s="39">
        <f>IF('13 - Dressers &amp; Chests'!B119 = "", "", IF('13 - Dressers &amp; Chests-WUO_ERR'!A119 = "", "Validated", HYPERLINK("#" &amp; ADDRESS(119, '13 - Dressers &amp; Chests-WUO_TRK'!A119),_xlfn.TEXTAFTER('13 - Dressers &amp; Chests-WUO_ERR'!A119, ":"))))</f>
        <v/>
      </c>
    </row>
    <row r="120">
      <c r="A120" s="39">
        <f>IF('13 - Dressers &amp; Chests'!B120 = "", "", IF('13 - Dressers &amp; Chests-WUO_ERR'!A120 = "", "Validated", HYPERLINK("#" &amp; ADDRESS(120, '13 - Dressers &amp; Chests-WUO_TRK'!A120),_xlfn.TEXTAFTER('13 - Dressers &amp; Chests-WUO_ERR'!A120, ":"))))</f>
        <v/>
      </c>
    </row>
    <row r="121">
      <c r="A121" s="39">
        <f>IF('13 - Dressers &amp; Chests'!B121 = "", "", IF('13 - Dressers &amp; Chests-WUO_ERR'!A121 = "", "Validated", HYPERLINK("#" &amp; ADDRESS(121, '13 - Dressers &amp; Chests-WUO_TRK'!A121),_xlfn.TEXTAFTER('13 - Dressers &amp; Chests-WUO_ERR'!A121, ":"))))</f>
        <v/>
      </c>
    </row>
    <row r="122">
      <c r="A122" s="39">
        <f>IF('13 - Dressers &amp; Chests'!B122 = "", "", IF('13 - Dressers &amp; Chests-WUO_ERR'!A122 = "", "Validated", HYPERLINK("#" &amp; ADDRESS(122, '13 - Dressers &amp; Chests-WUO_TRK'!A122),_xlfn.TEXTAFTER('13 - Dressers &amp; Chests-WUO_ERR'!A122, ":"))))</f>
        <v/>
      </c>
    </row>
    <row r="123">
      <c r="A123" s="39">
        <f>IF('13 - Dressers &amp; Chests'!B123 = "", "", IF('13 - Dressers &amp; Chests-WUO_ERR'!A123 = "", "Validated", HYPERLINK("#" &amp; ADDRESS(123, '13 - Dressers &amp; Chests-WUO_TRK'!A123),_xlfn.TEXTAFTER('13 - Dressers &amp; Chests-WUO_ERR'!A123, ":"))))</f>
        <v/>
      </c>
    </row>
    <row r="124">
      <c r="A124" s="39">
        <f>IF('13 - Dressers &amp; Chests'!B124 = "", "", IF('13 - Dressers &amp; Chests-WUO_ERR'!A124 = "", "Validated", HYPERLINK("#" &amp; ADDRESS(124, '13 - Dressers &amp; Chests-WUO_TRK'!A124),_xlfn.TEXTAFTER('13 - Dressers &amp; Chests-WUO_ERR'!A124, ":"))))</f>
        <v/>
      </c>
    </row>
    <row r="125">
      <c r="A125" s="39">
        <f>IF('13 - Dressers &amp; Chests'!B125 = "", "", IF('13 - Dressers &amp; Chests-WUO_ERR'!A125 = "", "Validated", HYPERLINK("#" &amp; ADDRESS(125, '13 - Dressers &amp; Chests-WUO_TRK'!A125),_xlfn.TEXTAFTER('13 - Dressers &amp; Chests-WUO_ERR'!A125, ":"))))</f>
        <v/>
      </c>
    </row>
    <row r="126">
      <c r="A126" s="39">
        <f>IF('13 - Dressers &amp; Chests'!B126 = "", "", IF('13 - Dressers &amp; Chests-WUO_ERR'!A126 = "", "Validated", HYPERLINK("#" &amp; ADDRESS(126, '13 - Dressers &amp; Chests-WUO_TRK'!A126),_xlfn.TEXTAFTER('13 - Dressers &amp; Chests-WUO_ERR'!A126, ":"))))</f>
        <v/>
      </c>
    </row>
    <row r="127">
      <c r="A127" s="39">
        <f>IF('13 - Dressers &amp; Chests'!B127 = "", "", IF('13 - Dressers &amp; Chests-WUO_ERR'!A127 = "", "Validated", HYPERLINK("#" &amp; ADDRESS(127, '13 - Dressers &amp; Chests-WUO_TRK'!A127),_xlfn.TEXTAFTER('13 - Dressers &amp; Chests-WUO_ERR'!A127, ":"))))</f>
        <v/>
      </c>
    </row>
    <row r="128">
      <c r="A128" s="39">
        <f>IF('13 - Dressers &amp; Chests'!B128 = "", "", IF('13 - Dressers &amp; Chests-WUO_ERR'!A128 = "", "Validated", HYPERLINK("#" &amp; ADDRESS(128, '13 - Dressers &amp; Chests-WUO_TRK'!A128),_xlfn.TEXTAFTER('13 - Dressers &amp; Chests-WUO_ERR'!A128, ":"))))</f>
        <v/>
      </c>
    </row>
    <row r="129">
      <c r="A129" s="39">
        <f>IF('13 - Dressers &amp; Chests'!B129 = "", "", IF('13 - Dressers &amp; Chests-WUO_ERR'!A129 = "", "Validated", HYPERLINK("#" &amp; ADDRESS(129, '13 - Dressers &amp; Chests-WUO_TRK'!A129),_xlfn.TEXTAFTER('13 - Dressers &amp; Chests-WUO_ERR'!A129, ":"))))</f>
        <v/>
      </c>
    </row>
    <row r="130">
      <c r="A130" s="39">
        <f>IF('13 - Dressers &amp; Chests'!B130 = "", "", IF('13 - Dressers &amp; Chests-WUO_ERR'!A130 = "", "Validated", HYPERLINK("#" &amp; ADDRESS(130, '13 - Dressers &amp; Chests-WUO_TRK'!A130),_xlfn.TEXTAFTER('13 - Dressers &amp; Chests-WUO_ERR'!A130, ":"))))</f>
        <v/>
      </c>
    </row>
    <row r="131">
      <c r="A131" s="39">
        <f>IF('13 - Dressers &amp; Chests'!B131 = "", "", IF('13 - Dressers &amp; Chests-WUO_ERR'!A131 = "", "Validated", HYPERLINK("#" &amp; ADDRESS(131, '13 - Dressers &amp; Chests-WUO_TRK'!A131),_xlfn.TEXTAFTER('13 - Dressers &amp; Chests-WUO_ERR'!A131, ":"))))</f>
        <v/>
      </c>
    </row>
    <row r="132">
      <c r="A132" s="39">
        <f>IF('13 - Dressers &amp; Chests'!B132 = "", "", IF('13 - Dressers &amp; Chests-WUO_ERR'!A132 = "", "Validated", HYPERLINK("#" &amp; ADDRESS(132, '13 - Dressers &amp; Chests-WUO_TRK'!A132),_xlfn.TEXTAFTER('13 - Dressers &amp; Chests-WUO_ERR'!A132, ":"))))</f>
        <v/>
      </c>
    </row>
    <row r="133">
      <c r="A133" s="39">
        <f>IF('13 - Dressers &amp; Chests'!B133 = "", "", IF('13 - Dressers &amp; Chests-WUO_ERR'!A133 = "", "Validated", HYPERLINK("#" &amp; ADDRESS(133, '13 - Dressers &amp; Chests-WUO_TRK'!A133),_xlfn.TEXTAFTER('13 - Dressers &amp; Chests-WUO_ERR'!A133, ":"))))</f>
        <v/>
      </c>
    </row>
    <row r="134">
      <c r="A134" s="39">
        <f>IF('13 - Dressers &amp; Chests'!B134 = "", "", IF('13 - Dressers &amp; Chests-WUO_ERR'!A134 = "", "Validated", HYPERLINK("#" &amp; ADDRESS(134, '13 - Dressers &amp; Chests-WUO_TRK'!A134),_xlfn.TEXTAFTER('13 - Dressers &amp; Chests-WUO_ERR'!A134, ":"))))</f>
        <v/>
      </c>
    </row>
    <row r="135">
      <c r="A135" s="39">
        <f>IF('13 - Dressers &amp; Chests'!B135 = "", "", IF('13 - Dressers &amp; Chests-WUO_ERR'!A135 = "", "Validated", HYPERLINK("#" &amp; ADDRESS(135, '13 - Dressers &amp; Chests-WUO_TRK'!A135),_xlfn.TEXTAFTER('13 - Dressers &amp; Chests-WUO_ERR'!A135, ":"))))</f>
        <v/>
      </c>
    </row>
    <row r="136">
      <c r="A136" s="39">
        <f>IF('13 - Dressers &amp; Chests'!B136 = "", "", IF('13 - Dressers &amp; Chests-WUO_ERR'!A136 = "", "Validated", HYPERLINK("#" &amp; ADDRESS(136, '13 - Dressers &amp; Chests-WUO_TRK'!A136),_xlfn.TEXTAFTER('13 - Dressers &amp; Chests-WUO_ERR'!A136, ":"))))</f>
        <v/>
      </c>
    </row>
    <row r="137">
      <c r="A137" s="39">
        <f>IF('13 - Dressers &amp; Chests'!B137 = "", "", IF('13 - Dressers &amp; Chests-WUO_ERR'!A137 = "", "Validated", HYPERLINK("#" &amp; ADDRESS(137, '13 - Dressers &amp; Chests-WUO_TRK'!A137),_xlfn.TEXTAFTER('13 - Dressers &amp; Chests-WUO_ERR'!A137, ":"))))</f>
        <v/>
      </c>
    </row>
    <row r="138">
      <c r="A138" s="39">
        <f>IF('13 - Dressers &amp; Chests'!B138 = "", "", IF('13 - Dressers &amp; Chests-WUO_ERR'!A138 = "", "Validated", HYPERLINK("#" &amp; ADDRESS(138, '13 - Dressers &amp; Chests-WUO_TRK'!A138),_xlfn.TEXTAFTER('13 - Dressers &amp; Chests-WUO_ERR'!A138, ":"))))</f>
        <v/>
      </c>
    </row>
    <row r="139">
      <c r="A139" s="39">
        <f>IF('13 - Dressers &amp; Chests'!B139 = "", "", IF('13 - Dressers &amp; Chests-WUO_ERR'!A139 = "", "Validated", HYPERLINK("#" &amp; ADDRESS(139, '13 - Dressers &amp; Chests-WUO_TRK'!A139),_xlfn.TEXTAFTER('13 - Dressers &amp; Chests-WUO_ERR'!A139, ":"))))</f>
        <v/>
      </c>
    </row>
    <row r="140">
      <c r="A140" s="39">
        <f>IF('13 - Dressers &amp; Chests'!B140 = "", "", IF('13 - Dressers &amp; Chests-WUO_ERR'!A140 = "", "Validated", HYPERLINK("#" &amp; ADDRESS(140, '13 - Dressers &amp; Chests-WUO_TRK'!A140),_xlfn.TEXTAFTER('13 - Dressers &amp; Chests-WUO_ERR'!A140, ":"))))</f>
        <v/>
      </c>
    </row>
    <row r="141">
      <c r="A141" s="39">
        <f>IF('13 - Dressers &amp; Chests'!B141 = "", "", IF('13 - Dressers &amp; Chests-WUO_ERR'!A141 = "", "Validated", HYPERLINK("#" &amp; ADDRESS(141, '13 - Dressers &amp; Chests-WUO_TRK'!A141),_xlfn.TEXTAFTER('13 - Dressers &amp; Chests-WUO_ERR'!A141, ":"))))</f>
        <v/>
      </c>
    </row>
    <row r="142">
      <c r="A142" s="39">
        <f>IF('13 - Dressers &amp; Chests'!B142 = "", "", IF('13 - Dressers &amp; Chests-WUO_ERR'!A142 = "", "Validated", HYPERLINK("#" &amp; ADDRESS(142, '13 - Dressers &amp; Chests-WUO_TRK'!A142),_xlfn.TEXTAFTER('13 - Dressers &amp; Chests-WUO_ERR'!A142, ":"))))</f>
        <v/>
      </c>
    </row>
    <row r="143">
      <c r="A143" s="39">
        <f>IF('13 - Dressers &amp; Chests'!B143 = "", "", IF('13 - Dressers &amp; Chests-WUO_ERR'!A143 = "", "Validated", HYPERLINK("#" &amp; ADDRESS(143, '13 - Dressers &amp; Chests-WUO_TRK'!A143),_xlfn.TEXTAFTER('13 - Dressers &amp; Chests-WUO_ERR'!A143, ":"))))</f>
        <v/>
      </c>
    </row>
    <row r="144">
      <c r="A144" s="39">
        <f>IF('13 - Dressers &amp; Chests'!B144 = "", "", IF('13 - Dressers &amp; Chests-WUO_ERR'!A144 = "", "Validated", HYPERLINK("#" &amp; ADDRESS(144, '13 - Dressers &amp; Chests-WUO_TRK'!A144),_xlfn.TEXTAFTER('13 - Dressers &amp; Chests-WUO_ERR'!A144, ":"))))</f>
        <v/>
      </c>
    </row>
    <row r="145">
      <c r="A145" s="39">
        <f>IF('13 - Dressers &amp; Chests'!B145 = "", "", IF('13 - Dressers &amp; Chests-WUO_ERR'!A145 = "", "Validated", HYPERLINK("#" &amp; ADDRESS(145, '13 - Dressers &amp; Chests-WUO_TRK'!A145),_xlfn.TEXTAFTER('13 - Dressers &amp; Chests-WUO_ERR'!A145, ":"))))</f>
        <v/>
      </c>
    </row>
    <row r="146">
      <c r="A146" s="39">
        <f>IF('13 - Dressers &amp; Chests'!B146 = "", "", IF('13 - Dressers &amp; Chests-WUO_ERR'!A146 = "", "Validated", HYPERLINK("#" &amp; ADDRESS(146, '13 - Dressers &amp; Chests-WUO_TRK'!A146),_xlfn.TEXTAFTER('13 - Dressers &amp; Chests-WUO_ERR'!A146, ":"))))</f>
        <v/>
      </c>
    </row>
    <row r="147">
      <c r="A147" s="39">
        <f>IF('13 - Dressers &amp; Chests'!B147 = "", "", IF('13 - Dressers &amp; Chests-WUO_ERR'!A147 = "", "Validated", HYPERLINK("#" &amp; ADDRESS(147, '13 - Dressers &amp; Chests-WUO_TRK'!A147),_xlfn.TEXTAFTER('13 - Dressers &amp; Chests-WUO_ERR'!A147, ":"))))</f>
        <v/>
      </c>
    </row>
    <row r="148">
      <c r="A148" s="39">
        <f>IF('13 - Dressers &amp; Chests'!B148 = "", "", IF('13 - Dressers &amp; Chests-WUO_ERR'!A148 = "", "Validated", HYPERLINK("#" &amp; ADDRESS(148, '13 - Dressers &amp; Chests-WUO_TRK'!A148),_xlfn.TEXTAFTER('13 - Dressers &amp; Chests-WUO_ERR'!A148, ":"))))</f>
        <v/>
      </c>
    </row>
    <row r="149">
      <c r="A149" s="39">
        <f>IF('13 - Dressers &amp; Chests'!B149 = "", "", IF('13 - Dressers &amp; Chests-WUO_ERR'!A149 = "", "Validated", HYPERLINK("#" &amp; ADDRESS(149, '13 - Dressers &amp; Chests-WUO_TRK'!A149),_xlfn.TEXTAFTER('13 - Dressers &amp; Chests-WUO_ERR'!A149, ":"))))</f>
        <v/>
      </c>
    </row>
    <row r="150">
      <c r="A150" s="39">
        <f>IF('13 - Dressers &amp; Chests'!B150 = "", "", IF('13 - Dressers &amp; Chests-WUO_ERR'!A150 = "", "Validated", HYPERLINK("#" &amp; ADDRESS(150, '13 - Dressers &amp; Chests-WUO_TRK'!A150),_xlfn.TEXTAFTER('13 - Dressers &amp; Chests-WUO_ERR'!A150, ":"))))</f>
        <v/>
      </c>
    </row>
    <row r="151">
      <c r="A151" s="39">
        <f>IF('13 - Dressers &amp; Chests'!B151 = "", "", IF('13 - Dressers &amp; Chests-WUO_ERR'!A151 = "", "Validated", HYPERLINK("#" &amp; ADDRESS(151, '13 - Dressers &amp; Chests-WUO_TRK'!A151),_xlfn.TEXTAFTER('13 - Dressers &amp; Chests-WUO_ERR'!A151, ":"))))</f>
        <v/>
      </c>
    </row>
    <row r="152">
      <c r="A152" s="39">
        <f>IF('13 - Dressers &amp; Chests'!B152 = "", "", IF('13 - Dressers &amp; Chests-WUO_ERR'!A152 = "", "Validated", HYPERLINK("#" &amp; ADDRESS(152, '13 - Dressers &amp; Chests-WUO_TRK'!A152),_xlfn.TEXTAFTER('13 - Dressers &amp; Chests-WUO_ERR'!A152, ":"))))</f>
        <v/>
      </c>
    </row>
    <row r="153">
      <c r="A153" s="39">
        <f>IF('13 - Dressers &amp; Chests'!B153 = "", "", IF('13 - Dressers &amp; Chests-WUO_ERR'!A153 = "", "Validated", HYPERLINK("#" &amp; ADDRESS(153, '13 - Dressers &amp; Chests-WUO_TRK'!A153),_xlfn.TEXTAFTER('13 - Dressers &amp; Chests-WUO_ERR'!A153, ":"))))</f>
        <v/>
      </c>
    </row>
    <row r="154">
      <c r="A154" s="39">
        <f>IF('13 - Dressers &amp; Chests'!B154 = "", "", IF('13 - Dressers &amp; Chests-WUO_ERR'!A154 = "", "Validated", HYPERLINK("#" &amp; ADDRESS(154, '13 - Dressers &amp; Chests-WUO_TRK'!A154),_xlfn.TEXTAFTER('13 - Dressers &amp; Chests-WUO_ERR'!A154, ":"))))</f>
        <v/>
      </c>
    </row>
    <row r="155">
      <c r="A155" s="39">
        <f>IF('13 - Dressers &amp; Chests'!B155 = "", "", IF('13 - Dressers &amp; Chests-WUO_ERR'!A155 = "", "Validated", HYPERLINK("#" &amp; ADDRESS(155, '13 - Dressers &amp; Chests-WUO_TRK'!A155),_xlfn.TEXTAFTER('13 - Dressers &amp; Chests-WUO_ERR'!A155, ":"))))</f>
        <v/>
      </c>
    </row>
    <row r="156">
      <c r="A156" s="39">
        <f>IF('13 - Dressers &amp; Chests'!B156 = "", "", IF('13 - Dressers &amp; Chests-WUO_ERR'!A156 = "", "Validated", HYPERLINK("#" &amp; ADDRESS(156, '13 - Dressers &amp; Chests-WUO_TRK'!A156),_xlfn.TEXTAFTER('13 - Dressers &amp; Chests-WUO_ERR'!A156, ":"))))</f>
        <v/>
      </c>
    </row>
    <row r="157">
      <c r="A157" s="39">
        <f>IF('13 - Dressers &amp; Chests'!B157 = "", "", IF('13 - Dressers &amp; Chests-WUO_ERR'!A157 = "", "Validated", HYPERLINK("#" &amp; ADDRESS(157, '13 - Dressers &amp; Chests-WUO_TRK'!A157),_xlfn.TEXTAFTER('13 - Dressers &amp; Chests-WUO_ERR'!A157, ":"))))</f>
        <v/>
      </c>
    </row>
    <row r="158">
      <c r="A158" s="39">
        <f>IF('13 - Dressers &amp; Chests'!B158 = "", "", IF('13 - Dressers &amp; Chests-WUO_ERR'!A158 = "", "Validated", HYPERLINK("#" &amp; ADDRESS(158, '13 - Dressers &amp; Chests-WUO_TRK'!A158),_xlfn.TEXTAFTER('13 - Dressers &amp; Chests-WUO_ERR'!A158, ":"))))</f>
        <v/>
      </c>
    </row>
    <row r="159">
      <c r="A159" s="39">
        <f>IF('13 - Dressers &amp; Chests'!B159 = "", "", IF('13 - Dressers &amp; Chests-WUO_ERR'!A159 = "", "Validated", HYPERLINK("#" &amp; ADDRESS(159, '13 - Dressers &amp; Chests-WUO_TRK'!A159),_xlfn.TEXTAFTER('13 - Dressers &amp; Chests-WUO_ERR'!A159, ":"))))</f>
        <v/>
      </c>
    </row>
    <row r="160">
      <c r="A160" s="39">
        <f>IF('13 - Dressers &amp; Chests'!B160 = "", "", IF('13 - Dressers &amp; Chests-WUO_ERR'!A160 = "", "Validated", HYPERLINK("#" &amp; ADDRESS(160, '13 - Dressers &amp; Chests-WUO_TRK'!A160),_xlfn.TEXTAFTER('13 - Dressers &amp; Chests-WUO_ERR'!A160, ":"))))</f>
        <v/>
      </c>
    </row>
    <row r="161">
      <c r="A161" s="39">
        <f>IF('13 - Dressers &amp; Chests'!B161 = "", "", IF('13 - Dressers &amp; Chests-WUO_ERR'!A161 = "", "Validated", HYPERLINK("#" &amp; ADDRESS(161, '13 - Dressers &amp; Chests-WUO_TRK'!A161),_xlfn.TEXTAFTER('13 - Dressers &amp; Chests-WUO_ERR'!A161, ":"))))</f>
        <v/>
      </c>
    </row>
    <row r="162">
      <c r="A162" s="39">
        <f>IF('13 - Dressers &amp; Chests'!B162 = "", "", IF('13 - Dressers &amp; Chests-WUO_ERR'!A162 = "", "Validated", HYPERLINK("#" &amp; ADDRESS(162, '13 - Dressers &amp; Chests-WUO_TRK'!A162),_xlfn.TEXTAFTER('13 - Dressers &amp; Chests-WUO_ERR'!A162, ":"))))</f>
        <v/>
      </c>
    </row>
    <row r="163">
      <c r="A163" s="39">
        <f>IF('13 - Dressers &amp; Chests'!B163 = "", "", IF('13 - Dressers &amp; Chests-WUO_ERR'!A163 = "", "Validated", HYPERLINK("#" &amp; ADDRESS(163, '13 - Dressers &amp; Chests-WUO_TRK'!A163),_xlfn.TEXTAFTER('13 - Dressers &amp; Chests-WUO_ERR'!A163, ":"))))</f>
        <v/>
      </c>
    </row>
    <row r="164">
      <c r="A164" s="39">
        <f>IF('13 - Dressers &amp; Chests'!B164 = "", "", IF('13 - Dressers &amp; Chests-WUO_ERR'!A164 = "", "Validated", HYPERLINK("#" &amp; ADDRESS(164, '13 - Dressers &amp; Chests-WUO_TRK'!A164),_xlfn.TEXTAFTER('13 - Dressers &amp; Chests-WUO_ERR'!A164, ":"))))</f>
        <v/>
      </c>
    </row>
    <row r="165">
      <c r="A165" s="39">
        <f>IF('13 - Dressers &amp; Chests'!B165 = "", "", IF('13 - Dressers &amp; Chests-WUO_ERR'!A165 = "", "Validated", HYPERLINK("#" &amp; ADDRESS(165, '13 - Dressers &amp; Chests-WUO_TRK'!A165),_xlfn.TEXTAFTER('13 - Dressers &amp; Chests-WUO_ERR'!A165, ":"))))</f>
        <v/>
      </c>
    </row>
    <row r="166">
      <c r="A166" s="39">
        <f>IF('13 - Dressers &amp; Chests'!B166 = "", "", IF('13 - Dressers &amp; Chests-WUO_ERR'!A166 = "", "Validated", HYPERLINK("#" &amp; ADDRESS(166, '13 - Dressers &amp; Chests-WUO_TRK'!A166),_xlfn.TEXTAFTER('13 - Dressers &amp; Chests-WUO_ERR'!A166, ":"))))</f>
        <v/>
      </c>
    </row>
    <row r="167">
      <c r="A167" s="39">
        <f>IF('13 - Dressers &amp; Chests'!B167 = "", "", IF('13 - Dressers &amp; Chests-WUO_ERR'!A167 = "", "Validated", HYPERLINK("#" &amp; ADDRESS(167, '13 - Dressers &amp; Chests-WUO_TRK'!A167),_xlfn.TEXTAFTER('13 - Dressers &amp; Chests-WUO_ERR'!A167, ":"))))</f>
        <v/>
      </c>
    </row>
    <row r="168">
      <c r="A168" s="39">
        <f>IF('13 - Dressers &amp; Chests'!B168 = "", "", IF('13 - Dressers &amp; Chests-WUO_ERR'!A168 = "", "Validated", HYPERLINK("#" &amp; ADDRESS(168, '13 - Dressers &amp; Chests-WUO_TRK'!A168),_xlfn.TEXTAFTER('13 - Dressers &amp; Chests-WUO_ERR'!A168, ":"))))</f>
        <v/>
      </c>
    </row>
    <row r="169">
      <c r="A169" s="39">
        <f>IF('13 - Dressers &amp; Chests'!B169 = "", "", IF('13 - Dressers &amp; Chests-WUO_ERR'!A169 = "", "Validated", HYPERLINK("#" &amp; ADDRESS(169, '13 - Dressers &amp; Chests-WUO_TRK'!A169),_xlfn.TEXTAFTER('13 - Dressers &amp; Chests-WUO_ERR'!A169, ":"))))</f>
        <v/>
      </c>
    </row>
    <row r="170">
      <c r="A170" s="39">
        <f>IF('13 - Dressers &amp; Chests'!B170 = "", "", IF('13 - Dressers &amp; Chests-WUO_ERR'!A170 = "", "Validated", HYPERLINK("#" &amp; ADDRESS(170, '13 - Dressers &amp; Chests-WUO_TRK'!A170),_xlfn.TEXTAFTER('13 - Dressers &amp; Chests-WUO_ERR'!A170, ":"))))</f>
        <v/>
      </c>
    </row>
    <row r="171">
      <c r="A171" s="39">
        <f>IF('13 - Dressers &amp; Chests'!B171 = "", "", IF('13 - Dressers &amp; Chests-WUO_ERR'!A171 = "", "Validated", HYPERLINK("#" &amp; ADDRESS(171, '13 - Dressers &amp; Chests-WUO_TRK'!A171),_xlfn.TEXTAFTER('13 - Dressers &amp; Chests-WUO_ERR'!A171, ":"))))</f>
        <v/>
      </c>
    </row>
    <row r="172">
      <c r="A172" s="39">
        <f>IF('13 - Dressers &amp; Chests'!B172 = "", "", IF('13 - Dressers &amp; Chests-WUO_ERR'!A172 = "", "Validated", HYPERLINK("#" &amp; ADDRESS(172, '13 - Dressers &amp; Chests-WUO_TRK'!A172),_xlfn.TEXTAFTER('13 - Dressers &amp; Chests-WUO_ERR'!A172, ":"))))</f>
        <v/>
      </c>
    </row>
    <row r="173">
      <c r="A173" s="39">
        <f>IF('13 - Dressers &amp; Chests'!B173 = "", "", IF('13 - Dressers &amp; Chests-WUO_ERR'!A173 = "", "Validated", HYPERLINK("#" &amp; ADDRESS(173, '13 - Dressers &amp; Chests-WUO_TRK'!A173),_xlfn.TEXTAFTER('13 - Dressers &amp; Chests-WUO_ERR'!A173, ":"))))</f>
        <v/>
      </c>
    </row>
    <row r="174">
      <c r="A174" s="39">
        <f>IF('13 - Dressers &amp; Chests'!B174 = "", "", IF('13 - Dressers &amp; Chests-WUO_ERR'!A174 = "", "Validated", HYPERLINK("#" &amp; ADDRESS(174, '13 - Dressers &amp; Chests-WUO_TRK'!A174),_xlfn.TEXTAFTER('13 - Dressers &amp; Chests-WUO_ERR'!A174, ":"))))</f>
        <v/>
      </c>
    </row>
    <row r="175">
      <c r="A175" s="39">
        <f>IF('13 - Dressers &amp; Chests'!B175 = "", "", IF('13 - Dressers &amp; Chests-WUO_ERR'!A175 = "", "Validated", HYPERLINK("#" &amp; ADDRESS(175, '13 - Dressers &amp; Chests-WUO_TRK'!A175),_xlfn.TEXTAFTER('13 - Dressers &amp; Chests-WUO_ERR'!A175, ":"))))</f>
        <v/>
      </c>
    </row>
    <row r="176">
      <c r="A176" s="39">
        <f>IF('13 - Dressers &amp; Chests'!B176 = "", "", IF('13 - Dressers &amp; Chests-WUO_ERR'!A176 = "", "Validated", HYPERLINK("#" &amp; ADDRESS(176, '13 - Dressers &amp; Chests-WUO_TRK'!A176),_xlfn.TEXTAFTER('13 - Dressers &amp; Chests-WUO_ERR'!A176, ":"))))</f>
        <v/>
      </c>
    </row>
    <row r="177">
      <c r="A177" s="39">
        <f>IF('13 - Dressers &amp; Chests'!B177 = "", "", IF('13 - Dressers &amp; Chests-WUO_ERR'!A177 = "", "Validated", HYPERLINK("#" &amp; ADDRESS(177, '13 - Dressers &amp; Chests-WUO_TRK'!A177),_xlfn.TEXTAFTER('13 - Dressers &amp; Chests-WUO_ERR'!A177, ":"))))</f>
        <v/>
      </c>
    </row>
    <row r="178">
      <c r="A178" s="39">
        <f>IF('13 - Dressers &amp; Chests'!B178 = "", "", IF('13 - Dressers &amp; Chests-WUO_ERR'!A178 = "", "Validated", HYPERLINK("#" &amp; ADDRESS(178, '13 - Dressers &amp; Chests-WUO_TRK'!A178),_xlfn.TEXTAFTER('13 - Dressers &amp; Chests-WUO_ERR'!A178, ":"))))</f>
        <v/>
      </c>
    </row>
    <row r="179">
      <c r="A179" s="39">
        <f>IF('13 - Dressers &amp; Chests'!B179 = "", "", IF('13 - Dressers &amp; Chests-WUO_ERR'!A179 = "", "Validated", HYPERLINK("#" &amp; ADDRESS(179, '13 - Dressers &amp; Chests-WUO_TRK'!A179),_xlfn.TEXTAFTER('13 - Dressers &amp; Chests-WUO_ERR'!A179, ":"))))</f>
        <v/>
      </c>
    </row>
    <row r="180">
      <c r="A180" s="39">
        <f>IF('13 - Dressers &amp; Chests'!B180 = "", "", IF('13 - Dressers &amp; Chests-WUO_ERR'!A180 = "", "Validated", HYPERLINK("#" &amp; ADDRESS(180, '13 - Dressers &amp; Chests-WUO_TRK'!A180),_xlfn.TEXTAFTER('13 - Dressers &amp; Chests-WUO_ERR'!A180, ":"))))</f>
        <v/>
      </c>
    </row>
    <row r="181">
      <c r="A181" s="39">
        <f>IF('13 - Dressers &amp; Chests'!B181 = "", "", IF('13 - Dressers &amp; Chests-WUO_ERR'!A181 = "", "Validated", HYPERLINK("#" &amp; ADDRESS(181, '13 - Dressers &amp; Chests-WUO_TRK'!A181),_xlfn.TEXTAFTER('13 - Dressers &amp; Chests-WUO_ERR'!A181, ":"))))</f>
        <v/>
      </c>
    </row>
    <row r="182">
      <c r="A182" s="39">
        <f>IF('13 - Dressers &amp; Chests'!B182 = "", "", IF('13 - Dressers &amp; Chests-WUO_ERR'!A182 = "", "Validated", HYPERLINK("#" &amp; ADDRESS(182, '13 - Dressers &amp; Chests-WUO_TRK'!A182),_xlfn.TEXTAFTER('13 - Dressers &amp; Chests-WUO_ERR'!A182, ":"))))</f>
        <v/>
      </c>
    </row>
    <row r="183">
      <c r="A183" s="39">
        <f>IF('13 - Dressers &amp; Chests'!B183 = "", "", IF('13 - Dressers &amp; Chests-WUO_ERR'!A183 = "", "Validated", HYPERLINK("#" &amp; ADDRESS(183, '13 - Dressers &amp; Chests-WUO_TRK'!A183),_xlfn.TEXTAFTER('13 - Dressers &amp; Chests-WUO_ERR'!A183, ":"))))</f>
        <v/>
      </c>
    </row>
    <row r="184">
      <c r="A184" s="39">
        <f>IF('13 - Dressers &amp; Chests'!B184 = "", "", IF('13 - Dressers &amp; Chests-WUO_ERR'!A184 = "", "Validated", HYPERLINK("#" &amp; ADDRESS(184, '13 - Dressers &amp; Chests-WUO_TRK'!A184),_xlfn.TEXTAFTER('13 - Dressers &amp; Chests-WUO_ERR'!A184, ":"))))</f>
        <v/>
      </c>
    </row>
    <row r="185">
      <c r="A185" s="39">
        <f>IF('13 - Dressers &amp; Chests'!B185 = "", "", IF('13 - Dressers &amp; Chests-WUO_ERR'!A185 = "", "Validated", HYPERLINK("#" &amp; ADDRESS(185, '13 - Dressers &amp; Chests-WUO_TRK'!A185),_xlfn.TEXTAFTER('13 - Dressers &amp; Chests-WUO_ERR'!A185, ":"))))</f>
        <v/>
      </c>
    </row>
    <row r="186">
      <c r="A186" s="39">
        <f>IF('13 - Dressers &amp; Chests'!B186 = "", "", IF('13 - Dressers &amp; Chests-WUO_ERR'!A186 = "", "Validated", HYPERLINK("#" &amp; ADDRESS(186, '13 - Dressers &amp; Chests-WUO_TRK'!A186),_xlfn.TEXTAFTER('13 - Dressers &amp; Chests-WUO_ERR'!A186, ":"))))</f>
        <v/>
      </c>
    </row>
    <row r="187">
      <c r="A187" s="39">
        <f>IF('13 - Dressers &amp; Chests'!B187 = "", "", IF('13 - Dressers &amp; Chests-WUO_ERR'!A187 = "", "Validated", HYPERLINK("#" &amp; ADDRESS(187, '13 - Dressers &amp; Chests-WUO_TRK'!A187),_xlfn.TEXTAFTER('13 - Dressers &amp; Chests-WUO_ERR'!A187, ":"))))</f>
        <v/>
      </c>
    </row>
    <row r="188">
      <c r="A188" s="39">
        <f>IF('13 - Dressers &amp; Chests'!B188 = "", "", IF('13 - Dressers &amp; Chests-WUO_ERR'!A188 = "", "Validated", HYPERLINK("#" &amp; ADDRESS(188, '13 - Dressers &amp; Chests-WUO_TRK'!A188),_xlfn.TEXTAFTER('13 - Dressers &amp; Chests-WUO_ERR'!A188, ":"))))</f>
        <v/>
      </c>
    </row>
    <row r="189">
      <c r="A189" s="39">
        <f>IF('13 - Dressers &amp; Chests'!B189 = "", "", IF('13 - Dressers &amp; Chests-WUO_ERR'!A189 = "", "Validated", HYPERLINK("#" &amp; ADDRESS(189, '13 - Dressers &amp; Chests-WUO_TRK'!A189),_xlfn.TEXTAFTER('13 - Dressers &amp; Chests-WUO_ERR'!A189, ":"))))</f>
        <v/>
      </c>
    </row>
    <row r="190">
      <c r="A190" s="39">
        <f>IF('13 - Dressers &amp; Chests'!B190 = "", "", IF('13 - Dressers &amp; Chests-WUO_ERR'!A190 = "", "Validated", HYPERLINK("#" &amp; ADDRESS(190, '13 - Dressers &amp; Chests-WUO_TRK'!A190),_xlfn.TEXTAFTER('13 - Dressers &amp; Chests-WUO_ERR'!A190, ":"))))</f>
        <v/>
      </c>
    </row>
    <row r="191">
      <c r="A191" s="39">
        <f>IF('13 - Dressers &amp; Chests'!B191 = "", "", IF('13 - Dressers &amp; Chests-WUO_ERR'!A191 = "", "Validated", HYPERLINK("#" &amp; ADDRESS(191, '13 - Dressers &amp; Chests-WUO_TRK'!A191),_xlfn.TEXTAFTER('13 - Dressers &amp; Chests-WUO_ERR'!A191, ":"))))</f>
        <v/>
      </c>
    </row>
    <row r="192">
      <c r="A192" s="39">
        <f>IF('13 - Dressers &amp; Chests'!B192 = "", "", IF('13 - Dressers &amp; Chests-WUO_ERR'!A192 = "", "Validated", HYPERLINK("#" &amp; ADDRESS(192, '13 - Dressers &amp; Chests-WUO_TRK'!A192),_xlfn.TEXTAFTER('13 - Dressers &amp; Chests-WUO_ERR'!A192, ":"))))</f>
        <v/>
      </c>
    </row>
    <row r="193">
      <c r="A193" s="39">
        <f>IF('13 - Dressers &amp; Chests'!B193 = "", "", IF('13 - Dressers &amp; Chests-WUO_ERR'!A193 = "", "Validated", HYPERLINK("#" &amp; ADDRESS(193, '13 - Dressers &amp; Chests-WUO_TRK'!A193),_xlfn.TEXTAFTER('13 - Dressers &amp; Chests-WUO_ERR'!A193, ":"))))</f>
        <v/>
      </c>
    </row>
    <row r="194">
      <c r="A194" s="39">
        <f>IF('13 - Dressers &amp; Chests'!B194 = "", "", IF('13 - Dressers &amp; Chests-WUO_ERR'!A194 = "", "Validated", HYPERLINK("#" &amp; ADDRESS(194, '13 - Dressers &amp; Chests-WUO_TRK'!A194),_xlfn.TEXTAFTER('13 - Dressers &amp; Chests-WUO_ERR'!A194, ":"))))</f>
        <v/>
      </c>
    </row>
    <row r="195">
      <c r="A195" s="39">
        <f>IF('13 - Dressers &amp; Chests'!B195 = "", "", IF('13 - Dressers &amp; Chests-WUO_ERR'!A195 = "", "Validated", HYPERLINK("#" &amp; ADDRESS(195, '13 - Dressers &amp; Chests-WUO_TRK'!A195),_xlfn.TEXTAFTER('13 - Dressers &amp; Chests-WUO_ERR'!A195, ":"))))</f>
        <v/>
      </c>
    </row>
    <row r="196">
      <c r="A196" s="39">
        <f>IF('13 - Dressers &amp; Chests'!B196 = "", "", IF('13 - Dressers &amp; Chests-WUO_ERR'!A196 = "", "Validated", HYPERLINK("#" &amp; ADDRESS(196, '13 - Dressers &amp; Chests-WUO_TRK'!A196),_xlfn.TEXTAFTER('13 - Dressers &amp; Chests-WUO_ERR'!A196, ":"))))</f>
        <v/>
      </c>
    </row>
    <row r="197">
      <c r="A197" s="39">
        <f>IF('13 - Dressers &amp; Chests'!B197 = "", "", IF('13 - Dressers &amp; Chests-WUO_ERR'!A197 = "", "Validated", HYPERLINK("#" &amp; ADDRESS(197, '13 - Dressers &amp; Chests-WUO_TRK'!A197),_xlfn.TEXTAFTER('13 - Dressers &amp; Chests-WUO_ERR'!A197, ":"))))</f>
        <v/>
      </c>
    </row>
    <row r="198">
      <c r="A198" s="39">
        <f>IF('13 - Dressers &amp; Chests'!B198 = "", "", IF('13 - Dressers &amp; Chests-WUO_ERR'!A198 = "", "Validated", HYPERLINK("#" &amp; ADDRESS(198, '13 - Dressers &amp; Chests-WUO_TRK'!A198),_xlfn.TEXTAFTER('13 - Dressers &amp; Chests-WUO_ERR'!A198, ":"))))</f>
        <v/>
      </c>
    </row>
    <row r="199">
      <c r="A199" s="39">
        <f>IF('13 - Dressers &amp; Chests'!B199 = "", "", IF('13 - Dressers &amp; Chests-WUO_ERR'!A199 = "", "Validated", HYPERLINK("#" &amp; ADDRESS(199, '13 - Dressers &amp; Chests-WUO_TRK'!A199),_xlfn.TEXTAFTER('13 - Dressers &amp; Chests-WUO_ERR'!A199, ":"))))</f>
        <v/>
      </c>
    </row>
    <row r="200">
      <c r="A200" s="39">
        <f>IF('13 - Dressers &amp; Chests'!B200 = "", "", IF('13 - Dressers &amp; Chests-WUO_ERR'!A200 = "", "Validated", HYPERLINK("#" &amp; ADDRESS(200, '13 - Dressers &amp; Chests-WUO_TRK'!A200),_xlfn.TEXTAFTER('13 - Dressers &amp; Chests-WUO_ERR'!A200, ":"))))</f>
        <v/>
      </c>
    </row>
    <row r="201">
      <c r="A201" s="39">
        <f>IF('13 - Dressers &amp; Chests'!B201 = "", "", IF('13 - Dressers &amp; Chests-WUO_ERR'!A201 = "", "Validated", HYPERLINK("#" &amp; ADDRESS(201, '13 - Dressers &amp; Chests-WUO_TRK'!A201),_xlfn.TEXTAFTER('13 - Dressers &amp; Chests-WUO_ERR'!A201, ":"))))</f>
        <v/>
      </c>
    </row>
    <row r="202">
      <c r="A202" s="39">
        <f>IF('13 - Dressers &amp; Chests'!B202 = "", "", IF('13 - Dressers &amp; Chests-WUO_ERR'!A202 = "", "Validated", HYPERLINK("#" &amp; ADDRESS(202, '13 - Dressers &amp; Chests-WUO_TRK'!A202),_xlfn.TEXTAFTER('13 - Dressers &amp; Chests-WUO_ERR'!A202, ":"))))</f>
        <v/>
      </c>
    </row>
    <row r="203">
      <c r="A203" s="39">
        <f>IF('13 - Dressers &amp; Chests'!B203 = "", "", IF('13 - Dressers &amp; Chests-WUO_ERR'!A203 = "", "Validated", HYPERLINK("#" &amp; ADDRESS(203, '13 - Dressers &amp; Chests-WUO_TRK'!A203),_xlfn.TEXTAFTER('13 - Dressers &amp; Chests-WUO_ERR'!A203, ":"))))</f>
        <v/>
      </c>
    </row>
    <row r="204">
      <c r="A204" s="39">
        <f>IF('13 - Dressers &amp; Chests'!B204 = "", "", IF('13 - Dressers &amp; Chests-WUO_ERR'!A204 = "", "Validated", HYPERLINK("#" &amp; ADDRESS(204, '13 - Dressers &amp; Chests-WUO_TRK'!A204),_xlfn.TEXTAFTER('13 - Dressers &amp; Chests-WUO_ERR'!A204, ":"))))</f>
        <v/>
      </c>
    </row>
    <row r="205">
      <c r="A205" s="39">
        <f>IF('13 - Dressers &amp; Chests'!B205 = "", "", IF('13 - Dressers &amp; Chests-WUO_ERR'!A205 = "", "Validated", HYPERLINK("#" &amp; ADDRESS(205, '13 - Dressers &amp; Chests-WUO_TRK'!A205),_xlfn.TEXTAFTER('13 - Dressers &amp; Chests-WUO_ERR'!A205, ":"))))</f>
        <v/>
      </c>
    </row>
    <row r="206">
      <c r="A206" s="39">
        <f>IF('13 - Dressers &amp; Chests'!B206 = "", "", IF('13 - Dressers &amp; Chests-WUO_ERR'!A206 = "", "Validated", HYPERLINK("#" &amp; ADDRESS(206, '13 - Dressers &amp; Chests-WUO_TRK'!A206),_xlfn.TEXTAFTER('13 - Dressers &amp; Chests-WUO_ERR'!A206, ":"))))</f>
        <v/>
      </c>
    </row>
    <row r="207">
      <c r="A207" s="39">
        <f>IF('13 - Dressers &amp; Chests'!B207 = "", "", IF('13 - Dressers &amp; Chests-WUO_ERR'!A207 = "", "Validated", HYPERLINK("#" &amp; ADDRESS(207, '13 - Dressers &amp; Chests-WUO_TRK'!A207),_xlfn.TEXTAFTER('13 - Dressers &amp; Chests-WUO_ERR'!A207, ":"))))</f>
        <v/>
      </c>
    </row>
    <row r="208">
      <c r="A208" s="39">
        <f>IF('13 - Dressers &amp; Chests'!B208 = "", "", IF('13 - Dressers &amp; Chests-WUO_ERR'!A208 = "", "Validated", HYPERLINK("#" &amp; ADDRESS(208, '13 - Dressers &amp; Chests-WUO_TRK'!A208),_xlfn.TEXTAFTER('13 - Dressers &amp; Chests-WUO_ERR'!A208, ":"))))</f>
        <v/>
      </c>
    </row>
    <row r="209">
      <c r="A209" s="39">
        <f>IF('13 - Dressers &amp; Chests'!B209 = "", "", IF('13 - Dressers &amp; Chests-WUO_ERR'!A209 = "", "Validated", HYPERLINK("#" &amp; ADDRESS(209, '13 - Dressers &amp; Chests-WUO_TRK'!A209),_xlfn.TEXTAFTER('13 - Dressers &amp; Chests-WUO_ERR'!A209, ":"))))</f>
        <v/>
      </c>
    </row>
    <row r="210">
      <c r="A210" s="39">
        <f>IF('13 - Dressers &amp; Chests'!B210 = "", "", IF('13 - Dressers &amp; Chests-WUO_ERR'!A210 = "", "Validated", HYPERLINK("#" &amp; ADDRESS(210, '13 - Dressers &amp; Chests-WUO_TRK'!A210),_xlfn.TEXTAFTER('13 - Dressers &amp; Chests-WUO_ERR'!A210, ":"))))</f>
        <v/>
      </c>
    </row>
    <row r="211">
      <c r="A211" s="39">
        <f>IF('13 - Dressers &amp; Chests'!B211 = "", "", IF('13 - Dressers &amp; Chests-WUO_ERR'!A211 = "", "Validated", HYPERLINK("#" &amp; ADDRESS(211, '13 - Dressers &amp; Chests-WUO_TRK'!A211),_xlfn.TEXTAFTER('13 - Dressers &amp; Chests-WUO_ERR'!A211, ":"))))</f>
        <v/>
      </c>
    </row>
    <row r="212">
      <c r="A212" s="39">
        <f>IF('13 - Dressers &amp; Chests'!B212 = "", "", IF('13 - Dressers &amp; Chests-WUO_ERR'!A212 = "", "Validated", HYPERLINK("#" &amp; ADDRESS(212, '13 - Dressers &amp; Chests-WUO_TRK'!A212),_xlfn.TEXTAFTER('13 - Dressers &amp; Chests-WUO_ERR'!A212, ":"))))</f>
        <v/>
      </c>
    </row>
    <row r="213">
      <c r="A213" s="39">
        <f>IF('13 - Dressers &amp; Chests'!B213 = "", "", IF('13 - Dressers &amp; Chests-WUO_ERR'!A213 = "", "Validated", HYPERLINK("#" &amp; ADDRESS(213, '13 - Dressers &amp; Chests-WUO_TRK'!A213),_xlfn.TEXTAFTER('13 - Dressers &amp; Chests-WUO_ERR'!A213, ":"))))</f>
        <v/>
      </c>
    </row>
    <row r="214">
      <c r="A214" s="39">
        <f>IF('13 - Dressers &amp; Chests'!B214 = "", "", IF('13 - Dressers &amp; Chests-WUO_ERR'!A214 = "", "Validated", HYPERLINK("#" &amp; ADDRESS(214, '13 - Dressers &amp; Chests-WUO_TRK'!A214),_xlfn.TEXTAFTER('13 - Dressers &amp; Chests-WUO_ERR'!A214, ":"))))</f>
        <v/>
      </c>
    </row>
    <row r="215">
      <c r="A215" s="39">
        <f>IF('13 - Dressers &amp; Chests'!B215 = "", "", IF('13 - Dressers &amp; Chests-WUO_ERR'!A215 = "", "Validated", HYPERLINK("#" &amp; ADDRESS(215, '13 - Dressers &amp; Chests-WUO_TRK'!A215),_xlfn.TEXTAFTER('13 - Dressers &amp; Chests-WUO_ERR'!A215, ":"))))</f>
        <v/>
      </c>
    </row>
    <row r="216">
      <c r="A216" s="39">
        <f>IF('13 - Dressers &amp; Chests'!B216 = "", "", IF('13 - Dressers &amp; Chests-WUO_ERR'!A216 = "", "Validated", HYPERLINK("#" &amp; ADDRESS(216, '13 - Dressers &amp; Chests-WUO_TRK'!A216),_xlfn.TEXTAFTER('13 - Dressers &amp; Chests-WUO_ERR'!A216, ":"))))</f>
        <v/>
      </c>
    </row>
    <row r="217">
      <c r="A217" s="39">
        <f>IF('13 - Dressers &amp; Chests'!B217 = "", "", IF('13 - Dressers &amp; Chests-WUO_ERR'!A217 = "", "Validated", HYPERLINK("#" &amp; ADDRESS(217, '13 - Dressers &amp; Chests-WUO_TRK'!A217),_xlfn.TEXTAFTER('13 - Dressers &amp; Chests-WUO_ERR'!A217, ":"))))</f>
        <v/>
      </c>
    </row>
    <row r="218">
      <c r="A218" s="39">
        <f>IF('13 - Dressers &amp; Chests'!B218 = "", "", IF('13 - Dressers &amp; Chests-WUO_ERR'!A218 = "", "Validated", HYPERLINK("#" &amp; ADDRESS(218, '13 - Dressers &amp; Chests-WUO_TRK'!A218),_xlfn.TEXTAFTER('13 - Dressers &amp; Chests-WUO_ERR'!A218, ":"))))</f>
        <v/>
      </c>
    </row>
    <row r="219">
      <c r="A219" s="39">
        <f>IF('13 - Dressers &amp; Chests'!B219 = "", "", IF('13 - Dressers &amp; Chests-WUO_ERR'!A219 = "", "Validated", HYPERLINK("#" &amp; ADDRESS(219, '13 - Dressers &amp; Chests-WUO_TRK'!A219),_xlfn.TEXTAFTER('13 - Dressers &amp; Chests-WUO_ERR'!A219, ":"))))</f>
        <v/>
      </c>
    </row>
    <row r="220">
      <c r="A220" s="39">
        <f>IF('13 - Dressers &amp; Chests'!B220 = "", "", IF('13 - Dressers &amp; Chests-WUO_ERR'!A220 = "", "Validated", HYPERLINK("#" &amp; ADDRESS(220, '13 - Dressers &amp; Chests-WUO_TRK'!A220),_xlfn.TEXTAFTER('13 - Dressers &amp; Chests-WUO_ERR'!A220, ":"))))</f>
        <v/>
      </c>
    </row>
    <row r="221">
      <c r="A221" s="39">
        <f>IF('13 - Dressers &amp; Chests'!B221 = "", "", IF('13 - Dressers &amp; Chests-WUO_ERR'!A221 = "", "Validated", HYPERLINK("#" &amp; ADDRESS(221, '13 - Dressers &amp; Chests-WUO_TRK'!A221),_xlfn.TEXTAFTER('13 - Dressers &amp; Chests-WUO_ERR'!A221, ":"))))</f>
        <v/>
      </c>
    </row>
    <row r="222">
      <c r="A222" s="39">
        <f>IF('13 - Dressers &amp; Chests'!B222 = "", "", IF('13 - Dressers &amp; Chests-WUO_ERR'!A222 = "", "Validated", HYPERLINK("#" &amp; ADDRESS(222, '13 - Dressers &amp; Chests-WUO_TRK'!A222),_xlfn.TEXTAFTER('13 - Dressers &amp; Chests-WUO_ERR'!A222, ":"))))</f>
        <v/>
      </c>
    </row>
    <row r="223">
      <c r="A223" s="39">
        <f>IF('13 - Dressers &amp; Chests'!B223 = "", "", IF('13 - Dressers &amp; Chests-WUO_ERR'!A223 = "", "Validated", HYPERLINK("#" &amp; ADDRESS(223, '13 - Dressers &amp; Chests-WUO_TRK'!A223),_xlfn.TEXTAFTER('13 - Dressers &amp; Chests-WUO_ERR'!A223, ":"))))</f>
        <v/>
      </c>
    </row>
    <row r="224">
      <c r="A224" s="39">
        <f>IF('13 - Dressers &amp; Chests'!B224 = "", "", IF('13 - Dressers &amp; Chests-WUO_ERR'!A224 = "", "Validated", HYPERLINK("#" &amp; ADDRESS(224, '13 - Dressers &amp; Chests-WUO_TRK'!A224),_xlfn.TEXTAFTER('13 - Dressers &amp; Chests-WUO_ERR'!A224, ":"))))</f>
        <v/>
      </c>
    </row>
    <row r="225">
      <c r="A225" s="39">
        <f>IF('13 - Dressers &amp; Chests'!B225 = "", "", IF('13 - Dressers &amp; Chests-WUO_ERR'!A225 = "", "Validated", HYPERLINK("#" &amp; ADDRESS(225, '13 - Dressers &amp; Chests-WUO_TRK'!A225),_xlfn.TEXTAFTER('13 - Dressers &amp; Chests-WUO_ERR'!A225, ":"))))</f>
        <v/>
      </c>
    </row>
    <row r="226">
      <c r="A226" s="39">
        <f>IF('13 - Dressers &amp; Chests'!B226 = "", "", IF('13 - Dressers &amp; Chests-WUO_ERR'!A226 = "", "Validated", HYPERLINK("#" &amp; ADDRESS(226, '13 - Dressers &amp; Chests-WUO_TRK'!A226),_xlfn.TEXTAFTER('13 - Dressers &amp; Chests-WUO_ERR'!A226, ":"))))</f>
        <v/>
      </c>
    </row>
    <row r="227">
      <c r="A227" s="39">
        <f>IF('13 - Dressers &amp; Chests'!B227 = "", "", IF('13 - Dressers &amp; Chests-WUO_ERR'!A227 = "", "Validated", HYPERLINK("#" &amp; ADDRESS(227, '13 - Dressers &amp; Chests-WUO_TRK'!A227),_xlfn.TEXTAFTER('13 - Dressers &amp; Chests-WUO_ERR'!A227, ":"))))</f>
        <v/>
      </c>
    </row>
    <row r="228">
      <c r="A228" s="39">
        <f>IF('13 - Dressers &amp; Chests'!B228 = "", "", IF('13 - Dressers &amp; Chests-WUO_ERR'!A228 = "", "Validated", HYPERLINK("#" &amp; ADDRESS(228, '13 - Dressers &amp; Chests-WUO_TRK'!A228),_xlfn.TEXTAFTER('13 - Dressers &amp; Chests-WUO_ERR'!A228, ":"))))</f>
        <v/>
      </c>
    </row>
    <row r="229">
      <c r="A229" s="39">
        <f>IF('13 - Dressers &amp; Chests'!B229 = "", "", IF('13 - Dressers &amp; Chests-WUO_ERR'!A229 = "", "Validated", HYPERLINK("#" &amp; ADDRESS(229, '13 - Dressers &amp; Chests-WUO_TRK'!A229),_xlfn.TEXTAFTER('13 - Dressers &amp; Chests-WUO_ERR'!A229, ":"))))</f>
        <v/>
      </c>
    </row>
    <row r="230">
      <c r="A230" s="39">
        <f>IF('13 - Dressers &amp; Chests'!B230 = "", "", IF('13 - Dressers &amp; Chests-WUO_ERR'!A230 = "", "Validated", HYPERLINK("#" &amp; ADDRESS(230, '13 - Dressers &amp; Chests-WUO_TRK'!A230),_xlfn.TEXTAFTER('13 - Dressers &amp; Chests-WUO_ERR'!A230, ":"))))</f>
        <v/>
      </c>
    </row>
    <row r="231">
      <c r="A231" s="39">
        <f>IF('13 - Dressers &amp; Chests'!B231 = "", "", IF('13 - Dressers &amp; Chests-WUO_ERR'!A231 = "", "Validated", HYPERLINK("#" &amp; ADDRESS(231, '13 - Dressers &amp; Chests-WUO_TRK'!A231),_xlfn.TEXTAFTER('13 - Dressers &amp; Chests-WUO_ERR'!A231, ":"))))</f>
        <v/>
      </c>
    </row>
    <row r="232">
      <c r="A232" s="39">
        <f>IF('13 - Dressers &amp; Chests'!B232 = "", "", IF('13 - Dressers &amp; Chests-WUO_ERR'!A232 = "", "Validated", HYPERLINK("#" &amp; ADDRESS(232, '13 - Dressers &amp; Chests-WUO_TRK'!A232),_xlfn.TEXTAFTER('13 - Dressers &amp; Chests-WUO_ERR'!A232, ":"))))</f>
        <v/>
      </c>
    </row>
    <row r="233">
      <c r="A233" s="39">
        <f>IF('13 - Dressers &amp; Chests'!B233 = "", "", IF('13 - Dressers &amp; Chests-WUO_ERR'!A233 = "", "Validated", HYPERLINK("#" &amp; ADDRESS(233, '13 - Dressers &amp; Chests-WUO_TRK'!A233),_xlfn.TEXTAFTER('13 - Dressers &amp; Chests-WUO_ERR'!A233, ":"))))</f>
        <v/>
      </c>
    </row>
    <row r="234">
      <c r="A234" s="39">
        <f>IF('13 - Dressers &amp; Chests'!B234 = "", "", IF('13 - Dressers &amp; Chests-WUO_ERR'!A234 = "", "Validated", HYPERLINK("#" &amp; ADDRESS(234, '13 - Dressers &amp; Chests-WUO_TRK'!A234),_xlfn.TEXTAFTER('13 - Dressers &amp; Chests-WUO_ERR'!A234, ":"))))</f>
        <v/>
      </c>
    </row>
    <row r="235">
      <c r="A235" s="39">
        <f>IF('13 - Dressers &amp; Chests'!B235 = "", "", IF('13 - Dressers &amp; Chests-WUO_ERR'!A235 = "", "Validated", HYPERLINK("#" &amp; ADDRESS(235, '13 - Dressers &amp; Chests-WUO_TRK'!A235),_xlfn.TEXTAFTER('13 - Dressers &amp; Chests-WUO_ERR'!A235, ":"))))</f>
        <v/>
      </c>
    </row>
    <row r="236">
      <c r="A236" s="39">
        <f>IF('13 - Dressers &amp; Chests'!B236 = "", "", IF('13 - Dressers &amp; Chests-WUO_ERR'!A236 = "", "Validated", HYPERLINK("#" &amp; ADDRESS(236, '13 - Dressers &amp; Chests-WUO_TRK'!A236),_xlfn.TEXTAFTER('13 - Dressers &amp; Chests-WUO_ERR'!A236, ":"))))</f>
        <v/>
      </c>
    </row>
    <row r="237">
      <c r="A237" s="39">
        <f>IF('13 - Dressers &amp; Chests'!B237 = "", "", IF('13 - Dressers &amp; Chests-WUO_ERR'!A237 = "", "Validated", HYPERLINK("#" &amp; ADDRESS(237, '13 - Dressers &amp; Chests-WUO_TRK'!A237),_xlfn.TEXTAFTER('13 - Dressers &amp; Chests-WUO_ERR'!A237, ":"))))</f>
        <v/>
      </c>
    </row>
    <row r="238">
      <c r="A238" s="39">
        <f>IF('13 - Dressers &amp; Chests'!B238 = "", "", IF('13 - Dressers &amp; Chests-WUO_ERR'!A238 = "", "Validated", HYPERLINK("#" &amp; ADDRESS(238, '13 - Dressers &amp; Chests-WUO_TRK'!A238),_xlfn.TEXTAFTER('13 - Dressers &amp; Chests-WUO_ERR'!A238, ":"))))</f>
        <v/>
      </c>
    </row>
    <row r="239">
      <c r="A239" s="39">
        <f>IF('13 - Dressers &amp; Chests'!B239 = "", "", IF('13 - Dressers &amp; Chests-WUO_ERR'!A239 = "", "Validated", HYPERLINK("#" &amp; ADDRESS(239, '13 - Dressers &amp; Chests-WUO_TRK'!A239),_xlfn.TEXTAFTER('13 - Dressers &amp; Chests-WUO_ERR'!A239, ":"))))</f>
        <v/>
      </c>
    </row>
    <row r="240">
      <c r="A240" s="39">
        <f>IF('13 - Dressers &amp; Chests'!B240 = "", "", IF('13 - Dressers &amp; Chests-WUO_ERR'!A240 = "", "Validated", HYPERLINK("#" &amp; ADDRESS(240, '13 - Dressers &amp; Chests-WUO_TRK'!A240),_xlfn.TEXTAFTER('13 - Dressers &amp; Chests-WUO_ERR'!A240, ":"))))</f>
        <v/>
      </c>
    </row>
    <row r="241">
      <c r="A241" s="39">
        <f>IF('13 - Dressers &amp; Chests'!B241 = "", "", IF('13 - Dressers &amp; Chests-WUO_ERR'!A241 = "", "Validated", HYPERLINK("#" &amp; ADDRESS(241, '13 - Dressers &amp; Chests-WUO_TRK'!A241),_xlfn.TEXTAFTER('13 - Dressers &amp; Chests-WUO_ERR'!A241, ":"))))</f>
        <v/>
      </c>
    </row>
    <row r="242">
      <c r="A242" s="39">
        <f>IF('13 - Dressers &amp; Chests'!B242 = "", "", IF('13 - Dressers &amp; Chests-WUO_ERR'!A242 = "", "Validated", HYPERLINK("#" &amp; ADDRESS(242, '13 - Dressers &amp; Chests-WUO_TRK'!A242),_xlfn.TEXTAFTER('13 - Dressers &amp; Chests-WUO_ERR'!A242, ":"))))</f>
        <v/>
      </c>
    </row>
    <row r="243">
      <c r="A243" s="39">
        <f>IF('13 - Dressers &amp; Chests'!B243 = "", "", IF('13 - Dressers &amp; Chests-WUO_ERR'!A243 = "", "Validated", HYPERLINK("#" &amp; ADDRESS(243, '13 - Dressers &amp; Chests-WUO_TRK'!A243),_xlfn.TEXTAFTER('13 - Dressers &amp; Chests-WUO_ERR'!A243, ":"))))</f>
        <v/>
      </c>
    </row>
    <row r="244">
      <c r="A244" s="39">
        <f>IF('13 - Dressers &amp; Chests'!B244 = "", "", IF('13 - Dressers &amp; Chests-WUO_ERR'!A244 = "", "Validated", HYPERLINK("#" &amp; ADDRESS(244, '13 - Dressers &amp; Chests-WUO_TRK'!A244),_xlfn.TEXTAFTER('13 - Dressers &amp; Chests-WUO_ERR'!A244, ":"))))</f>
        <v/>
      </c>
    </row>
    <row r="245">
      <c r="A245" s="39">
        <f>IF('13 - Dressers &amp; Chests'!B245 = "", "", IF('13 - Dressers &amp; Chests-WUO_ERR'!A245 = "", "Validated", HYPERLINK("#" &amp; ADDRESS(245, '13 - Dressers &amp; Chests-WUO_TRK'!A245),_xlfn.TEXTAFTER('13 - Dressers &amp; Chests-WUO_ERR'!A245, ":"))))</f>
        <v/>
      </c>
    </row>
    <row r="246">
      <c r="A246" s="39">
        <f>IF('13 - Dressers &amp; Chests'!B246 = "", "", IF('13 - Dressers &amp; Chests-WUO_ERR'!A246 = "", "Validated", HYPERLINK("#" &amp; ADDRESS(246, '13 - Dressers &amp; Chests-WUO_TRK'!A246),_xlfn.TEXTAFTER('13 - Dressers &amp; Chests-WUO_ERR'!A246, ":"))))</f>
        <v/>
      </c>
    </row>
    <row r="247">
      <c r="A247" s="39">
        <f>IF('13 - Dressers &amp; Chests'!B247 = "", "", IF('13 - Dressers &amp; Chests-WUO_ERR'!A247 = "", "Validated", HYPERLINK("#" &amp; ADDRESS(247, '13 - Dressers &amp; Chests-WUO_TRK'!A247),_xlfn.TEXTAFTER('13 - Dressers &amp; Chests-WUO_ERR'!A247, ":"))))</f>
        <v/>
      </c>
    </row>
    <row r="248">
      <c r="A248" s="39">
        <f>IF('13 - Dressers &amp; Chests'!B248 = "", "", IF('13 - Dressers &amp; Chests-WUO_ERR'!A248 = "", "Validated", HYPERLINK("#" &amp; ADDRESS(248, '13 - Dressers &amp; Chests-WUO_TRK'!A248),_xlfn.TEXTAFTER('13 - Dressers &amp; Chests-WUO_ERR'!A248, ":"))))</f>
        <v/>
      </c>
    </row>
    <row r="249">
      <c r="A249" s="39">
        <f>IF('13 - Dressers &amp; Chests'!B249 = "", "", IF('13 - Dressers &amp; Chests-WUO_ERR'!A249 = "", "Validated", HYPERLINK("#" &amp; ADDRESS(249, '13 - Dressers &amp; Chests-WUO_TRK'!A249),_xlfn.TEXTAFTER('13 - Dressers &amp; Chests-WUO_ERR'!A249, ":"))))</f>
        <v/>
      </c>
    </row>
    <row r="250">
      <c r="A250" s="39">
        <f>IF('13 - Dressers &amp; Chests'!B250 = "", "", IF('13 - Dressers &amp; Chests-WUO_ERR'!A250 = "", "Validated", HYPERLINK("#" &amp; ADDRESS(250, '13 - Dressers &amp; Chests-WUO_TRK'!A250),_xlfn.TEXTAFTER('13 - Dressers &amp; Chests-WUO_ERR'!A250, ":"))))</f>
        <v/>
      </c>
    </row>
    <row r="251">
      <c r="A251" s="39">
        <f>IF('13 - Dressers &amp; Chests'!B251 = "", "", IF('13 - Dressers &amp; Chests-WUO_ERR'!A251 = "", "Validated", HYPERLINK("#" &amp; ADDRESS(251, '13 - Dressers &amp; Chests-WUO_TRK'!A251),_xlfn.TEXTAFTER('13 - Dressers &amp; Chests-WUO_ERR'!A251, ":"))))</f>
        <v/>
      </c>
    </row>
    <row r="252">
      <c r="A252" s="39">
        <f>IF('13 - Dressers &amp; Chests'!B252 = "", "", IF('13 - Dressers &amp; Chests-WUO_ERR'!A252 = "", "Validated", HYPERLINK("#" &amp; ADDRESS(252, '13 - Dressers &amp; Chests-WUO_TRK'!A252),_xlfn.TEXTAFTER('13 - Dressers &amp; Chests-WUO_ERR'!A252, ":"))))</f>
        <v/>
      </c>
    </row>
    <row r="253">
      <c r="A253" s="39">
        <f>IF('13 - Dressers &amp; Chests'!B253 = "", "", IF('13 - Dressers &amp; Chests-WUO_ERR'!A253 = "", "Validated", HYPERLINK("#" &amp; ADDRESS(253, '13 - Dressers &amp; Chests-WUO_TRK'!A253),_xlfn.TEXTAFTER('13 - Dressers &amp; Chests-WUO_ERR'!A253, ":"))))</f>
        <v/>
      </c>
    </row>
    <row r="254">
      <c r="A254" s="39">
        <f>IF('13 - Dressers &amp; Chests'!B254 = "", "", IF('13 - Dressers &amp; Chests-WUO_ERR'!A254 = "", "Validated", HYPERLINK("#" &amp; ADDRESS(254, '13 - Dressers &amp; Chests-WUO_TRK'!A254),_xlfn.TEXTAFTER('13 - Dressers &amp; Chests-WUO_ERR'!A254, ":"))))</f>
        <v/>
      </c>
    </row>
    <row r="255">
      <c r="A255" s="39">
        <f>IF('13 - Dressers &amp; Chests'!B255 = "", "", IF('13 - Dressers &amp; Chests-WUO_ERR'!A255 = "", "Validated", HYPERLINK("#" &amp; ADDRESS(255, '13 - Dressers &amp; Chests-WUO_TRK'!A255),_xlfn.TEXTAFTER('13 - Dressers &amp; Chests-WUO_ERR'!A255, ":"))))</f>
        <v/>
      </c>
    </row>
    <row r="256">
      <c r="A256" s="39">
        <f>IF('13 - Dressers &amp; Chests'!B256 = "", "", IF('13 - Dressers &amp; Chests-WUO_ERR'!A256 = "", "Validated", HYPERLINK("#" &amp; ADDRESS(256, '13 - Dressers &amp; Chests-WUO_TRK'!A256),_xlfn.TEXTAFTER('13 - Dressers &amp; Chests-WUO_ERR'!A256, ":"))))</f>
        <v/>
      </c>
    </row>
    <row r="257">
      <c r="A257" s="39">
        <f>IF('13 - Dressers &amp; Chests'!B257 = "", "", IF('13 - Dressers &amp; Chests-WUO_ERR'!A257 = "", "Validated", HYPERLINK("#" &amp; ADDRESS(257, '13 - Dressers &amp; Chests-WUO_TRK'!A257),_xlfn.TEXTAFTER('13 - Dressers &amp; Chests-WUO_ERR'!A257, ":"))))</f>
        <v/>
      </c>
    </row>
    <row r="258">
      <c r="A258" s="39">
        <f>IF('13 - Dressers &amp; Chests'!B258 = "", "", IF('13 - Dressers &amp; Chests-WUO_ERR'!A258 = "", "Validated", HYPERLINK("#" &amp; ADDRESS(258, '13 - Dressers &amp; Chests-WUO_TRK'!A258),_xlfn.TEXTAFTER('13 - Dressers &amp; Chests-WUO_ERR'!A258, ":"))))</f>
        <v/>
      </c>
    </row>
    <row r="259">
      <c r="A259" s="39">
        <f>IF('13 - Dressers &amp; Chests'!B259 = "", "", IF('13 - Dressers &amp; Chests-WUO_ERR'!A259 = "", "Validated", HYPERLINK("#" &amp; ADDRESS(259, '13 - Dressers &amp; Chests-WUO_TRK'!A259),_xlfn.TEXTAFTER('13 - Dressers &amp; Chests-WUO_ERR'!A259, ":"))))</f>
        <v/>
      </c>
    </row>
    <row r="260">
      <c r="A260" s="39">
        <f>IF('13 - Dressers &amp; Chests'!B260 = "", "", IF('13 - Dressers &amp; Chests-WUO_ERR'!A260 = "", "Validated", HYPERLINK("#" &amp; ADDRESS(260, '13 - Dressers &amp; Chests-WUO_TRK'!A260),_xlfn.TEXTAFTER('13 - Dressers &amp; Chests-WUO_ERR'!A260, ":"))))</f>
        <v/>
      </c>
    </row>
    <row r="261">
      <c r="A261" s="39">
        <f>IF('13 - Dressers &amp; Chests'!B261 = "", "", IF('13 - Dressers &amp; Chests-WUO_ERR'!A261 = "", "Validated", HYPERLINK("#" &amp; ADDRESS(261, '13 - Dressers &amp; Chests-WUO_TRK'!A261),_xlfn.TEXTAFTER('13 - Dressers &amp; Chests-WUO_ERR'!A261, ":"))))</f>
        <v/>
      </c>
    </row>
    <row r="262">
      <c r="A262" s="39">
        <f>IF('13 - Dressers &amp; Chests'!B262 = "", "", IF('13 - Dressers &amp; Chests-WUO_ERR'!A262 = "", "Validated", HYPERLINK("#" &amp; ADDRESS(262, '13 - Dressers &amp; Chests-WUO_TRK'!A262),_xlfn.TEXTAFTER('13 - Dressers &amp; Chests-WUO_ERR'!A262, ":"))))</f>
        <v/>
      </c>
    </row>
    <row r="263">
      <c r="A263" s="39">
        <f>IF('13 - Dressers &amp; Chests'!B263 = "", "", IF('13 - Dressers &amp; Chests-WUO_ERR'!A263 = "", "Validated", HYPERLINK("#" &amp; ADDRESS(263, '13 - Dressers &amp; Chests-WUO_TRK'!A263),_xlfn.TEXTAFTER('13 - Dressers &amp; Chests-WUO_ERR'!A263, ":"))))</f>
        <v/>
      </c>
    </row>
    <row r="264">
      <c r="A264" s="39">
        <f>IF('13 - Dressers &amp; Chests'!B264 = "", "", IF('13 - Dressers &amp; Chests-WUO_ERR'!A264 = "", "Validated", HYPERLINK("#" &amp; ADDRESS(264, '13 - Dressers &amp; Chests-WUO_TRK'!A264),_xlfn.TEXTAFTER('13 - Dressers &amp; Chests-WUO_ERR'!A264, ":"))))</f>
        <v/>
      </c>
    </row>
    <row r="265">
      <c r="A265" s="39">
        <f>IF('13 - Dressers &amp; Chests'!B265 = "", "", IF('13 - Dressers &amp; Chests-WUO_ERR'!A265 = "", "Validated", HYPERLINK("#" &amp; ADDRESS(265, '13 - Dressers &amp; Chests-WUO_TRK'!A265),_xlfn.TEXTAFTER('13 - Dressers &amp; Chests-WUO_ERR'!A265, ":"))))</f>
        <v/>
      </c>
    </row>
    <row r="266">
      <c r="A266" s="39">
        <f>IF('13 - Dressers &amp; Chests'!B266 = "", "", IF('13 - Dressers &amp; Chests-WUO_ERR'!A266 = "", "Validated", HYPERLINK("#" &amp; ADDRESS(266, '13 - Dressers &amp; Chests-WUO_TRK'!A266),_xlfn.TEXTAFTER('13 - Dressers &amp; Chests-WUO_ERR'!A266, ":"))))</f>
        <v/>
      </c>
    </row>
    <row r="267">
      <c r="A267" s="39">
        <f>IF('13 - Dressers &amp; Chests'!B267 = "", "", IF('13 - Dressers &amp; Chests-WUO_ERR'!A267 = "", "Validated", HYPERLINK("#" &amp; ADDRESS(267, '13 - Dressers &amp; Chests-WUO_TRK'!A267),_xlfn.TEXTAFTER('13 - Dressers &amp; Chests-WUO_ERR'!A267, ":"))))</f>
        <v/>
      </c>
    </row>
    <row r="268">
      <c r="A268" s="39">
        <f>IF('13 - Dressers &amp; Chests'!B268 = "", "", IF('13 - Dressers &amp; Chests-WUO_ERR'!A268 = "", "Validated", HYPERLINK("#" &amp; ADDRESS(268, '13 - Dressers &amp; Chests-WUO_TRK'!A268),_xlfn.TEXTAFTER('13 - Dressers &amp; Chests-WUO_ERR'!A268, ":"))))</f>
        <v/>
      </c>
    </row>
    <row r="269">
      <c r="A269" s="39">
        <f>IF('13 - Dressers &amp; Chests'!B269 = "", "", IF('13 - Dressers &amp; Chests-WUO_ERR'!A269 = "", "Validated", HYPERLINK("#" &amp; ADDRESS(269, '13 - Dressers &amp; Chests-WUO_TRK'!A269),_xlfn.TEXTAFTER('13 - Dressers &amp; Chests-WUO_ERR'!A269, ":"))))</f>
        <v/>
      </c>
    </row>
    <row r="270">
      <c r="A270" s="39">
        <f>IF('13 - Dressers &amp; Chests'!B270 = "", "", IF('13 - Dressers &amp; Chests-WUO_ERR'!A270 = "", "Validated", HYPERLINK("#" &amp; ADDRESS(270, '13 - Dressers &amp; Chests-WUO_TRK'!A270),_xlfn.TEXTAFTER('13 - Dressers &amp; Chests-WUO_ERR'!A270, ":"))))</f>
        <v/>
      </c>
    </row>
    <row r="271">
      <c r="A271" s="39">
        <f>IF('13 - Dressers &amp; Chests'!B271 = "", "", IF('13 - Dressers &amp; Chests-WUO_ERR'!A271 = "", "Validated", HYPERLINK("#" &amp; ADDRESS(271, '13 - Dressers &amp; Chests-WUO_TRK'!A271),_xlfn.TEXTAFTER('13 - Dressers &amp; Chests-WUO_ERR'!A271, ":"))))</f>
        <v/>
      </c>
    </row>
    <row r="272">
      <c r="A272" s="39">
        <f>IF('13 - Dressers &amp; Chests'!B272 = "", "", IF('13 - Dressers &amp; Chests-WUO_ERR'!A272 = "", "Validated", HYPERLINK("#" &amp; ADDRESS(272, '13 - Dressers &amp; Chests-WUO_TRK'!A272),_xlfn.TEXTAFTER('13 - Dressers &amp; Chests-WUO_ERR'!A272, ":"))))</f>
        <v/>
      </c>
    </row>
    <row r="273">
      <c r="A273" s="39">
        <f>IF('13 - Dressers &amp; Chests'!B273 = "", "", IF('13 - Dressers &amp; Chests-WUO_ERR'!A273 = "", "Validated", HYPERLINK("#" &amp; ADDRESS(273, '13 - Dressers &amp; Chests-WUO_TRK'!A273),_xlfn.TEXTAFTER('13 - Dressers &amp; Chests-WUO_ERR'!A273, ":"))))</f>
        <v/>
      </c>
    </row>
    <row r="274">
      <c r="A274" s="39">
        <f>IF('13 - Dressers &amp; Chests'!B274 = "", "", IF('13 - Dressers &amp; Chests-WUO_ERR'!A274 = "", "Validated", HYPERLINK("#" &amp; ADDRESS(274, '13 - Dressers &amp; Chests-WUO_TRK'!A274),_xlfn.TEXTAFTER('13 - Dressers &amp; Chests-WUO_ERR'!A274, ":"))))</f>
        <v/>
      </c>
    </row>
    <row r="275">
      <c r="A275" s="39">
        <f>IF('13 - Dressers &amp; Chests'!B275 = "", "", IF('13 - Dressers &amp; Chests-WUO_ERR'!A275 = "", "Validated", HYPERLINK("#" &amp; ADDRESS(275, '13 - Dressers &amp; Chests-WUO_TRK'!A275),_xlfn.TEXTAFTER('13 - Dressers &amp; Chests-WUO_ERR'!A275, ":"))))</f>
        <v/>
      </c>
    </row>
    <row r="276">
      <c r="A276" s="39">
        <f>IF('13 - Dressers &amp; Chests'!B276 = "", "", IF('13 - Dressers &amp; Chests-WUO_ERR'!A276 = "", "Validated", HYPERLINK("#" &amp; ADDRESS(276, '13 - Dressers &amp; Chests-WUO_TRK'!A276),_xlfn.TEXTAFTER('13 - Dressers &amp; Chests-WUO_ERR'!A276, ":"))))</f>
        <v/>
      </c>
    </row>
    <row r="277">
      <c r="A277" s="39">
        <f>IF('13 - Dressers &amp; Chests'!B277 = "", "", IF('13 - Dressers &amp; Chests-WUO_ERR'!A277 = "", "Validated", HYPERLINK("#" &amp; ADDRESS(277, '13 - Dressers &amp; Chests-WUO_TRK'!A277),_xlfn.TEXTAFTER('13 - Dressers &amp; Chests-WUO_ERR'!A277, ":"))))</f>
        <v/>
      </c>
    </row>
    <row r="278">
      <c r="A278" s="39">
        <f>IF('13 - Dressers &amp; Chests'!B278 = "", "", IF('13 - Dressers &amp; Chests-WUO_ERR'!A278 = "", "Validated", HYPERLINK("#" &amp; ADDRESS(278, '13 - Dressers &amp; Chests-WUO_TRK'!A278),_xlfn.TEXTAFTER('13 - Dressers &amp; Chests-WUO_ERR'!A278, ":"))))</f>
        <v/>
      </c>
    </row>
    <row r="279">
      <c r="A279" s="39">
        <f>IF('13 - Dressers &amp; Chests'!B279 = "", "", IF('13 - Dressers &amp; Chests-WUO_ERR'!A279 = "", "Validated", HYPERLINK("#" &amp; ADDRESS(279, '13 - Dressers &amp; Chests-WUO_TRK'!A279),_xlfn.TEXTAFTER('13 - Dressers &amp; Chests-WUO_ERR'!A279, ":"))))</f>
        <v/>
      </c>
    </row>
    <row r="280">
      <c r="A280" s="39">
        <f>IF('13 - Dressers &amp; Chests'!B280 = "", "", IF('13 - Dressers &amp; Chests-WUO_ERR'!A280 = "", "Validated", HYPERLINK("#" &amp; ADDRESS(280, '13 - Dressers &amp; Chests-WUO_TRK'!A280),_xlfn.TEXTAFTER('13 - Dressers &amp; Chests-WUO_ERR'!A280, ":"))))</f>
        <v/>
      </c>
    </row>
    <row r="281">
      <c r="A281" s="39">
        <f>IF('13 - Dressers &amp; Chests'!B281 = "", "", IF('13 - Dressers &amp; Chests-WUO_ERR'!A281 = "", "Validated", HYPERLINK("#" &amp; ADDRESS(281, '13 - Dressers &amp; Chests-WUO_TRK'!A281),_xlfn.TEXTAFTER('13 - Dressers &amp; Chests-WUO_ERR'!A281, ":"))))</f>
        <v/>
      </c>
    </row>
    <row r="282">
      <c r="A282" s="39">
        <f>IF('13 - Dressers &amp; Chests'!B282 = "", "", IF('13 - Dressers &amp; Chests-WUO_ERR'!A282 = "", "Validated", HYPERLINK("#" &amp; ADDRESS(282, '13 - Dressers &amp; Chests-WUO_TRK'!A282),_xlfn.TEXTAFTER('13 - Dressers &amp; Chests-WUO_ERR'!A282, ":"))))</f>
        <v/>
      </c>
    </row>
    <row r="283">
      <c r="A283" s="39">
        <f>IF('13 - Dressers &amp; Chests'!B283 = "", "", IF('13 - Dressers &amp; Chests-WUO_ERR'!A283 = "", "Validated", HYPERLINK("#" &amp; ADDRESS(283, '13 - Dressers &amp; Chests-WUO_TRK'!A283),_xlfn.TEXTAFTER('13 - Dressers &amp; Chests-WUO_ERR'!A283, ":"))))</f>
        <v/>
      </c>
    </row>
    <row r="284">
      <c r="A284" s="39">
        <f>IF('13 - Dressers &amp; Chests'!B284 = "", "", IF('13 - Dressers &amp; Chests-WUO_ERR'!A284 = "", "Validated", HYPERLINK("#" &amp; ADDRESS(284, '13 - Dressers &amp; Chests-WUO_TRK'!A284),_xlfn.TEXTAFTER('13 - Dressers &amp; Chests-WUO_ERR'!A284, ":"))))</f>
        <v/>
      </c>
    </row>
    <row r="285">
      <c r="A285" s="39">
        <f>IF('13 - Dressers &amp; Chests'!B285 = "", "", IF('13 - Dressers &amp; Chests-WUO_ERR'!A285 = "", "Validated", HYPERLINK("#" &amp; ADDRESS(285, '13 - Dressers &amp; Chests-WUO_TRK'!A285),_xlfn.TEXTAFTER('13 - Dressers &amp; Chests-WUO_ERR'!A285, ":"))))</f>
        <v/>
      </c>
    </row>
    <row r="286">
      <c r="A286" s="39">
        <f>IF('13 - Dressers &amp; Chests'!B286 = "", "", IF('13 - Dressers &amp; Chests-WUO_ERR'!A286 = "", "Validated", HYPERLINK("#" &amp; ADDRESS(286, '13 - Dressers &amp; Chests-WUO_TRK'!A286),_xlfn.TEXTAFTER('13 - Dressers &amp; Chests-WUO_ERR'!A286, ":"))))</f>
        <v/>
      </c>
    </row>
    <row r="287">
      <c r="A287" s="39">
        <f>IF('13 - Dressers &amp; Chests'!B287 = "", "", IF('13 - Dressers &amp; Chests-WUO_ERR'!A287 = "", "Validated", HYPERLINK("#" &amp; ADDRESS(287, '13 - Dressers &amp; Chests-WUO_TRK'!A287),_xlfn.TEXTAFTER('13 - Dressers &amp; Chests-WUO_ERR'!A287, ":"))))</f>
        <v/>
      </c>
    </row>
    <row r="288">
      <c r="A288" s="39">
        <f>IF('13 - Dressers &amp; Chests'!B288 = "", "", IF('13 - Dressers &amp; Chests-WUO_ERR'!A288 = "", "Validated", HYPERLINK("#" &amp; ADDRESS(288, '13 - Dressers &amp; Chests-WUO_TRK'!A288),_xlfn.TEXTAFTER('13 - Dressers &amp; Chests-WUO_ERR'!A288, ":"))))</f>
        <v/>
      </c>
    </row>
    <row r="289">
      <c r="A289" s="39">
        <f>IF('13 - Dressers &amp; Chests'!B289 = "", "", IF('13 - Dressers &amp; Chests-WUO_ERR'!A289 = "", "Validated", HYPERLINK("#" &amp; ADDRESS(289, '13 - Dressers &amp; Chests-WUO_TRK'!A289),_xlfn.TEXTAFTER('13 - Dressers &amp; Chests-WUO_ERR'!A289, ":"))))</f>
        <v/>
      </c>
    </row>
    <row r="290">
      <c r="A290" s="39">
        <f>IF('13 - Dressers &amp; Chests'!B290 = "", "", IF('13 - Dressers &amp; Chests-WUO_ERR'!A290 = "", "Validated", HYPERLINK("#" &amp; ADDRESS(290, '13 - Dressers &amp; Chests-WUO_TRK'!A290),_xlfn.TEXTAFTER('13 - Dressers &amp; Chests-WUO_ERR'!A290, ":"))))</f>
        <v/>
      </c>
    </row>
    <row r="291">
      <c r="A291" s="39">
        <f>IF('13 - Dressers &amp; Chests'!B291 = "", "", IF('13 - Dressers &amp; Chests-WUO_ERR'!A291 = "", "Validated", HYPERLINK("#" &amp; ADDRESS(291, '13 - Dressers &amp; Chests-WUO_TRK'!A291),_xlfn.TEXTAFTER('13 - Dressers &amp; Chests-WUO_ERR'!A291, ":"))))</f>
        <v/>
      </c>
    </row>
    <row r="292">
      <c r="A292" s="39">
        <f>IF('13 - Dressers &amp; Chests'!B292 = "", "", IF('13 - Dressers &amp; Chests-WUO_ERR'!A292 = "", "Validated", HYPERLINK("#" &amp; ADDRESS(292, '13 - Dressers &amp; Chests-WUO_TRK'!A292),_xlfn.TEXTAFTER('13 - Dressers &amp; Chests-WUO_ERR'!A292, ":"))))</f>
        <v/>
      </c>
    </row>
    <row r="293">
      <c r="A293" s="39">
        <f>IF('13 - Dressers &amp; Chests'!B293 = "", "", IF('13 - Dressers &amp; Chests-WUO_ERR'!A293 = "", "Validated", HYPERLINK("#" &amp; ADDRESS(293, '13 - Dressers &amp; Chests-WUO_TRK'!A293),_xlfn.TEXTAFTER('13 - Dressers &amp; Chests-WUO_ERR'!A293, ":"))))</f>
        <v/>
      </c>
    </row>
    <row r="294">
      <c r="A294" s="39">
        <f>IF('13 - Dressers &amp; Chests'!B294 = "", "", IF('13 - Dressers &amp; Chests-WUO_ERR'!A294 = "", "Validated", HYPERLINK("#" &amp; ADDRESS(294, '13 - Dressers &amp; Chests-WUO_TRK'!A294),_xlfn.TEXTAFTER('13 - Dressers &amp; Chests-WUO_ERR'!A294, ":"))))</f>
        <v/>
      </c>
    </row>
    <row r="295">
      <c r="A295" s="39">
        <f>IF('13 - Dressers &amp; Chests'!B295 = "", "", IF('13 - Dressers &amp; Chests-WUO_ERR'!A295 = "", "Validated", HYPERLINK("#" &amp; ADDRESS(295, '13 - Dressers &amp; Chests-WUO_TRK'!A295),_xlfn.TEXTAFTER('13 - Dressers &amp; Chests-WUO_ERR'!A295, ":"))))</f>
        <v/>
      </c>
    </row>
    <row r="296">
      <c r="A296" s="39">
        <f>IF('13 - Dressers &amp; Chests'!B296 = "", "", IF('13 - Dressers &amp; Chests-WUO_ERR'!A296 = "", "Validated", HYPERLINK("#" &amp; ADDRESS(296, '13 - Dressers &amp; Chests-WUO_TRK'!A296),_xlfn.TEXTAFTER('13 - Dressers &amp; Chests-WUO_ERR'!A296, ":"))))</f>
        <v/>
      </c>
    </row>
    <row r="297">
      <c r="A297" s="39">
        <f>IF('13 - Dressers &amp; Chests'!B297 = "", "", IF('13 - Dressers &amp; Chests-WUO_ERR'!A297 = "", "Validated", HYPERLINK("#" &amp; ADDRESS(297, '13 - Dressers &amp; Chests-WUO_TRK'!A297),_xlfn.TEXTAFTER('13 - Dressers &amp; Chests-WUO_ERR'!A297, ":"))))</f>
        <v/>
      </c>
    </row>
    <row r="298">
      <c r="A298" s="39">
        <f>IF('13 - Dressers &amp; Chests'!B298 = "", "", IF('13 - Dressers &amp; Chests-WUO_ERR'!A298 = "", "Validated", HYPERLINK("#" &amp; ADDRESS(298, '13 - Dressers &amp; Chests-WUO_TRK'!A298),_xlfn.TEXTAFTER('13 - Dressers &amp; Chests-WUO_ERR'!A298, ":"))))</f>
        <v/>
      </c>
    </row>
    <row r="299">
      <c r="A299" s="39">
        <f>IF('13 - Dressers &amp; Chests'!B299 = "", "", IF('13 - Dressers &amp; Chests-WUO_ERR'!A299 = "", "Validated", HYPERLINK("#" &amp; ADDRESS(299, '13 - Dressers &amp; Chests-WUO_TRK'!A299),_xlfn.TEXTAFTER('13 - Dressers &amp; Chests-WUO_ERR'!A299, ":"))))</f>
        <v/>
      </c>
    </row>
    <row r="300">
      <c r="A300" s="39">
        <f>IF('13 - Dressers &amp; Chests'!B300 = "", "", IF('13 - Dressers &amp; Chests-WUO_ERR'!A300 = "", "Validated", HYPERLINK("#" &amp; ADDRESS(300, '13 - Dressers &amp; Chests-WUO_TRK'!A300),_xlfn.TEXTAFTER('13 - Dressers &amp; Chests-WUO_ERR'!A300, ":"))))</f>
        <v/>
      </c>
    </row>
    <row r="301">
      <c r="A301" s="39">
        <f>IF('13 - Dressers &amp; Chests'!B301 = "", "", IF('13 - Dressers &amp; Chests-WUO_ERR'!A301 = "", "Validated", HYPERLINK("#" &amp; ADDRESS(301, '13 - Dressers &amp; Chests-WUO_TRK'!A301),_xlfn.TEXTAFTER('13 - Dressers &amp; Chests-WUO_ERR'!A301, ":"))))</f>
        <v/>
      </c>
    </row>
    <row r="302">
      <c r="A302" s="39">
        <f>IF('13 - Dressers &amp; Chests'!B302 = "", "", IF('13 - Dressers &amp; Chests-WUO_ERR'!A302 = "", "Validated", HYPERLINK("#" &amp; ADDRESS(302, '13 - Dressers &amp; Chests-WUO_TRK'!A302),_xlfn.TEXTAFTER('13 - Dressers &amp; Chests-WUO_ERR'!A302, ":"))))</f>
        <v/>
      </c>
    </row>
    <row r="303">
      <c r="A303" s="39">
        <f>IF('13 - Dressers &amp; Chests'!B303 = "", "", IF('13 - Dressers &amp; Chests-WUO_ERR'!A303 = "", "Validated", HYPERLINK("#" &amp; ADDRESS(303, '13 - Dressers &amp; Chests-WUO_TRK'!A303),_xlfn.TEXTAFTER('13 - Dressers &amp; Chests-WUO_ERR'!A303, ":"))))</f>
        <v/>
      </c>
    </row>
    <row r="304">
      <c r="A304" s="39">
        <f>IF('13 - Dressers &amp; Chests'!B304 = "", "", IF('13 - Dressers &amp; Chests-WUO_ERR'!A304 = "", "Validated", HYPERLINK("#" &amp; ADDRESS(304, '13 - Dressers &amp; Chests-WUO_TRK'!A304),_xlfn.TEXTAFTER('13 - Dressers &amp; Chests-WUO_ERR'!A304, ":"))))</f>
        <v/>
      </c>
    </row>
    <row r="305">
      <c r="A305" s="39">
        <f>IF('13 - Dressers &amp; Chests'!B305 = "", "", IF('13 - Dressers &amp; Chests-WUO_ERR'!A305 = "", "Validated", HYPERLINK("#" &amp; ADDRESS(305, '13 - Dressers &amp; Chests-WUO_TRK'!A305),_xlfn.TEXTAFTER('13 - Dressers &amp; Chests-WUO_ERR'!A305, ":"))))</f>
        <v/>
      </c>
    </row>
    <row r="306">
      <c r="A306" s="39">
        <f>IF('13 - Dressers &amp; Chests'!B306 = "", "", IF('13 - Dressers &amp; Chests-WUO_ERR'!A306 = "", "Validated", HYPERLINK("#" &amp; ADDRESS(306, '13 - Dressers &amp; Chests-WUO_TRK'!A306),_xlfn.TEXTAFTER('13 - Dressers &amp; Chests-WUO_ERR'!A306, ":"))))</f>
        <v/>
      </c>
    </row>
    <row r="307">
      <c r="A307" s="39">
        <f>IF('13 - Dressers &amp; Chests'!B307 = "", "", IF('13 - Dressers &amp; Chests-WUO_ERR'!A307 = "", "Validated", HYPERLINK("#" &amp; ADDRESS(307, '13 - Dressers &amp; Chests-WUO_TRK'!A307),_xlfn.TEXTAFTER('13 - Dressers &amp; Chests-WUO_ERR'!A307, ":"))))</f>
        <v/>
      </c>
    </row>
    <row r="308">
      <c r="A308" s="39">
        <f>IF('13 - Dressers &amp; Chests'!B308 = "", "", IF('13 - Dressers &amp; Chests-WUO_ERR'!A308 = "", "Validated", HYPERLINK("#" &amp; ADDRESS(308, '13 - Dressers &amp; Chests-WUO_TRK'!A308),_xlfn.TEXTAFTER('13 - Dressers &amp; Chests-WUO_ERR'!A308, ":"))))</f>
        <v/>
      </c>
    </row>
    <row r="309">
      <c r="A309" s="39">
        <f>IF('13 - Dressers &amp; Chests'!B309 = "", "", IF('13 - Dressers &amp; Chests-WUO_ERR'!A309 = "", "Validated", HYPERLINK("#" &amp; ADDRESS(309, '13 - Dressers &amp; Chests-WUO_TRK'!A309),_xlfn.TEXTAFTER('13 - Dressers &amp; Chests-WUO_ERR'!A309, ":"))))</f>
        <v/>
      </c>
    </row>
    <row r="310">
      <c r="A310" s="39">
        <f>IF('13 - Dressers &amp; Chests'!B310 = "", "", IF('13 - Dressers &amp; Chests-WUO_ERR'!A310 = "", "Validated", HYPERLINK("#" &amp; ADDRESS(310, '13 - Dressers &amp; Chests-WUO_TRK'!A310),_xlfn.TEXTAFTER('13 - Dressers &amp; Chests-WUO_ERR'!A310, ":"))))</f>
        <v/>
      </c>
    </row>
    <row r="311">
      <c r="A311" s="39">
        <f>IF('13 - Dressers &amp; Chests'!B311 = "", "", IF('13 - Dressers &amp; Chests-WUO_ERR'!A311 = "", "Validated", HYPERLINK("#" &amp; ADDRESS(311, '13 - Dressers &amp; Chests-WUO_TRK'!A311),_xlfn.TEXTAFTER('13 - Dressers &amp; Chests-WUO_ERR'!A311, ":"))))</f>
        <v/>
      </c>
    </row>
    <row r="312">
      <c r="A312" s="39">
        <f>IF('13 - Dressers &amp; Chests'!B312 = "", "", IF('13 - Dressers &amp; Chests-WUO_ERR'!A312 = "", "Validated", HYPERLINK("#" &amp; ADDRESS(312, '13 - Dressers &amp; Chests-WUO_TRK'!A312),_xlfn.TEXTAFTER('13 - Dressers &amp; Chests-WUO_ERR'!A312, ":"))))</f>
        <v/>
      </c>
    </row>
    <row r="313">
      <c r="A313" s="39">
        <f>IF('13 - Dressers &amp; Chests'!B313 = "", "", IF('13 - Dressers &amp; Chests-WUO_ERR'!A313 = "", "Validated", HYPERLINK("#" &amp; ADDRESS(313, '13 - Dressers &amp; Chests-WUO_TRK'!A313),_xlfn.TEXTAFTER('13 - Dressers &amp; Chests-WUO_ERR'!A313, ":"))))</f>
        <v/>
      </c>
    </row>
    <row r="314">
      <c r="A314" s="39">
        <f>IF('13 - Dressers &amp; Chests'!B314 = "", "", IF('13 - Dressers &amp; Chests-WUO_ERR'!A314 = "", "Validated", HYPERLINK("#" &amp; ADDRESS(314, '13 - Dressers &amp; Chests-WUO_TRK'!A314),_xlfn.TEXTAFTER('13 - Dressers &amp; Chests-WUO_ERR'!A314, ":"))))</f>
        <v/>
      </c>
    </row>
    <row r="315">
      <c r="A315" s="39">
        <f>IF('13 - Dressers &amp; Chests'!B315 = "", "", IF('13 - Dressers &amp; Chests-WUO_ERR'!A315 = "", "Validated", HYPERLINK("#" &amp; ADDRESS(315, '13 - Dressers &amp; Chests-WUO_TRK'!A315),_xlfn.TEXTAFTER('13 - Dressers &amp; Chests-WUO_ERR'!A315, ":"))))</f>
        <v/>
      </c>
    </row>
    <row r="316">
      <c r="A316" s="39">
        <f>IF('13 - Dressers &amp; Chests'!B316 = "", "", IF('13 - Dressers &amp; Chests-WUO_ERR'!A316 = "", "Validated", HYPERLINK("#" &amp; ADDRESS(316, '13 - Dressers &amp; Chests-WUO_TRK'!A316),_xlfn.TEXTAFTER('13 - Dressers &amp; Chests-WUO_ERR'!A316, ":"))))</f>
        <v/>
      </c>
    </row>
    <row r="317">
      <c r="A317" s="39">
        <f>IF('13 - Dressers &amp; Chests'!B317 = "", "", IF('13 - Dressers &amp; Chests-WUO_ERR'!A317 = "", "Validated", HYPERLINK("#" &amp; ADDRESS(317, '13 - Dressers &amp; Chests-WUO_TRK'!A317),_xlfn.TEXTAFTER('13 - Dressers &amp; Chests-WUO_ERR'!A317, ":"))))</f>
        <v/>
      </c>
    </row>
    <row r="318">
      <c r="A318" s="39">
        <f>IF('13 - Dressers &amp; Chests'!B318 = "", "", IF('13 - Dressers &amp; Chests-WUO_ERR'!A318 = "", "Validated", HYPERLINK("#" &amp; ADDRESS(318, '13 - Dressers &amp; Chests-WUO_TRK'!A318),_xlfn.TEXTAFTER('13 - Dressers &amp; Chests-WUO_ERR'!A318, ":"))))</f>
        <v/>
      </c>
    </row>
    <row r="319">
      <c r="A319" s="39">
        <f>IF('13 - Dressers &amp; Chests'!B319 = "", "", IF('13 - Dressers &amp; Chests-WUO_ERR'!A319 = "", "Validated", HYPERLINK("#" &amp; ADDRESS(319, '13 - Dressers &amp; Chests-WUO_TRK'!A319),_xlfn.TEXTAFTER('13 - Dressers &amp; Chests-WUO_ERR'!A319, ":"))))</f>
        <v/>
      </c>
    </row>
    <row r="320">
      <c r="A320" s="39">
        <f>IF('13 - Dressers &amp; Chests'!B320 = "", "", IF('13 - Dressers &amp; Chests-WUO_ERR'!A320 = "", "Validated", HYPERLINK("#" &amp; ADDRESS(320, '13 - Dressers &amp; Chests-WUO_TRK'!A320),_xlfn.TEXTAFTER('13 - Dressers &amp; Chests-WUO_ERR'!A320, ":"))))</f>
        <v/>
      </c>
    </row>
    <row r="321">
      <c r="A321" s="39">
        <f>IF('13 - Dressers &amp; Chests'!B321 = "", "", IF('13 - Dressers &amp; Chests-WUO_ERR'!A321 = "", "Validated", HYPERLINK("#" &amp; ADDRESS(321, '13 - Dressers &amp; Chests-WUO_TRK'!A321),_xlfn.TEXTAFTER('13 - Dressers &amp; Chests-WUO_ERR'!A321, ":"))))</f>
        <v/>
      </c>
    </row>
    <row r="322">
      <c r="A322" s="39">
        <f>IF('13 - Dressers &amp; Chests'!B322 = "", "", IF('13 - Dressers &amp; Chests-WUO_ERR'!A322 = "", "Validated", HYPERLINK("#" &amp; ADDRESS(322, '13 - Dressers &amp; Chests-WUO_TRK'!A322),_xlfn.TEXTAFTER('13 - Dressers &amp; Chests-WUO_ERR'!A322, ":"))))</f>
        <v/>
      </c>
    </row>
    <row r="323">
      <c r="A323" s="39">
        <f>IF('13 - Dressers &amp; Chests'!B323 = "", "", IF('13 - Dressers &amp; Chests-WUO_ERR'!A323 = "", "Validated", HYPERLINK("#" &amp; ADDRESS(323, '13 - Dressers &amp; Chests-WUO_TRK'!A323),_xlfn.TEXTAFTER('13 - Dressers &amp; Chests-WUO_ERR'!A323, ":"))))</f>
        <v/>
      </c>
    </row>
    <row r="324">
      <c r="A324" s="39">
        <f>IF('13 - Dressers &amp; Chests'!B324 = "", "", IF('13 - Dressers &amp; Chests-WUO_ERR'!A324 = "", "Validated", HYPERLINK("#" &amp; ADDRESS(324, '13 - Dressers &amp; Chests-WUO_TRK'!A324),_xlfn.TEXTAFTER('13 - Dressers &amp; Chests-WUO_ERR'!A324, ":"))))</f>
        <v/>
      </c>
    </row>
    <row r="325">
      <c r="A325" s="39">
        <f>IF('13 - Dressers &amp; Chests'!B325 = "", "", IF('13 - Dressers &amp; Chests-WUO_ERR'!A325 = "", "Validated", HYPERLINK("#" &amp; ADDRESS(325, '13 - Dressers &amp; Chests-WUO_TRK'!A325),_xlfn.TEXTAFTER('13 - Dressers &amp; Chests-WUO_ERR'!A325, ":"))))</f>
        <v/>
      </c>
    </row>
    <row r="326">
      <c r="A326" s="39">
        <f>IF('13 - Dressers &amp; Chests'!B326 = "", "", IF('13 - Dressers &amp; Chests-WUO_ERR'!A326 = "", "Validated", HYPERLINK("#" &amp; ADDRESS(326, '13 - Dressers &amp; Chests-WUO_TRK'!A326),_xlfn.TEXTAFTER('13 - Dressers &amp; Chests-WUO_ERR'!A326, ":"))))</f>
        <v/>
      </c>
    </row>
    <row r="327">
      <c r="A327" s="39">
        <f>IF('13 - Dressers &amp; Chests'!B327 = "", "", IF('13 - Dressers &amp; Chests-WUO_ERR'!A327 = "", "Validated", HYPERLINK("#" &amp; ADDRESS(327, '13 - Dressers &amp; Chests-WUO_TRK'!A327),_xlfn.TEXTAFTER('13 - Dressers &amp; Chests-WUO_ERR'!A327, ":"))))</f>
        <v/>
      </c>
    </row>
    <row r="328">
      <c r="A328" s="39">
        <f>IF('13 - Dressers &amp; Chests'!B328 = "", "", IF('13 - Dressers &amp; Chests-WUO_ERR'!A328 = "", "Validated", HYPERLINK("#" &amp; ADDRESS(328, '13 - Dressers &amp; Chests-WUO_TRK'!A328),_xlfn.TEXTAFTER('13 - Dressers &amp; Chests-WUO_ERR'!A328, ":"))))</f>
        <v/>
      </c>
    </row>
    <row r="329">
      <c r="A329" s="39">
        <f>IF('13 - Dressers &amp; Chests'!B329 = "", "", IF('13 - Dressers &amp; Chests-WUO_ERR'!A329 = "", "Validated", HYPERLINK("#" &amp; ADDRESS(329, '13 - Dressers &amp; Chests-WUO_TRK'!A329),_xlfn.TEXTAFTER('13 - Dressers &amp; Chests-WUO_ERR'!A329, ":"))))</f>
        <v/>
      </c>
    </row>
    <row r="330">
      <c r="A330" s="39">
        <f>IF('13 - Dressers &amp; Chests'!B330 = "", "", IF('13 - Dressers &amp; Chests-WUO_ERR'!A330 = "", "Validated", HYPERLINK("#" &amp; ADDRESS(330, '13 - Dressers &amp; Chests-WUO_TRK'!A330),_xlfn.TEXTAFTER('13 - Dressers &amp; Chests-WUO_ERR'!A330, ":"))))</f>
        <v/>
      </c>
    </row>
    <row r="331">
      <c r="A331" s="39">
        <f>IF('13 - Dressers &amp; Chests'!B331 = "", "", IF('13 - Dressers &amp; Chests-WUO_ERR'!A331 = "", "Validated", HYPERLINK("#" &amp; ADDRESS(331, '13 - Dressers &amp; Chests-WUO_TRK'!A331),_xlfn.TEXTAFTER('13 - Dressers &amp; Chests-WUO_ERR'!A331, ":"))))</f>
        <v/>
      </c>
    </row>
    <row r="332">
      <c r="A332" s="39">
        <f>IF('13 - Dressers &amp; Chests'!B332 = "", "", IF('13 - Dressers &amp; Chests-WUO_ERR'!A332 = "", "Validated", HYPERLINK("#" &amp; ADDRESS(332, '13 - Dressers &amp; Chests-WUO_TRK'!A332),_xlfn.TEXTAFTER('13 - Dressers &amp; Chests-WUO_ERR'!A332, ":"))))</f>
        <v/>
      </c>
    </row>
    <row r="333">
      <c r="A333" s="39">
        <f>IF('13 - Dressers &amp; Chests'!B333 = "", "", IF('13 - Dressers &amp; Chests-WUO_ERR'!A333 = "", "Validated", HYPERLINK("#" &amp; ADDRESS(333, '13 - Dressers &amp; Chests-WUO_TRK'!A333),_xlfn.TEXTAFTER('13 - Dressers &amp; Chests-WUO_ERR'!A333, ":"))))</f>
        <v/>
      </c>
    </row>
    <row r="334">
      <c r="A334" s="39">
        <f>IF('13 - Dressers &amp; Chests'!B334 = "", "", IF('13 - Dressers &amp; Chests-WUO_ERR'!A334 = "", "Validated", HYPERLINK("#" &amp; ADDRESS(334, '13 - Dressers &amp; Chests-WUO_TRK'!A334),_xlfn.TEXTAFTER('13 - Dressers &amp; Chests-WUO_ERR'!A334, ":"))))</f>
        <v/>
      </c>
    </row>
    <row r="335">
      <c r="A335" s="39">
        <f>IF('13 - Dressers &amp; Chests'!B335 = "", "", IF('13 - Dressers &amp; Chests-WUO_ERR'!A335 = "", "Validated", HYPERLINK("#" &amp; ADDRESS(335, '13 - Dressers &amp; Chests-WUO_TRK'!A335),_xlfn.TEXTAFTER('13 - Dressers &amp; Chests-WUO_ERR'!A335, ":"))))</f>
        <v/>
      </c>
    </row>
    <row r="336">
      <c r="A336" s="39">
        <f>IF('13 - Dressers &amp; Chests'!B336 = "", "", IF('13 - Dressers &amp; Chests-WUO_ERR'!A336 = "", "Validated", HYPERLINK("#" &amp; ADDRESS(336, '13 - Dressers &amp; Chests-WUO_TRK'!A336),_xlfn.TEXTAFTER('13 - Dressers &amp; Chests-WUO_ERR'!A336, ":"))))</f>
        <v/>
      </c>
    </row>
    <row r="337">
      <c r="A337" s="39">
        <f>IF('13 - Dressers &amp; Chests'!B337 = "", "", IF('13 - Dressers &amp; Chests-WUO_ERR'!A337 = "", "Validated", HYPERLINK("#" &amp; ADDRESS(337, '13 - Dressers &amp; Chests-WUO_TRK'!A337),_xlfn.TEXTAFTER('13 - Dressers &amp; Chests-WUO_ERR'!A337, ":"))))</f>
        <v/>
      </c>
    </row>
    <row r="338">
      <c r="A338" s="39">
        <f>IF('13 - Dressers &amp; Chests'!B338 = "", "", IF('13 - Dressers &amp; Chests-WUO_ERR'!A338 = "", "Validated", HYPERLINK("#" &amp; ADDRESS(338, '13 - Dressers &amp; Chests-WUO_TRK'!A338),_xlfn.TEXTAFTER('13 - Dressers &amp; Chests-WUO_ERR'!A338, ":"))))</f>
        <v/>
      </c>
    </row>
    <row r="339">
      <c r="A339" s="39">
        <f>IF('13 - Dressers &amp; Chests'!B339 = "", "", IF('13 - Dressers &amp; Chests-WUO_ERR'!A339 = "", "Validated", HYPERLINK("#" &amp; ADDRESS(339, '13 - Dressers &amp; Chests-WUO_TRK'!A339),_xlfn.TEXTAFTER('13 - Dressers &amp; Chests-WUO_ERR'!A339, ":"))))</f>
        <v/>
      </c>
    </row>
    <row r="340">
      <c r="A340" s="39">
        <f>IF('13 - Dressers &amp; Chests'!B340 = "", "", IF('13 - Dressers &amp; Chests-WUO_ERR'!A340 = "", "Validated", HYPERLINK("#" &amp; ADDRESS(340, '13 - Dressers &amp; Chests-WUO_TRK'!A340),_xlfn.TEXTAFTER('13 - Dressers &amp; Chests-WUO_ERR'!A340, ":"))))</f>
        <v/>
      </c>
    </row>
    <row r="341">
      <c r="A341" s="39">
        <f>IF('13 - Dressers &amp; Chests'!B341 = "", "", IF('13 - Dressers &amp; Chests-WUO_ERR'!A341 = "", "Validated", HYPERLINK("#" &amp; ADDRESS(341, '13 - Dressers &amp; Chests-WUO_TRK'!A341),_xlfn.TEXTAFTER('13 - Dressers &amp; Chests-WUO_ERR'!A341, ":"))))</f>
        <v/>
      </c>
    </row>
    <row r="342">
      <c r="A342" s="39">
        <f>IF('13 - Dressers &amp; Chests'!B342 = "", "", IF('13 - Dressers &amp; Chests-WUO_ERR'!A342 = "", "Validated", HYPERLINK("#" &amp; ADDRESS(342, '13 - Dressers &amp; Chests-WUO_TRK'!A342),_xlfn.TEXTAFTER('13 - Dressers &amp; Chests-WUO_ERR'!A342, ":"))))</f>
        <v/>
      </c>
    </row>
    <row r="343">
      <c r="A343" s="39">
        <f>IF('13 - Dressers &amp; Chests'!B343 = "", "", IF('13 - Dressers &amp; Chests-WUO_ERR'!A343 = "", "Validated", HYPERLINK("#" &amp; ADDRESS(343, '13 - Dressers &amp; Chests-WUO_TRK'!A343),_xlfn.TEXTAFTER('13 - Dressers &amp; Chests-WUO_ERR'!A343, ":"))))</f>
        <v/>
      </c>
    </row>
    <row r="344">
      <c r="A344" s="39">
        <f>IF('13 - Dressers &amp; Chests'!B344 = "", "", IF('13 - Dressers &amp; Chests-WUO_ERR'!A344 = "", "Validated", HYPERLINK("#" &amp; ADDRESS(344, '13 - Dressers &amp; Chests-WUO_TRK'!A344),_xlfn.TEXTAFTER('13 - Dressers &amp; Chests-WUO_ERR'!A344, ":"))))</f>
        <v/>
      </c>
    </row>
    <row r="345">
      <c r="A345" s="39">
        <f>IF('13 - Dressers &amp; Chests'!B345 = "", "", IF('13 - Dressers &amp; Chests-WUO_ERR'!A345 = "", "Validated", HYPERLINK("#" &amp; ADDRESS(345, '13 - Dressers &amp; Chests-WUO_TRK'!A345),_xlfn.TEXTAFTER('13 - Dressers &amp; Chests-WUO_ERR'!A345, ":"))))</f>
        <v/>
      </c>
    </row>
    <row r="346">
      <c r="A346" s="39">
        <f>IF('13 - Dressers &amp; Chests'!B346 = "", "", IF('13 - Dressers &amp; Chests-WUO_ERR'!A346 = "", "Validated", HYPERLINK("#" &amp; ADDRESS(346, '13 - Dressers &amp; Chests-WUO_TRK'!A346),_xlfn.TEXTAFTER('13 - Dressers &amp; Chests-WUO_ERR'!A346, ":"))))</f>
        <v/>
      </c>
    </row>
    <row r="347">
      <c r="A347" s="39">
        <f>IF('13 - Dressers &amp; Chests'!B347 = "", "", IF('13 - Dressers &amp; Chests-WUO_ERR'!A347 = "", "Validated", HYPERLINK("#" &amp; ADDRESS(347, '13 - Dressers &amp; Chests-WUO_TRK'!A347),_xlfn.TEXTAFTER('13 - Dressers &amp; Chests-WUO_ERR'!A347, ":"))))</f>
        <v/>
      </c>
    </row>
    <row r="348">
      <c r="A348" s="39">
        <f>IF('13 - Dressers &amp; Chests'!B348 = "", "", IF('13 - Dressers &amp; Chests-WUO_ERR'!A348 = "", "Validated", HYPERLINK("#" &amp; ADDRESS(348, '13 - Dressers &amp; Chests-WUO_TRK'!A348),_xlfn.TEXTAFTER('13 - Dressers &amp; Chests-WUO_ERR'!A348, ":"))))</f>
        <v/>
      </c>
    </row>
    <row r="349">
      <c r="A349" s="39">
        <f>IF('13 - Dressers &amp; Chests'!B349 = "", "", IF('13 - Dressers &amp; Chests-WUO_ERR'!A349 = "", "Validated", HYPERLINK("#" &amp; ADDRESS(349, '13 - Dressers &amp; Chests-WUO_TRK'!A349),_xlfn.TEXTAFTER('13 - Dressers &amp; Chests-WUO_ERR'!A349, ":"))))</f>
        <v/>
      </c>
    </row>
    <row r="350">
      <c r="A350" s="39">
        <f>IF('13 - Dressers &amp; Chests'!B350 = "", "", IF('13 - Dressers &amp; Chests-WUO_ERR'!A350 = "", "Validated", HYPERLINK("#" &amp; ADDRESS(350, '13 - Dressers &amp; Chests-WUO_TRK'!A350),_xlfn.TEXTAFTER('13 - Dressers &amp; Chests-WUO_ERR'!A350, ":"))))</f>
        <v/>
      </c>
    </row>
    <row r="351">
      <c r="A351" s="39">
        <f>IF('13 - Dressers &amp; Chests'!B351 = "", "", IF('13 - Dressers &amp; Chests-WUO_ERR'!A351 = "", "Validated", HYPERLINK("#" &amp; ADDRESS(351, '13 - Dressers &amp; Chests-WUO_TRK'!A351),_xlfn.TEXTAFTER('13 - Dressers &amp; Chests-WUO_ERR'!A351, ":"))))</f>
        <v/>
      </c>
    </row>
    <row r="352">
      <c r="A352" s="39">
        <f>IF('13 - Dressers &amp; Chests'!B352 = "", "", IF('13 - Dressers &amp; Chests-WUO_ERR'!A352 = "", "Validated", HYPERLINK("#" &amp; ADDRESS(352, '13 - Dressers &amp; Chests-WUO_TRK'!A352),_xlfn.TEXTAFTER('13 - Dressers &amp; Chests-WUO_ERR'!A352, ":"))))</f>
        <v/>
      </c>
    </row>
    <row r="353">
      <c r="A353" s="39">
        <f>IF('13 - Dressers &amp; Chests'!B353 = "", "", IF('13 - Dressers &amp; Chests-WUO_ERR'!A353 = "", "Validated", HYPERLINK("#" &amp; ADDRESS(353, '13 - Dressers &amp; Chests-WUO_TRK'!A353),_xlfn.TEXTAFTER('13 - Dressers &amp; Chests-WUO_ERR'!A353, ":"))))</f>
        <v/>
      </c>
    </row>
    <row r="354">
      <c r="A354" s="39">
        <f>IF('13 - Dressers &amp; Chests'!B354 = "", "", IF('13 - Dressers &amp; Chests-WUO_ERR'!A354 = "", "Validated", HYPERLINK("#" &amp; ADDRESS(354, '13 - Dressers &amp; Chests-WUO_TRK'!A354),_xlfn.TEXTAFTER('13 - Dressers &amp; Chests-WUO_ERR'!A354, ":"))))</f>
        <v/>
      </c>
    </row>
    <row r="355">
      <c r="A355" s="39">
        <f>IF('13 - Dressers &amp; Chests'!B355 = "", "", IF('13 - Dressers &amp; Chests-WUO_ERR'!A355 = "", "Validated", HYPERLINK("#" &amp; ADDRESS(355, '13 - Dressers &amp; Chests-WUO_TRK'!A355),_xlfn.TEXTAFTER('13 - Dressers &amp; Chests-WUO_ERR'!A355, ":"))))</f>
        <v/>
      </c>
    </row>
    <row r="356">
      <c r="A356" s="39">
        <f>IF('13 - Dressers &amp; Chests'!B356 = "", "", IF('13 - Dressers &amp; Chests-WUO_ERR'!A356 = "", "Validated", HYPERLINK("#" &amp; ADDRESS(356, '13 - Dressers &amp; Chests-WUO_TRK'!A356),_xlfn.TEXTAFTER('13 - Dressers &amp; Chests-WUO_ERR'!A356, ":"))))</f>
        <v/>
      </c>
    </row>
    <row r="357">
      <c r="A357" s="39">
        <f>IF('13 - Dressers &amp; Chests'!B357 = "", "", IF('13 - Dressers &amp; Chests-WUO_ERR'!A357 = "", "Validated", HYPERLINK("#" &amp; ADDRESS(357, '13 - Dressers &amp; Chests-WUO_TRK'!A357),_xlfn.TEXTAFTER('13 - Dressers &amp; Chests-WUO_ERR'!A357, ":"))))</f>
        <v/>
      </c>
    </row>
    <row r="358">
      <c r="A358" s="39">
        <f>IF('13 - Dressers &amp; Chests'!B358 = "", "", IF('13 - Dressers &amp; Chests-WUO_ERR'!A358 = "", "Validated", HYPERLINK("#" &amp; ADDRESS(358, '13 - Dressers &amp; Chests-WUO_TRK'!A358),_xlfn.TEXTAFTER('13 - Dressers &amp; Chests-WUO_ERR'!A358, ":"))))</f>
        <v/>
      </c>
    </row>
    <row r="359">
      <c r="A359" s="39">
        <f>IF('13 - Dressers &amp; Chests'!B359 = "", "", IF('13 - Dressers &amp; Chests-WUO_ERR'!A359 = "", "Validated", HYPERLINK("#" &amp; ADDRESS(359, '13 - Dressers &amp; Chests-WUO_TRK'!A359),_xlfn.TEXTAFTER('13 - Dressers &amp; Chests-WUO_ERR'!A359, ":"))))</f>
        <v/>
      </c>
    </row>
    <row r="360">
      <c r="A360" s="39">
        <f>IF('13 - Dressers &amp; Chests'!B360 = "", "", IF('13 - Dressers &amp; Chests-WUO_ERR'!A360 = "", "Validated", HYPERLINK("#" &amp; ADDRESS(360, '13 - Dressers &amp; Chests-WUO_TRK'!A360),_xlfn.TEXTAFTER('13 - Dressers &amp; Chests-WUO_ERR'!A360, ":"))))</f>
        <v/>
      </c>
    </row>
    <row r="361">
      <c r="A361" s="39">
        <f>IF('13 - Dressers &amp; Chests'!B361 = "", "", IF('13 - Dressers &amp; Chests-WUO_ERR'!A361 = "", "Validated", HYPERLINK("#" &amp; ADDRESS(361, '13 - Dressers &amp; Chests-WUO_TRK'!A361),_xlfn.TEXTAFTER('13 - Dressers &amp; Chests-WUO_ERR'!A361, ":"))))</f>
        <v/>
      </c>
    </row>
    <row r="362">
      <c r="A362" s="39">
        <f>IF('13 - Dressers &amp; Chests'!B362 = "", "", IF('13 - Dressers &amp; Chests-WUO_ERR'!A362 = "", "Validated", HYPERLINK("#" &amp; ADDRESS(362, '13 - Dressers &amp; Chests-WUO_TRK'!A362),_xlfn.TEXTAFTER('13 - Dressers &amp; Chests-WUO_ERR'!A362, ":"))))</f>
        <v/>
      </c>
    </row>
    <row r="363">
      <c r="A363" s="39">
        <f>IF('13 - Dressers &amp; Chests'!B363 = "", "", IF('13 - Dressers &amp; Chests-WUO_ERR'!A363 = "", "Validated", HYPERLINK("#" &amp; ADDRESS(363, '13 - Dressers &amp; Chests-WUO_TRK'!A363),_xlfn.TEXTAFTER('13 - Dressers &amp; Chests-WUO_ERR'!A363, ":"))))</f>
        <v/>
      </c>
    </row>
    <row r="364">
      <c r="A364" s="39">
        <f>IF('13 - Dressers &amp; Chests'!B364 = "", "", IF('13 - Dressers &amp; Chests-WUO_ERR'!A364 = "", "Validated", HYPERLINK("#" &amp; ADDRESS(364, '13 - Dressers &amp; Chests-WUO_TRK'!A364),_xlfn.TEXTAFTER('13 - Dressers &amp; Chests-WUO_ERR'!A364, ":"))))</f>
        <v/>
      </c>
    </row>
    <row r="365">
      <c r="A365" s="39">
        <f>IF('13 - Dressers &amp; Chests'!B365 = "", "", IF('13 - Dressers &amp; Chests-WUO_ERR'!A365 = "", "Validated", HYPERLINK("#" &amp; ADDRESS(365, '13 - Dressers &amp; Chests-WUO_TRK'!A365),_xlfn.TEXTAFTER('13 - Dressers &amp; Chests-WUO_ERR'!A365, ":"))))</f>
        <v/>
      </c>
    </row>
    <row r="366">
      <c r="A366" s="39">
        <f>IF('13 - Dressers &amp; Chests'!B366 = "", "", IF('13 - Dressers &amp; Chests-WUO_ERR'!A366 = "", "Validated", HYPERLINK("#" &amp; ADDRESS(366, '13 - Dressers &amp; Chests-WUO_TRK'!A366),_xlfn.TEXTAFTER('13 - Dressers &amp; Chests-WUO_ERR'!A366, ":"))))</f>
        <v/>
      </c>
    </row>
    <row r="367">
      <c r="A367" s="39">
        <f>IF('13 - Dressers &amp; Chests'!B367 = "", "", IF('13 - Dressers &amp; Chests-WUO_ERR'!A367 = "", "Validated", HYPERLINK("#" &amp; ADDRESS(367, '13 - Dressers &amp; Chests-WUO_TRK'!A367),_xlfn.TEXTAFTER('13 - Dressers &amp; Chests-WUO_ERR'!A367, ":"))))</f>
        <v/>
      </c>
    </row>
    <row r="368">
      <c r="A368" s="39">
        <f>IF('13 - Dressers &amp; Chests'!B368 = "", "", IF('13 - Dressers &amp; Chests-WUO_ERR'!A368 = "", "Validated", HYPERLINK("#" &amp; ADDRESS(368, '13 - Dressers &amp; Chests-WUO_TRK'!A368),_xlfn.TEXTAFTER('13 - Dressers &amp; Chests-WUO_ERR'!A368, ":"))))</f>
        <v/>
      </c>
    </row>
    <row r="369">
      <c r="A369" s="39">
        <f>IF('13 - Dressers &amp; Chests'!B369 = "", "", IF('13 - Dressers &amp; Chests-WUO_ERR'!A369 = "", "Validated", HYPERLINK("#" &amp; ADDRESS(369, '13 - Dressers &amp; Chests-WUO_TRK'!A369),_xlfn.TEXTAFTER('13 - Dressers &amp; Chests-WUO_ERR'!A369, ":"))))</f>
        <v/>
      </c>
    </row>
    <row r="370">
      <c r="A370" s="39">
        <f>IF('13 - Dressers &amp; Chests'!B370 = "", "", IF('13 - Dressers &amp; Chests-WUO_ERR'!A370 = "", "Validated", HYPERLINK("#" &amp; ADDRESS(370, '13 - Dressers &amp; Chests-WUO_TRK'!A370),_xlfn.TEXTAFTER('13 - Dressers &amp; Chests-WUO_ERR'!A370, ":"))))</f>
        <v/>
      </c>
    </row>
    <row r="371">
      <c r="A371" s="39">
        <f>IF('13 - Dressers &amp; Chests'!B371 = "", "", IF('13 - Dressers &amp; Chests-WUO_ERR'!A371 = "", "Validated", HYPERLINK("#" &amp; ADDRESS(371, '13 - Dressers &amp; Chests-WUO_TRK'!A371),_xlfn.TEXTAFTER('13 - Dressers &amp; Chests-WUO_ERR'!A371, ":"))))</f>
        <v/>
      </c>
    </row>
    <row r="372">
      <c r="A372" s="39">
        <f>IF('13 - Dressers &amp; Chests'!B372 = "", "", IF('13 - Dressers &amp; Chests-WUO_ERR'!A372 = "", "Validated", HYPERLINK("#" &amp; ADDRESS(372, '13 - Dressers &amp; Chests-WUO_TRK'!A372),_xlfn.TEXTAFTER('13 - Dressers &amp; Chests-WUO_ERR'!A372, ":"))))</f>
        <v/>
      </c>
    </row>
    <row r="373">
      <c r="A373" s="39">
        <f>IF('13 - Dressers &amp; Chests'!B373 = "", "", IF('13 - Dressers &amp; Chests-WUO_ERR'!A373 = "", "Validated", HYPERLINK("#" &amp; ADDRESS(373, '13 - Dressers &amp; Chests-WUO_TRK'!A373),_xlfn.TEXTAFTER('13 - Dressers &amp; Chests-WUO_ERR'!A373, ":"))))</f>
        <v/>
      </c>
    </row>
    <row r="374">
      <c r="A374" s="39">
        <f>IF('13 - Dressers &amp; Chests'!B374 = "", "", IF('13 - Dressers &amp; Chests-WUO_ERR'!A374 = "", "Validated", HYPERLINK("#" &amp; ADDRESS(374, '13 - Dressers &amp; Chests-WUO_TRK'!A374),_xlfn.TEXTAFTER('13 - Dressers &amp; Chests-WUO_ERR'!A374, ":"))))</f>
        <v/>
      </c>
    </row>
    <row r="375">
      <c r="A375" s="39">
        <f>IF('13 - Dressers &amp; Chests'!B375 = "", "", IF('13 - Dressers &amp; Chests-WUO_ERR'!A375 = "", "Validated", HYPERLINK("#" &amp; ADDRESS(375, '13 - Dressers &amp; Chests-WUO_TRK'!A375),_xlfn.TEXTAFTER('13 - Dressers &amp; Chests-WUO_ERR'!A375, ":"))))</f>
        <v/>
      </c>
    </row>
    <row r="376">
      <c r="A376" s="39">
        <f>IF('13 - Dressers &amp; Chests'!B376 = "", "", IF('13 - Dressers &amp; Chests-WUO_ERR'!A376 = "", "Validated", HYPERLINK("#" &amp; ADDRESS(376, '13 - Dressers &amp; Chests-WUO_TRK'!A376),_xlfn.TEXTAFTER('13 - Dressers &amp; Chests-WUO_ERR'!A376, ":"))))</f>
        <v/>
      </c>
    </row>
    <row r="377">
      <c r="A377" s="39">
        <f>IF('13 - Dressers &amp; Chests'!B377 = "", "", IF('13 - Dressers &amp; Chests-WUO_ERR'!A377 = "", "Validated", HYPERLINK("#" &amp; ADDRESS(377, '13 - Dressers &amp; Chests-WUO_TRK'!A377),_xlfn.TEXTAFTER('13 - Dressers &amp; Chests-WUO_ERR'!A377, ":"))))</f>
        <v/>
      </c>
    </row>
    <row r="378">
      <c r="A378" s="39">
        <f>IF('13 - Dressers &amp; Chests'!B378 = "", "", IF('13 - Dressers &amp; Chests-WUO_ERR'!A378 = "", "Validated", HYPERLINK("#" &amp; ADDRESS(378, '13 - Dressers &amp; Chests-WUO_TRK'!A378),_xlfn.TEXTAFTER('13 - Dressers &amp; Chests-WUO_ERR'!A378, ":"))))</f>
        <v/>
      </c>
    </row>
    <row r="379">
      <c r="A379" s="39">
        <f>IF('13 - Dressers &amp; Chests'!B379 = "", "", IF('13 - Dressers &amp; Chests-WUO_ERR'!A379 = "", "Validated", HYPERLINK("#" &amp; ADDRESS(379, '13 - Dressers &amp; Chests-WUO_TRK'!A379),_xlfn.TEXTAFTER('13 - Dressers &amp; Chests-WUO_ERR'!A379, ":"))))</f>
        <v/>
      </c>
    </row>
    <row r="380">
      <c r="A380" s="39">
        <f>IF('13 - Dressers &amp; Chests'!B380 = "", "", IF('13 - Dressers &amp; Chests-WUO_ERR'!A380 = "", "Validated", HYPERLINK("#" &amp; ADDRESS(380, '13 - Dressers &amp; Chests-WUO_TRK'!A380),_xlfn.TEXTAFTER('13 - Dressers &amp; Chests-WUO_ERR'!A380, ":"))))</f>
        <v/>
      </c>
    </row>
    <row r="381">
      <c r="A381" s="39">
        <f>IF('13 - Dressers &amp; Chests'!B381 = "", "", IF('13 - Dressers &amp; Chests-WUO_ERR'!A381 = "", "Validated", HYPERLINK("#" &amp; ADDRESS(381, '13 - Dressers &amp; Chests-WUO_TRK'!A381),_xlfn.TEXTAFTER('13 - Dressers &amp; Chests-WUO_ERR'!A381, ":"))))</f>
        <v/>
      </c>
    </row>
    <row r="382">
      <c r="A382" s="39">
        <f>IF('13 - Dressers &amp; Chests'!B382 = "", "", IF('13 - Dressers &amp; Chests-WUO_ERR'!A382 = "", "Validated", HYPERLINK("#" &amp; ADDRESS(382, '13 - Dressers &amp; Chests-WUO_TRK'!A382),_xlfn.TEXTAFTER('13 - Dressers &amp; Chests-WUO_ERR'!A382, ":"))))</f>
        <v/>
      </c>
    </row>
    <row r="383">
      <c r="A383" s="39">
        <f>IF('13 - Dressers &amp; Chests'!B383 = "", "", IF('13 - Dressers &amp; Chests-WUO_ERR'!A383 = "", "Validated", HYPERLINK("#" &amp; ADDRESS(383, '13 - Dressers &amp; Chests-WUO_TRK'!A383),_xlfn.TEXTAFTER('13 - Dressers &amp; Chests-WUO_ERR'!A383, ":"))))</f>
        <v/>
      </c>
    </row>
    <row r="384">
      <c r="A384" s="39">
        <f>IF('13 - Dressers &amp; Chests'!B384 = "", "", IF('13 - Dressers &amp; Chests-WUO_ERR'!A384 = "", "Validated", HYPERLINK("#" &amp; ADDRESS(384, '13 - Dressers &amp; Chests-WUO_TRK'!A384),_xlfn.TEXTAFTER('13 - Dressers &amp; Chests-WUO_ERR'!A384, ":"))))</f>
        <v/>
      </c>
    </row>
    <row r="385">
      <c r="A385" s="39">
        <f>IF('13 - Dressers &amp; Chests'!B385 = "", "", IF('13 - Dressers &amp; Chests-WUO_ERR'!A385 = "", "Validated", HYPERLINK("#" &amp; ADDRESS(385, '13 - Dressers &amp; Chests-WUO_TRK'!A385),_xlfn.TEXTAFTER('13 - Dressers &amp; Chests-WUO_ERR'!A385, ":"))))</f>
        <v/>
      </c>
    </row>
    <row r="386">
      <c r="A386" s="39">
        <f>IF('13 - Dressers &amp; Chests'!B386 = "", "", IF('13 - Dressers &amp; Chests-WUO_ERR'!A386 = "", "Validated", HYPERLINK("#" &amp; ADDRESS(386, '13 - Dressers &amp; Chests-WUO_TRK'!A386),_xlfn.TEXTAFTER('13 - Dressers &amp; Chests-WUO_ERR'!A386, ":"))))</f>
        <v/>
      </c>
    </row>
    <row r="387">
      <c r="A387" s="39">
        <f>IF('13 - Dressers &amp; Chests'!B387 = "", "", IF('13 - Dressers &amp; Chests-WUO_ERR'!A387 = "", "Validated", HYPERLINK("#" &amp; ADDRESS(387, '13 - Dressers &amp; Chests-WUO_TRK'!A387),_xlfn.TEXTAFTER('13 - Dressers &amp; Chests-WUO_ERR'!A387, ":"))))</f>
        <v/>
      </c>
    </row>
    <row r="388">
      <c r="A388" s="39">
        <f>IF('13 - Dressers &amp; Chests'!B388 = "", "", IF('13 - Dressers &amp; Chests-WUO_ERR'!A388 = "", "Validated", HYPERLINK("#" &amp; ADDRESS(388, '13 - Dressers &amp; Chests-WUO_TRK'!A388),_xlfn.TEXTAFTER('13 - Dressers &amp; Chests-WUO_ERR'!A388, ":"))))</f>
        <v/>
      </c>
    </row>
    <row r="389">
      <c r="A389" s="39">
        <f>IF('13 - Dressers &amp; Chests'!B389 = "", "", IF('13 - Dressers &amp; Chests-WUO_ERR'!A389 = "", "Validated", HYPERLINK("#" &amp; ADDRESS(389, '13 - Dressers &amp; Chests-WUO_TRK'!A389),_xlfn.TEXTAFTER('13 - Dressers &amp; Chests-WUO_ERR'!A389, ":"))))</f>
        <v/>
      </c>
    </row>
    <row r="390">
      <c r="A390" s="39">
        <f>IF('13 - Dressers &amp; Chests'!B390 = "", "", IF('13 - Dressers &amp; Chests-WUO_ERR'!A390 = "", "Validated", HYPERLINK("#" &amp; ADDRESS(390, '13 - Dressers &amp; Chests-WUO_TRK'!A390),_xlfn.TEXTAFTER('13 - Dressers &amp; Chests-WUO_ERR'!A390, ":"))))</f>
        <v/>
      </c>
    </row>
    <row r="391">
      <c r="A391" s="39">
        <f>IF('13 - Dressers &amp; Chests'!B391 = "", "", IF('13 - Dressers &amp; Chests-WUO_ERR'!A391 = "", "Validated", HYPERLINK("#" &amp; ADDRESS(391, '13 - Dressers &amp; Chests-WUO_TRK'!A391),_xlfn.TEXTAFTER('13 - Dressers &amp; Chests-WUO_ERR'!A391, ":"))))</f>
        <v/>
      </c>
    </row>
    <row r="392">
      <c r="A392" s="39">
        <f>IF('13 - Dressers &amp; Chests'!B392 = "", "", IF('13 - Dressers &amp; Chests-WUO_ERR'!A392 = "", "Validated", HYPERLINK("#" &amp; ADDRESS(392, '13 - Dressers &amp; Chests-WUO_TRK'!A392),_xlfn.TEXTAFTER('13 - Dressers &amp; Chests-WUO_ERR'!A392, ":"))))</f>
        <v/>
      </c>
    </row>
    <row r="393">
      <c r="A393" s="39">
        <f>IF('13 - Dressers &amp; Chests'!B393 = "", "", IF('13 - Dressers &amp; Chests-WUO_ERR'!A393 = "", "Validated", HYPERLINK("#" &amp; ADDRESS(393, '13 - Dressers &amp; Chests-WUO_TRK'!A393),_xlfn.TEXTAFTER('13 - Dressers &amp; Chests-WUO_ERR'!A393, ":"))))</f>
        <v/>
      </c>
    </row>
    <row r="394">
      <c r="A394" s="39">
        <f>IF('13 - Dressers &amp; Chests'!B394 = "", "", IF('13 - Dressers &amp; Chests-WUO_ERR'!A394 = "", "Validated", HYPERLINK("#" &amp; ADDRESS(394, '13 - Dressers &amp; Chests-WUO_TRK'!A394),_xlfn.TEXTAFTER('13 - Dressers &amp; Chests-WUO_ERR'!A394, ":"))))</f>
        <v/>
      </c>
    </row>
    <row r="395">
      <c r="A395" s="39">
        <f>IF('13 - Dressers &amp; Chests'!B395 = "", "", IF('13 - Dressers &amp; Chests-WUO_ERR'!A395 = "", "Validated", HYPERLINK("#" &amp; ADDRESS(395, '13 - Dressers &amp; Chests-WUO_TRK'!A395),_xlfn.TEXTAFTER('13 - Dressers &amp; Chests-WUO_ERR'!A395, ":"))))</f>
        <v/>
      </c>
    </row>
    <row r="396">
      <c r="A396" s="39">
        <f>IF('13 - Dressers &amp; Chests'!B396 = "", "", IF('13 - Dressers &amp; Chests-WUO_ERR'!A396 = "", "Validated", HYPERLINK("#" &amp; ADDRESS(396, '13 - Dressers &amp; Chests-WUO_TRK'!A396),_xlfn.TEXTAFTER('13 - Dressers &amp; Chests-WUO_ERR'!A396, ":"))))</f>
        <v/>
      </c>
    </row>
    <row r="397">
      <c r="A397" s="39">
        <f>IF('13 - Dressers &amp; Chests'!B397 = "", "", IF('13 - Dressers &amp; Chests-WUO_ERR'!A397 = "", "Validated", HYPERLINK("#" &amp; ADDRESS(397, '13 - Dressers &amp; Chests-WUO_TRK'!A397),_xlfn.TEXTAFTER('13 - Dressers &amp; Chests-WUO_ERR'!A397, ":"))))</f>
        <v/>
      </c>
    </row>
    <row r="398">
      <c r="A398" s="39">
        <f>IF('13 - Dressers &amp; Chests'!B398 = "", "", IF('13 - Dressers &amp; Chests-WUO_ERR'!A398 = "", "Validated", HYPERLINK("#" &amp; ADDRESS(398, '13 - Dressers &amp; Chests-WUO_TRK'!A398),_xlfn.TEXTAFTER('13 - Dressers &amp; Chests-WUO_ERR'!A398, ":"))))</f>
        <v/>
      </c>
    </row>
    <row r="399">
      <c r="A399" s="39">
        <f>IF('13 - Dressers &amp; Chests'!B399 = "", "", IF('13 - Dressers &amp; Chests-WUO_ERR'!A399 = "", "Validated", HYPERLINK("#" &amp; ADDRESS(399, '13 - Dressers &amp; Chests-WUO_TRK'!A399),_xlfn.TEXTAFTER('13 - Dressers &amp; Chests-WUO_ERR'!A399, ":"))))</f>
        <v/>
      </c>
    </row>
    <row r="400">
      <c r="A400" s="39">
        <f>IF('13 - Dressers &amp; Chests'!B400 = "", "", IF('13 - Dressers &amp; Chests-WUO_ERR'!A400 = "", "Validated", HYPERLINK("#" &amp; ADDRESS(400, '13 - Dressers &amp; Chests-WUO_TRK'!A400),_xlfn.TEXTAFTER('13 - Dressers &amp; Chests-WUO_ERR'!A400, ":"))))</f>
        <v/>
      </c>
    </row>
    <row r="401">
      <c r="A401" s="39">
        <f>IF('13 - Dressers &amp; Chests'!B401 = "", "", IF('13 - Dressers &amp; Chests-WUO_ERR'!A401 = "", "Validated", HYPERLINK("#" &amp; ADDRESS(401, '13 - Dressers &amp; Chests-WUO_TRK'!A401),_xlfn.TEXTAFTER('13 - Dressers &amp; Chests-WUO_ERR'!A401, ":"))))</f>
        <v/>
      </c>
    </row>
    <row r="402">
      <c r="A402" s="39">
        <f>IF('13 - Dressers &amp; Chests'!B402 = "", "", IF('13 - Dressers &amp; Chests-WUO_ERR'!A402 = "", "Validated", HYPERLINK("#" &amp; ADDRESS(402, '13 - Dressers &amp; Chests-WUO_TRK'!A402),_xlfn.TEXTAFTER('13 - Dressers &amp; Chests-WUO_ERR'!A402, ":"))))</f>
        <v/>
      </c>
    </row>
    <row r="403">
      <c r="A403" s="39">
        <f>IF('13 - Dressers &amp; Chests'!B403 = "", "", IF('13 - Dressers &amp; Chests-WUO_ERR'!A403 = "", "Validated", HYPERLINK("#" &amp; ADDRESS(403, '13 - Dressers &amp; Chests-WUO_TRK'!A403),_xlfn.TEXTAFTER('13 - Dressers &amp; Chests-WUO_ERR'!A403, ":"))))</f>
        <v/>
      </c>
    </row>
    <row r="404">
      <c r="A404" s="39">
        <f>IF('13 - Dressers &amp; Chests'!B404 = "", "", IF('13 - Dressers &amp; Chests-WUO_ERR'!A404 = "", "Validated", HYPERLINK("#" &amp; ADDRESS(404, '13 - Dressers &amp; Chests-WUO_TRK'!A404),_xlfn.TEXTAFTER('13 - Dressers &amp; Chests-WUO_ERR'!A404, ":"))))</f>
        <v/>
      </c>
    </row>
    <row r="405">
      <c r="A405" s="39">
        <f>IF('13 - Dressers &amp; Chests'!B405 = "", "", IF('13 - Dressers &amp; Chests-WUO_ERR'!A405 = "", "Validated", HYPERLINK("#" &amp; ADDRESS(405, '13 - Dressers &amp; Chests-WUO_TRK'!A405),_xlfn.TEXTAFTER('13 - Dressers &amp; Chests-WUO_ERR'!A405, ":"))))</f>
        <v/>
      </c>
    </row>
    <row r="406">
      <c r="A406" s="39">
        <f>IF('13 - Dressers &amp; Chests'!B406 = "", "", IF('13 - Dressers &amp; Chests-WUO_ERR'!A406 = "", "Validated", HYPERLINK("#" &amp; ADDRESS(406, '13 - Dressers &amp; Chests-WUO_TRK'!A406),_xlfn.TEXTAFTER('13 - Dressers &amp; Chests-WUO_ERR'!A406, ":"))))</f>
        <v/>
      </c>
    </row>
    <row r="407">
      <c r="A407" s="39">
        <f>IF('13 - Dressers &amp; Chests'!B407 = "", "", IF('13 - Dressers &amp; Chests-WUO_ERR'!A407 = "", "Validated", HYPERLINK("#" &amp; ADDRESS(407, '13 - Dressers &amp; Chests-WUO_TRK'!A407),_xlfn.TEXTAFTER('13 - Dressers &amp; Chests-WUO_ERR'!A407, ":"))))</f>
        <v/>
      </c>
    </row>
    <row r="408">
      <c r="A408" s="39">
        <f>IF('13 - Dressers &amp; Chests'!B408 = "", "", IF('13 - Dressers &amp; Chests-WUO_ERR'!A408 = "", "Validated", HYPERLINK("#" &amp; ADDRESS(408, '13 - Dressers &amp; Chests-WUO_TRK'!A408),_xlfn.TEXTAFTER('13 - Dressers &amp; Chests-WUO_ERR'!A408, ":"))))</f>
        <v/>
      </c>
    </row>
    <row r="409">
      <c r="A409" s="39">
        <f>IF('13 - Dressers &amp; Chests'!B409 = "", "", IF('13 - Dressers &amp; Chests-WUO_ERR'!A409 = "", "Validated", HYPERLINK("#" &amp; ADDRESS(409, '13 - Dressers &amp; Chests-WUO_TRK'!A409),_xlfn.TEXTAFTER('13 - Dressers &amp; Chests-WUO_ERR'!A409, ":"))))</f>
        <v/>
      </c>
    </row>
    <row r="410">
      <c r="A410" s="39">
        <f>IF('13 - Dressers &amp; Chests'!B410 = "", "", IF('13 - Dressers &amp; Chests-WUO_ERR'!A410 = "", "Validated", HYPERLINK("#" &amp; ADDRESS(410, '13 - Dressers &amp; Chests-WUO_TRK'!A410),_xlfn.TEXTAFTER('13 - Dressers &amp; Chests-WUO_ERR'!A410, ":"))))</f>
        <v/>
      </c>
    </row>
    <row r="411">
      <c r="A411" s="39">
        <f>IF('13 - Dressers &amp; Chests'!B411 = "", "", IF('13 - Dressers &amp; Chests-WUO_ERR'!A411 = "", "Validated", HYPERLINK("#" &amp; ADDRESS(411, '13 - Dressers &amp; Chests-WUO_TRK'!A411),_xlfn.TEXTAFTER('13 - Dressers &amp; Chests-WUO_ERR'!A411, ":"))))</f>
        <v/>
      </c>
    </row>
    <row r="412">
      <c r="A412" s="39">
        <f>IF('13 - Dressers &amp; Chests'!B412 = "", "", IF('13 - Dressers &amp; Chests-WUO_ERR'!A412 = "", "Validated", HYPERLINK("#" &amp; ADDRESS(412, '13 - Dressers &amp; Chests-WUO_TRK'!A412),_xlfn.TEXTAFTER('13 - Dressers &amp; Chests-WUO_ERR'!A412, ":"))))</f>
        <v/>
      </c>
    </row>
    <row r="413">
      <c r="A413" s="39">
        <f>IF('13 - Dressers &amp; Chests'!B413 = "", "", IF('13 - Dressers &amp; Chests-WUO_ERR'!A413 = "", "Validated", HYPERLINK("#" &amp; ADDRESS(413, '13 - Dressers &amp; Chests-WUO_TRK'!A413),_xlfn.TEXTAFTER('13 - Dressers &amp; Chests-WUO_ERR'!A413, ":"))))</f>
        <v/>
      </c>
    </row>
    <row r="414">
      <c r="A414" s="39">
        <f>IF('13 - Dressers &amp; Chests'!B414 = "", "", IF('13 - Dressers &amp; Chests-WUO_ERR'!A414 = "", "Validated", HYPERLINK("#" &amp; ADDRESS(414, '13 - Dressers &amp; Chests-WUO_TRK'!A414),_xlfn.TEXTAFTER('13 - Dressers &amp; Chests-WUO_ERR'!A414, ":"))))</f>
        <v/>
      </c>
    </row>
    <row r="415">
      <c r="A415" s="39">
        <f>IF('13 - Dressers &amp; Chests'!B415 = "", "", IF('13 - Dressers &amp; Chests-WUO_ERR'!A415 = "", "Validated", HYPERLINK("#" &amp; ADDRESS(415, '13 - Dressers &amp; Chests-WUO_TRK'!A415),_xlfn.TEXTAFTER('13 - Dressers &amp; Chests-WUO_ERR'!A415, ":"))))</f>
        <v/>
      </c>
    </row>
    <row r="416">
      <c r="A416" s="39">
        <f>IF('13 - Dressers &amp; Chests'!B416 = "", "", IF('13 - Dressers &amp; Chests-WUO_ERR'!A416 = "", "Validated", HYPERLINK("#" &amp; ADDRESS(416, '13 - Dressers &amp; Chests-WUO_TRK'!A416),_xlfn.TEXTAFTER('13 - Dressers &amp; Chests-WUO_ERR'!A416, ":"))))</f>
        <v/>
      </c>
    </row>
    <row r="417">
      <c r="A417" s="39">
        <f>IF('13 - Dressers &amp; Chests'!B417 = "", "", IF('13 - Dressers &amp; Chests-WUO_ERR'!A417 = "", "Validated", HYPERLINK("#" &amp; ADDRESS(417, '13 - Dressers &amp; Chests-WUO_TRK'!A417),_xlfn.TEXTAFTER('13 - Dressers &amp; Chests-WUO_ERR'!A417, ":"))))</f>
        <v/>
      </c>
    </row>
    <row r="418">
      <c r="A418" s="39">
        <f>IF('13 - Dressers &amp; Chests'!B418 = "", "", IF('13 - Dressers &amp; Chests-WUO_ERR'!A418 = "", "Validated", HYPERLINK("#" &amp; ADDRESS(418, '13 - Dressers &amp; Chests-WUO_TRK'!A418),_xlfn.TEXTAFTER('13 - Dressers &amp; Chests-WUO_ERR'!A418, ":"))))</f>
        <v/>
      </c>
    </row>
    <row r="419">
      <c r="A419" s="39">
        <f>IF('13 - Dressers &amp; Chests'!B419 = "", "", IF('13 - Dressers &amp; Chests-WUO_ERR'!A419 = "", "Validated", HYPERLINK("#" &amp; ADDRESS(419, '13 - Dressers &amp; Chests-WUO_TRK'!A419),_xlfn.TEXTAFTER('13 - Dressers &amp; Chests-WUO_ERR'!A419, ":"))))</f>
        <v/>
      </c>
    </row>
    <row r="420">
      <c r="A420" s="39">
        <f>IF('13 - Dressers &amp; Chests'!B420 = "", "", IF('13 - Dressers &amp; Chests-WUO_ERR'!A420 = "", "Validated", HYPERLINK("#" &amp; ADDRESS(420, '13 - Dressers &amp; Chests-WUO_TRK'!A420),_xlfn.TEXTAFTER('13 - Dressers &amp; Chests-WUO_ERR'!A420, ":"))))</f>
        <v/>
      </c>
    </row>
    <row r="421">
      <c r="A421" s="39">
        <f>IF('13 - Dressers &amp; Chests'!B421 = "", "", IF('13 - Dressers &amp; Chests-WUO_ERR'!A421 = "", "Validated", HYPERLINK("#" &amp; ADDRESS(421, '13 - Dressers &amp; Chests-WUO_TRK'!A421),_xlfn.TEXTAFTER('13 - Dressers &amp; Chests-WUO_ERR'!A421, ":"))))</f>
        <v/>
      </c>
    </row>
    <row r="422">
      <c r="A422" s="39">
        <f>IF('13 - Dressers &amp; Chests'!B422 = "", "", IF('13 - Dressers &amp; Chests-WUO_ERR'!A422 = "", "Validated", HYPERLINK("#" &amp; ADDRESS(422, '13 - Dressers &amp; Chests-WUO_TRK'!A422),_xlfn.TEXTAFTER('13 - Dressers &amp; Chests-WUO_ERR'!A422, ":"))))</f>
        <v/>
      </c>
    </row>
    <row r="423">
      <c r="A423" s="39">
        <f>IF('13 - Dressers &amp; Chests'!B423 = "", "", IF('13 - Dressers &amp; Chests-WUO_ERR'!A423 = "", "Validated", HYPERLINK("#" &amp; ADDRESS(423, '13 - Dressers &amp; Chests-WUO_TRK'!A423),_xlfn.TEXTAFTER('13 - Dressers &amp; Chests-WUO_ERR'!A423, ":"))))</f>
        <v/>
      </c>
    </row>
    <row r="424">
      <c r="A424" s="39">
        <f>IF('13 - Dressers &amp; Chests'!B424 = "", "", IF('13 - Dressers &amp; Chests-WUO_ERR'!A424 = "", "Validated", HYPERLINK("#" &amp; ADDRESS(424, '13 - Dressers &amp; Chests-WUO_TRK'!A424),_xlfn.TEXTAFTER('13 - Dressers &amp; Chests-WUO_ERR'!A424, ":"))))</f>
        <v/>
      </c>
    </row>
    <row r="425">
      <c r="A425" s="39">
        <f>IF('13 - Dressers &amp; Chests'!B425 = "", "", IF('13 - Dressers &amp; Chests-WUO_ERR'!A425 = "", "Validated", HYPERLINK("#" &amp; ADDRESS(425, '13 - Dressers &amp; Chests-WUO_TRK'!A425),_xlfn.TEXTAFTER('13 - Dressers &amp; Chests-WUO_ERR'!A425, ":"))))</f>
        <v/>
      </c>
    </row>
    <row r="426">
      <c r="A426" s="39">
        <f>IF('13 - Dressers &amp; Chests'!B426 = "", "", IF('13 - Dressers &amp; Chests-WUO_ERR'!A426 = "", "Validated", HYPERLINK("#" &amp; ADDRESS(426, '13 - Dressers &amp; Chests-WUO_TRK'!A426),_xlfn.TEXTAFTER('13 - Dressers &amp; Chests-WUO_ERR'!A426, ":"))))</f>
        <v/>
      </c>
    </row>
    <row r="427">
      <c r="A427" s="39">
        <f>IF('13 - Dressers &amp; Chests'!B427 = "", "", IF('13 - Dressers &amp; Chests-WUO_ERR'!A427 = "", "Validated", HYPERLINK("#" &amp; ADDRESS(427, '13 - Dressers &amp; Chests-WUO_TRK'!A427),_xlfn.TEXTAFTER('13 - Dressers &amp; Chests-WUO_ERR'!A427, ":"))))</f>
        <v/>
      </c>
    </row>
    <row r="428">
      <c r="A428" s="39">
        <f>IF('13 - Dressers &amp; Chests'!B428 = "", "", IF('13 - Dressers &amp; Chests-WUO_ERR'!A428 = "", "Validated", HYPERLINK("#" &amp; ADDRESS(428, '13 - Dressers &amp; Chests-WUO_TRK'!A428),_xlfn.TEXTAFTER('13 - Dressers &amp; Chests-WUO_ERR'!A428, ":"))))</f>
        <v/>
      </c>
    </row>
    <row r="429">
      <c r="A429" s="39">
        <f>IF('13 - Dressers &amp; Chests'!B429 = "", "", IF('13 - Dressers &amp; Chests-WUO_ERR'!A429 = "", "Validated", HYPERLINK("#" &amp; ADDRESS(429, '13 - Dressers &amp; Chests-WUO_TRK'!A429),_xlfn.TEXTAFTER('13 - Dressers &amp; Chests-WUO_ERR'!A429, ":"))))</f>
        <v/>
      </c>
    </row>
    <row r="430">
      <c r="A430" s="39">
        <f>IF('13 - Dressers &amp; Chests'!B430 = "", "", IF('13 - Dressers &amp; Chests-WUO_ERR'!A430 = "", "Validated", HYPERLINK("#" &amp; ADDRESS(430, '13 - Dressers &amp; Chests-WUO_TRK'!A430),_xlfn.TEXTAFTER('13 - Dressers &amp; Chests-WUO_ERR'!A430, ":"))))</f>
        <v/>
      </c>
    </row>
    <row r="431">
      <c r="A431" s="39">
        <f>IF('13 - Dressers &amp; Chests'!B431 = "", "", IF('13 - Dressers &amp; Chests-WUO_ERR'!A431 = "", "Validated", HYPERLINK("#" &amp; ADDRESS(431, '13 - Dressers &amp; Chests-WUO_TRK'!A431),_xlfn.TEXTAFTER('13 - Dressers &amp; Chests-WUO_ERR'!A431, ":"))))</f>
        <v/>
      </c>
    </row>
    <row r="432">
      <c r="A432" s="39">
        <f>IF('13 - Dressers &amp; Chests'!B432 = "", "", IF('13 - Dressers &amp; Chests-WUO_ERR'!A432 = "", "Validated", HYPERLINK("#" &amp; ADDRESS(432, '13 - Dressers &amp; Chests-WUO_TRK'!A432),_xlfn.TEXTAFTER('13 - Dressers &amp; Chests-WUO_ERR'!A432, ":"))))</f>
        <v/>
      </c>
    </row>
    <row r="433">
      <c r="A433" s="39">
        <f>IF('13 - Dressers &amp; Chests'!B433 = "", "", IF('13 - Dressers &amp; Chests-WUO_ERR'!A433 = "", "Validated", HYPERLINK("#" &amp; ADDRESS(433, '13 - Dressers &amp; Chests-WUO_TRK'!A433),_xlfn.TEXTAFTER('13 - Dressers &amp; Chests-WUO_ERR'!A433, ":"))))</f>
        <v/>
      </c>
    </row>
    <row r="434">
      <c r="A434" s="39">
        <f>IF('13 - Dressers &amp; Chests'!B434 = "", "", IF('13 - Dressers &amp; Chests-WUO_ERR'!A434 = "", "Validated", HYPERLINK("#" &amp; ADDRESS(434, '13 - Dressers &amp; Chests-WUO_TRK'!A434),_xlfn.TEXTAFTER('13 - Dressers &amp; Chests-WUO_ERR'!A434, ":"))))</f>
        <v/>
      </c>
    </row>
    <row r="435">
      <c r="A435" s="39">
        <f>IF('13 - Dressers &amp; Chests'!B435 = "", "", IF('13 - Dressers &amp; Chests-WUO_ERR'!A435 = "", "Validated", HYPERLINK("#" &amp; ADDRESS(435, '13 - Dressers &amp; Chests-WUO_TRK'!A435),_xlfn.TEXTAFTER('13 - Dressers &amp; Chests-WUO_ERR'!A435, ":"))))</f>
        <v/>
      </c>
    </row>
    <row r="436">
      <c r="A436" s="39">
        <f>IF('13 - Dressers &amp; Chests'!B436 = "", "", IF('13 - Dressers &amp; Chests-WUO_ERR'!A436 = "", "Validated", HYPERLINK("#" &amp; ADDRESS(436, '13 - Dressers &amp; Chests-WUO_TRK'!A436),_xlfn.TEXTAFTER('13 - Dressers &amp; Chests-WUO_ERR'!A436, ":"))))</f>
        <v/>
      </c>
    </row>
    <row r="437">
      <c r="A437" s="39">
        <f>IF('13 - Dressers &amp; Chests'!B437 = "", "", IF('13 - Dressers &amp; Chests-WUO_ERR'!A437 = "", "Validated", HYPERLINK("#" &amp; ADDRESS(437, '13 - Dressers &amp; Chests-WUO_TRK'!A437),_xlfn.TEXTAFTER('13 - Dressers &amp; Chests-WUO_ERR'!A437, ":"))))</f>
        <v/>
      </c>
    </row>
    <row r="438">
      <c r="A438" s="39">
        <f>IF('13 - Dressers &amp; Chests'!B438 = "", "", IF('13 - Dressers &amp; Chests-WUO_ERR'!A438 = "", "Validated", HYPERLINK("#" &amp; ADDRESS(438, '13 - Dressers &amp; Chests-WUO_TRK'!A438),_xlfn.TEXTAFTER('13 - Dressers &amp; Chests-WUO_ERR'!A438, ":"))))</f>
        <v/>
      </c>
    </row>
    <row r="439">
      <c r="A439" s="39">
        <f>IF('13 - Dressers &amp; Chests'!B439 = "", "", IF('13 - Dressers &amp; Chests-WUO_ERR'!A439 = "", "Validated", HYPERLINK("#" &amp; ADDRESS(439, '13 - Dressers &amp; Chests-WUO_TRK'!A439),_xlfn.TEXTAFTER('13 - Dressers &amp; Chests-WUO_ERR'!A439, ":"))))</f>
        <v/>
      </c>
    </row>
    <row r="440">
      <c r="A440" s="39">
        <f>IF('13 - Dressers &amp; Chests'!B440 = "", "", IF('13 - Dressers &amp; Chests-WUO_ERR'!A440 = "", "Validated", HYPERLINK("#" &amp; ADDRESS(440, '13 - Dressers &amp; Chests-WUO_TRK'!A440),_xlfn.TEXTAFTER('13 - Dressers &amp; Chests-WUO_ERR'!A440, ":"))))</f>
        <v/>
      </c>
    </row>
    <row r="441">
      <c r="A441" s="39">
        <f>IF('13 - Dressers &amp; Chests'!B441 = "", "", IF('13 - Dressers &amp; Chests-WUO_ERR'!A441 = "", "Validated", HYPERLINK("#" &amp; ADDRESS(441, '13 - Dressers &amp; Chests-WUO_TRK'!A441),_xlfn.TEXTAFTER('13 - Dressers &amp; Chests-WUO_ERR'!A441, ":"))))</f>
        <v/>
      </c>
    </row>
    <row r="442">
      <c r="A442" s="39">
        <f>IF('13 - Dressers &amp; Chests'!B442 = "", "", IF('13 - Dressers &amp; Chests-WUO_ERR'!A442 = "", "Validated", HYPERLINK("#" &amp; ADDRESS(442, '13 - Dressers &amp; Chests-WUO_TRK'!A442),_xlfn.TEXTAFTER('13 - Dressers &amp; Chests-WUO_ERR'!A442, ":"))))</f>
        <v/>
      </c>
    </row>
    <row r="443">
      <c r="A443" s="39">
        <f>IF('13 - Dressers &amp; Chests'!B443 = "", "", IF('13 - Dressers &amp; Chests-WUO_ERR'!A443 = "", "Validated", HYPERLINK("#" &amp; ADDRESS(443, '13 - Dressers &amp; Chests-WUO_TRK'!A443),_xlfn.TEXTAFTER('13 - Dressers &amp; Chests-WUO_ERR'!A443, ":"))))</f>
        <v/>
      </c>
    </row>
    <row r="444">
      <c r="A444" s="39">
        <f>IF('13 - Dressers &amp; Chests'!B444 = "", "", IF('13 - Dressers &amp; Chests-WUO_ERR'!A444 = "", "Validated", HYPERLINK("#" &amp; ADDRESS(444, '13 - Dressers &amp; Chests-WUO_TRK'!A444),_xlfn.TEXTAFTER('13 - Dressers &amp; Chests-WUO_ERR'!A444, ":"))))</f>
        <v/>
      </c>
    </row>
    <row r="445">
      <c r="A445" s="39">
        <f>IF('13 - Dressers &amp; Chests'!B445 = "", "", IF('13 - Dressers &amp; Chests-WUO_ERR'!A445 = "", "Validated", HYPERLINK("#" &amp; ADDRESS(445, '13 - Dressers &amp; Chests-WUO_TRK'!A445),_xlfn.TEXTAFTER('13 - Dressers &amp; Chests-WUO_ERR'!A445, ":"))))</f>
        <v/>
      </c>
    </row>
    <row r="446">
      <c r="A446" s="39">
        <f>IF('13 - Dressers &amp; Chests'!B446 = "", "", IF('13 - Dressers &amp; Chests-WUO_ERR'!A446 = "", "Validated", HYPERLINK("#" &amp; ADDRESS(446, '13 - Dressers &amp; Chests-WUO_TRK'!A446),_xlfn.TEXTAFTER('13 - Dressers &amp; Chests-WUO_ERR'!A446, ":"))))</f>
        <v/>
      </c>
    </row>
    <row r="447">
      <c r="A447" s="39">
        <f>IF('13 - Dressers &amp; Chests'!B447 = "", "", IF('13 - Dressers &amp; Chests-WUO_ERR'!A447 = "", "Validated", HYPERLINK("#" &amp; ADDRESS(447, '13 - Dressers &amp; Chests-WUO_TRK'!A447),_xlfn.TEXTAFTER('13 - Dressers &amp; Chests-WUO_ERR'!A447, ":"))))</f>
        <v/>
      </c>
    </row>
    <row r="448">
      <c r="A448" s="39">
        <f>IF('13 - Dressers &amp; Chests'!B448 = "", "", IF('13 - Dressers &amp; Chests-WUO_ERR'!A448 = "", "Validated", HYPERLINK("#" &amp; ADDRESS(448, '13 - Dressers &amp; Chests-WUO_TRK'!A448),_xlfn.TEXTAFTER('13 - Dressers &amp; Chests-WUO_ERR'!A448, ":"))))</f>
        <v/>
      </c>
    </row>
    <row r="449">
      <c r="A449" s="39">
        <f>IF('13 - Dressers &amp; Chests'!B449 = "", "", IF('13 - Dressers &amp; Chests-WUO_ERR'!A449 = "", "Validated", HYPERLINK("#" &amp; ADDRESS(449, '13 - Dressers &amp; Chests-WUO_TRK'!A449),_xlfn.TEXTAFTER('13 - Dressers &amp; Chests-WUO_ERR'!A449, ":"))))</f>
        <v/>
      </c>
    </row>
    <row r="450">
      <c r="A450" s="39">
        <f>IF('13 - Dressers &amp; Chests'!B450 = "", "", IF('13 - Dressers &amp; Chests-WUO_ERR'!A450 = "", "Validated", HYPERLINK("#" &amp; ADDRESS(450, '13 - Dressers &amp; Chests-WUO_TRK'!A450),_xlfn.TEXTAFTER('13 - Dressers &amp; Chests-WUO_ERR'!A450, ":"))))</f>
        <v/>
      </c>
    </row>
    <row r="451">
      <c r="A451" s="39">
        <f>IF('13 - Dressers &amp; Chests'!B451 = "", "", IF('13 - Dressers &amp; Chests-WUO_ERR'!A451 = "", "Validated", HYPERLINK("#" &amp; ADDRESS(451, '13 - Dressers &amp; Chests-WUO_TRK'!A451),_xlfn.TEXTAFTER('13 - Dressers &amp; Chests-WUO_ERR'!A451, ":"))))</f>
        <v/>
      </c>
    </row>
    <row r="452">
      <c r="A452" s="39">
        <f>IF('13 - Dressers &amp; Chests'!B452 = "", "", IF('13 - Dressers &amp; Chests-WUO_ERR'!A452 = "", "Validated", HYPERLINK("#" &amp; ADDRESS(452, '13 - Dressers &amp; Chests-WUO_TRK'!A452),_xlfn.TEXTAFTER('13 - Dressers &amp; Chests-WUO_ERR'!A452, ":"))))</f>
        <v/>
      </c>
    </row>
    <row r="453">
      <c r="A453" s="39">
        <f>IF('13 - Dressers &amp; Chests'!B453 = "", "", IF('13 - Dressers &amp; Chests-WUO_ERR'!A453 = "", "Validated", HYPERLINK("#" &amp; ADDRESS(453, '13 - Dressers &amp; Chests-WUO_TRK'!A453),_xlfn.TEXTAFTER('13 - Dressers &amp; Chests-WUO_ERR'!A453, ":"))))</f>
        <v/>
      </c>
    </row>
    <row r="454">
      <c r="A454" s="39">
        <f>IF('13 - Dressers &amp; Chests'!B454 = "", "", IF('13 - Dressers &amp; Chests-WUO_ERR'!A454 = "", "Validated", HYPERLINK("#" &amp; ADDRESS(454, '13 - Dressers &amp; Chests-WUO_TRK'!A454),_xlfn.TEXTAFTER('13 - Dressers &amp; Chests-WUO_ERR'!A454, ":"))))</f>
        <v/>
      </c>
    </row>
    <row r="455">
      <c r="A455" s="39">
        <f>IF('13 - Dressers &amp; Chests'!B455 = "", "", IF('13 - Dressers &amp; Chests-WUO_ERR'!A455 = "", "Validated", HYPERLINK("#" &amp; ADDRESS(455, '13 - Dressers &amp; Chests-WUO_TRK'!A455),_xlfn.TEXTAFTER('13 - Dressers &amp; Chests-WUO_ERR'!A455, ":"))))</f>
        <v/>
      </c>
    </row>
    <row r="456">
      <c r="A456" s="39">
        <f>IF('13 - Dressers &amp; Chests'!B456 = "", "", IF('13 - Dressers &amp; Chests-WUO_ERR'!A456 = "", "Validated", HYPERLINK("#" &amp; ADDRESS(456, '13 - Dressers &amp; Chests-WUO_TRK'!A456),_xlfn.TEXTAFTER('13 - Dressers &amp; Chests-WUO_ERR'!A456, ":"))))</f>
        <v/>
      </c>
    </row>
    <row r="457">
      <c r="A457" s="39">
        <f>IF('13 - Dressers &amp; Chests'!B457 = "", "", IF('13 - Dressers &amp; Chests-WUO_ERR'!A457 = "", "Validated", HYPERLINK("#" &amp; ADDRESS(457, '13 - Dressers &amp; Chests-WUO_TRK'!A457),_xlfn.TEXTAFTER('13 - Dressers &amp; Chests-WUO_ERR'!A457, ":"))))</f>
        <v/>
      </c>
    </row>
    <row r="458">
      <c r="A458" s="39">
        <f>IF('13 - Dressers &amp; Chests'!B458 = "", "", IF('13 - Dressers &amp; Chests-WUO_ERR'!A458 = "", "Validated", HYPERLINK("#" &amp; ADDRESS(458, '13 - Dressers &amp; Chests-WUO_TRK'!A458),_xlfn.TEXTAFTER('13 - Dressers &amp; Chests-WUO_ERR'!A458, ":"))))</f>
        <v/>
      </c>
    </row>
    <row r="459">
      <c r="A459" s="39">
        <f>IF('13 - Dressers &amp; Chests'!B459 = "", "", IF('13 - Dressers &amp; Chests-WUO_ERR'!A459 = "", "Validated", HYPERLINK("#" &amp; ADDRESS(459, '13 - Dressers &amp; Chests-WUO_TRK'!A459),_xlfn.TEXTAFTER('13 - Dressers &amp; Chests-WUO_ERR'!A459, ":"))))</f>
        <v/>
      </c>
    </row>
    <row r="460">
      <c r="A460" s="39">
        <f>IF('13 - Dressers &amp; Chests'!B460 = "", "", IF('13 - Dressers &amp; Chests-WUO_ERR'!A460 = "", "Validated", HYPERLINK("#" &amp; ADDRESS(460, '13 - Dressers &amp; Chests-WUO_TRK'!A460),_xlfn.TEXTAFTER('13 - Dressers &amp; Chests-WUO_ERR'!A460, ":"))))</f>
        <v/>
      </c>
    </row>
    <row r="461">
      <c r="A461" s="39">
        <f>IF('13 - Dressers &amp; Chests'!B461 = "", "", IF('13 - Dressers &amp; Chests-WUO_ERR'!A461 = "", "Validated", HYPERLINK("#" &amp; ADDRESS(461, '13 - Dressers &amp; Chests-WUO_TRK'!A461),_xlfn.TEXTAFTER('13 - Dressers &amp; Chests-WUO_ERR'!A461, ":"))))</f>
        <v/>
      </c>
    </row>
    <row r="462">
      <c r="A462" s="39">
        <f>IF('13 - Dressers &amp; Chests'!B462 = "", "", IF('13 - Dressers &amp; Chests-WUO_ERR'!A462 = "", "Validated", HYPERLINK("#" &amp; ADDRESS(462, '13 - Dressers &amp; Chests-WUO_TRK'!A462),_xlfn.TEXTAFTER('13 - Dressers &amp; Chests-WUO_ERR'!A462, ":"))))</f>
        <v/>
      </c>
    </row>
    <row r="463">
      <c r="A463" s="39">
        <f>IF('13 - Dressers &amp; Chests'!B463 = "", "", IF('13 - Dressers &amp; Chests-WUO_ERR'!A463 = "", "Validated", HYPERLINK("#" &amp; ADDRESS(463, '13 - Dressers &amp; Chests-WUO_TRK'!A463),_xlfn.TEXTAFTER('13 - Dressers &amp; Chests-WUO_ERR'!A463, ":"))))</f>
        <v/>
      </c>
    </row>
    <row r="464">
      <c r="A464" s="39">
        <f>IF('13 - Dressers &amp; Chests'!B464 = "", "", IF('13 - Dressers &amp; Chests-WUO_ERR'!A464 = "", "Validated", HYPERLINK("#" &amp; ADDRESS(464, '13 - Dressers &amp; Chests-WUO_TRK'!A464),_xlfn.TEXTAFTER('13 - Dressers &amp; Chests-WUO_ERR'!A464, ":"))))</f>
        <v/>
      </c>
    </row>
    <row r="465">
      <c r="A465" s="39">
        <f>IF('13 - Dressers &amp; Chests'!B465 = "", "", IF('13 - Dressers &amp; Chests-WUO_ERR'!A465 = "", "Validated", HYPERLINK("#" &amp; ADDRESS(465, '13 - Dressers &amp; Chests-WUO_TRK'!A465),_xlfn.TEXTAFTER('13 - Dressers &amp; Chests-WUO_ERR'!A465, ":"))))</f>
        <v/>
      </c>
    </row>
    <row r="466">
      <c r="A466" s="39">
        <f>IF('13 - Dressers &amp; Chests'!B466 = "", "", IF('13 - Dressers &amp; Chests-WUO_ERR'!A466 = "", "Validated", HYPERLINK("#" &amp; ADDRESS(466, '13 - Dressers &amp; Chests-WUO_TRK'!A466),_xlfn.TEXTAFTER('13 - Dressers &amp; Chests-WUO_ERR'!A466, ":"))))</f>
        <v/>
      </c>
    </row>
    <row r="467">
      <c r="A467" s="39">
        <f>IF('13 - Dressers &amp; Chests'!B467 = "", "", IF('13 - Dressers &amp; Chests-WUO_ERR'!A467 = "", "Validated", HYPERLINK("#" &amp; ADDRESS(467, '13 - Dressers &amp; Chests-WUO_TRK'!A467),_xlfn.TEXTAFTER('13 - Dressers &amp; Chests-WUO_ERR'!A467, ":"))))</f>
        <v/>
      </c>
    </row>
    <row r="468">
      <c r="A468" s="39">
        <f>IF('13 - Dressers &amp; Chests'!B468 = "", "", IF('13 - Dressers &amp; Chests-WUO_ERR'!A468 = "", "Validated", HYPERLINK("#" &amp; ADDRESS(468, '13 - Dressers &amp; Chests-WUO_TRK'!A468),_xlfn.TEXTAFTER('13 - Dressers &amp; Chests-WUO_ERR'!A468, ":"))))</f>
        <v/>
      </c>
    </row>
    <row r="469">
      <c r="A469" s="39">
        <f>IF('13 - Dressers &amp; Chests'!B469 = "", "", IF('13 - Dressers &amp; Chests-WUO_ERR'!A469 = "", "Validated", HYPERLINK("#" &amp; ADDRESS(469, '13 - Dressers &amp; Chests-WUO_TRK'!A469),_xlfn.TEXTAFTER('13 - Dressers &amp; Chests-WUO_ERR'!A469, ":"))))</f>
        <v/>
      </c>
    </row>
    <row r="470">
      <c r="A470" s="39">
        <f>IF('13 - Dressers &amp; Chests'!B470 = "", "", IF('13 - Dressers &amp; Chests-WUO_ERR'!A470 = "", "Validated", HYPERLINK("#" &amp; ADDRESS(470, '13 - Dressers &amp; Chests-WUO_TRK'!A470),_xlfn.TEXTAFTER('13 - Dressers &amp; Chests-WUO_ERR'!A470, ":"))))</f>
        <v/>
      </c>
    </row>
    <row r="471">
      <c r="A471" s="39">
        <f>IF('13 - Dressers &amp; Chests'!B471 = "", "", IF('13 - Dressers &amp; Chests-WUO_ERR'!A471 = "", "Validated", HYPERLINK("#" &amp; ADDRESS(471, '13 - Dressers &amp; Chests-WUO_TRK'!A471),_xlfn.TEXTAFTER('13 - Dressers &amp; Chests-WUO_ERR'!A471, ":"))))</f>
        <v/>
      </c>
    </row>
    <row r="472">
      <c r="A472" s="39">
        <f>IF('13 - Dressers &amp; Chests'!B472 = "", "", IF('13 - Dressers &amp; Chests-WUO_ERR'!A472 = "", "Validated", HYPERLINK("#" &amp; ADDRESS(472, '13 - Dressers &amp; Chests-WUO_TRK'!A472),_xlfn.TEXTAFTER('13 - Dressers &amp; Chests-WUO_ERR'!A472, ":"))))</f>
        <v/>
      </c>
    </row>
    <row r="473">
      <c r="A473" s="39">
        <f>IF('13 - Dressers &amp; Chests'!B473 = "", "", IF('13 - Dressers &amp; Chests-WUO_ERR'!A473 = "", "Validated", HYPERLINK("#" &amp; ADDRESS(473, '13 - Dressers &amp; Chests-WUO_TRK'!A473),_xlfn.TEXTAFTER('13 - Dressers &amp; Chests-WUO_ERR'!A473, ":"))))</f>
        <v/>
      </c>
    </row>
    <row r="474">
      <c r="A474" s="39">
        <f>IF('13 - Dressers &amp; Chests'!B474 = "", "", IF('13 - Dressers &amp; Chests-WUO_ERR'!A474 = "", "Validated", HYPERLINK("#" &amp; ADDRESS(474, '13 - Dressers &amp; Chests-WUO_TRK'!A474),_xlfn.TEXTAFTER('13 - Dressers &amp; Chests-WUO_ERR'!A474, ":"))))</f>
        <v/>
      </c>
    </row>
    <row r="475">
      <c r="A475" s="39">
        <f>IF('13 - Dressers &amp; Chests'!B475 = "", "", IF('13 - Dressers &amp; Chests-WUO_ERR'!A475 = "", "Validated", HYPERLINK("#" &amp; ADDRESS(475, '13 - Dressers &amp; Chests-WUO_TRK'!A475),_xlfn.TEXTAFTER('13 - Dressers &amp; Chests-WUO_ERR'!A475, ":"))))</f>
        <v/>
      </c>
    </row>
    <row r="476">
      <c r="A476" s="39">
        <f>IF('13 - Dressers &amp; Chests'!B476 = "", "", IF('13 - Dressers &amp; Chests-WUO_ERR'!A476 = "", "Validated", HYPERLINK("#" &amp; ADDRESS(476, '13 - Dressers &amp; Chests-WUO_TRK'!A476),_xlfn.TEXTAFTER('13 - Dressers &amp; Chests-WUO_ERR'!A476, ":"))))</f>
        <v/>
      </c>
    </row>
    <row r="477">
      <c r="A477" s="39">
        <f>IF('13 - Dressers &amp; Chests'!B477 = "", "", IF('13 - Dressers &amp; Chests-WUO_ERR'!A477 = "", "Validated", HYPERLINK("#" &amp; ADDRESS(477, '13 - Dressers &amp; Chests-WUO_TRK'!A477),_xlfn.TEXTAFTER('13 - Dressers &amp; Chests-WUO_ERR'!A477, ":"))))</f>
        <v/>
      </c>
    </row>
    <row r="478">
      <c r="A478" s="39">
        <f>IF('13 - Dressers &amp; Chests'!B478 = "", "", IF('13 - Dressers &amp; Chests-WUO_ERR'!A478 = "", "Validated", HYPERLINK("#" &amp; ADDRESS(478, '13 - Dressers &amp; Chests-WUO_TRK'!A478),_xlfn.TEXTAFTER('13 - Dressers &amp; Chests-WUO_ERR'!A478, ":"))))</f>
        <v/>
      </c>
    </row>
    <row r="479">
      <c r="A479" s="39">
        <f>IF('13 - Dressers &amp; Chests'!B479 = "", "", IF('13 - Dressers &amp; Chests-WUO_ERR'!A479 = "", "Validated", HYPERLINK("#" &amp; ADDRESS(479, '13 - Dressers &amp; Chests-WUO_TRK'!A479),_xlfn.TEXTAFTER('13 - Dressers &amp; Chests-WUO_ERR'!A479, ":"))))</f>
        <v/>
      </c>
    </row>
    <row r="480">
      <c r="A480" s="39">
        <f>IF('13 - Dressers &amp; Chests'!B480 = "", "", IF('13 - Dressers &amp; Chests-WUO_ERR'!A480 = "", "Validated", HYPERLINK("#" &amp; ADDRESS(480, '13 - Dressers &amp; Chests-WUO_TRK'!A480),_xlfn.TEXTAFTER('13 - Dressers &amp; Chests-WUO_ERR'!A480, ":"))))</f>
        <v/>
      </c>
    </row>
    <row r="481">
      <c r="A481" s="39">
        <f>IF('13 - Dressers &amp; Chests'!B481 = "", "", IF('13 - Dressers &amp; Chests-WUO_ERR'!A481 = "", "Validated", HYPERLINK("#" &amp; ADDRESS(481, '13 - Dressers &amp; Chests-WUO_TRK'!A481),_xlfn.TEXTAFTER('13 - Dressers &amp; Chests-WUO_ERR'!A481, ":"))))</f>
        <v/>
      </c>
    </row>
    <row r="482">
      <c r="A482" s="39">
        <f>IF('13 - Dressers &amp; Chests'!B482 = "", "", IF('13 - Dressers &amp; Chests-WUO_ERR'!A482 = "", "Validated", HYPERLINK("#" &amp; ADDRESS(482, '13 - Dressers &amp; Chests-WUO_TRK'!A482),_xlfn.TEXTAFTER('13 - Dressers &amp; Chests-WUO_ERR'!A482, ":"))))</f>
        <v/>
      </c>
    </row>
    <row r="483">
      <c r="A483" s="39">
        <f>IF('13 - Dressers &amp; Chests'!B483 = "", "", IF('13 - Dressers &amp; Chests-WUO_ERR'!A483 = "", "Validated", HYPERLINK("#" &amp; ADDRESS(483, '13 - Dressers &amp; Chests-WUO_TRK'!A483),_xlfn.TEXTAFTER('13 - Dressers &amp; Chests-WUO_ERR'!A483, ":"))))</f>
        <v/>
      </c>
    </row>
    <row r="484">
      <c r="A484" s="39">
        <f>IF('13 - Dressers &amp; Chests'!B484 = "", "", IF('13 - Dressers &amp; Chests-WUO_ERR'!A484 = "", "Validated", HYPERLINK("#" &amp; ADDRESS(484, '13 - Dressers &amp; Chests-WUO_TRK'!A484),_xlfn.TEXTAFTER('13 - Dressers &amp; Chests-WUO_ERR'!A484, ":"))))</f>
        <v/>
      </c>
    </row>
    <row r="485">
      <c r="A485" s="39">
        <f>IF('13 - Dressers &amp; Chests'!B485 = "", "", IF('13 - Dressers &amp; Chests-WUO_ERR'!A485 = "", "Validated", HYPERLINK("#" &amp; ADDRESS(485, '13 - Dressers &amp; Chests-WUO_TRK'!A485),_xlfn.TEXTAFTER('13 - Dressers &amp; Chests-WUO_ERR'!A485, ":"))))</f>
        <v/>
      </c>
    </row>
    <row r="486">
      <c r="A486" s="39">
        <f>IF('13 - Dressers &amp; Chests'!B486 = "", "", IF('13 - Dressers &amp; Chests-WUO_ERR'!A486 = "", "Validated", HYPERLINK("#" &amp; ADDRESS(486, '13 - Dressers &amp; Chests-WUO_TRK'!A486),_xlfn.TEXTAFTER('13 - Dressers &amp; Chests-WUO_ERR'!A486, ":"))))</f>
        <v/>
      </c>
    </row>
    <row r="487">
      <c r="A487" s="39">
        <f>IF('13 - Dressers &amp; Chests'!B487 = "", "", IF('13 - Dressers &amp; Chests-WUO_ERR'!A487 = "", "Validated", HYPERLINK("#" &amp; ADDRESS(487, '13 - Dressers &amp; Chests-WUO_TRK'!A487),_xlfn.TEXTAFTER('13 - Dressers &amp; Chests-WUO_ERR'!A487, ":"))))</f>
        <v/>
      </c>
    </row>
    <row r="488">
      <c r="A488" s="39">
        <f>IF('13 - Dressers &amp; Chests'!B488 = "", "", IF('13 - Dressers &amp; Chests-WUO_ERR'!A488 = "", "Validated", HYPERLINK("#" &amp; ADDRESS(488, '13 - Dressers &amp; Chests-WUO_TRK'!A488),_xlfn.TEXTAFTER('13 - Dressers &amp; Chests-WUO_ERR'!A488, ":"))))</f>
        <v/>
      </c>
    </row>
    <row r="489">
      <c r="A489" s="39">
        <f>IF('13 - Dressers &amp; Chests'!B489 = "", "", IF('13 - Dressers &amp; Chests-WUO_ERR'!A489 = "", "Validated", HYPERLINK("#" &amp; ADDRESS(489, '13 - Dressers &amp; Chests-WUO_TRK'!A489),_xlfn.TEXTAFTER('13 - Dressers &amp; Chests-WUO_ERR'!A489, ":"))))</f>
        <v/>
      </c>
    </row>
    <row r="490">
      <c r="A490" s="39">
        <f>IF('13 - Dressers &amp; Chests'!B490 = "", "", IF('13 - Dressers &amp; Chests-WUO_ERR'!A490 = "", "Validated", HYPERLINK("#" &amp; ADDRESS(490, '13 - Dressers &amp; Chests-WUO_TRK'!A490),_xlfn.TEXTAFTER('13 - Dressers &amp; Chests-WUO_ERR'!A490, ":"))))</f>
        <v/>
      </c>
    </row>
    <row r="491">
      <c r="A491" s="39">
        <f>IF('13 - Dressers &amp; Chests'!B491 = "", "", IF('13 - Dressers &amp; Chests-WUO_ERR'!A491 = "", "Validated", HYPERLINK("#" &amp; ADDRESS(491, '13 - Dressers &amp; Chests-WUO_TRK'!A491),_xlfn.TEXTAFTER('13 - Dressers &amp; Chests-WUO_ERR'!A491, ":"))))</f>
        <v/>
      </c>
    </row>
    <row r="492">
      <c r="A492" s="39">
        <f>IF('13 - Dressers &amp; Chests'!B492 = "", "", IF('13 - Dressers &amp; Chests-WUO_ERR'!A492 = "", "Validated", HYPERLINK("#" &amp; ADDRESS(492, '13 - Dressers &amp; Chests-WUO_TRK'!A492),_xlfn.TEXTAFTER('13 - Dressers &amp; Chests-WUO_ERR'!A492, ":"))))</f>
        <v/>
      </c>
    </row>
    <row r="493">
      <c r="A493" s="39">
        <f>IF('13 - Dressers &amp; Chests'!B493 = "", "", IF('13 - Dressers &amp; Chests-WUO_ERR'!A493 = "", "Validated", HYPERLINK("#" &amp; ADDRESS(493, '13 - Dressers &amp; Chests-WUO_TRK'!A493),_xlfn.TEXTAFTER('13 - Dressers &amp; Chests-WUO_ERR'!A493, ":"))))</f>
        <v/>
      </c>
    </row>
    <row r="494">
      <c r="A494" s="39">
        <f>IF('13 - Dressers &amp; Chests'!B494 = "", "", IF('13 - Dressers &amp; Chests-WUO_ERR'!A494 = "", "Validated", HYPERLINK("#" &amp; ADDRESS(494, '13 - Dressers &amp; Chests-WUO_TRK'!A494),_xlfn.TEXTAFTER('13 - Dressers &amp; Chests-WUO_ERR'!A494, ":"))))</f>
        <v/>
      </c>
    </row>
    <row r="495">
      <c r="A495" s="39">
        <f>IF('13 - Dressers &amp; Chests'!B495 = "", "", IF('13 - Dressers &amp; Chests-WUO_ERR'!A495 = "", "Validated", HYPERLINK("#" &amp; ADDRESS(495, '13 - Dressers &amp; Chests-WUO_TRK'!A495),_xlfn.TEXTAFTER('13 - Dressers &amp; Chests-WUO_ERR'!A495, ":"))))</f>
        <v/>
      </c>
    </row>
    <row r="496">
      <c r="A496" s="39">
        <f>IF('13 - Dressers &amp; Chests'!B496 = "", "", IF('13 - Dressers &amp; Chests-WUO_ERR'!A496 = "", "Validated", HYPERLINK("#" &amp; ADDRESS(496, '13 - Dressers &amp; Chests-WUO_TRK'!A496),_xlfn.TEXTAFTER('13 - Dressers &amp; Chests-WUO_ERR'!A496, ":"))))</f>
        <v/>
      </c>
    </row>
    <row r="497">
      <c r="A497" s="39">
        <f>IF('13 - Dressers &amp; Chests'!B497 = "", "", IF('13 - Dressers &amp; Chests-WUO_ERR'!A497 = "", "Validated", HYPERLINK("#" &amp; ADDRESS(497, '13 - Dressers &amp; Chests-WUO_TRK'!A497),_xlfn.TEXTAFTER('13 - Dressers &amp; Chests-WUO_ERR'!A497, ":"))))</f>
        <v/>
      </c>
    </row>
    <row r="498">
      <c r="A498" s="39">
        <f>IF('13 - Dressers &amp; Chests'!B498 = "", "", IF('13 - Dressers &amp; Chests-WUO_ERR'!A498 = "", "Validated", HYPERLINK("#" &amp; ADDRESS(498, '13 - Dressers &amp; Chests-WUO_TRK'!A498),_xlfn.TEXTAFTER('13 - Dressers &amp; Chests-WUO_ERR'!A498, ":"))))</f>
        <v/>
      </c>
    </row>
    <row r="499">
      <c r="A499" s="39">
        <f>IF('13 - Dressers &amp; Chests'!B499 = "", "", IF('13 - Dressers &amp; Chests-WUO_ERR'!A499 = "", "Validated", HYPERLINK("#" &amp; ADDRESS(499, '13 - Dressers &amp; Chests-WUO_TRK'!A499),_xlfn.TEXTAFTER('13 - Dressers &amp; Chests-WUO_ERR'!A499, ":"))))</f>
        <v/>
      </c>
    </row>
    <row r="500">
      <c r="A500" s="39">
        <f>IF('13 - Dressers &amp; Chests'!B500 = "", "", IF('13 - Dressers &amp; Chests-WUO_ERR'!A500 = "", "Validated", HYPERLINK("#" &amp; ADDRESS(500, '13 - Dressers &amp; Chests-WUO_TRK'!A500),_xlfn.TEXTAFTER('13 - Dressers &amp; Chests-WUO_ERR'!A500, ":"))))</f>
        <v/>
      </c>
    </row>
    <row r="501">
      <c r="A501" s="39">
        <f>IF('13 - Dressers &amp; Chests'!B501 = "", "", IF('13 - Dressers &amp; Chests-WUO_ERR'!A501 = "", "Validated", HYPERLINK("#" &amp; ADDRESS(501, '13 - Dressers &amp; Chests-WUO_TRK'!A501),_xlfn.TEXTAFTER('13 - Dressers &amp; Chests-WUO_ERR'!A501, ":"))))</f>
        <v/>
      </c>
    </row>
    <row r="502">
      <c r="A502" s="39">
        <f>IF('13 - Dressers &amp; Chests'!B502 = "", "", IF('13 - Dressers &amp; Chests-WUO_ERR'!A502 = "", "Validated", HYPERLINK("#" &amp; ADDRESS(502, '13 - Dressers &amp; Chests-WUO_TRK'!A502),_xlfn.TEXTAFTER('13 - Dressers &amp; Chests-WUO_ERR'!A502, ":"))))</f>
        <v/>
      </c>
    </row>
    <row r="503">
      <c r="A503" s="39">
        <f>IF('13 - Dressers &amp; Chests'!B503 = "", "", IF('13 - Dressers &amp; Chests-WUO_ERR'!A503 = "", "Validated", HYPERLINK("#" &amp; ADDRESS(503, '13 - Dressers &amp; Chests-WUO_TRK'!A503),_xlfn.TEXTAFTER('13 - Dressers &amp; Chests-WUO_ERR'!A503, ":"))))</f>
        <v/>
      </c>
    </row>
    <row r="504">
      <c r="A504" s="39">
        <f>IF('13 - Dressers &amp; Chests'!B504 = "", "", IF('13 - Dressers &amp; Chests-WUO_ERR'!A504 = "", "Validated", HYPERLINK("#" &amp; ADDRESS(504, '13 - Dressers &amp; Chests-WUO_TRK'!A504),_xlfn.TEXTAFTER('13 - Dressers &amp; Chests-WUO_ERR'!A504, ":"))))</f>
        <v/>
      </c>
    </row>
    <row r="505">
      <c r="A505" s="39">
        <f>IF('13 - Dressers &amp; Chests'!B505 = "", "", IF('13 - Dressers &amp; Chests-WUO_ERR'!A505 = "", "Validated", HYPERLINK("#" &amp; ADDRESS(505, '13 - Dressers &amp; Chests-WUO_TRK'!A505),_xlfn.TEXTAFTER('13 - Dressers &amp; Chests-WUO_ERR'!A505, ":"))))</f>
        <v/>
      </c>
    </row>
    <row r="506">
      <c r="A506" s="39">
        <f>IF('13 - Dressers &amp; Chests'!B506 = "", "", IF('13 - Dressers &amp; Chests-WUO_ERR'!A506 = "", "Validated", HYPERLINK("#" &amp; ADDRESS(506, '13 - Dressers &amp; Chests-WUO_TRK'!A506),_xlfn.TEXTAFTER('13 - Dressers &amp; Chests-WUO_ERR'!A506, ":"))))</f>
        <v/>
      </c>
    </row>
    <row r="507">
      <c r="A507" s="39">
        <f>IF('13 - Dressers &amp; Chests'!B507 = "", "", IF('13 - Dressers &amp; Chests-WUO_ERR'!A507 = "", "Validated", HYPERLINK("#" &amp; ADDRESS(507, '13 - Dressers &amp; Chests-WUO_TRK'!A507),_xlfn.TEXTAFTER('13 - Dressers &amp; Chests-WUO_ERR'!A507, ":"))))</f>
        <v/>
      </c>
    </row>
  </sheetData>
  <sheetProtection selectLockedCells="0" selectUnlockedCells="0" sheet="1" objects="1" insertRows="1" insertHyperlinks="1" autoFilter="1" scenarios="1" formatColumns="0" deleteColumns="1" insertColumns="1" pivotTables="1" deleteRows="1" formatCells="1" formatRows="0" sort="1" password="E8BF"/>
  <mergeCells count="9">
    <mergeCell ref="AL2:AO2"/>
    <mergeCell ref="AP2:AS2"/>
    <mergeCell ref="U2:Z2"/>
    <mergeCell ref="R2:T2"/>
    <mergeCell ref="B2:I2"/>
    <mergeCell ref="BO2:DY2"/>
    <mergeCell ref="AA2:AK2"/>
    <mergeCell ref="AT2:BN2"/>
    <mergeCell ref="J2:Q2"/>
  </mergeCells>
  <conditionalFormatting sqref="A8:A507">
    <cfRule type="expression" priority="5" dxfId="4">
      <formula>A8="Validated"</formula>
    </cfRule>
    <cfRule type="expression" priority="6" dxfId="5">
      <formula>OR(COUNTIF('13 - Dressers &amp; Chests-WUO_TRK'!B8:DZ8,"Error"),COUNTIF('13 - Dressers &amp; Chests-WUO_TRK'!B8:DZ8,"Required"))</formula>
    </cfRule>
    <cfRule type="expression" priority="7" dxfId="6">
      <formula>COUNTIF('13 - Dressers &amp; Chests-WUO_TRK'!B8:DZ8,"Warning")</formula>
    </cfRule>
  </conditionalFormatting>
  <conditionalFormatting sqref="AA7">
    <cfRule type="notContainsBlanks" priority="38" dxfId="7">
      <formula>LEN(TRIM(AA7))&gt;0</formula>
    </cfRule>
    <cfRule type="containsBlanks" priority="39" dxfId="8">
      <formula>LEN(TRIM(AA7))=0</formula>
    </cfRule>
  </conditionalFormatting>
  <conditionalFormatting sqref="AA8:AA2501">
    <cfRule type="expression" priority="40" dxfId="7">
      <formula>AND($AA$7&lt;&gt;"", AA8="")</formula>
    </cfRule>
  </conditionalFormatting>
  <conditionalFormatting sqref="AB7">
    <cfRule type="notContainsBlanks" priority="41" dxfId="7">
      <formula>LEN(TRIM(AB7))&gt;0</formula>
    </cfRule>
    <cfRule type="containsBlanks" priority="42" dxfId="8">
      <formula>LEN(TRIM(AB7))=0</formula>
    </cfRule>
  </conditionalFormatting>
  <conditionalFormatting sqref="AB8:AB2501">
    <cfRule type="expression" priority="43" dxfId="7">
      <formula>AND($AB$7&lt;&gt;"", AB8="")</formula>
    </cfRule>
  </conditionalFormatting>
  <conditionalFormatting sqref="AC7">
    <cfRule type="notContainsBlanks" priority="44" dxfId="7">
      <formula>LEN(TRIM(AC7))&gt;0</formula>
    </cfRule>
    <cfRule type="containsBlanks" priority="45" dxfId="8">
      <formula>LEN(TRIM(AC7))=0</formula>
    </cfRule>
  </conditionalFormatting>
  <conditionalFormatting sqref="AC8:AC2501">
    <cfRule type="expression" priority="46" dxfId="7">
      <formula>AND($AC$7&lt;&gt;"", AC8="")</formula>
    </cfRule>
  </conditionalFormatting>
  <conditionalFormatting sqref="AD7">
    <cfRule type="notContainsBlanks" priority="47" dxfId="7">
      <formula>LEN(TRIM(AD7))&gt;0</formula>
    </cfRule>
    <cfRule type="containsBlanks" priority="48" dxfId="8">
      <formula>LEN(TRIM(AD7))=0</formula>
    </cfRule>
  </conditionalFormatting>
  <conditionalFormatting sqref="AD8:AD2501">
    <cfRule type="expression" priority="49" dxfId="7">
      <formula>AND($AD$7&lt;&gt;"", AD8="")</formula>
    </cfRule>
  </conditionalFormatting>
  <conditionalFormatting sqref="AE7">
    <cfRule type="notContainsBlanks" priority="50" dxfId="7">
      <formula>LEN(TRIM(AE7))&gt;0</formula>
    </cfRule>
    <cfRule type="containsBlanks" priority="51" dxfId="8">
      <formula>LEN(TRIM(AE7))=0</formula>
    </cfRule>
  </conditionalFormatting>
  <conditionalFormatting sqref="AE8:AE2501">
    <cfRule type="expression" priority="52" dxfId="7">
      <formula>AND($AE$7&lt;&gt;"", AE8="")</formula>
    </cfRule>
  </conditionalFormatting>
  <conditionalFormatting sqref="AF7">
    <cfRule type="notContainsBlanks" priority="53" dxfId="7">
      <formula>LEN(TRIM(AF7))&gt;0</formula>
    </cfRule>
    <cfRule type="containsBlanks" priority="54" dxfId="8">
      <formula>LEN(TRIM(AF7))=0</formula>
    </cfRule>
  </conditionalFormatting>
  <conditionalFormatting sqref="AF8:AF2501">
    <cfRule type="expression" priority="55" dxfId="7">
      <formula>AND($AF$7&lt;&gt;"", AF8="")</formula>
    </cfRule>
  </conditionalFormatting>
  <conditionalFormatting sqref="AG7">
    <cfRule type="notContainsBlanks" priority="56" dxfId="7">
      <formula>LEN(TRIM(AG7))&gt;0</formula>
    </cfRule>
    <cfRule type="containsBlanks" priority="57" dxfId="8">
      <formula>LEN(TRIM(AG7))=0</formula>
    </cfRule>
  </conditionalFormatting>
  <conditionalFormatting sqref="AG8:AG2501">
    <cfRule type="expression" priority="58" dxfId="7">
      <formula>AND($AG$7&lt;&gt;"", AG8="")</formula>
    </cfRule>
  </conditionalFormatting>
  <conditionalFormatting sqref="AH7">
    <cfRule type="notContainsBlanks" priority="59" dxfId="7">
      <formula>LEN(TRIM(AH7))&gt;0</formula>
    </cfRule>
    <cfRule type="containsBlanks" priority="60" dxfId="8">
      <formula>LEN(TRIM(AH7))=0</formula>
    </cfRule>
  </conditionalFormatting>
  <conditionalFormatting sqref="AH8:AH2501">
    <cfRule type="expression" priority="61" dxfId="7">
      <formula>AND($AH$7&lt;&gt;"", AH8="")</formula>
    </cfRule>
  </conditionalFormatting>
  <conditionalFormatting sqref="AI7">
    <cfRule type="notContainsBlanks" priority="62" dxfId="7">
      <formula>LEN(TRIM(AI7))&gt;0</formula>
    </cfRule>
    <cfRule type="containsBlanks" priority="63" dxfId="8">
      <formula>LEN(TRIM(AI7))=0</formula>
    </cfRule>
  </conditionalFormatting>
  <conditionalFormatting sqref="AI8:AI2501">
    <cfRule type="expression" priority="64" dxfId="7">
      <formula>AND($AI$7&lt;&gt;"", AI8="")</formula>
    </cfRule>
  </conditionalFormatting>
  <conditionalFormatting sqref="AJ7">
    <cfRule type="notContainsBlanks" priority="65" dxfId="7">
      <formula>LEN(TRIM(AJ7))&gt;0</formula>
    </cfRule>
    <cfRule type="containsBlanks" priority="66" dxfId="8">
      <formula>LEN(TRIM(AJ7))=0</formula>
    </cfRule>
  </conditionalFormatting>
  <conditionalFormatting sqref="AJ8:AJ2501">
    <cfRule type="expression" priority="67" dxfId="7">
      <formula>AND($AJ$7&lt;&gt;"", AJ8="")</formula>
    </cfRule>
  </conditionalFormatting>
  <conditionalFormatting sqref="AK7">
    <cfRule type="notContainsBlanks" priority="68" dxfId="7">
      <formula>LEN(TRIM(AK7))&gt;0</formula>
    </cfRule>
    <cfRule type="containsBlanks" priority="69" dxfId="8">
      <formula>LEN(TRIM(AK7))=0</formula>
    </cfRule>
  </conditionalFormatting>
  <conditionalFormatting sqref="AK8:AK2501">
    <cfRule type="expression" priority="70" dxfId="7">
      <formula>AND($AK$7&lt;&gt;"", AK8="")</formula>
    </cfRule>
  </conditionalFormatting>
  <conditionalFormatting sqref="AL7">
    <cfRule type="notContainsBlanks" priority="71" dxfId="7">
      <formula>LEN(TRIM(AL7))&gt;0</formula>
    </cfRule>
    <cfRule type="containsBlanks" priority="72" dxfId="8">
      <formula>LEN(TRIM(AL7))=0</formula>
    </cfRule>
  </conditionalFormatting>
  <conditionalFormatting sqref="AL8:AL2501">
    <cfRule type="expression" priority="73" dxfId="7">
      <formula>AND($AL$7&lt;&gt;"", AL8="")</formula>
    </cfRule>
  </conditionalFormatting>
  <conditionalFormatting sqref="AM7">
    <cfRule type="notContainsBlanks" priority="74" dxfId="7">
      <formula>LEN(TRIM(AM7))&gt;0</formula>
    </cfRule>
    <cfRule type="containsBlanks" priority="75" dxfId="8">
      <formula>LEN(TRIM(AM7))=0</formula>
    </cfRule>
  </conditionalFormatting>
  <conditionalFormatting sqref="AM8:AM2501">
    <cfRule type="expression" priority="76" dxfId="7">
      <formula>AND($AM$7&lt;&gt;"", AM8="")</formula>
    </cfRule>
  </conditionalFormatting>
  <conditionalFormatting sqref="AN7">
    <cfRule type="notContainsBlanks" priority="77" dxfId="7">
      <formula>LEN(TRIM(AN7))&gt;0</formula>
    </cfRule>
    <cfRule type="containsBlanks" priority="78" dxfId="8">
      <formula>LEN(TRIM(AN7))=0</formula>
    </cfRule>
  </conditionalFormatting>
  <conditionalFormatting sqref="AN8:AN2501">
    <cfRule type="expression" priority="79" dxfId="7">
      <formula>AND($AN$7&lt;&gt;"", AN8="")</formula>
    </cfRule>
  </conditionalFormatting>
  <conditionalFormatting sqref="AO7">
    <cfRule type="notContainsBlanks" priority="80" dxfId="7">
      <formula>LEN(TRIM(AO7))&gt;0</formula>
    </cfRule>
    <cfRule type="containsBlanks" priority="81" dxfId="8">
      <formula>LEN(TRIM(AO7))=0</formula>
    </cfRule>
  </conditionalFormatting>
  <conditionalFormatting sqref="AO8:AO2501">
    <cfRule type="expression" priority="82" dxfId="7">
      <formula>AND($AO$7&lt;&gt;"", AO8="")</formula>
    </cfRule>
  </conditionalFormatting>
  <conditionalFormatting sqref="AP7">
    <cfRule type="notContainsBlanks" priority="83" dxfId="7">
      <formula>LEN(TRIM(AP7))&gt;0</formula>
    </cfRule>
    <cfRule type="containsBlanks" priority="84" dxfId="8">
      <formula>LEN(TRIM(AP7))=0</formula>
    </cfRule>
  </conditionalFormatting>
  <conditionalFormatting sqref="AP8:AP2501">
    <cfRule type="expression" priority="85" dxfId="7">
      <formula>AND($AP$7&lt;&gt;"", AP8="")</formula>
    </cfRule>
  </conditionalFormatting>
  <conditionalFormatting sqref="AQ7">
    <cfRule type="notContainsBlanks" priority="86" dxfId="7">
      <formula>LEN(TRIM(AQ7))&gt;0</formula>
    </cfRule>
    <cfRule type="containsBlanks" priority="87" dxfId="8">
      <formula>LEN(TRIM(AQ7))=0</formula>
    </cfRule>
  </conditionalFormatting>
  <conditionalFormatting sqref="AQ8:AQ2501">
    <cfRule type="expression" priority="88" dxfId="7">
      <formula>AND($AQ$7&lt;&gt;"", AQ8="")</formula>
    </cfRule>
  </conditionalFormatting>
  <conditionalFormatting sqref="AR7">
    <cfRule type="notContainsBlanks" priority="89" dxfId="7">
      <formula>LEN(TRIM(AR7))&gt;0</formula>
    </cfRule>
    <cfRule type="containsBlanks" priority="90" dxfId="8">
      <formula>LEN(TRIM(AR7))=0</formula>
    </cfRule>
  </conditionalFormatting>
  <conditionalFormatting sqref="AR8:AR2501">
    <cfRule type="expression" priority="91" dxfId="7">
      <formula>AND($AR$7&lt;&gt;"", AR8="")</formula>
    </cfRule>
  </conditionalFormatting>
  <conditionalFormatting sqref="AS7">
    <cfRule type="notContainsBlanks" priority="92" dxfId="7">
      <formula>LEN(TRIM(AS7))&gt;0</formula>
    </cfRule>
    <cfRule type="containsBlanks" priority="93" dxfId="8">
      <formula>LEN(TRIM(AS7))=0</formula>
    </cfRule>
  </conditionalFormatting>
  <conditionalFormatting sqref="AS8:AS2501">
    <cfRule type="expression" priority="94" dxfId="7">
      <formula>AND($AS$7&lt;&gt;"", AS8="")</formula>
    </cfRule>
  </conditionalFormatting>
  <conditionalFormatting sqref="AZ7">
    <cfRule type="notContainsBlanks" priority="95" dxfId="7">
      <formula>LEN(TRIM(AZ7))&gt;0</formula>
    </cfRule>
    <cfRule type="containsBlanks" priority="96" dxfId="8">
      <formula>LEN(TRIM(AZ7))=0</formula>
    </cfRule>
  </conditionalFormatting>
  <conditionalFormatting sqref="AZ8:AZ2501">
    <cfRule type="expression" priority="97" dxfId="7">
      <formula>AND($AZ$7&lt;&gt;"", AZ8="")</formula>
    </cfRule>
  </conditionalFormatting>
  <conditionalFormatting sqref="B8:DZ507">
    <cfRule type="expression" priority="1" dxfId="0">
      <formula>'13 - Dressers &amp; Chests-WUO_TRK'!B8="Error"</formula>
    </cfRule>
    <cfRule type="expression" priority="2" dxfId="1">
      <formula>'13 - Dressers &amp; Chests-WUO_TRK'!B8="Required"</formula>
    </cfRule>
    <cfRule type="expression" priority="3" dxfId="2">
      <formula>'13 - Dressers &amp; Chests-WUO_TRK'!B8="Warning"</formula>
    </cfRule>
    <cfRule type="expression" priority="4" dxfId="3">
      <formula>'13 - Dressers &amp; Chests-WUO_TRK'!B8="Disabled"</formula>
    </cfRule>
  </conditionalFormatting>
  <conditionalFormatting sqref="BA7">
    <cfRule type="notContainsBlanks" priority="98" dxfId="7">
      <formula>LEN(TRIM(BA7))&gt;0</formula>
    </cfRule>
    <cfRule type="containsBlanks" priority="99" dxfId="8">
      <formula>LEN(TRIM(BA7))=0</formula>
    </cfRule>
  </conditionalFormatting>
  <conditionalFormatting sqref="BA8:BA2501">
    <cfRule type="expression" priority="100" dxfId="7">
      <formula>AND($BA$7&lt;&gt;"", BA8="")</formula>
    </cfRule>
  </conditionalFormatting>
  <conditionalFormatting sqref="BB7">
    <cfRule type="notContainsBlanks" priority="101" dxfId="7">
      <formula>LEN(TRIM(BB7))&gt;0</formula>
    </cfRule>
    <cfRule type="containsBlanks" priority="102" dxfId="8">
      <formula>LEN(TRIM(BB7))=0</formula>
    </cfRule>
  </conditionalFormatting>
  <conditionalFormatting sqref="BB8:BB2501">
    <cfRule type="expression" priority="103" dxfId="7">
      <formula>AND($BB$7&lt;&gt;"", BB8="")</formula>
    </cfRule>
  </conditionalFormatting>
  <conditionalFormatting sqref="BC7">
    <cfRule type="notContainsBlanks" priority="104" dxfId="7">
      <formula>LEN(TRIM(BC7))&gt;0</formula>
    </cfRule>
    <cfRule type="containsBlanks" priority="105" dxfId="8">
      <formula>LEN(TRIM(BC7))=0</formula>
    </cfRule>
  </conditionalFormatting>
  <conditionalFormatting sqref="BC8:BC2501">
    <cfRule type="expression" priority="106" dxfId="7">
      <formula>AND($BC$7&lt;&gt;"", BC8="")</formula>
    </cfRule>
  </conditionalFormatting>
  <conditionalFormatting sqref="BD7">
    <cfRule type="notContainsBlanks" priority="107" dxfId="7">
      <formula>LEN(TRIM(BD7))&gt;0</formula>
    </cfRule>
    <cfRule type="containsBlanks" priority="108" dxfId="8">
      <formula>LEN(TRIM(BD7))=0</formula>
    </cfRule>
  </conditionalFormatting>
  <conditionalFormatting sqref="BD8:BD2501">
    <cfRule type="expression" priority="109" dxfId="7">
      <formula>AND($BD$7&lt;&gt;"", BD8="")</formula>
    </cfRule>
  </conditionalFormatting>
  <conditionalFormatting sqref="BE7">
    <cfRule type="notContainsBlanks" priority="110" dxfId="7">
      <formula>LEN(TRIM(BE7))&gt;0</formula>
    </cfRule>
    <cfRule type="containsBlanks" priority="111" dxfId="8">
      <formula>LEN(TRIM(BE7))=0</formula>
    </cfRule>
  </conditionalFormatting>
  <conditionalFormatting sqref="BE8:BE2501">
    <cfRule type="expression" priority="112" dxfId="7">
      <formula>AND($BE$7&lt;&gt;"", BE8="")</formula>
    </cfRule>
  </conditionalFormatting>
  <conditionalFormatting sqref="BF7">
    <cfRule type="notContainsBlanks" priority="113" dxfId="7">
      <formula>LEN(TRIM(BF7))&gt;0</formula>
    </cfRule>
    <cfRule type="containsBlanks" priority="114" dxfId="8">
      <formula>LEN(TRIM(BF7))=0</formula>
    </cfRule>
  </conditionalFormatting>
  <conditionalFormatting sqref="BF8:BF2501">
    <cfRule type="expression" priority="115" dxfId="7">
      <formula>AND($BF$7&lt;&gt;"", BF8="")</formula>
    </cfRule>
  </conditionalFormatting>
  <conditionalFormatting sqref="BG7">
    <cfRule type="notContainsBlanks" priority="116" dxfId="7">
      <formula>LEN(TRIM(BG7))&gt;0</formula>
    </cfRule>
    <cfRule type="containsBlanks" priority="117" dxfId="8">
      <formula>LEN(TRIM(BG7))=0</formula>
    </cfRule>
  </conditionalFormatting>
  <conditionalFormatting sqref="BG8:BG2501">
    <cfRule type="expression" priority="118" dxfId="7">
      <formula>AND($BG$7&lt;&gt;"", BG8="")</formula>
    </cfRule>
  </conditionalFormatting>
  <conditionalFormatting sqref="BH7">
    <cfRule type="notContainsBlanks" priority="119" dxfId="7">
      <formula>LEN(TRIM(BH7))&gt;0</formula>
    </cfRule>
    <cfRule type="containsBlanks" priority="120" dxfId="8">
      <formula>LEN(TRIM(BH7))=0</formula>
    </cfRule>
  </conditionalFormatting>
  <conditionalFormatting sqref="BH8:BH2501">
    <cfRule type="expression" priority="121" dxfId="7">
      <formula>AND($BH$7&lt;&gt;"", BH8="")</formula>
    </cfRule>
  </conditionalFormatting>
  <conditionalFormatting sqref="BI7">
    <cfRule type="notContainsBlanks" priority="122" dxfId="7">
      <formula>LEN(TRIM(BI7))&gt;0</formula>
    </cfRule>
    <cfRule type="containsBlanks" priority="123" dxfId="8">
      <formula>LEN(TRIM(BI7))=0</formula>
    </cfRule>
  </conditionalFormatting>
  <conditionalFormatting sqref="BI8:BI2501">
    <cfRule type="expression" priority="124" dxfId="7">
      <formula>AND($BI$7&lt;&gt;"", BI8="")</formula>
    </cfRule>
  </conditionalFormatting>
  <conditionalFormatting sqref="BJ7">
    <cfRule type="notContainsBlanks" priority="125" dxfId="7">
      <formula>LEN(TRIM(BJ7))&gt;0</formula>
    </cfRule>
    <cfRule type="containsBlanks" priority="126" dxfId="8">
      <formula>LEN(TRIM(BJ7))=0</formula>
    </cfRule>
  </conditionalFormatting>
  <conditionalFormatting sqref="BJ8:BJ2501">
    <cfRule type="expression" priority="127" dxfId="7">
      <formula>AND($BJ$7&lt;&gt;"", BJ8="")</formula>
    </cfRule>
  </conditionalFormatting>
  <conditionalFormatting sqref="BK7">
    <cfRule type="notContainsBlanks" priority="128" dxfId="7">
      <formula>LEN(TRIM(BK7))&gt;0</formula>
    </cfRule>
    <cfRule type="containsBlanks" priority="129" dxfId="8">
      <formula>LEN(TRIM(BK7))=0</formula>
    </cfRule>
  </conditionalFormatting>
  <conditionalFormatting sqref="BK8:BK2501">
    <cfRule type="expression" priority="130" dxfId="7">
      <formula>AND($BK$7&lt;&gt;"", BK8="")</formula>
    </cfRule>
  </conditionalFormatting>
  <conditionalFormatting sqref="BL7">
    <cfRule type="notContainsBlanks" priority="131" dxfId="7">
      <formula>LEN(TRIM(BL7))&gt;0</formula>
    </cfRule>
    <cfRule type="containsBlanks" priority="132" dxfId="8">
      <formula>LEN(TRIM(BL7))=0</formula>
    </cfRule>
  </conditionalFormatting>
  <conditionalFormatting sqref="BL8:BL2501">
    <cfRule type="expression" priority="133" dxfId="7">
      <formula>AND($BL$7&lt;&gt;"", BL8="")</formula>
    </cfRule>
  </conditionalFormatting>
  <conditionalFormatting sqref="BM7">
    <cfRule type="notContainsBlanks" priority="134" dxfId="7">
      <formula>LEN(TRIM(BM7))&gt;0</formula>
    </cfRule>
    <cfRule type="containsBlanks" priority="135" dxfId="8">
      <formula>LEN(TRIM(BM7))=0</formula>
    </cfRule>
  </conditionalFormatting>
  <conditionalFormatting sqref="BM8:BM2501">
    <cfRule type="expression" priority="136" dxfId="7">
      <formula>AND($BM$7&lt;&gt;"", BM8="")</formula>
    </cfRule>
  </conditionalFormatting>
  <conditionalFormatting sqref="BN7">
    <cfRule type="notContainsBlanks" priority="137" dxfId="7">
      <formula>LEN(TRIM(BN7))&gt;0</formula>
    </cfRule>
    <cfRule type="containsBlanks" priority="138" dxfId="8">
      <formula>LEN(TRIM(BN7))=0</formula>
    </cfRule>
  </conditionalFormatting>
  <conditionalFormatting sqref="BN8:BN2501">
    <cfRule type="expression" priority="139" dxfId="7">
      <formula>AND($BN$7&lt;&gt;"", BN8="")</formula>
    </cfRule>
  </conditionalFormatting>
  <conditionalFormatting sqref="BO7">
    <cfRule type="notContainsBlanks" priority="140" dxfId="7">
      <formula>LEN(TRIM(BO7))&gt;0</formula>
    </cfRule>
    <cfRule type="containsBlanks" priority="141" dxfId="8">
      <formula>LEN(TRIM(BO7))=0</formula>
    </cfRule>
  </conditionalFormatting>
  <conditionalFormatting sqref="BO8:BO2501">
    <cfRule type="expression" priority="142" dxfId="7">
      <formula>AND($BO$7&lt;&gt;"", BO8="")</formula>
    </cfRule>
  </conditionalFormatting>
  <conditionalFormatting sqref="BP7">
    <cfRule type="notContainsBlanks" priority="143" dxfId="7">
      <formula>LEN(TRIM(BP7))&gt;0</formula>
    </cfRule>
    <cfRule type="containsBlanks" priority="144" dxfId="8">
      <formula>LEN(TRIM(BP7))=0</formula>
    </cfRule>
  </conditionalFormatting>
  <conditionalFormatting sqref="BP8:BP2501">
    <cfRule type="expression" priority="145" dxfId="7">
      <formula>AND($BP$7&lt;&gt;"", BP8="")</formula>
    </cfRule>
  </conditionalFormatting>
  <conditionalFormatting sqref="BQ7">
    <cfRule type="notContainsBlanks" priority="146" dxfId="7">
      <formula>LEN(TRIM(BQ7))&gt;0</formula>
    </cfRule>
    <cfRule type="containsBlanks" priority="147" dxfId="8">
      <formula>LEN(TRIM(BQ7))=0</formula>
    </cfRule>
  </conditionalFormatting>
  <conditionalFormatting sqref="BQ8:BQ2501">
    <cfRule type="expression" priority="148" dxfId="7">
      <formula>AND($BQ$7&lt;&gt;"", BQ8="")</formula>
    </cfRule>
  </conditionalFormatting>
  <conditionalFormatting sqref="BR7">
    <cfRule type="notContainsBlanks" priority="149" dxfId="7">
      <formula>LEN(TRIM(BR7))&gt;0</formula>
    </cfRule>
    <cfRule type="containsBlanks" priority="150" dxfId="8">
      <formula>LEN(TRIM(BR7))=0</formula>
    </cfRule>
  </conditionalFormatting>
  <conditionalFormatting sqref="BR8:BR2501">
    <cfRule type="expression" priority="151" dxfId="7">
      <formula>AND($BR$7&lt;&gt;"", BR8="")</formula>
    </cfRule>
  </conditionalFormatting>
  <conditionalFormatting sqref="BS7">
    <cfRule type="notContainsBlanks" priority="152" dxfId="7">
      <formula>LEN(TRIM(BS7))&gt;0</formula>
    </cfRule>
    <cfRule type="containsBlanks" priority="153" dxfId="8">
      <formula>LEN(TRIM(BS7))=0</formula>
    </cfRule>
  </conditionalFormatting>
  <conditionalFormatting sqref="BS8:BS2501">
    <cfRule type="expression" priority="154" dxfId="7">
      <formula>AND($BS$7&lt;&gt;"", BS8="")</formula>
    </cfRule>
  </conditionalFormatting>
  <conditionalFormatting sqref="BT7">
    <cfRule type="notContainsBlanks" priority="155" dxfId="7">
      <formula>LEN(TRIM(BT7))&gt;0</formula>
    </cfRule>
    <cfRule type="containsBlanks" priority="156" dxfId="8">
      <formula>LEN(TRIM(BT7))=0</formula>
    </cfRule>
  </conditionalFormatting>
  <conditionalFormatting sqref="BT8:BT2501">
    <cfRule type="expression" priority="157" dxfId="7">
      <formula>AND($BT$7&lt;&gt;"", BT8="")</formula>
    </cfRule>
  </conditionalFormatting>
  <conditionalFormatting sqref="BU7">
    <cfRule type="notContainsBlanks" priority="158" dxfId="7">
      <formula>LEN(TRIM(BU7))&gt;0</formula>
    </cfRule>
    <cfRule type="containsBlanks" priority="159" dxfId="8">
      <formula>LEN(TRIM(BU7))=0</formula>
    </cfRule>
  </conditionalFormatting>
  <conditionalFormatting sqref="BU8:BU2501">
    <cfRule type="expression" priority="160" dxfId="7">
      <formula>AND($BU$7&lt;&gt;"", BU8="")</formula>
    </cfRule>
  </conditionalFormatting>
  <conditionalFormatting sqref="BV7">
    <cfRule type="notContainsBlanks" priority="161" dxfId="7">
      <formula>LEN(TRIM(BV7))&gt;0</formula>
    </cfRule>
    <cfRule type="containsBlanks" priority="162" dxfId="8">
      <formula>LEN(TRIM(BV7))=0</formula>
    </cfRule>
  </conditionalFormatting>
  <conditionalFormatting sqref="BV8:BV2501">
    <cfRule type="expression" priority="163" dxfId="7">
      <formula>AND($BV$7&lt;&gt;"", BV8="")</formula>
    </cfRule>
  </conditionalFormatting>
  <conditionalFormatting sqref="BW7">
    <cfRule type="notContainsBlanks" priority="164" dxfId="7">
      <formula>LEN(TRIM(BW7))&gt;0</formula>
    </cfRule>
    <cfRule type="containsBlanks" priority="165" dxfId="8">
      <formula>LEN(TRIM(BW7))=0</formula>
    </cfRule>
  </conditionalFormatting>
  <conditionalFormatting sqref="BW8:BW2501">
    <cfRule type="expression" priority="166" dxfId="7">
      <formula>AND($BW$7&lt;&gt;"", BW8="")</formula>
    </cfRule>
  </conditionalFormatting>
  <conditionalFormatting sqref="BX7">
    <cfRule type="notContainsBlanks" priority="167" dxfId="7">
      <formula>LEN(TRIM(BX7))&gt;0</formula>
    </cfRule>
    <cfRule type="containsBlanks" priority="168" dxfId="8">
      <formula>LEN(TRIM(BX7))=0</formula>
    </cfRule>
  </conditionalFormatting>
  <conditionalFormatting sqref="BX8:BX2501">
    <cfRule type="expression" priority="169" dxfId="7">
      <formula>AND($BX$7&lt;&gt;"", BX8="")</formula>
    </cfRule>
  </conditionalFormatting>
  <conditionalFormatting sqref="BY7">
    <cfRule type="notContainsBlanks" priority="170" dxfId="7">
      <formula>LEN(TRIM(BY7))&gt;0</formula>
    </cfRule>
    <cfRule type="containsBlanks" priority="171" dxfId="8">
      <formula>LEN(TRIM(BY7))=0</formula>
    </cfRule>
  </conditionalFormatting>
  <conditionalFormatting sqref="BY8:BY2501">
    <cfRule type="expression" priority="172" dxfId="7">
      <formula>AND($BY$7&lt;&gt;"", BY8="")</formula>
    </cfRule>
  </conditionalFormatting>
  <conditionalFormatting sqref="BZ7">
    <cfRule type="notContainsBlanks" priority="173" dxfId="7">
      <formula>LEN(TRIM(BZ7))&gt;0</formula>
    </cfRule>
    <cfRule type="containsBlanks" priority="174" dxfId="8">
      <formula>LEN(TRIM(BZ7))=0</formula>
    </cfRule>
  </conditionalFormatting>
  <conditionalFormatting sqref="BZ8:BZ2501">
    <cfRule type="expression" priority="175" dxfId="7">
      <formula>AND($BZ$7&lt;&gt;"", BZ8="")</formula>
    </cfRule>
  </conditionalFormatting>
  <conditionalFormatting sqref="CA7">
    <cfRule type="notContainsBlanks" priority="176" dxfId="7">
      <formula>LEN(TRIM(CA7))&gt;0</formula>
    </cfRule>
    <cfRule type="containsBlanks" priority="177" dxfId="8">
      <formula>LEN(TRIM(CA7))=0</formula>
    </cfRule>
  </conditionalFormatting>
  <conditionalFormatting sqref="CA8:CA2501">
    <cfRule type="expression" priority="178" dxfId="7">
      <formula>AND($CA$7&lt;&gt;"", CA8="")</formula>
    </cfRule>
  </conditionalFormatting>
  <conditionalFormatting sqref="CB7">
    <cfRule type="notContainsBlanks" priority="179" dxfId="7">
      <formula>LEN(TRIM(CB7))&gt;0</formula>
    </cfRule>
    <cfRule type="containsBlanks" priority="180" dxfId="8">
      <formula>LEN(TRIM(CB7))=0</formula>
    </cfRule>
  </conditionalFormatting>
  <conditionalFormatting sqref="CB8:CB2501">
    <cfRule type="expression" priority="181" dxfId="7">
      <formula>AND($CB$7&lt;&gt;"", CB8="")</formula>
    </cfRule>
  </conditionalFormatting>
  <conditionalFormatting sqref="CC7">
    <cfRule type="notContainsBlanks" priority="182" dxfId="7">
      <formula>LEN(TRIM(CC7))&gt;0</formula>
    </cfRule>
    <cfRule type="containsBlanks" priority="183" dxfId="8">
      <formula>LEN(TRIM(CC7))=0</formula>
    </cfRule>
  </conditionalFormatting>
  <conditionalFormatting sqref="CC8:CC2501">
    <cfRule type="expression" priority="184" dxfId="7">
      <formula>AND($CC$7&lt;&gt;"", CC8="")</formula>
    </cfRule>
  </conditionalFormatting>
  <conditionalFormatting sqref="CD7">
    <cfRule type="notContainsBlanks" priority="185" dxfId="7">
      <formula>LEN(TRIM(CD7))&gt;0</formula>
    </cfRule>
    <cfRule type="containsBlanks" priority="186" dxfId="8">
      <formula>LEN(TRIM(CD7))=0</formula>
    </cfRule>
  </conditionalFormatting>
  <conditionalFormatting sqref="CD8:CD2501">
    <cfRule type="expression" priority="187" dxfId="7">
      <formula>AND($CD$7&lt;&gt;"", CD8="")</formula>
    </cfRule>
  </conditionalFormatting>
  <conditionalFormatting sqref="CE7">
    <cfRule type="notContainsBlanks" priority="188" dxfId="7">
      <formula>LEN(TRIM(CE7))&gt;0</formula>
    </cfRule>
    <cfRule type="containsBlanks" priority="189" dxfId="8">
      <formula>LEN(TRIM(CE7))=0</formula>
    </cfRule>
  </conditionalFormatting>
  <conditionalFormatting sqref="CE8:CE2501">
    <cfRule type="expression" priority="190" dxfId="7">
      <formula>AND($CE$7&lt;&gt;"", CE8="")</formula>
    </cfRule>
  </conditionalFormatting>
  <conditionalFormatting sqref="CF7">
    <cfRule type="notContainsBlanks" priority="191" dxfId="7">
      <formula>LEN(TRIM(CF7))&gt;0</formula>
    </cfRule>
    <cfRule type="containsBlanks" priority="192" dxfId="8">
      <formula>LEN(TRIM(CF7))=0</formula>
    </cfRule>
  </conditionalFormatting>
  <conditionalFormatting sqref="CF8:CF2501">
    <cfRule type="expression" priority="193" dxfId="7">
      <formula>AND($CF$7&lt;&gt;"", CF8="")</formula>
    </cfRule>
  </conditionalFormatting>
  <conditionalFormatting sqref="CG7">
    <cfRule type="notContainsBlanks" priority="194" dxfId="7">
      <formula>LEN(TRIM(CG7))&gt;0</formula>
    </cfRule>
    <cfRule type="containsBlanks" priority="195" dxfId="8">
      <formula>LEN(TRIM(CG7))=0</formula>
    </cfRule>
  </conditionalFormatting>
  <conditionalFormatting sqref="CG8:CG2501">
    <cfRule type="expression" priority="196" dxfId="7">
      <formula>AND($CG$7&lt;&gt;"", CG8="")</formula>
    </cfRule>
  </conditionalFormatting>
  <conditionalFormatting sqref="CH7">
    <cfRule type="notContainsBlanks" priority="197" dxfId="7">
      <formula>LEN(TRIM(CH7))&gt;0</formula>
    </cfRule>
    <cfRule type="containsBlanks" priority="198" dxfId="8">
      <formula>LEN(TRIM(CH7))=0</formula>
    </cfRule>
  </conditionalFormatting>
  <conditionalFormatting sqref="CH8:CH2501">
    <cfRule type="expression" priority="199" dxfId="7">
      <formula>AND($CH$7&lt;&gt;"", CH8="")</formula>
    </cfRule>
  </conditionalFormatting>
  <conditionalFormatting sqref="CI7">
    <cfRule type="notContainsBlanks" priority="200" dxfId="7">
      <formula>LEN(TRIM(CI7))&gt;0</formula>
    </cfRule>
    <cfRule type="containsBlanks" priority="201" dxfId="8">
      <formula>LEN(TRIM(CI7))=0</formula>
    </cfRule>
  </conditionalFormatting>
  <conditionalFormatting sqref="CI8:CI2501">
    <cfRule type="expression" priority="202" dxfId="7">
      <formula>AND($CI$7&lt;&gt;"", CI8="")</formula>
    </cfRule>
  </conditionalFormatting>
  <conditionalFormatting sqref="CJ7">
    <cfRule type="notContainsBlanks" priority="203" dxfId="7">
      <formula>LEN(TRIM(CJ7))&gt;0</formula>
    </cfRule>
    <cfRule type="containsBlanks" priority="204" dxfId="8">
      <formula>LEN(TRIM(CJ7))=0</formula>
    </cfRule>
  </conditionalFormatting>
  <conditionalFormatting sqref="CJ8:CJ2501">
    <cfRule type="expression" priority="205" dxfId="7">
      <formula>AND($CJ$7&lt;&gt;"", CJ8="")</formula>
    </cfRule>
  </conditionalFormatting>
  <conditionalFormatting sqref="CK7">
    <cfRule type="notContainsBlanks" priority="206" dxfId="7">
      <formula>LEN(TRIM(CK7))&gt;0</formula>
    </cfRule>
    <cfRule type="containsBlanks" priority="207" dxfId="8">
      <formula>LEN(TRIM(CK7))=0</formula>
    </cfRule>
  </conditionalFormatting>
  <conditionalFormatting sqref="CK8:CK2501">
    <cfRule type="expression" priority="208" dxfId="7">
      <formula>AND($CK$7&lt;&gt;"", CK8="")</formula>
    </cfRule>
  </conditionalFormatting>
  <conditionalFormatting sqref="CL7">
    <cfRule type="notContainsBlanks" priority="209" dxfId="7">
      <formula>LEN(TRIM(CL7))&gt;0</formula>
    </cfRule>
    <cfRule type="containsBlanks" priority="210" dxfId="8">
      <formula>LEN(TRIM(CL7))=0</formula>
    </cfRule>
  </conditionalFormatting>
  <conditionalFormatting sqref="CL8:CL2501">
    <cfRule type="expression" priority="211" dxfId="7">
      <formula>AND($CL$7&lt;&gt;"", CL8="")</formula>
    </cfRule>
  </conditionalFormatting>
  <conditionalFormatting sqref="CM7">
    <cfRule type="notContainsBlanks" priority="212" dxfId="7">
      <formula>LEN(TRIM(CM7))&gt;0</formula>
    </cfRule>
    <cfRule type="containsBlanks" priority="213" dxfId="8">
      <formula>LEN(TRIM(CM7))=0</formula>
    </cfRule>
  </conditionalFormatting>
  <conditionalFormatting sqref="CM8:CM2501">
    <cfRule type="expression" priority="214" dxfId="7">
      <formula>AND($CM$7&lt;&gt;"", CM8="")</formula>
    </cfRule>
  </conditionalFormatting>
  <conditionalFormatting sqref="CN7">
    <cfRule type="notContainsBlanks" priority="215" dxfId="7">
      <formula>LEN(TRIM(CN7))&gt;0</formula>
    </cfRule>
    <cfRule type="containsBlanks" priority="216" dxfId="8">
      <formula>LEN(TRIM(CN7))=0</formula>
    </cfRule>
  </conditionalFormatting>
  <conditionalFormatting sqref="CN8:CN2501">
    <cfRule type="expression" priority="217" dxfId="7">
      <formula>AND($CN$7&lt;&gt;"", CN8="")</formula>
    </cfRule>
  </conditionalFormatting>
  <conditionalFormatting sqref="CO7">
    <cfRule type="notContainsBlanks" priority="218" dxfId="7">
      <formula>LEN(TRIM(CO7))&gt;0</formula>
    </cfRule>
    <cfRule type="containsBlanks" priority="219" dxfId="8">
      <formula>LEN(TRIM(CO7))=0</formula>
    </cfRule>
  </conditionalFormatting>
  <conditionalFormatting sqref="CO8:CO2501">
    <cfRule type="expression" priority="220" dxfId="7">
      <formula>AND($CO$7&lt;&gt;"", CO8="")</formula>
    </cfRule>
  </conditionalFormatting>
  <conditionalFormatting sqref="CP7">
    <cfRule type="notContainsBlanks" priority="221" dxfId="7">
      <formula>LEN(TRIM(CP7))&gt;0</formula>
    </cfRule>
    <cfRule type="containsBlanks" priority="222" dxfId="8">
      <formula>LEN(TRIM(CP7))=0</formula>
    </cfRule>
  </conditionalFormatting>
  <conditionalFormatting sqref="CP8:CP2501">
    <cfRule type="expression" priority="223" dxfId="7">
      <formula>AND($CP$7&lt;&gt;"", CP8="")</formula>
    </cfRule>
  </conditionalFormatting>
  <conditionalFormatting sqref="CQ7">
    <cfRule type="notContainsBlanks" priority="224" dxfId="7">
      <formula>LEN(TRIM(CQ7))&gt;0</formula>
    </cfRule>
    <cfRule type="containsBlanks" priority="225" dxfId="8">
      <formula>LEN(TRIM(CQ7))=0</formula>
    </cfRule>
  </conditionalFormatting>
  <conditionalFormatting sqref="CQ8:CQ2501">
    <cfRule type="expression" priority="226" dxfId="7">
      <formula>AND($CQ$7&lt;&gt;"", CQ8="")</formula>
    </cfRule>
  </conditionalFormatting>
  <conditionalFormatting sqref="CR7">
    <cfRule type="notContainsBlanks" priority="227" dxfId="7">
      <formula>LEN(TRIM(CR7))&gt;0</formula>
    </cfRule>
    <cfRule type="containsBlanks" priority="228" dxfId="8">
      <formula>LEN(TRIM(CR7))=0</formula>
    </cfRule>
  </conditionalFormatting>
  <conditionalFormatting sqref="CR8:CR2501">
    <cfRule type="expression" priority="229" dxfId="7">
      <formula>AND($CR$7&lt;&gt;"", CR8="")</formula>
    </cfRule>
  </conditionalFormatting>
  <conditionalFormatting sqref="CS7">
    <cfRule type="notContainsBlanks" priority="230" dxfId="7">
      <formula>LEN(TRIM(CS7))&gt;0</formula>
    </cfRule>
    <cfRule type="containsBlanks" priority="231" dxfId="8">
      <formula>LEN(TRIM(CS7))=0</formula>
    </cfRule>
  </conditionalFormatting>
  <conditionalFormatting sqref="CS8:CS2501">
    <cfRule type="expression" priority="232" dxfId="7">
      <formula>AND($CS$7&lt;&gt;"", CS8="")</formula>
    </cfRule>
  </conditionalFormatting>
  <conditionalFormatting sqref="CT7">
    <cfRule type="notContainsBlanks" priority="233" dxfId="7">
      <formula>LEN(TRIM(CT7))&gt;0</formula>
    </cfRule>
    <cfRule type="containsBlanks" priority="234" dxfId="8">
      <formula>LEN(TRIM(CT7))=0</formula>
    </cfRule>
  </conditionalFormatting>
  <conditionalFormatting sqref="CT8:CT2501">
    <cfRule type="expression" priority="235" dxfId="7">
      <formula>AND($CT$7&lt;&gt;"", CT8="")</formula>
    </cfRule>
  </conditionalFormatting>
  <conditionalFormatting sqref="CU7">
    <cfRule type="notContainsBlanks" priority="236" dxfId="7">
      <formula>LEN(TRIM(CU7))&gt;0</formula>
    </cfRule>
    <cfRule type="containsBlanks" priority="237" dxfId="8">
      <formula>LEN(TRIM(CU7))=0</formula>
    </cfRule>
  </conditionalFormatting>
  <conditionalFormatting sqref="CU8:CU2501">
    <cfRule type="expression" priority="238" dxfId="7">
      <formula>AND($CU$7&lt;&gt;"", CU8="")</formula>
    </cfRule>
  </conditionalFormatting>
  <conditionalFormatting sqref="CV7">
    <cfRule type="notContainsBlanks" priority="239" dxfId="7">
      <formula>LEN(TRIM(CV7))&gt;0</formula>
    </cfRule>
    <cfRule type="containsBlanks" priority="240" dxfId="8">
      <formula>LEN(TRIM(CV7))=0</formula>
    </cfRule>
  </conditionalFormatting>
  <conditionalFormatting sqref="CV8:CV2501">
    <cfRule type="expression" priority="241" dxfId="7">
      <formula>AND($CV$7&lt;&gt;"", CV8="")</formula>
    </cfRule>
  </conditionalFormatting>
  <conditionalFormatting sqref="CW7">
    <cfRule type="notContainsBlanks" priority="242" dxfId="7">
      <formula>LEN(TRIM(CW7))&gt;0</formula>
    </cfRule>
    <cfRule type="containsBlanks" priority="243" dxfId="8">
      <formula>LEN(TRIM(CW7))=0</formula>
    </cfRule>
  </conditionalFormatting>
  <conditionalFormatting sqref="CW8:CW2501">
    <cfRule type="expression" priority="244" dxfId="7">
      <formula>AND($CW$7&lt;&gt;"", CW8="")</formula>
    </cfRule>
  </conditionalFormatting>
  <conditionalFormatting sqref="CX7">
    <cfRule type="notContainsBlanks" priority="245" dxfId="7">
      <formula>LEN(TRIM(CX7))&gt;0</formula>
    </cfRule>
    <cfRule type="containsBlanks" priority="246" dxfId="8">
      <formula>LEN(TRIM(CX7))=0</formula>
    </cfRule>
  </conditionalFormatting>
  <conditionalFormatting sqref="CX8:CX2501">
    <cfRule type="expression" priority="247" dxfId="7">
      <formula>AND($CX$7&lt;&gt;"", CX8="")</formula>
    </cfRule>
  </conditionalFormatting>
  <conditionalFormatting sqref="CY7">
    <cfRule type="notContainsBlanks" priority="248" dxfId="7">
      <formula>LEN(TRIM(CY7))&gt;0</formula>
    </cfRule>
    <cfRule type="containsBlanks" priority="249" dxfId="8">
      <formula>LEN(TRIM(CY7))=0</formula>
    </cfRule>
  </conditionalFormatting>
  <conditionalFormatting sqref="CY8:CY2501">
    <cfRule type="expression" priority="250" dxfId="7">
      <formula>AND($CY$7&lt;&gt;"", CY8="")</formula>
    </cfRule>
  </conditionalFormatting>
  <conditionalFormatting sqref="CZ7">
    <cfRule type="notContainsBlanks" priority="251" dxfId="7">
      <formula>LEN(TRIM(CZ7))&gt;0</formula>
    </cfRule>
    <cfRule type="containsBlanks" priority="252" dxfId="8">
      <formula>LEN(TRIM(CZ7))=0</formula>
    </cfRule>
  </conditionalFormatting>
  <conditionalFormatting sqref="CZ8:CZ2501">
    <cfRule type="expression" priority="253"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54" dxfId="7">
      <formula>LEN(TRIM(DA7))&gt;0</formula>
    </cfRule>
    <cfRule type="containsBlanks" priority="255" dxfId="8">
      <formula>LEN(TRIM(DA7))=0</formula>
    </cfRule>
  </conditionalFormatting>
  <conditionalFormatting sqref="DA8:DA2501">
    <cfRule type="expression" priority="256" dxfId="7">
      <formula>AND($DA$7&lt;&gt;"", DA8="")</formula>
    </cfRule>
  </conditionalFormatting>
  <conditionalFormatting sqref="DB7">
    <cfRule type="notContainsBlanks" priority="257" dxfId="7">
      <formula>LEN(TRIM(DB7))&gt;0</formula>
    </cfRule>
    <cfRule type="containsBlanks" priority="258" dxfId="8">
      <formula>LEN(TRIM(DB7))=0</formula>
    </cfRule>
  </conditionalFormatting>
  <conditionalFormatting sqref="DB8:DB2501">
    <cfRule type="expression" priority="259" dxfId="7">
      <formula>AND($DB$7&lt;&gt;"", DB8="")</formula>
    </cfRule>
  </conditionalFormatting>
  <conditionalFormatting sqref="DC7">
    <cfRule type="notContainsBlanks" priority="260" dxfId="7">
      <formula>LEN(TRIM(DC7))&gt;0</formula>
    </cfRule>
    <cfRule type="containsBlanks" priority="261" dxfId="8">
      <formula>LEN(TRIM(DC7))=0</formula>
    </cfRule>
  </conditionalFormatting>
  <conditionalFormatting sqref="DC8:DC2501">
    <cfRule type="expression" priority="262" dxfId="7">
      <formula>AND($DC$7&lt;&gt;"", DC8="")</formula>
    </cfRule>
  </conditionalFormatting>
  <conditionalFormatting sqref="DD7">
    <cfRule type="notContainsBlanks" priority="263" dxfId="7">
      <formula>LEN(TRIM(DD7))&gt;0</formula>
    </cfRule>
    <cfRule type="containsBlanks" priority="264" dxfId="8">
      <formula>LEN(TRIM(DD7))=0</formula>
    </cfRule>
  </conditionalFormatting>
  <conditionalFormatting sqref="DD8:DD2501">
    <cfRule type="expression" priority="265" dxfId="7">
      <formula>AND($DD$7&lt;&gt;"", DD8="")</formula>
    </cfRule>
  </conditionalFormatting>
  <conditionalFormatting sqref="DE7">
    <cfRule type="notContainsBlanks" priority="266" dxfId="7">
      <formula>LEN(TRIM(DE7))&gt;0</formula>
    </cfRule>
    <cfRule type="containsBlanks" priority="267" dxfId="8">
      <formula>LEN(TRIM(DE7))=0</formula>
    </cfRule>
  </conditionalFormatting>
  <conditionalFormatting sqref="DE8:DE2501">
    <cfRule type="expression" priority="268" dxfId="7">
      <formula>AND($DE$7&lt;&gt;"", DE8="")</formula>
    </cfRule>
  </conditionalFormatting>
  <conditionalFormatting sqref="DF7">
    <cfRule type="notContainsBlanks" priority="269" dxfId="7">
      <formula>LEN(TRIM(DF7))&gt;0</formula>
    </cfRule>
    <cfRule type="containsBlanks" priority="270" dxfId="8">
      <formula>LEN(TRIM(DF7))=0</formula>
    </cfRule>
  </conditionalFormatting>
  <conditionalFormatting sqref="DF8:DF2501">
    <cfRule type="expression" priority="271" dxfId="7">
      <formula>AND($DF$7&lt;&gt;"", DF8="")</formula>
    </cfRule>
  </conditionalFormatting>
  <conditionalFormatting sqref="DG7">
    <cfRule type="notContainsBlanks" priority="272" dxfId="7">
      <formula>LEN(TRIM(DG7))&gt;0</formula>
    </cfRule>
    <cfRule type="containsBlanks" priority="273" dxfId="8">
      <formula>LEN(TRIM(DG7))=0</formula>
    </cfRule>
  </conditionalFormatting>
  <conditionalFormatting sqref="DG8:DG2501">
    <cfRule type="expression" priority="274" dxfId="7">
      <formula>AND($DG$7&lt;&gt;"", DG8="")</formula>
    </cfRule>
  </conditionalFormatting>
  <conditionalFormatting sqref="DH7">
    <cfRule type="notContainsBlanks" priority="275" dxfId="7">
      <formula>LEN(TRIM(DH7))&gt;0</formula>
    </cfRule>
    <cfRule type="containsBlanks" priority="276" dxfId="8">
      <formula>LEN(TRIM(DH7))=0</formula>
    </cfRule>
  </conditionalFormatting>
  <conditionalFormatting sqref="DH8:DH2501">
    <cfRule type="expression" priority="277" dxfId="7">
      <formula>AND($DH$7&lt;&gt;"", DH8="")</formula>
    </cfRule>
  </conditionalFormatting>
  <conditionalFormatting sqref="DI7">
    <cfRule type="notContainsBlanks" priority="278" dxfId="7">
      <formula>LEN(TRIM(DI7))&gt;0</formula>
    </cfRule>
    <cfRule type="containsBlanks" priority="279" dxfId="8">
      <formula>LEN(TRIM(DI7))=0</formula>
    </cfRule>
  </conditionalFormatting>
  <conditionalFormatting sqref="DI8:DI2501">
    <cfRule type="expression" priority="280" dxfId="7">
      <formula>AND($DI$7&lt;&gt;"", DI8="")</formula>
    </cfRule>
  </conditionalFormatting>
  <conditionalFormatting sqref="DJ7">
    <cfRule type="notContainsBlanks" priority="281" dxfId="7">
      <formula>LEN(TRIM(DJ7))&gt;0</formula>
    </cfRule>
    <cfRule type="containsBlanks" priority="282" dxfId="8">
      <formula>LEN(TRIM(DJ7))=0</formula>
    </cfRule>
  </conditionalFormatting>
  <conditionalFormatting sqref="DJ8:DJ2501">
    <cfRule type="expression" priority="283" dxfId="7">
      <formula>AND($DJ$7&lt;&gt;"", DJ8="")</formula>
    </cfRule>
  </conditionalFormatting>
  <conditionalFormatting sqref="DK7">
    <cfRule type="notContainsBlanks" priority="284" dxfId="7">
      <formula>LEN(TRIM(DK7))&gt;0</formula>
    </cfRule>
    <cfRule type="containsBlanks" priority="285" dxfId="8">
      <formula>LEN(TRIM(DK7))=0</formula>
    </cfRule>
  </conditionalFormatting>
  <conditionalFormatting sqref="DK8:DK2501">
    <cfRule type="expression" priority="286" dxfId="7">
      <formula>AND($DK$7&lt;&gt;"", DK8="")</formula>
    </cfRule>
  </conditionalFormatting>
  <conditionalFormatting sqref="DL7">
    <cfRule type="notContainsBlanks" priority="287" dxfId="7">
      <formula>LEN(TRIM(DL7))&gt;0</formula>
    </cfRule>
    <cfRule type="containsBlanks" priority="288" dxfId="8">
      <formula>LEN(TRIM(DL7))=0</formula>
    </cfRule>
  </conditionalFormatting>
  <conditionalFormatting sqref="DL8:DL2501">
    <cfRule type="expression" priority="289" dxfId="7">
      <formula>AND($DL$7&lt;&gt;"", DL8="")</formula>
    </cfRule>
  </conditionalFormatting>
  <conditionalFormatting sqref="DM7">
    <cfRule type="notContainsBlanks" priority="290" dxfId="7">
      <formula>LEN(TRIM(DM7))&gt;0</formula>
    </cfRule>
    <cfRule type="containsBlanks" priority="291" dxfId="8">
      <formula>LEN(TRIM(DM7))=0</formula>
    </cfRule>
  </conditionalFormatting>
  <conditionalFormatting sqref="DM8:DM2501">
    <cfRule type="expression" priority="292" dxfId="7">
      <formula>AND($DM$7&lt;&gt;"", DM8="")</formula>
    </cfRule>
  </conditionalFormatting>
  <conditionalFormatting sqref="DN7">
    <cfRule type="notContainsBlanks" priority="293" dxfId="7">
      <formula>LEN(TRIM(DN7))&gt;0</formula>
    </cfRule>
    <cfRule type="containsBlanks" priority="294" dxfId="8">
      <formula>LEN(TRIM(DN7))=0</formula>
    </cfRule>
  </conditionalFormatting>
  <conditionalFormatting sqref="DN8:DN2501">
    <cfRule type="expression" priority="295" dxfId="7">
      <formula>AND($DN$7&lt;&gt;"", DN8="")</formula>
    </cfRule>
  </conditionalFormatting>
  <conditionalFormatting sqref="DO7">
    <cfRule type="notContainsBlanks" priority="296" dxfId="7">
      <formula>LEN(TRIM(DO7))&gt;0</formula>
    </cfRule>
    <cfRule type="containsBlanks" priority="297" dxfId="8">
      <formula>LEN(TRIM(DO7))=0</formula>
    </cfRule>
  </conditionalFormatting>
  <conditionalFormatting sqref="DO8:DO2501">
    <cfRule type="expression" priority="298" dxfId="7">
      <formula>AND($DO$7&lt;&gt;"", DO8="")</formula>
    </cfRule>
  </conditionalFormatting>
  <conditionalFormatting sqref="DP7">
    <cfRule type="notContainsBlanks" priority="299" dxfId="7">
      <formula>LEN(TRIM(DP7))&gt;0</formula>
    </cfRule>
    <cfRule type="containsBlanks" priority="300" dxfId="8">
      <formula>LEN(TRIM(DP7))=0</formula>
    </cfRule>
  </conditionalFormatting>
  <conditionalFormatting sqref="DP8:DP2501">
    <cfRule type="expression" priority="301" dxfId="7">
      <formula>AND($DP$7&lt;&gt;"", DP8="")</formula>
    </cfRule>
  </conditionalFormatting>
  <conditionalFormatting sqref="DQ7">
    <cfRule type="notContainsBlanks" priority="302" dxfId="7">
      <formula>LEN(TRIM(DQ7))&gt;0</formula>
    </cfRule>
    <cfRule type="containsBlanks" priority="303" dxfId="8">
      <formula>LEN(TRIM(DQ7))=0</formula>
    </cfRule>
  </conditionalFormatting>
  <conditionalFormatting sqref="DQ8:DQ2501">
    <cfRule type="expression" priority="304" dxfId="7">
      <formula>AND($DQ$7&lt;&gt;"", DQ8="")</formula>
    </cfRule>
  </conditionalFormatting>
  <conditionalFormatting sqref="DR7">
    <cfRule type="notContainsBlanks" priority="305" dxfId="7">
      <formula>LEN(TRIM(DR7))&gt;0</formula>
    </cfRule>
    <cfRule type="containsBlanks" priority="306" dxfId="8">
      <formula>LEN(TRIM(DR7))=0</formula>
    </cfRule>
  </conditionalFormatting>
  <conditionalFormatting sqref="DR8:DR2501">
    <cfRule type="expression" priority="307" dxfId="7">
      <formula>AND($DR$7&lt;&gt;"", DR8="")</formula>
    </cfRule>
  </conditionalFormatting>
  <conditionalFormatting sqref="DS7">
    <cfRule type="notContainsBlanks" priority="308" dxfId="7">
      <formula>LEN(TRIM(DS7))&gt;0</formula>
    </cfRule>
    <cfRule type="containsBlanks" priority="309" dxfId="8">
      <formula>LEN(TRIM(DS7))=0</formula>
    </cfRule>
  </conditionalFormatting>
  <conditionalFormatting sqref="DS8:DS2501">
    <cfRule type="expression" priority="310" dxfId="7">
      <formula>AND($DS$7&lt;&gt;"", DS8="")</formula>
    </cfRule>
  </conditionalFormatting>
  <conditionalFormatting sqref="DT7">
    <cfRule type="notContainsBlanks" priority="311" dxfId="7">
      <formula>LEN(TRIM(DT7))&gt;0</formula>
    </cfRule>
    <cfRule type="containsBlanks" priority="312" dxfId="8">
      <formula>LEN(TRIM(DT7))=0</formula>
    </cfRule>
  </conditionalFormatting>
  <conditionalFormatting sqref="DT8:DT2501">
    <cfRule type="expression" priority="313" dxfId="7">
      <formula>AND($DT$7&lt;&gt;"", DT8="")</formula>
    </cfRule>
  </conditionalFormatting>
  <conditionalFormatting sqref="DU7">
    <cfRule type="notContainsBlanks" priority="314" dxfId="7">
      <formula>LEN(TRIM(DU7))&gt;0</formula>
    </cfRule>
    <cfRule type="containsBlanks" priority="315" dxfId="8">
      <formula>LEN(TRIM(DU7))=0</formula>
    </cfRule>
  </conditionalFormatting>
  <conditionalFormatting sqref="DU8:DU2501">
    <cfRule type="expression" priority="316" dxfId="7">
      <formula>AND($DU$7&lt;&gt;"", DU8="")</formula>
    </cfRule>
  </conditionalFormatting>
  <conditionalFormatting sqref="DV7">
    <cfRule type="notContainsBlanks" priority="317" dxfId="7">
      <formula>LEN(TRIM(DV7))&gt;0</formula>
    </cfRule>
    <cfRule type="containsBlanks" priority="318" dxfId="8">
      <formula>LEN(TRIM(DV7))=0</formula>
    </cfRule>
  </conditionalFormatting>
  <conditionalFormatting sqref="DV8:DV2501">
    <cfRule type="expression" priority="319" dxfId="7">
      <formula>AND($DV$7&lt;&gt;"", DV8="")</formula>
    </cfRule>
  </conditionalFormatting>
  <conditionalFormatting sqref="DW7">
    <cfRule type="notContainsBlanks" priority="320" dxfId="7">
      <formula>LEN(TRIM(DW7))&gt;0</formula>
    </cfRule>
    <cfRule type="containsBlanks" priority="321" dxfId="8">
      <formula>LEN(TRIM(DW7))=0</formula>
    </cfRule>
  </conditionalFormatting>
  <conditionalFormatting sqref="DW8:DW2501">
    <cfRule type="expression" priority="322" dxfId="7">
      <formula>AND($DW$7&lt;&gt;"", DW8="")</formula>
    </cfRule>
  </conditionalFormatting>
  <conditionalFormatting sqref="DX7">
    <cfRule type="notContainsBlanks" priority="323" dxfId="7">
      <formula>LEN(TRIM(DX7))&gt;0</formula>
    </cfRule>
    <cfRule type="containsBlanks" priority="324" dxfId="8">
      <formula>LEN(TRIM(DX7))=0</formula>
    </cfRule>
  </conditionalFormatting>
  <conditionalFormatting sqref="DX8:DX2501">
    <cfRule type="expression" priority="325" dxfId="7">
      <formula>AND($DX$7&lt;&gt;"", DX8="")</formula>
    </cfRule>
  </conditionalFormatting>
  <conditionalFormatting sqref="DY7">
    <cfRule type="notContainsBlanks" priority="326" dxfId="7">
      <formula>LEN(TRIM(DY7))&gt;0</formula>
    </cfRule>
    <cfRule type="containsBlanks" priority="327" dxfId="8">
      <formula>LEN(TRIM(DY7))=0</formula>
    </cfRule>
  </conditionalFormatting>
  <conditionalFormatting sqref="DY8:DY2501">
    <cfRule type="expression" priority="328" dxfId="7">
      <formula>AND($DY$7&lt;&gt;"", DY8="")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S7">
    <cfRule type="notContainsBlanks" priority="14" dxfId="7">
      <formula>LEN(TRIM(S7))&gt;0</formula>
    </cfRule>
    <cfRule type="containsBlanks" priority="15" dxfId="8">
      <formula>LEN(TRIM(S7))=0</formula>
    </cfRule>
  </conditionalFormatting>
  <conditionalFormatting sqref="S8:S2501">
    <cfRule type="expression" priority="16" dxfId="7">
      <formula>AND($S$7&lt;&gt;"", S8="")</formula>
    </cfRule>
  </conditionalFormatting>
  <conditionalFormatting sqref="T7">
    <cfRule type="notContainsBlanks" priority="17" dxfId="7">
      <formula>LEN(TRIM(T7))&gt;0</formula>
    </cfRule>
    <cfRule type="containsBlanks" priority="18" dxfId="8">
      <formula>LEN(TRIM(T7))=0</formula>
    </cfRule>
  </conditionalFormatting>
  <conditionalFormatting sqref="T8:T2501">
    <cfRule type="expression" priority="19" dxfId="7">
      <formula>AND($T$7&lt;&gt;"", T8="")</formula>
    </cfRule>
  </conditionalFormatting>
  <conditionalFormatting sqref="U7">
    <cfRule type="notContainsBlanks" priority="20" dxfId="7">
      <formula>LEN(TRIM(U7))&gt;0</formula>
    </cfRule>
    <cfRule type="containsBlanks" priority="21" dxfId="8">
      <formula>LEN(TRIM(U7))=0</formula>
    </cfRule>
  </conditionalFormatting>
  <conditionalFormatting sqref="U8:U2501">
    <cfRule type="expression" priority="22" dxfId="7">
      <formula>AND($U$7&lt;&gt;"", U8="")</formula>
    </cfRule>
  </conditionalFormatting>
  <conditionalFormatting sqref="V7">
    <cfRule type="notContainsBlanks" priority="23" dxfId="7">
      <formula>LEN(TRIM(V7))&gt;0</formula>
    </cfRule>
    <cfRule type="containsBlanks" priority="24" dxfId="8">
      <formula>LEN(TRIM(V7))=0</formula>
    </cfRule>
  </conditionalFormatting>
  <conditionalFormatting sqref="V8:V2501">
    <cfRule type="expression" priority="25" dxfId="7">
      <formula>AND($V$7&lt;&gt;"", V8="")</formula>
    </cfRule>
  </conditionalFormatting>
  <conditionalFormatting sqref="W7">
    <cfRule type="notContainsBlanks" priority="26" dxfId="7">
      <formula>LEN(TRIM(W7))&gt;0</formula>
    </cfRule>
    <cfRule type="containsBlanks" priority="27" dxfId="8">
      <formula>LEN(TRIM(W7))=0</formula>
    </cfRule>
  </conditionalFormatting>
  <conditionalFormatting sqref="W8:W2501">
    <cfRule type="expression" priority="28" dxfId="7">
      <formula>AND($W$7&lt;&gt;"", W8="")</formula>
    </cfRule>
  </conditionalFormatting>
  <conditionalFormatting sqref="X7">
    <cfRule type="notContainsBlanks" priority="29" dxfId="7">
      <formula>LEN(TRIM(X7))&gt;0</formula>
    </cfRule>
    <cfRule type="containsBlanks" priority="30" dxfId="8">
      <formula>LEN(TRIM(X7))=0</formula>
    </cfRule>
  </conditionalFormatting>
  <conditionalFormatting sqref="X8:X2501">
    <cfRule type="expression" priority="31" dxfId="7">
      <formula>AND($X$7&lt;&gt;"", X8="")</formula>
    </cfRule>
  </conditionalFormatting>
  <conditionalFormatting sqref="Y7">
    <cfRule type="notContainsBlanks" priority="32" dxfId="7">
      <formula>LEN(TRIM(Y7))&gt;0</formula>
    </cfRule>
    <cfRule type="containsBlanks" priority="33" dxfId="8">
      <formula>LEN(TRIM(Y7))=0</formula>
    </cfRule>
  </conditionalFormatting>
  <conditionalFormatting sqref="Y8:Y2501">
    <cfRule type="expression" priority="34" dxfId="7">
      <formula>AND($Y$7&lt;&gt;"", Y8="")</formula>
    </cfRule>
  </conditionalFormatting>
  <conditionalFormatting sqref="Z7">
    <cfRule type="notContainsBlanks" priority="35" dxfId="7">
      <formula>LEN(TRIM(Z7))&gt;0</formula>
    </cfRule>
    <cfRule type="containsBlanks" priority="36" dxfId="8">
      <formula>LEN(TRIM(Z7))=0</formula>
    </cfRule>
  </conditionalFormatting>
  <conditionalFormatting sqref="Z8:Z2501">
    <cfRule type="expression" priority="37" dxfId="7">
      <formula>AND($Z$7&lt;&gt;"", Z8="")</formula>
    </cfRule>
  </conditionalFormatting>
  <dataValidations count="221">
    <dataValidation sqref="B8:B250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C250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D2500" showDropDown="0" showInputMessage="1" showErrorMessage="1" allowBlank="1" errorTitle="Invalid Brand" error="The value provided is not a valid Brand." promptTitle="Brand" prompt="Please select a valid Brand" type="list">
      <formula1>'WAYFAIR_USE_ONLY'!$AP$7:$AP7</formula1>
    </dataValidation>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E8:E250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F250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Please enter Text" type="custom">
      <formula1>AND(LEN(F8)&lt;32767, IF(F8&lt;&gt;"",COUNTIF($F$8:$F$2500,F8)=1,""))</formula1>
    </dataValidation>
    <dataValidation sqref="G8:G250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H250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I8:I250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J2500" showDropDown="0" showInputMessage="1" showErrorMessage="1" allowBlank="1" errorTitle="Invalid Variant Type" error="The value provided is not a valid Variant Type." promptTitle="Variant Type" prompt="Please select a valid Variant Type" type="list">
      <formula1>'WAYFAIR_USE_ONLY'!$BB$7:$BB10</formula1>
    </dataValidation>
    <dataValidation sqref="K8:K2500" showDropDown="0" showInputMessage="1" showErrorMessage="1" allowBlank="0" errorTitle="Invalid Text" error="The value provided is not a valid Text." promptTitle="Group Reference ID" prompt="Please enter Text" type="textLength" errorStyle="warning" operator="lessThanOrEqual">
      <formula1>32767</formula1>
    </dataValidation>
    <dataValidation sqref="L8:L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'WAYFAIR_USE_ONLY'!$HW$7:$HW8</formula1>
    </dataValidation>
    <dataValidation sqref="M8:M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N8:N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'WAYFAIR_USE_ONLY'!$HW$7:$HW8</formula1>
    </dataValidation>
    <dataValidation sqref="O8:O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P8:P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'WAYFAIR_USE_ONLY'!$HW$7:$HW8</formula1>
    </dataValidation>
    <dataValidation sqref="Q8:Q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R8:R250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S8:S250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8:T250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8:U250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8:V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8:W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8:X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8:Y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8:Z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8:AA250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8:AB250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8:AC250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8:AD250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8:AE2500" showDropDown="0" showInputMessage="1" showErrorMessage="1" allowBlank="1" errorTitle="Invalid Ship Type" error="The value provided is not a valid Ship Type." promptTitle="Ship Type" prompt="Please select a valid Ship Type" type="list">
      <formula1>'WAYFAIR_USE_ONLY'!$AV$7:$AV9</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8:AF2500" showDropDown="0" showInputMessage="1" showErrorMessage="1" allowBlank="1" errorTitle="Invalid Freight Class" error="The value provided is not a valid Freight Class." promptTitle="Freight Class" prompt="Please select a valid Freight Class" type="list">
      <formula1>'WAYFAIR_USE_ONLY'!$AW$7:$AW25</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8:AG2500" showDropDown="0" showInputMessage="1" showErrorMessage="1" allowBlank="1" errorTitle="Invalid Lead Time" error="The value provided is not a valid Lead Time." promptTitle="Lead Time" prompt="Please select a valid Lead Time" type="list">
      <formula1>'WAYFAIR_USE_ONLY'!$AX$7:$AX24</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8:AH2500" showDropDown="0" showInputMessage="1" showErrorMessage="1" allowBlank="1" errorTitle="Invalid Replacement Lead Time" error="The value provided is not a valid Replacement Lead Time." promptTitle="Replacement Lead Time" prompt="Please select a valid Replacement Lead Time" type="list">
      <formula1>'WAYFAIR_USE_ONLY'!$AY$7:$AY13</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8:AI250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8:AJ2500" showDropDown="0" showInputMessage="1" showErrorMessage="1" allowBlank="1" errorTitle="Invalid Flat Pack" error="The value provided is not a valid Flat Pack." promptTitle="Flat Pack" prompt="Please select a valid Flat Pack" type="list">
      <formula1>'WAYFAIR_USE_ONLY'!$AZ$7:$AZ9</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8:AK2500" showDropDown="0" showInputMessage="1" showErrorMessage="1" allowBlank="1" errorTitle="Invalid Ship Palletized" error="The value provided is not a valid Ship Palletized." promptTitle="Ship Palletized" prompt="Please select a valid Ship Palletized" type="list">
      <formula1>'WAYFAIR_USE_ONLY'!$BA$7:$BA9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8:AL250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8:AM250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8:AN250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8:AO250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8:AP2500" showDropDown="0" showInputMessage="1" showErrorMessage="1" allowBlank="1" errorTitle="Invalid Warning Required" error="The value provided is not a valid Warning Required." promptTitle="Warning Required" prompt="Please select a valid Warning Required" type="list">
      <formula1>'WAYFAIR_USE_ONLY'!$AS$7:$AS9</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8:AQ2500" showDropDown="0" showInputMessage="1" showErrorMessage="1" allowBlank="1" errorTitle="Invalid Chemical" error="The value provided is not a valid Chemical." promptTitle="Chemical" prompt="Please select a valid Chemical" type="list">
      <formula1>'WAYFAIR_USE_ONLY'!$AT$7:$AT908</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8:AS250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'WAYFAIR_USE_ONLY'!$AU$7:$AU254</formula1>
    </dataValidation>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T8:AT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U8:AU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V8:AV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W8:AW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X8:AX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Y8:AY250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Z8:AZ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8:BC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8:BD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8:BE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8:BH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8:BI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8:BJ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8:BM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8:BN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8:BO250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'WAYFAIR_USE_ONLY'!$GF$7:$GF14</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'WAYFAIR_USE_ONLY'!$GF$7:$GF14</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8:BQ2500" showDropDown="0" showInputMessage="1" showErrorMessage="1" allowBlank="1" errorTitle="Invalid Gloss Finish" error="The value provided is not a valid Gloss Finish." promptTitle="Gloss Finish" prompt="Please select a valid Gloss Finish" type="list">
      <formula1>'WAYFAIR_USE_ONLY'!$GG$7:$GG10</formula1>
    </dataValidation>
    <dataValidation sqref="BQ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'WAYFAIR_USE_ONLY'!$GG$7:$GG10</formula1>
    </dataValidation>
    <dataValidation sqref="BR8:BR2500" showDropDown="0" showInputMessage="1" showErrorMessage="1" allowBlank="1" errorTitle="Invalid Cabinets Included" error="The value provided is not a valid Cabinets Included." promptTitle="Cabinets Included" prompt="Please select a valid Cabinets Included" type="list">
      <formula1>'WAYFAIR_USE_ONLY'!$GH$7:$GH9</formula1>
    </dataValidation>
    <dataValidation sqref="BR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'WAYFAIR_USE_ONLY'!$GH$7:$GH9</formula1>
    </dataValidation>
    <dataValidation sqref="BS8:BS250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U8:BU2500" showDropDown="0" showInputMessage="1" showErrorMessage="1" allowBlank="1" errorTitle="Invalid Interlocking Drawers" error="The value provided is not a valid Interlocking Drawers." promptTitle="Interlocking Drawers" prompt="Please select a valid Interlocking Drawers" type="list">
      <formula1>'WAYFAIR_USE_ONLY'!$GI$7:$GI11</formula1>
    </dataValidation>
    <dataValidation sqref="BU7" showDropDown="0" showInputMessage="1" showErrorMessage="1" allowBlank="1" errorTitle="Invalid Interlocking Drawers" error="The value provided is not a valid Interlocking Drawers." promptTitle="" prompt="If all products in this class consistently have the same answer, you can set a default value to apply automatically. For any exceptions, you can modify the answer for specific products without changing the default." type="list">
      <formula1>'WAYFAIR_USE_ONLY'!$GI$7:$GI11</formula1>
    </dataValidation>
    <dataValidation sqref="BV8:BV2500" showDropDown="0" showInputMessage="1" showErrorMessage="1" allowBlank="1" errorTitle="Invalid Finished Back" error="The value provided is not a valid Finished Back." promptTitle="Finished Back" prompt="Please select a valid Finished Back" type="list">
      <formula1>'WAYFAIR_USE_ONLY'!$GJ$7:$GJ10</formula1>
    </dataValidation>
    <dataValidation sqref="BV7" showDropDown="0" showInputMessage="1" showErrorMessage="1" allowBlank="1" errorTitle="Invalid Finished Back" error="The value provided is not a valid Finished Back." promptTitle="" prompt="If all products in this class consistently have the same answer, you can set a default value to apply automatically. For any exceptions, you can modify the answer for specific products without changing the default." type="list">
      <formula1>'WAYFAIR_USE_ONLY'!$GJ$7:$GJ10</formula1>
    </dataValidation>
    <dataValidation sqref="BW8:BW2500" showDropDown="0" showInputMessage="1" showErrorMessage="1" allowBlank="1" errorTitle="Invalid Tipover Restraint Device" error="The value provided is not a valid Tipover Restraint Device Included." promptTitle="Tipover Restraint Device Include" prompt="Please select a valid Tipover Restraint Device Included" type="list">
      <formula1>'WAYFAIR_USE_ONLY'!$GK$7:$GK9</formula1>
    </dataValidation>
    <dataValidation sqref="BW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'WAYFAIR_USE_ONLY'!$GK$7:$GK9</formula1>
    </dataValidation>
    <dataValidation sqref="BX8:BX2500" showDropDown="0" showInputMessage="1" showErrorMessage="1" allowBlank="1" errorTitle="Invalid Lighting Included" error="The value provided is not a valid Lighting Included." promptTitle="Lighting Included" prompt="Please select a valid Lighting Included" type="list">
      <formula1>'WAYFAIR_USE_ONLY'!$GL$7:$GL9</formula1>
    </dataValidation>
    <dataValidation sqref="BX7" showDropDown="0" showInputMessage="1" showErrorMessage="1" allowBlank="1" errorTitle="Invalid Lighting Included" error="The value provided is not a valid Lighting Included." promptTitle="" prompt="If all products in this class consistently have the same answer, you can set a default value to apply automatically. For any exceptions, you can modify the answer for specific products without changing the default." type="list">
      <formula1>'WAYFAIR_USE_ONLY'!$GL$7:$GL9</formula1>
    </dataValidation>
    <dataValidation sqref="BY8:BY2500" showDropDown="0" showInputMessage="1" showErrorMessage="1" allowBlank="1" errorTitle="Invalid Plug-In" error="The value provided is not a valid Plug-In." promptTitle="Plug-In" prompt="Please select a valid Plug-In" type="list">
      <formula1>'WAYFAIR_USE_ONLY'!$GM$7:$GM9</formula1>
    </dataValidation>
    <dataValidation sqref="BY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'WAYFAIR_USE_ONLY'!$GM$7:$GM9</formula1>
    </dataValidation>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C8:CC2500" showDropDown="0" showInputMessage="1" showErrorMessage="1" allowBlank="1" errorTitle="Invalid Handle Material" error="The value provided is not a valid Handle Material. Would you like to provide a custom answer?" promptTitle="Handle Material" prompt="Please select a valid Handle Material" type="list" errorStyle="warning">
      <formula1>'WAYFAIR_USE_ONLY'!$GN$7:$GN32</formula1>
    </dataValidation>
    <dataValidation sqref="CC7" showDropDown="0" showInputMessage="1" showErrorMessage="1" allowBlank="1" errorTitle="Invalid Handle Material" error="The value provided is not a valid Handle Material.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'WAYFAIR_USE_ONLY'!$GN$7:$GN32</formula1>
    </dataValidation>
    <dataValidation sqref="CD8:CD2500" showDropDown="0" showInputMessage="1" showErrorMessage="1" allowBlank="1" errorTitle="Invalid Removable Handle" error="The value provided is not a valid Removable Handle." promptTitle="Removable Handle" prompt="Please select a valid Removable Handle" type="list">
      <formula1>'WAYFAIR_USE_ONLY'!$GO$7:$GO11</formula1>
    </dataValidation>
    <dataValidation sqref="CD7" showDropDown="0" showInputMessage="1" showErrorMessage="1" allowBlank="1" errorTitle="Invalid Removable Handle" error="The value provided is not a valid Removable Handle." promptTitle="" prompt="If all products in this class consistently have the same answer, you can set a default value to apply automatically. For any exceptions, you can modify the answer for specific products without changing the default." type="list">
      <formula1>'WAYFAIR_USE_ONLY'!$GO$7:$GO11</formula1>
    </dataValidation>
    <dataValidation sqref="CE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F8:CF250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'WAYFAIR_USE_ONLY'!$GP$7:$GP26</formula1>
    </dataValidation>
    <dataValidation sqref="CF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'WAYFAIR_USE_ONLY'!$GP$7:$GP26</formula1>
    </dataValidation>
    <dataValidation sqref="CG8:CG2500" showDropDown="0" showInputMessage="1" showErrorMessage="1" allowBlank="1" errorTitle="Invalid Kiln-Dried Wood" error="The value provided is not a valid Kiln-Dried Wood." promptTitle="Kiln-Dried Wood" prompt="Please select a valid Kiln-Dried Wood" type="list">
      <formula1>'WAYFAIR_USE_ONLY'!$GQ$7:$GQ11</formula1>
    </dataValidation>
    <dataValidation sqref="CG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'WAYFAIR_USE_ONLY'!$GQ$7:$GQ11</formula1>
    </dataValidation>
    <dataValidation sqref="C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J8:CJ2500" showDropDown="0" showInputMessage="1" showErrorMessage="1" allowBlank="1" errorTitle="Invalid Removable Drawers" error="The value provided is not a valid Removable Drawers." promptTitle="Removable Drawers" prompt="Please select a valid Removable Drawers" type="list">
      <formula1>'WAYFAIR_USE_ONLY'!$GR$7:$GR11</formula1>
    </dataValidation>
    <dataValidation sqref="CJ7" showDropDown="0" showInputMessage="1" showErrorMessage="1" allowBlank="1" errorTitle="Invalid Removable Drawers" error="The value provided is not a valid Removable Drawers." promptTitle="" prompt="If all products in this class consistently have the same answer, you can set a default value to apply automatically. For any exceptions, you can modify the answer for specific products without changing the default." type="list">
      <formula1>'WAYFAIR_USE_ONLY'!$GR$7:$GR11</formula1>
    </dataValidation>
    <dataValidation sqref="CK8:CK2500" showDropDown="0" showInputMessage="1" showErrorMessage="1" allowBlank="1" errorTitle="Invalid Unfinished" error="The value provided is not a valid Unfinished." promptTitle="Unfinished" prompt="Please select a valid Unfinished" type="list">
      <formula1>'WAYFAIR_USE_ONLY'!$GS$7:$GS10</formula1>
    </dataValidation>
    <dataValidation sqref="CK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'WAYFAIR_USE_ONLY'!$GS$7:$GS10</formula1>
    </dataValidation>
    <dataValidation sqref="CL8:CL2500" showDropDown="0" showInputMessage="1" showErrorMessage="1" allowBlank="1" errorTitle="Invalid Lined Interior" error="The value provided is not a valid Lined Interior." promptTitle="Lined Interior" prompt="Please select a valid Lined Interior" type="list">
      <formula1>'WAYFAIR_USE_ONLY'!$GT$7:$GT11</formula1>
    </dataValidation>
    <dataValidation sqref="CL7" showDropDown="0" showInputMessage="1" showErrorMessage="1" allowBlank="1" errorTitle="Invalid Lined Interior" error="The value provided is not a valid Lined Interior." promptTitle="" prompt="If all products in this class consistently have the same answer, you can set a default value to apply automatically. For any exceptions, you can modify the answer for specific products without changing the default." type="list">
      <formula1>'WAYFAIR_USE_ONLY'!$GT$7:$GT11</formula1>
    </dataValidation>
    <dataValidation sqref="CM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N8:CN2500" showDropDown="0" showInputMessage="1" showErrorMessage="1" allowBlank="1" errorTitle="Invalid Manufactured Wood Type" error="The value provided is not a valid Manufactured Wood Type." promptTitle="Manufactured Wood Type" prompt="Please select a valid Manufactured Wood Type" type="list">
      <formula1>'WAYFAIR_USE_ONLY'!$GU$7:$GU12</formula1>
    </dataValidation>
    <dataValidation sqref="CN7" showDropDown="0" showInputMessage="1" showErrorMessage="1" allowBlank="1" errorTitle="Invalid Manufactured Wood Type" error="The value provided is not a valid Manufactured Wood Type." promptTitle="" prompt="If all products in this class consistently have the same answer, you can set a default value to apply automatically. For any exceptions, you can modify the answer for specific products without changing the default." type="list">
      <formula1>'WAYFAIR_USE_ONLY'!$GU$7:$GU12</formula1>
    </dataValidation>
    <dataValidation sqref="CO8:CO2500" showDropDown="0" showInputMessage="1" showErrorMessage="1" allowBlank="1" errorTitle="Invalid Scalloped Edges" error="The value provided is not a valid Scalloped Edges." promptTitle="Scalloped Edges" prompt="Please select a valid Scalloped Edges" type="list">
      <formula1>'WAYFAIR_USE_ONLY'!$GV$7:$GV10</formula1>
    </dataValidation>
    <dataValidation sqref="CO7" showDropDown="0" showInputMessage="1" showErrorMessage="1" allowBlank="1" errorTitle="Invalid Scalloped Edges" error="The value provided is not a valid Scalloped Edges." promptTitle="" prompt="If all products in this class consistently have the same answer, you can set a default value to apply automatically. For any exceptions, you can modify the answer for specific products without changing the default." type="list">
      <formula1>'WAYFAIR_USE_ONLY'!$GV$7:$GV10</formula1>
    </dataValidation>
    <dataValidation sqref="CP8:CP2500" showDropDown="0" showInputMessage="1" showErrorMessage="1" allowBlank="1" errorTitle="Invalid Fluted Detailing" error="The value provided is not a valid Fluted Detailing." promptTitle="Fluted Detailing" prompt="Please select a valid Fluted Detailing" type="list">
      <formula1>'WAYFAIR_USE_ONLY'!$GW$7:$GW11</formula1>
    </dataValidation>
    <dataValidation sqref="CP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'WAYFAIR_USE_ONLY'!$GW$7:$GW11</formula1>
    </dataValidation>
    <dataValidation sqref="CQ8:CQ2500" showDropDown="0" showInputMessage="1" showErrorMessage="1" allowBlank="1" errorTitle="Invalid Ribbed Detailing" error="The value provided is not a valid Ribbed Detailing." promptTitle="Ribbed Detailing" prompt="Please select a valid Ribbed Detailing" type="list">
      <formula1>'WAYFAIR_USE_ONLY'!$GX$7:$GX11</formula1>
    </dataValidation>
    <dataValidation sqref="CQ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'WAYFAIR_USE_ONLY'!$GX$7:$GX11</formula1>
    </dataValidation>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8:CS2500" showDropDown="0" showInputMessage="1" showErrorMessage="1" allowBlank="1" errorTitle="Invalid Drawer Safety Stop" error="The value provided is not a valid Drawer Safety Stop." promptTitle="Drawer Safety Stop" prompt="Please select a valid Drawer Safety Stop" type="list">
      <formula1>'WAYFAIR_USE_ONLY'!$GY$7:$GY11</formula1>
    </dataValidation>
    <dataValidation sqref="CS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'WAYFAIR_USE_ONLY'!$GY$7:$GY11</formula1>
    </dataValidation>
    <dataValidation sqref="CT8:CT2500" showDropDown="0" showInputMessage="1" showErrorMessage="1" allowBlank="1" errorTitle="Invalid Additional Intended Use " error="The value provided is not a valid Additional Intended Use For Child." promptTitle="Additional Intended Use For Chil" prompt="Please select a valid Additional Intended Use For Child" type="list">
      <formula1>'WAYFAIR_USE_ONLY'!$GZ$7:$GZ9</formula1>
    </dataValidation>
    <dataValidation sqref="CT7" showDropDown="0" showInputMessage="1" showErrorMessage="1" allowBlank="1" errorTitle="Invalid Additional Intended Use " error="The value provided is not a valid Additional Intended Use For Child." promptTitle="" prompt="If all products in this class consistently have the same answer, you can set a default value to apply automatically. For any exceptions, you can modify the answer for specific products without changing the default." type="list">
      <formula1>'WAYFAIR_USE_ONLY'!$GZ$7:$GZ9</formula1>
    </dataValidation>
    <dataValidation sqref="CU8:CU2500" showDropDown="0" showInputMessage="1" showErrorMessage="1" allowBlank="1" errorTitle="Invalid Consumer Product Safety " error="The value provided is not a valid Consumer Product Safety Improvement Act (CPSIA) Compliant." promptTitle="Consumer Product Safety Improvem" prompt="Please select a valid Consumer Product Safety Improvement Act (CPSIA) Compliant" type="list">
      <formula1>'WAYFAIR_USE_ONLY'!$HA$7:$HA10</formula1>
    </dataValidation>
    <dataValidation sqref="CU7" showDropDown="0" showInputMessage="1" showErrorMessage="1" allowBlank="1" errorTitle="Invalid Consumer Product Safety " error="The value provided is not a valid Consumer Product Safety Improvement Act (CPSIA) Compliant." promptTitle="" prompt="If all products in this class consistently have the same answer, you can set a default value to apply automatically. For any exceptions, you can modify the answer for specific products without changing the default." type="list">
      <formula1>'WAYFAIR_USE_ONLY'!$HA$7:$HA10</formula1>
    </dataValidation>
    <dataValidation sqref="CV8:CV2500" showDropDown="0" showInputMessage="1" showErrorMessage="1" allowBlank="1" errorTitle="Invalid CPSC - 16 CFR 1303 Compl" error="The value provided is not a valid CPSC - 16 CFR 1303 Compliant." promptTitle="CPSC - 16 CFR 1303 Compliant" prompt="Please select a valid CPSC - 16 CFR 1303 Compliant" type="list">
      <formula1>'WAYFAIR_USE_ONLY'!$HB$7:$HB9</formula1>
    </dataValidation>
    <dataValidation sqref="CV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'WAYFAIR_USE_ONLY'!$HB$7:$HB9</formula1>
    </dataValidation>
    <dataValidation sqref="CW8:CW2500" showDropDown="0" showInputMessage="1" showErrorMessage="1" allowBlank="1" errorTitle="Invalid Children’s Product Certi" error="The value provided is not a valid Children’s Product Certificate (CPC)." promptTitle="Children’s Product Certificate (" prompt="Please select a valid Children’s Product Certificate (CPC)" type="list">
      <formula1>'WAYFAIR_USE_ONLY'!$HC$7:$HC10</formula1>
    </dataValidation>
    <dataValidation sqref="CW7" showDropDown="0" showInputMessage="1" showErrorMessage="1" allowBlank="1" errorTitle="Invalid Children’s Product Certi" error="The value provided is not a valid Children’s Product Certificate (CPC)." promptTitle="" prompt="If all products in this class consistently have the same answer, you can set a default value to apply automatically. For any exceptions, you can modify the answer for specific products without changing the default." type="list">
      <formula1>'WAYFAIR_USE_ONLY'!$HC$7:$HC10</formula1>
    </dataValidation>
    <dataValidation sqref="CX8:CX250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'WAYFAIR_USE_ONLY'!$HD$7:$HD10</formula1>
    </dataValidation>
    <dataValidation sqref="CX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'WAYFAIR_USE_ONLY'!$HD$7:$HD10</formula1>
    </dataValidation>
    <dataValidation sqref="CY8:CY250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'WAYFAIR_USE_ONLY'!$HH$7:$HH10</formula1>
    </dataValidation>
    <dataValidation sqref="CY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'WAYFAIR_USE_ONLY'!$HH$7:$HH10</formula1>
    </dataValidation>
    <dataValidation sqref="CZ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Z8:CZ2500"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'WAYFAIR_USE_ONLY'!$HE$7:$HE10</formula1>
    </dataValidation>
    <dataValidation sqref="CZ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'WAYFAIR_USE_ONLY'!$HE$7:$HE10</formula1>
    </dataValidation>
    <dataValidation sqref="DA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A8:DA2500"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'WAYFAIR_USE_ONLY'!$HF$7:$HF10</formula1>
    </dataValidation>
    <dataValidation sqref="DA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'WAYFAIR_USE_ONLY'!$HF$7:$HF10</formula1>
    </dataValidation>
    <dataValidation sqref="DB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B8:DB2500" showDropDown="0" showInputMessage="1" showErrorMessage="1" allowBlank="1" errorTitle="Invalid CANFER Compliant" error="The value provided is not a valid CANFER Compliant." promptTitle="CANFER Compliant" prompt="Please select a valid CANFER Compliant" type="list">
      <formula1>'WAYFAIR_USE_ONLY'!$HG$7:$HG11</formula1>
    </dataValidation>
    <dataValidation sqref="DB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'WAYFAIR_USE_ONLY'!$HG$7:$HG11</formula1>
    </dataValidation>
    <dataValidation sqref="DC8:DC2500" showDropDown="0" showInputMessage="1" showErrorMessage="1" allowBlank="1" errorTitle="Invalid Product Stability UL Ver" error="The value provided is not a valid Product Stability UL Verified." promptTitle="Product Stability UL Verified" prompt="Please select a valid Product Stability UL Verified" type="list">
      <formula1>'WAYFAIR_USE_ONLY'!$HI$7:$HI10</formula1>
    </dataValidation>
    <dataValidation sqref="DC7" showDropDown="0" showInputMessage="1" showErrorMessage="1" allowBlank="1" errorTitle="Invalid Product Stability UL Ver" error="The value provided is not a valid Product Stability UL Verified." promptTitle="" prompt="If all products in this class consistently have the same answer, you can set a default value to apply automatically. For any exceptions, you can modify the answer for specific products without changing the default." type="list">
      <formula1>'WAYFAIR_USE_ONLY'!$HI$7:$HI10</formula1>
    </dataValidation>
    <dataValidation sqref="DD8:DD250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'WAYFAIR_USE_ONLY'!$HJ$7:$HJ9</formula1>
    </dataValidation>
    <dataValidation sqref="DD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'WAYFAIR_USE_ONLY'!$HJ$7:$HJ9</formula1>
    </dataValidation>
    <dataValidation sqref="DE8:DE250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'WAYFAIR_USE_ONLY'!$HK$7:$HK9</formula1>
    </dataValidation>
    <dataValidation sqref="DE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'WAYFAIR_USE_ONLY'!$HK$7:$HK9</formula1>
    </dataValidation>
    <dataValidation sqref="DF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8:DG2500" showDropDown="0" showInputMessage="1" showErrorMessage="1" allowBlank="1" errorTitle="Invalid ASTM F2057-23 (STURDY)" error="The value provided is not a valid ASTM F2057-23 (STURDY)." promptTitle="ASTM F2057-23 (STURDY)" prompt="Please select a valid ASTM F2057-23 (STURDY)" type="list">
      <formula1>'WAYFAIR_USE_ONLY'!$HL$7:$HL10</formula1>
    </dataValidation>
    <dataValidation sqref="DG7" showDropDown="0" showInputMessage="1" showErrorMessage="1" allowBlank="1" errorTitle="Invalid ASTM F2057-23 (STURDY)" error="The value provided is not a valid ASTM F2057-23 (STURDY)." promptTitle="" prompt="If all products in this class consistently have the same answer, you can set a default value to apply automatically. For any exceptions, you can modify the answer for specific products without changing the default." type="list">
      <formula1>'WAYFAIR_USE_ONLY'!$HL$7:$HL10</formula1>
    </dataValidation>
    <dataValidation sqref="DH8:DH2500" showDropDown="0" showInputMessage="1" showErrorMessage="1" allowBlank="1" errorTitle="Invalid ISTA Certified" error="The value provided is not a valid ISTA Certified." promptTitle="ISTA Certified" prompt="Please select a valid ISTA Certified" type="list">
      <formula1>'WAYFAIR_USE_ONLY'!$HM$7:$HM10</formula1>
    </dataValidation>
    <dataValidation sqref="DH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'WAYFAIR_USE_ONLY'!$HM$7:$HM10</formula1>
    </dataValidation>
    <dataValidation sqref="DI8:DI2500" showDropDown="0" showInputMessage="1" showErrorMessage="1" allowBlank="1" errorTitle="Invalid California AB-1817 Compl" error="The value provided is not a valid California AB-1817 Compliant (CA PFAS)." promptTitle="California AB-1817 Compliant (CA" prompt="Please select a valid California AB-1817 Compliant (CA PFAS)" type="list">
      <formula1>'WAYFAIR_USE_ONLY'!$HN$7:$HN11</formula1>
    </dataValidation>
    <dataValidation sqref="DI7" showDropDown="0" showInputMessage="1" showErrorMessage="1" allowBlank="1" errorTitle="Invalid California AB-1817 Compl" error="The value provided is not a valid California AB-1817 Compliant (CA PFAS)." promptTitle="" prompt="If all products in this class consistently have the same answer, you can set a default value to apply automatically. For any exceptions, you can modify the answer for specific products without changing the default." type="list">
      <formula1>'WAYFAIR_USE_ONLY'!$HN$7:$HN11</formula1>
    </dataValidation>
    <dataValidation sqref="DJ8:DJ250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'WAYFAIR_USE_ONLY'!$HO$7:$HO10</formula1>
    </dataValidation>
    <dataValidation sqref="DJ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'WAYFAIR_USE_ONLY'!$HO$7:$HO10</formula1>
    </dataValidation>
    <dataValidation sqref="DK8:DK250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'WAYFAIR_USE_ONLY'!$HP$7:$HP12</formula1>
    </dataValidation>
    <dataValidation sqref="DK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'WAYFAIR_USE_ONLY'!$HP$7:$HP12</formula1>
    </dataValidation>
    <dataValidation sqref="DL8:DL2500" showDropDown="0" showInputMessage="1" showErrorMessage="1" allowBlank="0" errorTitle="Invalid Number" error="The value provided is not a valid Number." promptTitle="Overall Height - Top to Bottom" prompt="Please enter Number" type="textLength" errorStyle="warning" operator="lessThanOrEqual">
      <formula1>32767</formula1>
    </dataValidation>
    <dataValidation sqref="D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M8:DM2500" showDropDown="0" showInputMessage="1" showErrorMessage="1" allowBlank="0" errorTitle="Invalid Number" error="The value provided is not a valid Number." promptTitle="Overall Width - Side to Side" prompt="Please enter Number" type="textLength" errorStyle="warning" operator="lessThanOrEqual">
      <formula1>32767</formula1>
    </dataValidation>
    <dataValidation sqref="D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N8:DN2500" showDropDown="0" showInputMessage="1" showErrorMessage="1" allowBlank="0" errorTitle="Invalid Number" error="The value provided is not a valid Number." promptTitle="Overall Depth - Front to Back" prompt="Please enter Number" type="textLength" errorStyle="warning" operator="lessThanOrEqual">
      <formula1>32767</formula1>
    </dataValidation>
    <dataValidation sqref="D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O8:DO2500" showDropDown="0" showInputMessage="1" showErrorMessage="1" allowBlank="0" errorTitle="Invalid Number" error="The value provided is not a valid Number." promptTitle="Drawer Interior Height - Top to " prompt="Please enter Number" type="textLength" errorStyle="warning" operator="lessThanOrEqual">
      <formula1>32767</formula1>
    </dataValidation>
    <dataValidation sqref="D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P8:DP2500" showDropDown="0" showInputMessage="1" showErrorMessage="1" allowBlank="0" errorTitle="Invalid Number" error="The value provided is not a valid Number." promptTitle="Interior Drawer Depth - Front to" prompt="Please enter Number" type="textLength" errorStyle="warning" operator="lessThanOrEqual">
      <formula1>32767</formula1>
    </dataValidation>
    <dataValidation sqref="D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Q8:DQ250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D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R8:DR2500" showDropDown="0" showInputMessage="1" showErrorMessage="1" allowBlank="0" errorTitle="Invalid Number" error="The value provided is not a valid Number." promptTitle="Interior Drawer Width - Side to " prompt="Please enter Number" type="textLength" errorStyle="warning" operator="lessThanOrEqual">
      <formula1>32767</formula1>
    </dataValidation>
    <dataValidation sqref="D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S8:DS2500" showDropDown="0" showInputMessage="1" showErrorMessage="1" allowBlank="1" errorTitle="Invalid Assembly Required" error="The value provided is not a valid Assembly Required." promptTitle="Assembly Required" prompt="Please select a valid Assembly Required" type="list">
      <formula1>'WAYFAIR_USE_ONLY'!$HQ$7:$HQ9</formula1>
    </dataValidation>
    <dataValidation sqref="DS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'WAYFAIR_USE_ONLY'!$HQ$7:$HQ9</formula1>
    </dataValidation>
    <dataValidation sqref="DT8:DT2500" showDropDown="0" showInputMessage="1" showErrorMessage="1" allowBlank="1" errorTitle="Invalid Level of Assembly" error="The value provided is not a valid Level of Assembly." promptTitle="Level of Assembly" prompt="Please select a valid Level of Assembly" type="list">
      <formula1>'WAYFAIR_USE_ONLY'!$HR$7:$HR11</formula1>
    </dataValidation>
    <dataValidation sqref="DT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'WAYFAIR_USE_ONLY'!$HR$7:$HR11</formula1>
    </dataValidation>
    <dataValidation sqref="D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V8:DV2500" showDropDown="0" showInputMessage="1" showErrorMessage="1" allowBlank="1" errorTitle="Invalid Commercial Warranty" error="The value provided is not a valid Commercial Warranty." promptTitle="Commercial Warranty" prompt="Please select a valid Commercial Warranty" type="list">
      <formula1>'WAYFAIR_USE_ONLY'!$HT$7:$HT10</formula1>
    </dataValidation>
    <dataValidation sqref="DV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'WAYFAIR_USE_ONLY'!$HT$7:$HT10</formula1>
    </dataValidation>
    <dataValidation sqref="DW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DW8:DW250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'WAYFAIR_USE_ONLY'!$HS$7:$HS32</formula1>
    </dataValidation>
    <dataValidation sqref="DW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'WAYFAIR_USE_ONLY'!$HS$7:$HS32</formula1>
    </dataValidation>
    <dataValidation sqref="DX8:DX2500" showDropDown="0" showInputMessage="1" showErrorMessage="1" allowBlank="1" errorTitle="Invalid Product Warranty" error="The value provided is not a valid Product Warranty." promptTitle="Product Warranty" prompt="Please select a valid Product Warranty" type="list">
      <formula1>'WAYFAIR_USE_ONLY'!$HU$7:$HU9</formula1>
    </dataValidation>
    <dataValidation sqref="DX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'WAYFAIR_USE_ONLY'!$HU$7:$HU9</formula1>
    </dataValidation>
    <dataValidation sqref="DY8:DY250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'WAYFAIR_USE_ONLY'!$HV$7:$HV11</formula1>
    </dataValidation>
    <dataValidation sqref="DY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'WAYFAIR_USE_ONLY'!$HV$7:$HV11</formula1>
    </dataValidation>
  </dataValidations>
  <hyperlinks>
    <hyperlink ref="D6" location="'Valid Values'!A1" display="Select"/>
    <hyperlink ref="J6" location="'Valid Values'!B1" display="Select"/>
    <hyperlink ref="L6" location="'Valid Values'!G1" display="Select"/>
    <hyperlink ref="N6" location="'Valid Values'!G1" display="Select"/>
    <hyperlink ref="P6" location="'Valid Values'!G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FA1" display="Select"/>
    <hyperlink ref="BP6" location="'Valid Values'!FB1" display="Please choose one or more from the following, using a semicolon (;) to separate each value: Glass; Stainless Steel; Cane; Raffia; Mango Wood; Aluminum; Manufactured Wood; Leather; Bamboo; Ceramic; Faux Leather; Iron; Laminate; Marble / Granite; Metal; Plastic / Acrylic; Teak; Solid + Manufactured Wood; Steel; Solid Wood; Wicker; Reclaimed Wood"/>
    <hyperlink ref="BT6" location="'Valid Values'!FC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BW6" location="'Valid Values'!FD1" display="Select"/>
    <hyperlink ref="BZ6" location="'Valid Values'!FE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A6" location="'Valid Values'!FF1" display="Please choose one or more from the following, using a semicolon (;) to separate each value: No Natural Variation; Natural Wood Grain Color Variation; Weathered Steel; Wood Knots; Natural Stone Color Variation; Unavailable"/>
    <hyperlink ref="CB6" location="'Valid Values'!FG1" display="Please choose one or more from the following, using a semicolon (;) to separate each value: Non Residential Use; Residential Use"/>
    <hyperlink ref="CC6" location="'Valid Values'!FH1" display="Select"/>
    <hyperlink ref="CE6" location="'Valid Values'!FI1" display="Please choose one or more from the following, using a semicolon (;) to separate each value: Made in USA; Made in USA of Imported Materials; Product of Canada; Made In Canada; Does Not Apply"/>
    <hyperlink ref="CF6" location="'Valid Values'!FJ1" display="Select"/>
    <hyperlink ref="CH6" location="'Valid Values'!FK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Larch; Sungkai; Does Not Apply"/>
    <hyperlink ref="CI6" location="'Valid Values'!FL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M6" location="'Valid Values'!FM1" display="Please choose one or more from the following, using a semicolon (;) to separate each value: Blue; Black; Brown; Red; Beige; Yellow; Pink; Purple; Gold; White; Ivory; Tan; Teal; Navy; Orange; Silver; Gray; Green; Cream; Clear"/>
    <hyperlink ref="CN6" location="'Valid Values'!FN1" display="Select"/>
    <hyperlink ref="CR6" location="'Valid Values'!FO1" display="Please choose one or more from the following, using a semicolon (;) to separate each value: Drawers; Hutch; Mirror; Shelves; Lighting; Cabinets; Doors; Unavailable; Does Not Apply"/>
    <hyperlink ref="CU6" location="'Valid Values'!FP1" display="Select"/>
    <hyperlink ref="CV6" location="'Valid Values'!FQ1" display="Select"/>
    <hyperlink ref="CW6" location="'Valid Values'!FR1" display="Select"/>
    <hyperlink ref="CX6" location="'Valid Values'!FS1" display="Select"/>
    <hyperlink ref="CZ6" location="'Valid Values'!FT1" display="Select"/>
    <hyperlink ref="DA6" location="'Valid Values'!FU1" display="Select"/>
    <hyperlink ref="DB6" location="'Valid Values'!FV1" display="Select"/>
    <hyperlink ref="DD6" location="'Valid Values'!FW1" display="Select"/>
    <hyperlink ref="DF6" location="'Valid Values'!FX1" display="Please choose one or more from the following, using a semicolon (;) to separate each value: Dual Language; Distribution Conflict; Logistics; Does Not Apply"/>
    <hyperlink ref="DG6" location="'Valid Values'!FY1" display="Select"/>
    <hyperlink ref="DH6" location="'Valid Values'!FZ1" display="Select"/>
    <hyperlink ref="DI6" location="'Valid Values'!GA1" display="Select"/>
    <hyperlink ref="DK6" location="'Valid Values'!GB1" display="Select"/>
    <hyperlink ref="DT6" location="'Valid Values'!GC1" display="Select"/>
    <hyperlink ref="DU6" location="'Valid Values'!GD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DW6" location="'Valid Values'!GE1" display="Select"/>
    <hyperlink ref="DY6" location="'Valid Values'!GF1" display="Select"/>
  </hyperlinks>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DY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13.7109375" customWidth="1" style="22" min="68" max="68"/>
    <col width="17.7109375" customWidth="1" style="22" min="69" max="69"/>
    <col width="22.7109375" customWidth="1" style="22" min="70" max="71"/>
    <col width="34.7109375" customWidth="1" style="22" min="72" max="72"/>
    <col width="25.7109375" customWidth="1" style="22" min="73" max="73"/>
    <col width="18.7109375" customWidth="1" style="22" min="74" max="74"/>
    <col width="38.7109375" customWidth="1" style="22" min="75" max="75"/>
    <col width="22.7109375" customWidth="1" style="22" min="76" max="76"/>
    <col width="12.7109375" customWidth="1" style="22" min="77" max="77"/>
    <col width="32.7109375" customWidth="1" style="22" min="78" max="78"/>
    <col width="27.7109375" customWidth="1" style="22" min="79" max="79"/>
    <col width="39.7109375" customWidth="1" style="22" min="80" max="80"/>
    <col width="20.7109375" customWidth="1" style="22" min="81" max="81"/>
    <col width="21.7109375" customWidth="1" style="22" min="82" max="82"/>
    <col width="43.7109375" customWidth="1" style="22" min="83" max="83"/>
    <col width="29.7109375" customWidth="1" style="22" min="84" max="84"/>
    <col width="20.7109375" customWidth="1" style="22" min="85" max="85"/>
    <col width="17.7109375" customWidth="1" style="22" min="86" max="87"/>
    <col width="22.7109375" customWidth="1" style="22" min="88" max="88"/>
    <col width="15.7109375" customWidth="1" style="22" min="89" max="89"/>
    <col width="19.7109375" customWidth="1" style="22" min="90" max="90"/>
    <col width="10.7109375" customWidth="1" style="22" min="91" max="91"/>
    <col width="27.7109375" customWidth="1" style="22" min="92" max="92"/>
    <col width="20.7109375" customWidth="1" style="22" min="93" max="93"/>
    <col width="21.7109375" customWidth="1" style="22" min="94" max="95"/>
    <col width="20.7109375" customWidth="1" style="22" min="96" max="96"/>
    <col width="23.7109375" customWidth="1" style="22" min="97" max="97"/>
    <col width="38.7109375" customWidth="1" style="22" min="98" max="98"/>
    <col width="62.7109375" customWidth="1" style="22" min="99" max="99"/>
    <col width="33.7109375" customWidth="1" style="22" min="100" max="100"/>
    <col width="41.7109375" customWidth="1" style="22" min="101" max="101"/>
    <col width="44.7109375" customWidth="1" style="22" min="102" max="102"/>
    <col width="33.7109375" customWidth="1" style="22" min="103" max="103"/>
    <col width="53.7109375" customWidth="1" style="22" min="104" max="105"/>
    <col width="21.7109375" customWidth="1" style="22" min="106" max="106"/>
    <col width="34.7109375" customWidth="1" style="22" min="107" max="107"/>
    <col width="64.7109375" customWidth="1" style="22" min="108" max="108"/>
    <col width="31.7109375" customWidth="1" style="22" min="109" max="109"/>
    <col width="27.7109375" customWidth="1" style="22" min="110" max="111"/>
    <col width="19.7109375" customWidth="1" style="22" min="112" max="112"/>
    <col width="43.7109375" customWidth="1" style="22" min="113" max="113"/>
    <col width="79.7109375" customWidth="1" style="22" min="114" max="114"/>
    <col width="30.7109375" customWidth="1" style="22" min="115" max="115"/>
    <col width="35.7109375" customWidth="1" style="22" min="116" max="116"/>
    <col width="33.7109375" customWidth="1" style="22" min="117" max="117"/>
    <col width="34.7109375" customWidth="1" style="22" min="118" max="118"/>
    <col width="43.7109375" customWidth="1" style="22" min="119" max="119"/>
    <col width="42.7109375" customWidth="1" style="22" min="120" max="120"/>
    <col width="27.7109375" customWidth="1" style="22" min="121" max="121"/>
    <col width="41.7109375" customWidth="1" style="22" min="122" max="122"/>
    <col width="22.7109375" customWidth="1" style="22" min="123" max="124"/>
    <col width="45.7109375" customWidth="1" style="22" min="125" max="125"/>
    <col width="24.7109375" customWidth="1" style="22" min="126" max="126"/>
    <col width="31.7109375" customWidth="1" style="22" min="127" max="127"/>
    <col width="21.7109375" customWidth="1" style="22" min="128" max="128"/>
    <col width="29.7109375" customWidth="1" style="22" min="129" max="129"/>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4100</t>
        </is>
      </c>
      <c r="BP1" s="22" t="inlineStr">
        <is>
          <t>4099</t>
        </is>
      </c>
      <c r="BQ1" s="22" t="inlineStr">
        <is>
          <t>4104</t>
        </is>
      </c>
      <c r="BR1" s="22" t="inlineStr">
        <is>
          <t>4150</t>
        </is>
      </c>
      <c r="BS1" s="22" t="inlineStr">
        <is>
          <t>4410</t>
        </is>
      </c>
      <c r="BT1" s="22" t="inlineStr">
        <is>
          <t>376182</t>
        </is>
      </c>
      <c r="BU1" s="22" t="inlineStr">
        <is>
          <t>375291</t>
        </is>
      </c>
      <c r="BV1" s="22" t="inlineStr">
        <is>
          <t>4125</t>
        </is>
      </c>
      <c r="BW1" s="22" t="inlineStr">
        <is>
          <t>214542</t>
        </is>
      </c>
      <c r="BX1" s="22" t="inlineStr">
        <is>
          <t>220140</t>
        </is>
      </c>
      <c r="BY1" s="22" t="inlineStr">
        <is>
          <t>189878</t>
        </is>
      </c>
      <c r="BZ1" s="22" t="inlineStr">
        <is>
          <t>222867</t>
        </is>
      </c>
      <c r="CA1" s="22" t="inlineStr">
        <is>
          <t>222868</t>
        </is>
      </c>
      <c r="CB1" s="22" t="inlineStr">
        <is>
          <t>223515</t>
        </is>
      </c>
      <c r="CC1" s="22" t="inlineStr">
        <is>
          <t>231828</t>
        </is>
      </c>
      <c r="CD1" s="22" t="inlineStr">
        <is>
          <t>243181</t>
        </is>
      </c>
      <c r="CE1" s="22" t="inlineStr">
        <is>
          <t>244538</t>
        </is>
      </c>
      <c r="CF1" s="22" t="inlineStr">
        <is>
          <t>293477</t>
        </is>
      </c>
      <c r="CG1" s="22" t="inlineStr">
        <is>
          <t>293540</t>
        </is>
      </c>
      <c r="CH1" s="22" t="inlineStr">
        <is>
          <t>185257</t>
        </is>
      </c>
      <c r="CI1" s="22" t="inlineStr">
        <is>
          <t>332816</t>
        </is>
      </c>
      <c r="CJ1" s="22" t="inlineStr">
        <is>
          <t>294498</t>
        </is>
      </c>
      <c r="CK1" s="22" t="inlineStr">
        <is>
          <t>370850</t>
        </is>
      </c>
      <c r="CL1" s="22" t="inlineStr">
        <is>
          <t>4419</t>
        </is>
      </c>
      <c r="CM1" s="22" t="inlineStr">
        <is>
          <t>378139</t>
        </is>
      </c>
      <c r="CN1" s="22" t="inlineStr">
        <is>
          <t>292710</t>
        </is>
      </c>
      <c r="CO1" s="22" t="inlineStr">
        <is>
          <t>387438</t>
        </is>
      </c>
      <c r="CP1" s="22" t="inlineStr">
        <is>
          <t>400770</t>
        </is>
      </c>
      <c r="CQ1" s="22" t="inlineStr">
        <is>
          <t>400782</t>
        </is>
      </c>
      <c r="CR1" s="22" t="inlineStr">
        <is>
          <t>420142</t>
        </is>
      </c>
      <c r="CS1" s="22" t="inlineStr">
        <is>
          <t>294497</t>
        </is>
      </c>
      <c r="CT1" s="22" t="inlineStr">
        <is>
          <t>331921</t>
        </is>
      </c>
      <c r="CU1" s="22" t="inlineStr">
        <is>
          <t>405443</t>
        </is>
      </c>
      <c r="CV1" s="22" t="inlineStr">
        <is>
          <t>258936</t>
        </is>
      </c>
      <c r="CW1" s="22" t="inlineStr">
        <is>
          <t>331917</t>
        </is>
      </c>
      <c r="CX1" s="22" t="inlineStr">
        <is>
          <t>4142</t>
        </is>
      </c>
      <c r="CY1" s="22" t="inlineStr">
        <is>
          <t>201437</t>
        </is>
      </c>
      <c r="CZ1" s="22" t="inlineStr">
        <is>
          <t>224770</t>
        </is>
      </c>
      <c r="DA1" s="22" t="inlineStr">
        <is>
          <t>224991</t>
        </is>
      </c>
      <c r="DB1" s="22" t="inlineStr">
        <is>
          <t>364712</t>
        </is>
      </c>
      <c r="DC1" s="22" t="inlineStr">
        <is>
          <t>229941</t>
        </is>
      </c>
      <c r="DD1" s="22" t="inlineStr">
        <is>
          <t>236087</t>
        </is>
      </c>
      <c r="DE1" s="22" t="inlineStr">
        <is>
          <t>249276</t>
        </is>
      </c>
      <c r="DF1" s="22" t="inlineStr">
        <is>
          <t>251022</t>
        </is>
      </c>
      <c r="DG1" s="22" t="inlineStr">
        <is>
          <t>371796</t>
        </is>
      </c>
      <c r="DH1" s="22" t="inlineStr">
        <is>
          <t>385925</t>
        </is>
      </c>
      <c r="DI1" s="22" t="inlineStr">
        <is>
          <t>411838</t>
        </is>
      </c>
      <c r="DJ1" s="22" t="inlineStr">
        <is>
          <t>415141</t>
        </is>
      </c>
      <c r="DK1" s="22" t="inlineStr">
        <is>
          <t>421600</t>
        </is>
      </c>
      <c r="DL1" s="22" t="inlineStr">
        <is>
          <t>4144</t>
        </is>
      </c>
      <c r="DM1" s="22" t="inlineStr">
        <is>
          <t>4145</t>
        </is>
      </c>
      <c r="DN1" s="22" t="inlineStr">
        <is>
          <t>4146</t>
        </is>
      </c>
      <c r="DO1" s="22" t="inlineStr">
        <is>
          <t>4430</t>
        </is>
      </c>
      <c r="DP1" s="22" t="inlineStr">
        <is>
          <t>4432</t>
        </is>
      </c>
      <c r="DQ1" s="22" t="inlineStr">
        <is>
          <t>4151</t>
        </is>
      </c>
      <c r="DR1" s="22" t="inlineStr">
        <is>
          <t>393965</t>
        </is>
      </c>
      <c r="DS1" s="22" t="inlineStr">
        <is>
          <t>4152</t>
        </is>
      </c>
      <c r="DT1" s="22" t="inlineStr">
        <is>
          <t>222789</t>
        </is>
      </c>
      <c r="DU1" s="22" t="inlineStr">
        <is>
          <t>222792</t>
        </is>
      </c>
      <c r="DV1" s="22" t="inlineStr">
        <is>
          <t>228903</t>
        </is>
      </c>
      <c r="DW1" s="22" t="inlineStr">
        <is>
          <t>333844</t>
        </is>
      </c>
      <c r="DX1" s="22" t="inlineStr">
        <is>
          <t>254189</t>
        </is>
      </c>
      <c r="DY1" s="22" t="inlineStr">
        <is>
          <t>255311</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Recommended</t>
        </is>
      </c>
      <c r="BP3" s="32" t="inlineStr">
        <is>
          <t>Required</t>
        </is>
      </c>
      <c r="BQ3" s="32" t="inlineStr">
        <is>
          <t>Recommended</t>
        </is>
      </c>
      <c r="BR3" s="32" t="inlineStr">
        <is>
          <t>Recommended</t>
        </is>
      </c>
      <c r="BS3" s="32" t="inlineStr">
        <is>
          <t>Required</t>
        </is>
      </c>
      <c r="BT3" s="32" t="inlineStr">
        <is>
          <t>Recommended</t>
        </is>
      </c>
      <c r="BU3" s="32" t="inlineStr">
        <is>
          <t>Recommended</t>
        </is>
      </c>
      <c r="BV3" s="32" t="inlineStr">
        <is>
          <t>Recommended</t>
        </is>
      </c>
      <c r="BW3" s="32" t="inlineStr">
        <is>
          <t>Required</t>
        </is>
      </c>
      <c r="BX3" s="32" t="inlineStr">
        <is>
          <t>Recommended</t>
        </is>
      </c>
      <c r="BY3" s="32" t="inlineStr">
        <is>
          <t>Required</t>
        </is>
      </c>
      <c r="BZ3" s="32" t="inlineStr">
        <is>
          <t>Recommended</t>
        </is>
      </c>
      <c r="CA3" s="32" t="inlineStr">
        <is>
          <t>Recommended</t>
        </is>
      </c>
      <c r="CB3" s="32" t="inlineStr">
        <is>
          <t>Required</t>
        </is>
      </c>
      <c r="CC3" s="32" t="inlineStr">
        <is>
          <t>Recommended</t>
        </is>
      </c>
      <c r="CD3" s="32" t="inlineStr">
        <is>
          <t>Recommended</t>
        </is>
      </c>
      <c r="CE3" s="32" t="inlineStr">
        <is>
          <t>Additional</t>
        </is>
      </c>
      <c r="CF3" s="32" t="inlineStr">
        <is>
          <t>Recommended</t>
        </is>
      </c>
      <c r="CG3" s="32" t="inlineStr">
        <is>
          <t>Recommended</t>
        </is>
      </c>
      <c r="CH3" s="32" t="inlineStr">
        <is>
          <t>Recommended</t>
        </is>
      </c>
      <c r="CI3" s="32" t="inlineStr">
        <is>
          <t>Recommended</t>
        </is>
      </c>
      <c r="CJ3" s="32" t="inlineStr">
        <is>
          <t>Recommended</t>
        </is>
      </c>
      <c r="CK3" s="32" t="inlineStr">
        <is>
          <t>Recommended</t>
        </is>
      </c>
      <c r="CL3" s="32" t="inlineStr">
        <is>
          <t>Recommended</t>
        </is>
      </c>
      <c r="CM3" s="32" t="inlineStr">
        <is>
          <t>Required</t>
        </is>
      </c>
      <c r="CN3" s="32" t="inlineStr">
        <is>
          <t>Recommended</t>
        </is>
      </c>
      <c r="CO3" s="32" t="inlineStr">
        <is>
          <t>Recommended</t>
        </is>
      </c>
      <c r="CP3" s="32" t="inlineStr">
        <is>
          <t>Recommended</t>
        </is>
      </c>
      <c r="CQ3" s="32" t="inlineStr">
        <is>
          <t>Recommended</t>
        </is>
      </c>
      <c r="CR3" s="32" t="inlineStr">
        <is>
          <t>Required</t>
        </is>
      </c>
      <c r="CS3" s="32" t="inlineStr">
        <is>
          <t>Recommended</t>
        </is>
      </c>
      <c r="CT3" s="32" t="inlineStr">
        <is>
          <t>Required</t>
        </is>
      </c>
      <c r="CU3" s="32" t="inlineStr">
        <is>
          <t>Required</t>
        </is>
      </c>
      <c r="CV3" s="32" t="inlineStr">
        <is>
          <t>Required</t>
        </is>
      </c>
      <c r="CW3" s="32" t="inlineStr">
        <is>
          <t>Required</t>
        </is>
      </c>
      <c r="CX3" s="32" t="inlineStr">
        <is>
          <t>Required</t>
        </is>
      </c>
      <c r="CY3" s="32" t="inlineStr">
        <is>
          <t>Required</t>
        </is>
      </c>
      <c r="CZ3" s="32" t="inlineStr">
        <is>
          <t>Required</t>
        </is>
      </c>
      <c r="DA3" s="32" t="inlineStr">
        <is>
          <t>Required</t>
        </is>
      </c>
      <c r="DB3" s="32" t="inlineStr">
        <is>
          <t>Required</t>
        </is>
      </c>
      <c r="DC3" s="32" t="inlineStr">
        <is>
          <t>Required</t>
        </is>
      </c>
      <c r="DD3" s="32" t="inlineStr">
        <is>
          <t>Required</t>
        </is>
      </c>
      <c r="DE3" s="32" t="inlineStr">
        <is>
          <t>Required</t>
        </is>
      </c>
      <c r="DF3" s="32" t="inlineStr">
        <is>
          <t>Required</t>
        </is>
      </c>
      <c r="DG3" s="32" t="inlineStr">
        <is>
          <t>Required</t>
        </is>
      </c>
      <c r="DH3" s="32" t="inlineStr">
        <is>
          <t>Recommended</t>
        </is>
      </c>
      <c r="DI3" s="32" t="inlineStr">
        <is>
          <t>Required</t>
        </is>
      </c>
      <c r="DJ3" s="32" t="inlineStr">
        <is>
          <t>Recommended</t>
        </is>
      </c>
      <c r="DK3" s="32" t="inlineStr">
        <is>
          <t>Recommended</t>
        </is>
      </c>
      <c r="DL3" s="32" t="inlineStr">
        <is>
          <t>Required</t>
        </is>
      </c>
      <c r="DM3" s="32" t="inlineStr">
        <is>
          <t>Required</t>
        </is>
      </c>
      <c r="DN3" s="32" t="inlineStr">
        <is>
          <t>Required</t>
        </is>
      </c>
      <c r="DO3" s="32" t="inlineStr">
        <is>
          <t>Recommended</t>
        </is>
      </c>
      <c r="DP3" s="32" t="inlineStr">
        <is>
          <t>Recommended</t>
        </is>
      </c>
      <c r="DQ3" s="32" t="inlineStr">
        <is>
          <t>Recommended</t>
        </is>
      </c>
      <c r="DR3" s="32" t="inlineStr">
        <is>
          <t>Recommended</t>
        </is>
      </c>
      <c r="DS3" s="32" t="inlineStr">
        <is>
          <t>Required</t>
        </is>
      </c>
      <c r="DT3" s="32" t="inlineStr">
        <is>
          <t>Recommended</t>
        </is>
      </c>
      <c r="DU3" s="32" t="inlineStr">
        <is>
          <t>Recommended</t>
        </is>
      </c>
      <c r="DV3" s="32" t="inlineStr">
        <is>
          <t>Required</t>
        </is>
      </c>
      <c r="DW3" s="32" t="inlineStr">
        <is>
          <t>Recommended</t>
        </is>
      </c>
      <c r="DX3" s="32" t="inlineStr">
        <is>
          <t>Recommended</t>
        </is>
      </c>
      <c r="DY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Material</t>
        </is>
      </c>
      <c r="BQ4" s="19" t="inlineStr">
        <is>
          <t>Gloss Finish</t>
        </is>
      </c>
      <c r="BR4" s="19" t="inlineStr">
        <is>
          <t>Cabinets Included</t>
        </is>
      </c>
      <c r="BS4" s="19" t="inlineStr">
        <is>
          <t>Number of Drawers</t>
        </is>
      </c>
      <c r="BT4" s="19" t="inlineStr">
        <is>
          <t>Drawer Glide Type &amp; Extension</t>
        </is>
      </c>
      <c r="BU4" s="19" t="inlineStr">
        <is>
          <t>Interlocking Drawers</t>
        </is>
      </c>
      <c r="BV4" s="19" t="inlineStr">
        <is>
          <t>Finished Back</t>
        </is>
      </c>
      <c r="BW4" s="19" t="inlineStr">
        <is>
          <t>Tipover Restraint Device Included</t>
        </is>
      </c>
      <c r="BX4" s="19" t="inlineStr">
        <is>
          <t>Lighting Included</t>
        </is>
      </c>
      <c r="BY4" s="19" t="inlineStr">
        <is>
          <t>Plug-In</t>
        </is>
      </c>
      <c r="BZ4" s="19" t="inlineStr">
        <is>
          <t>Purposeful Distressing Type</t>
        </is>
      </c>
      <c r="CA4" s="19" t="inlineStr">
        <is>
          <t>Natural Variation Type</t>
        </is>
      </c>
      <c r="CB4" s="19" t="inlineStr">
        <is>
          <t>Supplier Intended and Approved Use</t>
        </is>
      </c>
      <c r="CC4" s="19" t="inlineStr">
        <is>
          <t>Handle Material</t>
        </is>
      </c>
      <c r="CD4" s="19" t="inlineStr">
        <is>
          <t>Removable Handle</t>
        </is>
      </c>
      <c r="CE4" s="19" t="inlineStr">
        <is>
          <t>Country of Origin - Additional Details</t>
        </is>
      </c>
      <c r="CF4" s="19" t="inlineStr">
        <is>
          <t>Main Wood Joinery Method</t>
        </is>
      </c>
      <c r="CG4" s="19" t="inlineStr">
        <is>
          <t>Kiln-Dried Wood</t>
        </is>
      </c>
      <c r="CH4" s="19" t="inlineStr">
        <is>
          <t>Wood Species</t>
        </is>
      </c>
      <c r="CI4" s="19" t="inlineStr">
        <is>
          <t>Product Care</t>
        </is>
      </c>
      <c r="CJ4" s="19" t="inlineStr">
        <is>
          <t>Removable Drawers</t>
        </is>
      </c>
      <c r="CK4" s="19" t="inlineStr">
        <is>
          <t>Unfinished</t>
        </is>
      </c>
      <c r="CL4" s="19" t="inlineStr">
        <is>
          <t>Lined Interior</t>
        </is>
      </c>
      <c r="CM4" s="19" t="inlineStr">
        <is>
          <t>Color</t>
        </is>
      </c>
      <c r="CN4" s="19" t="inlineStr">
        <is>
          <t>Manufactured Wood Type</t>
        </is>
      </c>
      <c r="CO4" s="19" t="inlineStr">
        <is>
          <t>Scalloped Edges</t>
        </is>
      </c>
      <c r="CP4" s="19" t="inlineStr">
        <is>
          <t>Fluted Detailing</t>
        </is>
      </c>
      <c r="CQ4" s="19" t="inlineStr">
        <is>
          <t>Ribbed Detailing</t>
        </is>
      </c>
      <c r="CR4" s="19" t="inlineStr">
        <is>
          <t>Pieces Included</t>
        </is>
      </c>
      <c r="CS4" s="19" t="inlineStr">
        <is>
          <t>Drawer Safety Stop</t>
        </is>
      </c>
      <c r="CT4" s="19" t="inlineStr">
        <is>
          <t>Additional Intended Use For Child</t>
        </is>
      </c>
      <c r="CU4" s="19" t="inlineStr">
        <is>
          <t>Consumer Product Safety Improvement Act (CPSIA) Compliant</t>
        </is>
      </c>
      <c r="CV4" s="19" t="inlineStr">
        <is>
          <t>CPSC - 16 CFR 1303 Compliant</t>
        </is>
      </c>
      <c r="CW4" s="19" t="inlineStr">
        <is>
          <t>Children’s Product Certificate (CPC)</t>
        </is>
      </c>
      <c r="CX4" s="19" t="inlineStr">
        <is>
          <t>General Certificate of Conformity (GCC)</t>
        </is>
      </c>
      <c r="CY4" s="33" t="inlineStr">
        <is>
          <t>Composite Wood Product (CWP)</t>
        </is>
      </c>
      <c r="CZ4" s="34" t="inlineStr">
        <is>
          <t>CARB Phase II Compliant (formaldehyde emissions)</t>
        </is>
      </c>
      <c r="DA4" s="34" t="inlineStr">
        <is>
          <t>TSCA Title VI Compliant (formaldehyde emissions)</t>
        </is>
      </c>
      <c r="DB4" s="34" t="inlineStr">
        <is>
          <t>CANFER Compliant</t>
        </is>
      </c>
      <c r="DC4" s="19" t="inlineStr">
        <is>
          <t>Product Stability UL Verified</t>
        </is>
      </c>
      <c r="DD4" s="19" t="inlineStr">
        <is>
          <t>Uniform Packaging and Labeling Regulations (UPLR) Compliant</t>
        </is>
      </c>
      <c r="DE4" s="33" t="inlineStr">
        <is>
          <t>Canada Product Restriction</t>
        </is>
      </c>
      <c r="DF4" s="34" t="inlineStr">
        <is>
          <t>Reason for Restriction</t>
        </is>
      </c>
      <c r="DG4" s="19" t="inlineStr">
        <is>
          <t>ASTM F2057-23 (STURDY)</t>
        </is>
      </c>
      <c r="DH4" s="19" t="inlineStr">
        <is>
          <t>ISTA Certified</t>
        </is>
      </c>
      <c r="DI4" s="19" t="inlineStr">
        <is>
          <t>California AB-1817 Compliant (CA PFAS)</t>
        </is>
      </c>
      <c r="DJ4" s="19" t="inlineStr">
        <is>
          <t>Sustainability &amp; Social Responsibility Certifications (North America Only)</t>
        </is>
      </c>
      <c r="DK4" s="19" t="inlineStr">
        <is>
          <t>Commercial Certifications</t>
        </is>
      </c>
      <c r="DL4" s="19" t="inlineStr">
        <is>
          <t>Overall Height - Top to Bottom</t>
        </is>
      </c>
      <c r="DM4" s="19" t="inlineStr">
        <is>
          <t>Overall Width - Side to Side</t>
        </is>
      </c>
      <c r="DN4" s="19" t="inlineStr">
        <is>
          <t>Overall Depth - Front to Back</t>
        </is>
      </c>
      <c r="DO4" s="19" t="inlineStr">
        <is>
          <t>Drawer Interior Height - Top to Bottom</t>
        </is>
      </c>
      <c r="DP4" s="19" t="inlineStr">
        <is>
          <t>Interior Drawer Depth - Front to Back</t>
        </is>
      </c>
      <c r="DQ4" s="19" t="inlineStr">
        <is>
          <t>Overall Product Weight</t>
        </is>
      </c>
      <c r="DR4" s="19" t="inlineStr">
        <is>
          <t>Interior Drawer Width - Side to Side</t>
        </is>
      </c>
      <c r="DS4" s="19" t="inlineStr">
        <is>
          <t>Assembly Required</t>
        </is>
      </c>
      <c r="DT4" s="19" t="inlineStr">
        <is>
          <t>Level of Assembly</t>
        </is>
      </c>
      <c r="DU4" s="19" t="inlineStr">
        <is>
          <t>Additional Tools Required (Not Included)</t>
        </is>
      </c>
      <c r="DV4" s="33" t="inlineStr">
        <is>
          <t>Commercial Warranty</t>
        </is>
      </c>
      <c r="DW4" s="34" t="inlineStr">
        <is>
          <t>Commercial Warranty Length</t>
        </is>
      </c>
      <c r="DX4" s="19" t="inlineStr">
        <is>
          <t>Product Warranty</t>
        </is>
      </c>
      <c r="DY4" s="19" t="inlineStr">
        <is>
          <t>Full or Limited Warranty</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What material is the product made of?</t>
        </is>
      </c>
      <c r="BQ5" s="35" t="inlineStr">
        <is>
          <t>Does this product have a shiny and sheer gloss finish over the normal painted finish?</t>
        </is>
      </c>
      <c r="BR5" s="35" t="inlineStr">
        <is>
          <t>Does this product include cabinets?</t>
        </is>
      </c>
      <c r="BS5" s="35" t="inlineStr">
        <is>
          <t>How many drawers are included in this product?</t>
        </is>
      </c>
      <c r="BT5" s="35" t="inlineStr">
        <is>
          <t>Please select which type of glide the drawer features and/or how far it can extend.</t>
        </is>
      </c>
      <c r="BU5" s="35" t="inlineStr">
        <is>
          <t>Does this product feature an interlock mechanism that prevents more than one drawer from opening at once?</t>
        </is>
      </c>
      <c r="BV5" s="35" t="inlineStr">
        <is>
          <t>Does this product have a "finished" back, meaning that the back is stained, colored, no visible hardware, or otherwise finished? (e.g., may be fully finished so item can "float" in room)</t>
        </is>
      </c>
      <c r="BW5" s="35" t="inlineStr">
        <is>
          <t>Does this product include a device to prevent the product from tipping over? Tipover restraint devices (TRDs) include brackets, straps, or other specialized hardware</t>
        </is>
      </c>
      <c r="BX5" s="35" t="inlineStr">
        <is>
          <t>Does this product feature any lighting?</t>
        </is>
      </c>
      <c r="BY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BZ5" s="35" t="inlineStr">
        <is>
          <t>What specific type of distressing does this product have? Select all that apply.</t>
        </is>
      </c>
      <c r="CA5" s="35" t="inlineStr">
        <is>
          <t>Which of the following types of natural variation and texture does the product have? Multiple can be selected if applicable. If the product does NOT have natural variation, please select No Natural Variation.</t>
        </is>
      </c>
      <c r="CB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C5" s="35" t="inlineStr">
        <is>
          <t>What is the primary material used to construct the handle?</t>
        </is>
      </c>
      <c r="CD5" s="35" t="inlineStr">
        <is>
          <t>Is the handle or knob able to be removed, replaced, or taken off?</t>
        </is>
      </c>
      <c r="CE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F5" s="35" t="inlineStr">
        <is>
          <t>Which technique was used to join together the main pieces of wood to construct the overall product?</t>
        </is>
      </c>
      <c r="CG5" s="35" t="inlineStr">
        <is>
          <t>Is the wood kiln-dried? If product is not made of wood, please select "does not apply."</t>
        </is>
      </c>
      <c r="CH5" s="35" t="inlineStr">
        <is>
          <t>What type of wood was used to construct this product? This describes the actual materials used, not the product's appearance.</t>
        </is>
      </c>
      <c r="CI5" s="35" t="inlineStr">
        <is>
          <t>What is the appropriate way to clean and/or care for this product? Please select as many answers as applicable.</t>
        </is>
      </c>
      <c r="CJ5" s="35" t="inlineStr">
        <is>
          <t>Does this product have drawers that can be removed?</t>
        </is>
      </c>
      <c r="CK5" s="35" t="inlineStr">
        <is>
          <t>Is this product unfinished (no paint, stain, or varnish)?</t>
        </is>
      </c>
      <c r="CL5" s="35" t="inlineStr">
        <is>
          <t>Is this product lined with fabric?</t>
        </is>
      </c>
      <c r="CM5" s="35" t="inlineStr">
        <is>
          <t>What is the color of the product? If your color name is not listed, please type in the value.</t>
        </is>
      </c>
      <c r="CN5" s="35" t="inlineStr">
        <is>
          <t>What type of manufactured wood was used to construct this product?</t>
        </is>
      </c>
      <c r="CO5" s="35" t="inlineStr">
        <is>
          <t>A product has scalloped edges if it contains curved, semicircular edges.</t>
        </is>
      </c>
      <c r="CP5" s="35" t="inlineStr">
        <is>
          <t>Is there a a concave pattern of parallel lines on a surface of this product?</t>
        </is>
      </c>
      <c r="CQ5" s="35" t="inlineStr">
        <is>
          <t>Is there a a raised pattern of parallel lines on a surface of this product?</t>
        </is>
      </c>
      <c r="CR5" s="35" t="inlineStr">
        <is>
          <t>What pieces are included with this product?</t>
        </is>
      </c>
      <c r="CS5" s="35" t="inlineStr">
        <is>
          <t>Do any drawers feature safety stops (intended to keep the drawers from pulling all the way out)?</t>
        </is>
      </c>
      <c r="CT5" s="35" t="inlineStr">
        <is>
          <t>Is this product intended to be used by a child 12 and under in addition to adults?</t>
        </is>
      </c>
      <c r="CU5" s="35" t="inlineStr">
        <is>
          <t>Is this product compliant with the Consumer Product Safety Improvement Act (CPSIA), including all of the following provisions, as applicable:
- Lead provisions;
- Phthalate provisions; 
- Toy safety provisions;
- Durable infant and toddler product provisions;
- Tracking label provisions; AND
- Compliance with all applicable children's product safety rules (found here: https://www.cpsc.gov/Business--Manufacturing/Testing-Certification/Lab-Accreditation/Rules-Requiring-Third-Party-Testing). Please note: a "No" answer to this question will prevent your product from being listed for sale.</t>
        </is>
      </c>
      <c r="CV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CW5" s="35" t="inlineStr">
        <is>
          <t>Does this product have a Children's Product Certificate (CPC), as required by the U.S. CPSC for children's products?
Please note: A No answer to this question will prevent this item from being listed for sale.</t>
        </is>
      </c>
      <c r="CX5" s="35" t="inlineStr">
        <is>
          <t>Does this product have a General Certificate of Conformity (GCC), as required by the U.S. CPSC for certain product classes?</t>
        </is>
      </c>
      <c r="CY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CZ5" s="35" t="inlineStr">
        <is>
          <t>Is this product certified compliant for CARB ATCM Phase II formaldehyde emission standards from Composite Wood Products [California Air Resources Board (CARB)- Airborne Toxic Control Measures (ATCM) Phase II]</t>
        </is>
      </c>
      <c r="DA5" s="35" t="inlineStr">
        <is>
          <t>Is this product certified TSCA Title VI compliant regarding formaldehyde emissions from Composite Wood Products [Environmental Protection Agency (EPA)-Toxic Substance Control Act (TSCA)-Title VI]</t>
        </is>
      </c>
      <c r="DB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C5" s="35" t="inlineStr">
        <is>
          <t>Does your product meet the UL voluntary stability standard?</t>
        </is>
      </c>
      <c r="DD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E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F5" s="35" t="inlineStr">
        <is>
          <t>Please select the reason this product can not ship to Canada?  Please select from the options or write in a reason if not selectable</t>
        </is>
      </c>
      <c r="DG5" s="35" t="inlineStr">
        <is>
          <t>Is this product compliant with ASTM F2057-23, the safety specification for clothing storage units? This tag is referring to compliance with the STURDY Act.</t>
        </is>
      </c>
      <c r="DH5" s="35" t="inlineStr">
        <is>
          <t>Is the packaging for this SKU ISTA Certified (1A, 3A, 6A)?</t>
        </is>
      </c>
      <c r="DI5" s="35" t="inlineStr">
        <is>
          <t>Select "Does Not Apply" if your product does not contain any textiles.
Is this product compliant with California's Safer Clothes and Textiles Act (AB 1817), the standard restricting per- and polyfluoroalkyl substances (PFAS) above 100 parts per million in textiles? 
Products marked "No" will be blocked from sale in California. 
Please see Help Center article here for more information: https://partners.wayfair.com/help/2/article/2828).</t>
        </is>
      </c>
      <c r="DJ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DK5" s="35"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DL5" s="35" t="inlineStr">
        <is>
          <t>[Inches] What is the overall height of the product from top to bottom? Please enter just the number (e.g. 45.5).</t>
        </is>
      </c>
      <c r="DM5" s="35" t="inlineStr">
        <is>
          <t>[Inches] What is overall width of the product from side to side? Please enter just the number (e.g. 45.5).</t>
        </is>
      </c>
      <c r="DN5" s="35" t="inlineStr">
        <is>
          <t>[Inches] What is the overall depth of the product from front to back? Please enter just the number (e.g. 45.5).</t>
        </is>
      </c>
      <c r="DO5" s="35" t="inlineStr">
        <is>
          <t>[Inches] The interior height of the drawers from top to bottom. List out different heights for each drawer as needed. Please enter just the number (i.e. 45.5). E.g., Top drawer: 15, Bottom drawer: 20</t>
        </is>
      </c>
      <c r="DP5" s="35" t="inlineStr">
        <is>
          <t>[Inches] The interior depth of the drawers from front to back. List out different depths for each drawer as needed. Please enter just the number (i.e. 45.5).</t>
        </is>
      </c>
      <c r="DQ5" s="35" t="inlineStr">
        <is>
          <t>[Pounds] What is the total weight of this product once assembled? If this product includes multiples of the same item, add weight of one individual unit (e.g. 1 Dining Chair in a set of 2). Please enter just the number (i.e. 45.5).</t>
        </is>
      </c>
      <c r="DR5" s="35" t="inlineStr">
        <is>
          <t>[Inches] The interior width of the drawers from side to side. List out different widths for each drawer as needed. Please enter just the number (i.e. 45.5).</t>
        </is>
      </c>
      <c r="DS5" s="35" t="inlineStr">
        <is>
          <t>Does the product require any form of assembly prior to use as intended?</t>
        </is>
      </c>
      <c r="DT5" s="35" t="inlineStr">
        <is>
          <t>What is the level of assembly required?</t>
        </is>
      </c>
      <c r="DU5" s="35" t="inlineStr">
        <is>
          <t>What additional tools will the customer need to set-up this product that are NOT included with purchase?</t>
        </is>
      </c>
      <c r="DV5" s="35" t="inlineStr">
        <is>
          <t>Does the manufacturer warranty cover the use of this product in a commercial environment?</t>
        </is>
      </c>
      <c r="DW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DX5" s="35" t="inlineStr">
        <is>
          <t>Please indicate if there is a warranty on this product if it were to be used in a residential setting.</t>
        </is>
      </c>
      <c r="DY5" s="35" t="inlineStr">
        <is>
          <t>Please indicate if the warranty is Full or Limited.</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Please choose one or more from the following, using a semicolon (;) to separate each value: Glass; Stainless Steel; Cane; Raffia; Mango Wood; Aluminum; Manufactured Wood; Leather; Bamboo; Ceramic; Faux Leather; Iron; Laminate; Marble / Granite; Metal; Plastic / Acrylic; Teak; Solid + Manufactured Wood; Steel; Solid Wood; Wicker; Reclaimed Wood</t>
        </is>
      </c>
      <c r="BQ6" s="35" t="inlineStr">
        <is>
          <t>Yes or No</t>
        </is>
      </c>
      <c r="BR6" s="35" t="inlineStr">
        <is>
          <t>Yes or No</t>
        </is>
      </c>
      <c r="BS6" s="35" t="inlineStr">
        <is>
          <t>Whole Number</t>
        </is>
      </c>
      <c r="BT6" s="36"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BU6" s="35" t="inlineStr">
        <is>
          <t>Yes or No</t>
        </is>
      </c>
      <c r="BV6" s="35" t="inlineStr">
        <is>
          <t>Yes or No</t>
        </is>
      </c>
      <c r="BW6" s="36" t="inlineStr">
        <is>
          <t>Select</t>
        </is>
      </c>
      <c r="BX6" s="35" t="inlineStr">
        <is>
          <t>Yes or No</t>
        </is>
      </c>
      <c r="BY6" s="35" t="inlineStr">
        <is>
          <t>Yes or No</t>
        </is>
      </c>
      <c r="BZ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A6" s="36" t="inlineStr">
        <is>
          <t>Please choose one or more from the following, using a semicolon (;) to separate each value: No Natural Variation; Natural Wood Grain Color Variation; Weathered Steel; Wood Knots; Natural Stone Color Variation; Unavailable</t>
        </is>
      </c>
      <c r="CB6" s="36" t="inlineStr">
        <is>
          <t>Please choose one or more from the following, using a semicolon (;) to separate each value: Non Residential Use; Residential Use</t>
        </is>
      </c>
      <c r="CC6" s="36" t="inlineStr">
        <is>
          <t>Select</t>
        </is>
      </c>
      <c r="CD6" s="35" t="inlineStr">
        <is>
          <t>Yes or No</t>
        </is>
      </c>
      <c r="CE6" s="36" t="inlineStr">
        <is>
          <t>Please choose one or more from the following, using a semicolon (;) to separate each value: Made in USA; Made in USA of Imported Materials; Product of Canada; Made In Canada; Does Not Apply</t>
        </is>
      </c>
      <c r="CF6" s="36" t="inlineStr">
        <is>
          <t>Select</t>
        </is>
      </c>
      <c r="CG6" s="35" t="inlineStr">
        <is>
          <t>Yes or No</t>
        </is>
      </c>
      <c r="CH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Larch; Sungkai; Does Not Apply</t>
        </is>
      </c>
      <c r="CI6" s="36"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J6" s="35" t="inlineStr">
        <is>
          <t>Yes or No</t>
        </is>
      </c>
      <c r="CK6" s="35" t="inlineStr">
        <is>
          <t>Yes or No</t>
        </is>
      </c>
      <c r="CL6" s="35" t="inlineStr">
        <is>
          <t>Yes or No</t>
        </is>
      </c>
      <c r="CM6" s="36" t="inlineStr">
        <is>
          <t>Please choose one or more from the following, using a semicolon (;) to separate each value: Blue; Black; Brown; Red; Beige; Yellow; Pink; Purple; Gold; White; Ivory; Tan; Teal; Navy; Orange; Silver; Gray; Green; Cream; Clear</t>
        </is>
      </c>
      <c r="CN6" s="36" t="inlineStr">
        <is>
          <t>Select</t>
        </is>
      </c>
      <c r="CO6" s="35" t="inlineStr">
        <is>
          <t>Yes or No</t>
        </is>
      </c>
      <c r="CP6" s="35" t="inlineStr">
        <is>
          <t>Yes or No</t>
        </is>
      </c>
      <c r="CQ6" s="35" t="inlineStr">
        <is>
          <t>Yes or No</t>
        </is>
      </c>
      <c r="CR6" s="36" t="inlineStr">
        <is>
          <t>Please choose one or more from the following, using a semicolon (;) to separate each value: Drawers; Hutch; Mirror; Shelves; Lighting; Cabinets; Doors; Unavailable; Does Not Apply</t>
        </is>
      </c>
      <c r="CS6" s="35" t="inlineStr">
        <is>
          <t>Yes or No</t>
        </is>
      </c>
      <c r="CT6" s="35" t="inlineStr">
        <is>
          <t>Yes or No</t>
        </is>
      </c>
      <c r="CU6" s="36" t="inlineStr">
        <is>
          <t>Select</t>
        </is>
      </c>
      <c r="CV6" s="36" t="inlineStr">
        <is>
          <t>Select</t>
        </is>
      </c>
      <c r="CW6" s="36" t="inlineStr">
        <is>
          <t>Select</t>
        </is>
      </c>
      <c r="CX6" s="36" t="inlineStr">
        <is>
          <t>Select</t>
        </is>
      </c>
      <c r="CY6" s="35" t="inlineStr">
        <is>
          <t>Yes or No</t>
        </is>
      </c>
      <c r="CZ6" s="36" t="inlineStr">
        <is>
          <t>Select</t>
        </is>
      </c>
      <c r="DA6" s="36" t="inlineStr">
        <is>
          <t>Select</t>
        </is>
      </c>
      <c r="DB6" s="36" t="inlineStr">
        <is>
          <t>Select</t>
        </is>
      </c>
      <c r="DC6" s="35" t="inlineStr">
        <is>
          <t>Yes or No</t>
        </is>
      </c>
      <c r="DD6" s="36" t="inlineStr">
        <is>
          <t>Select</t>
        </is>
      </c>
      <c r="DE6" s="35" t="inlineStr">
        <is>
          <t>Yes or No</t>
        </is>
      </c>
      <c r="DF6" s="36" t="inlineStr">
        <is>
          <t>Please choose one or more from the following, using a semicolon (;) to separate each value: Dual Language; Distribution Conflict; Logistics; Does Not Apply</t>
        </is>
      </c>
      <c r="DG6" s="36" t="inlineStr">
        <is>
          <t>Select</t>
        </is>
      </c>
      <c r="DH6" s="36" t="inlineStr">
        <is>
          <t>Select</t>
        </is>
      </c>
      <c r="DI6" s="36" t="inlineStr">
        <is>
          <t>Select</t>
        </is>
      </c>
      <c r="DJ6" s="35" t="inlineStr">
        <is>
          <t>Yes or No</t>
        </is>
      </c>
      <c r="DK6" s="36" t="inlineStr">
        <is>
          <t>Select</t>
        </is>
      </c>
      <c r="DL6" s="35" t="inlineStr">
        <is>
          <t>Number</t>
        </is>
      </c>
      <c r="DM6" s="35" t="inlineStr">
        <is>
          <t>Number</t>
        </is>
      </c>
      <c r="DN6" s="35" t="inlineStr">
        <is>
          <t>Number</t>
        </is>
      </c>
      <c r="DO6" s="35" t="inlineStr">
        <is>
          <t>Number</t>
        </is>
      </c>
      <c r="DP6" s="35" t="inlineStr">
        <is>
          <t>Number</t>
        </is>
      </c>
      <c r="DQ6" s="35" t="inlineStr">
        <is>
          <t>Number</t>
        </is>
      </c>
      <c r="DR6" s="35" t="inlineStr">
        <is>
          <t>Number</t>
        </is>
      </c>
      <c r="DS6" s="35" t="inlineStr">
        <is>
          <t>Yes or No</t>
        </is>
      </c>
      <c r="DT6" s="36" t="inlineStr">
        <is>
          <t>Select</t>
        </is>
      </c>
      <c r="DU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DV6" s="35" t="inlineStr">
        <is>
          <t>Yes or No</t>
        </is>
      </c>
      <c r="DW6" s="36" t="inlineStr">
        <is>
          <t>Select</t>
        </is>
      </c>
      <c r="DX6" s="35" t="inlineStr">
        <is>
          <t>Yes or No</t>
        </is>
      </c>
      <c r="DY6" s="36" t="inlineStr">
        <is>
          <t>Select</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row>
    <row r="8">
      <c r="A8">
        <f t="array" ref="A8">_xlfn.BYROW(B8:DZ507, _xlfn.LAMBDA(_xlpm.r, _xlfn.LET(_xlpm.high_priority, IFERROR(INDEX(_xlpm.r, MATCH(TRUE, (_xlpm.r &lt;&gt; "") * ((LEFT(_xlpm.r, 2) = "1:") + (LEFT(_xlpm.r, 2) = "3:")) &gt; 0, 0)), ""), IF(_xlpm.high_priority &lt;&gt; "", _xlpm.high_priority, IFERROR(INDEX(_xlpm.r, MATCH(TRUE, (_xlpm.r &lt;&gt; "") * (LEFT(_xlpm.r, 2) = "4:") &gt; 0, 0)), "")))))</f>
        <v/>
      </c>
      <c r="B8" s="22">
        <f t="array" ref="B8">_xlfn.MAP('13 - Dressers &amp; Chests'!B8:B507, '13 - Dressers &amp; Chests'!B8:B507,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IF(OR('13 - Dressers &amp; Chests'!B$7 = "", '13 - Dressers &amp; Chests'!B$7 = "N/A"), "3:Supplier Part Number - Value is required", ""), ""))))))))</f>
        <v/>
      </c>
      <c r="C8" s="22">
        <f t="array" ref="C8">_xlfn.MAP('13 - Dressers &amp; Chests'!B8:B507, '13 - Dressers &amp; Chests'!C8:C507, _xlfn.LAMBDA(_xlpm.part, _xlpm.val, IF(_xlpm.part = "", "", IF(AND(_xlpm.val = "", C$3="Required"), IF(OR('13 - Dressers &amp; Chests'!C$7 = "", '13 - Dressers &amp; Chests'!C$7 = "N/A"), "3:ASIN or Amazon Seller SKU - Value is required", ""), ""))))</f>
        <v/>
      </c>
      <c r="D8" s="22">
        <f t="array" ref="D8">_xlfn.MAP('13 - Dressers &amp; Chests'!B8:B507, '13 - Dressers &amp; Chests'!D8:D507, '13 - Dressers &amp; Chests'!J8:J507, _xlfn.LAMBDA(_xlpm.part, _xlpm.val, _xlpm.dep1, IF(_xlpm.part = "", "", _xlfn.LET(_xlpm.check1, IF(AND(_xlpm.val = "", _xlpm.dep1 = "NON-PRIMARY VARIANT"), "2:Autofill", ""), IF(LEN(_xlpm.check1) &gt; 0, _xlpm.check1, IF(AND(_xlpm.val = "", D$3="Required"), IF(OR('13 - Dressers &amp; Chests'!D$7 = "", '13 - Dressers &amp; Chests'!D$7 = "N/A"), "3:Brand - Value is required", ""), ""))))))</f>
        <v/>
      </c>
      <c r="E8" s="22">
        <f t="array" ref="E8">_xlfn.MAP('13 - Dressers &amp; Chests'!B8:B507, '13 - Dressers &amp; Chests'!E8:E507, _xlfn.LAMBDA(_xlpm.part, _xlpm.val, IF(_xlpm.part = "", "",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IF(OR('13 - Dressers &amp; Chests'!E$7 = "", '13 - Dressers &amp; Chests'!E$7 = "N/A"), "3:Manufacturer Part Number - Value is required", ""), ""))))))))))</f>
        <v/>
      </c>
      <c r="F8" s="22">
        <f t="array" ref="F8">_xlfn.MAP('13 - Dressers &amp; Chests'!B8:B507, '13 - Dressers &amp; Chests'!F8:F507, _xlfn.LAMBDA(_xlpm.part, _xlpm.val, IF(_xlpm.part = "", "",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IF(OR('13 - Dressers &amp; Chests'!F$7 = "", '13 - Dressers &amp; Chests'!F$7 = "N/A"), "3:Universal Product Code - Value is required", ""), ""))))))))</f>
        <v/>
      </c>
      <c r="G8" s="22">
        <f t="array" ref="G8">_xlfn.MAP('13 - Dressers &amp; Chests'!B8:B507, '13 - Dressers &amp; Chests'!G8:G507, _xlfn.LAMBDA(_xlpm.part, _xlpm.val, IF(_xlpm.part = "", "", _xlfn.LET(_xlpm.check1, IF(OR(ISNUMBER(SEARCH({"&lt;","&gt;","^","Ø","•","‣","⁃","⁌","™","∙","⌀","◦"}, _xlpm.val))), "1:Product name cannot contain special characters ([™Ø⌀•‣◦⁃⁌⁍∙&lt;&gt;])", ""), IF(LEN(_xlpm.check1) &gt; 0, _xlpm.check1, IF(AND(_xlpm.val = "", G$3="Required"), IF(OR('13 - Dressers &amp; Chests'!G$7 = "", '13 - Dressers &amp; Chests'!G$7 = "N/A"), "3:Product Name - Value is required", ""), ""))))))</f>
        <v/>
      </c>
      <c r="H8" s="22">
        <f t="array" ref="H8">_xlfn.MAP('13 - Dressers &amp; Chests'!B8:B507, '13 - Dressers &amp; Chests'!H8:H507, '13 - Dressers &amp; Chests'!J8:J507, _xlfn.LAMBDA(_xlpm.part, _xlpm.val, _xlpm.dep1, IF(_xlpm.part = "", "", _xlfn.LET(_xlpm.check1, IF(AND(_xlpm.val = "", _xlpm.dep1 = "NON-PRIMARY VARIANT"), "2:Autofill", ""), IF(LEN(_xlpm.check1) &gt; 0, _xlpm.check1, IF(AND(_xlpm.val = "", H$3="Required"), IF(OR('13 - Dressers &amp; Chests'!H$7 = "", '13 - Dressers &amp; Chests'!H$7 = "N/A"), "3:Collection Name - Value is required", ""), ""))))))</f>
        <v/>
      </c>
      <c r="I8" s="22">
        <f t="array" ref="I8">_xlfn.MAP('13 - Dressers &amp; Chests'!B8:B507, '13 - Dressers &amp; Chests'!I8:I507, _xlfn.LAMBDA(_xlpm.part, _xlpm.val, IF(_xlpm.part = "", "", IF(AND(_xlpm.val = "", I$3="Required"), IF(OR('13 - Dressers &amp; Chests'!I$7 = "", '13 - Dressers &amp; Chests'!I$7 = "N/A"), "3:Manufacturer Product URL - Value is required", ""), ""))))</f>
        <v/>
      </c>
      <c r="J8" s="22">
        <f t="array" ref="J8">_xlfn.MAP('13 - Dressers &amp; Chests'!B8:B507, '13 - Dressers &amp; Chests'!J8:J507, _xlfn.LAMBDA(_xlpm.part, _xlpm.val, IF(_xlpm.part = "", "", IF(AND(_xlpm.val = "", J$3="Required"), IF(OR('13 - Dressers &amp; Chests'!J$7 = "", '13 - Dressers &amp; Chests'!J$7 = "N/A"), "3:Variant Type - Value is required", ""), ""))))</f>
        <v/>
      </c>
      <c r="K8" s="22">
        <f t="array" ref="K8">_xlfn.MAP('13 - Dressers &amp; Chests'!B8:B507, '13 - Dressers &amp; Chests'!K8:K507, '13 - Dressers &amp; Chests'!J8:J507, _xlfn.LAMBDA(_xlpm.part, _xlpm.val, _xlpm.dep1, IF(_xlpm.part = "", "", _xlfn.LET(_xlpm.check1, IF(OR(_xlpm.dep1 = "NOT VARIANT", _xlpm.dep1 = ""), IF(_xlpm.val = "", "2:Disable", "1:Variant fields are not accepted when Variant Type is 'Not Variant' or blank. Please remove variant data or set a valid Variant Type."), ""), IF(LEN(_xlpm.check1) &gt; 0, _xlpm.check1, _xlfn.LET(_xlpm.check2, IF(AND(_xlpm.val = "", K$3="Required"), IF(OR('13 - Dressers &amp; Chests'!K$7 = "", '13 - Dressers &amp; Chests'!K$7 = "N/A"), "3:Group Reference ID - Value is required", ""), ""), IF(LEN(_xlpm.check2) &gt; 0, _xlpm.check2, _xlfn.LET(_xlpm.check3, IF(_xlpm.dep1 = "PRIMARY VARIANT", IF(_xlpm.val = "", IF(OR('13 - Dressers &amp; Chests'!K$7 = "", '13 - Dressers &amp; Chests'!K$7 = "N/A"), "3:Variant Group Reference Id is required for primary-variant", ""), ""), ""), IF(LEN(_xlpm.check3) &gt; 0, _xlpm.check3, IF(_xlpm.dep1 = "NON-PRIMARY VARIANT", IF(_xlpm.val = "", IF(OR('13 - Dressers &amp; Chests'!K$7 = "", '13 - Dressers &amp; Chests'!K$7 = "N/A"), "3:Variant Group Reference Id is required for non-primary variant", ""), ""), ""))))))))))</f>
        <v/>
      </c>
      <c r="L8" s="22">
        <f t="array" ref="L8">_xlfn.MAP('13 - Dressers &amp; Chests'!B8:B507, '13 - Dressers &amp; Chests'!L8:L507, '13 - Dressers &amp; Chests'!J8:J507,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_xlfn.LET(_xlpm.check5, IF(AND(_xlpm.val = "", L$3="Required"), IF(OR('13 - Dressers &amp; Chests'!L$7 = "", '13 - Dressers &amp; Chests'!L$7 = "N/A"), "3:Variant Grouping - Value is required", ""), ""), IF(LEN(_xlpm.check5) &gt; 0, _xlpm.check5, IF(_xlpm.dep1 = "PRIMARY VARIANT", IF(_xlpm.val = "", IF(OR('13 - Dressers &amp; Chests'!L$7 = "", '13 - Dressers &amp; Chests'!L$7 = "N/A"), "3:Variant grouping value must be specified for primary variant", ""), ""), ""))))))))))))))</f>
        <v/>
      </c>
      <c r="M8" s="22">
        <f t="array" ref="M8">_xlfn.MAP('13 - Dressers &amp; Chests'!B8:B507, '13 - Dressers &amp; Chests'!M8:M507, '13 - Dressers &amp; Chests'!J8:J507, '13 - Dressers &amp; Chests'!L8:L507,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M$3="Required"), IF(OR('13 - Dressers &amp; Chests'!M$7 = "", '13 - Dressers &amp; Chests'!M$7 = "N/A"), "3:Variant Attribute Name On Site - Value is required", ""), ""), IF(LEN(_xlpm.check3) &gt; 0, _xlpm.check3, _xlfn.LET(_xlpm.check4, IF(AND(_xlpm.dep2 &lt;&gt; "", _xlpm.dep2 &lt;&gt; "Finish", _xlpm.dep2 &lt;&gt; "Assembly"), IF(_xlpm.val = "", IF(OR('13 - Dressers &amp; Chests'!M$7 = "", '13 - Dressers &amp; Chests'!M$7 = "N/A"), "3:Name on site is required when variant grouping value is provided", ""), ""), ""), IF(LEN(_xlpm.check4) &gt; 0, _xlpm.check4, _xlfn.LET(_xlpm.check5, IF(AND(_xlpm.dep2 &lt;&gt; "", _xlpm.dep2 &lt;&gt; "Color", _xlpm.dep2 &lt;&gt; "Material", _xlpm.dep2 &lt;&gt; "Size", _xlpm.dep2 &lt;&gt; "Fireplace Included"), IF(_xlpm.val = "", IF(OR('13 - Dressers &amp; Chests'!M$7 = "", '13 - Dressers &amp; Chests'!M$7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IF(OR('13 - Dressers &amp; Chests'!M$7 = "", '13 - Dressers &amp; Chests'!M$7 = "N/A"), "3:Name on site is required when variant grouping value is provided", ""), ""), ""), IF(LEN(_xlpm.check6) &gt; 0, _xlpm.check6, _xlfn.LET(_xlpm.check7, IF(AND(_xlpm.dep2 &lt;&gt; "", _xlpm.dep2 &lt;&gt; "Color"), IF(_xlpm.val = "", IF(OR('13 - Dressers &amp; Chests'!M$7 = "", '13 - Dressers &amp; Chests'!M$7 = "N/A"), "3:Name on site is required when variant grouping value is provided", ""), ""), ""), IF(LEN(_xlpm.check7) &gt; 0, _xlpm.check7, IF(AND(_xlpm.dep2 &lt;&gt; "", _xlpm.dep2 &lt;&gt; "Size", _xlpm.dep2 &lt;&gt; "Color", _xlpm.dep2 &lt;&gt; "Frame Material", _xlpm.dep2 &lt;&gt; "Print/Pattern", _xlpm.dep2 &lt;&gt; "Storage"), IF(_xlpm.val = "", IF(OR('13 - Dressers &amp; Chests'!M$7 = "", '13 - Dressers &amp; Chests'!M$7 = "N/A"), "3:Name on site is required when variant grouping value is provided", ""), ""), ""))))))))))))))))))</f>
        <v/>
      </c>
      <c r="N8" s="22">
        <f t="array" ref="N8">_xlfn.MAP('13 - Dressers &amp; Chests'!B8:B507, '13 - Dressers &amp; Chests'!N8:N507, '13 - Dressers &amp; Chests'!J8:J507,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N$3="Required"), IF(OR('13 - Dressers &amp; Chests'!N$7 = "", '13 - Dressers &amp; Chests'!N$7 = "N/A"), "3:Variant Grouping - Value is required", ""), ""))))))))))))</f>
        <v/>
      </c>
      <c r="O8" s="22">
        <f t="array" ref="O8">_xlfn.MAP('13 - Dressers &amp; Chests'!B8:B507, '13 - Dressers &amp; Chests'!O8:O507, '13 - Dressers &amp; Chests'!J8:J507, '13 - Dressers &amp; Chests'!N8:N507,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O$3="Required"), IF(OR('13 - Dressers &amp; Chests'!O$7 = "", '13 - Dressers &amp; Chests'!O$7 = "N/A"), "3:Variant Attribute Name On Site - Value is required", ""), ""), IF(LEN(_xlpm.check3) &gt; 0, _xlpm.check3, _xlfn.LET(_xlpm.check4, IF(AND(_xlpm.dep2 &lt;&gt; "", _xlpm.dep2 &lt;&gt; "Finish", _xlpm.dep2 &lt;&gt; "Assembly"), IF(_xlpm.val = "", IF(OR('13 - Dressers &amp; Chests'!O$7 = "", '13 - Dressers &amp; Chests'!O$7 = "N/A"), "3:Name on site is required when variant grouping value is provided", ""), ""), ""), IF(LEN(_xlpm.check4) &gt; 0, _xlpm.check4, _xlfn.LET(_xlpm.check5, IF(AND(_xlpm.dep2 &lt;&gt; "", _xlpm.dep2 &lt;&gt; "Color", _xlpm.dep2 &lt;&gt; "Material", _xlpm.dep2 &lt;&gt; "Size", _xlpm.dep2 &lt;&gt; "Fireplace Included"), IF(_xlpm.val = "", IF(OR('13 - Dressers &amp; Chests'!O$7 = "", '13 - Dressers &amp; Chests'!O$7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IF(OR('13 - Dressers &amp; Chests'!O$7 = "", '13 - Dressers &amp; Chests'!O$7 = "N/A"), "3:Name on site is required when variant grouping value is provided", ""), ""), ""), IF(LEN(_xlpm.check6) &gt; 0, _xlpm.check6, _xlfn.LET(_xlpm.check7, IF(AND(_xlpm.dep2 &lt;&gt; "", _xlpm.dep2 &lt;&gt; "Color"), IF(_xlpm.val = "", IF(OR('13 - Dressers &amp; Chests'!O$7 = "", '13 - Dressers &amp; Chests'!O$7 = "N/A"), "3:Name on site is required when variant grouping value is provided", ""), ""), ""), IF(LEN(_xlpm.check7) &gt; 0, _xlpm.check7, IF(AND(_xlpm.dep2 &lt;&gt; "", _xlpm.dep2 &lt;&gt; "Size", _xlpm.dep2 &lt;&gt; "Color", _xlpm.dep2 &lt;&gt; "Frame Material", _xlpm.dep2 &lt;&gt; "Print/Pattern", _xlpm.dep2 &lt;&gt; "Storage"), IF(_xlpm.val = "", IF(OR('13 - Dressers &amp; Chests'!O$7 = "", '13 - Dressers &amp; Chests'!O$7 = "N/A"), "3:Name on site is required when variant grouping value is provided", ""), ""), ""))))))))))))))))))</f>
        <v/>
      </c>
      <c r="P8" s="22">
        <f t="array" ref="P8">_xlfn.MAP('13 - Dressers &amp; Chests'!B8:B507, '13 - Dressers &amp; Chests'!P8:P507, '13 - Dressers &amp; Chests'!J8:J507,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P$3="Required"), IF(OR('13 - Dressers &amp; Chests'!P$7 = "", '13 - Dressers &amp; Chests'!P$7 = "N/A"), "3:Variant Grouping - Value is required", ""), ""))))))))))))</f>
        <v/>
      </c>
      <c r="Q8" s="22">
        <f t="array" ref="Q8">_xlfn.MAP('13 - Dressers &amp; Chests'!B8:B507, '13 - Dressers &amp; Chests'!Q8:Q507, '13 - Dressers &amp; Chests'!J8:J507, '13 - Dressers &amp; Chests'!P8:P507,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Q$3="Required"), IF(OR('13 - Dressers &amp; Chests'!Q$7 = "", '13 - Dressers &amp; Chests'!Q$7 = "N/A"), "3:Variant Attribute Name On Site - Value is required", ""), ""), IF(LEN(_xlpm.check3) &gt; 0, _xlpm.check3, _xlfn.LET(_xlpm.check4, IF(AND(_xlpm.dep2 &lt;&gt; "", _xlpm.dep2 &lt;&gt; "Finish", _xlpm.dep2 &lt;&gt; "Assembly"), IF(_xlpm.val = "", IF(OR('13 - Dressers &amp; Chests'!Q$7 = "", '13 - Dressers &amp; Chests'!Q$7 = "N/A"), "3:Name on site is required when variant grouping value is provided", ""), ""), ""), IF(LEN(_xlpm.check4) &gt; 0, _xlpm.check4, _xlfn.LET(_xlpm.check5, IF(AND(_xlpm.dep2 &lt;&gt; "", _xlpm.dep2 &lt;&gt; "Color", _xlpm.dep2 &lt;&gt; "Material", _xlpm.dep2 &lt;&gt; "Size", _xlpm.dep2 &lt;&gt; "Fireplace Included"), IF(_xlpm.val = "", IF(OR('13 - Dressers &amp; Chests'!Q$7 = "", '13 - Dressers &amp; Chests'!Q$7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IF(OR('13 - Dressers &amp; Chests'!Q$7 = "", '13 - Dressers &amp; Chests'!Q$7 = "N/A"), "3:Name on site is required when variant grouping value is provided", ""), ""), ""), IF(LEN(_xlpm.check6) &gt; 0, _xlpm.check6, _xlfn.LET(_xlpm.check7, IF(AND(_xlpm.dep2 &lt;&gt; "", _xlpm.dep2 &lt;&gt; "Color"), IF(_xlpm.val = "", IF(OR('13 - Dressers &amp; Chests'!Q$7 = "", '13 - Dressers &amp; Chests'!Q$7 = "N/A"), "3:Name on site is required when variant grouping value is provided", ""), ""), ""), IF(LEN(_xlpm.check7) &gt; 0, _xlpm.check7, IF(AND(_xlpm.dep2 &lt;&gt; "", _xlpm.dep2 &lt;&gt; "Size", _xlpm.dep2 &lt;&gt; "Color", _xlpm.dep2 &lt;&gt; "Frame Material", _xlpm.dep2 &lt;&gt; "Print/Pattern", _xlpm.dep2 &lt;&gt; "Storage"), IF(_xlpm.val = "", IF(OR('13 - Dressers &amp; Chests'!Q$7 = "", '13 - Dressers &amp; Chests'!Q$7 = "N/A"), "3:Name on site is required when variant grouping value is provided", ""), ""), ""))))))))))))))))))</f>
        <v/>
      </c>
      <c r="R8" s="22">
        <f t="array" ref="R8">_xlfn.MAP('13 - Dressers &amp; Chests'!B8:B507, '13 - Dressers &amp; Chests'!R8:R507, _xlfn.LAMBDA(_xlpm.part, _xlpm.val, IF(_xlpm.part = "", "", _xlfn.LET(_xlpm.check1, IF(AND(NOT(ISBLANK(_xlpm.val)),OR(NOT(ISNUMBER(IFERROR(VALUE(_xlpm.val), ""))), IFERROR(VALUE(_xlpm.val), -1) &lt; 0)), "1:Base Cost - Value should be numeric", ""), IF(LEN(_xlpm.check1) &gt; 0, _xlpm.check1, IF(AND(_xlpm.val = "", R$3="Required"), IF(OR('13 - Dressers &amp; Chests'!R$7 = "", '13 - Dressers &amp; Chests'!R$7 = "N/A"), "3:Base Cost - Value is required", ""), ""))))))</f>
        <v/>
      </c>
      <c r="S8" s="22">
        <f t="array" ref="S8">_xlfn.MAP('13 - Dressers &amp; Chests'!B8:B507, '13 - Dressers &amp; Chests'!S8:S507, _xlfn.LAMBDA(_xlpm.part, _xlpm.val, IF(_xlpm.part = "", "", _xlfn.LET(_xlpm.check1, IF(AND(NOT(ISBLANK(_xlpm.val)),OR(NOT(ISNUMBER(IFERROR(VALUE(_xlpm.val), ""))), IFERROR(VALUE(_xlpm.val), -1) &lt; 0)), "1:Minimum Advertised Price - Value should be numeric", ""), IF(LEN(_xlpm.check1) &gt; 0, _xlpm.check1, IF(AND(_xlpm.val = "", S$3="Required"), IF(OR('13 - Dressers &amp; Chests'!S$7 = "", '13 - Dressers &amp; Chests'!S$7 = "N/A"), "3:Minimum Advertised Price - Value is required", ""), ""))))))</f>
        <v/>
      </c>
      <c r="T8" s="22">
        <f t="array" ref="T8">_xlfn.MAP('13 - Dressers &amp; Chests'!B8:B507, '13 - Dressers &amp; Chests'!T8:T507, _xlfn.LAMBDA(_xlpm.part, _xlpm.val, IF(_xlpm.part = "", "", _xlfn.LET(_xlpm.check1, IF(AND(NOT(ISBLANK(_xlpm.val)),OR(NOT(ISNUMBER(IFERROR(VALUE(_xlpm.val), ""))), IFERROR(VALUE(_xlpm.val), -1) &lt; 0)), "1:Manufacturer Suggested Retail Price - Value should be numeric", ""), IF(LEN(_xlpm.check1) &gt; 0, _xlpm.check1, IF(AND(_xlpm.val = "", T$3="Required"), IF(OR('13 - Dressers &amp; Chests'!T$7 = "", '13 - Dressers &amp; Chests'!T$7 = "N/A"), "3:Manufacturer Suggested Retail Price - Value is required", ""), ""))))))</f>
        <v/>
      </c>
      <c r="U8" s="22">
        <f t="array" ref="U8">_xlfn.MAP('13 - Dressers &amp; Chests'!B8:B507, '13 - Dressers &amp; Chests'!U8:U507, '13 - Dressers &amp; Chests'!J8:J507, '13 - Dressers &amp; Chests'!V8:V507, '13 - Dressers &amp; Chests'!W8:W507, '13 - Dressers &amp; Chests'!X8:X507, _xlfn.LAMBDA(_xlpm.part, _xlpm.val, _xlpm.dep1, _xlpm.dep2, _xlpm.dep3, _xlpm.dep4, IF(_xlpm.part = "", "", _xlfn.LET(_xlpm.check1, IF(AND(_xlpm.val = "", _xlpm.dep1 = "NON-PRIMARY VARIANT"), "2:Autofill", ""), IF(LEN(_xlpm.check1) &gt; 0, _xlpm.check1, _xlfn.LET(_xlpm.check2, IF(OR(ISNUMBER(SEARCH({"&lt;","&gt;","^","Ø","•","‣","⁃","⁌","™","∙","⌀","◦"}, _xlpm.val))), "1:Marketing Copy cannot contain special characters ([™Ø⌀•‣◦⁃⁌⁍∙&lt;&gt;])", ""), IF(LEN(_xlpm.check2) &gt; 0, _xlpm.check2, _xlfn.LET(_xlpm.check3, IF(AND(_xlpm.val &lt;&gt; "", LEN(_xlpm.val) &lt; 16), "1:Marketing Copy should be more than 15 characters", ""), IF(LEN(_xlpm.check3) &gt; 0, _xlpm.check3, _xlfn.LET(_xlpm.check4, IF(AND(_xlpm.val = "", U$3="Required"), IF(OR('13 - Dressers &amp; Chests'!U$7 = "", '13 - Dressers &amp; Chests'!U$7 = "N/A"), "3:Marketing Copy - Value is required", ""), ""), IF(LEN(_xlpm.check4) &gt; 0, _xlpm.check4, IF(OR(_xlpm.dep2 = "", _xlpm.dep3 = "", _xlpm.dep4 = ""), IF(_xlpm.val = "", IF(OR('13 - Dressers &amp; Chests'!U$7 = "", '13 - Dressers &amp; Chests'!U$7 = "N/A"), "3:Either the Marketing Copy or at least three Feature Bullets are required for this part.", ""), ""), ""))))))))))))</f>
        <v/>
      </c>
      <c r="V8" s="22">
        <f t="array" ref="V8">_xlfn.MAP('13 - Dressers &amp; Chests'!B8:B507, '13 - Dressers &amp; Chests'!V8:V507, '13 - Dressers &amp; Chests'!J8:J507, '13 - Dressers &amp; Chests'!W8:W507, '13 - Dressers &amp; Chests'!X8:X507, '13 - Dressers &amp; Chests'!U8:U507,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V$3="Required"), IF(OR('13 - Dressers &amp; Chests'!V$7 = "", '13 - Dressers &amp; Chests'!V$7 = "N/A"), "3:Feature Bullet - Value is required", ""), ""), IF(LEN(_xlpm.check3) &gt; 0, _xlpm.check3, _xlfn.LET(_xlpm.check4, IF(AND(AND(_xlpm.dep2 = "", _xlpm.dep3 = ""), _xlpm.dep4 = ""), IF(_xlpm.val = "", IF(OR('13 - Dressers &amp; Chests'!V$7 = "", '13 - Dressers &amp; Chests'!V$7 = "N/A"), "3:Either the Marketing Copy or at least three Feature Bullets are required for this part.", ""), ""), ""), IF(LEN(_xlpm.check4) &gt; 0, _xlpm.check4, IF(_xlpm.dep4 = "", IF(_xlpm.val = "", IF(OR('13 - Dressers &amp; Chests'!V$7 = "", '13 - Dressers &amp; Chests'!V$7 = "N/A"), "3:Three feature bullets must be filled", ""), ""), ""))))))))))))</f>
        <v/>
      </c>
      <c r="W8" s="22">
        <f t="array" ref="W8">_xlfn.MAP('13 - Dressers &amp; Chests'!B8:B507, '13 - Dressers &amp; Chests'!W8:W507, '13 - Dressers &amp; Chests'!J8:J507, '13 - Dressers &amp; Chests'!V8:V507, '13 - Dressers &amp; Chests'!X8:X507, '13 - Dressers &amp; Chests'!U8:U507,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W$3="Required"), IF(OR('13 - Dressers &amp; Chests'!W$7 = "", '13 - Dressers &amp; Chests'!W$7 = "N/A"), "3:Feature Bullet - Value is required", ""), ""), IF(LEN(_xlpm.check3) &gt; 0, _xlpm.check3, _xlfn.LET(_xlpm.check4, IF(AND(AND(_xlpm.dep2 = "", _xlpm.dep3 = ""), _xlpm.dep4 = ""), IF(_xlpm.val = "", IF(OR('13 - Dressers &amp; Chests'!W$7 = "", '13 - Dressers &amp; Chests'!W$7 = "N/A"), "3:Either the Marketing Copy or at least three Feature Bullets are required for this part.", ""), ""), ""), IF(LEN(_xlpm.check4) &gt; 0, _xlpm.check4, IF(_xlpm.dep4 = "", IF(_xlpm.val = "", IF(OR('13 - Dressers &amp; Chests'!W$7 = "", '13 - Dressers &amp; Chests'!W$7 = "N/A"), "3:Three feature bullets must be filled", ""), ""), ""))))))))))))</f>
        <v/>
      </c>
      <c r="X8" s="22">
        <f t="array" ref="X8">_xlfn.MAP('13 - Dressers &amp; Chests'!B8:B507, '13 - Dressers &amp; Chests'!X8:X507, '13 - Dressers &amp; Chests'!J8:J507, '13 - Dressers &amp; Chests'!V8:V507, '13 - Dressers &amp; Chests'!W8:W507, '13 - Dressers &amp; Chests'!U8:U507,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X$3="Required"), IF(OR('13 - Dressers &amp; Chests'!X$7 = "", '13 - Dressers &amp; Chests'!X$7 = "N/A"), "3:Feature Bullet - Value is required", ""), ""), IF(LEN(_xlpm.check3) &gt; 0, _xlpm.check3, _xlfn.LET(_xlpm.check4, IF(AND(AND(_xlpm.dep2 = "", _xlpm.dep3 = ""), _xlpm.dep4 = ""), IF(_xlpm.val = "", IF(OR('13 - Dressers &amp; Chests'!X$7 = "", '13 - Dressers &amp; Chests'!X$7 = "N/A"), "3:Either the Marketing Copy or at least three Feature Bullets are required for this part.", ""), ""), ""), IF(LEN(_xlpm.check4) &gt; 0, _xlpm.check4, IF(_xlpm.dep4 = "", IF(_xlpm.val = "", IF(OR('13 - Dressers &amp; Chests'!X$7 = "", '13 - Dressers &amp; Chests'!X$7 = "N/A"), "3:Three feature bullets must be filled", ""), ""), ""))))))))))))</f>
        <v/>
      </c>
      <c r="Y8" s="22">
        <f t="array" ref="Y8">_xlfn.MAP('13 - Dressers &amp; Chests'!B8:B507, '13 - Dressers &amp; Chests'!Y8:Y507, '13 - Dressers &amp; Chests'!J8:J507,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Y$3="Required"), IF(OR('13 - Dressers &amp; Chests'!Y$7 = "", '13 - Dressers &amp; Chests'!Y$7 = "N/A"), "3:Feature Bullet - Value is required", ""), ""))))))))</f>
        <v/>
      </c>
      <c r="Z8" s="22">
        <f t="array" ref="Z8">_xlfn.MAP('13 - Dressers &amp; Chests'!B8:B507, '13 - Dressers &amp; Chests'!Z8:Z507, '13 - Dressers &amp; Chests'!J8:J507,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Z$3="Required"), IF(OR('13 - Dressers &amp; Chests'!Z$7 = "", '13 - Dressers &amp; Chests'!Z$7 = "N/A"), "3:Feature Bullet - Value is required", ""), ""))))))))</f>
        <v/>
      </c>
      <c r="AA8" s="22">
        <f t="array" ref="AA8">_xlfn.MAP('13 - Dressers &amp; Chests'!B8:B507, '13 - Dressers &amp; Chests'!AA8:AA507, '13 - Dressers &amp; Chests'!J8:J507,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"1:Minimum Order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AA$3="Required"), IF(OR('13 - Dressers &amp; Chests'!AA$7 = "", '13 - Dressers &amp; Chests'!AA$7 = "N/A"), "3:Minimum Order Quantity - Value is required", ""), ""))))))))))))</f>
        <v/>
      </c>
      <c r="AB8" s="22">
        <f t="array" ref="AB8">_xlfn.MAP('13 - Dressers &amp; Chests'!B8:B507, '13 - Dressers &amp; Chests'!AB8:AB507, '13 - Dressers &amp; Chests'!J8:J507,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"1:Force Quantity Multiplier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AB$3="Required"), IF(OR('13 - Dressers &amp; Chests'!AB$7 = "", '13 - Dressers &amp; Chests'!AB$7 = "N/A"), "3:Force Quantity Multiplier - Value is required", ""), ""))))))))))))</f>
        <v/>
      </c>
      <c r="AC8" s="22">
        <f t="array" ref="AC8">_xlfn.MAP('13 - Dressers &amp; Chests'!B8:B507, '13 - Dressers &amp; Chests'!AC8:AC507, '13 - Dressers &amp; Chests'!J8:J507,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"1:Display Set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AC$3="Required"), IF(OR('13 - Dressers &amp; Chests'!AC$7 = "", '13 - Dressers &amp; Chests'!AC$7 = "N/A"), "3:Display Set Quantity - Value is required", ""), ""))))))))))))</f>
        <v/>
      </c>
      <c r="AD8" s="22">
        <f t="array" ref="AD8">_xlfn.MAP('13 - Dressers &amp; Chests'!B8:B507, '13 - Dressers &amp; Chests'!AD8:AD507, '13 - Dressers &amp; Chests'!J8:J507,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"1:Product Weight - Value should be numeric", ""), IF(LEN(_xlpm.check2) &gt; 0, _xlpm.check2, _xlfn.LET(_xlpm.check3, IF(AND(_xlpm.val &lt;&gt; "" ,IFERROR(VALUE(_xlpm.val), _xlpm.val)&lt;0), "1:Product weight must be a positive number", ""), IF(LEN(_xlpm.check3) &gt; 0, _xlpm.check3, IF(AND(_xlpm.val = "", AD$3="Required"), IF(OR('13 - Dressers &amp; Chests'!AD$7 = "", '13 - Dressers &amp; Chests'!AD$7 = "N/A"), "3:Product Weight - Value is required", ""), ""))))))))))</f>
        <v/>
      </c>
      <c r="AE8" s="22">
        <f t="array" ref="AE8">_xlfn.MAP('13 - Dressers &amp; Chests'!B8:B507, '13 - Dressers &amp; Chests'!AE8:AE507, '13 - Dressers &amp; Chests'!J8:J507, _xlfn.LAMBDA(_xlpm.part, _xlpm.val, _xlpm.dep1, IF(_xlpm.part = "", "", _xlfn.LET(_xlpm.check1, IF(AND(_xlpm.val = "", _xlpm.dep1 = "NON-PRIMARY VARIANT"), "2:Autofill", ""), IF(LEN(_xlpm.check1) &gt; 0, _xlpm.check1, IF(AND(_xlpm.val = "", AE$3="Required"), IF(OR('13 - Dressers &amp; Chests'!AE$7 = "", '13 - Dressers &amp; Chests'!AE$7 = "N/A"), "3:Ship Type - Value is required", ""), ""))))))</f>
        <v/>
      </c>
      <c r="AF8" s="22">
        <f t="array" ref="AF8">_xlfn.MAP('13 - Dressers &amp; Chests'!B8:B507, '13 - Dressers &amp; Chests'!AF8:AF507, '13 - Dressers &amp; Chests'!J8:J507, _xlfn.LAMBDA(_xlpm.part, _xlpm.val, _xlpm.dep1, IF(_xlpm.part = "", "", _xlfn.LET(_xlpm.check1, IF(AND(_xlpm.val = "", _xlpm.dep1 = "NON-PRIMARY VARIANT"), "2:Autofill", ""), IF(LEN(_xlpm.check1) &gt; 0, _xlpm.check1, IF(AND(_xlpm.val = "", AF$3="Required"), IF(OR('13 - Dressers &amp; Chests'!AF$7 = "", '13 - Dressers &amp; Chests'!AF$7 = "N/A"), "3:Freight Class - Value is required", ""), ""))))))</f>
        <v/>
      </c>
      <c r="AG8" s="22">
        <f t="array" ref="AG8">_xlfn.MAP('13 - Dressers &amp; Chests'!B8:B507, '13 - Dressers &amp; Chests'!AG8:AG507, '13 - Dressers &amp; Chests'!J8:J507, _xlfn.LAMBDA(_xlpm.part, _xlpm.val, _xlpm.dep1, IF(_xlpm.part = "", "", _xlfn.LET(_xlpm.check1, IF(AND(_xlpm.val = "", _xlpm.dep1 = "NON-PRIMARY VARIANT"), "2:Autofill", ""), IF(LEN(_xlpm.check1) &gt; 0, _xlpm.check1, IF(AND(_xlpm.val = "", AG$3="Required"), IF(OR('13 - Dressers &amp; Chests'!AG$7 = "", '13 - Dressers &amp; Chests'!AG$7 = "N/A"), "3:Lead Time - Value is required", ""), ""))))))</f>
        <v/>
      </c>
      <c r="AH8" s="22">
        <f t="array" ref="AH8">_xlfn.MAP('13 - Dressers &amp; Chests'!B8:B507, '13 - Dressers &amp; Chests'!AH8:AH507, '13 - Dressers &amp; Chests'!J8:J507, _xlfn.LAMBDA(_xlpm.part, _xlpm.val, _xlpm.dep1, IF(_xlpm.part = "", "", _xlfn.LET(_xlpm.check1, IF(AND(_xlpm.val = "", _xlpm.dep1 = "NON-PRIMARY VARIANT"), "2:Autofill", ""), IF(LEN(_xlpm.check1) &gt; 0, _xlpm.check1, IF(AND(_xlpm.val = "", AH$3="Required"), IF(OR('13 - Dressers &amp; Chests'!AH$7 = "", '13 - Dressers &amp; Chests'!AH$7 = "N/A"), "3:Replacement Lead Time - Value is required", ""), ""))))))</f>
        <v/>
      </c>
      <c r="AI8" s="22">
        <f t="array" ref="AI8">_xlfn.MAP('13 - Dressers &amp; Chests'!B8:B507, '13 - Dressers &amp; Chests'!AI8:AI507, '13 - Dressers &amp; Chests'!J8:J507, _xlfn.LAMBDA(_xlpm.part, _xlpm.val, _xlpm.dep1, IF(_xlpm.part = "", "", _xlfn.LET(_xlpm.check1, IF(AND(_xlpm.val = "", _xlpm.dep1 = "NON-PRIMARY VARIANT"), "2:Autofill", ""), IF(LEN(_xlpm.check1) &gt; 0, _xlpm.check1, _xlfn.LET(_xlpm.check2, IF(AND(_xlpm.val &lt;&gt; "", LEN(_xlpm.val) &lt; 5), "1:NMFC must contain at least 5 digits", ""), IF(LEN(_xlpm.check2) &gt; 0, _xlpm.check2, IF(AND(_xlpm.val = "", AI$3="Required"), IF(OR('13 - Dressers &amp; Chests'!AI$7 = "", '13 - Dressers &amp; Chests'!AI$7 = "N/A"), "3:National Motor Freight Class - Value is required", ""), ""))))))))</f>
        <v/>
      </c>
      <c r="AJ8" s="22">
        <f t="array" ref="AJ8">_xlfn.MAP('13 - Dressers &amp; Chests'!B8:B507, '13 - Dressers &amp; Chests'!AJ8:AJ507, '13 - Dressers &amp; Chests'!J8:J507, _xlfn.LAMBDA(_xlpm.part, _xlpm.val, _xlpm.dep1, IF(_xlpm.part = "", "", _xlfn.LET(_xlpm.check1, IF(AND(_xlpm.val = "", _xlpm.dep1 = "NON-PRIMARY VARIANT"), "2:Autofill", ""), IF(LEN(_xlpm.check1) &gt; 0, _xlpm.check1, IF(AND(_xlpm.val = "", AJ$3="Required"), IF(OR('13 - Dressers &amp; Chests'!AJ$7 = "", '13 - Dressers &amp; Chests'!AJ$7 = "N/A"), "3:Flat Pack - Value is required", ""), ""))))))</f>
        <v/>
      </c>
      <c r="AK8" s="22">
        <f t="array" ref="AK8">_xlfn.MAP('13 - Dressers &amp; Chests'!B8:B507, '13 - Dressers &amp; Chests'!AK8:AK507, '13 - Dressers &amp; Chests'!J8:J507, _xlfn.LAMBDA(_xlpm.part, _xlpm.val, _xlpm.dep1, IF(_xlpm.part = "", "", _xlfn.LET(_xlpm.check1, IF(AND(_xlpm.val = "", _xlpm.dep1 = "NON-PRIMARY VARIANT"), "2:Autofill", ""), IF(LEN(_xlpm.check1) &gt; 0, _xlpm.check1, IF(AND(_xlpm.val = "", AK$3="Required"), IF(OR('13 - Dressers &amp; Chests'!AK$7 = "", '13 - Dressers &amp; Chests'!AK$7 = "N/A"), "3:Ship Palletized - Value is required", ""), ""))))))</f>
        <v/>
      </c>
      <c r="AL8" s="22">
        <f t="array" ref="AL8">_xlfn.MAP('13 - Dressers &amp; Chests'!B8:B507, '13 - Dressers &amp; Chests'!AL8:AL507, '13 - Dressers &amp; Chests'!AM8:AM507, '13 - Dressers &amp; Chests'!AN8:AN507, '13 - Dressers &amp; Chests'!AO8:AO507,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AL$3="Required"), IF(OR('13 - Dressers &amp; Chests'!AL$7 = "", '13 - Dressers &amp; Chests'!AL$7 = "N/A"), "3:Carton Weight - Value is required", ""), ""), IF(LEN(_xlpm.check3) &gt; 0, _xlpm.check3, _xlfn.LET(_xlpm.check4, IF(OR(_xlpm.dep1 &lt;&gt; "", _xlpm.dep2 &lt;&gt; "", _xlpm.dep3 &lt;&gt; ""), IF(_xlpm.val = "", IF(OR('13 - Dressers &amp; Chests'!AL$7 = "", '13 - Dressers &amp; Chests'!AL$7 = "N/A"), "3:Shipping weight is required", ""), ""), ""), IF(LEN(_xlpm.check4) &gt; 0, _xlpm.check4, IF(AND(_xlpm.dep3 = "", _xlpm.dep1 = "", _xlpm.dep2 = ""), IF(_xlpm.val = "", IF(OR('13 - Dressers &amp; Chests'!AL$7 = "", '13 - Dressers &amp; Chests'!AL$7 = "N/A"), "3:Shipping weight is required", ""), ""), ""))))))))))))</f>
        <v/>
      </c>
      <c r="AM8" s="22">
        <f t="array" ref="AM8">_xlfn.MAP('13 - Dressers &amp; Chests'!B8:B507, '13 - Dressers &amp; Chests'!AM8:AM507, '13 - Dressers &amp; Chests'!AL8:AL507, '13 - Dressers &amp; Chests'!AN8:AN507, '13 - Dressers &amp; Chests'!AO8:AO507,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AM$3="Required"), IF(OR('13 - Dressers &amp; Chests'!AM$7 = "", '13 - Dressers &amp; Chests'!AM$7 = "N/A"), "3:Carton Height - Value is required", ""), ""), IF(LEN(_xlpm.check3) &gt; 0, _xlpm.check3, _xlfn.LET(_xlpm.check4, IF(OR(_xlpm.dep1 &lt;&gt; "", _xlpm.dep2 &lt;&gt; "", _xlpm.dep3 &lt;&gt; ""), IF(_xlpm.val = "", IF(OR('13 - Dressers &amp; Chests'!AM$7 = "", '13 - Dressers &amp; Chests'!AM$7 = "N/A"), "3:Carton height is required", ""), ""), ""), IF(LEN(_xlpm.check4) &gt; 0, _xlpm.check4, IF(AND(_xlpm.dep1 = "", _xlpm.dep3 = "", _xlpm.dep2 = ""), IF(_xlpm.val = "", IF(OR('13 - Dressers &amp; Chests'!AM$7 = "", '13 - Dressers &amp; Chests'!AM$7 = "N/A"), "3:Carton height is required", ""), ""), ""))))))))))))</f>
        <v/>
      </c>
      <c r="AN8" s="22">
        <f t="array" ref="AN8">_xlfn.MAP('13 - Dressers &amp; Chests'!B8:B507, '13 - Dressers &amp; Chests'!AN8:AN507, '13 - Dressers &amp; Chests'!AL8:AL507, '13 - Dressers &amp; Chests'!AM8:AM507, '13 - Dressers &amp; Chests'!AO8:AO507,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AN$3="Required"), IF(OR('13 - Dressers &amp; Chests'!AN$7 = "", '13 - Dressers &amp; Chests'!AN$7 = "N/A"), "3:Carton Width - Value is required", ""), ""), IF(LEN(_xlpm.check3) &gt; 0, _xlpm.check3, _xlfn.LET(_xlpm.check4, IF(OR(_xlpm.dep1 &lt;&gt; "", _xlpm.dep2 &lt;&gt; "", _xlpm.dep3 &lt;&gt; ""), IF(_xlpm.val = "", IF(OR('13 - Dressers &amp; Chests'!AN$7 = "", '13 - Dressers &amp; Chests'!AN$7 = "N/A"), "3:Carton width is required", ""), ""), ""), IF(LEN(_xlpm.check4) &gt; 0, _xlpm.check4, IF(AND(_xlpm.dep1 = "", _xlpm.dep2 = "", _xlpm.dep3 = ""), IF(_xlpm.val = "", IF(OR('13 - Dressers &amp; Chests'!AN$7 = "", '13 - Dressers &amp; Chests'!AN$7 = "N/A"), "3:Carton width is required", ""), ""), ""))))))))))))</f>
        <v/>
      </c>
      <c r="AO8" s="22">
        <f t="array" ref="AO8">_xlfn.MAP('13 - Dressers &amp; Chests'!B8:B507, '13 - Dressers &amp; Chests'!AO8:AO507, '13 - Dressers &amp; Chests'!AL8:AL507, '13 - Dressers &amp; Chests'!AM8:AM507, '13 - Dressers &amp; Chests'!AN8:AN507,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AO$3="Required"), IF(OR('13 - Dressers &amp; Chests'!AO$7 = "", '13 - Dressers &amp; Chests'!AO$7 = "N/A"), "3:Carton Depth - Value is required", ""), ""), IF(LEN(_xlpm.check3) &gt; 0, _xlpm.check3, _xlfn.LET(_xlpm.check4, IF(OR(_xlpm.dep1 &lt;&gt; "", _xlpm.dep2 &lt;&gt; "", _xlpm.dep3 &lt;&gt; ""), IF(_xlpm.val = "", IF(OR('13 - Dressers &amp; Chests'!AO$7 = "", '13 - Dressers &amp; Chests'!AO$7 = "N/A"), "3:Carton depth is required", ""), ""), ""), IF(LEN(_xlpm.check4) &gt; 0, _xlpm.check4, IF(AND(_xlpm.dep1 = "", _xlpm.dep2 = "", _xlpm.dep3 = ""), IF(_xlpm.val = "", IF(OR('13 - Dressers &amp; Chests'!AO$7 = "", '13 - Dressers &amp; Chests'!AO$7 = "N/A"), "3:Carton depth is required", ""), ""), ""))))))))))))</f>
        <v/>
      </c>
      <c r="AP8" s="22">
        <f t="array" ref="AP8">_xlfn.MAP('13 - Dressers &amp; Chests'!B8:B507, '13 - Dressers &amp; Chests'!AP8:AP507, _xlfn.LAMBDA(_xlpm.part, _xlpm.val, IF(_xlpm.part = "", "", IF(AND(_xlpm.val = "", AP$3="Required"), IF(OR('13 - Dressers &amp; Chests'!AP$7 = "", '13 - Dressers &amp; Chests'!AP$7 = "N/A"), "3:Warning Required - Value is required", ""), ""))))</f>
        <v/>
      </c>
      <c r="AQ8" s="22">
        <f t="array" ref="AQ8">_xlfn.MAP('13 - Dressers &amp; Chests'!B8:B507, '13 - Dressers &amp; Chests'!AQ8:AQ507, '13 - Dressers &amp; Chests'!AR8:AR507, '13 - Dressers &amp; Chests'!AP8:AP507, _xlfn.LAMBDA(_xlpm.part, _xlpm.val, _xlpm.dep1, _xlpm.dep2, IF(_xlpm.part = "", "", _xlfn.LET(_xlpm.check1, IF(AND(_xlpm.val = "", AQ$3="Required"), IF(OR('13 - Dressers &amp; Chests'!AQ$7 = "", '13 - Dressers &amp; Chests'!AQ$7 = "N/A"), "3:Chemical - Value is required", ""), ""), IF(LEN(_xlpm.check1) &gt; 0, _xlpm.check1, _xlfn.LET(_xlpm.check2, IF(_xlpm.dep1 &lt;&gt; "", IF(_xlpm.val = "", IF(OR('13 - Dressers &amp; Chests'!AQ$7 = "", '13 - Dressers &amp; Chests'!AQ$7 = "N/A"), "3:Please provide a chemical", ""), ""), ""), IF(LEN(_xlpm.check2) &gt; 0, _xlpm.check2, IF(_xlpm.dep2 = "Yes", IF(_xlpm.val = "", IF(OR('13 - Dressers &amp; Chests'!AQ$7 = "", '13 - Dressers &amp; Chests'!AQ$7 = "N/A"), "3:If a warning is required, then a chemical must also be provided", ""), ""), ""))))))))</f>
        <v/>
      </c>
      <c r="AR8" s="22">
        <f t="array" ref="AR8">_xlfn.MAP('13 - Dressers &amp; Chests'!B8:B507, '13 - Dressers &amp; Chests'!AR8:AR507, '13 - Dressers &amp; Chests'!AQ8:AQ507, '13 - Dressers &amp; Chests'!AP8:AP507, _xlfn.LAMBDA(_xlpm.part, _xlpm.val, _xlpm.dep1, _xlpm.dep2,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AR$3="Required"), IF(OR('13 - Dressers &amp; Chests'!AR$7 = "", '13 - Dressers &amp; Chests'!AR$7 = "N/A"), "3:Toxicity - Value is required", ""), ""), IF(LEN(_xlpm.check2) &gt; 0, _xlpm.check2, _xlfn.LET(_xlpm.check3, IF(_xlpm.dep1 &lt;&gt; "", IF(_xlpm.val = "", IF(OR('13 - Dressers &amp; Chests'!AR$7 = "", '13 - Dressers &amp; Chests'!AR$7 = "N/A"), "3:Please select a toxicity from the provided dropdown", ""), ""), ""), IF(LEN(_xlpm.check3) &gt; 0, _xlpm.check3, IF(_xlpm.dep2 = "Yes", IF(_xlpm.val = "", IF(OR('13 - Dressers &amp; Chests'!AR$7 = "", '13 - Dressers &amp; Chests'!AR$7 = "N/A"), "3:If a warning is required, then a chemical must also be provided", ""), ""), ""))))))))))</f>
        <v/>
      </c>
      <c r="AS8" s="22">
        <f t="array" ref="AS8">_xlfn.MAP('13 - Dressers &amp; Chests'!B8:B507, '13 - Dressers &amp; Chests'!AS8:AS507, '13 - Dressers &amp; Chests'!J8:J507, _xlfn.LAMBDA(_xlpm.part, _xlpm.val, _xlpm.dep1, IF(_xlpm.part = "", "", _xlfn.LET(_xlpm.check1, IF(AND(_xlpm.val = "", _xlpm.dep1 = "NON-PRIMARY VARIANT"), "2:Autofill", ""), IF(LEN(_xlpm.check1) &gt; 0, _xlpm.check1, IF(AND(_xlpm.val = "", AS$3="Required"), IF(OR('13 - Dressers &amp; Chests'!AS$7 = "", '13 - Dressers &amp; Chests'!AS$7 = "N/A"), "3:Country Of Manufacturer - Value is required", ""), ""))))))</f>
        <v/>
      </c>
      <c r="AT8" s="22">
        <f t="array" ref="AT8">_xlfn.MAP('13 - Dressers &amp; Chests'!B8:B507, '13 - Dressers &amp; Chests'!AT8:AT507, _xlfn.LAMBDA(_xlpm.part, _xlpm.val, IF(_xlpm.part = "", "", IF(AND(_xlpm.val = "", AT$3="Required"), IF(OR('13 - Dressers &amp; Chests'!AT$7 = "", '13 - Dressers &amp; Chests'!AT$7 = "N/A"), "3:Image File Name or URL - Value is required", ""), ""))))</f>
        <v/>
      </c>
      <c r="AU8" s="22">
        <f t="array" ref="AU8">_xlfn.MAP('13 - Dressers &amp; Chests'!B8:B507, '13 - Dressers &amp; Chests'!AU8:AU507, _xlfn.LAMBDA(_xlpm.part, _xlpm.val, IF(_xlpm.part = "", "", IF(AND(_xlpm.val = "", AU$3="Required"), IF(OR('13 - Dressers &amp; Chests'!AU$7 = "", '13 - Dressers &amp; Chests'!AU$7 = "N/A"), "3:Image File Name or URL - Value is required", ""), ""))))</f>
        <v/>
      </c>
      <c r="AV8" s="22">
        <f t="array" ref="AV8">_xlfn.MAP('13 - Dressers &amp; Chests'!B8:B507, '13 - Dressers &amp; Chests'!AV8:AV507, _xlfn.LAMBDA(_xlpm.part, _xlpm.val, IF(_xlpm.part = "", "", IF(AND(_xlpm.val = "", AV$3="Required"), IF(OR('13 - Dressers &amp; Chests'!AV$7 = "", '13 - Dressers &amp; Chests'!AV$7 = "N/A"), "3:Image File Name or URL - Value is required", ""), ""))))</f>
        <v/>
      </c>
      <c r="AW8" s="22">
        <f t="array" ref="AW8">_xlfn.MAP('13 - Dressers &amp; Chests'!B8:B507, '13 - Dressers &amp; Chests'!AW8:AW507, _xlfn.LAMBDA(_xlpm.part, _xlpm.val, IF(_xlpm.part = "", "", IF(AND(_xlpm.val = "", AW$3="Required"), IF(OR('13 - Dressers &amp; Chests'!AW$7 = "", '13 - Dressers &amp; Chests'!AW$7 = "N/A"), "3:Image File Name or URL - Value is required", ""), ""))))</f>
        <v/>
      </c>
      <c r="AX8" s="22">
        <f t="array" ref="AX8">_xlfn.MAP('13 - Dressers &amp; Chests'!B8:B507, '13 - Dressers &amp; Chests'!AX8:AX507, _xlfn.LAMBDA(_xlpm.part, _xlpm.val, IF(_xlpm.part = "", "", IF(AND(_xlpm.val = "", AX$3="Required"), IF(OR('13 - Dressers &amp; Chests'!AX$7 = "", '13 - Dressers &amp; Chests'!AX$7 = "N/A"), "3:Image File Name or URL - Value is required", ""), ""))))</f>
        <v/>
      </c>
      <c r="AY8" s="22">
        <f t="array" ref="AY8">_xlfn.MAP('13 - Dressers &amp; Chests'!B8:B507, '13 - Dressers &amp; Chests'!AY8:AY507, _xlfn.LAMBDA(_xlpm.part, _xlpm.val, IF(_xlpm.part = "", "", IF(AND(_xlpm.val = "", AY$3="Required"), IF(OR('13 - Dressers &amp; Chests'!AY$7 = "", '13 - Dressers &amp; Chests'!AY$7 = "N/A"), "3:Video File Name or URL - Value is required", ""), ""))))</f>
        <v/>
      </c>
      <c r="AZ8" s="22">
        <f t="array" ref="AZ8">_xlfn.MAP('13 - Dressers &amp; Chests'!B8:B507, '13 - Dressers &amp; Chests'!AZ8:AZ507, '13 - Dressers &amp; Chests'!BA8:BA507, '13 - Dressers &amp; Chests'!BB8:BB507, '13 - Dressers &amp; Chests'!BC8:BC507, '13 - Dressers &amp; Chests'!BD8:BD507, _xlfn.LAMBDA(_xlpm.part, _xlpm.val, _xlpm.dep1, _xlpm.dep2, _xlpm.dep3, _xlpm.dep4, IF(_xlpm.part = "", "", _xlfn.LET(_xlpm.check1, IF(AND(_xlpm.val = "", AZ$3="Required"), IF(OR('13 - Dressers &amp; Chests'!AZ$7 = "", '13 - Dressers &amp; Chests'!AZ$7 = "N/A"), "3:Document File Name or URL - Value is required", ""), ""), IF(LEN(_xlpm.check1) &gt; 0, _xlpm.check1, IF(OR(_xlpm.dep1 &lt;&gt; "", _xlpm.dep2 &lt;&gt; "", _xlpm.dep3 &lt;&gt; "", _xlpm.dep4 &lt;&gt; ""), IF(_xlpm.val = "", IF(OR('13 - Dressers &amp; Chests'!AZ$7 = "", '13 - Dressers &amp; Chests'!AZ$7 = "N/A"), "3:Document value is required", ""), ""), ""))))))</f>
        <v/>
      </c>
      <c r="BA8" s="22">
        <f t="array" ref="BA8">_xlfn.MAP('13 - Dressers &amp; Chests'!B8:B507, '13 - Dressers &amp; Chests'!BA8:BA507,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BA$3="Required"), IF(OR('13 - Dressers &amp; Chests'!BA$7 = "", '13 - Dressers &amp; Chests'!BA$7 = "N/A"), "3:Document Type - Value is required", ""), ""))))))</f>
        <v/>
      </c>
      <c r="BB8" s="22">
        <f t="array" ref="BB8">_xlfn.MAP('13 - Dressers &amp; Chests'!B8:B507, '13 - Dressers &amp; Chests'!BB8:BB507,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BB$3="Required"), IF(OR('13 - Dressers &amp; Chests'!BB$7 = "", '13 - Dressers &amp; Chests'!BB$7 = "N/A"), "3:Legal Document Type - Value is required", ""), ""))))))</f>
        <v/>
      </c>
      <c r="BC8" s="22">
        <f t="array" ref="BC8">_xlfn.MAP('13 - Dressers &amp; Chests'!B8:B507, '13 - Dressers &amp; Chests'!BC8:BC507, _xlfn.LAMBDA(_xlpm.part, _xlpm.val, IF(_xlpm.part = "", "", IF(AND(_xlpm.val = "", BC$3="Required"), IF(OR('13 - Dressers &amp; Chests'!BC$7 = "", '13 - Dressers &amp; Chests'!BC$7 = "N/A"), "3:Document Region - Value is required", ""), ""))))</f>
        <v/>
      </c>
      <c r="BD8" s="22">
        <f t="array" ref="BD8">_xlfn.MAP('13 - Dressers &amp; Chests'!B8:B507, '13 - Dressers &amp; Chests'!BD8:BD507, _xlfn.LAMBDA(_xlpm.part, _xlpm.val, IF(_xlpm.part = "", "", IF(AND(_xlpm.val = "", BD$3="Required"), IF(OR('13 - Dressers &amp; Chests'!BD$7 = "", '13 - Dressers &amp; Chests'!BD$7 = "N/A"), "3:Document Language - Value is required", ""), ""))))</f>
        <v/>
      </c>
      <c r="BE8" s="22">
        <f t="array" ref="BE8">_xlfn.MAP('13 - Dressers &amp; Chests'!B8:B507, '13 - Dressers &amp; Chests'!BE8:BE507, '13 - Dressers &amp; Chests'!BF8:BF507, '13 - Dressers &amp; Chests'!BG8:BG507, '13 - Dressers &amp; Chests'!BH8:BH507, '13 - Dressers &amp; Chests'!BI8:BI507, _xlfn.LAMBDA(_xlpm.part, _xlpm.val, _xlpm.dep1, _xlpm.dep2, _xlpm.dep3, _xlpm.dep4, IF(_xlpm.part = "", "", _xlfn.LET(_xlpm.check1, IF(AND(_xlpm.val = "", BE$3="Required"), IF(OR('13 - Dressers &amp; Chests'!BE$7 = "", '13 - Dressers &amp; Chests'!BE$7 = "N/A"), "3:Document File Name or URL - Value is required", ""), ""), IF(LEN(_xlpm.check1) &gt; 0, _xlpm.check1, IF(OR(_xlpm.dep1 &lt;&gt; "", _xlpm.dep2 &lt;&gt; "", _xlpm.dep3 &lt;&gt; "", _xlpm.dep4 &lt;&gt; ""), IF(_xlpm.val = "", IF(OR('13 - Dressers &amp; Chests'!BE$7 = "", '13 - Dressers &amp; Chests'!BE$7 = "N/A"), "3:Document value is required", ""), ""), ""))))))</f>
        <v/>
      </c>
      <c r="BF8" s="22">
        <f t="array" ref="BF8">_xlfn.MAP('13 - Dressers &amp; Chests'!B8:B507, '13 - Dressers &amp; Chests'!BF8:BF507,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BF$3="Required"), IF(OR('13 - Dressers &amp; Chests'!BF$7 = "", '13 - Dressers &amp; Chests'!BF$7 = "N/A"), "3:Document Type - Value is required", ""), ""))))))</f>
        <v/>
      </c>
      <c r="BG8" s="22">
        <f t="array" ref="BG8">_xlfn.MAP('13 - Dressers &amp; Chests'!B8:B507, '13 - Dressers &amp; Chests'!BG8:BG507,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BG$3="Required"), IF(OR('13 - Dressers &amp; Chests'!BG$7 = "", '13 - Dressers &amp; Chests'!BG$7 = "N/A"), "3:Legal Document Type - Value is required", ""), ""))))))</f>
        <v/>
      </c>
      <c r="BH8" s="22">
        <f t="array" ref="BH8">_xlfn.MAP('13 - Dressers &amp; Chests'!B8:B507, '13 - Dressers &amp; Chests'!BH8:BH507, _xlfn.LAMBDA(_xlpm.part, _xlpm.val, IF(_xlpm.part = "", "", IF(AND(_xlpm.val = "", BH$3="Required"), IF(OR('13 - Dressers &amp; Chests'!BH$7 = "", '13 - Dressers &amp; Chests'!BH$7 = "N/A"), "3:Document Region - Value is required", ""), ""))))</f>
        <v/>
      </c>
      <c r="BI8" s="22">
        <f t="array" ref="BI8">_xlfn.MAP('13 - Dressers &amp; Chests'!B8:B507, '13 - Dressers &amp; Chests'!BI8:BI507, _xlfn.LAMBDA(_xlpm.part, _xlpm.val, IF(_xlpm.part = "", "", IF(AND(_xlpm.val = "", BI$3="Required"), IF(OR('13 - Dressers &amp; Chests'!BI$7 = "", '13 - Dressers &amp; Chests'!BI$7 = "N/A"), "3:Document Language - Value is required", ""), ""))))</f>
        <v/>
      </c>
      <c r="BJ8" s="22">
        <f t="array" ref="BJ8">_xlfn.MAP('13 - Dressers &amp; Chests'!B8:B507, '13 - Dressers &amp; Chests'!BJ8:BJ507, '13 - Dressers &amp; Chests'!BK8:BK507, '13 - Dressers &amp; Chests'!BL8:BL507, '13 - Dressers &amp; Chests'!BM8:BM507, '13 - Dressers &amp; Chests'!BN8:BN507, _xlfn.LAMBDA(_xlpm.part, _xlpm.val, _xlpm.dep1, _xlpm.dep2, _xlpm.dep3, _xlpm.dep4, IF(_xlpm.part = "", "", _xlfn.LET(_xlpm.check1, IF(AND(_xlpm.val = "", BJ$3="Required"), IF(OR('13 - Dressers &amp; Chests'!BJ$7 = "", '13 - Dressers &amp; Chests'!BJ$7 = "N/A"), "3:Document File Name or URL - Value is required", ""), ""), IF(LEN(_xlpm.check1) &gt; 0, _xlpm.check1, IF(OR(_xlpm.dep1 &lt;&gt; "", _xlpm.dep2 &lt;&gt; "", _xlpm.dep3 &lt;&gt; "", _xlpm.dep4 &lt;&gt; ""), IF(_xlpm.val = "", IF(OR('13 - Dressers &amp; Chests'!BJ$7 = "", '13 - Dressers &amp; Chests'!BJ$7 = "N/A"), "3:Document value is required", ""), ""), ""))))))</f>
        <v/>
      </c>
      <c r="BK8" s="22">
        <f t="array" ref="BK8">_xlfn.MAP('13 - Dressers &amp; Chests'!B8:B507, '13 - Dressers &amp; Chests'!BK8:BK507,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BK$3="Required"), IF(OR('13 - Dressers &amp; Chests'!BK$7 = "", '13 - Dressers &amp; Chests'!BK$7 = "N/A"), "3:Document Type - Value is required", ""), ""))))))</f>
        <v/>
      </c>
      <c r="BL8" s="22">
        <f t="array" ref="BL8">_xlfn.MAP('13 - Dressers &amp; Chests'!B8:B507, '13 - Dressers &amp; Chests'!BL8:BL507,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BL$3="Required"), IF(OR('13 - Dressers &amp; Chests'!BL$7 = "", '13 - Dressers &amp; Chests'!BL$7 = "N/A"), "3:Legal Document Type - Value is required", ""), ""))))))</f>
        <v/>
      </c>
      <c r="BM8" s="22">
        <f t="array" ref="BM8">_xlfn.MAP('13 - Dressers &amp; Chests'!B8:B507, '13 - Dressers &amp; Chests'!BM8:BM507, _xlfn.LAMBDA(_xlpm.part, _xlpm.val, IF(_xlpm.part = "", "", IF(AND(_xlpm.val = "", BM$3="Required"), IF(OR('13 - Dressers &amp; Chests'!BM$7 = "", '13 - Dressers &amp; Chests'!BM$7 = "N/A"), "3:Document Region - Value is required", ""), ""))))</f>
        <v/>
      </c>
      <c r="BN8" s="22">
        <f t="array" ref="BN8">_xlfn.MAP('13 - Dressers &amp; Chests'!B8:B507, '13 - Dressers &amp; Chests'!BN8:BN507, _xlfn.LAMBDA(_xlpm.part, _xlpm.val, IF(_xlpm.part = "", "", IF(AND(_xlpm.val = "", BN$3="Required"), IF(OR('13 - Dressers &amp; Chests'!BN$7 = "", '13 - Dressers &amp; Chests'!BN$7 = "N/A"), "3:Document Language - Value is required", ""), ""))))</f>
        <v/>
      </c>
      <c r="BO8" s="22">
        <f t="array" ref="BO8">_xlfn.MAP('13 - Dressers &amp; Chests'!B8:B507, '13 - Dressers &amp; Chests'!BO8:BO507, _xlfn.LAMBDA(_xlpm.part, _xlpm.val, IF(_xlpm.part = "", "", IF(AND(_xlpm.val = "", BO$3="Required"), IF(OR('13 - Dressers &amp; Chests'!BO$7 = "", '13 - Dressers &amp; Chests'!BO$7 = "N/A"), "3:Product Type - Value is required", ""), ""))))</f>
        <v/>
      </c>
      <c r="BP8" s="22">
        <f t="array" ref="BP8">_xlfn.MAP('13 - Dressers &amp; Chests'!B8:B507, '13 - Dressers &amp; Chests'!BP8:BP507, _xlfn.LAMBDA(_xlpm.part, _xlpm.val, IF(_xlpm.part = "", "", IF(AND(_xlpm.val = "", BP$3="Required"), IF(OR('13 - Dressers &amp; Chests'!BP$7 = "", '13 - Dressers &amp; Chests'!BP$7 = "N/A"), "3:Material - Value is required", ""), ""))))</f>
        <v/>
      </c>
      <c r="BQ8" s="22">
        <f t="array" ref="BQ8">_xlfn.MAP('13 - Dressers &amp; Chests'!B8:B507, '13 - Dressers &amp; Chests'!BQ8:BQ507, _xlfn.LAMBDA(_xlpm.part, _xlpm.val, IF(_xlpm.part = "", "", IF(AND(_xlpm.val = "", BQ$3="Required"), IF(OR('13 - Dressers &amp; Chests'!BQ$7 = "", '13 - Dressers &amp; Chests'!BQ$7 = "N/A"), "3:Gloss Finish - Value is required", ""), ""))))</f>
        <v/>
      </c>
      <c r="BR8" s="22">
        <f t="array" ref="BR8">_xlfn.MAP('13 - Dressers &amp; Chests'!B8:B507, '13 - Dressers &amp; Chests'!BR8:BR507, '13 - Dressers &amp; Chests'!BO8:BO507, _xlfn.LAMBDA(_xlpm.part, _xlpm.val, _xlpm.dep1, IF(_xlpm.part = "", "", _xlfn.LET(_xlpm.check1, IF(AND(_xlpm.val = "", ISNUMBER(SEARCH("Double Dresser", _xlpm.dep1))), "2:Autofill", ""), IF(LEN(_xlpm.check1) &gt; 0, _xlpm.check1, IF(AND(_xlpm.val = "", BR$3="Required"), IF(OR('13 - Dressers &amp; Chests'!BR$7 = "", '13 - Dressers &amp; Chests'!BR$7 = "N/A"), "3:Cabinets Included - Value is required", ""), ""))))))</f>
        <v/>
      </c>
      <c r="BS8" s="22">
        <f t="array" ref="BS8">_xlfn.MAP('13 - Dressers &amp; Chests'!B8:B507, '13 - Dressers &amp; Chests'!BS8:BS507, _xlfn.LAMBDA(_xlpm.part, _xlpm.val, IF(_xlpm.part = "", "", IF(AND(_xlpm.val = "", BS$3="Required"), IF(OR('13 - Dressers &amp; Chests'!BS$7 = "", '13 - Dressers &amp; Chests'!BS$7 = "N/A"), "3:Number of Drawers - Value is required", ""), ""))))</f>
        <v/>
      </c>
      <c r="BT8" s="22">
        <f t="array" ref="BT8">_xlfn.MAP('13 - Dressers &amp; Chests'!B8:B507, '13 - Dressers &amp; Chests'!BT8:BT507, _xlfn.LAMBDA(_xlpm.part, _xlpm.val, IF(_xlpm.part = "", "", IF(AND(_xlpm.val = "", BT$3="Required"), IF(OR('13 - Dressers &amp; Chests'!BT$7 = "", '13 - Dressers &amp; Chests'!BT$7 = "N/A"), "3:Drawer Glide Type &amp; Extension - Value is required", ""), ""))))</f>
        <v/>
      </c>
      <c r="BU8" s="22">
        <f t="array" ref="BU8">_xlfn.MAP('13 - Dressers &amp; Chests'!B8:B507, '13 - Dressers &amp; Chests'!BU8:BU507, _xlfn.LAMBDA(_xlpm.part, _xlpm.val, IF(_xlpm.part = "", "", IF(AND(_xlpm.val = "", BU$3="Required"), IF(OR('13 - Dressers &amp; Chests'!BU$7 = "", '13 - Dressers &amp; Chests'!BU$7 = "N/A"), "3:Interlocking Drawers - Value is required", ""), ""))))</f>
        <v/>
      </c>
      <c r="BV8" s="22">
        <f t="array" ref="BV8">_xlfn.MAP('13 - Dressers &amp; Chests'!B8:B507, '13 - Dressers &amp; Chests'!BV8:BV507, _xlfn.LAMBDA(_xlpm.part, _xlpm.val, IF(_xlpm.part = "", "", IF(AND(_xlpm.val = "", BV$3="Required"), IF(OR('13 - Dressers &amp; Chests'!BV$7 = "", '13 - Dressers &amp; Chests'!BV$7 = "N/A"), "3:Finished Back - Value is required", ""), ""))))</f>
        <v/>
      </c>
      <c r="BW8" s="22">
        <f t="array" ref="BW8">_xlfn.MAP('13 - Dressers &amp; Chests'!B8:B507, '13 - Dressers &amp; Chests'!BW8:BW507, _xlfn.LAMBDA(_xlpm.part, _xlpm.val, IF(_xlpm.part = "", "", IF(AND(_xlpm.val = "", BW$3="Required"), IF(OR('13 - Dressers &amp; Chests'!BW$7 = "", '13 - Dressers &amp; Chests'!BW$7 = "N/A"), "3:Tipover Restraint Device Included - Value is required", ""), ""))))</f>
        <v/>
      </c>
      <c r="BX8" s="22">
        <f t="array" ref="BX8">_xlfn.MAP('13 - Dressers &amp; Chests'!B8:B507, '13 - Dressers &amp; Chests'!BX8:BX507, _xlfn.LAMBDA(_xlpm.part, _xlpm.val, IF(_xlpm.part = "", "", IF(AND(_xlpm.val = "", BX$3="Required"), IF(OR('13 - Dressers &amp; Chests'!BX$7 = "", '13 - Dressers &amp; Chests'!BX$7 = "N/A"), "3:Lighting Included - Value is required", ""), ""))))</f>
        <v/>
      </c>
      <c r="BY8" s="22">
        <f t="array" ref="BY8">_xlfn.MAP('13 - Dressers &amp; Chests'!B8:B507, '13 - Dressers &amp; Chests'!BY8:BY507, _xlfn.LAMBDA(_xlpm.part, _xlpm.val, IF(_xlpm.part = "", "", IF(AND(_xlpm.val = "", BY$3="Required"), IF(OR('13 - Dressers &amp; Chests'!BY$7 = "", '13 - Dressers &amp; Chests'!BY$7 = "N/A"), "3:Plug-In - Value is required", ""), ""))))</f>
        <v/>
      </c>
      <c r="BZ8" s="22">
        <f t="array" ref="BZ8">_xlfn.MAP('13 - Dressers &amp; Chests'!B8:B507, '13 - Dressers &amp; Chests'!BZ8:BZ507, _xlfn.LAMBDA(_xlpm.part, _xlpm.val, IF(_xlpm.part = "", "", IF(AND(_xlpm.val = "", BZ$3="Required"), IF(OR('13 - Dressers &amp; Chests'!BZ$7 = "", '13 - Dressers &amp; Chests'!BZ$7 = "N/A"), "3:Purposeful Distressing Type - Value is required", ""), ""))))</f>
        <v/>
      </c>
      <c r="CA8" s="22">
        <f t="array" ref="CA8">_xlfn.MAP('13 - Dressers &amp; Chests'!B8:B507, '13 - Dressers &amp; Chests'!CA8:CA507, _xlfn.LAMBDA(_xlpm.part, _xlpm.val, IF(_xlpm.part = "", "", IF(AND(_xlpm.val = "", CA$3="Required"), IF(OR('13 - Dressers &amp; Chests'!CA$7 = "", '13 - Dressers &amp; Chests'!CA$7 = "N/A"), "3:Natural Variation Type - Value is required", ""), ""))))</f>
        <v/>
      </c>
      <c r="CB8" s="22">
        <f t="array" ref="CB8">_xlfn.MAP('13 - Dressers &amp; Chests'!B8:B507, '13 - Dressers &amp; Chests'!CB8:CB507, _xlfn.LAMBDA(_xlpm.part, _xlpm.val, IF(_xlpm.part = "", "", _xlfn.LET(_xlpm.check1, IF(NOT(ISBLANK(_xlpm.val)),_xlfn.LET(_xlpm.items, _xlfn.TEXTSPLIT(_xlpm.val, ";"),_xlpm.trimmed, _xlfn.MAP(_xlpm.items, _xlfn.LAMBDA(_xlpm.x, TRIM(_xlpm.x))),_xlpm.invalid, _xlfn._xlws.FILTER(_xlpm.trimmed, ISNA(MATCH(_xlpm.trimmed, allowed223515, 0)), ""),IF(AND(_xlpm.invalid&lt;&gt;"", COUNTA(_xlpm.invalid)&gt;0),"1:Please select valid values from the provided list. Answers are case-sensitive and must be separated by a semicolon.","")), ""), IF(LEN(_xlpm.check1) &gt; 0, _xlpm.check1, IF(AND(_xlpm.val = "", CB$3="Required"), IF(OR('13 - Dressers &amp; Chests'!CB$7 = "", '13 - Dressers &amp; Chests'!CB$7 = "N/A"), "3:Supplier Intended and Approved Use - Value is required", ""), ""))))))</f>
        <v/>
      </c>
      <c r="CC8" s="22">
        <f t="array" ref="CC8">_xlfn.MAP('13 - Dressers &amp; Chests'!B8:B507, '13 - Dressers &amp; Chests'!CC8:CC507, _xlfn.LAMBDA(_xlpm.part, _xlpm.val, IF(_xlpm.part = "", "", IF(AND(_xlpm.val = "", CC$3="Required"), IF(OR('13 - Dressers &amp; Chests'!CC$7 = "", '13 - Dressers &amp; Chests'!CC$7 = "N/A"), "3:Handle Material - Value is required", ""), ""))))</f>
        <v/>
      </c>
      <c r="CD8" s="22">
        <f t="array" ref="CD8">_xlfn.MAP('13 - Dressers &amp; Chests'!B8:B507, '13 - Dressers &amp; Chests'!CD8:CD507, _xlfn.LAMBDA(_xlpm.part, _xlpm.val, IF(_xlpm.part = "", "", IF(AND(_xlpm.val = "", CD$3="Required"), IF(OR('13 - Dressers &amp; Chests'!CD$7 = "", '13 - Dressers &amp; Chests'!CD$7 = "N/A"), "3:Removable Handle - Value is required", ""), ""))))</f>
        <v/>
      </c>
      <c r="CE8" s="22">
        <f t="array" ref="CE8">_xlfn.MAP('13 - Dressers &amp; Chests'!B8:B507, '13 - Dressers &amp; Chests'!CE8:CE507, _xlfn.LAMBDA(_xlpm.part, _xlpm.val, IF(_xlpm.part = "", "", IF(AND(_xlpm.val = "", CE$3="Required"), IF(OR('13 - Dressers &amp; Chests'!CE$7 = "", '13 - Dressers &amp; Chests'!CE$7 = "N/A"), "3:Country of Origin - Additional Details - Value is required", ""), ""))))</f>
        <v/>
      </c>
      <c r="CF8" s="22">
        <f t="array" ref="CF8">_xlfn.MAP('13 - Dressers &amp; Chests'!B8:B507, '13 - Dressers &amp; Chests'!CF8:CF507, _xlfn.LAMBDA(_xlpm.part, _xlpm.val, IF(_xlpm.part = "", "", IF(AND(_xlpm.val = "", CF$3="Required"), IF(OR('13 - Dressers &amp; Chests'!CF$7 = "", '13 - Dressers &amp; Chests'!CF$7 = "N/A"), "3:Main Wood Joinery Method - Value is required", ""), ""))))</f>
        <v/>
      </c>
      <c r="CG8" s="22">
        <f t="array" ref="CG8">_xlfn.MAP('13 - Dressers &amp; Chests'!B8:B507, '13 - Dressers &amp; Chests'!CG8:CG507, _xlfn.LAMBDA(_xlpm.part, _xlpm.val, IF(_xlpm.part = "", "", IF(AND(_xlpm.val = "", CG$3="Required"), IF(OR('13 - Dressers &amp; Chests'!CG$7 = "", '13 - Dressers &amp; Chests'!CG$7 = "N/A"), "3:Kiln-Dried Wood - Value is required", ""), ""))))</f>
        <v/>
      </c>
      <c r="CH8" s="22">
        <f t="array" ref="CH8">_xlfn.MAP('13 - Dressers &amp; Chests'!B8:B507, '13 - Dressers &amp; Chests'!CH8:CH507, _xlfn.LAMBDA(_xlpm.part, _xlpm.val, IF(_xlpm.part = "", "", _xlfn.LET(_xlpm.check1, IF(NOT(ISBLANK(_xlpm.val)),_xlfn.LET(_xlpm.items, _xlfn.TEXTSPLIT(_xlpm.val, ";"),_xlpm.trimmed, _xlfn.MAP(_xlpm.items, _xlfn.LAMBDA(_xlpm.x, TRIM(_xlpm.x))),_xlpm.invalid, _xlfn._xlws.FILTER(_xlpm.trimmed, ISNA(MATCH(_xlpm.trimmed, allowed185257, 0)), ""),IF(AND(_xlpm.invalid&lt;&gt;"", COUNTA(_xlpm.invalid)&gt;0),"1:Please select valid values from the provided list. Answers are case-sensitive and must be separated by a semicolon.","")), ""), IF(LEN(_xlpm.check1) &gt; 0, _xlpm.check1, IF(AND(_xlpm.val = "", CH$3="Required"), IF(OR('13 - Dressers &amp; Chests'!CH$7 = "", '13 - Dressers &amp; Chests'!CH$7 = "N/A"), "3:Wood Species - Value is required", ""), ""))))))</f>
        <v/>
      </c>
      <c r="CI8" s="22">
        <f t="array" ref="CI8">_xlfn.MAP('13 - Dressers &amp; Chests'!B8:B507, '13 - Dressers &amp; Chests'!CI8:CI507, _xlfn.LAMBDA(_xlpm.part, _xlpm.val, IF(_xlpm.part = "", "", IF(AND(_xlpm.val = "", CI$3="Required"), IF(OR('13 - Dressers &amp; Chests'!CI$7 = "", '13 - Dressers &amp; Chests'!CI$7 = "N/A"), "3:Product Care - Value is required", ""), ""))))</f>
        <v/>
      </c>
      <c r="CJ8" s="22">
        <f t="array" ref="CJ8">_xlfn.MAP('13 - Dressers &amp; Chests'!B8:B507, '13 - Dressers &amp; Chests'!CJ8:CJ507, _xlfn.LAMBDA(_xlpm.part, _xlpm.val, IF(_xlpm.part = "", "", IF(AND(_xlpm.val = "", CJ$3="Required"), IF(OR('13 - Dressers &amp; Chests'!CJ$7 = "", '13 - Dressers &amp; Chests'!CJ$7 = "N/A"), "3:Removable Drawers - Value is required", ""), ""))))</f>
        <v/>
      </c>
      <c r="CK8" s="22">
        <f t="array" ref="CK8">_xlfn.MAP('13 - Dressers &amp; Chests'!B8:B507, '13 - Dressers &amp; Chests'!CK8:CK507, _xlfn.LAMBDA(_xlpm.part, _xlpm.val, IF(_xlpm.part = "", "", IF(AND(_xlpm.val = "", CK$3="Required"), IF(OR('13 - Dressers &amp; Chests'!CK$7 = "", '13 - Dressers &amp; Chests'!CK$7 = "N/A"), "3:Unfinished - Value is required", ""), ""))))</f>
        <v/>
      </c>
      <c r="CL8" s="22">
        <f t="array" ref="CL8">_xlfn.MAP('13 - Dressers &amp; Chests'!B8:B507, '13 - Dressers &amp; Chests'!CL8:CL507, _xlfn.LAMBDA(_xlpm.part, _xlpm.val, IF(_xlpm.part = "", "", IF(AND(_xlpm.val = "", CL$3="Required"), IF(OR('13 - Dressers &amp; Chests'!CL$7 = "", '13 - Dressers &amp; Chests'!CL$7 = "N/A"), "3:Lined Interior - Value is required", ""), ""))))</f>
        <v/>
      </c>
      <c r="CM8" s="22">
        <f t="array" ref="CM8">_xlfn.MAP('13 - Dressers &amp; Chests'!B8:B507, '13 - Dressers &amp; Chests'!CM8:CM507, _xlfn.LAMBDA(_xlpm.part, _xlpm.val, IF(_xlpm.part = "", "", IF(AND(_xlpm.val = "", CM$3="Required"), IF(OR('13 - Dressers &amp; Chests'!CM$7 = "", '13 - Dressers &amp; Chests'!CM$7 = "N/A"), "3:Color - Value is required", ""), ""))))</f>
        <v/>
      </c>
      <c r="CN8" s="22">
        <f t="array" ref="CN8">_xlfn.MAP('13 - Dressers &amp; Chests'!B8:B507, '13 - Dressers &amp; Chests'!CN8:CN507, _xlfn.LAMBDA(_xlpm.part, _xlpm.val, IF(_xlpm.part = "", "", IF(AND(_xlpm.val = "", CN$3="Required"), IF(OR('13 - Dressers &amp; Chests'!CN$7 = "", '13 - Dressers &amp; Chests'!CN$7 = "N/A"), "3:Manufactured Wood Type - Value is required", ""), ""))))</f>
        <v/>
      </c>
      <c r="CO8" s="22">
        <f t="array" ref="CO8">_xlfn.MAP('13 - Dressers &amp; Chests'!B8:B507, '13 - Dressers &amp; Chests'!CO8:CO507, _xlfn.LAMBDA(_xlpm.part, _xlpm.val, IF(_xlpm.part = "", "", IF(AND(_xlpm.val = "", CO$3="Required"), IF(OR('13 - Dressers &amp; Chests'!CO$7 = "", '13 - Dressers &amp; Chests'!CO$7 = "N/A"), "3:Scalloped Edges - Value is required", ""), ""))))</f>
        <v/>
      </c>
      <c r="CP8" s="22">
        <f t="array" ref="CP8">_xlfn.MAP('13 - Dressers &amp; Chests'!B8:B507, '13 - Dressers &amp; Chests'!CP8:CP507, _xlfn.LAMBDA(_xlpm.part, _xlpm.val, IF(_xlpm.part = "", "", IF(AND(_xlpm.val = "", CP$3="Required"), IF(OR('13 - Dressers &amp; Chests'!CP$7 = "", '13 - Dressers &amp; Chests'!CP$7 = "N/A"), "3:Fluted Detailing - Value is required", ""), ""))))</f>
        <v/>
      </c>
      <c r="CQ8" s="22">
        <f t="array" ref="CQ8">_xlfn.MAP('13 - Dressers &amp; Chests'!B8:B507, '13 - Dressers &amp; Chests'!CQ8:CQ507, _xlfn.LAMBDA(_xlpm.part, _xlpm.val, IF(_xlpm.part = "", "", IF(AND(_xlpm.val = "", CQ$3="Required"), IF(OR('13 - Dressers &amp; Chests'!CQ$7 = "", '13 - Dressers &amp; Chests'!CQ$7 = "N/A"), "3:Ribbed Detailing - Value is required", ""), ""))))</f>
        <v/>
      </c>
      <c r="CR8" s="22">
        <f t="array" ref="CR8">_xlfn.MAP('13 - Dressers &amp; Chests'!B8:B507, '13 - Dressers &amp; Chests'!CR8:CR507, _xlfn.LAMBDA(_xlpm.part, _xlpm.val, IF(_xlpm.part = "", "", _xlfn.LET(_xlpm.check1, IF(NOT(ISBLANK(_xlpm.val)),_xlfn.LET(_xlpm.items, _xlfn.TEXTSPLIT(_xlpm.val, ";"),_xlpm.trimmed, _xlfn.MAP(_xlpm.items, _xlfn.LAMBDA(_xlpm.x, TRIM(_xlpm.x))),_xlpm.invalid, _xlfn._xlws.FILTER(_xlpm.trimmed, ISNA(MATCH(_xlpm.trimmed, allowed420142, 0)), ""),IF(AND(_xlpm.invalid&lt;&gt;"", COUNTA(_xlpm.invalid)&gt;0),"1:Please select valid values from the provided list. Answers are case-sensitive and must be separated by a semicolon.","")), ""), IF(LEN(_xlpm.check1) &gt; 0, _xlpm.check1, IF(AND(_xlpm.val = "", CR$3="Required"), IF(OR('13 - Dressers &amp; Chests'!CR$7 = "", '13 - Dressers &amp; Chests'!CR$7 = "N/A"), "3:Pieces Included - Value is required", ""), ""))))))</f>
        <v/>
      </c>
      <c r="CS8" s="22">
        <f t="array" ref="CS8">_xlfn.MAP('13 - Dressers &amp; Chests'!B8:B507, '13 - Dressers &amp; Chests'!CS8:CS507, _xlfn.LAMBDA(_xlpm.part, _xlpm.val, IF(_xlpm.part = "", "", IF(AND(_xlpm.val = "", CS$3="Required"), IF(OR('13 - Dressers &amp; Chests'!CS$7 = "", '13 - Dressers &amp; Chests'!CS$7 = "N/A"), "3:Drawer Safety Stop - Value is required", ""), ""))))</f>
        <v/>
      </c>
      <c r="CT8" s="22">
        <f t="array" ref="CT8">_xlfn.MAP('13 - Dressers &amp; Chests'!B8:B507, '13 - Dressers &amp; Chests'!CT8:CT507, _xlfn.LAMBDA(_xlpm.part, _xlpm.val, IF(_xlpm.part = "", "", IF(AND(_xlpm.val = "", CT$3="Required"), IF(OR('13 - Dressers &amp; Chests'!CT$7 = "", '13 - Dressers &amp; Chests'!CT$7 = "N/A"), "3:Additional Intended Use For Child - Value is required", ""), ""))))</f>
        <v/>
      </c>
      <c r="CU8" s="22">
        <f t="array" ref="CU8">_xlfn.MAP('13 - Dressers &amp; Chests'!B8:B507, '13 - Dressers &amp; Chests'!CU8:CU507, '13 - Dressers &amp; Chests'!CT8:CT507, _xlfn.LAMBDA(_xlpm.part, _xlpm.val, _xlpm.dep1, IF(_xlpm.part = "", "", _xlfn.LET(_xlpm.check1, IF(AND(_xlpm.val = "", _xlpm.dep1 = "No"), "2:Autofill", ""), IF(LEN(_xlpm.check1) &gt; 0, _xlpm.check1, _xlfn.LET(_xlpm.check2, IF(_xlpm.dep1 = "Yes", IF(_xlpm.val = "Does Not Apply", "1:Based on Additional Intended Use For Child, value should not be Does Not Apply", ""), ""), IF(LEN(_xlpm.check2) &gt; 0, _xlpm.check2, IF(AND(_xlpm.val = "", CU$3="Required"), IF(OR('13 - Dressers &amp; Chests'!CU$7 = "", '13 - Dressers &amp; Chests'!CU$7 = "N/A"), "3:Consumer Product Safety Improvement Act (CPSIA) Compliant - Value is required", ""), ""))))))))</f>
        <v/>
      </c>
      <c r="CV8" s="22">
        <f t="array" ref="CV8">_xlfn.MAP('13 - Dressers &amp; Chests'!B8:B507, '13 - Dressers &amp; Chests'!CV8:CV507, '13 - Dressers &amp; Chests'!CU8:CU507, _xlfn.LAMBDA(_xlpm.part, _xlpm.val, _xlpm.dep1, IF(_xlpm.part = "", "", _xlfn.LET(_xlpm.check1, IF(AND(_xlpm.val = "", _xlpm.dep1 = "Yes"), "2:Autofill", ""), IF(LEN(_xlpm.check1) &gt; 0, _xlpm.check1, _xlfn.LET(_xlpm.check2, IF(_xlpm.dep1 = "Yes", IF(_xlpm.val &lt;&gt; "Yes", "1:Based on Consumer Product Safety Improvement Act (CPSIA) Compliant, value should be Yes", ""), ""), IF(LEN(_xlpm.check2) &gt; 0, _xlpm.check2, IF(AND(_xlpm.val = "", CV$3="Required"), IF(OR('13 - Dressers &amp; Chests'!CV$7 = "", '13 - Dressers &amp; Chests'!CV$7 = "N/A"), "3:CPSC - 16 CFR 1303 Compliant - Value is required", ""), ""))))))))</f>
        <v/>
      </c>
      <c r="CW8" s="22">
        <f t="array" ref="CW8">_xlfn.MAP('13 - Dressers &amp; Chests'!B8:B507, '13 - Dressers &amp; Chests'!CW8:CW507, '13 - Dressers &amp; Chests'!CT8:CT507, _xlfn.LAMBDA(_xlpm.part, _xlpm.val, _xlpm.dep1, IF(_xlpm.part = "", "", _xlfn.LET(_xlpm.check1, IF(AND(_xlpm.val = "", _xlpm.dep1 = "No"), "2:Autofill", ""), IF(LEN(_xlpm.check1) &gt; 0, _xlpm.check1, _xlfn.LET(_xlpm.check2, IF(_xlpm.dep1 = "Yes", IF(_xlpm.val = "Does Not Apply", "1:Based on Additional Intended Use For Child, value should not be Does Not Apply", ""), ""), IF(LEN(_xlpm.check2) &gt; 0, _xlpm.check2, IF(AND(_xlpm.val = "", CW$3="Required"), IF(OR('13 - Dressers &amp; Chests'!CW$7 = "", '13 - Dressers &amp; Chests'!CW$7 = "N/A"), "3:Children’s Product Certificate (CPC) - Value is required", ""), ""))))))))</f>
        <v/>
      </c>
      <c r="CX8" s="22">
        <f t="array" ref="CX8">_xlfn.MAP('13 - Dressers &amp; Chests'!B8:B507, '13 - Dressers &amp; Chests'!CX8:CX507, '13 - Dressers &amp; Chests'!CW8:CW507, _xlfn.LAMBDA(_xlpm.part, _xlpm.val, _xlpm.dep1, IF(_xlpm.part = "", "", _xlfn.LET(_xlpm.check1, IF(AND(_xlpm.val = "", _xlpm.dep1 = "Yes"), "2:Autofill", ""), IF(LEN(_xlpm.check1) &gt; 0, _xlpm.check1, IF(AND(_xlpm.val = "", CX$3="Required"), IF(OR('13 - Dressers &amp; Chests'!CX$7 = "", '13 - Dressers &amp; Chests'!CX$7 = "N/A"), "3:General Certificate of Conformity (GCC) - Value is required", ""), ""))))))</f>
        <v/>
      </c>
      <c r="CY8" s="22">
        <f t="array" ref="CY8">_xlfn.MAP('13 - Dressers &amp; Chests'!B8:B507, '13 - Dressers &amp; Chests'!CY8:CY507, _xlfn.LAMBDA(_xlpm.part, _xlpm.val, IF(_xlpm.part = "", "", IF(AND(_xlpm.val = "", CY$3="Required"), IF(OR('13 - Dressers &amp; Chests'!CY$7 = "", '13 - Dressers &amp; Chests'!CY$7 = "N/A"), "3:Composite Wood Product (CWP) - Value is required", ""), ""))))</f>
        <v/>
      </c>
      <c r="CZ8" s="22">
        <f t="array" ref="CZ8">_xlfn.MAP('13 - Dressers &amp; Chests'!B8:B507, '13 - Dressers &amp; Chests'!CZ8:CZ507, '13 - Dressers &amp; Chests'!CY8:CY507,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IF(OR('13 - Dressers &amp; Chests'!CZ$7 = "", '13 - Dressers &amp; Chests'!CZ$7 = "N/A"), "3:Since Composite Wood Product (CWP) equals 'Yes', this field is required", ""), ""), ""), IF(LEN(_xlpm.check4) &gt; 0, _xlpm.check4, IF(AND(_xlpm.val = "", CZ$3="Required"), IF(OR('13 - Dressers &amp; Chests'!CZ$7 = "", '13 - Dressers &amp; Chests'!CZ$7 = "N/A"), "3:CARB Phase II Compliant (formaldehyde emissions) - Value is required", ""), ""))))))))))))</f>
        <v/>
      </c>
      <c r="DA8" s="22">
        <f t="array" ref="DA8">_xlfn.MAP('13 - Dressers &amp; Chests'!B8:B507, '13 - Dressers &amp; Chests'!DA8:DA507, '13 - Dressers &amp; Chests'!CY8:CY507,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IF(OR('13 - Dressers &amp; Chests'!DA$7 = "", '13 - Dressers &amp; Chests'!DA$7 = "N/A"), "3:Since Composite Wood Product (CWP) equals 'Yes', this field is required", ""), ""), ""), IF(LEN(_xlpm.check4) &gt; 0, _xlpm.check4, IF(AND(_xlpm.val = "", DA$3="Required"), IF(OR('13 - Dressers &amp; Chests'!DA$7 = "", '13 - Dressers &amp; Chests'!DA$7 = "N/A"), "3:TSCA Title VI Compliant (formaldehyde emissions) - Value is required", ""), ""))))))))))))</f>
        <v/>
      </c>
      <c r="DB8" s="22">
        <f t="array" ref="DB8">_xlfn.MAP('13 - Dressers &amp; Chests'!B8:B507, '13 - Dressers &amp; Chests'!DB8:DB507, '13 - Dressers &amp; Chests'!CY8:CY507,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IF(OR('13 - Dressers &amp; Chests'!DB$7 = "", '13 - Dressers &amp; Chests'!DB$7 = "N/A"), "3:Since Composite Wood Product (CWP) equals 'Yes', this field is required", ""), ""), ""), IF(LEN(_xlpm.check4) &gt; 0, _xlpm.check4, IF(AND(_xlpm.val = "", DB$3="Required"), IF(OR('13 - Dressers &amp; Chests'!DB$7 = "", '13 - Dressers &amp; Chests'!DB$7 = "N/A"), "3:CANFER Compliant - Value is required", ""), ""))))))))))))</f>
        <v/>
      </c>
      <c r="DC8" s="22">
        <f t="array" ref="DC8">_xlfn.MAP('13 - Dressers &amp; Chests'!B8:B507, '13 - Dressers &amp; Chests'!DC8:DC507, _xlfn.LAMBDA(_xlpm.part, _xlpm.val, IF(_xlpm.part = "", "", IF(AND(_xlpm.val = "", DC$3="Required"), IF(OR('13 - Dressers &amp; Chests'!DC$7 = "", '13 - Dressers &amp; Chests'!DC$7 = "N/A"), "3:Product Stability UL Verified - Value is required", ""), ""))))</f>
        <v/>
      </c>
      <c r="DD8" s="22">
        <f t="array" ref="DD8">_xlfn.MAP('13 - Dressers &amp; Chests'!B8:B507, '13 - Dressers &amp; Chests'!DD8:DD507, _xlfn.LAMBDA(_xlpm.part, _xlpm.val, IF(_xlpm.part = "", "", IF(AND(_xlpm.val = "", DD$3="Required"), IF(OR('13 - Dressers &amp; Chests'!DD$7 = "", '13 - Dressers &amp; Chests'!DD$7 = "N/A"), "3:Uniform Packaging and Labeling Regulations (UPLR) Compliant - Value is required", ""), ""))))</f>
        <v/>
      </c>
      <c r="DE8" s="22">
        <f t="array" ref="DE8">_xlfn.MAP('13 - Dressers &amp; Chests'!B8:B507, '13 - Dressers &amp; Chests'!DE8:DE507, _xlfn.LAMBDA(_xlpm.part, _xlpm.val, IF(_xlpm.part = "", "", IF(AND(_xlpm.val = "", DE$3="Required"), IF(OR('13 - Dressers &amp; Chests'!DE$7 = "", '13 - Dressers &amp; Chests'!DE$7 = "N/A"), "3:Canada Product Restriction - Value is required", ""), ""))))</f>
        <v/>
      </c>
      <c r="DF8" s="22">
        <f t="array" ref="DF8">_xlfn.MAP('13 - Dressers &amp; Chests'!B8:B507, '13 - Dressers &amp; Chests'!DF8:DF507, '13 - Dressers &amp; Chests'!DE8:DE507, _xlfn.LAMBDA(_xlpm.part, _xlpm.val, _xlpm.dep1, IF(_xlpm.part = "", "",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allowed251022, 0)), ""),IF(AND(_xlpm.invalid&lt;&gt;"", COUNTA(_xlpm.invalid)&gt;0),"1:Please select valid values from the provided list. Answers are case-sensitive and must be separated by a semicolon.","")), ""), IF(LEN(_xlpm.check3) &gt; 0, _xlpm.check3, _xlfn.LET(_xlpm.check4, IF(_xlpm.dep1 = "Yes", IF(_xlpm.val = "", IF(OR('13 - Dressers &amp; Chests'!DF$7 = "", '13 - Dressers &amp; Chests'!DF$7 = "N/A"), "3:Since Canada Product Restriction equals 'Yes', this field is required", ""), ""), ""), IF(LEN(_xlpm.check4) &gt; 0, _xlpm.check4, IF(AND(_xlpm.val = "", DF$3="Required"), IF(OR('13 - Dressers &amp; Chests'!DF$7 = "", '13 - Dressers &amp; Chests'!DF$7 = "N/A"), "3:Reason for Restriction - Value is required", ""), ""))))))))))))</f>
        <v/>
      </c>
      <c r="DG8" s="22">
        <f t="array" ref="DG8">_xlfn.MAP('13 - Dressers &amp; Chests'!B8:B507, '13 - Dressers &amp; Chests'!DG8:DG507, _xlfn.LAMBDA(_xlpm.part, _xlpm.val, IF(_xlpm.part = "", "", IF(AND(_xlpm.val = "", DG$3="Required"), IF(OR('13 - Dressers &amp; Chests'!DG$7 = "", '13 - Dressers &amp; Chests'!DG$7 = "N/A"), "3:ASTM F2057-23 (STURDY) - Value is required", ""), ""))))</f>
        <v/>
      </c>
      <c r="DH8" s="22">
        <f t="array" ref="DH8">_xlfn.MAP('13 - Dressers &amp; Chests'!B8:B507, '13 - Dressers &amp; Chests'!DH8:DH507, _xlfn.LAMBDA(_xlpm.part, _xlpm.val, IF(_xlpm.part = "", "", IF(AND(_xlpm.val = "", DH$3="Required"), IF(OR('13 - Dressers &amp; Chests'!DH$7 = "", '13 - Dressers &amp; Chests'!DH$7 = "N/A"), "3:ISTA Certified - Value is required", ""), ""))))</f>
        <v/>
      </c>
      <c r="DI8" s="22">
        <f t="array" ref="DI8">_xlfn.MAP('13 - Dressers &amp; Chests'!B8:B507, '13 - Dressers &amp; Chests'!DI8:DI507, _xlfn.LAMBDA(_xlpm.part, _xlpm.val, IF(_xlpm.part = "", "", IF(AND(_xlpm.val = "", DI$3="Required"), IF(OR('13 - Dressers &amp; Chests'!DI$7 = "", '13 - Dressers &amp; Chests'!DI$7 = "N/A"), "3:California AB-1817 Compliant (CA PFAS) - Value is required", ""), ""))))</f>
        <v/>
      </c>
      <c r="DJ8" s="22">
        <f t="array" ref="DJ8">_xlfn.MAP('13 - Dressers &amp; Chests'!B8:B507, '13 - Dressers &amp; Chests'!DJ8:DJ507, _xlfn.LAMBDA(_xlpm.part, _xlpm.val, IF(_xlpm.part = "", "", IF(AND(_xlpm.val = "", DJ$3="Required"), IF(OR('13 - Dressers &amp; Chests'!DJ$7 = "", '13 - Dressers &amp; Chests'!DJ$7 = "N/A"), "3:Sustainability &amp; Social Responsibility Certifications (North America Only) - Value is required", ""), ""))))</f>
        <v/>
      </c>
      <c r="DK8" s="22">
        <f t="array" ref="DK8">_xlfn.MAP('13 - Dressers &amp; Chests'!B8:B507, '13 - Dressers &amp; Chests'!DK8:DK507, _xlfn.LAMBDA(_xlpm.part, _xlpm.val, IF(_xlpm.part = "", "", IF(AND(_xlpm.val = "", DK$3="Required"), IF(OR('13 - Dressers &amp; Chests'!DK$7 = "", '13 - Dressers &amp; Chests'!DK$7 = "N/A"), "3:Commercial Certifications - Value is required", ""), ""))))</f>
        <v/>
      </c>
      <c r="DL8" s="22">
        <f t="array" ref="DL8">_xlfn.MAP('13 - Dressers &amp; Chests'!B8:B507, '13 - Dressers &amp; Chests'!DL8:DL507, _xlfn.LAMBDA(_xlpm.part, _xlpm.val, IF(_xlpm.part = "", "", IF(AND(_xlpm.val = "", DL$3="Required"), IF(OR('13 - Dressers &amp; Chests'!DL$7 = "", '13 - Dressers &amp; Chests'!DL$7 = "N/A"), "3:Overall Height - Top to Bottom - Value is required", ""), ""))))</f>
        <v/>
      </c>
      <c r="DM8" s="22">
        <f t="array" ref="DM8">_xlfn.MAP('13 - Dressers &amp; Chests'!B8:B507, '13 - Dressers &amp; Chests'!DM8:DM507, _xlfn.LAMBDA(_xlpm.part, _xlpm.val, IF(_xlpm.part = "", "", _xlfn.LET(_xlpm.check1, IF(AND(NOT(ISBLANK(_xlpm.val)),OR(NOT(ISNUMBER(IFERROR(VALUE(_xlpm.val), ""))), IFERROR(VALUE(_xlpm.val), -1) &lt; 0)), "1:Overall Width - Side to Side - Value should be numeric", ""), IF(LEN(_xlpm.check1) &gt; 0, _xlpm.check1, IF(AND(_xlpm.val = "", DM$3="Required"), IF(OR('13 - Dressers &amp; Chests'!DM$7 = "", '13 - Dressers &amp; Chests'!DM$7 = "N/A"), "3:Overall Width - Side to Side - Value is required", ""), ""))))))</f>
        <v/>
      </c>
      <c r="DN8" s="22">
        <f t="array" ref="DN8">_xlfn.MAP('13 - Dressers &amp; Chests'!B8:B507, '13 - Dressers &amp; Chests'!DN8:DN507, _xlfn.LAMBDA(_xlpm.part, _xlpm.val, IF(_xlpm.part = "", "", _xlfn.LET(_xlpm.check1, IF(AND(NOT(ISBLANK(_xlpm.val)),OR(NOT(ISNUMBER(IFERROR(VALUE(_xlpm.val), ""))), IFERROR(VALUE(_xlpm.val), -1) &lt; 0)), "1:Overall Depth - Front to Back - Value should be numeric", ""), IF(LEN(_xlpm.check1) &gt; 0, _xlpm.check1, IF(AND(_xlpm.val = "", DN$3="Required"), IF(OR('13 - Dressers &amp; Chests'!DN$7 = "", '13 - Dressers &amp; Chests'!DN$7 = "N/A"), "3:Overall Depth - Front to Back - Value is required", ""), ""))))))</f>
        <v/>
      </c>
      <c r="DO8" s="22">
        <f t="array" ref="DO8">_xlfn.MAP('13 - Dressers &amp; Chests'!B8:B507, '13 - Dressers &amp; Chests'!DO8:DO507, _xlfn.LAMBDA(_xlpm.part, _xlpm.val, IF(_xlpm.part = "", "", IF(AND(_xlpm.val = "", DO$3="Required"), IF(OR('13 - Dressers &amp; Chests'!DO$7 = "", '13 - Dressers &amp; Chests'!DO$7 = "N/A"), "3:Drawer Interior Height - Top to Bottom - Value is required", ""), ""))))</f>
        <v/>
      </c>
      <c r="DP8" s="22">
        <f t="array" ref="DP8">_xlfn.MAP('13 - Dressers &amp; Chests'!B8:B507, '13 - Dressers &amp; Chests'!DP8:DP507, _xlfn.LAMBDA(_xlpm.part, _xlpm.val, IF(_xlpm.part = "", "", IF(AND(_xlpm.val = "", DP$3="Required"), IF(OR('13 - Dressers &amp; Chests'!DP$7 = "", '13 - Dressers &amp; Chests'!DP$7 = "N/A"), "3:Interior Drawer Depth - Front to Back - Value is required", ""), ""))))</f>
        <v/>
      </c>
      <c r="DQ8" s="22">
        <f t="array" ref="DQ8">_xlfn.MAP('13 - Dressers &amp; Chests'!B8:B507, '13 - Dressers &amp; Chests'!DQ8:DQ507, _xlfn.LAMBDA(_xlpm.part, _xlpm.val, IF(_xlpm.part = "", "", IF(AND(_xlpm.val = "", DQ$3="Required"), IF(OR('13 - Dressers &amp; Chests'!DQ$7 = "", '13 - Dressers &amp; Chests'!DQ$7 = "N/A"), "3:Overall Product Weight - Value is required", ""), ""))))</f>
        <v/>
      </c>
      <c r="DR8" s="22">
        <f t="array" ref="DR8">_xlfn.MAP('13 - Dressers &amp; Chests'!B8:B507, '13 - Dressers &amp; Chests'!DR8:DR507, _xlfn.LAMBDA(_xlpm.part, _xlpm.val, IF(_xlpm.part = "", "", IF(AND(_xlpm.val = "", DR$3="Required"), IF(OR('13 - Dressers &amp; Chests'!DR$7 = "", '13 - Dressers &amp; Chests'!DR$7 = "N/A"), "3:Interior Drawer Width - Side to Side - Value is required", ""), ""))))</f>
        <v/>
      </c>
      <c r="DS8" s="22">
        <f t="array" ref="DS8">_xlfn.MAP('13 - Dressers &amp; Chests'!B8:B507, '13 - Dressers &amp; Chests'!DS8:DS507, _xlfn.LAMBDA(_xlpm.part, _xlpm.val, IF(_xlpm.part = "", "", IF(AND(_xlpm.val = "", DS$3="Required"), IF(OR('13 - Dressers &amp; Chests'!DS$7 = "", '13 - Dressers &amp; Chests'!DS$7 = "N/A"), "3:Assembly Required - Value is required", ""), ""))))</f>
        <v/>
      </c>
      <c r="DT8" s="22">
        <f t="array" ref="DT8">_xlfn.MAP('13 - Dressers &amp; Chests'!B8:B507, '13 - Dressers &amp; Chests'!DT8:DT507, '13 - Dressers &amp; Chests'!DS8:DS507, _xlfn.LAMBDA(_xlpm.part, _xlpm.val, _xlpm.dep1, IF(_xlpm.part = "", "", _xlfn.LET(_xlpm.check1, IF(AND(_xlpm.val = "", _xlpm.dep1 = "No"), "2:Autofill", ""), IF(LEN(_xlpm.check1) &gt; 0, _xlpm.check1, _xlfn.LET(_xlpm.check2, IF(_xlpm.dep1 = "No", IF(_xlpm.val &lt;&gt; "No Assembly Needed", "1:Based on Assembly Required, value should be No Assembly Needed", ""), ""), IF(LEN(_xlpm.check2) &gt; 0, _xlpm.check2, IF(AND(_xlpm.val = "", DT$3="Required"), IF(OR('13 - Dressers &amp; Chests'!DT$7 = "", '13 - Dressers &amp; Chests'!DT$7 = "N/A"), "3:Level of Assembly - Value is required", ""), ""))))))))</f>
        <v/>
      </c>
      <c r="DU8" s="22">
        <f t="array" ref="DU8">_xlfn.MAP('13 - Dressers &amp; Chests'!B8:B507, '13 - Dressers &amp; Chests'!DU8:DU507, '13 - Dressers &amp; Chests'!DS8:DS507, _xlfn.LAMBDA(_xlpm.part, _xlpm.val, _xlpm.dep1, IF(_xlpm.part = "", "", _xlfn.LET(_xlpm.check1, IF(AND(_xlpm.val = "", _xlpm.dep1 = "No"), "2:Autofill", ""), IF(LEN(_xlpm.check1) &gt; 0, _xlpm.check1, _xlfn.LET(_xlpm.check2, IF(NOT(ISBLANK(_xlpm.val)),_xlfn.LET(_xlpm.items, _xlfn.TEXTSPLIT(_xlpm.val, ";"),_xlpm.trimmed, _xlfn.MAP(_xlpm.items, _xlfn.LAMBDA(_xlpm.x, TRIM(_xlpm.x))),_xlpm.invalid, _xlfn._xlws.FILTER(_xlpm.trimmed, ISNA(MATCH(_xlpm.trimmed, allowed222792, 0)), ""),IF(AND(_xlpm.invalid&lt;&gt;"", COUNTA(_xlpm.invalid)&gt;0),"1:Please select valid values from the provided list. Answers are case-sensitive and must be separated by a semicolon.","")), ""), IF(LEN(_xlpm.check2) &gt; 0, _xlpm.check2, _xlfn.LET(_xlpm.check3, IF(_xlpm.dep1 = "No", IF(_xlpm.val &lt;&gt; "Does Not Apply", "1:Based on Assembly Required, value should be Does Not Apply", ""), ""), IF(LEN(_xlpm.check3) &gt; 0, _xlpm.check3, IF(AND(_xlpm.val = "", DU$3="Required"), IF(OR('13 - Dressers &amp; Chests'!DU$7 = "", '13 - Dressers &amp; Chests'!DU$7 = "N/A"), "3:Additional Tools Required (Not Included) - Value is required", ""), ""))))))))))</f>
        <v/>
      </c>
      <c r="DV8" s="22">
        <f t="array" ref="DV8">_xlfn.MAP('13 - Dressers &amp; Chests'!B8:B507, '13 - Dressers &amp; Chests'!DV8:DV507, _xlfn.LAMBDA(_xlpm.part, _xlpm.val, IF(_xlpm.part = "", "", IF(AND(_xlpm.val = "", DV$3="Required"), IF(OR('13 - Dressers &amp; Chests'!DV$7 = "", '13 - Dressers &amp; Chests'!DV$7 = "N/A"), "3:Commercial Warranty - Value is required", ""), ""))))</f>
        <v/>
      </c>
      <c r="DW8" s="22">
        <f t="array" ref="DW8">_xlfn.MAP('13 - Dressers &amp; Chests'!B8:B507, '13 - Dressers &amp; Chests'!DW8:DW507, '13 - Dressers &amp; Chests'!DV8:DV507, _xlfn.LAMBDA(_xlpm.part, _xlpm.val, _xlpm.dep1, IF(_xlpm.part = "", "",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IF(OR('13 - Dressers &amp; Chests'!DW$7 = "", '13 - Dressers &amp; Chests'!DW$7 = "N/A"), "3:Since Commercial Warranty equals 'Yes', this field is required", ""), ""), ""), IF(LEN(_xlpm.check3) &gt; 0, _xlpm.check3, IF(AND(_xlpm.val = "", DW$3="Required"), IF(OR('13 - Dressers &amp; Chests'!DW$7 = "", '13 - Dressers &amp; Chests'!DW$7 = "N/A"), "3:Commercial Warranty Length - Value is required", ""), ""))))))))))</f>
        <v/>
      </c>
      <c r="DX8" s="22">
        <f t="array" ref="DX8">_xlfn.MAP('13 - Dressers &amp; Chests'!B8:B507, '13 - Dressers &amp; Chests'!DX8:DX507, _xlfn.LAMBDA(_xlpm.part, _xlpm.val, IF(_xlpm.part = "", "", IF(AND(_xlpm.val = "", DX$3="Required"), IF(OR('13 - Dressers &amp; Chests'!DX$7 = "", '13 - Dressers &amp; Chests'!DX$7 = "N/A"), "3:Product Warranty - Value is required", ""), ""))))</f>
        <v/>
      </c>
      <c r="DY8" s="22">
        <f t="array" ref="DY8">_xlfn.MAP('13 - Dressers &amp; Chests'!B8:B507, '13 - Dressers &amp; Chests'!DY8:DY507, _xlfn.LAMBDA(_xlpm.part, _xlpm.val, IF(_xlpm.part = "", "", IF(AND(_xlpm.val = "", DY$3="Required"), IF(OR('13 - Dressers &amp; Chests'!DY$7 = "", '13 - Dressers &amp; Chests'!DY$7 = "N/A"), "3:Full or Limited Warranty - Value is required", ""), ""))))</f>
        <v/>
      </c>
    </row>
  </sheetData>
  <sheetProtection selectLockedCells="0" selectUnlockedCells="0" sheet="1" objects="1" insertRows="1" insertHyperlinks="1" autoFilter="1" scenarios="1" formatColumns="1" deleteColumns="1" insertColumns="1" pivotTables="1" deleteRows="1" formatCells="1" formatRows="1" sort="1" password="97D1"/>
  <mergeCells count="9">
    <mergeCell ref="AL2:AO2"/>
    <mergeCell ref="AP2:AS2"/>
    <mergeCell ref="U2:Z2"/>
    <mergeCell ref="R2:T2"/>
    <mergeCell ref="B2:I2"/>
    <mergeCell ref="BO2:DY2"/>
    <mergeCell ref="AA2:AK2"/>
    <mergeCell ref="AT2:BN2"/>
    <mergeCell ref="J2:Q2"/>
  </mergeCells>
  <dataValidations count="112">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'WAYFAIR_USE_ONLY'!$GF$7:$GF14</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'WAYFAIR_USE_ONLY'!$GG$7:$GG10</formula1>
    </dataValidation>
    <dataValidation sqref="BR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'WAYFAIR_USE_ONLY'!$GH$7:$GH9</formula1>
    </dataValidation>
    <dataValidation sqref="B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U7" showDropDown="0" showInputMessage="1" showErrorMessage="1" allowBlank="1" errorTitle="Invalid Interlocking Drawers" error="The value provided is not a valid Interlocking Drawers." promptTitle="" prompt="If all products in this class consistently have the same answer, you can set a default value to apply automatically. For any exceptions, you can modify the answer for specific products without changing the default." type="list">
      <formula1>'WAYFAIR_USE_ONLY'!$GI$7:$GI11</formula1>
    </dataValidation>
    <dataValidation sqref="BV7" showDropDown="0" showInputMessage="1" showErrorMessage="1" allowBlank="1" errorTitle="Invalid Finished Back" error="The value provided is not a valid Finished Back." promptTitle="" prompt="If all products in this class consistently have the same answer, you can set a default value to apply automatically. For any exceptions, you can modify the answer for specific products without changing the default." type="list">
      <formula1>'WAYFAIR_USE_ONLY'!$GJ$7:$GJ10</formula1>
    </dataValidation>
    <dataValidation sqref="BW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'WAYFAIR_USE_ONLY'!$GK$7:$GK9</formula1>
    </dataValidation>
    <dataValidation sqref="BX7" showDropDown="0" showInputMessage="1" showErrorMessage="1" allowBlank="1" errorTitle="Invalid Lighting Included" error="The value provided is not a valid Lighting Included." promptTitle="" prompt="If all products in this class consistently have the same answer, you can set a default value to apply automatically. For any exceptions, you can modify the answer for specific products without changing the default." type="list">
      <formula1>'WAYFAIR_USE_ONLY'!$GL$7:$GL9</formula1>
    </dataValidation>
    <dataValidation sqref="BY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'WAYFAIR_USE_ONLY'!$GM$7:$GM9</formula1>
    </dataValidation>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C7" showDropDown="0" showInputMessage="1" showErrorMessage="1" allowBlank="1" errorTitle="Invalid Handle Material" error="The value provided is not a valid Handle Material.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'WAYFAIR_USE_ONLY'!$GN$7:$GN32</formula1>
    </dataValidation>
    <dataValidation sqref="CD7" showDropDown="0" showInputMessage="1" showErrorMessage="1" allowBlank="1" errorTitle="Invalid Removable Handle" error="The value provided is not a valid Removable Handle." promptTitle="" prompt="If all products in this class consistently have the same answer, you can set a default value to apply automatically. For any exceptions, you can modify the answer for specific products without changing the default." type="list">
      <formula1>'WAYFAIR_USE_ONLY'!$GO$7:$GO11</formula1>
    </dataValidation>
    <dataValidation sqref="CE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F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'WAYFAIR_USE_ONLY'!$GP$7:$GP26</formula1>
    </dataValidation>
    <dataValidation sqref="CG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'WAYFAIR_USE_ONLY'!$GQ$7:$GQ11</formula1>
    </dataValidation>
    <dataValidation sqref="C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J7" showDropDown="0" showInputMessage="1" showErrorMessage="1" allowBlank="1" errorTitle="Invalid Removable Drawers" error="The value provided is not a valid Removable Drawers." promptTitle="" prompt="If all products in this class consistently have the same answer, you can set a default value to apply automatically. For any exceptions, you can modify the answer for specific products without changing the default." type="list">
      <formula1>'WAYFAIR_USE_ONLY'!$GR$7:$GR11</formula1>
    </dataValidation>
    <dataValidation sqref="CK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'WAYFAIR_USE_ONLY'!$GS$7:$GS10</formula1>
    </dataValidation>
    <dataValidation sqref="CL7" showDropDown="0" showInputMessage="1" showErrorMessage="1" allowBlank="1" errorTitle="Invalid Lined Interior" error="The value provided is not a valid Lined Interior." promptTitle="" prompt="If all products in this class consistently have the same answer, you can set a default value to apply automatically. For any exceptions, you can modify the answer for specific products without changing the default." type="list">
      <formula1>'WAYFAIR_USE_ONLY'!$GT$7:$GT11</formula1>
    </dataValidation>
    <dataValidation sqref="CM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N7" showDropDown="0" showInputMessage="1" showErrorMessage="1" allowBlank="1" errorTitle="Invalid Manufactured Wood Type" error="The value provided is not a valid Manufactured Wood Type." promptTitle="" prompt="If all products in this class consistently have the same answer, you can set a default value to apply automatically. For any exceptions, you can modify the answer for specific products without changing the default." type="list">
      <formula1>'WAYFAIR_USE_ONLY'!$GU$7:$GU12</formula1>
    </dataValidation>
    <dataValidation sqref="CO7" showDropDown="0" showInputMessage="1" showErrorMessage="1" allowBlank="1" errorTitle="Invalid Scalloped Edges" error="The value provided is not a valid Scalloped Edges." promptTitle="" prompt="If all products in this class consistently have the same answer, you can set a default value to apply automatically. For any exceptions, you can modify the answer for specific products without changing the default." type="list">
      <formula1>'WAYFAIR_USE_ONLY'!$GV$7:$GV10</formula1>
    </dataValidation>
    <dataValidation sqref="CP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'WAYFAIR_USE_ONLY'!$GW$7:$GW11</formula1>
    </dataValidation>
    <dataValidation sqref="CQ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'WAYFAIR_USE_ONLY'!$GX$7:$GX11</formula1>
    </dataValidation>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'WAYFAIR_USE_ONLY'!$GY$7:$GY11</formula1>
    </dataValidation>
    <dataValidation sqref="CT7" showDropDown="0" showInputMessage="1" showErrorMessage="1" allowBlank="1" errorTitle="Invalid Additional Intended Use " error="The value provided is not a valid Additional Intended Use For Child." promptTitle="" prompt="If all products in this class consistently have the same answer, you can set a default value to apply automatically. For any exceptions, you can modify the answer for specific products without changing the default." type="list">
      <formula1>'WAYFAIR_USE_ONLY'!$GZ$7:$GZ9</formula1>
    </dataValidation>
    <dataValidation sqref="CU7" showDropDown="0" showInputMessage="1" showErrorMessage="1" allowBlank="1" errorTitle="Invalid Consumer Product Safety " error="The value provided is not a valid Consumer Product Safety Improvement Act (CPSIA) Compliant." promptTitle="" prompt="If all products in this class consistently have the same answer, you can set a default value to apply automatically. For any exceptions, you can modify the answer for specific products without changing the default." type="list">
      <formula1>'WAYFAIR_USE_ONLY'!$HA$7:$HA10</formula1>
    </dataValidation>
    <dataValidation sqref="CV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'WAYFAIR_USE_ONLY'!$HB$7:$HB9</formula1>
    </dataValidation>
    <dataValidation sqref="CW7" showDropDown="0" showInputMessage="1" showErrorMessage="1" allowBlank="1" errorTitle="Invalid Children’s Product Certi" error="The value provided is not a valid Children’s Product Certificate (CPC)." promptTitle="" prompt="If all products in this class consistently have the same answer, you can set a default value to apply automatically. For any exceptions, you can modify the answer for specific products without changing the default." type="list">
      <formula1>'WAYFAIR_USE_ONLY'!$HC$7:$HC10</formula1>
    </dataValidation>
    <dataValidation sqref="CX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'WAYFAIR_USE_ONLY'!$HD$7:$HD10</formula1>
    </dataValidation>
    <dataValidation sqref="CY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'WAYFAIR_USE_ONLY'!$HH$7:$HH10</formula1>
    </dataValidation>
    <dataValidation sqref="CZ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Z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'WAYFAIR_USE_ONLY'!$HE$7:$HE10</formula1>
    </dataValidation>
    <dataValidation sqref="DA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A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'WAYFAIR_USE_ONLY'!$HF$7:$HF10</formula1>
    </dataValidation>
    <dataValidation sqref="DB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B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'WAYFAIR_USE_ONLY'!$HG$7:$HG11</formula1>
    </dataValidation>
    <dataValidation sqref="DC7" showDropDown="0" showInputMessage="1" showErrorMessage="1" allowBlank="1" errorTitle="Invalid Product Stability UL Ver" error="The value provided is not a valid Product Stability UL Verified." promptTitle="" prompt="If all products in this class consistently have the same answer, you can set a default value to apply automatically. For any exceptions, you can modify the answer for specific products without changing the default." type="list">
      <formula1>'WAYFAIR_USE_ONLY'!$HI$7:$HI10</formula1>
    </dataValidation>
    <dataValidation sqref="DD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'WAYFAIR_USE_ONLY'!$HJ$7:$HJ9</formula1>
    </dataValidation>
    <dataValidation sqref="DE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'WAYFAIR_USE_ONLY'!$HK$7:$HK9</formula1>
    </dataValidation>
    <dataValidation sqref="DF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1" errorTitle="Invalid ASTM F2057-23 (STURDY)" error="The value provided is not a valid ASTM F2057-23 (STURDY)." promptTitle="" prompt="If all products in this class consistently have the same answer, you can set a default value to apply automatically. For any exceptions, you can modify the answer for specific products without changing the default." type="list">
      <formula1>'WAYFAIR_USE_ONLY'!$HL$7:$HL10</formula1>
    </dataValidation>
    <dataValidation sqref="DH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'WAYFAIR_USE_ONLY'!$HM$7:$HM10</formula1>
    </dataValidation>
    <dataValidation sqref="DI7" showDropDown="0" showInputMessage="1" showErrorMessage="1" allowBlank="1" errorTitle="Invalid California AB-1817 Compl" error="The value provided is not a valid California AB-1817 Compliant (CA PFAS)." promptTitle="" prompt="If all products in this class consistently have the same answer, you can set a default value to apply automatically. For any exceptions, you can modify the answer for specific products without changing the default." type="list">
      <formula1>'WAYFAIR_USE_ONLY'!$HN$7:$HN11</formula1>
    </dataValidation>
    <dataValidation sqref="DJ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'WAYFAIR_USE_ONLY'!$HO$7:$HO10</formula1>
    </dataValidation>
    <dataValidation sqref="DK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'WAYFAIR_USE_ONLY'!$HP$7:$HP12</formula1>
    </dataValidation>
    <dataValidation sqref="D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S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'WAYFAIR_USE_ONLY'!$HQ$7:$HQ9</formula1>
    </dataValidation>
    <dataValidation sqref="DT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'WAYFAIR_USE_ONLY'!$HR$7:$HR11</formula1>
    </dataValidation>
    <dataValidation sqref="D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V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'WAYFAIR_USE_ONLY'!$HT$7:$HT10</formula1>
    </dataValidation>
    <dataValidation sqref="DW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DW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'WAYFAIR_USE_ONLY'!$HS$7:$HS32</formula1>
    </dataValidation>
    <dataValidation sqref="DX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'WAYFAIR_USE_ONLY'!$HU$7:$HU9</formula1>
    </dataValidation>
    <dataValidation sqref="DY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'WAYFAIR_USE_ONLY'!$HV$7:$HV11</formula1>
    </dataValidation>
  </dataValidations>
  <hyperlinks>
    <hyperlink ref="D6" location="'Valid Values'!A1" display="Select"/>
    <hyperlink ref="J6" location="'Valid Values'!B1" display="Select"/>
    <hyperlink ref="L6" location="'Valid Values'!G1" display="Select"/>
    <hyperlink ref="N6" location="'Valid Values'!G1" display="Select"/>
    <hyperlink ref="P6" location="'Valid Values'!G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FA1" display="Select"/>
    <hyperlink ref="BP6" location="'Valid Values'!FB1" display="Please choose one or more from the following, using a semicolon (;) to separate each value: Glass; Stainless Steel; Cane; Raffia; Mango Wood; Aluminum; Manufactured Wood; Leather; Bamboo; Ceramic; Faux Leather; Iron; Laminate; Marble / Granite; Metal; Plastic / Acrylic; Teak; Solid + Manufactured Wood; Steel; Solid Wood; Wicker; Reclaimed Wood"/>
    <hyperlink ref="BT6" location="'Valid Values'!FC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BW6" location="'Valid Values'!FD1" display="Select"/>
    <hyperlink ref="BZ6" location="'Valid Values'!FE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A6" location="'Valid Values'!FF1" display="Please choose one or more from the following, using a semicolon (;) to separate each value: No Natural Variation; Natural Wood Grain Color Variation; Weathered Steel; Wood Knots; Natural Stone Color Variation; Unavailable"/>
    <hyperlink ref="CB6" location="'Valid Values'!FG1" display="Please choose one or more from the following, using a semicolon (;) to separate each value: Non Residential Use; Residential Use"/>
    <hyperlink ref="CC6" location="'Valid Values'!FH1" display="Select"/>
    <hyperlink ref="CE6" location="'Valid Values'!FI1" display="Please choose one or more from the following, using a semicolon (;) to separate each value: Made in USA; Made in USA of Imported Materials; Product of Canada; Made In Canada; Does Not Apply"/>
    <hyperlink ref="CF6" location="'Valid Values'!FJ1" display="Select"/>
    <hyperlink ref="CH6" location="'Valid Values'!FK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Larch; Sungkai; Does Not Apply"/>
    <hyperlink ref="CI6" location="'Valid Values'!FL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M6" location="'Valid Values'!FM1" display="Please choose one or more from the following, using a semicolon (;) to separate each value: Blue; Black; Brown; Red; Beige; Yellow; Pink; Purple; Gold; White; Ivory; Tan; Teal; Navy; Orange; Silver; Gray; Green; Cream; Clear"/>
    <hyperlink ref="CN6" location="'Valid Values'!FN1" display="Select"/>
    <hyperlink ref="CR6" location="'Valid Values'!FO1" display="Please choose one or more from the following, using a semicolon (;) to separate each value: Drawers; Hutch; Mirror; Shelves; Lighting; Cabinets; Doors; Unavailable; Does Not Apply"/>
    <hyperlink ref="CU6" location="'Valid Values'!FP1" display="Select"/>
    <hyperlink ref="CV6" location="'Valid Values'!FQ1" display="Select"/>
    <hyperlink ref="CW6" location="'Valid Values'!FR1" display="Select"/>
    <hyperlink ref="CX6" location="'Valid Values'!FS1" display="Select"/>
    <hyperlink ref="CZ6" location="'Valid Values'!FT1" display="Select"/>
    <hyperlink ref="DA6" location="'Valid Values'!FU1" display="Select"/>
    <hyperlink ref="DB6" location="'Valid Values'!FV1" display="Select"/>
    <hyperlink ref="DD6" location="'Valid Values'!FW1" display="Select"/>
    <hyperlink ref="DF6" location="'Valid Values'!FX1" display="Please choose one or more from the following, using a semicolon (;) to separate each value: Dual Language; Distribution Conflict; Logistics; Does Not Apply"/>
    <hyperlink ref="DG6" location="'Valid Values'!FY1" display="Select"/>
    <hyperlink ref="DH6" location="'Valid Values'!FZ1" display="Select"/>
    <hyperlink ref="DI6" location="'Valid Values'!GA1" display="Select"/>
    <hyperlink ref="DK6" location="'Valid Values'!GB1" display="Select"/>
    <hyperlink ref="DT6" location="'Valid Values'!GC1" display="Select"/>
    <hyperlink ref="DU6" location="'Valid Values'!GD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DW6" location="'Valid Values'!GE1" display="Select"/>
    <hyperlink ref="DY6" location="'Valid Values'!GF1" display="Select"/>
  </hyperlinks>
  <pageMargins left="0.7" right="0.7" top="0.75" bottom="0.75" header="0.3" footer="0.3"/>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DY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13.7109375" customWidth="1" style="22" min="68" max="68"/>
    <col width="17.7109375" customWidth="1" style="22" min="69" max="69"/>
    <col width="22.7109375" customWidth="1" style="22" min="70" max="71"/>
    <col width="34.7109375" customWidth="1" style="22" min="72" max="72"/>
    <col width="25.7109375" customWidth="1" style="22" min="73" max="73"/>
    <col width="18.7109375" customWidth="1" style="22" min="74" max="74"/>
    <col width="38.7109375" customWidth="1" style="22" min="75" max="75"/>
    <col width="22.7109375" customWidth="1" style="22" min="76" max="76"/>
    <col width="12.7109375" customWidth="1" style="22" min="77" max="77"/>
    <col width="32.7109375" customWidth="1" style="22" min="78" max="78"/>
    <col width="27.7109375" customWidth="1" style="22" min="79" max="79"/>
    <col width="39.7109375" customWidth="1" style="22" min="80" max="80"/>
    <col width="20.7109375" customWidth="1" style="22" min="81" max="81"/>
    <col width="21.7109375" customWidth="1" style="22" min="82" max="82"/>
    <col width="43.7109375" customWidth="1" style="22" min="83" max="83"/>
    <col width="29.7109375" customWidth="1" style="22" min="84" max="84"/>
    <col width="20.7109375" customWidth="1" style="22" min="85" max="85"/>
    <col width="17.7109375" customWidth="1" style="22" min="86" max="87"/>
    <col width="22.7109375" customWidth="1" style="22" min="88" max="88"/>
    <col width="15.7109375" customWidth="1" style="22" min="89" max="89"/>
    <col width="19.7109375" customWidth="1" style="22" min="90" max="90"/>
    <col width="10.7109375" customWidth="1" style="22" min="91" max="91"/>
    <col width="27.7109375" customWidth="1" style="22" min="92" max="92"/>
    <col width="20.7109375" customWidth="1" style="22" min="93" max="93"/>
    <col width="21.7109375" customWidth="1" style="22" min="94" max="95"/>
    <col width="20.7109375" customWidth="1" style="22" min="96" max="96"/>
    <col width="23.7109375" customWidth="1" style="22" min="97" max="97"/>
    <col width="38.7109375" customWidth="1" style="22" min="98" max="98"/>
    <col width="62.7109375" customWidth="1" style="22" min="99" max="99"/>
    <col width="33.7109375" customWidth="1" style="22" min="100" max="100"/>
    <col width="41.7109375" customWidth="1" style="22" min="101" max="101"/>
    <col width="44.7109375" customWidth="1" style="22" min="102" max="102"/>
    <col width="33.7109375" customWidth="1" style="22" min="103" max="103"/>
    <col width="53.7109375" customWidth="1" style="22" min="104" max="105"/>
    <col width="21.7109375" customWidth="1" style="22" min="106" max="106"/>
    <col width="34.7109375" customWidth="1" style="22" min="107" max="107"/>
    <col width="64.7109375" customWidth="1" style="22" min="108" max="108"/>
    <col width="31.7109375" customWidth="1" style="22" min="109" max="109"/>
    <col width="27.7109375" customWidth="1" style="22" min="110" max="111"/>
    <col width="19.7109375" customWidth="1" style="22" min="112" max="112"/>
    <col width="43.7109375" customWidth="1" style="22" min="113" max="113"/>
    <col width="79.7109375" customWidth="1" style="22" min="114" max="114"/>
    <col width="30.7109375" customWidth="1" style="22" min="115" max="115"/>
    <col width="35.7109375" customWidth="1" style="22" min="116" max="116"/>
    <col width="33.7109375" customWidth="1" style="22" min="117" max="117"/>
    <col width="34.7109375" customWidth="1" style="22" min="118" max="118"/>
    <col width="43.7109375" customWidth="1" style="22" min="119" max="119"/>
    <col width="42.7109375" customWidth="1" style="22" min="120" max="120"/>
    <col width="27.7109375" customWidth="1" style="22" min="121" max="121"/>
    <col width="41.7109375" customWidth="1" style="22" min="122" max="122"/>
    <col width="22.7109375" customWidth="1" style="22" min="123" max="124"/>
    <col width="45.7109375" customWidth="1" style="22" min="125" max="125"/>
    <col width="24.7109375" customWidth="1" style="22" min="126" max="126"/>
    <col width="31.7109375" customWidth="1" style="22" min="127" max="127"/>
    <col width="21.7109375" customWidth="1" style="22" min="128" max="128"/>
    <col width="29.7109375" customWidth="1" style="22" min="129" max="129"/>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4100</t>
        </is>
      </c>
      <c r="BP1" s="22" t="inlineStr">
        <is>
          <t>4099</t>
        </is>
      </c>
      <c r="BQ1" s="22" t="inlineStr">
        <is>
          <t>4104</t>
        </is>
      </c>
      <c r="BR1" s="22" t="inlineStr">
        <is>
          <t>4150</t>
        </is>
      </c>
      <c r="BS1" s="22" t="inlineStr">
        <is>
          <t>4410</t>
        </is>
      </c>
      <c r="BT1" s="22" t="inlineStr">
        <is>
          <t>376182</t>
        </is>
      </c>
      <c r="BU1" s="22" t="inlineStr">
        <is>
          <t>375291</t>
        </is>
      </c>
      <c r="BV1" s="22" t="inlineStr">
        <is>
          <t>4125</t>
        </is>
      </c>
      <c r="BW1" s="22" t="inlineStr">
        <is>
          <t>214542</t>
        </is>
      </c>
      <c r="BX1" s="22" t="inlineStr">
        <is>
          <t>220140</t>
        </is>
      </c>
      <c r="BY1" s="22" t="inlineStr">
        <is>
          <t>189878</t>
        </is>
      </c>
      <c r="BZ1" s="22" t="inlineStr">
        <is>
          <t>222867</t>
        </is>
      </c>
      <c r="CA1" s="22" t="inlineStr">
        <is>
          <t>222868</t>
        </is>
      </c>
      <c r="CB1" s="22" t="inlineStr">
        <is>
          <t>223515</t>
        </is>
      </c>
      <c r="CC1" s="22" t="inlineStr">
        <is>
          <t>231828</t>
        </is>
      </c>
      <c r="CD1" s="22" t="inlineStr">
        <is>
          <t>243181</t>
        </is>
      </c>
      <c r="CE1" s="22" t="inlineStr">
        <is>
          <t>244538</t>
        </is>
      </c>
      <c r="CF1" s="22" t="inlineStr">
        <is>
          <t>293477</t>
        </is>
      </c>
      <c r="CG1" s="22" t="inlineStr">
        <is>
          <t>293540</t>
        </is>
      </c>
      <c r="CH1" s="22" t="inlineStr">
        <is>
          <t>185257</t>
        </is>
      </c>
      <c r="CI1" s="22" t="inlineStr">
        <is>
          <t>332816</t>
        </is>
      </c>
      <c r="CJ1" s="22" t="inlineStr">
        <is>
          <t>294498</t>
        </is>
      </c>
      <c r="CK1" s="22" t="inlineStr">
        <is>
          <t>370850</t>
        </is>
      </c>
      <c r="CL1" s="22" t="inlineStr">
        <is>
          <t>4419</t>
        </is>
      </c>
      <c r="CM1" s="22" t="inlineStr">
        <is>
          <t>378139</t>
        </is>
      </c>
      <c r="CN1" s="22" t="inlineStr">
        <is>
          <t>292710</t>
        </is>
      </c>
      <c r="CO1" s="22" t="inlineStr">
        <is>
          <t>387438</t>
        </is>
      </c>
      <c r="CP1" s="22" t="inlineStr">
        <is>
          <t>400770</t>
        </is>
      </c>
      <c r="CQ1" s="22" t="inlineStr">
        <is>
          <t>400782</t>
        </is>
      </c>
      <c r="CR1" s="22" t="inlineStr">
        <is>
          <t>420142</t>
        </is>
      </c>
      <c r="CS1" s="22" t="inlineStr">
        <is>
          <t>294497</t>
        </is>
      </c>
      <c r="CT1" s="22" t="inlineStr">
        <is>
          <t>331921</t>
        </is>
      </c>
      <c r="CU1" s="22" t="inlineStr">
        <is>
          <t>405443</t>
        </is>
      </c>
      <c r="CV1" s="22" t="inlineStr">
        <is>
          <t>258936</t>
        </is>
      </c>
      <c r="CW1" s="22" t="inlineStr">
        <is>
          <t>331917</t>
        </is>
      </c>
      <c r="CX1" s="22" t="inlineStr">
        <is>
          <t>4142</t>
        </is>
      </c>
      <c r="CY1" s="22" t="inlineStr">
        <is>
          <t>201437</t>
        </is>
      </c>
      <c r="CZ1" s="22" t="inlineStr">
        <is>
          <t>224770</t>
        </is>
      </c>
      <c r="DA1" s="22" t="inlineStr">
        <is>
          <t>224991</t>
        </is>
      </c>
      <c r="DB1" s="22" t="inlineStr">
        <is>
          <t>364712</t>
        </is>
      </c>
      <c r="DC1" s="22" t="inlineStr">
        <is>
          <t>229941</t>
        </is>
      </c>
      <c r="DD1" s="22" t="inlineStr">
        <is>
          <t>236087</t>
        </is>
      </c>
      <c r="DE1" s="22" t="inlineStr">
        <is>
          <t>249276</t>
        </is>
      </c>
      <c r="DF1" s="22" t="inlineStr">
        <is>
          <t>251022</t>
        </is>
      </c>
      <c r="DG1" s="22" t="inlineStr">
        <is>
          <t>371796</t>
        </is>
      </c>
      <c r="DH1" s="22" t="inlineStr">
        <is>
          <t>385925</t>
        </is>
      </c>
      <c r="DI1" s="22" t="inlineStr">
        <is>
          <t>411838</t>
        </is>
      </c>
      <c r="DJ1" s="22" t="inlineStr">
        <is>
          <t>415141</t>
        </is>
      </c>
      <c r="DK1" s="22" t="inlineStr">
        <is>
          <t>421600</t>
        </is>
      </c>
      <c r="DL1" s="22" t="inlineStr">
        <is>
          <t>4144</t>
        </is>
      </c>
      <c r="DM1" s="22" t="inlineStr">
        <is>
          <t>4145</t>
        </is>
      </c>
      <c r="DN1" s="22" t="inlineStr">
        <is>
          <t>4146</t>
        </is>
      </c>
      <c r="DO1" s="22" t="inlineStr">
        <is>
          <t>4430</t>
        </is>
      </c>
      <c r="DP1" s="22" t="inlineStr">
        <is>
          <t>4432</t>
        </is>
      </c>
      <c r="DQ1" s="22" t="inlineStr">
        <is>
          <t>4151</t>
        </is>
      </c>
      <c r="DR1" s="22" t="inlineStr">
        <is>
          <t>393965</t>
        </is>
      </c>
      <c r="DS1" s="22" t="inlineStr">
        <is>
          <t>4152</t>
        </is>
      </c>
      <c r="DT1" s="22" t="inlineStr">
        <is>
          <t>222789</t>
        </is>
      </c>
      <c r="DU1" s="22" t="inlineStr">
        <is>
          <t>222792</t>
        </is>
      </c>
      <c r="DV1" s="22" t="inlineStr">
        <is>
          <t>228903</t>
        </is>
      </c>
      <c r="DW1" s="22" t="inlineStr">
        <is>
          <t>333844</t>
        </is>
      </c>
      <c r="DX1" s="22" t="inlineStr">
        <is>
          <t>254189</t>
        </is>
      </c>
      <c r="DY1" s="22" t="inlineStr">
        <is>
          <t>255311</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Recommended</t>
        </is>
      </c>
      <c r="BP3" s="32" t="inlineStr">
        <is>
          <t>Required</t>
        </is>
      </c>
      <c r="BQ3" s="32" t="inlineStr">
        <is>
          <t>Recommended</t>
        </is>
      </c>
      <c r="BR3" s="32" t="inlineStr">
        <is>
          <t>Recommended</t>
        </is>
      </c>
      <c r="BS3" s="32" t="inlineStr">
        <is>
          <t>Required</t>
        </is>
      </c>
      <c r="BT3" s="32" t="inlineStr">
        <is>
          <t>Recommended</t>
        </is>
      </c>
      <c r="BU3" s="32" t="inlineStr">
        <is>
          <t>Recommended</t>
        </is>
      </c>
      <c r="BV3" s="32" t="inlineStr">
        <is>
          <t>Recommended</t>
        </is>
      </c>
      <c r="BW3" s="32" t="inlineStr">
        <is>
          <t>Required</t>
        </is>
      </c>
      <c r="BX3" s="32" t="inlineStr">
        <is>
          <t>Recommended</t>
        </is>
      </c>
      <c r="BY3" s="32" t="inlineStr">
        <is>
          <t>Required</t>
        </is>
      </c>
      <c r="BZ3" s="32" t="inlineStr">
        <is>
          <t>Recommended</t>
        </is>
      </c>
      <c r="CA3" s="32" t="inlineStr">
        <is>
          <t>Recommended</t>
        </is>
      </c>
      <c r="CB3" s="32" t="inlineStr">
        <is>
          <t>Required</t>
        </is>
      </c>
      <c r="CC3" s="32" t="inlineStr">
        <is>
          <t>Recommended</t>
        </is>
      </c>
      <c r="CD3" s="32" t="inlineStr">
        <is>
          <t>Recommended</t>
        </is>
      </c>
      <c r="CE3" s="32" t="inlineStr">
        <is>
          <t>Additional</t>
        </is>
      </c>
      <c r="CF3" s="32" t="inlineStr">
        <is>
          <t>Recommended</t>
        </is>
      </c>
      <c r="CG3" s="32" t="inlineStr">
        <is>
          <t>Recommended</t>
        </is>
      </c>
      <c r="CH3" s="32" t="inlineStr">
        <is>
          <t>Recommended</t>
        </is>
      </c>
      <c r="CI3" s="32" t="inlineStr">
        <is>
          <t>Recommended</t>
        </is>
      </c>
      <c r="CJ3" s="32" t="inlineStr">
        <is>
          <t>Recommended</t>
        </is>
      </c>
      <c r="CK3" s="32" t="inlineStr">
        <is>
          <t>Recommended</t>
        </is>
      </c>
      <c r="CL3" s="32" t="inlineStr">
        <is>
          <t>Recommended</t>
        </is>
      </c>
      <c r="CM3" s="32" t="inlineStr">
        <is>
          <t>Required</t>
        </is>
      </c>
      <c r="CN3" s="32" t="inlineStr">
        <is>
          <t>Recommended</t>
        </is>
      </c>
      <c r="CO3" s="32" t="inlineStr">
        <is>
          <t>Recommended</t>
        </is>
      </c>
      <c r="CP3" s="32" t="inlineStr">
        <is>
          <t>Recommended</t>
        </is>
      </c>
      <c r="CQ3" s="32" t="inlineStr">
        <is>
          <t>Recommended</t>
        </is>
      </c>
      <c r="CR3" s="32" t="inlineStr">
        <is>
          <t>Required</t>
        </is>
      </c>
      <c r="CS3" s="32" t="inlineStr">
        <is>
          <t>Recommended</t>
        </is>
      </c>
      <c r="CT3" s="32" t="inlineStr">
        <is>
          <t>Required</t>
        </is>
      </c>
      <c r="CU3" s="32" t="inlineStr">
        <is>
          <t>Required</t>
        </is>
      </c>
      <c r="CV3" s="32" t="inlineStr">
        <is>
          <t>Required</t>
        </is>
      </c>
      <c r="CW3" s="32" t="inlineStr">
        <is>
          <t>Required</t>
        </is>
      </c>
      <c r="CX3" s="32" t="inlineStr">
        <is>
          <t>Required</t>
        </is>
      </c>
      <c r="CY3" s="32" t="inlineStr">
        <is>
          <t>Required</t>
        </is>
      </c>
      <c r="CZ3" s="32" t="inlineStr">
        <is>
          <t>Required</t>
        </is>
      </c>
      <c r="DA3" s="32" t="inlineStr">
        <is>
          <t>Required</t>
        </is>
      </c>
      <c r="DB3" s="32" t="inlineStr">
        <is>
          <t>Required</t>
        </is>
      </c>
      <c r="DC3" s="32" t="inlineStr">
        <is>
          <t>Required</t>
        </is>
      </c>
      <c r="DD3" s="32" t="inlineStr">
        <is>
          <t>Required</t>
        </is>
      </c>
      <c r="DE3" s="32" t="inlineStr">
        <is>
          <t>Required</t>
        </is>
      </c>
      <c r="DF3" s="32" t="inlineStr">
        <is>
          <t>Required</t>
        </is>
      </c>
      <c r="DG3" s="32" t="inlineStr">
        <is>
          <t>Required</t>
        </is>
      </c>
      <c r="DH3" s="32" t="inlineStr">
        <is>
          <t>Recommended</t>
        </is>
      </c>
      <c r="DI3" s="32" t="inlineStr">
        <is>
          <t>Required</t>
        </is>
      </c>
      <c r="DJ3" s="32" t="inlineStr">
        <is>
          <t>Recommended</t>
        </is>
      </c>
      <c r="DK3" s="32" t="inlineStr">
        <is>
          <t>Recommended</t>
        </is>
      </c>
      <c r="DL3" s="32" t="inlineStr">
        <is>
          <t>Required</t>
        </is>
      </c>
      <c r="DM3" s="32" t="inlineStr">
        <is>
          <t>Required</t>
        </is>
      </c>
      <c r="DN3" s="32" t="inlineStr">
        <is>
          <t>Required</t>
        </is>
      </c>
      <c r="DO3" s="32" t="inlineStr">
        <is>
          <t>Recommended</t>
        </is>
      </c>
      <c r="DP3" s="32" t="inlineStr">
        <is>
          <t>Recommended</t>
        </is>
      </c>
      <c r="DQ3" s="32" t="inlineStr">
        <is>
          <t>Recommended</t>
        </is>
      </c>
      <c r="DR3" s="32" t="inlineStr">
        <is>
          <t>Recommended</t>
        </is>
      </c>
      <c r="DS3" s="32" t="inlineStr">
        <is>
          <t>Required</t>
        </is>
      </c>
      <c r="DT3" s="32" t="inlineStr">
        <is>
          <t>Recommended</t>
        </is>
      </c>
      <c r="DU3" s="32" t="inlineStr">
        <is>
          <t>Recommended</t>
        </is>
      </c>
      <c r="DV3" s="32" t="inlineStr">
        <is>
          <t>Required</t>
        </is>
      </c>
      <c r="DW3" s="32" t="inlineStr">
        <is>
          <t>Recommended</t>
        </is>
      </c>
      <c r="DX3" s="32" t="inlineStr">
        <is>
          <t>Recommended</t>
        </is>
      </c>
      <c r="DY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Material</t>
        </is>
      </c>
      <c r="BQ4" s="19" t="inlineStr">
        <is>
          <t>Gloss Finish</t>
        </is>
      </c>
      <c r="BR4" s="19" t="inlineStr">
        <is>
          <t>Cabinets Included</t>
        </is>
      </c>
      <c r="BS4" s="19" t="inlineStr">
        <is>
          <t>Number of Drawers</t>
        </is>
      </c>
      <c r="BT4" s="19" t="inlineStr">
        <is>
          <t>Drawer Glide Type &amp; Extension</t>
        </is>
      </c>
      <c r="BU4" s="19" t="inlineStr">
        <is>
          <t>Interlocking Drawers</t>
        </is>
      </c>
      <c r="BV4" s="19" t="inlineStr">
        <is>
          <t>Finished Back</t>
        </is>
      </c>
      <c r="BW4" s="19" t="inlineStr">
        <is>
          <t>Tipover Restraint Device Included</t>
        </is>
      </c>
      <c r="BX4" s="19" t="inlineStr">
        <is>
          <t>Lighting Included</t>
        </is>
      </c>
      <c r="BY4" s="19" t="inlineStr">
        <is>
          <t>Plug-In</t>
        </is>
      </c>
      <c r="BZ4" s="19" t="inlineStr">
        <is>
          <t>Purposeful Distressing Type</t>
        </is>
      </c>
      <c r="CA4" s="19" t="inlineStr">
        <is>
          <t>Natural Variation Type</t>
        </is>
      </c>
      <c r="CB4" s="19" t="inlineStr">
        <is>
          <t>Supplier Intended and Approved Use</t>
        </is>
      </c>
      <c r="CC4" s="19" t="inlineStr">
        <is>
          <t>Handle Material</t>
        </is>
      </c>
      <c r="CD4" s="19" t="inlineStr">
        <is>
          <t>Removable Handle</t>
        </is>
      </c>
      <c r="CE4" s="19" t="inlineStr">
        <is>
          <t>Country of Origin - Additional Details</t>
        </is>
      </c>
      <c r="CF4" s="19" t="inlineStr">
        <is>
          <t>Main Wood Joinery Method</t>
        </is>
      </c>
      <c r="CG4" s="19" t="inlineStr">
        <is>
          <t>Kiln-Dried Wood</t>
        </is>
      </c>
      <c r="CH4" s="19" t="inlineStr">
        <is>
          <t>Wood Species</t>
        </is>
      </c>
      <c r="CI4" s="19" t="inlineStr">
        <is>
          <t>Product Care</t>
        </is>
      </c>
      <c r="CJ4" s="19" t="inlineStr">
        <is>
          <t>Removable Drawers</t>
        </is>
      </c>
      <c r="CK4" s="19" t="inlineStr">
        <is>
          <t>Unfinished</t>
        </is>
      </c>
      <c r="CL4" s="19" t="inlineStr">
        <is>
          <t>Lined Interior</t>
        </is>
      </c>
      <c r="CM4" s="19" t="inlineStr">
        <is>
          <t>Color</t>
        </is>
      </c>
      <c r="CN4" s="19" t="inlineStr">
        <is>
          <t>Manufactured Wood Type</t>
        </is>
      </c>
      <c r="CO4" s="19" t="inlineStr">
        <is>
          <t>Scalloped Edges</t>
        </is>
      </c>
      <c r="CP4" s="19" t="inlineStr">
        <is>
          <t>Fluted Detailing</t>
        </is>
      </c>
      <c r="CQ4" s="19" t="inlineStr">
        <is>
          <t>Ribbed Detailing</t>
        </is>
      </c>
      <c r="CR4" s="19" t="inlineStr">
        <is>
          <t>Pieces Included</t>
        </is>
      </c>
      <c r="CS4" s="19" t="inlineStr">
        <is>
          <t>Drawer Safety Stop</t>
        </is>
      </c>
      <c r="CT4" s="19" t="inlineStr">
        <is>
          <t>Additional Intended Use For Child</t>
        </is>
      </c>
      <c r="CU4" s="19" t="inlineStr">
        <is>
          <t>Consumer Product Safety Improvement Act (CPSIA) Compliant</t>
        </is>
      </c>
      <c r="CV4" s="19" t="inlineStr">
        <is>
          <t>CPSC - 16 CFR 1303 Compliant</t>
        </is>
      </c>
      <c r="CW4" s="19" t="inlineStr">
        <is>
          <t>Children’s Product Certificate (CPC)</t>
        </is>
      </c>
      <c r="CX4" s="19" t="inlineStr">
        <is>
          <t>General Certificate of Conformity (GCC)</t>
        </is>
      </c>
      <c r="CY4" s="33" t="inlineStr">
        <is>
          <t>Composite Wood Product (CWP)</t>
        </is>
      </c>
      <c r="CZ4" s="34" t="inlineStr">
        <is>
          <t>CARB Phase II Compliant (formaldehyde emissions)</t>
        </is>
      </c>
      <c r="DA4" s="34" t="inlineStr">
        <is>
          <t>TSCA Title VI Compliant (formaldehyde emissions)</t>
        </is>
      </c>
      <c r="DB4" s="34" t="inlineStr">
        <is>
          <t>CANFER Compliant</t>
        </is>
      </c>
      <c r="DC4" s="19" t="inlineStr">
        <is>
          <t>Product Stability UL Verified</t>
        </is>
      </c>
      <c r="DD4" s="19" t="inlineStr">
        <is>
          <t>Uniform Packaging and Labeling Regulations (UPLR) Compliant</t>
        </is>
      </c>
      <c r="DE4" s="33" t="inlineStr">
        <is>
          <t>Canada Product Restriction</t>
        </is>
      </c>
      <c r="DF4" s="34" t="inlineStr">
        <is>
          <t>Reason for Restriction</t>
        </is>
      </c>
      <c r="DG4" s="19" t="inlineStr">
        <is>
          <t>ASTM F2057-23 (STURDY)</t>
        </is>
      </c>
      <c r="DH4" s="19" t="inlineStr">
        <is>
          <t>ISTA Certified</t>
        </is>
      </c>
      <c r="DI4" s="19" t="inlineStr">
        <is>
          <t>California AB-1817 Compliant (CA PFAS)</t>
        </is>
      </c>
      <c r="DJ4" s="19" t="inlineStr">
        <is>
          <t>Sustainability &amp; Social Responsibility Certifications (North America Only)</t>
        </is>
      </c>
      <c r="DK4" s="19" t="inlineStr">
        <is>
          <t>Commercial Certifications</t>
        </is>
      </c>
      <c r="DL4" s="19" t="inlineStr">
        <is>
          <t>Overall Height - Top to Bottom</t>
        </is>
      </c>
      <c r="DM4" s="19" t="inlineStr">
        <is>
          <t>Overall Width - Side to Side</t>
        </is>
      </c>
      <c r="DN4" s="19" t="inlineStr">
        <is>
          <t>Overall Depth - Front to Back</t>
        </is>
      </c>
      <c r="DO4" s="19" t="inlineStr">
        <is>
          <t>Drawer Interior Height - Top to Bottom</t>
        </is>
      </c>
      <c r="DP4" s="19" t="inlineStr">
        <is>
          <t>Interior Drawer Depth - Front to Back</t>
        </is>
      </c>
      <c r="DQ4" s="19" t="inlineStr">
        <is>
          <t>Overall Product Weight</t>
        </is>
      </c>
      <c r="DR4" s="19" t="inlineStr">
        <is>
          <t>Interior Drawer Width - Side to Side</t>
        </is>
      </c>
      <c r="DS4" s="19" t="inlineStr">
        <is>
          <t>Assembly Required</t>
        </is>
      </c>
      <c r="DT4" s="19" t="inlineStr">
        <is>
          <t>Level of Assembly</t>
        </is>
      </c>
      <c r="DU4" s="19" t="inlineStr">
        <is>
          <t>Additional Tools Required (Not Included)</t>
        </is>
      </c>
      <c r="DV4" s="33" t="inlineStr">
        <is>
          <t>Commercial Warranty</t>
        </is>
      </c>
      <c r="DW4" s="34" t="inlineStr">
        <is>
          <t>Commercial Warranty Length</t>
        </is>
      </c>
      <c r="DX4" s="19" t="inlineStr">
        <is>
          <t>Product Warranty</t>
        </is>
      </c>
      <c r="DY4" s="19" t="inlineStr">
        <is>
          <t>Full or Limited Warranty</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What material is the product made of?</t>
        </is>
      </c>
      <c r="BQ5" s="35" t="inlineStr">
        <is>
          <t>Does this product have a shiny and sheer gloss finish over the normal painted finish?</t>
        </is>
      </c>
      <c r="BR5" s="35" t="inlineStr">
        <is>
          <t>Does this product include cabinets?</t>
        </is>
      </c>
      <c r="BS5" s="35" t="inlineStr">
        <is>
          <t>How many drawers are included in this product?</t>
        </is>
      </c>
      <c r="BT5" s="35" t="inlineStr">
        <is>
          <t>Please select which type of glide the drawer features and/or how far it can extend.</t>
        </is>
      </c>
      <c r="BU5" s="35" t="inlineStr">
        <is>
          <t>Does this product feature an interlock mechanism that prevents more than one drawer from opening at once?</t>
        </is>
      </c>
      <c r="BV5" s="35" t="inlineStr">
        <is>
          <t>Does this product have a "finished" back, meaning that the back is stained, colored, no visible hardware, or otherwise finished? (e.g., may be fully finished so item can "float" in room)</t>
        </is>
      </c>
      <c r="BW5" s="35" t="inlineStr">
        <is>
          <t>Does this product include a device to prevent the product from tipping over? Tipover restraint devices (TRDs) include brackets, straps, or other specialized hardware</t>
        </is>
      </c>
      <c r="BX5" s="35" t="inlineStr">
        <is>
          <t>Does this product feature any lighting?</t>
        </is>
      </c>
      <c r="BY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BZ5" s="35" t="inlineStr">
        <is>
          <t>What specific type of distressing does this product have? Select all that apply.</t>
        </is>
      </c>
      <c r="CA5" s="35" t="inlineStr">
        <is>
          <t>Which of the following types of natural variation and texture does the product have? Multiple can be selected if applicable. If the product does NOT have natural variation, please select No Natural Variation.</t>
        </is>
      </c>
      <c r="CB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C5" s="35" t="inlineStr">
        <is>
          <t>What is the primary material used to construct the handle?</t>
        </is>
      </c>
      <c r="CD5" s="35" t="inlineStr">
        <is>
          <t>Is the handle or knob able to be removed, replaced, or taken off?</t>
        </is>
      </c>
      <c r="CE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F5" s="35" t="inlineStr">
        <is>
          <t>Which technique was used to join together the main pieces of wood to construct the overall product?</t>
        </is>
      </c>
      <c r="CG5" s="35" t="inlineStr">
        <is>
          <t>Is the wood kiln-dried? If product is not made of wood, please select "does not apply."</t>
        </is>
      </c>
      <c r="CH5" s="35" t="inlineStr">
        <is>
          <t>What type of wood was used to construct this product? This describes the actual materials used, not the product's appearance.</t>
        </is>
      </c>
      <c r="CI5" s="35" t="inlineStr">
        <is>
          <t>What is the appropriate way to clean and/or care for this product? Please select as many answers as applicable.</t>
        </is>
      </c>
      <c r="CJ5" s="35" t="inlineStr">
        <is>
          <t>Does this product have drawers that can be removed?</t>
        </is>
      </c>
      <c r="CK5" s="35" t="inlineStr">
        <is>
          <t>Is this product unfinished (no paint, stain, or varnish)?</t>
        </is>
      </c>
      <c r="CL5" s="35" t="inlineStr">
        <is>
          <t>Is this product lined with fabric?</t>
        </is>
      </c>
      <c r="CM5" s="35" t="inlineStr">
        <is>
          <t>What is the color of the product? If your color name is not listed, please type in the value.</t>
        </is>
      </c>
      <c r="CN5" s="35" t="inlineStr">
        <is>
          <t>What type of manufactured wood was used to construct this product?</t>
        </is>
      </c>
      <c r="CO5" s="35" t="inlineStr">
        <is>
          <t>A product has scalloped edges if it contains curved, semicircular edges.</t>
        </is>
      </c>
      <c r="CP5" s="35" t="inlineStr">
        <is>
          <t>Is there a a concave pattern of parallel lines on a surface of this product?</t>
        </is>
      </c>
      <c r="CQ5" s="35" t="inlineStr">
        <is>
          <t>Is there a a raised pattern of parallel lines on a surface of this product?</t>
        </is>
      </c>
      <c r="CR5" s="35" t="inlineStr">
        <is>
          <t>What pieces are included with this product?</t>
        </is>
      </c>
      <c r="CS5" s="35" t="inlineStr">
        <is>
          <t>Do any drawers feature safety stops (intended to keep the drawers from pulling all the way out)?</t>
        </is>
      </c>
      <c r="CT5" s="35" t="inlineStr">
        <is>
          <t>Is this product intended to be used by a child 12 and under in addition to adults?</t>
        </is>
      </c>
      <c r="CU5" s="35" t="inlineStr">
        <is>
          <t>Is this product compliant with the Consumer Product Safety Improvement Act (CPSIA), including all of the following provisions, as applicable:
- Lead provisions;
- Phthalate provisions; 
- Toy safety provisions;
- Durable infant and toddler product provisions;
- Tracking label provisions; AND
- Compliance with all applicable children's product safety rules (found here: https://www.cpsc.gov/Business--Manufacturing/Testing-Certification/Lab-Accreditation/Rules-Requiring-Third-Party-Testing). Please note: a "No" answer to this question will prevent your product from being listed for sale.</t>
        </is>
      </c>
      <c r="CV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CW5" s="35" t="inlineStr">
        <is>
          <t>Does this product have a Children's Product Certificate (CPC), as required by the U.S. CPSC for children's products?
Please note: A No answer to this question will prevent this item from being listed for sale.</t>
        </is>
      </c>
      <c r="CX5" s="35" t="inlineStr">
        <is>
          <t>Does this product have a General Certificate of Conformity (GCC), as required by the U.S. CPSC for certain product classes?</t>
        </is>
      </c>
      <c r="CY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CZ5" s="35" t="inlineStr">
        <is>
          <t>Is this product certified compliant for CARB ATCM Phase II formaldehyde emission standards from Composite Wood Products [California Air Resources Board (CARB)- Airborne Toxic Control Measures (ATCM) Phase II]</t>
        </is>
      </c>
      <c r="DA5" s="35" t="inlineStr">
        <is>
          <t>Is this product certified TSCA Title VI compliant regarding formaldehyde emissions from Composite Wood Products [Environmental Protection Agency (EPA)-Toxic Substance Control Act (TSCA)-Title VI]</t>
        </is>
      </c>
      <c r="DB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C5" s="35" t="inlineStr">
        <is>
          <t>Does your product meet the UL voluntary stability standard?</t>
        </is>
      </c>
      <c r="DD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E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F5" s="35" t="inlineStr">
        <is>
          <t>Please select the reason this product can not ship to Canada?  Please select from the options or write in a reason if not selectable</t>
        </is>
      </c>
      <c r="DG5" s="35" t="inlineStr">
        <is>
          <t>Is this product compliant with ASTM F2057-23, the safety specification for clothing storage units? This tag is referring to compliance with the STURDY Act.</t>
        </is>
      </c>
      <c r="DH5" s="35" t="inlineStr">
        <is>
          <t>Is the packaging for this SKU ISTA Certified (1A, 3A, 6A)?</t>
        </is>
      </c>
      <c r="DI5" s="35" t="inlineStr">
        <is>
          <t>Select "Does Not Apply" if your product does not contain any textiles.
Is this product compliant with California's Safer Clothes and Textiles Act (AB 1817), the standard restricting per- and polyfluoroalkyl substances (PFAS) above 100 parts per million in textiles? 
Products marked "No" will be blocked from sale in California. 
Please see Help Center article here for more information: https://partners.wayfair.com/help/2/article/2828).</t>
        </is>
      </c>
      <c r="DJ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DK5" s="35"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DL5" s="35" t="inlineStr">
        <is>
          <t>[Inches] What is the overall height of the product from top to bottom? Please enter just the number (e.g. 45.5).</t>
        </is>
      </c>
      <c r="DM5" s="35" t="inlineStr">
        <is>
          <t>[Inches] What is overall width of the product from side to side? Please enter just the number (e.g. 45.5).</t>
        </is>
      </c>
      <c r="DN5" s="35" t="inlineStr">
        <is>
          <t>[Inches] What is the overall depth of the product from front to back? Please enter just the number (e.g. 45.5).</t>
        </is>
      </c>
      <c r="DO5" s="35" t="inlineStr">
        <is>
          <t>[Inches] The interior height of the drawers from top to bottom. List out different heights for each drawer as needed. Please enter just the number (i.e. 45.5). E.g., Top drawer: 15, Bottom drawer: 20</t>
        </is>
      </c>
      <c r="DP5" s="35" t="inlineStr">
        <is>
          <t>[Inches] The interior depth of the drawers from front to back. List out different depths for each drawer as needed. Please enter just the number (i.e. 45.5).</t>
        </is>
      </c>
      <c r="DQ5" s="35" t="inlineStr">
        <is>
          <t>[Pounds] What is the total weight of this product once assembled? If this product includes multiples of the same item, add weight of one individual unit (e.g. 1 Dining Chair in a set of 2). Please enter just the number (i.e. 45.5).</t>
        </is>
      </c>
      <c r="DR5" s="35" t="inlineStr">
        <is>
          <t>[Inches] The interior width of the drawers from side to side. List out different widths for each drawer as needed. Please enter just the number (i.e. 45.5).</t>
        </is>
      </c>
      <c r="DS5" s="35" t="inlineStr">
        <is>
          <t>Does the product require any form of assembly prior to use as intended?</t>
        </is>
      </c>
      <c r="DT5" s="35" t="inlineStr">
        <is>
          <t>What is the level of assembly required?</t>
        </is>
      </c>
      <c r="DU5" s="35" t="inlineStr">
        <is>
          <t>What additional tools will the customer need to set-up this product that are NOT included with purchase?</t>
        </is>
      </c>
      <c r="DV5" s="35" t="inlineStr">
        <is>
          <t>Does the manufacturer warranty cover the use of this product in a commercial environment?</t>
        </is>
      </c>
      <c r="DW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DX5" s="35" t="inlineStr">
        <is>
          <t>Please indicate if there is a warranty on this product if it were to be used in a residential setting.</t>
        </is>
      </c>
      <c r="DY5" s="35" t="inlineStr">
        <is>
          <t>Please indicate if the warranty is Full or Limited.</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Please choose one or more from the following, using a semicolon (;) to separate each value: Glass; Stainless Steel; Cane; Raffia; Mango Wood; Aluminum; Manufactured Wood; Leather; Bamboo; Ceramic; Faux Leather; Iron; Laminate; Marble / Granite; Metal; Plastic / Acrylic; Teak; Solid + Manufactured Wood; Steel; Solid Wood; Wicker; Reclaimed Wood</t>
        </is>
      </c>
      <c r="BQ6" s="35" t="inlineStr">
        <is>
          <t>Yes or No</t>
        </is>
      </c>
      <c r="BR6" s="35" t="inlineStr">
        <is>
          <t>Yes or No</t>
        </is>
      </c>
      <c r="BS6" s="35" t="inlineStr">
        <is>
          <t>Whole Number</t>
        </is>
      </c>
      <c r="BT6" s="36"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BU6" s="35" t="inlineStr">
        <is>
          <t>Yes or No</t>
        </is>
      </c>
      <c r="BV6" s="35" t="inlineStr">
        <is>
          <t>Yes or No</t>
        </is>
      </c>
      <c r="BW6" s="36" t="inlineStr">
        <is>
          <t>Select</t>
        </is>
      </c>
      <c r="BX6" s="35" t="inlineStr">
        <is>
          <t>Yes or No</t>
        </is>
      </c>
      <c r="BY6" s="35" t="inlineStr">
        <is>
          <t>Yes or No</t>
        </is>
      </c>
      <c r="BZ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A6" s="36" t="inlineStr">
        <is>
          <t>Please choose one or more from the following, using a semicolon (;) to separate each value: No Natural Variation; Natural Wood Grain Color Variation; Weathered Steel; Wood Knots; Natural Stone Color Variation; Unavailable</t>
        </is>
      </c>
      <c r="CB6" s="36" t="inlineStr">
        <is>
          <t>Please choose one or more from the following, using a semicolon (;) to separate each value: Non Residential Use; Residential Use</t>
        </is>
      </c>
      <c r="CC6" s="36" t="inlineStr">
        <is>
          <t>Select</t>
        </is>
      </c>
      <c r="CD6" s="35" t="inlineStr">
        <is>
          <t>Yes or No</t>
        </is>
      </c>
      <c r="CE6" s="36" t="inlineStr">
        <is>
          <t>Please choose one or more from the following, using a semicolon (;) to separate each value: Made in USA; Made in USA of Imported Materials; Product of Canada; Made In Canada; Does Not Apply</t>
        </is>
      </c>
      <c r="CF6" s="36" t="inlineStr">
        <is>
          <t>Select</t>
        </is>
      </c>
      <c r="CG6" s="35" t="inlineStr">
        <is>
          <t>Yes or No</t>
        </is>
      </c>
      <c r="CH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Larch; Sungkai; Does Not Apply</t>
        </is>
      </c>
      <c r="CI6" s="36"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J6" s="35" t="inlineStr">
        <is>
          <t>Yes or No</t>
        </is>
      </c>
      <c r="CK6" s="35" t="inlineStr">
        <is>
          <t>Yes or No</t>
        </is>
      </c>
      <c r="CL6" s="35" t="inlineStr">
        <is>
          <t>Yes or No</t>
        </is>
      </c>
      <c r="CM6" s="36" t="inlineStr">
        <is>
          <t>Please choose one or more from the following, using a semicolon (;) to separate each value: Blue; Black; Brown; Red; Beige; Yellow; Pink; Purple; Gold; White; Ivory; Tan; Teal; Navy; Orange; Silver; Gray; Green; Cream; Clear</t>
        </is>
      </c>
      <c r="CN6" s="36" t="inlineStr">
        <is>
          <t>Select</t>
        </is>
      </c>
      <c r="CO6" s="35" t="inlineStr">
        <is>
          <t>Yes or No</t>
        </is>
      </c>
      <c r="CP6" s="35" t="inlineStr">
        <is>
          <t>Yes or No</t>
        </is>
      </c>
      <c r="CQ6" s="35" t="inlineStr">
        <is>
          <t>Yes or No</t>
        </is>
      </c>
      <c r="CR6" s="36" t="inlineStr">
        <is>
          <t>Please choose one or more from the following, using a semicolon (;) to separate each value: Drawers; Hutch; Mirror; Shelves; Lighting; Cabinets; Doors; Unavailable; Does Not Apply</t>
        </is>
      </c>
      <c r="CS6" s="35" t="inlineStr">
        <is>
          <t>Yes or No</t>
        </is>
      </c>
      <c r="CT6" s="35" t="inlineStr">
        <is>
          <t>Yes or No</t>
        </is>
      </c>
      <c r="CU6" s="36" t="inlineStr">
        <is>
          <t>Select</t>
        </is>
      </c>
      <c r="CV6" s="36" t="inlineStr">
        <is>
          <t>Select</t>
        </is>
      </c>
      <c r="CW6" s="36" t="inlineStr">
        <is>
          <t>Select</t>
        </is>
      </c>
      <c r="CX6" s="36" t="inlineStr">
        <is>
          <t>Select</t>
        </is>
      </c>
      <c r="CY6" s="35" t="inlineStr">
        <is>
          <t>Yes or No</t>
        </is>
      </c>
      <c r="CZ6" s="36" t="inlineStr">
        <is>
          <t>Select</t>
        </is>
      </c>
      <c r="DA6" s="36" t="inlineStr">
        <is>
          <t>Select</t>
        </is>
      </c>
      <c r="DB6" s="36" t="inlineStr">
        <is>
          <t>Select</t>
        </is>
      </c>
      <c r="DC6" s="35" t="inlineStr">
        <is>
          <t>Yes or No</t>
        </is>
      </c>
      <c r="DD6" s="36" t="inlineStr">
        <is>
          <t>Select</t>
        </is>
      </c>
      <c r="DE6" s="35" t="inlineStr">
        <is>
          <t>Yes or No</t>
        </is>
      </c>
      <c r="DF6" s="36" t="inlineStr">
        <is>
          <t>Please choose one or more from the following, using a semicolon (;) to separate each value: Dual Language; Distribution Conflict; Logistics; Does Not Apply</t>
        </is>
      </c>
      <c r="DG6" s="36" t="inlineStr">
        <is>
          <t>Select</t>
        </is>
      </c>
      <c r="DH6" s="36" t="inlineStr">
        <is>
          <t>Select</t>
        </is>
      </c>
      <c r="DI6" s="36" t="inlineStr">
        <is>
          <t>Select</t>
        </is>
      </c>
      <c r="DJ6" s="35" t="inlineStr">
        <is>
          <t>Yes or No</t>
        </is>
      </c>
      <c r="DK6" s="36" t="inlineStr">
        <is>
          <t>Select</t>
        </is>
      </c>
      <c r="DL6" s="35" t="inlineStr">
        <is>
          <t>Number</t>
        </is>
      </c>
      <c r="DM6" s="35" t="inlineStr">
        <is>
          <t>Number</t>
        </is>
      </c>
      <c r="DN6" s="35" t="inlineStr">
        <is>
          <t>Number</t>
        </is>
      </c>
      <c r="DO6" s="35" t="inlineStr">
        <is>
          <t>Number</t>
        </is>
      </c>
      <c r="DP6" s="35" t="inlineStr">
        <is>
          <t>Number</t>
        </is>
      </c>
      <c r="DQ6" s="35" t="inlineStr">
        <is>
          <t>Number</t>
        </is>
      </c>
      <c r="DR6" s="35" t="inlineStr">
        <is>
          <t>Number</t>
        </is>
      </c>
      <c r="DS6" s="35" t="inlineStr">
        <is>
          <t>Yes or No</t>
        </is>
      </c>
      <c r="DT6" s="36" t="inlineStr">
        <is>
          <t>Select</t>
        </is>
      </c>
      <c r="DU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DV6" s="35" t="inlineStr">
        <is>
          <t>Yes or No</t>
        </is>
      </c>
      <c r="DW6" s="36" t="inlineStr">
        <is>
          <t>Select</t>
        </is>
      </c>
      <c r="DX6" s="35" t="inlineStr">
        <is>
          <t>Yes or No</t>
        </is>
      </c>
      <c r="DY6" s="36" t="inlineStr">
        <is>
          <t>Select</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row>
    <row r="8">
      <c r="A8">
        <f t="array" ref="A8">_xlfn.BYROW(B8:DZ507, _xlfn.LAMBDA(_xlpm.r, _xlfn.LET(_xlpm.high_priority_idx, IFERROR(MATCH(TRUE, (_xlpm.r = "Error") + (_xlpm.r = "Required") &gt; 0, 0), 0), IF(_xlpm.high_priority_idx &gt; 0, _xlpm.high_priority_idx + 1, IFERROR(MATCH(1, (_xlpm.r = "Warning") * 1, 0) + 1, "")))))</f>
        <v/>
      </c>
      <c r="B8" s="22">
        <f t="array" ref="B8">_xlfn.MAP('13 - Dressers &amp; Chests'!B8:B507, '13 - Dressers &amp; Chests'!B8:B507, '13 - Dressers &amp; Chests-WUO_ERR'!B8:B507, _xlfn.LAMBDA(_xlpm.part, _xlpm.val, _xlpm.error, IF(_xlpm.part = "", "", IF(LEN(_xlpm.error), _xlfn.SWITCH(IFERROR(_xlfn.TEXTBEFORE(_xlpm.error,":"), ""), "1", "Error", "2", "Disabled", "3", "Required", "4", "Warning", "Valid"), "Valid"))))</f>
        <v/>
      </c>
      <c r="C8" s="22">
        <f t="array" ref="C8">_xlfn.MAP('13 - Dressers &amp; Chests'!B8:B507, '13 - Dressers &amp; Chests'!C8:C507, '13 - Dressers &amp; Chests-WUO_ERR'!C8:C507, _xlfn.LAMBDA(_xlpm.part, _xlpm.val, _xlpm.error, IF(_xlpm.part = "", "", IF(LEN(_xlpm.error), _xlfn.SWITCH(IFERROR(_xlfn.TEXTBEFORE(_xlpm.error,":"), ""), "1", "Error", "2", "Disabled", "3", "Required", "4", "Warning", "Valid"), "Valid"))))</f>
        <v/>
      </c>
      <c r="D8" s="22">
        <f t="array" ref="D8">_xlfn.MAP('13 - Dressers &amp; Chests'!B8:B507, '13 - Dressers &amp; Chests'!D8:D507, '13 - Dressers &amp; Chests-WUO_ERR'!D8:D507, _xlfn.LAMBDA(_xlpm.part, _xlpm.val, _xlpm.error, IF(_xlpm.part = "", "", IF(LEN(_xlpm.error), _xlfn.SWITCH(IFERROR(_xlfn.TEXTBEFORE(_xlpm.error,":"), ""), "1", "Error", "2", "Disabled", "3", "Required", "4", "Warning", "Valid"), "Valid"))))</f>
        <v/>
      </c>
      <c r="E8" s="22">
        <f t="array" ref="E8">_xlfn.MAP('13 - Dressers &amp; Chests'!B8:B507, '13 - Dressers &amp; Chests'!E8:E507, '13 - Dressers &amp; Chests-WUO_ERR'!E8:E507, _xlfn.LAMBDA(_xlpm.part, _xlpm.val, _xlpm.error, IF(_xlpm.part = "", "", IF(LEN(_xlpm.error), _xlfn.SWITCH(IFERROR(_xlfn.TEXTBEFORE(_xlpm.error,":"), ""), "1", "Error", "2", "Disabled", "3", "Required", "4", "Warning", "Valid"), "Valid"))))</f>
        <v/>
      </c>
      <c r="F8" s="22">
        <f t="array" ref="F8">_xlfn.MAP('13 - Dressers &amp; Chests'!B8:B507, '13 - Dressers &amp; Chests'!F8:F507, '13 - Dressers &amp; Chests-WUO_ERR'!F8:F507, _xlfn.LAMBDA(_xlpm.part, _xlpm.val, _xlpm.error, IF(_xlpm.part = "", "", IF(LEN(_xlpm.error), _xlfn.SWITCH(IFERROR(_xlfn.TEXTBEFORE(_xlpm.error,":"), ""), "1", "Error", "2", "Disabled", "3", "Required", "4", "Warning", "Valid"), "Valid"))))</f>
        <v/>
      </c>
      <c r="G8" s="22">
        <f t="array" ref="G8">_xlfn.MAP('13 - Dressers &amp; Chests'!B8:B507, '13 - Dressers &amp; Chests'!G8:G507, '13 - Dressers &amp; Chests-WUO_ERR'!G8:G507, _xlfn.LAMBDA(_xlpm.part, _xlpm.val, _xlpm.error, IF(_xlpm.part = "", "", IF(LEN(_xlpm.error), _xlfn.SWITCH(IFERROR(_xlfn.TEXTBEFORE(_xlpm.error,":"), ""), "1", "Error", "2", "Disabled", "3", "Required", "4", "Warning", "Valid"), "Valid"))))</f>
        <v/>
      </c>
      <c r="H8" s="22">
        <f t="array" ref="H8">_xlfn.MAP('13 - Dressers &amp; Chests'!B8:B507, '13 - Dressers &amp; Chests'!H8:H507, '13 - Dressers &amp; Chests-WUO_ERR'!H8:H507, _xlfn.LAMBDA(_xlpm.part, _xlpm.val, _xlpm.error, IF(_xlpm.part = "", "", IF(LEN(_xlpm.error), _xlfn.SWITCH(IFERROR(_xlfn.TEXTBEFORE(_xlpm.error,":"), ""), "1", "Error", "2", "Disabled", "3", "Required", "4", "Warning", "Valid"), "Valid"))))</f>
        <v/>
      </c>
      <c r="I8" s="22">
        <f t="array" ref="I8">_xlfn.MAP('13 - Dressers &amp; Chests'!B8:B507, '13 - Dressers &amp; Chests'!I8:I507, '13 - Dressers &amp; Chests-WUO_ERR'!I8:I507, _xlfn.LAMBDA(_xlpm.part, _xlpm.val, _xlpm.error, IF(_xlpm.part = "", "", IF(LEN(_xlpm.error), _xlfn.SWITCH(IFERROR(_xlfn.TEXTBEFORE(_xlpm.error,":"), ""), "1", "Error", "2", "Disabled", "3", "Required", "4", "Warning", "Valid"), "Valid"))))</f>
        <v/>
      </c>
      <c r="J8" s="22">
        <f t="array" ref="J8">_xlfn.MAP('13 - Dressers &amp; Chests'!B8:B507, '13 - Dressers &amp; Chests'!J8:J507, '13 - Dressers &amp; Chests-WUO_ERR'!J8:J507, _xlfn.LAMBDA(_xlpm.part, _xlpm.val, _xlpm.error, IF(_xlpm.part = "", "", IF(LEN(_xlpm.error), _xlfn.SWITCH(IFERROR(_xlfn.TEXTBEFORE(_xlpm.error,":"), ""), "1", "Error", "2", "Disabled", "3", "Required", "4", "Warning", "Valid"), "Valid"))))</f>
        <v/>
      </c>
      <c r="K8" s="22">
        <f t="array" ref="K8">_xlfn.MAP('13 - Dressers &amp; Chests'!B8:B507, '13 - Dressers &amp; Chests'!K8:K507, '13 - Dressers &amp; Chests-WUO_ERR'!K8:K507, _xlfn.LAMBDA(_xlpm.part, _xlpm.val, _xlpm.error, IF(_xlpm.part = "", "", IF(LEN(_xlpm.error), _xlfn.SWITCH(IFERROR(_xlfn.TEXTBEFORE(_xlpm.error,":"), ""), "1", "Error", "2", "Disabled", "3", "Required", "4", "Warning", "Valid"), "Valid"))))</f>
        <v/>
      </c>
      <c r="L8" s="22">
        <f t="array" ref="L8">_xlfn.MAP('13 - Dressers &amp; Chests'!B8:B507, '13 - Dressers &amp; Chests'!L8:L507, '13 - Dressers &amp; Chests-WUO_ERR'!L8:L507, _xlfn.LAMBDA(_xlpm.part, _xlpm.val, _xlpm.error, IF(_xlpm.part = "", "", IF(LEN(_xlpm.error), _xlfn.SWITCH(IFERROR(_xlfn.TEXTBEFORE(_xlpm.error,":"), ""), "1", "Error", "2", "Disabled", "3", "Required", "4", "Warning", "Valid"), "Valid"))))</f>
        <v/>
      </c>
      <c r="M8" s="22">
        <f t="array" ref="M8">_xlfn.MAP('13 - Dressers &amp; Chests'!B8:B507, '13 - Dressers &amp; Chests'!M8:M507, '13 - Dressers &amp; Chests-WUO_ERR'!M8:M507, _xlfn.LAMBDA(_xlpm.part, _xlpm.val, _xlpm.error, IF(_xlpm.part = "", "", IF(LEN(_xlpm.error), _xlfn.SWITCH(IFERROR(_xlfn.TEXTBEFORE(_xlpm.error,":"), ""), "1", "Error", "2", "Disabled", "3", "Required", "4", "Warning", "Valid"), "Valid"))))</f>
        <v/>
      </c>
      <c r="N8" s="22">
        <f t="array" ref="N8">_xlfn.MAP('13 - Dressers &amp; Chests'!B8:B507, '13 - Dressers &amp; Chests'!N8:N507, '13 - Dressers &amp; Chests-WUO_ERR'!N8:N507, _xlfn.LAMBDA(_xlpm.part, _xlpm.val, _xlpm.error, IF(_xlpm.part = "", "", IF(LEN(_xlpm.error), _xlfn.SWITCH(IFERROR(_xlfn.TEXTBEFORE(_xlpm.error,":"), ""), "1", "Error", "2", "Disabled", "3", "Required", "4", "Warning", "Valid"), "Valid"))))</f>
        <v/>
      </c>
      <c r="O8" s="22">
        <f t="array" ref="O8">_xlfn.MAP('13 - Dressers &amp; Chests'!B8:B507, '13 - Dressers &amp; Chests'!O8:O507, '13 - Dressers &amp; Chests-WUO_ERR'!O8:O507, _xlfn.LAMBDA(_xlpm.part, _xlpm.val, _xlpm.error, IF(_xlpm.part = "", "", IF(LEN(_xlpm.error), _xlfn.SWITCH(IFERROR(_xlfn.TEXTBEFORE(_xlpm.error,":"), ""), "1", "Error", "2", "Disabled", "3", "Required", "4", "Warning", "Valid"), "Valid"))))</f>
        <v/>
      </c>
      <c r="P8" s="22">
        <f t="array" ref="P8">_xlfn.MAP('13 - Dressers &amp; Chests'!B8:B507, '13 - Dressers &amp; Chests'!P8:P507, '13 - Dressers &amp; Chests-WUO_ERR'!P8:P507, _xlfn.LAMBDA(_xlpm.part, _xlpm.val, _xlpm.error, IF(_xlpm.part = "", "", IF(LEN(_xlpm.error), _xlfn.SWITCH(IFERROR(_xlfn.TEXTBEFORE(_xlpm.error,":"), ""), "1", "Error", "2", "Disabled", "3", "Required", "4", "Warning", "Valid"), "Valid"))))</f>
        <v/>
      </c>
      <c r="Q8" s="22">
        <f t="array" ref="Q8">_xlfn.MAP('13 - Dressers &amp; Chests'!B8:B507, '13 - Dressers &amp; Chests'!Q8:Q507, '13 - Dressers &amp; Chests-WUO_ERR'!Q8:Q507, _xlfn.LAMBDA(_xlpm.part, _xlpm.val, _xlpm.error, IF(_xlpm.part = "", "", IF(LEN(_xlpm.error), _xlfn.SWITCH(IFERROR(_xlfn.TEXTBEFORE(_xlpm.error,":"), ""), "1", "Error", "2", "Disabled", "3", "Required", "4", "Warning", "Valid"), "Valid"))))</f>
        <v/>
      </c>
      <c r="R8" s="22">
        <f t="array" ref="R8">_xlfn.MAP('13 - Dressers &amp; Chests'!B8:B507, '13 - Dressers &amp; Chests'!R8:R507, '13 - Dressers &amp; Chests-WUO_ERR'!R8:R507, _xlfn.LAMBDA(_xlpm.part, _xlpm.val, _xlpm.error, IF(_xlpm.part = "", "", IF(LEN(_xlpm.error), _xlfn.SWITCH(IFERROR(_xlfn.TEXTBEFORE(_xlpm.error,":"), ""), "1", "Error", "2", "Disabled", "3", "Required", "4", "Warning", "Valid"), "Valid"))))</f>
        <v/>
      </c>
      <c r="S8" s="22">
        <f t="array" ref="S8">_xlfn.MAP('13 - Dressers &amp; Chests'!B8:B507, '13 - Dressers &amp; Chests'!S8:S507, '13 - Dressers &amp; Chests-WUO_ERR'!S8:S507, _xlfn.LAMBDA(_xlpm.part, _xlpm.val, _xlpm.error, IF(_xlpm.part = "", "", IF(LEN(_xlpm.error), _xlfn.SWITCH(IFERROR(_xlfn.TEXTBEFORE(_xlpm.error,":"), ""), "1", "Error", "2", "Disabled", "3", "Required", "4", "Warning", "Valid"), "Valid"))))</f>
        <v/>
      </c>
      <c r="T8" s="22">
        <f t="array" ref="T8">_xlfn.MAP('13 - Dressers &amp; Chests'!B8:B507, '13 - Dressers &amp; Chests'!T8:T507, '13 - Dressers &amp; Chests-WUO_ERR'!T8:T507, _xlfn.LAMBDA(_xlpm.part, _xlpm.val, _xlpm.error, IF(_xlpm.part = "", "", IF(LEN(_xlpm.error), _xlfn.SWITCH(IFERROR(_xlfn.TEXTBEFORE(_xlpm.error,":"), ""), "1", "Error", "2", "Disabled", "3", "Required", "4", "Warning", "Valid"), "Valid"))))</f>
        <v/>
      </c>
      <c r="U8" s="22">
        <f t="array" ref="U8">_xlfn.MAP('13 - Dressers &amp; Chests'!B8:B507, '13 - Dressers &amp; Chests'!U8:U507, '13 - Dressers &amp; Chests-WUO_ERR'!U8:U507, _xlfn.LAMBDA(_xlpm.part, _xlpm.val, _xlpm.error, IF(_xlpm.part = "", "", IF(LEN(_xlpm.error), _xlfn.SWITCH(IFERROR(_xlfn.TEXTBEFORE(_xlpm.error,":"), ""), "1", "Error", "2", "Disabled", "3", "Required", "4", "Warning", "Valid"), "Valid"))))</f>
        <v/>
      </c>
      <c r="V8" s="22">
        <f t="array" ref="V8">_xlfn.MAP('13 - Dressers &amp; Chests'!B8:B507, '13 - Dressers &amp; Chests'!V8:V507, '13 - Dressers &amp; Chests-WUO_ERR'!V8:V507, _xlfn.LAMBDA(_xlpm.part, _xlpm.val, _xlpm.error, IF(_xlpm.part = "", "", IF(LEN(_xlpm.error), _xlfn.SWITCH(IFERROR(_xlfn.TEXTBEFORE(_xlpm.error,":"), ""), "1", "Error", "2", "Disabled", "3", "Required", "4", "Warning", "Valid"), "Valid"))))</f>
        <v/>
      </c>
      <c r="W8" s="22">
        <f t="array" ref="W8">_xlfn.MAP('13 - Dressers &amp; Chests'!B8:B507, '13 - Dressers &amp; Chests'!W8:W507, '13 - Dressers &amp; Chests-WUO_ERR'!W8:W507, _xlfn.LAMBDA(_xlpm.part, _xlpm.val, _xlpm.error, IF(_xlpm.part = "", "", IF(LEN(_xlpm.error), _xlfn.SWITCH(IFERROR(_xlfn.TEXTBEFORE(_xlpm.error,":"), ""), "1", "Error", "2", "Disabled", "3", "Required", "4", "Warning", "Valid"), "Valid"))))</f>
        <v/>
      </c>
      <c r="X8" s="22">
        <f t="array" ref="X8">_xlfn.MAP('13 - Dressers &amp; Chests'!B8:B507, '13 - Dressers &amp; Chests'!X8:X507, '13 - Dressers &amp; Chests-WUO_ERR'!X8:X507, _xlfn.LAMBDA(_xlpm.part, _xlpm.val, _xlpm.error, IF(_xlpm.part = "", "", IF(LEN(_xlpm.error), _xlfn.SWITCH(IFERROR(_xlfn.TEXTBEFORE(_xlpm.error,":"), ""), "1", "Error", "2", "Disabled", "3", "Required", "4", "Warning", "Valid"), "Valid"))))</f>
        <v/>
      </c>
      <c r="Y8" s="22">
        <f t="array" ref="Y8">_xlfn.MAP('13 - Dressers &amp; Chests'!B8:B507, '13 - Dressers &amp; Chests'!Y8:Y507, '13 - Dressers &amp; Chests-WUO_ERR'!Y8:Y507, _xlfn.LAMBDA(_xlpm.part, _xlpm.val, _xlpm.error, IF(_xlpm.part = "", "", IF(LEN(_xlpm.error), _xlfn.SWITCH(IFERROR(_xlfn.TEXTBEFORE(_xlpm.error,":"), ""), "1", "Error", "2", "Disabled", "3", "Required", "4", "Warning", "Valid"), "Valid"))))</f>
        <v/>
      </c>
      <c r="Z8" s="22">
        <f t="array" ref="Z8">_xlfn.MAP('13 - Dressers &amp; Chests'!B8:B507, '13 - Dressers &amp; Chests'!Z8:Z507, '13 - Dressers &amp; Chests-WUO_ERR'!Z8:Z507, _xlfn.LAMBDA(_xlpm.part, _xlpm.val, _xlpm.error, IF(_xlpm.part = "", "", IF(LEN(_xlpm.error), _xlfn.SWITCH(IFERROR(_xlfn.TEXTBEFORE(_xlpm.error,":"), ""), "1", "Error", "2", "Disabled", "3", "Required", "4", "Warning", "Valid"), "Valid"))))</f>
        <v/>
      </c>
      <c r="AA8" s="22">
        <f t="array" ref="AA8">_xlfn.MAP('13 - Dressers &amp; Chests'!B8:B507, '13 - Dressers &amp; Chests'!AA8:AA507, '13 - Dressers &amp; Chests-WUO_ERR'!AA8:AA507, _xlfn.LAMBDA(_xlpm.part, _xlpm.val, _xlpm.error, IF(_xlpm.part = "", "", IF(LEN(_xlpm.error), _xlfn.SWITCH(IFERROR(_xlfn.TEXTBEFORE(_xlpm.error,":"), ""), "1", "Error", "2", "Disabled", "3", "Required", "4", "Warning", "Valid"), "Valid"))))</f>
        <v/>
      </c>
      <c r="AB8" s="22">
        <f t="array" ref="AB8">_xlfn.MAP('13 - Dressers &amp; Chests'!B8:B507, '13 - Dressers &amp; Chests'!AB8:AB507, '13 - Dressers &amp; Chests-WUO_ERR'!AB8:AB507, _xlfn.LAMBDA(_xlpm.part, _xlpm.val, _xlpm.error, IF(_xlpm.part = "", "", IF(LEN(_xlpm.error), _xlfn.SWITCH(IFERROR(_xlfn.TEXTBEFORE(_xlpm.error,":"), ""), "1", "Error", "2", "Disabled", "3", "Required", "4", "Warning", "Valid"), "Valid"))))</f>
        <v/>
      </c>
      <c r="AC8" s="22">
        <f t="array" ref="AC8">_xlfn.MAP('13 - Dressers &amp; Chests'!B8:B507, '13 - Dressers &amp; Chests'!AC8:AC507, '13 - Dressers &amp; Chests-WUO_ERR'!AC8:AC507, _xlfn.LAMBDA(_xlpm.part, _xlpm.val, _xlpm.error, IF(_xlpm.part = "", "", IF(LEN(_xlpm.error), _xlfn.SWITCH(IFERROR(_xlfn.TEXTBEFORE(_xlpm.error,":"), ""), "1", "Error", "2", "Disabled", "3", "Required", "4", "Warning", "Valid"), "Valid"))))</f>
        <v/>
      </c>
      <c r="AD8" s="22">
        <f t="array" ref="AD8">_xlfn.MAP('13 - Dressers &amp; Chests'!B8:B507, '13 - Dressers &amp; Chests'!AD8:AD507, '13 - Dressers &amp; Chests-WUO_ERR'!AD8:AD507, _xlfn.LAMBDA(_xlpm.part, _xlpm.val, _xlpm.error, IF(_xlpm.part = "", "", IF(LEN(_xlpm.error), _xlfn.SWITCH(IFERROR(_xlfn.TEXTBEFORE(_xlpm.error,":"), ""), "1", "Error", "2", "Disabled", "3", "Required", "4", "Warning", "Valid"), "Valid"))))</f>
        <v/>
      </c>
      <c r="AE8" s="22">
        <f t="array" ref="AE8">_xlfn.MAP('13 - Dressers &amp; Chests'!B8:B507, '13 - Dressers &amp; Chests'!AE8:AE507, '13 - Dressers &amp; Chests-WUO_ERR'!AE8:AE507, _xlfn.LAMBDA(_xlpm.part, _xlpm.val, _xlpm.error, IF(_xlpm.part = "", "", IF(LEN(_xlpm.error), _xlfn.SWITCH(IFERROR(_xlfn.TEXTBEFORE(_xlpm.error,":"), ""), "1", "Error", "2", "Disabled", "3", "Required", "4", "Warning", "Valid"), "Valid"))))</f>
        <v/>
      </c>
      <c r="AF8" s="22">
        <f t="array" ref="AF8">_xlfn.MAP('13 - Dressers &amp; Chests'!B8:B507, '13 - Dressers &amp; Chests'!AF8:AF507, '13 - Dressers &amp; Chests-WUO_ERR'!AF8:AF507, _xlfn.LAMBDA(_xlpm.part, _xlpm.val, _xlpm.error, IF(_xlpm.part = "", "", IF(LEN(_xlpm.error), _xlfn.SWITCH(IFERROR(_xlfn.TEXTBEFORE(_xlpm.error,":"), ""), "1", "Error", "2", "Disabled", "3", "Required", "4", "Warning", "Valid"), "Valid"))))</f>
        <v/>
      </c>
      <c r="AG8" s="22">
        <f t="array" ref="AG8">_xlfn.MAP('13 - Dressers &amp; Chests'!B8:B507, '13 - Dressers &amp; Chests'!AG8:AG507, '13 - Dressers &amp; Chests-WUO_ERR'!AG8:AG507, _xlfn.LAMBDA(_xlpm.part, _xlpm.val, _xlpm.error, IF(_xlpm.part = "", "", IF(LEN(_xlpm.error), _xlfn.SWITCH(IFERROR(_xlfn.TEXTBEFORE(_xlpm.error,":"), ""), "1", "Error", "2", "Disabled", "3", "Required", "4", "Warning", "Valid"), "Valid"))))</f>
        <v/>
      </c>
      <c r="AH8" s="22">
        <f t="array" ref="AH8">_xlfn.MAP('13 - Dressers &amp; Chests'!B8:B507, '13 - Dressers &amp; Chests'!AH8:AH507, '13 - Dressers &amp; Chests-WUO_ERR'!AH8:AH507, _xlfn.LAMBDA(_xlpm.part, _xlpm.val, _xlpm.error, IF(_xlpm.part = "", "", IF(LEN(_xlpm.error), _xlfn.SWITCH(IFERROR(_xlfn.TEXTBEFORE(_xlpm.error,":"), ""), "1", "Error", "2", "Disabled", "3", "Required", "4", "Warning", "Valid"), "Valid"))))</f>
        <v/>
      </c>
      <c r="AI8" s="22">
        <f t="array" ref="AI8">_xlfn.MAP('13 - Dressers &amp; Chests'!B8:B507, '13 - Dressers &amp; Chests'!AI8:AI507, '13 - Dressers &amp; Chests-WUO_ERR'!AI8:AI507, _xlfn.LAMBDA(_xlpm.part, _xlpm.val, _xlpm.error, IF(_xlpm.part = "", "", IF(LEN(_xlpm.error), _xlfn.SWITCH(IFERROR(_xlfn.TEXTBEFORE(_xlpm.error,":"), ""), "1", "Error", "2", "Disabled", "3", "Required", "4", "Warning", "Valid"), "Valid"))))</f>
        <v/>
      </c>
      <c r="AJ8" s="22">
        <f t="array" ref="AJ8">_xlfn.MAP('13 - Dressers &amp; Chests'!B8:B507, '13 - Dressers &amp; Chests'!AJ8:AJ507, '13 - Dressers &amp; Chests-WUO_ERR'!AJ8:AJ507, _xlfn.LAMBDA(_xlpm.part, _xlpm.val, _xlpm.error, IF(_xlpm.part = "", "", IF(LEN(_xlpm.error), _xlfn.SWITCH(IFERROR(_xlfn.TEXTBEFORE(_xlpm.error,":"), ""), "1", "Error", "2", "Disabled", "3", "Required", "4", "Warning", "Valid"), "Valid"))))</f>
        <v/>
      </c>
      <c r="AK8" s="22">
        <f t="array" ref="AK8">_xlfn.MAP('13 - Dressers &amp; Chests'!B8:B507, '13 - Dressers &amp; Chests'!AK8:AK507, '13 - Dressers &amp; Chests-WUO_ERR'!AK8:AK507, _xlfn.LAMBDA(_xlpm.part, _xlpm.val, _xlpm.error, IF(_xlpm.part = "", "", IF(LEN(_xlpm.error), _xlfn.SWITCH(IFERROR(_xlfn.TEXTBEFORE(_xlpm.error,":"), ""), "1", "Error", "2", "Disabled", "3", "Required", "4", "Warning", "Valid"), "Valid"))))</f>
        <v/>
      </c>
      <c r="AL8" s="22">
        <f t="array" ref="AL8">_xlfn.MAP('13 - Dressers &amp; Chests'!B8:B507, '13 - Dressers &amp; Chests'!AL8:AL507, '13 - Dressers &amp; Chests-WUO_ERR'!AL8:AL507, _xlfn.LAMBDA(_xlpm.part, _xlpm.val, _xlpm.error, IF(_xlpm.part = "", "", IF(LEN(_xlpm.error), _xlfn.SWITCH(IFERROR(_xlfn.TEXTBEFORE(_xlpm.error,":"), ""), "1", "Error", "2", "Disabled", "3", "Required", "4", "Warning", "Valid"), "Valid"))))</f>
        <v/>
      </c>
      <c r="AM8" s="22">
        <f t="array" ref="AM8">_xlfn.MAP('13 - Dressers &amp; Chests'!B8:B507, '13 - Dressers &amp; Chests'!AM8:AM507, '13 - Dressers &amp; Chests-WUO_ERR'!AM8:AM507, _xlfn.LAMBDA(_xlpm.part, _xlpm.val, _xlpm.error, IF(_xlpm.part = "", "", IF(LEN(_xlpm.error), _xlfn.SWITCH(IFERROR(_xlfn.TEXTBEFORE(_xlpm.error,":"), ""), "1", "Error", "2", "Disabled", "3", "Required", "4", "Warning", "Valid"), "Valid"))))</f>
        <v/>
      </c>
      <c r="AN8" s="22">
        <f t="array" ref="AN8">_xlfn.MAP('13 - Dressers &amp; Chests'!B8:B507, '13 - Dressers &amp; Chests'!AN8:AN507, '13 - Dressers &amp; Chests-WUO_ERR'!AN8:AN507, _xlfn.LAMBDA(_xlpm.part, _xlpm.val, _xlpm.error, IF(_xlpm.part = "", "", IF(LEN(_xlpm.error), _xlfn.SWITCH(IFERROR(_xlfn.TEXTBEFORE(_xlpm.error,":"), ""), "1", "Error", "2", "Disabled", "3", "Required", "4", "Warning", "Valid"), "Valid"))))</f>
        <v/>
      </c>
      <c r="AO8" s="22">
        <f t="array" ref="AO8">_xlfn.MAP('13 - Dressers &amp; Chests'!B8:B507, '13 - Dressers &amp; Chests'!AO8:AO507, '13 - Dressers &amp; Chests-WUO_ERR'!AO8:AO507, _xlfn.LAMBDA(_xlpm.part, _xlpm.val, _xlpm.error, IF(_xlpm.part = "", "", IF(LEN(_xlpm.error), _xlfn.SWITCH(IFERROR(_xlfn.TEXTBEFORE(_xlpm.error,":"), ""), "1", "Error", "2", "Disabled", "3", "Required", "4", "Warning", "Valid"), "Valid"))))</f>
        <v/>
      </c>
      <c r="AP8" s="22">
        <f t="array" ref="AP8">_xlfn.MAP('13 - Dressers &amp; Chests'!B8:B507, '13 - Dressers &amp; Chests'!AP8:AP507, '13 - Dressers &amp; Chests-WUO_ERR'!AP8:AP507, _xlfn.LAMBDA(_xlpm.part, _xlpm.val, _xlpm.error, IF(_xlpm.part = "", "", IF(LEN(_xlpm.error), _xlfn.SWITCH(IFERROR(_xlfn.TEXTBEFORE(_xlpm.error,":"), ""), "1", "Error", "2", "Disabled", "3", "Required", "4", "Warning", "Valid"), "Valid"))))</f>
        <v/>
      </c>
      <c r="AQ8" s="22">
        <f t="array" ref="AQ8">_xlfn.MAP('13 - Dressers &amp; Chests'!B8:B507, '13 - Dressers &amp; Chests'!AQ8:AQ507, '13 - Dressers &amp; Chests-WUO_ERR'!AQ8:AQ507, _xlfn.LAMBDA(_xlpm.part, _xlpm.val, _xlpm.error, IF(_xlpm.part = "", "", IF(LEN(_xlpm.error), _xlfn.SWITCH(IFERROR(_xlfn.TEXTBEFORE(_xlpm.error,":"), ""), "1", "Error", "2", "Disabled", "3", "Required", "4", "Warning", "Valid"), "Valid"))))</f>
        <v/>
      </c>
      <c r="AR8" s="22">
        <f t="array" ref="AR8">_xlfn.MAP('13 - Dressers &amp; Chests'!B8:B507, '13 - Dressers &amp; Chests'!AR8:AR507, '13 - Dressers &amp; Chests-WUO_ERR'!AR8:AR507, _xlfn.LAMBDA(_xlpm.part, _xlpm.val, _xlpm.error, IF(_xlpm.part = "", "", IF(LEN(_xlpm.error), _xlfn.SWITCH(IFERROR(_xlfn.TEXTBEFORE(_xlpm.error,":"), ""), "1", "Error", "2", "Disabled", "3", "Required", "4", "Warning", "Valid"), "Valid"))))</f>
        <v/>
      </c>
      <c r="AS8" s="22">
        <f t="array" ref="AS8">_xlfn.MAP('13 - Dressers &amp; Chests'!B8:B507, '13 - Dressers &amp; Chests'!AS8:AS507, '13 - Dressers &amp; Chests-WUO_ERR'!AS8:AS507, _xlfn.LAMBDA(_xlpm.part, _xlpm.val, _xlpm.error, IF(_xlpm.part = "", "", IF(LEN(_xlpm.error), _xlfn.SWITCH(IFERROR(_xlfn.TEXTBEFORE(_xlpm.error,":"), ""), "1", "Error", "2", "Disabled", "3", "Required", "4", "Warning", "Valid"), "Valid"))))</f>
        <v/>
      </c>
      <c r="AT8" s="22">
        <f t="array" ref="AT8">_xlfn.MAP('13 - Dressers &amp; Chests'!B8:B507, '13 - Dressers &amp; Chests'!AT8:AT507, '13 - Dressers &amp; Chests-WUO_ERR'!AT8:AT507, _xlfn.LAMBDA(_xlpm.part, _xlpm.val, _xlpm.error, IF(_xlpm.part = "", "", IF(LEN(_xlpm.error), _xlfn.SWITCH(IFERROR(_xlfn.TEXTBEFORE(_xlpm.error,":"), ""), "1", "Error", "2", "Disabled", "3", "Required", "4", "Warning", "Valid"), "Valid"))))</f>
        <v/>
      </c>
      <c r="AU8" s="22">
        <f t="array" ref="AU8">_xlfn.MAP('13 - Dressers &amp; Chests'!B8:B507, '13 - Dressers &amp; Chests'!AU8:AU507, '13 - Dressers &amp; Chests-WUO_ERR'!AU8:AU507, _xlfn.LAMBDA(_xlpm.part, _xlpm.val, _xlpm.error, IF(_xlpm.part = "", "", IF(LEN(_xlpm.error), _xlfn.SWITCH(IFERROR(_xlfn.TEXTBEFORE(_xlpm.error,":"), ""), "1", "Error", "2", "Disabled", "3", "Required", "4", "Warning", "Valid"), "Valid"))))</f>
        <v/>
      </c>
      <c r="AV8" s="22">
        <f t="array" ref="AV8">_xlfn.MAP('13 - Dressers &amp; Chests'!B8:B507, '13 - Dressers &amp; Chests'!AV8:AV507, '13 - Dressers &amp; Chests-WUO_ERR'!AV8:AV507, _xlfn.LAMBDA(_xlpm.part, _xlpm.val, _xlpm.error, IF(_xlpm.part = "", "", IF(LEN(_xlpm.error), _xlfn.SWITCH(IFERROR(_xlfn.TEXTBEFORE(_xlpm.error,":"), ""), "1", "Error", "2", "Disabled", "3", "Required", "4", "Warning", "Valid"), "Valid"))))</f>
        <v/>
      </c>
      <c r="AW8" s="22">
        <f t="array" ref="AW8">_xlfn.MAP('13 - Dressers &amp; Chests'!B8:B507, '13 - Dressers &amp; Chests'!AW8:AW507, '13 - Dressers &amp; Chests-WUO_ERR'!AW8:AW507, _xlfn.LAMBDA(_xlpm.part, _xlpm.val, _xlpm.error, IF(_xlpm.part = "", "", IF(LEN(_xlpm.error), _xlfn.SWITCH(IFERROR(_xlfn.TEXTBEFORE(_xlpm.error,":"), ""), "1", "Error", "2", "Disabled", "3", "Required", "4", "Warning", "Valid"), "Valid"))))</f>
        <v/>
      </c>
      <c r="AX8" s="22">
        <f t="array" ref="AX8">_xlfn.MAP('13 - Dressers &amp; Chests'!B8:B507, '13 - Dressers &amp; Chests'!AX8:AX507, '13 - Dressers &amp; Chests-WUO_ERR'!AX8:AX507, _xlfn.LAMBDA(_xlpm.part, _xlpm.val, _xlpm.error, IF(_xlpm.part = "", "", IF(LEN(_xlpm.error), _xlfn.SWITCH(IFERROR(_xlfn.TEXTBEFORE(_xlpm.error,":"), ""), "1", "Error", "2", "Disabled", "3", "Required", "4", "Warning", "Valid"), "Valid"))))</f>
        <v/>
      </c>
      <c r="AY8" s="22">
        <f t="array" ref="AY8">_xlfn.MAP('13 - Dressers &amp; Chests'!B8:B507, '13 - Dressers &amp; Chests'!AY8:AY507, '13 - Dressers &amp; Chests-WUO_ERR'!AY8:AY507, _xlfn.LAMBDA(_xlpm.part, _xlpm.val, _xlpm.error, IF(_xlpm.part = "", "", IF(LEN(_xlpm.error), _xlfn.SWITCH(IFERROR(_xlfn.TEXTBEFORE(_xlpm.error,":"), ""), "1", "Error", "2", "Disabled", "3", "Required", "4", "Warning", "Valid"), "Valid"))))</f>
        <v/>
      </c>
      <c r="AZ8" s="22">
        <f t="array" ref="AZ8">_xlfn.MAP('13 - Dressers &amp; Chests'!B8:B507, '13 - Dressers &amp; Chests'!AZ8:AZ507, '13 - Dressers &amp; Chests-WUO_ERR'!AZ8:AZ507, _xlfn.LAMBDA(_xlpm.part, _xlpm.val, _xlpm.error, IF(_xlpm.part = "", "", IF(LEN(_xlpm.error), _xlfn.SWITCH(IFERROR(_xlfn.TEXTBEFORE(_xlpm.error,":"), ""), "1", "Error", "2", "Disabled", "3", "Required", "4", "Warning", "Valid"), "Valid"))))</f>
        <v/>
      </c>
      <c r="BA8" s="22">
        <f t="array" ref="BA8">_xlfn.MAP('13 - Dressers &amp; Chests'!B8:B507, '13 - Dressers &amp; Chests'!BA8:BA507, '13 - Dressers &amp; Chests-WUO_ERR'!BA8:BA507, _xlfn.LAMBDA(_xlpm.part, _xlpm.val, _xlpm.error, IF(_xlpm.part = "", "", IF(LEN(_xlpm.error), _xlfn.SWITCH(IFERROR(_xlfn.TEXTBEFORE(_xlpm.error,":"), ""), "1", "Error", "2", "Disabled", "3", "Required", "4", "Warning", "Valid"), "Valid"))))</f>
        <v/>
      </c>
      <c r="BB8" s="22">
        <f t="array" ref="BB8">_xlfn.MAP('13 - Dressers &amp; Chests'!B8:B507, '13 - Dressers &amp; Chests'!BB8:BB507, '13 - Dressers &amp; Chests-WUO_ERR'!BB8:BB507, _xlfn.LAMBDA(_xlpm.part, _xlpm.val, _xlpm.error, IF(_xlpm.part = "", "", IF(LEN(_xlpm.error), _xlfn.SWITCH(IFERROR(_xlfn.TEXTBEFORE(_xlpm.error,":"), ""), "1", "Error", "2", "Disabled", "3", "Required", "4", "Warning", "Valid"), "Valid"))))</f>
        <v/>
      </c>
      <c r="BC8" s="22">
        <f t="array" ref="BC8">_xlfn.MAP('13 - Dressers &amp; Chests'!B8:B507, '13 - Dressers &amp; Chests'!BC8:BC507, '13 - Dressers &amp; Chests-WUO_ERR'!BC8:BC507, _xlfn.LAMBDA(_xlpm.part, _xlpm.val, _xlpm.error, IF(_xlpm.part = "", "", IF(LEN(_xlpm.error), _xlfn.SWITCH(IFERROR(_xlfn.TEXTBEFORE(_xlpm.error,":"), ""), "1", "Error", "2", "Disabled", "3", "Required", "4", "Warning", "Valid"), "Valid"))))</f>
        <v/>
      </c>
      <c r="BD8" s="22">
        <f t="array" ref="BD8">_xlfn.MAP('13 - Dressers &amp; Chests'!B8:B507, '13 - Dressers &amp; Chests'!BD8:BD507, '13 - Dressers &amp; Chests-WUO_ERR'!BD8:BD507, _xlfn.LAMBDA(_xlpm.part, _xlpm.val, _xlpm.error, IF(_xlpm.part = "", "", IF(LEN(_xlpm.error), _xlfn.SWITCH(IFERROR(_xlfn.TEXTBEFORE(_xlpm.error,":"), ""), "1", "Error", "2", "Disabled", "3", "Required", "4", "Warning", "Valid"), "Valid"))))</f>
        <v/>
      </c>
      <c r="BE8" s="22">
        <f t="array" ref="BE8">_xlfn.MAP('13 - Dressers &amp; Chests'!B8:B507, '13 - Dressers &amp; Chests'!BE8:BE507, '13 - Dressers &amp; Chests-WUO_ERR'!BE8:BE507, _xlfn.LAMBDA(_xlpm.part, _xlpm.val, _xlpm.error, IF(_xlpm.part = "", "", IF(LEN(_xlpm.error), _xlfn.SWITCH(IFERROR(_xlfn.TEXTBEFORE(_xlpm.error,":"), ""), "1", "Error", "2", "Disabled", "3", "Required", "4", "Warning", "Valid"), "Valid"))))</f>
        <v/>
      </c>
      <c r="BF8" s="22">
        <f t="array" ref="BF8">_xlfn.MAP('13 - Dressers &amp; Chests'!B8:B507, '13 - Dressers &amp; Chests'!BF8:BF507, '13 - Dressers &amp; Chests-WUO_ERR'!BF8:BF507, _xlfn.LAMBDA(_xlpm.part, _xlpm.val, _xlpm.error, IF(_xlpm.part = "", "", IF(LEN(_xlpm.error), _xlfn.SWITCH(IFERROR(_xlfn.TEXTBEFORE(_xlpm.error,":"), ""), "1", "Error", "2", "Disabled", "3", "Required", "4", "Warning", "Valid"), "Valid"))))</f>
        <v/>
      </c>
      <c r="BG8" s="22">
        <f t="array" ref="BG8">_xlfn.MAP('13 - Dressers &amp; Chests'!B8:B507, '13 - Dressers &amp; Chests'!BG8:BG507, '13 - Dressers &amp; Chests-WUO_ERR'!BG8:BG507, _xlfn.LAMBDA(_xlpm.part, _xlpm.val, _xlpm.error, IF(_xlpm.part = "", "", IF(LEN(_xlpm.error), _xlfn.SWITCH(IFERROR(_xlfn.TEXTBEFORE(_xlpm.error,":"), ""), "1", "Error", "2", "Disabled", "3", "Required", "4", "Warning", "Valid"), "Valid"))))</f>
        <v/>
      </c>
      <c r="BH8" s="22">
        <f t="array" ref="BH8">_xlfn.MAP('13 - Dressers &amp; Chests'!B8:B507, '13 - Dressers &amp; Chests'!BH8:BH507, '13 - Dressers &amp; Chests-WUO_ERR'!BH8:BH507, _xlfn.LAMBDA(_xlpm.part, _xlpm.val, _xlpm.error, IF(_xlpm.part = "", "", IF(LEN(_xlpm.error), _xlfn.SWITCH(IFERROR(_xlfn.TEXTBEFORE(_xlpm.error,":"), ""), "1", "Error", "2", "Disabled", "3", "Required", "4", "Warning", "Valid"), "Valid"))))</f>
        <v/>
      </c>
      <c r="BI8" s="22">
        <f t="array" ref="BI8">_xlfn.MAP('13 - Dressers &amp; Chests'!B8:B507, '13 - Dressers &amp; Chests'!BI8:BI507, '13 - Dressers &amp; Chests-WUO_ERR'!BI8:BI507, _xlfn.LAMBDA(_xlpm.part, _xlpm.val, _xlpm.error, IF(_xlpm.part = "", "", IF(LEN(_xlpm.error), _xlfn.SWITCH(IFERROR(_xlfn.TEXTBEFORE(_xlpm.error,":"), ""), "1", "Error", "2", "Disabled", "3", "Required", "4", "Warning", "Valid"), "Valid"))))</f>
        <v/>
      </c>
      <c r="BJ8" s="22">
        <f t="array" ref="BJ8">_xlfn.MAP('13 - Dressers &amp; Chests'!B8:B507, '13 - Dressers &amp; Chests'!BJ8:BJ507, '13 - Dressers &amp; Chests-WUO_ERR'!BJ8:BJ507, _xlfn.LAMBDA(_xlpm.part, _xlpm.val, _xlpm.error, IF(_xlpm.part = "", "", IF(LEN(_xlpm.error), _xlfn.SWITCH(IFERROR(_xlfn.TEXTBEFORE(_xlpm.error,":"), ""), "1", "Error", "2", "Disabled", "3", "Required", "4", "Warning", "Valid"), "Valid"))))</f>
        <v/>
      </c>
      <c r="BK8" s="22">
        <f t="array" ref="BK8">_xlfn.MAP('13 - Dressers &amp; Chests'!B8:B507, '13 - Dressers &amp; Chests'!BK8:BK507, '13 - Dressers &amp; Chests-WUO_ERR'!BK8:BK507, _xlfn.LAMBDA(_xlpm.part, _xlpm.val, _xlpm.error, IF(_xlpm.part = "", "", IF(LEN(_xlpm.error), _xlfn.SWITCH(IFERROR(_xlfn.TEXTBEFORE(_xlpm.error,":"), ""), "1", "Error", "2", "Disabled", "3", "Required", "4", "Warning", "Valid"), "Valid"))))</f>
        <v/>
      </c>
      <c r="BL8" s="22">
        <f t="array" ref="BL8">_xlfn.MAP('13 - Dressers &amp; Chests'!B8:B507, '13 - Dressers &amp; Chests'!BL8:BL507, '13 - Dressers &amp; Chests-WUO_ERR'!BL8:BL507, _xlfn.LAMBDA(_xlpm.part, _xlpm.val, _xlpm.error, IF(_xlpm.part = "", "", IF(LEN(_xlpm.error), _xlfn.SWITCH(IFERROR(_xlfn.TEXTBEFORE(_xlpm.error,":"), ""), "1", "Error", "2", "Disabled", "3", "Required", "4", "Warning", "Valid"), "Valid"))))</f>
        <v/>
      </c>
      <c r="BM8" s="22">
        <f t="array" ref="BM8">_xlfn.MAP('13 - Dressers &amp; Chests'!B8:B507, '13 - Dressers &amp; Chests'!BM8:BM507, '13 - Dressers &amp; Chests-WUO_ERR'!BM8:BM507, _xlfn.LAMBDA(_xlpm.part, _xlpm.val, _xlpm.error, IF(_xlpm.part = "", "", IF(LEN(_xlpm.error), _xlfn.SWITCH(IFERROR(_xlfn.TEXTBEFORE(_xlpm.error,":"), ""), "1", "Error", "2", "Disabled", "3", "Required", "4", "Warning", "Valid"), "Valid"))))</f>
        <v/>
      </c>
      <c r="BN8" s="22">
        <f t="array" ref="BN8">_xlfn.MAP('13 - Dressers &amp; Chests'!B8:B507, '13 - Dressers &amp; Chests'!BN8:BN507, '13 - Dressers &amp; Chests-WUO_ERR'!BN8:BN507, _xlfn.LAMBDA(_xlpm.part, _xlpm.val, _xlpm.error, IF(_xlpm.part = "", "", IF(LEN(_xlpm.error), _xlfn.SWITCH(IFERROR(_xlfn.TEXTBEFORE(_xlpm.error,":"), ""), "1", "Error", "2", "Disabled", "3", "Required", "4", "Warning", "Valid"), "Valid"))))</f>
        <v/>
      </c>
      <c r="BO8" s="22">
        <f t="array" ref="BO8">_xlfn.MAP('13 - Dressers &amp; Chests'!B8:B507, '13 - Dressers &amp; Chests'!BO8:BO507, '13 - Dressers &amp; Chests-WUO_ERR'!BO8:BO507, _xlfn.LAMBDA(_xlpm.part, _xlpm.val, _xlpm.error, IF(_xlpm.part = "", "", IF(LEN(_xlpm.error), _xlfn.SWITCH(IFERROR(_xlfn.TEXTBEFORE(_xlpm.error,":"), ""), "1", "Error", "2", "Disabled", "3", "Required", "4", "Warning", "Valid"), "Valid"))))</f>
        <v/>
      </c>
      <c r="BP8" s="22">
        <f t="array" ref="BP8">_xlfn.MAP('13 - Dressers &amp; Chests'!B8:B507, '13 - Dressers &amp; Chests'!BP8:BP507, '13 - Dressers &amp; Chests-WUO_ERR'!BP8:BP507, _xlfn.LAMBDA(_xlpm.part, _xlpm.val, _xlpm.error, IF(_xlpm.part = "", "", IF(LEN(_xlpm.error), _xlfn.SWITCH(IFERROR(_xlfn.TEXTBEFORE(_xlpm.error,":"), ""), "1", "Error", "2", "Disabled", "3", "Required", "4", "Warning", "Valid"), "Valid"))))</f>
        <v/>
      </c>
      <c r="BQ8" s="22">
        <f t="array" ref="BQ8">_xlfn.MAP('13 - Dressers &amp; Chests'!B8:B507, '13 - Dressers &amp; Chests'!BQ8:BQ507, '13 - Dressers &amp; Chests-WUO_ERR'!BQ8:BQ507, _xlfn.LAMBDA(_xlpm.part, _xlpm.val, _xlpm.error, IF(_xlpm.part = "", "", IF(LEN(_xlpm.error), _xlfn.SWITCH(IFERROR(_xlfn.TEXTBEFORE(_xlpm.error,":"), ""), "1", "Error", "2", "Disabled", "3", "Required", "4", "Warning", "Valid"), "Valid"))))</f>
        <v/>
      </c>
      <c r="BR8" s="22">
        <f t="array" ref="BR8">_xlfn.MAP('13 - Dressers &amp; Chests'!B8:B507, '13 - Dressers &amp; Chests'!BR8:BR507, '13 - Dressers &amp; Chests-WUO_ERR'!BR8:BR507, _xlfn.LAMBDA(_xlpm.part, _xlpm.val, _xlpm.error, IF(_xlpm.part = "", "", IF(LEN(_xlpm.error), _xlfn.SWITCH(IFERROR(_xlfn.TEXTBEFORE(_xlpm.error,":"), ""), "1", "Error", "2", "Disabled", "3", "Required", "4", "Warning", "Valid"), "Valid"))))</f>
        <v/>
      </c>
      <c r="BS8" s="22">
        <f t="array" ref="BS8">_xlfn.MAP('13 - Dressers &amp; Chests'!B8:B507, '13 - Dressers &amp; Chests'!BS8:BS507, '13 - Dressers &amp; Chests-WUO_ERR'!BS8:BS507, _xlfn.LAMBDA(_xlpm.part, _xlpm.val, _xlpm.error, IF(_xlpm.part = "", "", IF(LEN(_xlpm.error), _xlfn.SWITCH(IFERROR(_xlfn.TEXTBEFORE(_xlpm.error,":"), ""), "1", "Error", "2", "Disabled", "3", "Required", "4", "Warning", "Valid"), "Valid"))))</f>
        <v/>
      </c>
      <c r="BT8" s="22">
        <f t="array" ref="BT8">_xlfn.MAP('13 - Dressers &amp; Chests'!B8:B507, '13 - Dressers &amp; Chests'!BT8:BT507, '13 - Dressers &amp; Chests-WUO_ERR'!BT8:BT507, _xlfn.LAMBDA(_xlpm.part, _xlpm.val, _xlpm.error, IF(_xlpm.part = "", "", IF(LEN(_xlpm.error), _xlfn.SWITCH(IFERROR(_xlfn.TEXTBEFORE(_xlpm.error,":"), ""), "1", "Error", "2", "Disabled", "3", "Required", "4", "Warning", "Valid"), "Valid"))))</f>
        <v/>
      </c>
      <c r="BU8" s="22">
        <f t="array" ref="BU8">_xlfn.MAP('13 - Dressers &amp; Chests'!B8:B507, '13 - Dressers &amp; Chests'!BU8:BU507, '13 - Dressers &amp; Chests-WUO_ERR'!BU8:BU507, _xlfn.LAMBDA(_xlpm.part, _xlpm.val, _xlpm.error, IF(_xlpm.part = "", "", IF(LEN(_xlpm.error), _xlfn.SWITCH(IFERROR(_xlfn.TEXTBEFORE(_xlpm.error,":"), ""), "1", "Error", "2", "Disabled", "3", "Required", "4", "Warning", "Valid"), "Valid"))))</f>
        <v/>
      </c>
      <c r="BV8" s="22">
        <f t="array" ref="BV8">_xlfn.MAP('13 - Dressers &amp; Chests'!B8:B507, '13 - Dressers &amp; Chests'!BV8:BV507, '13 - Dressers &amp; Chests-WUO_ERR'!BV8:BV507, _xlfn.LAMBDA(_xlpm.part, _xlpm.val, _xlpm.error, IF(_xlpm.part = "", "", IF(LEN(_xlpm.error), _xlfn.SWITCH(IFERROR(_xlfn.TEXTBEFORE(_xlpm.error,":"), ""), "1", "Error", "2", "Disabled", "3", "Required", "4", "Warning", "Valid"), "Valid"))))</f>
        <v/>
      </c>
      <c r="BW8" s="22">
        <f t="array" ref="BW8">_xlfn.MAP('13 - Dressers &amp; Chests'!B8:B507, '13 - Dressers &amp; Chests'!BW8:BW507, '13 - Dressers &amp; Chests-WUO_ERR'!BW8:BW507, _xlfn.LAMBDA(_xlpm.part, _xlpm.val, _xlpm.error, IF(_xlpm.part = "", "", IF(LEN(_xlpm.error), _xlfn.SWITCH(IFERROR(_xlfn.TEXTBEFORE(_xlpm.error,":"), ""), "1", "Error", "2", "Disabled", "3", "Required", "4", "Warning", "Valid"), "Valid"))))</f>
        <v/>
      </c>
      <c r="BX8" s="22">
        <f t="array" ref="BX8">_xlfn.MAP('13 - Dressers &amp; Chests'!B8:B507, '13 - Dressers &amp; Chests'!BX8:BX507, '13 - Dressers &amp; Chests-WUO_ERR'!BX8:BX507, _xlfn.LAMBDA(_xlpm.part, _xlpm.val, _xlpm.error, IF(_xlpm.part = "", "", IF(LEN(_xlpm.error), _xlfn.SWITCH(IFERROR(_xlfn.TEXTBEFORE(_xlpm.error,":"), ""), "1", "Error", "2", "Disabled", "3", "Required", "4", "Warning", "Valid"), "Valid"))))</f>
        <v/>
      </c>
      <c r="BY8" s="22">
        <f t="array" ref="BY8">_xlfn.MAP('13 - Dressers &amp; Chests'!B8:B507, '13 - Dressers &amp; Chests'!BY8:BY507, '13 - Dressers &amp; Chests-WUO_ERR'!BY8:BY507, _xlfn.LAMBDA(_xlpm.part, _xlpm.val, _xlpm.error, IF(_xlpm.part = "", "", IF(LEN(_xlpm.error), _xlfn.SWITCH(IFERROR(_xlfn.TEXTBEFORE(_xlpm.error,":"), ""), "1", "Error", "2", "Disabled", "3", "Required", "4", "Warning", "Valid"), "Valid"))))</f>
        <v/>
      </c>
      <c r="BZ8" s="22">
        <f t="array" ref="BZ8">_xlfn.MAP('13 - Dressers &amp; Chests'!B8:B507, '13 - Dressers &amp; Chests'!BZ8:BZ507, '13 - Dressers &amp; Chests-WUO_ERR'!BZ8:BZ507, _xlfn.LAMBDA(_xlpm.part, _xlpm.val, _xlpm.error, IF(_xlpm.part = "", "", IF(LEN(_xlpm.error), _xlfn.SWITCH(IFERROR(_xlfn.TEXTBEFORE(_xlpm.error,":"), ""), "1", "Error", "2", "Disabled", "3", "Required", "4", "Warning", "Valid"), "Valid"))))</f>
        <v/>
      </c>
      <c r="CA8" s="22">
        <f t="array" ref="CA8">_xlfn.MAP('13 - Dressers &amp; Chests'!B8:B507, '13 - Dressers &amp; Chests'!CA8:CA507, '13 - Dressers &amp; Chests-WUO_ERR'!CA8:CA507, _xlfn.LAMBDA(_xlpm.part, _xlpm.val, _xlpm.error, IF(_xlpm.part = "", "", IF(LEN(_xlpm.error), _xlfn.SWITCH(IFERROR(_xlfn.TEXTBEFORE(_xlpm.error,":"), ""), "1", "Error", "2", "Disabled", "3", "Required", "4", "Warning", "Valid"), "Valid"))))</f>
        <v/>
      </c>
      <c r="CB8" s="22">
        <f t="array" ref="CB8">_xlfn.MAP('13 - Dressers &amp; Chests'!B8:B507, '13 - Dressers &amp; Chests'!CB8:CB507, '13 - Dressers &amp; Chests-WUO_ERR'!CB8:CB507, _xlfn.LAMBDA(_xlpm.part, _xlpm.val, _xlpm.error, IF(_xlpm.part = "", "", IF(LEN(_xlpm.error), _xlfn.SWITCH(IFERROR(_xlfn.TEXTBEFORE(_xlpm.error,":"), ""), "1", "Error", "2", "Disabled", "3", "Required", "4", "Warning", "Valid"), "Valid"))))</f>
        <v/>
      </c>
      <c r="CC8" s="22">
        <f t="array" ref="CC8">_xlfn.MAP('13 - Dressers &amp; Chests'!B8:B507, '13 - Dressers &amp; Chests'!CC8:CC507, '13 - Dressers &amp; Chests-WUO_ERR'!CC8:CC507, _xlfn.LAMBDA(_xlpm.part, _xlpm.val, _xlpm.error, IF(_xlpm.part = "", "", IF(LEN(_xlpm.error), _xlfn.SWITCH(IFERROR(_xlfn.TEXTBEFORE(_xlpm.error,":"), ""), "1", "Error", "2", "Disabled", "3", "Required", "4", "Warning", "Valid"), "Valid"))))</f>
        <v/>
      </c>
      <c r="CD8" s="22">
        <f t="array" ref="CD8">_xlfn.MAP('13 - Dressers &amp; Chests'!B8:B507, '13 - Dressers &amp; Chests'!CD8:CD507, '13 - Dressers &amp; Chests-WUO_ERR'!CD8:CD507, _xlfn.LAMBDA(_xlpm.part, _xlpm.val, _xlpm.error, IF(_xlpm.part = "", "", IF(LEN(_xlpm.error), _xlfn.SWITCH(IFERROR(_xlfn.TEXTBEFORE(_xlpm.error,":"), ""), "1", "Error", "2", "Disabled", "3", "Required", "4", "Warning", "Valid"), "Valid"))))</f>
        <v/>
      </c>
      <c r="CE8" s="22">
        <f t="array" ref="CE8">_xlfn.MAP('13 - Dressers &amp; Chests'!B8:B507, '13 - Dressers &amp; Chests'!CE8:CE507, '13 - Dressers &amp; Chests-WUO_ERR'!CE8:CE507, _xlfn.LAMBDA(_xlpm.part, _xlpm.val, _xlpm.error, IF(_xlpm.part = "", "", IF(LEN(_xlpm.error), _xlfn.SWITCH(IFERROR(_xlfn.TEXTBEFORE(_xlpm.error,":"), ""), "1", "Error", "2", "Disabled", "3", "Required", "4", "Warning", "Valid"), "Valid"))))</f>
        <v/>
      </c>
      <c r="CF8" s="22">
        <f t="array" ref="CF8">_xlfn.MAP('13 - Dressers &amp; Chests'!B8:B507, '13 - Dressers &amp; Chests'!CF8:CF507, '13 - Dressers &amp; Chests-WUO_ERR'!CF8:CF507, _xlfn.LAMBDA(_xlpm.part, _xlpm.val, _xlpm.error, IF(_xlpm.part = "", "", IF(LEN(_xlpm.error), _xlfn.SWITCH(IFERROR(_xlfn.TEXTBEFORE(_xlpm.error,":"), ""), "1", "Error", "2", "Disabled", "3", "Required", "4", "Warning", "Valid"), "Valid"))))</f>
        <v/>
      </c>
      <c r="CG8" s="22">
        <f t="array" ref="CG8">_xlfn.MAP('13 - Dressers &amp; Chests'!B8:B507, '13 - Dressers &amp; Chests'!CG8:CG507, '13 - Dressers &amp; Chests-WUO_ERR'!CG8:CG507, _xlfn.LAMBDA(_xlpm.part, _xlpm.val, _xlpm.error, IF(_xlpm.part = "", "", IF(LEN(_xlpm.error), _xlfn.SWITCH(IFERROR(_xlfn.TEXTBEFORE(_xlpm.error,":"), ""), "1", "Error", "2", "Disabled", "3", "Required", "4", "Warning", "Valid"), "Valid"))))</f>
        <v/>
      </c>
      <c r="CH8" s="22">
        <f t="array" ref="CH8">_xlfn.MAP('13 - Dressers &amp; Chests'!B8:B507, '13 - Dressers &amp; Chests'!CH8:CH507, '13 - Dressers &amp; Chests-WUO_ERR'!CH8:CH507, _xlfn.LAMBDA(_xlpm.part, _xlpm.val, _xlpm.error, IF(_xlpm.part = "", "", IF(LEN(_xlpm.error), _xlfn.SWITCH(IFERROR(_xlfn.TEXTBEFORE(_xlpm.error,":"), ""), "1", "Error", "2", "Disabled", "3", "Required", "4", "Warning", "Valid"), "Valid"))))</f>
        <v/>
      </c>
      <c r="CI8" s="22">
        <f t="array" ref="CI8">_xlfn.MAP('13 - Dressers &amp; Chests'!B8:B507, '13 - Dressers &amp; Chests'!CI8:CI507, '13 - Dressers &amp; Chests-WUO_ERR'!CI8:CI507, _xlfn.LAMBDA(_xlpm.part, _xlpm.val, _xlpm.error, IF(_xlpm.part = "", "", IF(LEN(_xlpm.error), _xlfn.SWITCH(IFERROR(_xlfn.TEXTBEFORE(_xlpm.error,":"), ""), "1", "Error", "2", "Disabled", "3", "Required", "4", "Warning", "Valid"), "Valid"))))</f>
        <v/>
      </c>
      <c r="CJ8" s="22">
        <f t="array" ref="CJ8">_xlfn.MAP('13 - Dressers &amp; Chests'!B8:B507, '13 - Dressers &amp; Chests'!CJ8:CJ507, '13 - Dressers &amp; Chests-WUO_ERR'!CJ8:CJ507, _xlfn.LAMBDA(_xlpm.part, _xlpm.val, _xlpm.error, IF(_xlpm.part = "", "", IF(LEN(_xlpm.error), _xlfn.SWITCH(IFERROR(_xlfn.TEXTBEFORE(_xlpm.error,":"), ""), "1", "Error", "2", "Disabled", "3", "Required", "4", "Warning", "Valid"), "Valid"))))</f>
        <v/>
      </c>
      <c r="CK8" s="22">
        <f t="array" ref="CK8">_xlfn.MAP('13 - Dressers &amp; Chests'!B8:B507, '13 - Dressers &amp; Chests'!CK8:CK507, '13 - Dressers &amp; Chests-WUO_ERR'!CK8:CK507, _xlfn.LAMBDA(_xlpm.part, _xlpm.val, _xlpm.error, IF(_xlpm.part = "", "", IF(LEN(_xlpm.error), _xlfn.SWITCH(IFERROR(_xlfn.TEXTBEFORE(_xlpm.error,":"), ""), "1", "Error", "2", "Disabled", "3", "Required", "4", "Warning", "Valid"), "Valid"))))</f>
        <v/>
      </c>
      <c r="CL8" s="22">
        <f t="array" ref="CL8">_xlfn.MAP('13 - Dressers &amp; Chests'!B8:B507, '13 - Dressers &amp; Chests'!CL8:CL507, '13 - Dressers &amp; Chests-WUO_ERR'!CL8:CL507, _xlfn.LAMBDA(_xlpm.part, _xlpm.val, _xlpm.error, IF(_xlpm.part = "", "", IF(LEN(_xlpm.error), _xlfn.SWITCH(IFERROR(_xlfn.TEXTBEFORE(_xlpm.error,":"), ""), "1", "Error", "2", "Disabled", "3", "Required", "4", "Warning", "Valid"), "Valid"))))</f>
        <v/>
      </c>
      <c r="CM8" s="22">
        <f t="array" ref="CM8">_xlfn.MAP('13 - Dressers &amp; Chests'!B8:B507, '13 - Dressers &amp; Chests'!CM8:CM507, '13 - Dressers &amp; Chests-WUO_ERR'!CM8:CM507, _xlfn.LAMBDA(_xlpm.part, _xlpm.val, _xlpm.error, IF(_xlpm.part = "", "", IF(LEN(_xlpm.error), _xlfn.SWITCH(IFERROR(_xlfn.TEXTBEFORE(_xlpm.error,":"), ""), "1", "Error", "2", "Disabled", "3", "Required", "4", "Warning", "Valid"), "Valid"))))</f>
        <v/>
      </c>
      <c r="CN8" s="22">
        <f t="array" ref="CN8">_xlfn.MAP('13 - Dressers &amp; Chests'!B8:B507, '13 - Dressers &amp; Chests'!CN8:CN507, '13 - Dressers &amp; Chests-WUO_ERR'!CN8:CN507, _xlfn.LAMBDA(_xlpm.part, _xlpm.val, _xlpm.error, IF(_xlpm.part = "", "", IF(LEN(_xlpm.error), _xlfn.SWITCH(IFERROR(_xlfn.TEXTBEFORE(_xlpm.error,":"), ""), "1", "Error", "2", "Disabled", "3", "Required", "4", "Warning", "Valid"), "Valid"))))</f>
        <v/>
      </c>
      <c r="CO8" s="22">
        <f t="array" ref="CO8">_xlfn.MAP('13 - Dressers &amp; Chests'!B8:B507, '13 - Dressers &amp; Chests'!CO8:CO507, '13 - Dressers &amp; Chests-WUO_ERR'!CO8:CO507, _xlfn.LAMBDA(_xlpm.part, _xlpm.val, _xlpm.error, IF(_xlpm.part = "", "", IF(LEN(_xlpm.error), _xlfn.SWITCH(IFERROR(_xlfn.TEXTBEFORE(_xlpm.error,":"), ""), "1", "Error", "2", "Disabled", "3", "Required", "4", "Warning", "Valid"), "Valid"))))</f>
        <v/>
      </c>
      <c r="CP8" s="22">
        <f t="array" ref="CP8">_xlfn.MAP('13 - Dressers &amp; Chests'!B8:B507, '13 - Dressers &amp; Chests'!CP8:CP507, '13 - Dressers &amp; Chests-WUO_ERR'!CP8:CP507, _xlfn.LAMBDA(_xlpm.part, _xlpm.val, _xlpm.error, IF(_xlpm.part = "", "", IF(LEN(_xlpm.error), _xlfn.SWITCH(IFERROR(_xlfn.TEXTBEFORE(_xlpm.error,":"), ""), "1", "Error", "2", "Disabled", "3", "Required", "4", "Warning", "Valid"), "Valid"))))</f>
        <v/>
      </c>
      <c r="CQ8" s="22">
        <f t="array" ref="CQ8">_xlfn.MAP('13 - Dressers &amp; Chests'!B8:B507, '13 - Dressers &amp; Chests'!CQ8:CQ507, '13 - Dressers &amp; Chests-WUO_ERR'!CQ8:CQ507, _xlfn.LAMBDA(_xlpm.part, _xlpm.val, _xlpm.error, IF(_xlpm.part = "", "", IF(LEN(_xlpm.error), _xlfn.SWITCH(IFERROR(_xlfn.TEXTBEFORE(_xlpm.error,":"), ""), "1", "Error", "2", "Disabled", "3", "Required", "4", "Warning", "Valid"), "Valid"))))</f>
        <v/>
      </c>
      <c r="CR8" s="22">
        <f t="array" ref="CR8">_xlfn.MAP('13 - Dressers &amp; Chests'!B8:B507, '13 - Dressers &amp; Chests'!CR8:CR507, '13 - Dressers &amp; Chests-WUO_ERR'!CR8:CR507, _xlfn.LAMBDA(_xlpm.part, _xlpm.val, _xlpm.error, IF(_xlpm.part = "", "", IF(LEN(_xlpm.error), _xlfn.SWITCH(IFERROR(_xlfn.TEXTBEFORE(_xlpm.error,":"), ""), "1", "Error", "2", "Disabled", "3", "Required", "4", "Warning", "Valid"), "Valid"))))</f>
        <v/>
      </c>
      <c r="CS8" s="22">
        <f t="array" ref="CS8">_xlfn.MAP('13 - Dressers &amp; Chests'!B8:B507, '13 - Dressers &amp; Chests'!CS8:CS507, '13 - Dressers &amp; Chests-WUO_ERR'!CS8:CS507, _xlfn.LAMBDA(_xlpm.part, _xlpm.val, _xlpm.error, IF(_xlpm.part = "", "", IF(LEN(_xlpm.error), _xlfn.SWITCH(IFERROR(_xlfn.TEXTBEFORE(_xlpm.error,":"), ""), "1", "Error", "2", "Disabled", "3", "Required", "4", "Warning", "Valid"), "Valid"))))</f>
        <v/>
      </c>
      <c r="CT8" s="22">
        <f t="array" ref="CT8">_xlfn.MAP('13 - Dressers &amp; Chests'!B8:B507, '13 - Dressers &amp; Chests'!CT8:CT507, '13 - Dressers &amp; Chests-WUO_ERR'!CT8:CT507, _xlfn.LAMBDA(_xlpm.part, _xlpm.val, _xlpm.error, IF(_xlpm.part = "", "", IF(LEN(_xlpm.error), _xlfn.SWITCH(IFERROR(_xlfn.TEXTBEFORE(_xlpm.error,":"), ""), "1", "Error", "2", "Disabled", "3", "Required", "4", "Warning", "Valid"), "Valid"))))</f>
        <v/>
      </c>
      <c r="CU8" s="22">
        <f t="array" ref="CU8">_xlfn.MAP('13 - Dressers &amp; Chests'!B8:B507, '13 - Dressers &amp; Chests'!CU8:CU507, '13 - Dressers &amp; Chests-WUO_ERR'!CU8:CU507, _xlfn.LAMBDA(_xlpm.part, _xlpm.val, _xlpm.error, IF(_xlpm.part = "", "", IF(LEN(_xlpm.error), _xlfn.SWITCH(IFERROR(_xlfn.TEXTBEFORE(_xlpm.error,":"), ""), "1", "Error", "2", "Disabled", "3", "Required", "4", "Warning", "Valid"), "Valid"))))</f>
        <v/>
      </c>
      <c r="CV8" s="22">
        <f t="array" ref="CV8">_xlfn.MAP('13 - Dressers &amp; Chests'!B8:B507, '13 - Dressers &amp; Chests'!CV8:CV507, '13 - Dressers &amp; Chests-WUO_ERR'!CV8:CV507, _xlfn.LAMBDA(_xlpm.part, _xlpm.val, _xlpm.error, IF(_xlpm.part = "", "", IF(LEN(_xlpm.error), _xlfn.SWITCH(IFERROR(_xlfn.TEXTBEFORE(_xlpm.error,":"), ""), "1", "Error", "2", "Disabled", "3", "Required", "4", "Warning", "Valid"), "Valid"))))</f>
        <v/>
      </c>
      <c r="CW8" s="22">
        <f t="array" ref="CW8">_xlfn.MAP('13 - Dressers &amp; Chests'!B8:B507, '13 - Dressers &amp; Chests'!CW8:CW507, '13 - Dressers &amp; Chests-WUO_ERR'!CW8:CW507, _xlfn.LAMBDA(_xlpm.part, _xlpm.val, _xlpm.error, IF(_xlpm.part = "", "", IF(LEN(_xlpm.error), _xlfn.SWITCH(IFERROR(_xlfn.TEXTBEFORE(_xlpm.error,":"), ""), "1", "Error", "2", "Disabled", "3", "Required", "4", "Warning", "Valid"), "Valid"))))</f>
        <v/>
      </c>
      <c r="CX8" s="22">
        <f t="array" ref="CX8">_xlfn.MAP('13 - Dressers &amp; Chests'!B8:B507, '13 - Dressers &amp; Chests'!CX8:CX507, '13 - Dressers &amp; Chests-WUO_ERR'!CX8:CX507, _xlfn.LAMBDA(_xlpm.part, _xlpm.val, _xlpm.error, IF(_xlpm.part = "", "", IF(LEN(_xlpm.error), _xlfn.SWITCH(IFERROR(_xlfn.TEXTBEFORE(_xlpm.error,":"), ""), "1", "Error", "2", "Disabled", "3", "Required", "4", "Warning", "Valid"), "Valid"))))</f>
        <v/>
      </c>
      <c r="CY8" s="22">
        <f t="array" ref="CY8">_xlfn.MAP('13 - Dressers &amp; Chests'!B8:B507, '13 - Dressers &amp; Chests'!CY8:CY507, '13 - Dressers &amp; Chests-WUO_ERR'!CY8:CY507, _xlfn.LAMBDA(_xlpm.part, _xlpm.val, _xlpm.error, IF(_xlpm.part = "", "", IF(LEN(_xlpm.error), _xlfn.SWITCH(IFERROR(_xlfn.TEXTBEFORE(_xlpm.error,":"), ""), "1", "Error", "2", "Disabled", "3", "Required", "4", "Warning", "Valid"), "Valid"))))</f>
        <v/>
      </c>
      <c r="CZ8" s="22">
        <f t="array" ref="CZ8">_xlfn.MAP('13 - Dressers &amp; Chests'!B8:B507, '13 - Dressers &amp; Chests'!CZ8:CZ507, '13 - Dressers &amp; Chests-WUO_ERR'!CZ8:CZ507, _xlfn.LAMBDA(_xlpm.part, _xlpm.val, _xlpm.error, IF(_xlpm.part = "", "", IF(LEN(_xlpm.error), _xlfn.SWITCH(IFERROR(_xlfn.TEXTBEFORE(_xlpm.error,":"), ""), "1", "Error", "2", "Disabled", "3", "Required", "4", "Warning", "Valid"), "Valid"))))</f>
        <v/>
      </c>
      <c r="DA8" s="22">
        <f t="array" ref="DA8">_xlfn.MAP('13 - Dressers &amp; Chests'!B8:B507, '13 - Dressers &amp; Chests'!DA8:DA507, '13 - Dressers &amp; Chests-WUO_ERR'!DA8:DA507, _xlfn.LAMBDA(_xlpm.part, _xlpm.val, _xlpm.error, IF(_xlpm.part = "", "", IF(LEN(_xlpm.error), _xlfn.SWITCH(IFERROR(_xlfn.TEXTBEFORE(_xlpm.error,":"), ""), "1", "Error", "2", "Disabled", "3", "Required", "4", "Warning", "Valid"), "Valid"))))</f>
        <v/>
      </c>
      <c r="DB8" s="22">
        <f t="array" ref="DB8">_xlfn.MAP('13 - Dressers &amp; Chests'!B8:B507, '13 - Dressers &amp; Chests'!DB8:DB507, '13 - Dressers &amp; Chests-WUO_ERR'!DB8:DB507, _xlfn.LAMBDA(_xlpm.part, _xlpm.val, _xlpm.error, IF(_xlpm.part = "", "", IF(LEN(_xlpm.error), _xlfn.SWITCH(IFERROR(_xlfn.TEXTBEFORE(_xlpm.error,":"), ""), "1", "Error", "2", "Disabled", "3", "Required", "4", "Warning", "Valid"), "Valid"))))</f>
        <v/>
      </c>
      <c r="DC8" s="22">
        <f t="array" ref="DC8">_xlfn.MAP('13 - Dressers &amp; Chests'!B8:B507, '13 - Dressers &amp; Chests'!DC8:DC507, '13 - Dressers &amp; Chests-WUO_ERR'!DC8:DC507, _xlfn.LAMBDA(_xlpm.part, _xlpm.val, _xlpm.error, IF(_xlpm.part = "", "", IF(LEN(_xlpm.error), _xlfn.SWITCH(IFERROR(_xlfn.TEXTBEFORE(_xlpm.error,":"), ""), "1", "Error", "2", "Disabled", "3", "Required", "4", "Warning", "Valid"), "Valid"))))</f>
        <v/>
      </c>
      <c r="DD8" s="22">
        <f t="array" ref="DD8">_xlfn.MAP('13 - Dressers &amp; Chests'!B8:B507, '13 - Dressers &amp; Chests'!DD8:DD507, '13 - Dressers &amp; Chests-WUO_ERR'!DD8:DD507, _xlfn.LAMBDA(_xlpm.part, _xlpm.val, _xlpm.error, IF(_xlpm.part = "", "", IF(LEN(_xlpm.error), _xlfn.SWITCH(IFERROR(_xlfn.TEXTBEFORE(_xlpm.error,":"), ""), "1", "Error", "2", "Disabled", "3", "Required", "4", "Warning", "Valid"), "Valid"))))</f>
        <v/>
      </c>
      <c r="DE8" s="22">
        <f t="array" ref="DE8">_xlfn.MAP('13 - Dressers &amp; Chests'!B8:B507, '13 - Dressers &amp; Chests'!DE8:DE507, '13 - Dressers &amp; Chests-WUO_ERR'!DE8:DE507, _xlfn.LAMBDA(_xlpm.part, _xlpm.val, _xlpm.error, IF(_xlpm.part = "", "", IF(LEN(_xlpm.error), _xlfn.SWITCH(IFERROR(_xlfn.TEXTBEFORE(_xlpm.error,":"), ""), "1", "Error", "2", "Disabled", "3", "Required", "4", "Warning", "Valid"), "Valid"))))</f>
        <v/>
      </c>
      <c r="DF8" s="22">
        <f t="array" ref="DF8">_xlfn.MAP('13 - Dressers &amp; Chests'!B8:B507, '13 - Dressers &amp; Chests'!DF8:DF507, '13 - Dressers &amp; Chests-WUO_ERR'!DF8:DF507, _xlfn.LAMBDA(_xlpm.part, _xlpm.val, _xlpm.error, IF(_xlpm.part = "", "", IF(LEN(_xlpm.error), _xlfn.SWITCH(IFERROR(_xlfn.TEXTBEFORE(_xlpm.error,":"), ""), "1", "Error", "2", "Disabled", "3", "Required", "4", "Warning", "Valid"), "Valid"))))</f>
        <v/>
      </c>
      <c r="DG8" s="22">
        <f t="array" ref="DG8">_xlfn.MAP('13 - Dressers &amp; Chests'!B8:B507, '13 - Dressers &amp; Chests'!DG8:DG507, '13 - Dressers &amp; Chests-WUO_ERR'!DG8:DG507, _xlfn.LAMBDA(_xlpm.part, _xlpm.val, _xlpm.error, IF(_xlpm.part = "", "", IF(LEN(_xlpm.error), _xlfn.SWITCH(IFERROR(_xlfn.TEXTBEFORE(_xlpm.error,":"), ""), "1", "Error", "2", "Disabled", "3", "Required", "4", "Warning", "Valid"), "Valid"))))</f>
        <v/>
      </c>
      <c r="DH8" s="22">
        <f t="array" ref="DH8">_xlfn.MAP('13 - Dressers &amp; Chests'!B8:B507, '13 - Dressers &amp; Chests'!DH8:DH507, '13 - Dressers &amp; Chests-WUO_ERR'!DH8:DH507, _xlfn.LAMBDA(_xlpm.part, _xlpm.val, _xlpm.error, IF(_xlpm.part = "", "", IF(LEN(_xlpm.error), _xlfn.SWITCH(IFERROR(_xlfn.TEXTBEFORE(_xlpm.error,":"), ""), "1", "Error", "2", "Disabled", "3", "Required", "4", "Warning", "Valid"), "Valid"))))</f>
        <v/>
      </c>
      <c r="DI8" s="22">
        <f t="array" ref="DI8">_xlfn.MAP('13 - Dressers &amp; Chests'!B8:B507, '13 - Dressers &amp; Chests'!DI8:DI507, '13 - Dressers &amp; Chests-WUO_ERR'!DI8:DI507, _xlfn.LAMBDA(_xlpm.part, _xlpm.val, _xlpm.error, IF(_xlpm.part = "", "", IF(LEN(_xlpm.error), _xlfn.SWITCH(IFERROR(_xlfn.TEXTBEFORE(_xlpm.error,":"), ""), "1", "Error", "2", "Disabled", "3", "Required", "4", "Warning", "Valid"), "Valid"))))</f>
        <v/>
      </c>
      <c r="DJ8" s="22">
        <f t="array" ref="DJ8">_xlfn.MAP('13 - Dressers &amp; Chests'!B8:B507, '13 - Dressers &amp; Chests'!DJ8:DJ507, '13 - Dressers &amp; Chests-WUO_ERR'!DJ8:DJ507, _xlfn.LAMBDA(_xlpm.part, _xlpm.val, _xlpm.error, IF(_xlpm.part = "", "", IF(LEN(_xlpm.error), _xlfn.SWITCH(IFERROR(_xlfn.TEXTBEFORE(_xlpm.error,":"), ""), "1", "Error", "2", "Disabled", "3", "Required", "4", "Warning", "Valid"), "Valid"))))</f>
        <v/>
      </c>
      <c r="DK8" s="22">
        <f t="array" ref="DK8">_xlfn.MAP('13 - Dressers &amp; Chests'!B8:B507, '13 - Dressers &amp; Chests'!DK8:DK507, '13 - Dressers &amp; Chests-WUO_ERR'!DK8:DK507, _xlfn.LAMBDA(_xlpm.part, _xlpm.val, _xlpm.error, IF(_xlpm.part = "", "", IF(LEN(_xlpm.error), _xlfn.SWITCH(IFERROR(_xlfn.TEXTBEFORE(_xlpm.error,":"), ""), "1", "Error", "2", "Disabled", "3", "Required", "4", "Warning", "Valid"), "Valid"))))</f>
        <v/>
      </c>
      <c r="DL8" s="22">
        <f t="array" ref="DL8">_xlfn.MAP('13 - Dressers &amp; Chests'!B8:B507, '13 - Dressers &amp; Chests'!DL8:DL507, '13 - Dressers &amp; Chests-WUO_ERR'!DL8:DL507, _xlfn.LAMBDA(_xlpm.part, _xlpm.val, _xlpm.error, IF(_xlpm.part = "", "", IF(LEN(_xlpm.error), _xlfn.SWITCH(IFERROR(_xlfn.TEXTBEFORE(_xlpm.error,":"), ""), "1", "Error", "2", "Disabled", "3", "Required", "4", "Warning", "Valid"), "Valid"))))</f>
        <v/>
      </c>
      <c r="DM8" s="22">
        <f t="array" ref="DM8">_xlfn.MAP('13 - Dressers &amp; Chests'!B8:B507, '13 - Dressers &amp; Chests'!DM8:DM507, '13 - Dressers &amp; Chests-WUO_ERR'!DM8:DM507, _xlfn.LAMBDA(_xlpm.part, _xlpm.val, _xlpm.error, IF(_xlpm.part = "", "", IF(LEN(_xlpm.error), _xlfn.SWITCH(IFERROR(_xlfn.TEXTBEFORE(_xlpm.error,":"), ""), "1", "Error", "2", "Disabled", "3", "Required", "4", "Warning", "Valid"), "Valid"))))</f>
        <v/>
      </c>
      <c r="DN8" s="22">
        <f t="array" ref="DN8">_xlfn.MAP('13 - Dressers &amp; Chests'!B8:B507, '13 - Dressers &amp; Chests'!DN8:DN507, '13 - Dressers &amp; Chests-WUO_ERR'!DN8:DN507, _xlfn.LAMBDA(_xlpm.part, _xlpm.val, _xlpm.error, IF(_xlpm.part = "", "", IF(LEN(_xlpm.error), _xlfn.SWITCH(IFERROR(_xlfn.TEXTBEFORE(_xlpm.error,":"), ""), "1", "Error", "2", "Disabled", "3", "Required", "4", "Warning", "Valid"), "Valid"))))</f>
        <v/>
      </c>
      <c r="DO8" s="22">
        <f t="array" ref="DO8">_xlfn.MAP('13 - Dressers &amp; Chests'!B8:B507, '13 - Dressers &amp; Chests'!DO8:DO507, '13 - Dressers &amp; Chests-WUO_ERR'!DO8:DO507, _xlfn.LAMBDA(_xlpm.part, _xlpm.val, _xlpm.error, IF(_xlpm.part = "", "", IF(LEN(_xlpm.error), _xlfn.SWITCH(IFERROR(_xlfn.TEXTBEFORE(_xlpm.error,":"), ""), "1", "Error", "2", "Disabled", "3", "Required", "4", "Warning", "Valid"), "Valid"))))</f>
        <v/>
      </c>
      <c r="DP8" s="22">
        <f t="array" ref="DP8">_xlfn.MAP('13 - Dressers &amp; Chests'!B8:B507, '13 - Dressers &amp; Chests'!DP8:DP507, '13 - Dressers &amp; Chests-WUO_ERR'!DP8:DP507, _xlfn.LAMBDA(_xlpm.part, _xlpm.val, _xlpm.error, IF(_xlpm.part = "", "", IF(LEN(_xlpm.error), _xlfn.SWITCH(IFERROR(_xlfn.TEXTBEFORE(_xlpm.error,":"), ""), "1", "Error", "2", "Disabled", "3", "Required", "4", "Warning", "Valid"), "Valid"))))</f>
        <v/>
      </c>
      <c r="DQ8" s="22">
        <f t="array" ref="DQ8">_xlfn.MAP('13 - Dressers &amp; Chests'!B8:B507, '13 - Dressers &amp; Chests'!DQ8:DQ507, '13 - Dressers &amp; Chests-WUO_ERR'!DQ8:DQ507, _xlfn.LAMBDA(_xlpm.part, _xlpm.val, _xlpm.error, IF(_xlpm.part = "", "", IF(LEN(_xlpm.error), _xlfn.SWITCH(IFERROR(_xlfn.TEXTBEFORE(_xlpm.error,":"), ""), "1", "Error", "2", "Disabled", "3", "Required", "4", "Warning", "Valid"), "Valid"))))</f>
        <v/>
      </c>
      <c r="DR8" s="22">
        <f t="array" ref="DR8">_xlfn.MAP('13 - Dressers &amp; Chests'!B8:B507, '13 - Dressers &amp; Chests'!DR8:DR507, '13 - Dressers &amp; Chests-WUO_ERR'!DR8:DR507, _xlfn.LAMBDA(_xlpm.part, _xlpm.val, _xlpm.error, IF(_xlpm.part = "", "", IF(LEN(_xlpm.error), _xlfn.SWITCH(IFERROR(_xlfn.TEXTBEFORE(_xlpm.error,":"), ""), "1", "Error", "2", "Disabled", "3", "Required", "4", "Warning", "Valid"), "Valid"))))</f>
        <v/>
      </c>
      <c r="DS8" s="22">
        <f t="array" ref="DS8">_xlfn.MAP('13 - Dressers &amp; Chests'!B8:B507, '13 - Dressers &amp; Chests'!DS8:DS507, '13 - Dressers &amp; Chests-WUO_ERR'!DS8:DS507, _xlfn.LAMBDA(_xlpm.part, _xlpm.val, _xlpm.error, IF(_xlpm.part = "", "", IF(LEN(_xlpm.error), _xlfn.SWITCH(IFERROR(_xlfn.TEXTBEFORE(_xlpm.error,":"), ""), "1", "Error", "2", "Disabled", "3", "Required", "4", "Warning", "Valid"), "Valid"))))</f>
        <v/>
      </c>
      <c r="DT8" s="22">
        <f t="array" ref="DT8">_xlfn.MAP('13 - Dressers &amp; Chests'!B8:B507, '13 - Dressers &amp; Chests'!DT8:DT507, '13 - Dressers &amp; Chests-WUO_ERR'!DT8:DT507, _xlfn.LAMBDA(_xlpm.part, _xlpm.val, _xlpm.error, IF(_xlpm.part = "", "", IF(LEN(_xlpm.error), _xlfn.SWITCH(IFERROR(_xlfn.TEXTBEFORE(_xlpm.error,":"), ""), "1", "Error", "2", "Disabled", "3", "Required", "4", "Warning", "Valid"), "Valid"))))</f>
        <v/>
      </c>
      <c r="DU8" s="22">
        <f t="array" ref="DU8">_xlfn.MAP('13 - Dressers &amp; Chests'!B8:B507, '13 - Dressers &amp; Chests'!DU8:DU507, '13 - Dressers &amp; Chests-WUO_ERR'!DU8:DU507, _xlfn.LAMBDA(_xlpm.part, _xlpm.val, _xlpm.error, IF(_xlpm.part = "", "", IF(LEN(_xlpm.error), _xlfn.SWITCH(IFERROR(_xlfn.TEXTBEFORE(_xlpm.error,":"), ""), "1", "Error", "2", "Disabled", "3", "Required", "4", "Warning", "Valid"), "Valid"))))</f>
        <v/>
      </c>
      <c r="DV8" s="22">
        <f t="array" ref="DV8">_xlfn.MAP('13 - Dressers &amp; Chests'!B8:B507, '13 - Dressers &amp; Chests'!DV8:DV507, '13 - Dressers &amp; Chests-WUO_ERR'!DV8:DV507, _xlfn.LAMBDA(_xlpm.part, _xlpm.val, _xlpm.error, IF(_xlpm.part = "", "", IF(LEN(_xlpm.error), _xlfn.SWITCH(IFERROR(_xlfn.TEXTBEFORE(_xlpm.error,":"), ""), "1", "Error", "2", "Disabled", "3", "Required", "4", "Warning", "Valid"), "Valid"))))</f>
        <v/>
      </c>
      <c r="DW8" s="22">
        <f t="array" ref="DW8">_xlfn.MAP('13 - Dressers &amp; Chests'!B8:B507, '13 - Dressers &amp; Chests'!DW8:DW507, '13 - Dressers &amp; Chests-WUO_ERR'!DW8:DW507, _xlfn.LAMBDA(_xlpm.part, _xlpm.val, _xlpm.error, IF(_xlpm.part = "", "", IF(LEN(_xlpm.error), _xlfn.SWITCH(IFERROR(_xlfn.TEXTBEFORE(_xlpm.error,":"), ""), "1", "Error", "2", "Disabled", "3", "Required", "4", "Warning", "Valid"), "Valid"))))</f>
        <v/>
      </c>
      <c r="DX8" s="22">
        <f t="array" ref="DX8">_xlfn.MAP('13 - Dressers &amp; Chests'!B8:B507, '13 - Dressers &amp; Chests'!DX8:DX507, '13 - Dressers &amp; Chests-WUO_ERR'!DX8:DX507, _xlfn.LAMBDA(_xlpm.part, _xlpm.val, _xlpm.error, IF(_xlpm.part = "", "", IF(LEN(_xlpm.error), _xlfn.SWITCH(IFERROR(_xlfn.TEXTBEFORE(_xlpm.error,":"), ""), "1", "Error", "2", "Disabled", "3", "Required", "4", "Warning", "Valid"), "Valid"))))</f>
        <v/>
      </c>
      <c r="DY8" s="22">
        <f t="array" ref="DY8">_xlfn.MAP('13 - Dressers &amp; Chests'!B8:B507, '13 - Dressers &amp; Chests'!DY8:DY507, '13 - Dressers &amp; Chests-WUO_ERR'!DY8:DY507,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B7CC"/>
  <mergeCells count="9">
    <mergeCell ref="AL2:AO2"/>
    <mergeCell ref="AP2:AS2"/>
    <mergeCell ref="U2:Z2"/>
    <mergeCell ref="R2:T2"/>
    <mergeCell ref="B2:I2"/>
    <mergeCell ref="BO2:DY2"/>
    <mergeCell ref="AA2:AK2"/>
    <mergeCell ref="AT2:BN2"/>
    <mergeCell ref="J2:Q2"/>
  </mergeCells>
  <dataValidations count="112">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'WAYFAIR_USE_ONLY'!$GF$7:$GF14</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'WAYFAIR_USE_ONLY'!$GG$7:$GG10</formula1>
    </dataValidation>
    <dataValidation sqref="BR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'WAYFAIR_USE_ONLY'!$GH$7:$GH9</formula1>
    </dataValidation>
    <dataValidation sqref="B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U7" showDropDown="0" showInputMessage="1" showErrorMessage="1" allowBlank="1" errorTitle="Invalid Interlocking Drawers" error="The value provided is not a valid Interlocking Drawers." promptTitle="" prompt="If all products in this class consistently have the same answer, you can set a default value to apply automatically. For any exceptions, you can modify the answer for specific products without changing the default." type="list">
      <formula1>'WAYFAIR_USE_ONLY'!$GI$7:$GI11</formula1>
    </dataValidation>
    <dataValidation sqref="BV7" showDropDown="0" showInputMessage="1" showErrorMessage="1" allowBlank="1" errorTitle="Invalid Finished Back" error="The value provided is not a valid Finished Back." promptTitle="" prompt="If all products in this class consistently have the same answer, you can set a default value to apply automatically. For any exceptions, you can modify the answer for specific products without changing the default." type="list">
      <formula1>'WAYFAIR_USE_ONLY'!$GJ$7:$GJ10</formula1>
    </dataValidation>
    <dataValidation sqref="BW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'WAYFAIR_USE_ONLY'!$GK$7:$GK9</formula1>
    </dataValidation>
    <dataValidation sqref="BX7" showDropDown="0" showInputMessage="1" showErrorMessage="1" allowBlank="1" errorTitle="Invalid Lighting Included" error="The value provided is not a valid Lighting Included." promptTitle="" prompt="If all products in this class consistently have the same answer, you can set a default value to apply automatically. For any exceptions, you can modify the answer for specific products without changing the default." type="list">
      <formula1>'WAYFAIR_USE_ONLY'!$GL$7:$GL9</formula1>
    </dataValidation>
    <dataValidation sqref="BY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'WAYFAIR_USE_ONLY'!$GM$7:$GM9</formula1>
    </dataValidation>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C7" showDropDown="0" showInputMessage="1" showErrorMessage="1" allowBlank="1" errorTitle="Invalid Handle Material" error="The value provided is not a valid Handle Material.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'WAYFAIR_USE_ONLY'!$GN$7:$GN32</formula1>
    </dataValidation>
    <dataValidation sqref="CD7" showDropDown="0" showInputMessage="1" showErrorMessage="1" allowBlank="1" errorTitle="Invalid Removable Handle" error="The value provided is not a valid Removable Handle." promptTitle="" prompt="If all products in this class consistently have the same answer, you can set a default value to apply automatically. For any exceptions, you can modify the answer for specific products without changing the default." type="list">
      <formula1>'WAYFAIR_USE_ONLY'!$GO$7:$GO11</formula1>
    </dataValidation>
    <dataValidation sqref="CE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F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'WAYFAIR_USE_ONLY'!$GP$7:$GP26</formula1>
    </dataValidation>
    <dataValidation sqref="CG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'WAYFAIR_USE_ONLY'!$GQ$7:$GQ11</formula1>
    </dataValidation>
    <dataValidation sqref="C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J7" showDropDown="0" showInputMessage="1" showErrorMessage="1" allowBlank="1" errorTitle="Invalid Removable Drawers" error="The value provided is not a valid Removable Drawers." promptTitle="" prompt="If all products in this class consistently have the same answer, you can set a default value to apply automatically. For any exceptions, you can modify the answer for specific products without changing the default." type="list">
      <formula1>'WAYFAIR_USE_ONLY'!$GR$7:$GR11</formula1>
    </dataValidation>
    <dataValidation sqref="CK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'WAYFAIR_USE_ONLY'!$GS$7:$GS10</formula1>
    </dataValidation>
    <dataValidation sqref="CL7" showDropDown="0" showInputMessage="1" showErrorMessage="1" allowBlank="1" errorTitle="Invalid Lined Interior" error="The value provided is not a valid Lined Interior." promptTitle="" prompt="If all products in this class consistently have the same answer, you can set a default value to apply automatically. For any exceptions, you can modify the answer for specific products without changing the default." type="list">
      <formula1>'WAYFAIR_USE_ONLY'!$GT$7:$GT11</formula1>
    </dataValidation>
    <dataValidation sqref="CM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N7" showDropDown="0" showInputMessage="1" showErrorMessage="1" allowBlank="1" errorTitle="Invalid Manufactured Wood Type" error="The value provided is not a valid Manufactured Wood Type." promptTitle="" prompt="If all products in this class consistently have the same answer, you can set a default value to apply automatically. For any exceptions, you can modify the answer for specific products without changing the default." type="list">
      <formula1>'WAYFAIR_USE_ONLY'!$GU$7:$GU12</formula1>
    </dataValidation>
    <dataValidation sqref="CO7" showDropDown="0" showInputMessage="1" showErrorMessage="1" allowBlank="1" errorTitle="Invalid Scalloped Edges" error="The value provided is not a valid Scalloped Edges." promptTitle="" prompt="If all products in this class consistently have the same answer, you can set a default value to apply automatically. For any exceptions, you can modify the answer for specific products without changing the default." type="list">
      <formula1>'WAYFAIR_USE_ONLY'!$GV$7:$GV10</formula1>
    </dataValidation>
    <dataValidation sqref="CP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'WAYFAIR_USE_ONLY'!$GW$7:$GW11</formula1>
    </dataValidation>
    <dataValidation sqref="CQ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'WAYFAIR_USE_ONLY'!$GX$7:$GX11</formula1>
    </dataValidation>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'WAYFAIR_USE_ONLY'!$GY$7:$GY11</formula1>
    </dataValidation>
    <dataValidation sqref="CT7" showDropDown="0" showInputMessage="1" showErrorMessage="1" allowBlank="1" errorTitle="Invalid Additional Intended Use " error="The value provided is not a valid Additional Intended Use For Child." promptTitle="" prompt="If all products in this class consistently have the same answer, you can set a default value to apply automatically. For any exceptions, you can modify the answer for specific products without changing the default." type="list">
      <formula1>'WAYFAIR_USE_ONLY'!$GZ$7:$GZ9</formula1>
    </dataValidation>
    <dataValidation sqref="CU7" showDropDown="0" showInputMessage="1" showErrorMessage="1" allowBlank="1" errorTitle="Invalid Consumer Product Safety " error="The value provided is not a valid Consumer Product Safety Improvement Act (CPSIA) Compliant." promptTitle="" prompt="If all products in this class consistently have the same answer, you can set a default value to apply automatically. For any exceptions, you can modify the answer for specific products without changing the default." type="list">
      <formula1>'WAYFAIR_USE_ONLY'!$HA$7:$HA10</formula1>
    </dataValidation>
    <dataValidation sqref="CV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'WAYFAIR_USE_ONLY'!$HB$7:$HB9</formula1>
    </dataValidation>
    <dataValidation sqref="CW7" showDropDown="0" showInputMessage="1" showErrorMessage="1" allowBlank="1" errorTitle="Invalid Children’s Product Certi" error="The value provided is not a valid Children’s Product Certificate (CPC)." promptTitle="" prompt="If all products in this class consistently have the same answer, you can set a default value to apply automatically. For any exceptions, you can modify the answer for specific products without changing the default." type="list">
      <formula1>'WAYFAIR_USE_ONLY'!$HC$7:$HC10</formula1>
    </dataValidation>
    <dataValidation sqref="CX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'WAYFAIR_USE_ONLY'!$HD$7:$HD10</formula1>
    </dataValidation>
    <dataValidation sqref="CY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'WAYFAIR_USE_ONLY'!$HH$7:$HH10</formula1>
    </dataValidation>
    <dataValidation sqref="CZ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Z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'WAYFAIR_USE_ONLY'!$HE$7:$HE10</formula1>
    </dataValidation>
    <dataValidation sqref="DA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A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'WAYFAIR_USE_ONLY'!$HF$7:$HF10</formula1>
    </dataValidation>
    <dataValidation sqref="DB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B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'WAYFAIR_USE_ONLY'!$HG$7:$HG11</formula1>
    </dataValidation>
    <dataValidation sqref="DC7" showDropDown="0" showInputMessage="1" showErrorMessage="1" allowBlank="1" errorTitle="Invalid Product Stability UL Ver" error="The value provided is not a valid Product Stability UL Verified." promptTitle="" prompt="If all products in this class consistently have the same answer, you can set a default value to apply automatically. For any exceptions, you can modify the answer for specific products without changing the default." type="list">
      <formula1>'WAYFAIR_USE_ONLY'!$HI$7:$HI10</formula1>
    </dataValidation>
    <dataValidation sqref="DD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'WAYFAIR_USE_ONLY'!$HJ$7:$HJ9</formula1>
    </dataValidation>
    <dataValidation sqref="DE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'WAYFAIR_USE_ONLY'!$HK$7:$HK9</formula1>
    </dataValidation>
    <dataValidation sqref="DF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1" errorTitle="Invalid ASTM F2057-23 (STURDY)" error="The value provided is not a valid ASTM F2057-23 (STURDY)." promptTitle="" prompt="If all products in this class consistently have the same answer, you can set a default value to apply automatically. For any exceptions, you can modify the answer for specific products without changing the default." type="list">
      <formula1>'WAYFAIR_USE_ONLY'!$HL$7:$HL10</formula1>
    </dataValidation>
    <dataValidation sqref="DH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'WAYFAIR_USE_ONLY'!$HM$7:$HM10</formula1>
    </dataValidation>
    <dataValidation sqref="DI7" showDropDown="0" showInputMessage="1" showErrorMessage="1" allowBlank="1" errorTitle="Invalid California AB-1817 Compl" error="The value provided is not a valid California AB-1817 Compliant (CA PFAS)." promptTitle="" prompt="If all products in this class consistently have the same answer, you can set a default value to apply automatically. For any exceptions, you can modify the answer for specific products without changing the default." type="list">
      <formula1>'WAYFAIR_USE_ONLY'!$HN$7:$HN11</formula1>
    </dataValidation>
    <dataValidation sqref="DJ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'WAYFAIR_USE_ONLY'!$HO$7:$HO10</formula1>
    </dataValidation>
    <dataValidation sqref="DK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'WAYFAIR_USE_ONLY'!$HP$7:$HP12</formula1>
    </dataValidation>
    <dataValidation sqref="D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S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'WAYFAIR_USE_ONLY'!$HQ$7:$HQ9</formula1>
    </dataValidation>
    <dataValidation sqref="DT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'WAYFAIR_USE_ONLY'!$HR$7:$HR11</formula1>
    </dataValidation>
    <dataValidation sqref="D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V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'WAYFAIR_USE_ONLY'!$HT$7:$HT10</formula1>
    </dataValidation>
    <dataValidation sqref="DW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DW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'WAYFAIR_USE_ONLY'!$HS$7:$HS32</formula1>
    </dataValidation>
    <dataValidation sqref="DX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'WAYFAIR_USE_ONLY'!$HU$7:$HU9</formula1>
    </dataValidation>
    <dataValidation sqref="DY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'WAYFAIR_USE_ONLY'!$HV$7:$HV11</formula1>
    </dataValidation>
  </dataValidations>
  <hyperlinks>
    <hyperlink ref="D6" location="'Valid Values'!A1" display="Select"/>
    <hyperlink ref="J6" location="'Valid Values'!B1" display="Select"/>
    <hyperlink ref="L6" location="'Valid Values'!G1" display="Select"/>
    <hyperlink ref="N6" location="'Valid Values'!G1" display="Select"/>
    <hyperlink ref="P6" location="'Valid Values'!G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FA1" display="Select"/>
    <hyperlink ref="BP6" location="'Valid Values'!FB1" display="Please choose one or more from the following, using a semicolon (;) to separate each value: Glass; Stainless Steel; Cane; Raffia; Mango Wood; Aluminum; Manufactured Wood; Leather; Bamboo; Ceramic; Faux Leather; Iron; Laminate; Marble / Granite; Metal; Plastic / Acrylic; Teak; Solid + Manufactured Wood; Steel; Solid Wood; Wicker; Reclaimed Wood"/>
    <hyperlink ref="BT6" location="'Valid Values'!FC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BW6" location="'Valid Values'!FD1" display="Select"/>
    <hyperlink ref="BZ6" location="'Valid Values'!FE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A6" location="'Valid Values'!FF1" display="Please choose one or more from the following, using a semicolon (;) to separate each value: No Natural Variation; Natural Wood Grain Color Variation; Weathered Steel; Wood Knots; Natural Stone Color Variation; Unavailable"/>
    <hyperlink ref="CB6" location="'Valid Values'!FG1" display="Please choose one or more from the following, using a semicolon (;) to separate each value: Non Residential Use; Residential Use"/>
    <hyperlink ref="CC6" location="'Valid Values'!FH1" display="Select"/>
    <hyperlink ref="CE6" location="'Valid Values'!FI1" display="Please choose one or more from the following, using a semicolon (;) to separate each value: Made in USA; Made in USA of Imported Materials; Product of Canada; Made In Canada; Does Not Apply"/>
    <hyperlink ref="CF6" location="'Valid Values'!FJ1" display="Select"/>
    <hyperlink ref="CH6" location="'Valid Values'!FK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Larch; Sungkai; Does Not Apply"/>
    <hyperlink ref="CI6" location="'Valid Values'!FL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M6" location="'Valid Values'!FM1" display="Please choose one or more from the following, using a semicolon (;) to separate each value: Blue; Black; Brown; Red; Beige; Yellow; Pink; Purple; Gold; White; Ivory; Tan; Teal; Navy; Orange; Silver; Gray; Green; Cream; Clear"/>
    <hyperlink ref="CN6" location="'Valid Values'!FN1" display="Select"/>
    <hyperlink ref="CR6" location="'Valid Values'!FO1" display="Please choose one or more from the following, using a semicolon (;) to separate each value: Drawers; Hutch; Mirror; Shelves; Lighting; Cabinets; Doors; Unavailable; Does Not Apply"/>
    <hyperlink ref="CU6" location="'Valid Values'!FP1" display="Select"/>
    <hyperlink ref="CV6" location="'Valid Values'!FQ1" display="Select"/>
    <hyperlink ref="CW6" location="'Valid Values'!FR1" display="Select"/>
    <hyperlink ref="CX6" location="'Valid Values'!FS1" display="Select"/>
    <hyperlink ref="CZ6" location="'Valid Values'!FT1" display="Select"/>
    <hyperlink ref="DA6" location="'Valid Values'!FU1" display="Select"/>
    <hyperlink ref="DB6" location="'Valid Values'!FV1" display="Select"/>
    <hyperlink ref="DD6" location="'Valid Values'!FW1" display="Select"/>
    <hyperlink ref="DF6" location="'Valid Values'!FX1" display="Please choose one or more from the following, using a semicolon (;) to separate each value: Dual Language; Distribution Conflict; Logistics; Does Not Apply"/>
    <hyperlink ref="DG6" location="'Valid Values'!FY1" display="Select"/>
    <hyperlink ref="DH6" location="'Valid Values'!FZ1" display="Select"/>
    <hyperlink ref="DI6" location="'Valid Values'!GA1" display="Select"/>
    <hyperlink ref="DK6" location="'Valid Values'!GB1" display="Select"/>
    <hyperlink ref="DT6" location="'Valid Values'!GC1" display="Select"/>
    <hyperlink ref="DU6" location="'Valid Values'!GD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DW6" location="'Valid Values'!GE1" display="Select"/>
    <hyperlink ref="DY6" location="'Valid Values'!GF1" display="Select"/>
  </hyperlinks>
  <pageMargins left="0.7" right="0.7" top="0.75" bottom="0.75" header="0.3" footer="0.3"/>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FC507"/>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8.7109375" customWidth="1" style="22" min="67" max="67"/>
    <col width="10.7109375" customWidth="1" style="22" min="68" max="68"/>
    <col width="15.7109375" customWidth="1" style="22" min="69" max="69"/>
    <col width="23.7109375" customWidth="1" style="22" min="70" max="70"/>
    <col width="22.7109375" customWidth="1" style="22" min="71" max="71"/>
    <col width="16.7109375" customWidth="1" style="22" min="72" max="72"/>
    <col width="24.7109375" customWidth="1" style="22" min="73" max="73"/>
    <col width="22.7109375" customWidth="1" style="22" min="74" max="74"/>
    <col width="24.7109375" customWidth="1" style="22" min="75" max="75"/>
    <col width="18.7109375" customWidth="1" style="22" min="76" max="76"/>
    <col width="24.7109375" customWidth="1" style="22" min="77" max="77"/>
    <col width="20.7109375" customWidth="1" style="22" min="78" max="78"/>
    <col width="23.7109375" customWidth="1" style="22" min="79" max="79"/>
    <col width="29.7109375" customWidth="1" style="22" min="80" max="80"/>
    <col width="21.7109375" customWidth="1" style="22" min="81" max="81"/>
    <col width="40.7109375" customWidth="1" style="22" min="82" max="82"/>
    <col width="12.7109375" customWidth="1" style="22" min="83" max="83"/>
    <col width="27.7109375" customWidth="1" style="22" min="84" max="84"/>
    <col width="32.7109375" customWidth="1" style="22" min="85" max="85"/>
    <col width="39.7109375" customWidth="1" style="22" min="86" max="86"/>
    <col width="43.7109375" customWidth="1" style="22" min="87" max="87"/>
    <col width="29.7109375" customWidth="1" style="22" min="88" max="88"/>
    <col width="20.7109375" customWidth="1" style="22" min="89" max="89"/>
    <col width="17.7109375" customWidth="1" style="22" min="90" max="90"/>
    <col width="12.7109375" customWidth="1" style="22" min="91" max="91"/>
    <col width="34.7109375" customWidth="1" style="22" min="92" max="92"/>
    <col width="24.7109375" customWidth="1" style="22" min="93" max="93"/>
    <col width="17.7109375" customWidth="1" style="22" min="94" max="94"/>
    <col width="24.7109375" customWidth="1" style="22" min="95" max="95"/>
    <col width="21.7109375" customWidth="1" style="22" min="96" max="96"/>
    <col width="20.7109375" customWidth="1" style="22" min="97" max="97"/>
    <col width="35.7109375" customWidth="1" style="22" min="98" max="98"/>
    <col width="30.7109375" customWidth="1" style="22" min="99" max="99"/>
    <col width="11.7109375" customWidth="1" style="22" min="100" max="100"/>
    <col width="18.7109375" customWidth="1" style="22" min="101" max="101"/>
    <col width="15.7109375" customWidth="1" style="22" min="102" max="102"/>
    <col width="18.7109375" customWidth="1" style="22" min="103" max="103"/>
    <col width="27.7109375" customWidth="1" style="22" min="104" max="104"/>
    <col width="22.7109375" customWidth="1" style="22" min="105" max="105"/>
    <col width="17.7109375" customWidth="1" style="22" min="106" max="106"/>
    <col width="30.7109375" customWidth="1" style="22" min="107" max="107"/>
    <col width="20.7109375" customWidth="1" style="22" min="108" max="108"/>
    <col width="35.7109375" customWidth="1" style="22" min="109" max="109"/>
    <col width="21.7109375" customWidth="1" style="22" min="110" max="111"/>
    <col width="20.7109375" customWidth="1" style="22" min="112" max="112"/>
    <col width="34.7109375" customWidth="1" style="22" min="113" max="113"/>
    <col width="42.7109375" customWidth="1" style="22" min="114" max="114"/>
    <col width="38.7109375" customWidth="1" style="22" min="115" max="115"/>
    <col width="33.7109375" customWidth="1" style="22" min="116" max="116"/>
    <col width="53.7109375" customWidth="1" style="22" min="117" max="118"/>
    <col width="21.7109375" customWidth="1" style="22" min="119" max="119"/>
    <col width="27.7109375" customWidth="1" style="22" min="120" max="120"/>
    <col width="25.7109375" customWidth="1" style="22" min="121" max="121"/>
    <col width="30.7109375" customWidth="1" style="22" min="122" max="122"/>
    <col width="64.7109375" customWidth="1" style="22" min="123" max="123"/>
    <col width="31.7109375" customWidth="1" style="22" min="124" max="124"/>
    <col width="27.7109375" customWidth="1" style="22" min="125" max="125"/>
    <col width="68.7109375" customWidth="1" style="22" min="126" max="126"/>
    <col width="52.7109375" customWidth="1" style="22" min="127" max="127"/>
    <col width="20.7109375" customWidth="1" style="22" min="128" max="128"/>
    <col width="41.7109375" customWidth="1" style="22" min="129" max="129"/>
    <col width="44.7109375" customWidth="1" style="22" min="130" max="130"/>
    <col width="41.7109375" customWidth="1" style="22" min="131" max="131"/>
    <col width="20.7109375" customWidth="1" style="22" min="132" max="132"/>
    <col width="21.7109375" customWidth="1" style="22" min="133" max="133"/>
    <col width="18.7109375" customWidth="1" style="22" min="134" max="134"/>
    <col width="30.7109375" customWidth="1" style="22" min="135" max="135"/>
    <col width="47.7109375" customWidth="1" style="22" min="136" max="136"/>
    <col width="19.7109375" customWidth="1" style="22" min="137" max="137"/>
    <col width="43.7109375" customWidth="1" style="22" min="138" max="138"/>
    <col width="57.7109375" customWidth="1" style="22" min="139" max="139"/>
    <col width="62.7109375" customWidth="1" style="22" min="140" max="140"/>
    <col width="33.7109375" customWidth="1" style="22" min="141" max="141"/>
    <col width="79.7109375" customWidth="1" style="22" min="142" max="142"/>
    <col width="51.7109375" customWidth="1" style="22" min="143" max="143"/>
    <col width="35.7109375" customWidth="1" style="22" min="144" max="144"/>
    <col width="33.7109375" customWidth="1" style="22" min="145" max="146"/>
    <col width="27.7109375" customWidth="1" style="22" min="147" max="147"/>
    <col width="32.7109375" customWidth="1" style="22" min="148" max="148"/>
    <col width="37.7109375" customWidth="1" style="22" min="149" max="149"/>
    <col width="35.7109375" customWidth="1" style="22" min="150" max="150"/>
    <col width="36.7109375" customWidth="1" style="22" min="151" max="151"/>
    <col width="22.7109375" customWidth="1" style="22" min="152" max="153"/>
    <col width="45.7109375" customWidth="1" style="22" min="154" max="154"/>
    <col width="24.7109375" customWidth="1" style="22" min="155" max="155"/>
    <col width="31.7109375" customWidth="1" style="22" min="156" max="156"/>
    <col width="21.7109375" customWidth="1" style="22" min="157" max="157"/>
    <col width="29.7109375" customWidth="1" style="22" min="158" max="158"/>
    <col width="20.7109375" customWidth="1" style="22" min="159" max="159"/>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4170</t>
        </is>
      </c>
      <c r="BP1" s="22" t="inlineStr">
        <is>
          <t>378114</t>
        </is>
      </c>
      <c r="BQ1" s="22" t="inlineStr">
        <is>
          <t>184838</t>
        </is>
      </c>
      <c r="BR1" s="22" t="inlineStr">
        <is>
          <t>4164</t>
        </is>
      </c>
      <c r="BS1" s="22" t="inlineStr">
        <is>
          <t>224148</t>
        </is>
      </c>
      <c r="BT1" s="22" t="inlineStr">
        <is>
          <t>4166</t>
        </is>
      </c>
      <c r="BU1" s="22" t="inlineStr">
        <is>
          <t>4446</t>
        </is>
      </c>
      <c r="BV1" s="22" t="inlineStr">
        <is>
          <t>224163</t>
        </is>
      </c>
      <c r="BW1" s="22" t="inlineStr">
        <is>
          <t>4179</t>
        </is>
      </c>
      <c r="BX1" s="22" t="inlineStr">
        <is>
          <t>250332</t>
        </is>
      </c>
      <c r="BY1" s="22" t="inlineStr">
        <is>
          <t>4185</t>
        </is>
      </c>
      <c r="BZ1" s="22" t="inlineStr">
        <is>
          <t>4198</t>
        </is>
      </c>
      <c r="CA1" s="22" t="inlineStr">
        <is>
          <t>4178</t>
        </is>
      </c>
      <c r="CB1" s="22" t="inlineStr">
        <is>
          <t>242937</t>
        </is>
      </c>
      <c r="CC1" s="22" t="inlineStr">
        <is>
          <t>4223</t>
        </is>
      </c>
      <c r="CD1" s="22" t="inlineStr">
        <is>
          <t>218965</t>
        </is>
      </c>
      <c r="CE1" s="22" t="inlineStr">
        <is>
          <t>189877</t>
        </is>
      </c>
      <c r="CF1" s="22" t="inlineStr">
        <is>
          <t>222864</t>
        </is>
      </c>
      <c r="CG1" s="22" t="inlineStr">
        <is>
          <t>222865</t>
        </is>
      </c>
      <c r="CH1" s="22" t="inlineStr">
        <is>
          <t>223513</t>
        </is>
      </c>
      <c r="CI1" s="22" t="inlineStr">
        <is>
          <t>244542</t>
        </is>
      </c>
      <c r="CJ1" s="22" t="inlineStr">
        <is>
          <t>293470</t>
        </is>
      </c>
      <c r="CK1" s="22" t="inlineStr">
        <is>
          <t>293542</t>
        </is>
      </c>
      <c r="CL1" s="22" t="inlineStr">
        <is>
          <t>185256</t>
        </is>
      </c>
      <c r="CM1" s="22" t="inlineStr">
        <is>
          <t>336669</t>
        </is>
      </c>
      <c r="CN1" s="22" t="inlineStr">
        <is>
          <t>340102</t>
        </is>
      </c>
      <c r="CO1" s="22" t="inlineStr">
        <is>
          <t>340616</t>
        </is>
      </c>
      <c r="CP1" s="22" t="inlineStr">
        <is>
          <t>342726</t>
        </is>
      </c>
      <c r="CQ1" s="22" t="inlineStr">
        <is>
          <t>367366</t>
        </is>
      </c>
      <c r="CR1" s="22" t="inlineStr">
        <is>
          <t>342735</t>
        </is>
      </c>
      <c r="CS1" s="22" t="inlineStr">
        <is>
          <t>343332</t>
        </is>
      </c>
      <c r="CT1" s="22" t="inlineStr">
        <is>
          <t>343325</t>
        </is>
      </c>
      <c r="CU1" s="22" t="inlineStr">
        <is>
          <t>352587</t>
        </is>
      </c>
      <c r="CV1" s="22" t="inlineStr">
        <is>
          <t>4450</t>
        </is>
      </c>
      <c r="CW1" s="22" t="inlineStr">
        <is>
          <t>250237</t>
        </is>
      </c>
      <c r="CX1" s="22" t="inlineStr">
        <is>
          <t>370849</t>
        </is>
      </c>
      <c r="CY1" s="22" t="inlineStr">
        <is>
          <t>4191</t>
        </is>
      </c>
      <c r="CZ1" s="22" t="inlineStr">
        <is>
          <t>292745</t>
        </is>
      </c>
      <c r="DA1" s="22" t="inlineStr">
        <is>
          <t>4455</t>
        </is>
      </c>
      <c r="DB1" s="22" t="inlineStr">
        <is>
          <t>224155</t>
        </is>
      </c>
      <c r="DC1" s="22" t="inlineStr">
        <is>
          <t>224158</t>
        </is>
      </c>
      <c r="DD1" s="22" t="inlineStr">
        <is>
          <t>252472</t>
        </is>
      </c>
      <c r="DE1" s="22" t="inlineStr">
        <is>
          <t>384474</t>
        </is>
      </c>
      <c r="DF1" s="22" t="inlineStr">
        <is>
          <t>393968</t>
        </is>
      </c>
      <c r="DG1" s="22" t="inlineStr">
        <is>
          <t>400771</t>
        </is>
      </c>
      <c r="DH1" s="22" t="inlineStr">
        <is>
          <t>420141</t>
        </is>
      </c>
      <c r="DI1" s="22" t="inlineStr">
        <is>
          <t>4477</t>
        </is>
      </c>
      <c r="DJ1" s="22" t="inlineStr">
        <is>
          <t>378924</t>
        </is>
      </c>
      <c r="DK1" s="22" t="inlineStr">
        <is>
          <t>243577</t>
        </is>
      </c>
      <c r="DL1" s="22" t="inlineStr">
        <is>
          <t>201436</t>
        </is>
      </c>
      <c r="DM1" s="22" t="inlineStr">
        <is>
          <t>224768</t>
        </is>
      </c>
      <c r="DN1" s="22" t="inlineStr">
        <is>
          <t>224989</t>
        </is>
      </c>
      <c r="DO1" s="22" t="inlineStr">
        <is>
          <t>364707</t>
        </is>
      </c>
      <c r="DP1" s="22" t="inlineStr">
        <is>
          <t>224311</t>
        </is>
      </c>
      <c r="DQ1" s="22" t="inlineStr">
        <is>
          <t>225358</t>
        </is>
      </c>
      <c r="DR1" s="22" t="inlineStr">
        <is>
          <t>202653</t>
        </is>
      </c>
      <c r="DS1" s="22" t="inlineStr">
        <is>
          <t>236086</t>
        </is>
      </c>
      <c r="DT1" s="22" t="inlineStr">
        <is>
          <t>249274</t>
        </is>
      </c>
      <c r="DU1" s="22" t="inlineStr">
        <is>
          <t>251018</t>
        </is>
      </c>
      <c r="DV1" s="22" t="inlineStr">
        <is>
          <t>246161</t>
        </is>
      </c>
      <c r="DW1" s="22" t="inlineStr">
        <is>
          <t>246188</t>
        </is>
      </c>
      <c r="DX1" s="22" t="inlineStr">
        <is>
          <t>295637</t>
        </is>
      </c>
      <c r="DY1" s="22" t="inlineStr">
        <is>
          <t>243578</t>
        </is>
      </c>
      <c r="DZ1" s="22" t="inlineStr">
        <is>
          <t>4213</t>
        </is>
      </c>
      <c r="EA1" s="22" t="inlineStr">
        <is>
          <t>340095</t>
        </is>
      </c>
      <c r="EB1" s="22" t="inlineStr">
        <is>
          <t>373566</t>
        </is>
      </c>
      <c r="EC1" s="22" t="inlineStr">
        <is>
          <t>341882</t>
        </is>
      </c>
      <c r="ED1" s="22" t="inlineStr">
        <is>
          <t>341883</t>
        </is>
      </c>
      <c r="EE1" s="22" t="inlineStr">
        <is>
          <t>369622</t>
        </is>
      </c>
      <c r="EF1" s="22" t="inlineStr">
        <is>
          <t>382037</t>
        </is>
      </c>
      <c r="EG1" s="22" t="inlineStr">
        <is>
          <t>385924</t>
        </is>
      </c>
      <c r="EH1" s="22" t="inlineStr">
        <is>
          <t>394170</t>
        </is>
      </c>
      <c r="EI1" s="22" t="inlineStr">
        <is>
          <t>399936</t>
        </is>
      </c>
      <c r="EJ1" s="22" t="inlineStr">
        <is>
          <t>400793</t>
        </is>
      </c>
      <c r="EK1" s="22" t="inlineStr">
        <is>
          <t>412911</t>
        </is>
      </c>
      <c r="EL1" s="22" t="inlineStr">
        <is>
          <t>415139</t>
        </is>
      </c>
      <c r="EM1" s="22" t="inlineStr">
        <is>
          <t>421402</t>
        </is>
      </c>
      <c r="EN1" s="22" t="inlineStr">
        <is>
          <t>4215</t>
        </is>
      </c>
      <c r="EO1" s="22" t="inlineStr">
        <is>
          <t>4216</t>
        </is>
      </c>
      <c r="EP1" s="22" t="inlineStr">
        <is>
          <t>4217</t>
        </is>
      </c>
      <c r="EQ1" s="22" t="inlineStr">
        <is>
          <t>4218</t>
        </is>
      </c>
      <c r="ER1" s="22" t="inlineStr">
        <is>
          <t>4227</t>
        </is>
      </c>
      <c r="ES1" s="22" t="inlineStr">
        <is>
          <t>4486</t>
        </is>
      </c>
      <c r="ET1" s="22" t="inlineStr">
        <is>
          <t>4485</t>
        </is>
      </c>
      <c r="EU1" s="22" t="inlineStr">
        <is>
          <t>4484</t>
        </is>
      </c>
      <c r="EV1" s="22" t="inlineStr">
        <is>
          <t>4231</t>
        </is>
      </c>
      <c r="EW1" s="22" t="inlineStr">
        <is>
          <t>222782</t>
        </is>
      </c>
      <c r="EX1" s="22" t="inlineStr">
        <is>
          <t>222785</t>
        </is>
      </c>
      <c r="EY1" s="22" t="inlineStr">
        <is>
          <t>228892</t>
        </is>
      </c>
      <c r="EZ1" s="22" t="inlineStr">
        <is>
          <t>334025</t>
        </is>
      </c>
      <c r="FA1" s="22" t="inlineStr">
        <is>
          <t>254172</t>
        </is>
      </c>
      <c r="FB1" s="22" t="inlineStr">
        <is>
          <t>255296</t>
        </is>
      </c>
      <c r="FC1" s="22" t="inlineStr">
        <is>
          <t>256095</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1" t="n"/>
      <c r="EU2" s="41" t="n"/>
      <c r="EV2" s="41" t="n"/>
      <c r="EW2" s="41" t="n"/>
      <c r="EX2" s="41" t="n"/>
      <c r="EY2" s="41" t="n"/>
      <c r="EZ2" s="41" t="n"/>
      <c r="FA2" s="41" t="n"/>
      <c r="FB2" s="41" t="n"/>
      <c r="FC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Required</t>
        </is>
      </c>
      <c r="BQ3" s="32" t="inlineStr">
        <is>
          <t>Required</t>
        </is>
      </c>
      <c r="BR3" s="32" t="inlineStr">
        <is>
          <t>Required</t>
        </is>
      </c>
      <c r="BS3" s="32" t="inlineStr">
        <is>
          <t>Recommended</t>
        </is>
      </c>
      <c r="BT3" s="32" t="inlineStr">
        <is>
          <t>Required</t>
        </is>
      </c>
      <c r="BU3" s="32" t="inlineStr">
        <is>
          <t>Recommended</t>
        </is>
      </c>
      <c r="BV3" s="32" t="inlineStr">
        <is>
          <t>Recommended</t>
        </is>
      </c>
      <c r="BW3" s="32" t="inlineStr">
        <is>
          <t>Required</t>
        </is>
      </c>
      <c r="BX3" s="32" t="inlineStr">
        <is>
          <t>Required</t>
        </is>
      </c>
      <c r="BY3" s="32" t="inlineStr">
        <is>
          <t>Recommended</t>
        </is>
      </c>
      <c r="BZ3" s="32" t="inlineStr">
        <is>
          <t>Recommended</t>
        </is>
      </c>
      <c r="CA3" s="32" t="inlineStr">
        <is>
          <t>Recommended</t>
        </is>
      </c>
      <c r="CB3" s="32" t="inlineStr">
        <is>
          <t>Recommended</t>
        </is>
      </c>
      <c r="CC3" s="32" t="inlineStr">
        <is>
          <t>Recommended</t>
        </is>
      </c>
      <c r="CD3" s="32" t="inlineStr">
        <is>
          <t>Recommended</t>
        </is>
      </c>
      <c r="CE3" s="32" t="inlineStr">
        <is>
          <t>Required</t>
        </is>
      </c>
      <c r="CF3" s="32" t="inlineStr">
        <is>
          <t>Recommended</t>
        </is>
      </c>
      <c r="CG3" s="32" t="inlineStr">
        <is>
          <t>Recommended</t>
        </is>
      </c>
      <c r="CH3" s="32" t="inlineStr">
        <is>
          <t>Required</t>
        </is>
      </c>
      <c r="CI3" s="32" t="inlineStr">
        <is>
          <t>Additional</t>
        </is>
      </c>
      <c r="CJ3" s="32" t="inlineStr">
        <is>
          <t>Recommended</t>
        </is>
      </c>
      <c r="CK3" s="32" t="inlineStr">
        <is>
          <t>Recommended</t>
        </is>
      </c>
      <c r="CL3" s="32" t="inlineStr">
        <is>
          <t>Recommended</t>
        </is>
      </c>
      <c r="CM3" s="32" t="inlineStr">
        <is>
          <t>Required</t>
        </is>
      </c>
      <c r="CN3" s="32" t="inlineStr">
        <is>
          <t>Additional</t>
        </is>
      </c>
      <c r="CO3" s="32" t="inlineStr">
        <is>
          <t>Additional</t>
        </is>
      </c>
      <c r="CP3" s="32" t="inlineStr">
        <is>
          <t>Additional</t>
        </is>
      </c>
      <c r="CQ3" s="32" t="inlineStr">
        <is>
          <t>Additional</t>
        </is>
      </c>
      <c r="CR3" s="32" t="inlineStr">
        <is>
          <t>Additional</t>
        </is>
      </c>
      <c r="CS3" s="32" t="inlineStr">
        <is>
          <t>Additional</t>
        </is>
      </c>
      <c r="CT3" s="32" t="inlineStr">
        <is>
          <t>Additional</t>
        </is>
      </c>
      <c r="CU3" s="32" t="inlineStr">
        <is>
          <t>Additional</t>
        </is>
      </c>
      <c r="CV3" s="32" t="inlineStr">
        <is>
          <t>Recommended</t>
        </is>
      </c>
      <c r="CW3" s="32" t="inlineStr">
        <is>
          <t>Required</t>
        </is>
      </c>
      <c r="CX3" s="32" t="inlineStr">
        <is>
          <t>Recommended</t>
        </is>
      </c>
      <c r="CY3" s="32" t="inlineStr">
        <is>
          <t>Recommended</t>
        </is>
      </c>
      <c r="CZ3" s="32" t="inlineStr">
        <is>
          <t>Recommended</t>
        </is>
      </c>
      <c r="DA3" s="32" t="inlineStr">
        <is>
          <t>Recommended</t>
        </is>
      </c>
      <c r="DB3" s="32" t="inlineStr">
        <is>
          <t>Recommended</t>
        </is>
      </c>
      <c r="DC3" s="32" t="inlineStr">
        <is>
          <t>Recommended</t>
        </is>
      </c>
      <c r="DD3" s="32" t="inlineStr">
        <is>
          <t>Recommended</t>
        </is>
      </c>
      <c r="DE3" s="32" t="inlineStr">
        <is>
          <t>Recommended</t>
        </is>
      </c>
      <c r="DF3" s="32" t="inlineStr">
        <is>
          <t>Recommended</t>
        </is>
      </c>
      <c r="DG3" s="32" t="inlineStr">
        <is>
          <t>Recommended</t>
        </is>
      </c>
      <c r="DH3" s="32" t="inlineStr">
        <is>
          <t>Required</t>
        </is>
      </c>
      <c r="DI3" s="32" t="inlineStr">
        <is>
          <t>Recommended</t>
        </is>
      </c>
      <c r="DJ3" s="32" t="inlineStr">
        <is>
          <t>Recommended</t>
        </is>
      </c>
      <c r="DK3" s="32" t="inlineStr">
        <is>
          <t>Required</t>
        </is>
      </c>
      <c r="DL3" s="32" t="inlineStr">
        <is>
          <t>Required</t>
        </is>
      </c>
      <c r="DM3" s="32" t="inlineStr">
        <is>
          <t>Required</t>
        </is>
      </c>
      <c r="DN3" s="32" t="inlineStr">
        <is>
          <t>Required</t>
        </is>
      </c>
      <c r="DO3" s="32" t="inlineStr">
        <is>
          <t>Required</t>
        </is>
      </c>
      <c r="DP3" s="32" t="inlineStr">
        <is>
          <t>Required</t>
        </is>
      </c>
      <c r="DQ3" s="32" t="inlineStr">
        <is>
          <t>Recommended</t>
        </is>
      </c>
      <c r="DR3" s="32" t="inlineStr">
        <is>
          <t>Required</t>
        </is>
      </c>
      <c r="DS3" s="32" t="inlineStr">
        <is>
          <t>Required</t>
        </is>
      </c>
      <c r="DT3" s="32" t="inlineStr">
        <is>
          <t>Required</t>
        </is>
      </c>
      <c r="DU3" s="32" t="inlineStr">
        <is>
          <t>Required</t>
        </is>
      </c>
      <c r="DV3" s="32" t="inlineStr">
        <is>
          <t>Required</t>
        </is>
      </c>
      <c r="DW3" s="32" t="inlineStr">
        <is>
          <t>Required</t>
        </is>
      </c>
      <c r="DX3" s="32" t="inlineStr">
        <is>
          <t>Required</t>
        </is>
      </c>
      <c r="DY3" s="32" t="inlineStr">
        <is>
          <t>Required</t>
        </is>
      </c>
      <c r="DZ3" s="32" t="inlineStr">
        <is>
          <t>Required</t>
        </is>
      </c>
      <c r="EA3" s="32" t="inlineStr">
        <is>
          <t>Additional</t>
        </is>
      </c>
      <c r="EB3" s="32" t="inlineStr">
        <is>
          <t>Additional</t>
        </is>
      </c>
      <c r="EC3" s="32" t="inlineStr">
        <is>
          <t>Additional</t>
        </is>
      </c>
      <c r="ED3" s="32" t="inlineStr">
        <is>
          <t>Additional</t>
        </is>
      </c>
      <c r="EE3" s="32" t="inlineStr">
        <is>
          <t>Additional</t>
        </is>
      </c>
      <c r="EF3" s="32" t="inlineStr">
        <is>
          <t>Required</t>
        </is>
      </c>
      <c r="EG3" s="32" t="inlineStr">
        <is>
          <t>Recommended</t>
        </is>
      </c>
      <c r="EH3" s="32" t="inlineStr">
        <is>
          <t>Required</t>
        </is>
      </c>
      <c r="EI3" s="32" t="inlineStr">
        <is>
          <t>Required</t>
        </is>
      </c>
      <c r="EJ3" s="32" t="inlineStr">
        <is>
          <t>Required</t>
        </is>
      </c>
      <c r="EK3" s="32" t="inlineStr">
        <is>
          <t>Required</t>
        </is>
      </c>
      <c r="EL3" s="32" t="inlineStr">
        <is>
          <t>Recommended</t>
        </is>
      </c>
      <c r="EM3" s="32" t="inlineStr">
        <is>
          <t>Required</t>
        </is>
      </c>
      <c r="EN3" s="32" t="inlineStr">
        <is>
          <t>Required</t>
        </is>
      </c>
      <c r="EO3" s="32" t="inlineStr">
        <is>
          <t>Required</t>
        </is>
      </c>
      <c r="EP3" s="32" t="inlineStr">
        <is>
          <t>Required</t>
        </is>
      </c>
      <c r="EQ3" s="32" t="inlineStr">
        <is>
          <t>Recommended</t>
        </is>
      </c>
      <c r="ER3" s="32" t="inlineStr">
        <is>
          <t>Recommended</t>
        </is>
      </c>
      <c r="ES3" s="32" t="inlineStr">
        <is>
          <t>Recommended</t>
        </is>
      </c>
      <c r="ET3" s="32" t="inlineStr">
        <is>
          <t>Recommended</t>
        </is>
      </c>
      <c r="EU3" s="32" t="inlineStr">
        <is>
          <t>Recommended</t>
        </is>
      </c>
      <c r="EV3" s="32" t="inlineStr">
        <is>
          <t>Required</t>
        </is>
      </c>
      <c r="EW3" s="32" t="inlineStr">
        <is>
          <t>Recommended</t>
        </is>
      </c>
      <c r="EX3" s="32" t="inlineStr">
        <is>
          <t>Recommended</t>
        </is>
      </c>
      <c r="EY3" s="32" t="inlineStr">
        <is>
          <t>Required</t>
        </is>
      </c>
      <c r="EZ3" s="32" t="inlineStr">
        <is>
          <t>Recommended</t>
        </is>
      </c>
      <c r="FA3" s="32" t="inlineStr">
        <is>
          <t>Recommended</t>
        </is>
      </c>
      <c r="FB3" s="32" t="inlineStr">
        <is>
          <t>Recommended</t>
        </is>
      </c>
      <c r="FC3" s="32"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Mattress Size</t>
        </is>
      </c>
      <c r="BP4" s="19" t="inlineStr">
        <is>
          <t>Color</t>
        </is>
      </c>
      <c r="BQ4" s="19" t="inlineStr">
        <is>
          <t>Bed Design</t>
        </is>
      </c>
      <c r="BR4" s="19" t="inlineStr">
        <is>
          <t>Bed Frame Material</t>
        </is>
      </c>
      <c r="BS4" s="19" t="inlineStr">
        <is>
          <t>Wooden Components</t>
        </is>
      </c>
      <c r="BT4" s="19" t="inlineStr">
        <is>
          <t>Upholstered</t>
        </is>
      </c>
      <c r="BU4" s="19" t="inlineStr">
        <is>
          <t>Upholstery Material</t>
        </is>
      </c>
      <c r="BV4" s="19" t="inlineStr">
        <is>
          <t>Faux Leather Type</t>
        </is>
      </c>
      <c r="BW4" s="19" t="inlineStr">
        <is>
          <t>Box Spring Required</t>
        </is>
      </c>
      <c r="BX4" s="19" t="inlineStr">
        <is>
          <t>Slat Material</t>
        </is>
      </c>
      <c r="BY4" s="19" t="inlineStr">
        <is>
          <t>Center Support Legs</t>
        </is>
      </c>
      <c r="BZ4" s="19" t="inlineStr">
        <is>
          <t>Weight Capacity</t>
        </is>
      </c>
      <c r="CA4" s="19" t="inlineStr">
        <is>
          <t>Footboard Included</t>
        </is>
      </c>
      <c r="CB4" s="19" t="inlineStr">
        <is>
          <t>Type of Storage Included</t>
        </is>
      </c>
      <c r="CC4" s="19" t="inlineStr">
        <is>
          <t>Drawers Included</t>
        </is>
      </c>
      <c r="CD4" s="19" t="inlineStr">
        <is>
          <t>Compatible with Adjustable Bed Base</t>
        </is>
      </c>
      <c r="CE4" s="19" t="inlineStr">
        <is>
          <t>Plug-In</t>
        </is>
      </c>
      <c r="CF4" s="19" t="inlineStr">
        <is>
          <t>Natural Variation Type</t>
        </is>
      </c>
      <c r="CG4" s="19" t="inlineStr">
        <is>
          <t>Purposeful Distressing Type</t>
        </is>
      </c>
      <c r="CH4" s="19" t="inlineStr">
        <is>
          <t>Supplier Intended and Approved Use</t>
        </is>
      </c>
      <c r="CI4" s="19" t="inlineStr">
        <is>
          <t>Country of Origin - Additional Details</t>
        </is>
      </c>
      <c r="CJ4" s="19" t="inlineStr">
        <is>
          <t>Main Wood Joinery Method</t>
        </is>
      </c>
      <c r="CK4" s="19" t="inlineStr">
        <is>
          <t>Kiln-Dried Wood</t>
        </is>
      </c>
      <c r="CL4" s="19" t="inlineStr">
        <is>
          <t>Wood Species</t>
        </is>
      </c>
      <c r="CM4" s="19" t="inlineStr">
        <is>
          <t>Pattern</t>
        </is>
      </c>
      <c r="CN4" s="33" t="inlineStr">
        <is>
          <t>Battery or Batteries Included</t>
        </is>
      </c>
      <c r="CO4" s="34" t="inlineStr">
        <is>
          <t>Battery Composition</t>
        </is>
      </c>
      <c r="CP4" s="34" t="inlineStr">
        <is>
          <t>Battery Type</t>
        </is>
      </c>
      <c r="CQ4" s="34" t="inlineStr">
        <is>
          <t>Number of Batteries</t>
        </is>
      </c>
      <c r="CR4" s="34" t="inlineStr">
        <is>
          <t>Battery Shipment</t>
        </is>
      </c>
      <c r="CS4" s="34" t="inlineStr">
        <is>
          <t>Lithium Content</t>
        </is>
      </c>
      <c r="CT4" s="34" t="inlineStr">
        <is>
          <t>Watt Rating of Cells / Battery</t>
        </is>
      </c>
      <c r="CU4" s="34" t="inlineStr">
        <is>
          <t>Weight of Cells / Battery</t>
        </is>
      </c>
      <c r="CV4" s="19" t="inlineStr">
        <is>
          <t>Tufted</t>
        </is>
      </c>
      <c r="CW4" s="19" t="inlineStr">
        <is>
          <t>Nailhead Trim</t>
        </is>
      </c>
      <c r="CX4" s="19" t="inlineStr">
        <is>
          <t>Unfinished</t>
        </is>
      </c>
      <c r="CY4" s="19" t="inlineStr">
        <is>
          <t>Finished Back</t>
        </is>
      </c>
      <c r="CZ4" s="19" t="inlineStr">
        <is>
          <t>Manufactured Wood Type</t>
        </is>
      </c>
      <c r="DA4" s="19" t="inlineStr">
        <is>
          <t>Lighted Headboard</t>
        </is>
      </c>
      <c r="DB4" s="19" t="inlineStr">
        <is>
          <t>Leather Type</t>
        </is>
      </c>
      <c r="DC4" s="19" t="inlineStr">
        <is>
          <t>Upholstery Fabric Quality</t>
        </is>
      </c>
      <c r="DD4" s="19" t="inlineStr">
        <is>
          <t>Headboard Shape</t>
        </is>
      </c>
      <c r="DE4" s="19" t="inlineStr">
        <is>
          <t>Additional Technology Features</t>
        </is>
      </c>
      <c r="DF4" s="19" t="inlineStr">
        <is>
          <t>Ribbed Detailing</t>
        </is>
      </c>
      <c r="DG4" s="19" t="inlineStr">
        <is>
          <t>Fluted Detailing</t>
        </is>
      </c>
      <c r="DH4" s="19" t="inlineStr">
        <is>
          <t>Pieces Included</t>
        </is>
      </c>
      <c r="DI4" s="19" t="inlineStr">
        <is>
          <t>Number of Center Support Legs</t>
        </is>
      </c>
      <c r="DJ4" s="19" t="inlineStr">
        <is>
          <t>Upholstery Material Performance Brand</t>
        </is>
      </c>
      <c r="DK4" s="19" t="inlineStr">
        <is>
          <t>Additional Intended Use For Child</t>
        </is>
      </c>
      <c r="DL4" s="33" t="inlineStr">
        <is>
          <t>Composite Wood Product (CWP)</t>
        </is>
      </c>
      <c r="DM4" s="34" t="inlineStr">
        <is>
          <t>CARB Phase II Compliant (formaldehyde emissions)</t>
        </is>
      </c>
      <c r="DN4" s="34" t="inlineStr">
        <is>
          <t>TSCA Title VI Compliant (formaldehyde emissions)</t>
        </is>
      </c>
      <c r="DO4" s="34" t="inlineStr">
        <is>
          <t>CANFER Compliant</t>
        </is>
      </c>
      <c r="DP4" s="19" t="inlineStr">
        <is>
          <t>SOR/2016-183 Compliant</t>
        </is>
      </c>
      <c r="DQ4" s="19" t="inlineStr">
        <is>
          <t>CAL TB 116 Compliant</t>
        </is>
      </c>
      <c r="DR4" s="19" t="inlineStr">
        <is>
          <t>CAL TB 117-2013 Compliant</t>
        </is>
      </c>
      <c r="DS4" s="19" t="inlineStr">
        <is>
          <t>Uniform Packaging and Labeling Regulations (UPLR) Compliant</t>
        </is>
      </c>
      <c r="DT4" s="33" t="inlineStr">
        <is>
          <t>Canada Product Restriction</t>
        </is>
      </c>
      <c r="DU4" s="34" t="inlineStr">
        <is>
          <t>Reason for Restriction</t>
        </is>
      </c>
      <c r="DV4" s="19" t="inlineStr">
        <is>
          <t>Textile Labelling and Advertising Regulations (C.R.C., c. 1551)</t>
        </is>
      </c>
      <c r="DW4" s="19" t="inlineStr">
        <is>
          <t>SOR/2016-194 - Textile Flammability Regulations</t>
        </is>
      </c>
      <c r="DX4" s="19" t="inlineStr">
        <is>
          <t>SOFFA Compliant</t>
        </is>
      </c>
      <c r="DY4" s="19" t="inlineStr">
        <is>
          <t>Children’s Product Certificate (CPC)</t>
        </is>
      </c>
      <c r="DZ4" s="19" t="inlineStr">
        <is>
          <t>General Certificate of Conformity (GCC)</t>
        </is>
      </c>
      <c r="EA4" s="33" t="inlineStr">
        <is>
          <t>Hazardous Material / Dangerous Goods</t>
        </is>
      </c>
      <c r="EB4" s="34" t="inlineStr">
        <is>
          <t>UN or ID number</t>
        </is>
      </c>
      <c r="EC4" s="34" t="inlineStr">
        <is>
          <t>Hazard Class(es)</t>
        </is>
      </c>
      <c r="ED4" s="34" t="inlineStr">
        <is>
          <t>Packing Group</t>
        </is>
      </c>
      <c r="EE4" s="34" t="inlineStr">
        <is>
          <t>Hazardous Material Weight</t>
        </is>
      </c>
      <c r="EF4" s="19" t="inlineStr">
        <is>
          <t>CPSC - 16 CFR 1263 Compliant (Reese's Law)</t>
        </is>
      </c>
      <c r="EG4" s="19" t="inlineStr">
        <is>
          <t>ISTA Certified</t>
        </is>
      </c>
      <c r="EH4" s="19" t="inlineStr">
        <is>
          <t>California AB-1817 Compliant (CA PFAS)</t>
        </is>
      </c>
      <c r="EI4" s="19" t="inlineStr">
        <is>
          <t>SOR/2016-193 - Surface Coating Materials Regulations</t>
        </is>
      </c>
      <c r="EJ4" s="19" t="inlineStr">
        <is>
          <t>Consumer Product Safety Improvement Act (CPSIA) Compliant</t>
        </is>
      </c>
      <c r="EK4" s="19" t="inlineStr">
        <is>
          <t>CPSC - 16 CFR 1303 Compliant</t>
        </is>
      </c>
      <c r="EL4" s="19" t="inlineStr">
        <is>
          <t>Sustainability &amp; Social Responsibility Certifications (North America Only)</t>
        </is>
      </c>
      <c r="EM4" s="19" t="inlineStr">
        <is>
          <t>US Mattress Flammability Regulations Compliant</t>
        </is>
      </c>
      <c r="EN4" s="19" t="inlineStr">
        <is>
          <t>Overall Height - Top to Bottom</t>
        </is>
      </c>
      <c r="EO4" s="19" t="inlineStr">
        <is>
          <t>Overall Width - Side to Side</t>
        </is>
      </c>
      <c r="EP4" s="19" t="inlineStr">
        <is>
          <t>Overall Length - Head to Toe</t>
        </is>
      </c>
      <c r="EQ4" s="19" t="inlineStr">
        <is>
          <t>Overall Product Weight</t>
        </is>
      </c>
      <c r="ER4" s="19" t="inlineStr">
        <is>
          <t>Clearance - Floor to Bottom</t>
        </is>
      </c>
      <c r="ES4" s="19" t="inlineStr">
        <is>
          <t>Headboard Height - Top to Bottom</t>
        </is>
      </c>
      <c r="ET4" s="19" t="inlineStr">
        <is>
          <t>Headboard Width - Side to Side</t>
        </is>
      </c>
      <c r="EU4" s="19" t="inlineStr">
        <is>
          <t>Headboard Depth - Front to Back</t>
        </is>
      </c>
      <c r="EV4" s="19" t="inlineStr">
        <is>
          <t>Assembly Required</t>
        </is>
      </c>
      <c r="EW4" s="19" t="inlineStr">
        <is>
          <t>Level of Assembly</t>
        </is>
      </c>
      <c r="EX4" s="19" t="inlineStr">
        <is>
          <t>Additional Tools Required (Not Included)</t>
        </is>
      </c>
      <c r="EY4" s="33" t="inlineStr">
        <is>
          <t>Commercial Warranty</t>
        </is>
      </c>
      <c r="EZ4" s="34" t="inlineStr">
        <is>
          <t>Commercial Warranty Length</t>
        </is>
      </c>
      <c r="FA4" s="19" t="inlineStr">
        <is>
          <t>Product Warranty</t>
        </is>
      </c>
      <c r="FB4" s="19" t="inlineStr">
        <is>
          <t>Full or Limited Warranty</t>
        </is>
      </c>
      <c r="FC4" s="19" t="inlineStr">
        <is>
          <t>Warranty Length</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is the size of the mattress / compatible mattress size?</t>
        </is>
      </c>
      <c r="BP5" s="35" t="inlineStr">
        <is>
          <t>What is the color of the product? If your color name is not listed, please type in the value.</t>
        </is>
      </c>
      <c r="BQ5" s="35" t="inlineStr">
        <is>
          <t>What is the design of this bed?</t>
        </is>
      </c>
      <c r="BR5" s="35" t="inlineStr">
        <is>
          <t>What are the primary materials used to construct the frame of the product?</t>
        </is>
      </c>
      <c r="BS5" s="35" t="inlineStr">
        <is>
          <t>Is any part of this product made of wood?</t>
        </is>
      </c>
      <c r="BT5" s="35" t="inlineStr">
        <is>
          <t>Select if this product is upholstered or comes with an upholstered component. (An upholstered item will have some sort of pad or filling material covered by fabric.)</t>
        </is>
      </c>
      <c r="BU5" s="35" t="inlineStr">
        <is>
          <t>What is the upholstery material used for this product? If the material is a combination of multiple materials, please choose the material that makes up the highest percentage of composition. For example, if the material is 55% Cotton, and 45% Polyester, please choose Cotton Blend.</t>
        </is>
      </c>
      <c r="BV5" s="35" t="inlineStr">
        <is>
          <t>If the item has been tagged as faux leather, what is the type of leather?</t>
        </is>
      </c>
      <c r="BW5" s="35" t="inlineStr">
        <is>
          <t>Is a box spring (foundation) required for the proper usage of this bed?</t>
        </is>
      </c>
      <c r="BX5" s="35" t="inlineStr">
        <is>
          <t>If slats are included please specify what material the slats have.</t>
        </is>
      </c>
      <c r="BY5" s="35" t="inlineStr">
        <is>
          <t>Are there additional legs in the center of the bed to help support the weight of the mattress?</t>
        </is>
      </c>
      <c r="BZ5" s="35" t="inlineStr">
        <is>
          <t>[Pounds] What is the maximum weight capacity of the product? Please enter just the number (i.e., 45.5).</t>
        </is>
      </c>
      <c r="CA5" s="35" t="inlineStr">
        <is>
          <t>Does this product have a footboard included?</t>
        </is>
      </c>
      <c r="CB5" s="35" t="inlineStr">
        <is>
          <t>What kind of storage is included with this product?</t>
        </is>
      </c>
      <c r="CC5" s="35" t="inlineStr">
        <is>
          <t>Does this product have any drawers?</t>
        </is>
      </c>
      <c r="CD5" s="35" t="inlineStr">
        <is>
          <t>Is this product compatible with an adjustable bed?</t>
        </is>
      </c>
      <c r="CE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F5" s="35" t="inlineStr">
        <is>
          <t>Which of the following types of natural variation and texture does the product have? Multiple can be selected if applicable. If the product does NOT have natural variation, please select No Natural Variation.</t>
        </is>
      </c>
      <c r="CG5" s="35" t="inlineStr">
        <is>
          <t>What specific type of distressing does this product have? Select all that apply.</t>
        </is>
      </c>
      <c r="CH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I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J5" s="35" t="inlineStr">
        <is>
          <t>Which technique was used to join together the main pieces of wood to construct the overall product?</t>
        </is>
      </c>
      <c r="CK5" s="35" t="inlineStr">
        <is>
          <t>Is the wood kiln-dried? If product is not made of wood, please select "does not apply."</t>
        </is>
      </c>
      <c r="CL5" s="35" t="inlineStr">
        <is>
          <t>What type of wood was used to construct this product? This describes the actual materials used, not the product's appearance.</t>
        </is>
      </c>
      <c r="CM5" s="35" t="inlineStr">
        <is>
          <t>What is the pattern of the product? If there is more than one pattern, please select all that apply.</t>
        </is>
      </c>
      <c r="CN5" s="35" t="inlineStr">
        <is>
          <t>Is the product a battery or does the product include batteries?</t>
        </is>
      </c>
      <c r="CO5" s="35" t="inlineStr">
        <is>
          <t>What is the composition of the batteries included with product?</t>
        </is>
      </c>
      <c r="CP5" s="35" t="inlineStr">
        <is>
          <t>What type is the battery? Button Cell, Cell, Battery?</t>
        </is>
      </c>
      <c r="CQ5" s="35" t="inlineStr">
        <is>
          <t>Confirm number of batteries in this product</t>
        </is>
      </c>
      <c r="CR5" s="35" t="inlineStr">
        <is>
          <t>Do the cells/batteries ship stand alone/packed with the equipment/ contained (installed) in the equipment?</t>
        </is>
      </c>
      <c r="CS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T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U5" s="35" t="inlineStr">
        <is>
          <t>What is the net weight of the cells or batteries that ship with the product in grams or kilograms.</t>
        </is>
      </c>
      <c r="CV5" s="35" t="inlineStr">
        <is>
          <t>If the product is upholstered, is it tufted? (A tuft is a gathered section of fabric, secured by a button, that creates a 3D cushioned effect.)</t>
        </is>
      </c>
      <c r="CW5" s="35" t="inlineStr">
        <is>
          <t>Does this product feature nailhead trim (decorative metal embellishments that outline the frame)?</t>
        </is>
      </c>
      <c r="CX5" s="35" t="inlineStr">
        <is>
          <t>Is this product unfinished (no paint, stain, or varnish)?</t>
        </is>
      </c>
      <c r="CY5" s="35" t="inlineStr">
        <is>
          <t>Does this product have a "finished" back, meaning that the back is stained, colored, no visible hardware, or otherwise finished? (e.g., may be fully finished so item can "float" in room)</t>
        </is>
      </c>
      <c r="CZ5" s="35" t="inlineStr">
        <is>
          <t>What type of manufactured wood was used to construct this product?</t>
        </is>
      </c>
      <c r="DA5" s="35" t="inlineStr">
        <is>
          <t>Does this product have a lighted headboard?</t>
        </is>
      </c>
      <c r="DB5" s="35" t="inlineStr">
        <is>
          <t>If the item has been tagged as genuine leather, what is the type of leather?</t>
        </is>
      </c>
      <c r="DC5" s="35" t="inlineStr">
        <is>
          <t>The quality of the fabric refers to special fabric treatments. Synthetic and natural fibers can be converted to different qualities e.g. velvet, corduroy, twill . A specification will help the customer to better understand the texture of the upholstery material.</t>
        </is>
      </c>
      <c r="DD5" s="35" t="inlineStr">
        <is>
          <t>What is the shape of the headboard? Select only one option.</t>
        </is>
      </c>
      <c r="DE5" s="35" t="inlineStr">
        <is>
          <t>Does this product include any of the following technology features?</t>
        </is>
      </c>
      <c r="DF5" s="35" t="inlineStr">
        <is>
          <t>Is there a a raised pattern of parallel lines on a surface of this product?</t>
        </is>
      </c>
      <c r="DG5" s="35" t="inlineStr">
        <is>
          <t>Is there a a concave pattern of parallel lines on a surface of this product?</t>
        </is>
      </c>
      <c r="DH5" s="35" t="inlineStr">
        <is>
          <t>What pieces are included with this product?</t>
        </is>
      </c>
      <c r="DI5" s="35" t="inlineStr">
        <is>
          <t>If the bed has center support legs, how many does it have?</t>
        </is>
      </c>
      <c r="DJ5" s="35" t="inlineStr">
        <is>
          <t>Is there a branded performance fabric used?</t>
        </is>
      </c>
      <c r="DK5" s="35" t="inlineStr">
        <is>
          <t>Is this product intended to be used by a child 12 and under in addition to adults?</t>
        </is>
      </c>
      <c r="DL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M5" s="35" t="inlineStr">
        <is>
          <t>Is this product certified compliant for CARB ATCM Phase II formaldehyde emission standards from Composite Wood Products [California Air Resources Board (CARB)- Airborne Toxic Control Measures (ATCM) Phase II]</t>
        </is>
      </c>
      <c r="DN5" s="35" t="inlineStr">
        <is>
          <t>Is this product certified TSCA Title VI compliant regarding formaldehyde emissions from Composite Wood Products [Environmental Protection Agency (EPA)-Toxic Substance Control Act (TSCA)-Title VI]</t>
        </is>
      </c>
      <c r="DO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P5" s="35" t="inlineStr">
        <is>
          <t>Is this product compliant with SOR/2016-183, the Health Canada regulations for flammability resistance of mattresses?</t>
        </is>
      </c>
      <c r="DQ5" s="35" t="inlineStr">
        <is>
          <t>Is this product certified compliant with California Technical Bulletin: CAL TB 116, the Flammability Standard for Upholstered Furniture?</t>
        </is>
      </c>
      <c r="DR5" s="35" t="inlineStr">
        <is>
          <t>Are this products components certified compliant with California Technical Bulletin: CAL TB 117-2013, the Flammability (Smolder) Standard for Upholstered Furniture Materials?</t>
        </is>
      </c>
      <c r="DS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T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U5" s="35" t="inlineStr">
        <is>
          <t>Please select the reason this product can not ship to Canada?  Please select from the options or write in a reason if not selectable</t>
        </is>
      </c>
      <c r="DV5" s="35" t="inlineStr">
        <is>
          <t>Is this product compliant with the Canadian Textile Labelling and Advertising Regulations, which regulate labelling for products with textiles?</t>
        </is>
      </c>
      <c r="DW5" s="35" t="inlineStr">
        <is>
          <t>Does this product comply with Textile Flammability Regulations (SOR/2016-194), the Canadian regulations establishing flammability standards for textiles?  Please note: A no answer to this question will prevent this item from being listed for sale on Wayfair.ca.</t>
        </is>
      </c>
      <c r="DX5" s="35" t="inlineStr">
        <is>
          <t>Does this product meet the flammability standard for upholstered furniture set forth by Safer Occupancy Future Flammability Act (SOFFA)? Please note that SOFFA is incorporated into the COVID-19 Regulatory Relief and Work from Home Safety Act.</t>
        </is>
      </c>
      <c r="DY5" s="35" t="inlineStr">
        <is>
          <t>Does this product have a Children's Product Certificate (CPC), as required by the U.S. CPSC for children's products?
Please note: A No answer to this question will prevent this item from being listed for sale.</t>
        </is>
      </c>
      <c r="DZ5" s="35" t="inlineStr">
        <is>
          <t>Does this product have a General Certificate of Conformity (GCC), as required by the U.S. CPSC for certain product classes?</t>
        </is>
      </c>
      <c r="EA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EB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EC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ED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EE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EF5" s="35"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G5" s="35" t="inlineStr">
        <is>
          <t>Is the packaging for this SKU ISTA Certified (1A, 3A, 6A)?</t>
        </is>
      </c>
      <c r="EH5" s="35" t="inlineStr">
        <is>
          <t>Select "Does Not Apply" if your product does not contain any textiles.
Is this product compliant with California's Safer Clothes and Textiles Act (AB 1817), the standard restricting per- and polyfluoroalkyl substances (PFAS) above 100 parts per million in textiles? 
Products marked "No" will be blocked from sale in California. 
Please see Help Center article here for more information: https://partners.wayfair.com/help/2/article/2828).</t>
        </is>
      </c>
      <c r="EI5" s="35" t="inlineStr">
        <is>
          <t>Does your product comply with SOR/2016-193 (as amended by SOR/2022-122), the Canadian regulation banning paint or similar surface-coating materials for consumer use that contain more than 10 mg/kg total mercury and 90mg/kg total lead? Please note: A no answer to this question will prevent this item from being listed for sale on Wayfair.ca.</t>
        </is>
      </c>
      <c r="EJ5" s="35" t="inlineStr">
        <is>
          <t>Is this product compliant with the Consumer Product Safety Improvement Act (CPSIA), including all of the following provisions, as applicable:
- Lead provisions;
- Phthalate provisions; 
- Toy safety provisions;
- Durable infant and toddler product provisions;
- Tracking label provisions; AND
- Compliance with all applicable children's product safety rules (found here: https://www.cpsc.gov/Business--Manufacturing/Testing-Certification/Lab-Accreditation/Rules-Requiring-Third-Party-Testing). Please note: a "No" answer to this question will prevent your product from being listed for sale.</t>
        </is>
      </c>
      <c r="EK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EL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M5" s="35" t="inlineStr">
        <is>
          <t>Is this product compliant with all mattress flammability regulations required in the United States? This includes CPSC - 16 CFR - 1632 and CPSC - 16 CFR - 1633.
Please note: a ""No"" answer to this question will prevent your product from being listed for sale."</t>
        </is>
      </c>
      <c r="EN5" s="35" t="inlineStr">
        <is>
          <t>[Inches] What is the overall height of the product from top to bottom? Please enter just the number (e.g. 45.5).</t>
        </is>
      </c>
      <c r="EO5" s="35" t="inlineStr">
        <is>
          <t>[Inches] What is overall width of the product from side to side? Please enter just the number (e.g. 45.5).</t>
        </is>
      </c>
      <c r="EP5" s="35" t="inlineStr">
        <is>
          <t>[Inches] Overall length of the product (head to toe). Please enter just the number (i.e. 45.5).</t>
        </is>
      </c>
      <c r="EQ5" s="35" t="inlineStr">
        <is>
          <t>[Pounds] What is the total weight of this product once assembled? If this product includes multiples of the same item, add weight of one individual unit (e.g. 1 Dining Chair in a set of 2). Please enter just the number (i.e. 45.5).</t>
        </is>
      </c>
      <c r="ER5" s="35" t="inlineStr">
        <is>
          <t>[Inches] What is the clearance for this product from floor to bottom? This is the distance between the bottom of the product to the floor. Please enter just the number (e.g. 45.5).</t>
        </is>
      </c>
      <c r="ES5" s="35" t="inlineStr">
        <is>
          <t>[Inches] What is the overall height of the headboard from top to bottom? Please enter just the number (e.g. 45.5).</t>
        </is>
      </c>
      <c r="ET5" s="35" t="inlineStr">
        <is>
          <t>[Inches] What is the overall width of the headboard from side to side? Please enter just the number (e.g. 45.5).</t>
        </is>
      </c>
      <c r="EU5" s="35" t="inlineStr">
        <is>
          <t>[Inches] What is the overall depth of the headboard from front to back? Please enter just the number (e.g. 45.5).</t>
        </is>
      </c>
      <c r="EV5" s="35" t="inlineStr">
        <is>
          <t>Does the product require any form of assembly prior to use as intended?</t>
        </is>
      </c>
      <c r="EW5" s="35" t="inlineStr">
        <is>
          <t>What is the level of assembly required?</t>
        </is>
      </c>
      <c r="EX5" s="35" t="inlineStr">
        <is>
          <t>What additional tools will the customer need to set-up this product that are NOT included with purchase?</t>
        </is>
      </c>
      <c r="EY5" s="35" t="inlineStr">
        <is>
          <t>Does the manufacturer warranty cover the use of this product in a commercial environment?</t>
        </is>
      </c>
      <c r="EZ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FA5" s="35" t="inlineStr">
        <is>
          <t>Please indicate if there is a warranty on this product if it were to be used in a residential setting.</t>
        </is>
      </c>
      <c r="FB5" s="35" t="inlineStr">
        <is>
          <t>Please indicate if the warranty is Full or Limited.</t>
        </is>
      </c>
      <c r="FC5" s="35"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A6" s="35" t="inlineStr">
        <is>
          <t>Read-Only</t>
        </is>
      </c>
      <c r="B6" s="35" t="inlineStr">
        <is>
          <t>CASA-BED-003</t>
        </is>
      </c>
      <c r="C6" s="35" t="inlineStr">
        <is>
          <t>Text</t>
        </is>
      </c>
      <c r="D6" s="36" t="inlineStr">
        <is>
          <t>Casa Design Furniture</t>
        </is>
      </c>
      <c r="E6" s="35" t="inlineStr">
        <is>
          <t>Text</t>
        </is>
      </c>
      <c r="F6" s="35" t="inlineStr">
        <is>
          <t>Text</t>
        </is>
      </c>
      <c r="G6" s="35" t="inlineStr">
        <is>
          <t>#003 PERRIS TWIN WORKSTATION LOFT BED</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n">
        <v>899</v>
      </c>
      <c r="S6" s="35" t="inlineStr">
        <is>
          <t>Number</t>
        </is>
      </c>
      <c r="T6" s="35" t="inlineStr">
        <is>
          <t>Number</t>
        </is>
      </c>
      <c r="U6" s="35" t="inlineStr">
        <is>
          <t>Combine sleep and study with the Perris Twin Workstation Loft Bed. Features a large workspace with a keyboard drawer and integrated bookshelves, crafted from Asian veneers.</t>
        </is>
      </c>
      <c r="V6" s="35" t="inlineStr">
        <is>
          <t>Space-saving twin loft configuration</t>
        </is>
      </c>
      <c r="W6" s="35" t="inlineStr">
        <is>
          <t>Integrated study desk and workstation</t>
        </is>
      </c>
      <c r="X6" s="35" t="inlineStr">
        <is>
          <t>Keyboard drawer and bookshelves included</t>
        </is>
      </c>
      <c r="Y6" s="35" t="inlineStr">
        <is>
          <t>Tested static weight limit of 400 lbs</t>
        </is>
      </c>
      <c r="Z6" s="35" t="inlineStr">
        <is>
          <t>Asian veneers and select wood construction</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Please choose one or more from the following, using a semicolon (;) to separate each value: Blue; Black; Brown; Red; Beige; Yellow; Pink; Purple; Gold; White; Ivory; Tan; Teal; Navy; Orange; Silver; Gray; Green; Cream; Clear</t>
        </is>
      </c>
      <c r="BQ6" s="36" t="inlineStr">
        <is>
          <t>Select</t>
        </is>
      </c>
      <c r="BR6" s="36" t="inlineStr">
        <is>
          <t>Please choose one or more from the following, using a semicolon (;) to separate each value: Wicker / Rattan; Stainless Steel; Raffia; Solid + Manufactured Wood; Iron; Cane; Aluminum; Manufactured Wood; Nickel; Brass; Copper; Metal; Solid Wood; Unavailable</t>
        </is>
      </c>
      <c r="BS6" s="35" t="inlineStr">
        <is>
          <t>Yes or No</t>
        </is>
      </c>
      <c r="BT6" s="35" t="inlineStr">
        <is>
          <t>Yes or No</t>
        </is>
      </c>
      <c r="BU6" s="36" t="inlineStr">
        <is>
          <t>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t>
        </is>
      </c>
      <c r="BV6" s="36" t="inlineStr">
        <is>
          <t>Select</t>
        </is>
      </c>
      <c r="BW6" s="35" t="inlineStr">
        <is>
          <t>Yes or No</t>
        </is>
      </c>
      <c r="BX6" s="36" t="inlineStr">
        <is>
          <t>Please choose one or more from the following, using a semicolon (;) to separate each value: Manufactured Wood; Wood; Metal; Solid Wood; Solid + Manufactured Wood; Plywood; Bamboo; Unavailable; Does Not Apply</t>
        </is>
      </c>
      <c r="BY6" s="35" t="inlineStr">
        <is>
          <t>Yes or No</t>
        </is>
      </c>
      <c r="BZ6" s="35" t="inlineStr">
        <is>
          <t>Number</t>
        </is>
      </c>
      <c r="CA6" s="35" t="inlineStr">
        <is>
          <t>Yes or No</t>
        </is>
      </c>
      <c r="CB6" s="36" t="inlineStr">
        <is>
          <t>Please choose one or more from the following, using a semicolon (;) to separate each value: Cabinet; Footboard Storage; No Storage Included; Shelves; Drawers; Lift Up Storage; Unavailable; Does Not Apply</t>
        </is>
      </c>
      <c r="CC6" s="35" t="inlineStr">
        <is>
          <t>Yes or No</t>
        </is>
      </c>
      <c r="CD6" s="35" t="inlineStr">
        <is>
          <t>Yes or No</t>
        </is>
      </c>
      <c r="CE6" s="35" t="inlineStr">
        <is>
          <t>Yes or No</t>
        </is>
      </c>
      <c r="CF6" s="36" t="inlineStr">
        <is>
          <t>Please choose one or more from the following, using a semicolon (;) to separate each value: No Natural Variation; Natural Wood Grain Color Variation; Weathered Steel; Wood Knots; Natural Stone Color Variation; Unavailable</t>
        </is>
      </c>
      <c r="CG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H6" s="36" t="inlineStr">
        <is>
          <t>Please choose one or more from the following, using a semicolon (;) to separate each value: Non Residential Use; Residential Use</t>
        </is>
      </c>
      <c r="CI6" s="36" t="inlineStr">
        <is>
          <t>Please choose one or more from the following, using a semicolon (;) to separate each value: Made in USA; Made in USA of Imported Materials; Product of Canada; Made In Canada; Does Not Apply</t>
        </is>
      </c>
      <c r="CJ6" s="36" t="inlineStr">
        <is>
          <t>Select</t>
        </is>
      </c>
      <c r="CK6" s="35" t="inlineStr">
        <is>
          <t>Yes or No</t>
        </is>
      </c>
      <c r="CL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M6" s="36" t="inlineStr">
        <is>
          <t>Please choose one or more from the following, using a semicolon (;) to separate each value: Striped; Plaid; Chevron; Damask; Paisley; Geometric; Abstract; Gingham; Animal Print; Camouflage; Polka Dots; Ikat; Houndstooth; Toile; Patchwork; Ombre; Checkered; Floral; Argyle; Solid Color; No Pattern; Trellis; Dots; Starburst; Geometric Shapes; Marble; Brick; Irish Chain; Wood &amp; Shiplap; Chevron / Zig Zag; Clear; Stone; Drunkard's Path; Moroccan; Oriental; Block Print; Arc; Vintage Look; Does Not Apply</t>
        </is>
      </c>
      <c r="CN6" s="35" t="inlineStr">
        <is>
          <t>Yes or No</t>
        </is>
      </c>
      <c r="CO6" s="36" t="inlineStr">
        <is>
          <t>Select</t>
        </is>
      </c>
      <c r="CP6" s="36" t="inlineStr">
        <is>
          <t>Select</t>
        </is>
      </c>
      <c r="CQ6" s="36" t="inlineStr">
        <is>
          <t>Select</t>
        </is>
      </c>
      <c r="CR6" s="36" t="inlineStr">
        <is>
          <t>Select</t>
        </is>
      </c>
      <c r="CS6" s="36" t="inlineStr">
        <is>
          <t>Select</t>
        </is>
      </c>
      <c r="CT6" s="36" t="inlineStr">
        <is>
          <t>Select</t>
        </is>
      </c>
      <c r="CU6" s="36" t="inlineStr">
        <is>
          <t>Select</t>
        </is>
      </c>
      <c r="CV6" s="35" t="inlineStr">
        <is>
          <t>Yes or No</t>
        </is>
      </c>
      <c r="CW6" s="35" t="inlineStr">
        <is>
          <t>Yes or No</t>
        </is>
      </c>
      <c r="CX6" s="35" t="inlineStr">
        <is>
          <t>Yes or No</t>
        </is>
      </c>
      <c r="CY6" s="35" t="inlineStr">
        <is>
          <t>Yes or No</t>
        </is>
      </c>
      <c r="CZ6" s="36" t="inlineStr">
        <is>
          <t>Select</t>
        </is>
      </c>
      <c r="DA6" s="35" t="inlineStr">
        <is>
          <t>Yes or No</t>
        </is>
      </c>
      <c r="DB6" s="36" t="inlineStr">
        <is>
          <t>Select</t>
        </is>
      </c>
      <c r="DC6" s="36" t="inlineStr">
        <is>
          <t>Select</t>
        </is>
      </c>
      <c r="DD6" s="36" t="inlineStr">
        <is>
          <t>Select</t>
        </is>
      </c>
      <c r="DE6" s="36" t="inlineStr">
        <is>
          <t>Please choose one or more from the following, using a semicolon (;) to separate each value: Built In Outlet (AC); Built in USB-C Port; LED Lighting Included; Lighting Included; Built In Speaker; Reclining Headboard Function; Built In USB Port; Adjustable Lighting; Unavailable; Does Not Apply</t>
        </is>
      </c>
      <c r="DF6" s="35" t="inlineStr">
        <is>
          <t>Yes or No</t>
        </is>
      </c>
      <c r="DG6" s="35" t="inlineStr">
        <is>
          <t>Yes or No</t>
        </is>
      </c>
      <c r="DH6" s="36" t="inlineStr">
        <is>
          <t>Please choose one or more from the following, using a semicolon (;) to separate each value: Box Spring; Drawers; Footboard; Headboard; Mattress; Trundle Bed; Center Support Legs; Slat Kit; Unavailable; Does Not Apply</t>
        </is>
      </c>
      <c r="DI6" s="35" t="inlineStr">
        <is>
          <t>Whole Number</t>
        </is>
      </c>
      <c r="DJ6" s="36" t="inlineStr">
        <is>
          <t>Please choose one or more from the following, using a semicolon (;) to separate each value: InsideOut®; Sustain®; Sunbrella®; Revolution Performance Fabric®; Livesmart®; Perennials®; Outdura; Crypton®; Suncrylic; Richloom Fortress® Home Performance; Eco Ease® Performance Fabric; Unavailable; Does Not Apply</t>
        </is>
      </c>
      <c r="DK6" s="35" t="inlineStr">
        <is>
          <t>Yes or No</t>
        </is>
      </c>
      <c r="DL6" s="35" t="inlineStr">
        <is>
          <t>Yes or No</t>
        </is>
      </c>
      <c r="DM6" s="36" t="inlineStr">
        <is>
          <t>Select</t>
        </is>
      </c>
      <c r="DN6" s="36" t="inlineStr">
        <is>
          <t>Select</t>
        </is>
      </c>
      <c r="DO6" s="36" t="inlineStr">
        <is>
          <t>Select</t>
        </is>
      </c>
      <c r="DP6" s="36" t="inlineStr">
        <is>
          <t>Select</t>
        </is>
      </c>
      <c r="DQ6" s="36" t="inlineStr">
        <is>
          <t>Select</t>
        </is>
      </c>
      <c r="DR6" s="36" t="inlineStr">
        <is>
          <t>Select</t>
        </is>
      </c>
      <c r="DS6" s="36" t="inlineStr">
        <is>
          <t>Select</t>
        </is>
      </c>
      <c r="DT6" s="35" t="inlineStr">
        <is>
          <t>Yes or No</t>
        </is>
      </c>
      <c r="DU6" s="36" t="inlineStr">
        <is>
          <t>Please choose one or more from the following, using a semicolon (;) to separate each value: Dual Language; Distribution Conflict; Logistics; Does Not Apply</t>
        </is>
      </c>
      <c r="DV6" s="36" t="inlineStr">
        <is>
          <t>Select</t>
        </is>
      </c>
      <c r="DW6" s="36" t="inlineStr">
        <is>
          <t>Select</t>
        </is>
      </c>
      <c r="DX6" s="35" t="inlineStr">
        <is>
          <t>Yes or No</t>
        </is>
      </c>
      <c r="DY6" s="36" t="inlineStr">
        <is>
          <t>Select</t>
        </is>
      </c>
      <c r="DZ6" s="36" t="inlineStr">
        <is>
          <t>Select</t>
        </is>
      </c>
      <c r="EA6" s="35" t="inlineStr">
        <is>
          <t>Yes or No</t>
        </is>
      </c>
      <c r="EB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EC6" s="36" t="inlineStr">
        <is>
          <t>Select</t>
        </is>
      </c>
      <c r="ED6" s="36" t="inlineStr">
        <is>
          <t>Select</t>
        </is>
      </c>
      <c r="EE6" s="36" t="inlineStr">
        <is>
          <t>Select</t>
        </is>
      </c>
      <c r="EF6" s="36" t="inlineStr">
        <is>
          <t>Select</t>
        </is>
      </c>
      <c r="EG6" s="36" t="inlineStr">
        <is>
          <t>Select</t>
        </is>
      </c>
      <c r="EH6" s="36" t="inlineStr">
        <is>
          <t>Select</t>
        </is>
      </c>
      <c r="EI6" s="36" t="inlineStr">
        <is>
          <t>Select</t>
        </is>
      </c>
      <c r="EJ6" s="36" t="inlineStr">
        <is>
          <t>Select</t>
        </is>
      </c>
      <c r="EK6" s="36" t="inlineStr">
        <is>
          <t>Select</t>
        </is>
      </c>
      <c r="EL6" s="35" t="inlineStr">
        <is>
          <t>Yes or No</t>
        </is>
      </c>
      <c r="EM6" s="36" t="inlineStr">
        <is>
          <t>Select</t>
        </is>
      </c>
      <c r="EN6" s="35" t="inlineStr">
        <is>
          <t>Number</t>
        </is>
      </c>
      <c r="EO6" s="35" t="inlineStr">
        <is>
          <t>Number</t>
        </is>
      </c>
      <c r="EP6" s="35" t="inlineStr">
        <is>
          <t>Number</t>
        </is>
      </c>
      <c r="EQ6" s="35" t="inlineStr">
        <is>
          <t>Number</t>
        </is>
      </c>
      <c r="ER6" s="35" t="inlineStr">
        <is>
          <t>Number</t>
        </is>
      </c>
      <c r="ES6" s="35" t="inlineStr">
        <is>
          <t>Number</t>
        </is>
      </c>
      <c r="ET6" s="35" t="inlineStr">
        <is>
          <t>Number</t>
        </is>
      </c>
      <c r="EU6" s="35" t="inlineStr">
        <is>
          <t>Number</t>
        </is>
      </c>
      <c r="EV6" s="35" t="inlineStr">
        <is>
          <t>Yes or No</t>
        </is>
      </c>
      <c r="EW6" s="36" t="inlineStr">
        <is>
          <t>Select</t>
        </is>
      </c>
      <c r="EX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Y6" s="35" t="inlineStr">
        <is>
          <t>Yes or No</t>
        </is>
      </c>
      <c r="EZ6" s="36" t="inlineStr">
        <is>
          <t>Select</t>
        </is>
      </c>
      <c r="FA6" s="35" t="inlineStr">
        <is>
          <t>Yes or No</t>
        </is>
      </c>
      <c r="FB6" s="36" t="inlineStr">
        <is>
          <t>Select</t>
        </is>
      </c>
      <c r="FC6" s="36"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7" t="inlineStr">
        <is>
          <t>CASA-BED-002</t>
        </is>
      </c>
      <c r="C7" s="37" t="inlineStr">
        <is>
          <t>N/A</t>
        </is>
      </c>
      <c r="D7" s="38" t="inlineStr">
        <is>
          <t>Casa Design Furniture</t>
        </is>
      </c>
      <c r="E7" s="37" t="inlineStr">
        <is>
          <t>N/A</t>
        </is>
      </c>
      <c r="F7" s="37" t="inlineStr">
        <is>
          <t>N/A</t>
        </is>
      </c>
      <c r="G7" s="37" t="inlineStr">
        <is>
          <t>#002 JONES TWIN BED WHITE</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n">
        <v>359</v>
      </c>
      <c r="S7" s="38" t="n"/>
      <c r="T7" s="38" t="n"/>
      <c r="U7" s="38" t="inlineStr">
        <is>
          <t>Classic twin bed with a charming bobbin motif. Constructed with solid pine for durability and includes a full slat kit, making a bunkie board unnecessary.</t>
        </is>
      </c>
      <c r="V7" s="38" t="inlineStr">
        <is>
          <t>Elegant bobbin motif design</t>
        </is>
      </c>
      <c r="W7" s="38" t="inlineStr">
        <is>
          <t>Solid pine wood construction</t>
        </is>
      </c>
      <c r="X7" s="38" t="inlineStr">
        <is>
          <t>Includes complete slat kit</t>
        </is>
      </c>
      <c r="Y7" s="38" t="inlineStr">
        <is>
          <t>Bunkie board not required</t>
        </is>
      </c>
      <c r="Z7" s="38" t="inlineStr">
        <is>
          <t>Glossy white finish for a clean look</t>
        </is>
      </c>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c r="DZ7" s="38" t="n"/>
      <c r="EA7" s="38" t="n"/>
      <c r="EB7" s="38" t="n"/>
      <c r="EC7" s="38" t="n"/>
      <c r="ED7" s="38" t="n"/>
      <c r="EE7" s="38" t="n"/>
      <c r="EF7" s="38" t="n"/>
      <c r="EG7" s="38" t="n"/>
      <c r="EH7" s="38" t="n"/>
      <c r="EI7" s="38" t="n"/>
      <c r="EJ7" s="38" t="n"/>
      <c r="EK7" s="38" t="n"/>
      <c r="EL7" s="38" t="n"/>
      <c r="EM7" s="38" t="n"/>
      <c r="EN7" s="38" t="n"/>
      <c r="EO7" s="38" t="n"/>
      <c r="EP7" s="38" t="n"/>
      <c r="EQ7" s="38" t="n"/>
      <c r="ER7" s="38" t="n"/>
      <c r="ES7" s="38" t="n"/>
      <c r="ET7" s="38" t="n"/>
      <c r="EU7" s="38" t="n"/>
      <c r="EV7" s="38" t="n"/>
      <c r="EW7" s="38" t="n"/>
      <c r="EX7" s="38" t="n"/>
      <c r="EY7" s="38" t="n"/>
      <c r="EZ7" s="38" t="n"/>
      <c r="FA7" s="38" t="n"/>
      <c r="FB7" s="38" t="n"/>
      <c r="FC7" s="38" t="n"/>
    </row>
    <row r="8">
      <c r="A8" s="39">
        <f>IF('12 - Beds'!B8 = "", "", IF('12 - Beds-WUO_ERR'!A8 = "", "Validated", HYPERLINK("#" &amp; ADDRESS(8, '12 - Beds-WUO_TRK'!A8),_xlfn.TEXTAFTER('12 - Beds-WUO_ERR'!A8, ":"))))</f>
        <v/>
      </c>
      <c r="B8" t="inlineStr">
        <is>
          <t>CASA-BED-025</t>
        </is>
      </c>
      <c r="D8" t="inlineStr">
        <is>
          <t>Casa Design Furniture</t>
        </is>
      </c>
      <c r="G8" t="inlineStr">
        <is>
          <t>#025 JESSICA QUEEN SIZE BED</t>
        </is>
      </c>
      <c r="R8" t="n">
        <v>699</v>
      </c>
      <c r="U8" t="inlineStr">
        <is>
          <t>Modern queen bed in a rich cappuccino finish. The headboard features three spacious open storage compartments, perfect for books and accessories.</t>
        </is>
      </c>
      <c r="V8" t="inlineStr">
        <is>
          <t>Integrated headboard storage compartments</t>
        </is>
      </c>
      <c r="W8" t="inlineStr">
        <is>
          <t>Contemporary low-profile footboard</t>
        </is>
      </c>
      <c r="X8" t="inlineStr">
        <is>
          <t>Finished in rich cappuccino</t>
        </is>
      </c>
      <c r="Y8" t="inlineStr">
        <is>
          <t>Solid and manufactured wood blend</t>
        </is>
      </c>
      <c r="Z8" t="inlineStr">
        <is>
          <t>Part of the premium Jessica collection</t>
        </is>
      </c>
    </row>
    <row r="9">
      <c r="A9" s="39">
        <f>IF('12 - Beds'!B9 = "", "", IF('12 - Beds-WUO_ERR'!A9 = "", "Validated", HYPERLINK("#" &amp; ADDRESS(9, '12 - Beds-WUO_TRK'!A9),_xlfn.TEXTAFTER('12 - Beds-WUO_ERR'!A9, ":"))))</f>
        <v/>
      </c>
      <c r="B9" t="inlineStr">
        <is>
          <t>CASA-BED-ADJ-002</t>
        </is>
      </c>
      <c r="D9" t="inlineStr">
        <is>
          <t>Casa Design Furniture</t>
        </is>
      </c>
      <c r="G9" t="inlineStr">
        <is>
          <t>#002 ADJUSTABLE BED BASE QUEEN</t>
        </is>
      </c>
      <c r="R9" t="n">
        <v>399</v>
      </c>
      <c r="U9" t="inlineStr">
        <is>
          <t>Entry-level adjustable base with head and foot incline. Helps reduce snoring and sleep apnea while providing a comfortable position for reading or watching TV.</t>
        </is>
      </c>
      <c r="V9" t="inlineStr">
        <is>
          <t>Independent head and foot incline</t>
        </is>
      </c>
      <c r="W9" t="inlineStr">
        <is>
          <t>Improves sleep health and comfort</t>
        </is>
      </c>
      <c r="X9" t="inlineStr">
        <is>
          <t>Fits into most standard bed frames</t>
        </is>
      </c>
      <c r="Y9" t="inlineStr">
        <is>
          <t>Simple remote control operation</t>
        </is>
      </c>
      <c r="Z9" t="inlineStr">
        <is>
          <t>Durable steel frame construction</t>
        </is>
      </c>
    </row>
    <row r="10">
      <c r="A10" s="39">
        <f>IF('12 - Beds'!B10 = "", "", IF('12 - Beds-WUO_ERR'!A10 = "", "Validated", HYPERLINK("#" &amp; ADDRESS(10, '12 - Beds-WUO_TRK'!A10),_xlfn.TEXTAFTER('12 - Beds-WUO_ERR'!A10, ":"))))</f>
        <v/>
      </c>
      <c r="B10" t="inlineStr">
        <is>
          <t>CASA-BED-004</t>
        </is>
      </c>
      <c r="D10" t="inlineStr">
        <is>
          <t>Casa Design Furniture</t>
        </is>
      </c>
      <c r="G10" t="inlineStr">
        <is>
          <t>#004 SWEETHEART TEEN LOFT BED PINK</t>
        </is>
      </c>
      <c r="R10" t="n">
        <v>499</v>
      </c>
      <c r="U10" t="inlineStr">
        <is>
          <t>Whimsical fire engine style youth tent bed with a glossy white frame and pink accents. Includes guard rails and a coordinating ladder for safety.</t>
        </is>
      </c>
      <c r="V10" t="inlineStr">
        <is>
          <t>Playful fire engine tent design</t>
        </is>
      </c>
      <c r="W10" t="inlineStr">
        <is>
          <t>Glossy white frame with pink accents</t>
        </is>
      </c>
      <c r="X10" t="inlineStr">
        <is>
          <t>Includes safety guard rails and ladder</t>
        </is>
      </c>
      <c r="Y10" t="inlineStr">
        <is>
          <t>Weight capacity of 400 lbs (top only)</t>
        </is>
      </c>
      <c r="Z10" t="inlineStr">
        <is>
          <t>Recommended for children 6 years and up</t>
        </is>
      </c>
    </row>
    <row r="11">
      <c r="A11" s="39">
        <f>IF('12 - Beds'!B11 = "", "", IF('12 - Beds-WUO_ERR'!A11 = "", "Validated", HYPERLINK("#" &amp; ADDRESS(11, '12 - Beds-WUO_TRK'!A11),_xlfn.TEXTAFTER('12 - Beds-WUO_ERR'!A11, ":"))))</f>
        <v/>
      </c>
      <c r="B11" t="inlineStr">
        <is>
          <t>CASA-BED-028</t>
        </is>
      </c>
      <c r="D11" t="inlineStr">
        <is>
          <t>Casa Design Furniture</t>
        </is>
      </c>
      <c r="G11" t="inlineStr">
        <is>
          <t>#028 LOUIS PHILIPPE WHITE QUEEN BED</t>
        </is>
      </c>
      <c r="R11" t="n">
        <v>459</v>
      </c>
      <c r="U11" t="inlineStr">
        <is>
          <t>Classic Louis Philippe style wooden queen bed with a clean white finish. Features matching geometric beveling and eye-catching curves on the sleek legs.</t>
        </is>
      </c>
      <c r="V11" t="inlineStr">
        <is>
          <t>Classic Louis Philippe sleigh style</t>
        </is>
      </c>
      <c r="W11" t="inlineStr">
        <is>
          <t>Clean white wooden finish</t>
        </is>
      </c>
      <c r="X11" t="inlineStr">
        <is>
          <t>Elegant geometric beveling detail</t>
        </is>
      </c>
      <c r="Y11" t="inlineStr">
        <is>
          <t>Revitalizing curved sleek legs</t>
        </is>
      </c>
      <c r="Z11" t="inlineStr">
        <is>
          <t>Solid wood and veneer construction</t>
        </is>
      </c>
    </row>
    <row r="12">
      <c r="A12" s="39">
        <f>IF('12 - Beds'!B12 = "", "", IF('12 - Beds-WUO_ERR'!A12 = "", "Validated", HYPERLINK("#" &amp; ADDRESS(12, '12 - Beds-WUO_TRK'!A12),_xlfn.TEXTAFTER('12 - Beds-WUO_ERR'!A12, ":"))))</f>
        <v/>
      </c>
      <c r="B12" t="inlineStr">
        <is>
          <t>CASA-BED-ADJ-003</t>
        </is>
      </c>
      <c r="D12" t="inlineStr">
        <is>
          <t>Casa Design Furniture</t>
        </is>
      </c>
      <c r="G12" t="inlineStr">
        <is>
          <t>#003 ADJUSTABLE BED BASE</t>
        </is>
      </c>
      <c r="R12" t="n">
        <v>459</v>
      </c>
      <c r="U12" t="inlineStr">
        <is>
          <t>Advanced adjustable bed base offering multiple preset positions and quiet motor operation for a restorative night’s sleep.</t>
        </is>
      </c>
      <c r="V12" t="inlineStr">
        <is>
          <t>Quiet motor for seamless adjustment</t>
        </is>
      </c>
      <c r="W12" t="inlineStr">
        <is>
          <t>Multiple preset positions included</t>
        </is>
      </c>
      <c r="X12" t="inlineStr">
        <is>
          <t>Zero-gravity mode for pressure relief</t>
        </is>
      </c>
      <c r="Y12" t="inlineStr">
        <is>
          <t>Sturdy construction with non-slip surface</t>
        </is>
      </c>
      <c r="Z12" t="inlineStr">
        <is>
          <t>Easy assembly in under 10 minutes</t>
        </is>
      </c>
    </row>
    <row r="13">
      <c r="A13" s="39">
        <f>IF('12 - Beds'!B13 = "", "", IF('12 - Beds-WUO_ERR'!A13 = "", "Validated", HYPERLINK("#" &amp; ADDRESS(13, '12 - Beds-WUO_TRK'!A13),_xlfn.TEXTAFTER('12 - Beds-WUO_ERR'!A13, ":"))))</f>
        <v/>
      </c>
      <c r="B13" t="inlineStr">
        <is>
          <t>CASA-BED-ADJ-004</t>
        </is>
      </c>
      <c r="D13" t="inlineStr">
        <is>
          <t>Casa Design Furniture</t>
        </is>
      </c>
      <c r="G13" t="inlineStr">
        <is>
          <t>#004 ADJUSTABLE BED BASE PREMIUM</t>
        </is>
      </c>
      <c r="R13" t="n">
        <v>559</v>
      </c>
      <c r="U13" t="inlineStr">
        <is>
          <t>Premium adjustable base with massage features and under-bed lighting. Elevate your bedroom experience with ultimate comfort and luxury.</t>
        </is>
      </c>
      <c r="V13" t="inlineStr">
        <is>
          <t>Built-in massage feature with intensity levels</t>
        </is>
      </c>
      <c r="W13" t="inlineStr">
        <is>
          <t>Integrated under-bed LED lighting</t>
        </is>
      </c>
      <c r="X13" t="inlineStr">
        <is>
          <t>Wireless remote control with memory buttons</t>
        </is>
      </c>
      <c r="Y13" t="inlineStr">
        <is>
          <t>Highest grade steel and component materials</t>
        </is>
      </c>
      <c r="Z13" t="inlineStr">
        <is>
          <t>USB charging ports integrated into base</t>
        </is>
      </c>
    </row>
    <row r="14">
      <c r="A14" s="39">
        <f>IF('12 - Beds'!B14 = "", "", IF('12 - Beds-WUO_ERR'!A14 = "", "Validated", HYPERLINK("#" &amp; ADDRESS(14, '12 - Beds-WUO_TRK'!A14),_xlfn.TEXTAFTER('12 - Beds-WUO_ERR'!A14, ":"))))</f>
        <v/>
      </c>
    </row>
    <row r="15">
      <c r="A15" s="39">
        <f>IF('12 - Beds'!B15 = "", "", IF('12 - Beds-WUO_ERR'!A15 = "", "Validated", HYPERLINK("#" &amp; ADDRESS(15, '12 - Beds-WUO_TRK'!A15),_xlfn.TEXTAFTER('12 - Beds-WUO_ERR'!A15, ":"))))</f>
        <v/>
      </c>
    </row>
    <row r="16">
      <c r="A16" s="39">
        <f>IF('12 - Beds'!B16 = "", "", IF('12 - Beds-WUO_ERR'!A16 = "", "Validated", HYPERLINK("#" &amp; ADDRESS(16, '12 - Beds-WUO_TRK'!A16),_xlfn.TEXTAFTER('12 - Beds-WUO_ERR'!A16, ":"))))</f>
        <v/>
      </c>
    </row>
    <row r="17">
      <c r="A17" s="39">
        <f>IF('12 - Beds'!B17 = "", "", IF('12 - Beds-WUO_ERR'!A17 = "", "Validated", HYPERLINK("#" &amp; ADDRESS(17, '12 - Beds-WUO_TRK'!A17),_xlfn.TEXTAFTER('12 - Beds-WUO_ERR'!A17, ":"))))</f>
        <v/>
      </c>
    </row>
    <row r="18">
      <c r="A18" s="39">
        <f>IF('12 - Beds'!B18 = "", "", IF('12 - Beds-WUO_ERR'!A18 = "", "Validated", HYPERLINK("#" &amp; ADDRESS(18, '12 - Beds-WUO_TRK'!A18),_xlfn.TEXTAFTER('12 - Beds-WUO_ERR'!A18, ":"))))</f>
        <v/>
      </c>
    </row>
    <row r="19">
      <c r="A19" s="39">
        <f>IF('12 - Beds'!B19 = "", "", IF('12 - Beds-WUO_ERR'!A19 = "", "Validated", HYPERLINK("#" &amp; ADDRESS(19, '12 - Beds-WUO_TRK'!A19),_xlfn.TEXTAFTER('12 - Beds-WUO_ERR'!A19, ":"))))</f>
        <v/>
      </c>
    </row>
    <row r="20">
      <c r="A20" s="39">
        <f>IF('12 - Beds'!B20 = "", "", IF('12 - Beds-WUO_ERR'!A20 = "", "Validated", HYPERLINK("#" &amp; ADDRESS(20, '12 - Beds-WUO_TRK'!A20),_xlfn.TEXTAFTER('12 - Beds-WUO_ERR'!A20, ":"))))</f>
        <v/>
      </c>
    </row>
    <row r="21">
      <c r="A21" s="39">
        <f>IF('12 - Beds'!B21 = "", "", IF('12 - Beds-WUO_ERR'!A21 = "", "Validated", HYPERLINK("#" &amp; ADDRESS(21, '12 - Beds-WUO_TRK'!A21),_xlfn.TEXTAFTER('12 - Beds-WUO_ERR'!A21, ":"))))</f>
        <v/>
      </c>
    </row>
    <row r="22">
      <c r="A22" s="39">
        <f>IF('12 - Beds'!B22 = "", "", IF('12 - Beds-WUO_ERR'!A22 = "", "Validated", HYPERLINK("#" &amp; ADDRESS(22, '12 - Beds-WUO_TRK'!A22),_xlfn.TEXTAFTER('12 - Beds-WUO_ERR'!A22, ":"))))</f>
        <v/>
      </c>
    </row>
    <row r="23">
      <c r="A23" s="39">
        <f>IF('12 - Beds'!B23 = "", "", IF('12 - Beds-WUO_ERR'!A23 = "", "Validated", HYPERLINK("#" &amp; ADDRESS(23, '12 - Beds-WUO_TRK'!A23),_xlfn.TEXTAFTER('12 - Beds-WUO_ERR'!A23, ":"))))</f>
        <v/>
      </c>
    </row>
    <row r="24">
      <c r="A24" s="39">
        <f>IF('12 - Beds'!B24 = "", "", IF('12 - Beds-WUO_ERR'!A24 = "", "Validated", HYPERLINK("#" &amp; ADDRESS(24, '12 - Beds-WUO_TRK'!A24),_xlfn.TEXTAFTER('12 - Beds-WUO_ERR'!A24, ":"))))</f>
        <v/>
      </c>
    </row>
    <row r="25">
      <c r="A25" s="39">
        <f>IF('12 - Beds'!B25 = "", "", IF('12 - Beds-WUO_ERR'!A25 = "", "Validated", HYPERLINK("#" &amp; ADDRESS(25, '12 - Beds-WUO_TRK'!A25),_xlfn.TEXTAFTER('12 - Beds-WUO_ERR'!A25, ":"))))</f>
        <v/>
      </c>
    </row>
    <row r="26">
      <c r="A26" s="39">
        <f>IF('12 - Beds'!B26 = "", "", IF('12 - Beds-WUO_ERR'!A26 = "", "Validated", HYPERLINK("#" &amp; ADDRESS(26, '12 - Beds-WUO_TRK'!A26),_xlfn.TEXTAFTER('12 - Beds-WUO_ERR'!A26, ":"))))</f>
        <v/>
      </c>
    </row>
    <row r="27">
      <c r="A27" s="39">
        <f>IF('12 - Beds'!B27 = "", "", IF('12 - Beds-WUO_ERR'!A27 = "", "Validated", HYPERLINK("#" &amp; ADDRESS(27, '12 - Beds-WUO_TRK'!A27),_xlfn.TEXTAFTER('12 - Beds-WUO_ERR'!A27, ":"))))</f>
        <v/>
      </c>
    </row>
    <row r="28">
      <c r="A28" s="39">
        <f>IF('12 - Beds'!B28 = "", "", IF('12 - Beds-WUO_ERR'!A28 = "", "Validated", HYPERLINK("#" &amp; ADDRESS(28, '12 - Beds-WUO_TRK'!A28),_xlfn.TEXTAFTER('12 - Beds-WUO_ERR'!A28, ":"))))</f>
        <v/>
      </c>
    </row>
    <row r="29">
      <c r="A29" s="39">
        <f>IF('12 - Beds'!B29 = "", "", IF('12 - Beds-WUO_ERR'!A29 = "", "Validated", HYPERLINK("#" &amp; ADDRESS(29, '12 - Beds-WUO_TRK'!A29),_xlfn.TEXTAFTER('12 - Beds-WUO_ERR'!A29, ":"))))</f>
        <v/>
      </c>
    </row>
    <row r="30">
      <c r="A30" s="39">
        <f>IF('12 - Beds'!B30 = "", "", IF('12 - Beds-WUO_ERR'!A30 = "", "Validated", HYPERLINK("#" &amp; ADDRESS(30, '12 - Beds-WUO_TRK'!A30),_xlfn.TEXTAFTER('12 - Beds-WUO_ERR'!A30, ":"))))</f>
        <v/>
      </c>
    </row>
    <row r="31">
      <c r="A31" s="39">
        <f>IF('12 - Beds'!B31 = "", "", IF('12 - Beds-WUO_ERR'!A31 = "", "Validated", HYPERLINK("#" &amp; ADDRESS(31, '12 - Beds-WUO_TRK'!A31),_xlfn.TEXTAFTER('12 - Beds-WUO_ERR'!A31, ":"))))</f>
        <v/>
      </c>
    </row>
    <row r="32">
      <c r="A32" s="39">
        <f>IF('12 - Beds'!B32 = "", "", IF('12 - Beds-WUO_ERR'!A32 = "", "Validated", HYPERLINK("#" &amp; ADDRESS(32, '12 - Beds-WUO_TRK'!A32),_xlfn.TEXTAFTER('12 - Beds-WUO_ERR'!A32, ":"))))</f>
        <v/>
      </c>
    </row>
    <row r="33">
      <c r="A33" s="39">
        <f>IF('12 - Beds'!B33 = "", "", IF('12 - Beds-WUO_ERR'!A33 = "", "Validated", HYPERLINK("#" &amp; ADDRESS(33, '12 - Beds-WUO_TRK'!A33),_xlfn.TEXTAFTER('12 - Beds-WUO_ERR'!A33, ":"))))</f>
        <v/>
      </c>
    </row>
    <row r="34">
      <c r="A34" s="39">
        <f>IF('12 - Beds'!B34 = "", "", IF('12 - Beds-WUO_ERR'!A34 = "", "Validated", HYPERLINK("#" &amp; ADDRESS(34, '12 - Beds-WUO_TRK'!A34),_xlfn.TEXTAFTER('12 - Beds-WUO_ERR'!A34, ":"))))</f>
        <v/>
      </c>
    </row>
    <row r="35">
      <c r="A35" s="39">
        <f>IF('12 - Beds'!B35 = "", "", IF('12 - Beds-WUO_ERR'!A35 = "", "Validated", HYPERLINK("#" &amp; ADDRESS(35, '12 - Beds-WUO_TRK'!A35),_xlfn.TEXTAFTER('12 - Beds-WUO_ERR'!A35, ":"))))</f>
        <v/>
      </c>
    </row>
    <row r="36">
      <c r="A36" s="39">
        <f>IF('12 - Beds'!B36 = "", "", IF('12 - Beds-WUO_ERR'!A36 = "", "Validated", HYPERLINK("#" &amp; ADDRESS(36, '12 - Beds-WUO_TRK'!A36),_xlfn.TEXTAFTER('12 - Beds-WUO_ERR'!A36, ":"))))</f>
        <v/>
      </c>
    </row>
    <row r="37">
      <c r="A37" s="39">
        <f>IF('12 - Beds'!B37 = "", "", IF('12 - Beds-WUO_ERR'!A37 = "", "Validated", HYPERLINK("#" &amp; ADDRESS(37, '12 - Beds-WUO_TRK'!A37),_xlfn.TEXTAFTER('12 - Beds-WUO_ERR'!A37, ":"))))</f>
        <v/>
      </c>
    </row>
    <row r="38">
      <c r="A38" s="39">
        <f>IF('12 - Beds'!B38 = "", "", IF('12 - Beds-WUO_ERR'!A38 = "", "Validated", HYPERLINK("#" &amp; ADDRESS(38, '12 - Beds-WUO_TRK'!A38),_xlfn.TEXTAFTER('12 - Beds-WUO_ERR'!A38, ":"))))</f>
        <v/>
      </c>
    </row>
    <row r="39">
      <c r="A39" s="39">
        <f>IF('12 - Beds'!B39 = "", "", IF('12 - Beds-WUO_ERR'!A39 = "", "Validated", HYPERLINK("#" &amp; ADDRESS(39, '12 - Beds-WUO_TRK'!A39),_xlfn.TEXTAFTER('12 - Beds-WUO_ERR'!A39, ":"))))</f>
        <v/>
      </c>
    </row>
    <row r="40">
      <c r="A40" s="39">
        <f>IF('12 - Beds'!B40 = "", "", IF('12 - Beds-WUO_ERR'!A40 = "", "Validated", HYPERLINK("#" &amp; ADDRESS(40, '12 - Beds-WUO_TRK'!A40),_xlfn.TEXTAFTER('12 - Beds-WUO_ERR'!A40, ":"))))</f>
        <v/>
      </c>
    </row>
    <row r="41">
      <c r="A41" s="39">
        <f>IF('12 - Beds'!B41 = "", "", IF('12 - Beds-WUO_ERR'!A41 = "", "Validated", HYPERLINK("#" &amp; ADDRESS(41, '12 - Beds-WUO_TRK'!A41),_xlfn.TEXTAFTER('12 - Beds-WUO_ERR'!A41, ":"))))</f>
        <v/>
      </c>
    </row>
    <row r="42">
      <c r="A42" s="39">
        <f>IF('12 - Beds'!B42 = "", "", IF('12 - Beds-WUO_ERR'!A42 = "", "Validated", HYPERLINK("#" &amp; ADDRESS(42, '12 - Beds-WUO_TRK'!A42),_xlfn.TEXTAFTER('12 - Beds-WUO_ERR'!A42, ":"))))</f>
        <v/>
      </c>
    </row>
    <row r="43">
      <c r="A43" s="39">
        <f>IF('12 - Beds'!B43 = "", "", IF('12 - Beds-WUO_ERR'!A43 = "", "Validated", HYPERLINK("#" &amp; ADDRESS(43, '12 - Beds-WUO_TRK'!A43),_xlfn.TEXTAFTER('12 - Beds-WUO_ERR'!A43, ":"))))</f>
        <v/>
      </c>
    </row>
    <row r="44">
      <c r="A44" s="39">
        <f>IF('12 - Beds'!B44 = "", "", IF('12 - Beds-WUO_ERR'!A44 = "", "Validated", HYPERLINK("#" &amp; ADDRESS(44, '12 - Beds-WUO_TRK'!A44),_xlfn.TEXTAFTER('12 - Beds-WUO_ERR'!A44, ":"))))</f>
        <v/>
      </c>
    </row>
    <row r="45">
      <c r="A45" s="39">
        <f>IF('12 - Beds'!B45 = "", "", IF('12 - Beds-WUO_ERR'!A45 = "", "Validated", HYPERLINK("#" &amp; ADDRESS(45, '12 - Beds-WUO_TRK'!A45),_xlfn.TEXTAFTER('12 - Beds-WUO_ERR'!A45, ":"))))</f>
        <v/>
      </c>
    </row>
    <row r="46">
      <c r="A46" s="39">
        <f>IF('12 - Beds'!B46 = "", "", IF('12 - Beds-WUO_ERR'!A46 = "", "Validated", HYPERLINK("#" &amp; ADDRESS(46, '12 - Beds-WUO_TRK'!A46),_xlfn.TEXTAFTER('12 - Beds-WUO_ERR'!A46, ":"))))</f>
        <v/>
      </c>
    </row>
    <row r="47">
      <c r="A47" s="39">
        <f>IF('12 - Beds'!B47 = "", "", IF('12 - Beds-WUO_ERR'!A47 = "", "Validated", HYPERLINK("#" &amp; ADDRESS(47, '12 - Beds-WUO_TRK'!A47),_xlfn.TEXTAFTER('12 - Beds-WUO_ERR'!A47, ":"))))</f>
        <v/>
      </c>
    </row>
    <row r="48">
      <c r="A48" s="39">
        <f>IF('12 - Beds'!B48 = "", "", IF('12 - Beds-WUO_ERR'!A48 = "", "Validated", HYPERLINK("#" &amp; ADDRESS(48, '12 - Beds-WUO_TRK'!A48),_xlfn.TEXTAFTER('12 - Beds-WUO_ERR'!A48, ":"))))</f>
        <v/>
      </c>
    </row>
    <row r="49">
      <c r="A49" s="39">
        <f>IF('12 - Beds'!B49 = "", "", IF('12 - Beds-WUO_ERR'!A49 = "", "Validated", HYPERLINK("#" &amp; ADDRESS(49, '12 - Beds-WUO_TRK'!A49),_xlfn.TEXTAFTER('12 - Beds-WUO_ERR'!A49, ":"))))</f>
        <v/>
      </c>
    </row>
    <row r="50">
      <c r="A50" s="39">
        <f>IF('12 - Beds'!B50 = "", "", IF('12 - Beds-WUO_ERR'!A50 = "", "Validated", HYPERLINK("#" &amp; ADDRESS(50, '12 - Beds-WUO_TRK'!A50),_xlfn.TEXTAFTER('12 - Beds-WUO_ERR'!A50, ":"))))</f>
        <v/>
      </c>
    </row>
    <row r="51">
      <c r="A51" s="39">
        <f>IF('12 - Beds'!B51 = "", "", IF('12 - Beds-WUO_ERR'!A51 = "", "Validated", HYPERLINK("#" &amp; ADDRESS(51, '12 - Beds-WUO_TRK'!A51),_xlfn.TEXTAFTER('12 - Beds-WUO_ERR'!A51, ":"))))</f>
        <v/>
      </c>
    </row>
    <row r="52">
      <c r="A52" s="39">
        <f>IF('12 - Beds'!B52 = "", "", IF('12 - Beds-WUO_ERR'!A52 = "", "Validated", HYPERLINK("#" &amp; ADDRESS(52, '12 - Beds-WUO_TRK'!A52),_xlfn.TEXTAFTER('12 - Beds-WUO_ERR'!A52, ":"))))</f>
        <v/>
      </c>
    </row>
    <row r="53">
      <c r="A53" s="39">
        <f>IF('12 - Beds'!B53 = "", "", IF('12 - Beds-WUO_ERR'!A53 = "", "Validated", HYPERLINK("#" &amp; ADDRESS(53, '12 - Beds-WUO_TRK'!A53),_xlfn.TEXTAFTER('12 - Beds-WUO_ERR'!A53, ":"))))</f>
        <v/>
      </c>
    </row>
    <row r="54">
      <c r="A54" s="39">
        <f>IF('12 - Beds'!B54 = "", "", IF('12 - Beds-WUO_ERR'!A54 = "", "Validated", HYPERLINK("#" &amp; ADDRESS(54, '12 - Beds-WUO_TRK'!A54),_xlfn.TEXTAFTER('12 - Beds-WUO_ERR'!A54, ":"))))</f>
        <v/>
      </c>
    </row>
    <row r="55">
      <c r="A55" s="39">
        <f>IF('12 - Beds'!B55 = "", "", IF('12 - Beds-WUO_ERR'!A55 = "", "Validated", HYPERLINK("#" &amp; ADDRESS(55, '12 - Beds-WUO_TRK'!A55),_xlfn.TEXTAFTER('12 - Beds-WUO_ERR'!A55, ":"))))</f>
        <v/>
      </c>
    </row>
    <row r="56">
      <c r="A56" s="39">
        <f>IF('12 - Beds'!B56 = "", "", IF('12 - Beds-WUO_ERR'!A56 = "", "Validated", HYPERLINK("#" &amp; ADDRESS(56, '12 - Beds-WUO_TRK'!A56),_xlfn.TEXTAFTER('12 - Beds-WUO_ERR'!A56, ":"))))</f>
        <v/>
      </c>
    </row>
    <row r="57">
      <c r="A57" s="39">
        <f>IF('12 - Beds'!B57 = "", "", IF('12 - Beds-WUO_ERR'!A57 = "", "Validated", HYPERLINK("#" &amp; ADDRESS(57, '12 - Beds-WUO_TRK'!A57),_xlfn.TEXTAFTER('12 - Beds-WUO_ERR'!A57, ":"))))</f>
        <v/>
      </c>
    </row>
    <row r="58">
      <c r="A58" s="39">
        <f>IF('12 - Beds'!B58 = "", "", IF('12 - Beds-WUO_ERR'!A58 = "", "Validated", HYPERLINK("#" &amp; ADDRESS(58, '12 - Beds-WUO_TRK'!A58),_xlfn.TEXTAFTER('12 - Beds-WUO_ERR'!A58, ":"))))</f>
        <v/>
      </c>
    </row>
    <row r="59">
      <c r="A59" s="39">
        <f>IF('12 - Beds'!B59 = "", "", IF('12 - Beds-WUO_ERR'!A59 = "", "Validated", HYPERLINK("#" &amp; ADDRESS(59, '12 - Beds-WUO_TRK'!A59),_xlfn.TEXTAFTER('12 - Beds-WUO_ERR'!A59, ":"))))</f>
        <v/>
      </c>
    </row>
    <row r="60">
      <c r="A60" s="39">
        <f>IF('12 - Beds'!B60 = "", "", IF('12 - Beds-WUO_ERR'!A60 = "", "Validated", HYPERLINK("#" &amp; ADDRESS(60, '12 - Beds-WUO_TRK'!A60),_xlfn.TEXTAFTER('12 - Beds-WUO_ERR'!A60, ":"))))</f>
        <v/>
      </c>
    </row>
    <row r="61">
      <c r="A61" s="39">
        <f>IF('12 - Beds'!B61 = "", "", IF('12 - Beds-WUO_ERR'!A61 = "", "Validated", HYPERLINK("#" &amp; ADDRESS(61, '12 - Beds-WUO_TRK'!A61),_xlfn.TEXTAFTER('12 - Beds-WUO_ERR'!A61, ":"))))</f>
        <v/>
      </c>
    </row>
    <row r="62">
      <c r="A62" s="39">
        <f>IF('12 - Beds'!B62 = "", "", IF('12 - Beds-WUO_ERR'!A62 = "", "Validated", HYPERLINK("#" &amp; ADDRESS(62, '12 - Beds-WUO_TRK'!A62),_xlfn.TEXTAFTER('12 - Beds-WUO_ERR'!A62, ":"))))</f>
        <v/>
      </c>
    </row>
    <row r="63">
      <c r="A63" s="39">
        <f>IF('12 - Beds'!B63 = "", "", IF('12 - Beds-WUO_ERR'!A63 = "", "Validated", HYPERLINK("#" &amp; ADDRESS(63, '12 - Beds-WUO_TRK'!A63),_xlfn.TEXTAFTER('12 - Beds-WUO_ERR'!A63, ":"))))</f>
        <v/>
      </c>
    </row>
    <row r="64">
      <c r="A64" s="39">
        <f>IF('12 - Beds'!B64 = "", "", IF('12 - Beds-WUO_ERR'!A64 = "", "Validated", HYPERLINK("#" &amp; ADDRESS(64, '12 - Beds-WUO_TRK'!A64),_xlfn.TEXTAFTER('12 - Beds-WUO_ERR'!A64, ":"))))</f>
        <v/>
      </c>
    </row>
    <row r="65">
      <c r="A65" s="39">
        <f>IF('12 - Beds'!B65 = "", "", IF('12 - Beds-WUO_ERR'!A65 = "", "Validated", HYPERLINK("#" &amp; ADDRESS(65, '12 - Beds-WUO_TRK'!A65),_xlfn.TEXTAFTER('12 - Beds-WUO_ERR'!A65, ":"))))</f>
        <v/>
      </c>
    </row>
    <row r="66">
      <c r="A66" s="39">
        <f>IF('12 - Beds'!B66 = "", "", IF('12 - Beds-WUO_ERR'!A66 = "", "Validated", HYPERLINK("#" &amp; ADDRESS(66, '12 - Beds-WUO_TRK'!A66),_xlfn.TEXTAFTER('12 - Beds-WUO_ERR'!A66, ":"))))</f>
        <v/>
      </c>
    </row>
    <row r="67">
      <c r="A67" s="39">
        <f>IF('12 - Beds'!B67 = "", "", IF('12 - Beds-WUO_ERR'!A67 = "", "Validated", HYPERLINK("#" &amp; ADDRESS(67, '12 - Beds-WUO_TRK'!A67),_xlfn.TEXTAFTER('12 - Beds-WUO_ERR'!A67, ":"))))</f>
        <v/>
      </c>
    </row>
    <row r="68">
      <c r="A68" s="39">
        <f>IF('12 - Beds'!B68 = "", "", IF('12 - Beds-WUO_ERR'!A68 = "", "Validated", HYPERLINK("#" &amp; ADDRESS(68, '12 - Beds-WUO_TRK'!A68),_xlfn.TEXTAFTER('12 - Beds-WUO_ERR'!A68, ":"))))</f>
        <v/>
      </c>
    </row>
    <row r="69">
      <c r="A69" s="39">
        <f>IF('12 - Beds'!B69 = "", "", IF('12 - Beds-WUO_ERR'!A69 = "", "Validated", HYPERLINK("#" &amp; ADDRESS(69, '12 - Beds-WUO_TRK'!A69),_xlfn.TEXTAFTER('12 - Beds-WUO_ERR'!A69, ":"))))</f>
        <v/>
      </c>
    </row>
    <row r="70">
      <c r="A70" s="39">
        <f>IF('12 - Beds'!B70 = "", "", IF('12 - Beds-WUO_ERR'!A70 = "", "Validated", HYPERLINK("#" &amp; ADDRESS(70, '12 - Beds-WUO_TRK'!A70),_xlfn.TEXTAFTER('12 - Beds-WUO_ERR'!A70, ":"))))</f>
        <v/>
      </c>
    </row>
    <row r="71">
      <c r="A71" s="39">
        <f>IF('12 - Beds'!B71 = "", "", IF('12 - Beds-WUO_ERR'!A71 = "", "Validated", HYPERLINK("#" &amp; ADDRESS(71, '12 - Beds-WUO_TRK'!A71),_xlfn.TEXTAFTER('12 - Beds-WUO_ERR'!A71, ":"))))</f>
        <v/>
      </c>
    </row>
    <row r="72">
      <c r="A72" s="39">
        <f>IF('12 - Beds'!B72 = "", "", IF('12 - Beds-WUO_ERR'!A72 = "", "Validated", HYPERLINK("#" &amp; ADDRESS(72, '12 - Beds-WUO_TRK'!A72),_xlfn.TEXTAFTER('12 - Beds-WUO_ERR'!A72, ":"))))</f>
        <v/>
      </c>
    </row>
    <row r="73">
      <c r="A73" s="39">
        <f>IF('12 - Beds'!B73 = "", "", IF('12 - Beds-WUO_ERR'!A73 = "", "Validated", HYPERLINK("#" &amp; ADDRESS(73, '12 - Beds-WUO_TRK'!A73),_xlfn.TEXTAFTER('12 - Beds-WUO_ERR'!A73, ":"))))</f>
        <v/>
      </c>
    </row>
    <row r="74">
      <c r="A74" s="39">
        <f>IF('12 - Beds'!B74 = "", "", IF('12 - Beds-WUO_ERR'!A74 = "", "Validated", HYPERLINK("#" &amp; ADDRESS(74, '12 - Beds-WUO_TRK'!A74),_xlfn.TEXTAFTER('12 - Beds-WUO_ERR'!A74, ":"))))</f>
        <v/>
      </c>
    </row>
    <row r="75">
      <c r="A75" s="39">
        <f>IF('12 - Beds'!B75 = "", "", IF('12 - Beds-WUO_ERR'!A75 = "", "Validated", HYPERLINK("#" &amp; ADDRESS(75, '12 - Beds-WUO_TRK'!A75),_xlfn.TEXTAFTER('12 - Beds-WUO_ERR'!A75, ":"))))</f>
        <v/>
      </c>
    </row>
    <row r="76">
      <c r="A76" s="39">
        <f>IF('12 - Beds'!B76 = "", "", IF('12 - Beds-WUO_ERR'!A76 = "", "Validated", HYPERLINK("#" &amp; ADDRESS(76, '12 - Beds-WUO_TRK'!A76),_xlfn.TEXTAFTER('12 - Beds-WUO_ERR'!A76, ":"))))</f>
        <v/>
      </c>
    </row>
    <row r="77">
      <c r="A77" s="39">
        <f>IF('12 - Beds'!B77 = "", "", IF('12 - Beds-WUO_ERR'!A77 = "", "Validated", HYPERLINK("#" &amp; ADDRESS(77, '12 - Beds-WUO_TRK'!A77),_xlfn.TEXTAFTER('12 - Beds-WUO_ERR'!A77, ":"))))</f>
        <v/>
      </c>
    </row>
    <row r="78">
      <c r="A78" s="39">
        <f>IF('12 - Beds'!B78 = "", "", IF('12 - Beds-WUO_ERR'!A78 = "", "Validated", HYPERLINK("#" &amp; ADDRESS(78, '12 - Beds-WUO_TRK'!A78),_xlfn.TEXTAFTER('12 - Beds-WUO_ERR'!A78, ":"))))</f>
        <v/>
      </c>
    </row>
    <row r="79">
      <c r="A79" s="39">
        <f>IF('12 - Beds'!B79 = "", "", IF('12 - Beds-WUO_ERR'!A79 = "", "Validated", HYPERLINK("#" &amp; ADDRESS(79, '12 - Beds-WUO_TRK'!A79),_xlfn.TEXTAFTER('12 - Beds-WUO_ERR'!A79, ":"))))</f>
        <v/>
      </c>
    </row>
    <row r="80">
      <c r="A80" s="39">
        <f>IF('12 - Beds'!B80 = "", "", IF('12 - Beds-WUO_ERR'!A80 = "", "Validated", HYPERLINK("#" &amp; ADDRESS(80, '12 - Beds-WUO_TRK'!A80),_xlfn.TEXTAFTER('12 - Beds-WUO_ERR'!A80, ":"))))</f>
        <v/>
      </c>
    </row>
    <row r="81">
      <c r="A81" s="39">
        <f>IF('12 - Beds'!B81 = "", "", IF('12 - Beds-WUO_ERR'!A81 = "", "Validated", HYPERLINK("#" &amp; ADDRESS(81, '12 - Beds-WUO_TRK'!A81),_xlfn.TEXTAFTER('12 - Beds-WUO_ERR'!A81, ":"))))</f>
        <v/>
      </c>
    </row>
    <row r="82">
      <c r="A82" s="39">
        <f>IF('12 - Beds'!B82 = "", "", IF('12 - Beds-WUO_ERR'!A82 = "", "Validated", HYPERLINK("#" &amp; ADDRESS(82, '12 - Beds-WUO_TRK'!A82),_xlfn.TEXTAFTER('12 - Beds-WUO_ERR'!A82, ":"))))</f>
        <v/>
      </c>
    </row>
    <row r="83">
      <c r="A83" s="39">
        <f>IF('12 - Beds'!B83 = "", "", IF('12 - Beds-WUO_ERR'!A83 = "", "Validated", HYPERLINK("#" &amp; ADDRESS(83, '12 - Beds-WUO_TRK'!A83),_xlfn.TEXTAFTER('12 - Beds-WUO_ERR'!A83, ":"))))</f>
        <v/>
      </c>
    </row>
    <row r="84">
      <c r="A84" s="39">
        <f>IF('12 - Beds'!B84 = "", "", IF('12 - Beds-WUO_ERR'!A84 = "", "Validated", HYPERLINK("#" &amp; ADDRESS(84, '12 - Beds-WUO_TRK'!A84),_xlfn.TEXTAFTER('12 - Beds-WUO_ERR'!A84, ":"))))</f>
        <v/>
      </c>
    </row>
    <row r="85">
      <c r="A85" s="39">
        <f>IF('12 - Beds'!B85 = "", "", IF('12 - Beds-WUO_ERR'!A85 = "", "Validated", HYPERLINK("#" &amp; ADDRESS(85, '12 - Beds-WUO_TRK'!A85),_xlfn.TEXTAFTER('12 - Beds-WUO_ERR'!A85, ":"))))</f>
        <v/>
      </c>
    </row>
    <row r="86">
      <c r="A86" s="39">
        <f>IF('12 - Beds'!B86 = "", "", IF('12 - Beds-WUO_ERR'!A86 = "", "Validated", HYPERLINK("#" &amp; ADDRESS(86, '12 - Beds-WUO_TRK'!A86),_xlfn.TEXTAFTER('12 - Beds-WUO_ERR'!A86, ":"))))</f>
        <v/>
      </c>
    </row>
    <row r="87">
      <c r="A87" s="39">
        <f>IF('12 - Beds'!B87 = "", "", IF('12 - Beds-WUO_ERR'!A87 = "", "Validated", HYPERLINK("#" &amp; ADDRESS(87, '12 - Beds-WUO_TRK'!A87),_xlfn.TEXTAFTER('12 - Beds-WUO_ERR'!A87, ":"))))</f>
        <v/>
      </c>
    </row>
    <row r="88">
      <c r="A88" s="39">
        <f>IF('12 - Beds'!B88 = "", "", IF('12 - Beds-WUO_ERR'!A88 = "", "Validated", HYPERLINK("#" &amp; ADDRESS(88, '12 - Beds-WUO_TRK'!A88),_xlfn.TEXTAFTER('12 - Beds-WUO_ERR'!A88, ":"))))</f>
        <v/>
      </c>
    </row>
    <row r="89">
      <c r="A89" s="39">
        <f>IF('12 - Beds'!B89 = "", "", IF('12 - Beds-WUO_ERR'!A89 = "", "Validated", HYPERLINK("#" &amp; ADDRESS(89, '12 - Beds-WUO_TRK'!A89),_xlfn.TEXTAFTER('12 - Beds-WUO_ERR'!A89, ":"))))</f>
        <v/>
      </c>
    </row>
    <row r="90">
      <c r="A90" s="39">
        <f>IF('12 - Beds'!B90 = "", "", IF('12 - Beds-WUO_ERR'!A90 = "", "Validated", HYPERLINK("#" &amp; ADDRESS(90, '12 - Beds-WUO_TRK'!A90),_xlfn.TEXTAFTER('12 - Beds-WUO_ERR'!A90, ":"))))</f>
        <v/>
      </c>
    </row>
    <row r="91">
      <c r="A91" s="39">
        <f>IF('12 - Beds'!B91 = "", "", IF('12 - Beds-WUO_ERR'!A91 = "", "Validated", HYPERLINK("#" &amp; ADDRESS(91, '12 - Beds-WUO_TRK'!A91),_xlfn.TEXTAFTER('12 - Beds-WUO_ERR'!A91, ":"))))</f>
        <v/>
      </c>
    </row>
    <row r="92">
      <c r="A92" s="39">
        <f>IF('12 - Beds'!B92 = "", "", IF('12 - Beds-WUO_ERR'!A92 = "", "Validated", HYPERLINK("#" &amp; ADDRESS(92, '12 - Beds-WUO_TRK'!A92),_xlfn.TEXTAFTER('12 - Beds-WUO_ERR'!A92, ":"))))</f>
        <v/>
      </c>
    </row>
    <row r="93">
      <c r="A93" s="39">
        <f>IF('12 - Beds'!B93 = "", "", IF('12 - Beds-WUO_ERR'!A93 = "", "Validated", HYPERLINK("#" &amp; ADDRESS(93, '12 - Beds-WUO_TRK'!A93),_xlfn.TEXTAFTER('12 - Beds-WUO_ERR'!A93, ":"))))</f>
        <v/>
      </c>
    </row>
    <row r="94">
      <c r="A94" s="39">
        <f>IF('12 - Beds'!B94 = "", "", IF('12 - Beds-WUO_ERR'!A94 = "", "Validated", HYPERLINK("#" &amp; ADDRESS(94, '12 - Beds-WUO_TRK'!A94),_xlfn.TEXTAFTER('12 - Beds-WUO_ERR'!A94, ":"))))</f>
        <v/>
      </c>
    </row>
    <row r="95">
      <c r="A95" s="39">
        <f>IF('12 - Beds'!B95 = "", "", IF('12 - Beds-WUO_ERR'!A95 = "", "Validated", HYPERLINK("#" &amp; ADDRESS(95, '12 - Beds-WUO_TRK'!A95),_xlfn.TEXTAFTER('12 - Beds-WUO_ERR'!A95, ":"))))</f>
        <v/>
      </c>
    </row>
    <row r="96">
      <c r="A96" s="39">
        <f>IF('12 - Beds'!B96 = "", "", IF('12 - Beds-WUO_ERR'!A96 = "", "Validated", HYPERLINK("#" &amp; ADDRESS(96, '12 - Beds-WUO_TRK'!A96),_xlfn.TEXTAFTER('12 - Beds-WUO_ERR'!A96, ":"))))</f>
        <v/>
      </c>
    </row>
    <row r="97">
      <c r="A97" s="39">
        <f>IF('12 - Beds'!B97 = "", "", IF('12 - Beds-WUO_ERR'!A97 = "", "Validated", HYPERLINK("#" &amp; ADDRESS(97, '12 - Beds-WUO_TRK'!A97),_xlfn.TEXTAFTER('12 - Beds-WUO_ERR'!A97, ":"))))</f>
        <v/>
      </c>
    </row>
    <row r="98">
      <c r="A98" s="39">
        <f>IF('12 - Beds'!B98 = "", "", IF('12 - Beds-WUO_ERR'!A98 = "", "Validated", HYPERLINK("#" &amp; ADDRESS(98, '12 - Beds-WUO_TRK'!A98),_xlfn.TEXTAFTER('12 - Beds-WUO_ERR'!A98, ":"))))</f>
        <v/>
      </c>
    </row>
    <row r="99">
      <c r="A99" s="39">
        <f>IF('12 - Beds'!B99 = "", "", IF('12 - Beds-WUO_ERR'!A99 = "", "Validated", HYPERLINK("#" &amp; ADDRESS(99, '12 - Beds-WUO_TRK'!A99),_xlfn.TEXTAFTER('12 - Beds-WUO_ERR'!A99, ":"))))</f>
        <v/>
      </c>
    </row>
    <row r="100">
      <c r="A100" s="39">
        <f>IF('12 - Beds'!B100 = "", "", IF('12 - Beds-WUO_ERR'!A100 = "", "Validated", HYPERLINK("#" &amp; ADDRESS(100, '12 - Beds-WUO_TRK'!A100),_xlfn.TEXTAFTER('12 - Beds-WUO_ERR'!A100, ":"))))</f>
        <v/>
      </c>
    </row>
    <row r="101">
      <c r="A101" s="39">
        <f>IF('12 - Beds'!B101 = "", "", IF('12 - Beds-WUO_ERR'!A101 = "", "Validated", HYPERLINK("#" &amp; ADDRESS(101, '12 - Beds-WUO_TRK'!A101),_xlfn.TEXTAFTER('12 - Beds-WUO_ERR'!A101, ":"))))</f>
        <v/>
      </c>
    </row>
    <row r="102">
      <c r="A102" s="39">
        <f>IF('12 - Beds'!B102 = "", "", IF('12 - Beds-WUO_ERR'!A102 = "", "Validated", HYPERLINK("#" &amp; ADDRESS(102, '12 - Beds-WUO_TRK'!A102),_xlfn.TEXTAFTER('12 - Beds-WUO_ERR'!A102, ":"))))</f>
        <v/>
      </c>
    </row>
    <row r="103">
      <c r="A103" s="39">
        <f>IF('12 - Beds'!B103 = "", "", IF('12 - Beds-WUO_ERR'!A103 = "", "Validated", HYPERLINK("#" &amp; ADDRESS(103, '12 - Beds-WUO_TRK'!A103),_xlfn.TEXTAFTER('12 - Beds-WUO_ERR'!A103, ":"))))</f>
        <v/>
      </c>
    </row>
    <row r="104">
      <c r="A104" s="39">
        <f>IF('12 - Beds'!B104 = "", "", IF('12 - Beds-WUO_ERR'!A104 = "", "Validated", HYPERLINK("#" &amp; ADDRESS(104, '12 - Beds-WUO_TRK'!A104),_xlfn.TEXTAFTER('12 - Beds-WUO_ERR'!A104, ":"))))</f>
        <v/>
      </c>
    </row>
    <row r="105">
      <c r="A105" s="39">
        <f>IF('12 - Beds'!B105 = "", "", IF('12 - Beds-WUO_ERR'!A105 = "", "Validated", HYPERLINK("#" &amp; ADDRESS(105, '12 - Beds-WUO_TRK'!A105),_xlfn.TEXTAFTER('12 - Beds-WUO_ERR'!A105, ":"))))</f>
        <v/>
      </c>
    </row>
    <row r="106">
      <c r="A106" s="39">
        <f>IF('12 - Beds'!B106 = "", "", IF('12 - Beds-WUO_ERR'!A106 = "", "Validated", HYPERLINK("#" &amp; ADDRESS(106, '12 - Beds-WUO_TRK'!A106),_xlfn.TEXTAFTER('12 - Beds-WUO_ERR'!A106, ":"))))</f>
        <v/>
      </c>
    </row>
    <row r="107">
      <c r="A107" s="39">
        <f>IF('12 - Beds'!B107 = "", "", IF('12 - Beds-WUO_ERR'!A107 = "", "Validated", HYPERLINK("#" &amp; ADDRESS(107, '12 - Beds-WUO_TRK'!A107),_xlfn.TEXTAFTER('12 - Beds-WUO_ERR'!A107, ":"))))</f>
        <v/>
      </c>
    </row>
    <row r="108">
      <c r="A108" s="39">
        <f>IF('12 - Beds'!B108 = "", "", IF('12 - Beds-WUO_ERR'!A108 = "", "Validated", HYPERLINK("#" &amp; ADDRESS(108, '12 - Beds-WUO_TRK'!A108),_xlfn.TEXTAFTER('12 - Beds-WUO_ERR'!A108, ":"))))</f>
        <v/>
      </c>
    </row>
    <row r="109">
      <c r="A109" s="39">
        <f>IF('12 - Beds'!B109 = "", "", IF('12 - Beds-WUO_ERR'!A109 = "", "Validated", HYPERLINK("#" &amp; ADDRESS(109, '12 - Beds-WUO_TRK'!A109),_xlfn.TEXTAFTER('12 - Beds-WUO_ERR'!A109, ":"))))</f>
        <v/>
      </c>
    </row>
    <row r="110">
      <c r="A110" s="39">
        <f>IF('12 - Beds'!B110 = "", "", IF('12 - Beds-WUO_ERR'!A110 = "", "Validated", HYPERLINK("#" &amp; ADDRESS(110, '12 - Beds-WUO_TRK'!A110),_xlfn.TEXTAFTER('12 - Beds-WUO_ERR'!A110, ":"))))</f>
        <v/>
      </c>
    </row>
    <row r="111">
      <c r="A111" s="39">
        <f>IF('12 - Beds'!B111 = "", "", IF('12 - Beds-WUO_ERR'!A111 = "", "Validated", HYPERLINK("#" &amp; ADDRESS(111, '12 - Beds-WUO_TRK'!A111),_xlfn.TEXTAFTER('12 - Beds-WUO_ERR'!A111, ":"))))</f>
        <v/>
      </c>
    </row>
    <row r="112">
      <c r="A112" s="39">
        <f>IF('12 - Beds'!B112 = "", "", IF('12 - Beds-WUO_ERR'!A112 = "", "Validated", HYPERLINK("#" &amp; ADDRESS(112, '12 - Beds-WUO_TRK'!A112),_xlfn.TEXTAFTER('12 - Beds-WUO_ERR'!A112, ":"))))</f>
        <v/>
      </c>
    </row>
    <row r="113">
      <c r="A113" s="39">
        <f>IF('12 - Beds'!B113 = "", "", IF('12 - Beds-WUO_ERR'!A113 = "", "Validated", HYPERLINK("#" &amp; ADDRESS(113, '12 - Beds-WUO_TRK'!A113),_xlfn.TEXTAFTER('12 - Beds-WUO_ERR'!A113, ":"))))</f>
        <v/>
      </c>
    </row>
    <row r="114">
      <c r="A114" s="39">
        <f>IF('12 - Beds'!B114 = "", "", IF('12 - Beds-WUO_ERR'!A114 = "", "Validated", HYPERLINK("#" &amp; ADDRESS(114, '12 - Beds-WUO_TRK'!A114),_xlfn.TEXTAFTER('12 - Beds-WUO_ERR'!A114, ":"))))</f>
        <v/>
      </c>
    </row>
    <row r="115">
      <c r="A115" s="39">
        <f>IF('12 - Beds'!B115 = "", "", IF('12 - Beds-WUO_ERR'!A115 = "", "Validated", HYPERLINK("#" &amp; ADDRESS(115, '12 - Beds-WUO_TRK'!A115),_xlfn.TEXTAFTER('12 - Beds-WUO_ERR'!A115, ":"))))</f>
        <v/>
      </c>
    </row>
    <row r="116">
      <c r="A116" s="39">
        <f>IF('12 - Beds'!B116 = "", "", IF('12 - Beds-WUO_ERR'!A116 = "", "Validated", HYPERLINK("#" &amp; ADDRESS(116, '12 - Beds-WUO_TRK'!A116),_xlfn.TEXTAFTER('12 - Beds-WUO_ERR'!A116, ":"))))</f>
        <v/>
      </c>
    </row>
    <row r="117">
      <c r="A117" s="39">
        <f>IF('12 - Beds'!B117 = "", "", IF('12 - Beds-WUO_ERR'!A117 = "", "Validated", HYPERLINK("#" &amp; ADDRESS(117, '12 - Beds-WUO_TRK'!A117),_xlfn.TEXTAFTER('12 - Beds-WUO_ERR'!A117, ":"))))</f>
        <v/>
      </c>
    </row>
    <row r="118">
      <c r="A118" s="39">
        <f>IF('12 - Beds'!B118 = "", "", IF('12 - Beds-WUO_ERR'!A118 = "", "Validated", HYPERLINK("#" &amp; ADDRESS(118, '12 - Beds-WUO_TRK'!A118),_xlfn.TEXTAFTER('12 - Beds-WUO_ERR'!A118, ":"))))</f>
        <v/>
      </c>
    </row>
    <row r="119">
      <c r="A119" s="39">
        <f>IF('12 - Beds'!B119 = "", "", IF('12 - Beds-WUO_ERR'!A119 = "", "Validated", HYPERLINK("#" &amp; ADDRESS(119, '12 - Beds-WUO_TRK'!A119),_xlfn.TEXTAFTER('12 - Beds-WUO_ERR'!A119, ":"))))</f>
        <v/>
      </c>
    </row>
    <row r="120">
      <c r="A120" s="39">
        <f>IF('12 - Beds'!B120 = "", "", IF('12 - Beds-WUO_ERR'!A120 = "", "Validated", HYPERLINK("#" &amp; ADDRESS(120, '12 - Beds-WUO_TRK'!A120),_xlfn.TEXTAFTER('12 - Beds-WUO_ERR'!A120, ":"))))</f>
        <v/>
      </c>
    </row>
    <row r="121">
      <c r="A121" s="39">
        <f>IF('12 - Beds'!B121 = "", "", IF('12 - Beds-WUO_ERR'!A121 = "", "Validated", HYPERLINK("#" &amp; ADDRESS(121, '12 - Beds-WUO_TRK'!A121),_xlfn.TEXTAFTER('12 - Beds-WUO_ERR'!A121, ":"))))</f>
        <v/>
      </c>
    </row>
    <row r="122">
      <c r="A122" s="39">
        <f>IF('12 - Beds'!B122 = "", "", IF('12 - Beds-WUO_ERR'!A122 = "", "Validated", HYPERLINK("#" &amp; ADDRESS(122, '12 - Beds-WUO_TRK'!A122),_xlfn.TEXTAFTER('12 - Beds-WUO_ERR'!A122, ":"))))</f>
        <v/>
      </c>
    </row>
    <row r="123">
      <c r="A123" s="39">
        <f>IF('12 - Beds'!B123 = "", "", IF('12 - Beds-WUO_ERR'!A123 = "", "Validated", HYPERLINK("#" &amp; ADDRESS(123, '12 - Beds-WUO_TRK'!A123),_xlfn.TEXTAFTER('12 - Beds-WUO_ERR'!A123, ":"))))</f>
        <v/>
      </c>
    </row>
    <row r="124">
      <c r="A124" s="39">
        <f>IF('12 - Beds'!B124 = "", "", IF('12 - Beds-WUO_ERR'!A124 = "", "Validated", HYPERLINK("#" &amp; ADDRESS(124, '12 - Beds-WUO_TRK'!A124),_xlfn.TEXTAFTER('12 - Beds-WUO_ERR'!A124, ":"))))</f>
        <v/>
      </c>
    </row>
    <row r="125">
      <c r="A125" s="39">
        <f>IF('12 - Beds'!B125 = "", "", IF('12 - Beds-WUO_ERR'!A125 = "", "Validated", HYPERLINK("#" &amp; ADDRESS(125, '12 - Beds-WUO_TRK'!A125),_xlfn.TEXTAFTER('12 - Beds-WUO_ERR'!A125, ":"))))</f>
        <v/>
      </c>
    </row>
    <row r="126">
      <c r="A126" s="39">
        <f>IF('12 - Beds'!B126 = "", "", IF('12 - Beds-WUO_ERR'!A126 = "", "Validated", HYPERLINK("#" &amp; ADDRESS(126, '12 - Beds-WUO_TRK'!A126),_xlfn.TEXTAFTER('12 - Beds-WUO_ERR'!A126, ":"))))</f>
        <v/>
      </c>
    </row>
    <row r="127">
      <c r="A127" s="39">
        <f>IF('12 - Beds'!B127 = "", "", IF('12 - Beds-WUO_ERR'!A127 = "", "Validated", HYPERLINK("#" &amp; ADDRESS(127, '12 - Beds-WUO_TRK'!A127),_xlfn.TEXTAFTER('12 - Beds-WUO_ERR'!A127, ":"))))</f>
        <v/>
      </c>
    </row>
    <row r="128">
      <c r="A128" s="39">
        <f>IF('12 - Beds'!B128 = "", "", IF('12 - Beds-WUO_ERR'!A128 = "", "Validated", HYPERLINK("#" &amp; ADDRESS(128, '12 - Beds-WUO_TRK'!A128),_xlfn.TEXTAFTER('12 - Beds-WUO_ERR'!A128, ":"))))</f>
        <v/>
      </c>
    </row>
    <row r="129">
      <c r="A129" s="39">
        <f>IF('12 - Beds'!B129 = "", "", IF('12 - Beds-WUO_ERR'!A129 = "", "Validated", HYPERLINK("#" &amp; ADDRESS(129, '12 - Beds-WUO_TRK'!A129),_xlfn.TEXTAFTER('12 - Beds-WUO_ERR'!A129, ":"))))</f>
        <v/>
      </c>
    </row>
    <row r="130">
      <c r="A130" s="39">
        <f>IF('12 - Beds'!B130 = "", "", IF('12 - Beds-WUO_ERR'!A130 = "", "Validated", HYPERLINK("#" &amp; ADDRESS(130, '12 - Beds-WUO_TRK'!A130),_xlfn.TEXTAFTER('12 - Beds-WUO_ERR'!A130, ":"))))</f>
        <v/>
      </c>
    </row>
    <row r="131">
      <c r="A131" s="39">
        <f>IF('12 - Beds'!B131 = "", "", IF('12 - Beds-WUO_ERR'!A131 = "", "Validated", HYPERLINK("#" &amp; ADDRESS(131, '12 - Beds-WUO_TRK'!A131),_xlfn.TEXTAFTER('12 - Beds-WUO_ERR'!A131, ":"))))</f>
        <v/>
      </c>
    </row>
    <row r="132">
      <c r="A132" s="39">
        <f>IF('12 - Beds'!B132 = "", "", IF('12 - Beds-WUO_ERR'!A132 = "", "Validated", HYPERLINK("#" &amp; ADDRESS(132, '12 - Beds-WUO_TRK'!A132),_xlfn.TEXTAFTER('12 - Beds-WUO_ERR'!A132, ":"))))</f>
        <v/>
      </c>
    </row>
    <row r="133">
      <c r="A133" s="39">
        <f>IF('12 - Beds'!B133 = "", "", IF('12 - Beds-WUO_ERR'!A133 = "", "Validated", HYPERLINK("#" &amp; ADDRESS(133, '12 - Beds-WUO_TRK'!A133),_xlfn.TEXTAFTER('12 - Beds-WUO_ERR'!A133, ":"))))</f>
        <v/>
      </c>
    </row>
    <row r="134">
      <c r="A134" s="39">
        <f>IF('12 - Beds'!B134 = "", "", IF('12 - Beds-WUO_ERR'!A134 = "", "Validated", HYPERLINK("#" &amp; ADDRESS(134, '12 - Beds-WUO_TRK'!A134),_xlfn.TEXTAFTER('12 - Beds-WUO_ERR'!A134, ":"))))</f>
        <v/>
      </c>
    </row>
    <row r="135">
      <c r="A135" s="39">
        <f>IF('12 - Beds'!B135 = "", "", IF('12 - Beds-WUO_ERR'!A135 = "", "Validated", HYPERLINK("#" &amp; ADDRESS(135, '12 - Beds-WUO_TRK'!A135),_xlfn.TEXTAFTER('12 - Beds-WUO_ERR'!A135, ":"))))</f>
        <v/>
      </c>
    </row>
    <row r="136">
      <c r="A136" s="39">
        <f>IF('12 - Beds'!B136 = "", "", IF('12 - Beds-WUO_ERR'!A136 = "", "Validated", HYPERLINK("#" &amp; ADDRESS(136, '12 - Beds-WUO_TRK'!A136),_xlfn.TEXTAFTER('12 - Beds-WUO_ERR'!A136, ":"))))</f>
        <v/>
      </c>
    </row>
    <row r="137">
      <c r="A137" s="39">
        <f>IF('12 - Beds'!B137 = "", "", IF('12 - Beds-WUO_ERR'!A137 = "", "Validated", HYPERLINK("#" &amp; ADDRESS(137, '12 - Beds-WUO_TRK'!A137),_xlfn.TEXTAFTER('12 - Beds-WUO_ERR'!A137, ":"))))</f>
        <v/>
      </c>
    </row>
    <row r="138">
      <c r="A138" s="39">
        <f>IF('12 - Beds'!B138 = "", "", IF('12 - Beds-WUO_ERR'!A138 = "", "Validated", HYPERLINK("#" &amp; ADDRESS(138, '12 - Beds-WUO_TRK'!A138),_xlfn.TEXTAFTER('12 - Beds-WUO_ERR'!A138, ":"))))</f>
        <v/>
      </c>
    </row>
    <row r="139">
      <c r="A139" s="39">
        <f>IF('12 - Beds'!B139 = "", "", IF('12 - Beds-WUO_ERR'!A139 = "", "Validated", HYPERLINK("#" &amp; ADDRESS(139, '12 - Beds-WUO_TRK'!A139),_xlfn.TEXTAFTER('12 - Beds-WUO_ERR'!A139, ":"))))</f>
        <v/>
      </c>
    </row>
    <row r="140">
      <c r="A140" s="39">
        <f>IF('12 - Beds'!B140 = "", "", IF('12 - Beds-WUO_ERR'!A140 = "", "Validated", HYPERLINK("#" &amp; ADDRESS(140, '12 - Beds-WUO_TRK'!A140),_xlfn.TEXTAFTER('12 - Beds-WUO_ERR'!A140, ":"))))</f>
        <v/>
      </c>
    </row>
    <row r="141">
      <c r="A141" s="39">
        <f>IF('12 - Beds'!B141 = "", "", IF('12 - Beds-WUO_ERR'!A141 = "", "Validated", HYPERLINK("#" &amp; ADDRESS(141, '12 - Beds-WUO_TRK'!A141),_xlfn.TEXTAFTER('12 - Beds-WUO_ERR'!A141, ":"))))</f>
        <v/>
      </c>
    </row>
    <row r="142">
      <c r="A142" s="39">
        <f>IF('12 - Beds'!B142 = "", "", IF('12 - Beds-WUO_ERR'!A142 = "", "Validated", HYPERLINK("#" &amp; ADDRESS(142, '12 - Beds-WUO_TRK'!A142),_xlfn.TEXTAFTER('12 - Beds-WUO_ERR'!A142, ":"))))</f>
        <v/>
      </c>
    </row>
    <row r="143">
      <c r="A143" s="39">
        <f>IF('12 - Beds'!B143 = "", "", IF('12 - Beds-WUO_ERR'!A143 = "", "Validated", HYPERLINK("#" &amp; ADDRESS(143, '12 - Beds-WUO_TRK'!A143),_xlfn.TEXTAFTER('12 - Beds-WUO_ERR'!A143, ":"))))</f>
        <v/>
      </c>
    </row>
    <row r="144">
      <c r="A144" s="39">
        <f>IF('12 - Beds'!B144 = "", "", IF('12 - Beds-WUO_ERR'!A144 = "", "Validated", HYPERLINK("#" &amp; ADDRESS(144, '12 - Beds-WUO_TRK'!A144),_xlfn.TEXTAFTER('12 - Beds-WUO_ERR'!A144, ":"))))</f>
        <v/>
      </c>
    </row>
    <row r="145">
      <c r="A145" s="39">
        <f>IF('12 - Beds'!B145 = "", "", IF('12 - Beds-WUO_ERR'!A145 = "", "Validated", HYPERLINK("#" &amp; ADDRESS(145, '12 - Beds-WUO_TRK'!A145),_xlfn.TEXTAFTER('12 - Beds-WUO_ERR'!A145, ":"))))</f>
        <v/>
      </c>
    </row>
    <row r="146">
      <c r="A146" s="39">
        <f>IF('12 - Beds'!B146 = "", "", IF('12 - Beds-WUO_ERR'!A146 = "", "Validated", HYPERLINK("#" &amp; ADDRESS(146, '12 - Beds-WUO_TRK'!A146),_xlfn.TEXTAFTER('12 - Beds-WUO_ERR'!A146, ":"))))</f>
        <v/>
      </c>
    </row>
    <row r="147">
      <c r="A147" s="39">
        <f>IF('12 - Beds'!B147 = "", "", IF('12 - Beds-WUO_ERR'!A147 = "", "Validated", HYPERLINK("#" &amp; ADDRESS(147, '12 - Beds-WUO_TRK'!A147),_xlfn.TEXTAFTER('12 - Beds-WUO_ERR'!A147, ":"))))</f>
        <v/>
      </c>
    </row>
    <row r="148">
      <c r="A148" s="39">
        <f>IF('12 - Beds'!B148 = "", "", IF('12 - Beds-WUO_ERR'!A148 = "", "Validated", HYPERLINK("#" &amp; ADDRESS(148, '12 - Beds-WUO_TRK'!A148),_xlfn.TEXTAFTER('12 - Beds-WUO_ERR'!A148, ":"))))</f>
        <v/>
      </c>
    </row>
    <row r="149">
      <c r="A149" s="39">
        <f>IF('12 - Beds'!B149 = "", "", IF('12 - Beds-WUO_ERR'!A149 = "", "Validated", HYPERLINK("#" &amp; ADDRESS(149, '12 - Beds-WUO_TRK'!A149),_xlfn.TEXTAFTER('12 - Beds-WUO_ERR'!A149, ":"))))</f>
        <v/>
      </c>
    </row>
    <row r="150">
      <c r="A150" s="39">
        <f>IF('12 - Beds'!B150 = "", "", IF('12 - Beds-WUO_ERR'!A150 = "", "Validated", HYPERLINK("#" &amp; ADDRESS(150, '12 - Beds-WUO_TRK'!A150),_xlfn.TEXTAFTER('12 - Beds-WUO_ERR'!A150, ":"))))</f>
        <v/>
      </c>
    </row>
    <row r="151">
      <c r="A151" s="39">
        <f>IF('12 - Beds'!B151 = "", "", IF('12 - Beds-WUO_ERR'!A151 = "", "Validated", HYPERLINK("#" &amp; ADDRESS(151, '12 - Beds-WUO_TRK'!A151),_xlfn.TEXTAFTER('12 - Beds-WUO_ERR'!A151, ":"))))</f>
        <v/>
      </c>
    </row>
    <row r="152">
      <c r="A152" s="39">
        <f>IF('12 - Beds'!B152 = "", "", IF('12 - Beds-WUO_ERR'!A152 = "", "Validated", HYPERLINK("#" &amp; ADDRESS(152, '12 - Beds-WUO_TRK'!A152),_xlfn.TEXTAFTER('12 - Beds-WUO_ERR'!A152, ":"))))</f>
        <v/>
      </c>
    </row>
    <row r="153">
      <c r="A153" s="39">
        <f>IF('12 - Beds'!B153 = "", "", IF('12 - Beds-WUO_ERR'!A153 = "", "Validated", HYPERLINK("#" &amp; ADDRESS(153, '12 - Beds-WUO_TRK'!A153),_xlfn.TEXTAFTER('12 - Beds-WUO_ERR'!A153, ":"))))</f>
        <v/>
      </c>
    </row>
    <row r="154">
      <c r="A154" s="39">
        <f>IF('12 - Beds'!B154 = "", "", IF('12 - Beds-WUO_ERR'!A154 = "", "Validated", HYPERLINK("#" &amp; ADDRESS(154, '12 - Beds-WUO_TRK'!A154),_xlfn.TEXTAFTER('12 - Beds-WUO_ERR'!A154, ":"))))</f>
        <v/>
      </c>
    </row>
    <row r="155">
      <c r="A155" s="39">
        <f>IF('12 - Beds'!B155 = "", "", IF('12 - Beds-WUO_ERR'!A155 = "", "Validated", HYPERLINK("#" &amp; ADDRESS(155, '12 - Beds-WUO_TRK'!A155),_xlfn.TEXTAFTER('12 - Beds-WUO_ERR'!A155, ":"))))</f>
        <v/>
      </c>
    </row>
    <row r="156">
      <c r="A156" s="39">
        <f>IF('12 - Beds'!B156 = "", "", IF('12 - Beds-WUO_ERR'!A156 = "", "Validated", HYPERLINK("#" &amp; ADDRESS(156, '12 - Beds-WUO_TRK'!A156),_xlfn.TEXTAFTER('12 - Beds-WUO_ERR'!A156, ":"))))</f>
        <v/>
      </c>
    </row>
    <row r="157">
      <c r="A157" s="39">
        <f>IF('12 - Beds'!B157 = "", "", IF('12 - Beds-WUO_ERR'!A157 = "", "Validated", HYPERLINK("#" &amp; ADDRESS(157, '12 - Beds-WUO_TRK'!A157),_xlfn.TEXTAFTER('12 - Beds-WUO_ERR'!A157, ":"))))</f>
        <v/>
      </c>
    </row>
    <row r="158">
      <c r="A158" s="39">
        <f>IF('12 - Beds'!B158 = "", "", IF('12 - Beds-WUO_ERR'!A158 = "", "Validated", HYPERLINK("#" &amp; ADDRESS(158, '12 - Beds-WUO_TRK'!A158),_xlfn.TEXTAFTER('12 - Beds-WUO_ERR'!A158, ":"))))</f>
        <v/>
      </c>
    </row>
    <row r="159">
      <c r="A159" s="39">
        <f>IF('12 - Beds'!B159 = "", "", IF('12 - Beds-WUO_ERR'!A159 = "", "Validated", HYPERLINK("#" &amp; ADDRESS(159, '12 - Beds-WUO_TRK'!A159),_xlfn.TEXTAFTER('12 - Beds-WUO_ERR'!A159, ":"))))</f>
        <v/>
      </c>
    </row>
    <row r="160">
      <c r="A160" s="39">
        <f>IF('12 - Beds'!B160 = "", "", IF('12 - Beds-WUO_ERR'!A160 = "", "Validated", HYPERLINK("#" &amp; ADDRESS(160, '12 - Beds-WUO_TRK'!A160),_xlfn.TEXTAFTER('12 - Beds-WUO_ERR'!A160, ":"))))</f>
        <v/>
      </c>
    </row>
    <row r="161">
      <c r="A161" s="39">
        <f>IF('12 - Beds'!B161 = "", "", IF('12 - Beds-WUO_ERR'!A161 = "", "Validated", HYPERLINK("#" &amp; ADDRESS(161, '12 - Beds-WUO_TRK'!A161),_xlfn.TEXTAFTER('12 - Beds-WUO_ERR'!A161, ":"))))</f>
        <v/>
      </c>
    </row>
    <row r="162">
      <c r="A162" s="39">
        <f>IF('12 - Beds'!B162 = "", "", IF('12 - Beds-WUO_ERR'!A162 = "", "Validated", HYPERLINK("#" &amp; ADDRESS(162, '12 - Beds-WUO_TRK'!A162),_xlfn.TEXTAFTER('12 - Beds-WUO_ERR'!A162, ":"))))</f>
        <v/>
      </c>
    </row>
    <row r="163">
      <c r="A163" s="39">
        <f>IF('12 - Beds'!B163 = "", "", IF('12 - Beds-WUO_ERR'!A163 = "", "Validated", HYPERLINK("#" &amp; ADDRESS(163, '12 - Beds-WUO_TRK'!A163),_xlfn.TEXTAFTER('12 - Beds-WUO_ERR'!A163, ":"))))</f>
        <v/>
      </c>
    </row>
    <row r="164">
      <c r="A164" s="39">
        <f>IF('12 - Beds'!B164 = "", "", IF('12 - Beds-WUO_ERR'!A164 = "", "Validated", HYPERLINK("#" &amp; ADDRESS(164, '12 - Beds-WUO_TRK'!A164),_xlfn.TEXTAFTER('12 - Beds-WUO_ERR'!A164, ":"))))</f>
        <v/>
      </c>
    </row>
    <row r="165">
      <c r="A165" s="39">
        <f>IF('12 - Beds'!B165 = "", "", IF('12 - Beds-WUO_ERR'!A165 = "", "Validated", HYPERLINK("#" &amp; ADDRESS(165, '12 - Beds-WUO_TRK'!A165),_xlfn.TEXTAFTER('12 - Beds-WUO_ERR'!A165, ":"))))</f>
        <v/>
      </c>
    </row>
    <row r="166">
      <c r="A166" s="39">
        <f>IF('12 - Beds'!B166 = "", "", IF('12 - Beds-WUO_ERR'!A166 = "", "Validated", HYPERLINK("#" &amp; ADDRESS(166, '12 - Beds-WUO_TRK'!A166),_xlfn.TEXTAFTER('12 - Beds-WUO_ERR'!A166, ":"))))</f>
        <v/>
      </c>
    </row>
    <row r="167">
      <c r="A167" s="39">
        <f>IF('12 - Beds'!B167 = "", "", IF('12 - Beds-WUO_ERR'!A167 = "", "Validated", HYPERLINK("#" &amp; ADDRESS(167, '12 - Beds-WUO_TRK'!A167),_xlfn.TEXTAFTER('12 - Beds-WUO_ERR'!A167, ":"))))</f>
        <v/>
      </c>
    </row>
    <row r="168">
      <c r="A168" s="39">
        <f>IF('12 - Beds'!B168 = "", "", IF('12 - Beds-WUO_ERR'!A168 = "", "Validated", HYPERLINK("#" &amp; ADDRESS(168, '12 - Beds-WUO_TRK'!A168),_xlfn.TEXTAFTER('12 - Beds-WUO_ERR'!A168, ":"))))</f>
        <v/>
      </c>
    </row>
    <row r="169">
      <c r="A169" s="39">
        <f>IF('12 - Beds'!B169 = "", "", IF('12 - Beds-WUO_ERR'!A169 = "", "Validated", HYPERLINK("#" &amp; ADDRESS(169, '12 - Beds-WUO_TRK'!A169),_xlfn.TEXTAFTER('12 - Beds-WUO_ERR'!A169, ":"))))</f>
        <v/>
      </c>
    </row>
    <row r="170">
      <c r="A170" s="39">
        <f>IF('12 - Beds'!B170 = "", "", IF('12 - Beds-WUO_ERR'!A170 = "", "Validated", HYPERLINK("#" &amp; ADDRESS(170, '12 - Beds-WUO_TRK'!A170),_xlfn.TEXTAFTER('12 - Beds-WUO_ERR'!A170, ":"))))</f>
        <v/>
      </c>
    </row>
    <row r="171">
      <c r="A171" s="39">
        <f>IF('12 - Beds'!B171 = "", "", IF('12 - Beds-WUO_ERR'!A171 = "", "Validated", HYPERLINK("#" &amp; ADDRESS(171, '12 - Beds-WUO_TRK'!A171),_xlfn.TEXTAFTER('12 - Beds-WUO_ERR'!A171, ":"))))</f>
        <v/>
      </c>
    </row>
    <row r="172">
      <c r="A172" s="39">
        <f>IF('12 - Beds'!B172 = "", "", IF('12 - Beds-WUO_ERR'!A172 = "", "Validated", HYPERLINK("#" &amp; ADDRESS(172, '12 - Beds-WUO_TRK'!A172),_xlfn.TEXTAFTER('12 - Beds-WUO_ERR'!A172, ":"))))</f>
        <v/>
      </c>
    </row>
    <row r="173">
      <c r="A173" s="39">
        <f>IF('12 - Beds'!B173 = "", "", IF('12 - Beds-WUO_ERR'!A173 = "", "Validated", HYPERLINK("#" &amp; ADDRESS(173, '12 - Beds-WUO_TRK'!A173),_xlfn.TEXTAFTER('12 - Beds-WUO_ERR'!A173, ":"))))</f>
        <v/>
      </c>
    </row>
    <row r="174">
      <c r="A174" s="39">
        <f>IF('12 - Beds'!B174 = "", "", IF('12 - Beds-WUO_ERR'!A174 = "", "Validated", HYPERLINK("#" &amp; ADDRESS(174, '12 - Beds-WUO_TRK'!A174),_xlfn.TEXTAFTER('12 - Beds-WUO_ERR'!A174, ":"))))</f>
        <v/>
      </c>
    </row>
    <row r="175">
      <c r="A175" s="39">
        <f>IF('12 - Beds'!B175 = "", "", IF('12 - Beds-WUO_ERR'!A175 = "", "Validated", HYPERLINK("#" &amp; ADDRESS(175, '12 - Beds-WUO_TRK'!A175),_xlfn.TEXTAFTER('12 - Beds-WUO_ERR'!A175, ":"))))</f>
        <v/>
      </c>
    </row>
    <row r="176">
      <c r="A176" s="39">
        <f>IF('12 - Beds'!B176 = "", "", IF('12 - Beds-WUO_ERR'!A176 = "", "Validated", HYPERLINK("#" &amp; ADDRESS(176, '12 - Beds-WUO_TRK'!A176),_xlfn.TEXTAFTER('12 - Beds-WUO_ERR'!A176, ":"))))</f>
        <v/>
      </c>
    </row>
    <row r="177">
      <c r="A177" s="39">
        <f>IF('12 - Beds'!B177 = "", "", IF('12 - Beds-WUO_ERR'!A177 = "", "Validated", HYPERLINK("#" &amp; ADDRESS(177, '12 - Beds-WUO_TRK'!A177),_xlfn.TEXTAFTER('12 - Beds-WUO_ERR'!A177, ":"))))</f>
        <v/>
      </c>
    </row>
    <row r="178">
      <c r="A178" s="39">
        <f>IF('12 - Beds'!B178 = "", "", IF('12 - Beds-WUO_ERR'!A178 = "", "Validated", HYPERLINK("#" &amp; ADDRESS(178, '12 - Beds-WUO_TRK'!A178),_xlfn.TEXTAFTER('12 - Beds-WUO_ERR'!A178, ":"))))</f>
        <v/>
      </c>
    </row>
    <row r="179">
      <c r="A179" s="39">
        <f>IF('12 - Beds'!B179 = "", "", IF('12 - Beds-WUO_ERR'!A179 = "", "Validated", HYPERLINK("#" &amp; ADDRESS(179, '12 - Beds-WUO_TRK'!A179),_xlfn.TEXTAFTER('12 - Beds-WUO_ERR'!A179, ":"))))</f>
        <v/>
      </c>
    </row>
    <row r="180">
      <c r="A180" s="39">
        <f>IF('12 - Beds'!B180 = "", "", IF('12 - Beds-WUO_ERR'!A180 = "", "Validated", HYPERLINK("#" &amp; ADDRESS(180, '12 - Beds-WUO_TRK'!A180),_xlfn.TEXTAFTER('12 - Beds-WUO_ERR'!A180, ":"))))</f>
        <v/>
      </c>
    </row>
    <row r="181">
      <c r="A181" s="39">
        <f>IF('12 - Beds'!B181 = "", "", IF('12 - Beds-WUO_ERR'!A181 = "", "Validated", HYPERLINK("#" &amp; ADDRESS(181, '12 - Beds-WUO_TRK'!A181),_xlfn.TEXTAFTER('12 - Beds-WUO_ERR'!A181, ":"))))</f>
        <v/>
      </c>
    </row>
    <row r="182">
      <c r="A182" s="39">
        <f>IF('12 - Beds'!B182 = "", "", IF('12 - Beds-WUO_ERR'!A182 = "", "Validated", HYPERLINK("#" &amp; ADDRESS(182, '12 - Beds-WUO_TRK'!A182),_xlfn.TEXTAFTER('12 - Beds-WUO_ERR'!A182, ":"))))</f>
        <v/>
      </c>
    </row>
    <row r="183">
      <c r="A183" s="39">
        <f>IF('12 - Beds'!B183 = "", "", IF('12 - Beds-WUO_ERR'!A183 = "", "Validated", HYPERLINK("#" &amp; ADDRESS(183, '12 - Beds-WUO_TRK'!A183),_xlfn.TEXTAFTER('12 - Beds-WUO_ERR'!A183, ":"))))</f>
        <v/>
      </c>
    </row>
    <row r="184">
      <c r="A184" s="39">
        <f>IF('12 - Beds'!B184 = "", "", IF('12 - Beds-WUO_ERR'!A184 = "", "Validated", HYPERLINK("#" &amp; ADDRESS(184, '12 - Beds-WUO_TRK'!A184),_xlfn.TEXTAFTER('12 - Beds-WUO_ERR'!A184, ":"))))</f>
        <v/>
      </c>
    </row>
    <row r="185">
      <c r="A185" s="39">
        <f>IF('12 - Beds'!B185 = "", "", IF('12 - Beds-WUO_ERR'!A185 = "", "Validated", HYPERLINK("#" &amp; ADDRESS(185, '12 - Beds-WUO_TRK'!A185),_xlfn.TEXTAFTER('12 - Beds-WUO_ERR'!A185, ":"))))</f>
        <v/>
      </c>
    </row>
    <row r="186">
      <c r="A186" s="39">
        <f>IF('12 - Beds'!B186 = "", "", IF('12 - Beds-WUO_ERR'!A186 = "", "Validated", HYPERLINK("#" &amp; ADDRESS(186, '12 - Beds-WUO_TRK'!A186),_xlfn.TEXTAFTER('12 - Beds-WUO_ERR'!A186, ":"))))</f>
        <v/>
      </c>
    </row>
    <row r="187">
      <c r="A187" s="39">
        <f>IF('12 - Beds'!B187 = "", "", IF('12 - Beds-WUO_ERR'!A187 = "", "Validated", HYPERLINK("#" &amp; ADDRESS(187, '12 - Beds-WUO_TRK'!A187),_xlfn.TEXTAFTER('12 - Beds-WUO_ERR'!A187, ":"))))</f>
        <v/>
      </c>
    </row>
    <row r="188">
      <c r="A188" s="39">
        <f>IF('12 - Beds'!B188 = "", "", IF('12 - Beds-WUO_ERR'!A188 = "", "Validated", HYPERLINK("#" &amp; ADDRESS(188, '12 - Beds-WUO_TRK'!A188),_xlfn.TEXTAFTER('12 - Beds-WUO_ERR'!A188, ":"))))</f>
        <v/>
      </c>
    </row>
    <row r="189">
      <c r="A189" s="39">
        <f>IF('12 - Beds'!B189 = "", "", IF('12 - Beds-WUO_ERR'!A189 = "", "Validated", HYPERLINK("#" &amp; ADDRESS(189, '12 - Beds-WUO_TRK'!A189),_xlfn.TEXTAFTER('12 - Beds-WUO_ERR'!A189, ":"))))</f>
        <v/>
      </c>
    </row>
    <row r="190">
      <c r="A190" s="39">
        <f>IF('12 - Beds'!B190 = "", "", IF('12 - Beds-WUO_ERR'!A190 = "", "Validated", HYPERLINK("#" &amp; ADDRESS(190, '12 - Beds-WUO_TRK'!A190),_xlfn.TEXTAFTER('12 - Beds-WUO_ERR'!A190, ":"))))</f>
        <v/>
      </c>
    </row>
    <row r="191">
      <c r="A191" s="39">
        <f>IF('12 - Beds'!B191 = "", "", IF('12 - Beds-WUO_ERR'!A191 = "", "Validated", HYPERLINK("#" &amp; ADDRESS(191, '12 - Beds-WUO_TRK'!A191),_xlfn.TEXTAFTER('12 - Beds-WUO_ERR'!A191, ":"))))</f>
        <v/>
      </c>
    </row>
    <row r="192">
      <c r="A192" s="39">
        <f>IF('12 - Beds'!B192 = "", "", IF('12 - Beds-WUO_ERR'!A192 = "", "Validated", HYPERLINK("#" &amp; ADDRESS(192, '12 - Beds-WUO_TRK'!A192),_xlfn.TEXTAFTER('12 - Beds-WUO_ERR'!A192, ":"))))</f>
        <v/>
      </c>
    </row>
    <row r="193">
      <c r="A193" s="39">
        <f>IF('12 - Beds'!B193 = "", "", IF('12 - Beds-WUO_ERR'!A193 = "", "Validated", HYPERLINK("#" &amp; ADDRESS(193, '12 - Beds-WUO_TRK'!A193),_xlfn.TEXTAFTER('12 - Beds-WUO_ERR'!A193, ":"))))</f>
        <v/>
      </c>
    </row>
    <row r="194">
      <c r="A194" s="39">
        <f>IF('12 - Beds'!B194 = "", "", IF('12 - Beds-WUO_ERR'!A194 = "", "Validated", HYPERLINK("#" &amp; ADDRESS(194, '12 - Beds-WUO_TRK'!A194),_xlfn.TEXTAFTER('12 - Beds-WUO_ERR'!A194, ":"))))</f>
        <v/>
      </c>
    </row>
    <row r="195">
      <c r="A195" s="39">
        <f>IF('12 - Beds'!B195 = "", "", IF('12 - Beds-WUO_ERR'!A195 = "", "Validated", HYPERLINK("#" &amp; ADDRESS(195, '12 - Beds-WUO_TRK'!A195),_xlfn.TEXTAFTER('12 - Beds-WUO_ERR'!A195, ":"))))</f>
        <v/>
      </c>
    </row>
    <row r="196">
      <c r="A196" s="39">
        <f>IF('12 - Beds'!B196 = "", "", IF('12 - Beds-WUO_ERR'!A196 = "", "Validated", HYPERLINK("#" &amp; ADDRESS(196, '12 - Beds-WUO_TRK'!A196),_xlfn.TEXTAFTER('12 - Beds-WUO_ERR'!A196, ":"))))</f>
        <v/>
      </c>
    </row>
    <row r="197">
      <c r="A197" s="39">
        <f>IF('12 - Beds'!B197 = "", "", IF('12 - Beds-WUO_ERR'!A197 = "", "Validated", HYPERLINK("#" &amp; ADDRESS(197, '12 - Beds-WUO_TRK'!A197),_xlfn.TEXTAFTER('12 - Beds-WUO_ERR'!A197, ":"))))</f>
        <v/>
      </c>
    </row>
    <row r="198">
      <c r="A198" s="39">
        <f>IF('12 - Beds'!B198 = "", "", IF('12 - Beds-WUO_ERR'!A198 = "", "Validated", HYPERLINK("#" &amp; ADDRESS(198, '12 - Beds-WUO_TRK'!A198),_xlfn.TEXTAFTER('12 - Beds-WUO_ERR'!A198, ":"))))</f>
        <v/>
      </c>
    </row>
    <row r="199">
      <c r="A199" s="39">
        <f>IF('12 - Beds'!B199 = "", "", IF('12 - Beds-WUO_ERR'!A199 = "", "Validated", HYPERLINK("#" &amp; ADDRESS(199, '12 - Beds-WUO_TRK'!A199),_xlfn.TEXTAFTER('12 - Beds-WUO_ERR'!A199, ":"))))</f>
        <v/>
      </c>
    </row>
    <row r="200">
      <c r="A200" s="39">
        <f>IF('12 - Beds'!B200 = "", "", IF('12 - Beds-WUO_ERR'!A200 = "", "Validated", HYPERLINK("#" &amp; ADDRESS(200, '12 - Beds-WUO_TRK'!A200),_xlfn.TEXTAFTER('12 - Beds-WUO_ERR'!A200, ":"))))</f>
        <v/>
      </c>
    </row>
    <row r="201">
      <c r="A201" s="39">
        <f>IF('12 - Beds'!B201 = "", "", IF('12 - Beds-WUO_ERR'!A201 = "", "Validated", HYPERLINK("#" &amp; ADDRESS(201, '12 - Beds-WUO_TRK'!A201),_xlfn.TEXTAFTER('12 - Beds-WUO_ERR'!A201, ":"))))</f>
        <v/>
      </c>
    </row>
    <row r="202">
      <c r="A202" s="39">
        <f>IF('12 - Beds'!B202 = "", "", IF('12 - Beds-WUO_ERR'!A202 = "", "Validated", HYPERLINK("#" &amp; ADDRESS(202, '12 - Beds-WUO_TRK'!A202),_xlfn.TEXTAFTER('12 - Beds-WUO_ERR'!A202, ":"))))</f>
        <v/>
      </c>
    </row>
    <row r="203">
      <c r="A203" s="39">
        <f>IF('12 - Beds'!B203 = "", "", IF('12 - Beds-WUO_ERR'!A203 = "", "Validated", HYPERLINK("#" &amp; ADDRESS(203, '12 - Beds-WUO_TRK'!A203),_xlfn.TEXTAFTER('12 - Beds-WUO_ERR'!A203, ":"))))</f>
        <v/>
      </c>
    </row>
    <row r="204">
      <c r="A204" s="39">
        <f>IF('12 - Beds'!B204 = "", "", IF('12 - Beds-WUO_ERR'!A204 = "", "Validated", HYPERLINK("#" &amp; ADDRESS(204, '12 - Beds-WUO_TRK'!A204),_xlfn.TEXTAFTER('12 - Beds-WUO_ERR'!A204, ":"))))</f>
        <v/>
      </c>
    </row>
    <row r="205">
      <c r="A205" s="39">
        <f>IF('12 - Beds'!B205 = "", "", IF('12 - Beds-WUO_ERR'!A205 = "", "Validated", HYPERLINK("#" &amp; ADDRESS(205, '12 - Beds-WUO_TRK'!A205),_xlfn.TEXTAFTER('12 - Beds-WUO_ERR'!A205, ":"))))</f>
        <v/>
      </c>
    </row>
    <row r="206">
      <c r="A206" s="39">
        <f>IF('12 - Beds'!B206 = "", "", IF('12 - Beds-WUO_ERR'!A206 = "", "Validated", HYPERLINK("#" &amp; ADDRESS(206, '12 - Beds-WUO_TRK'!A206),_xlfn.TEXTAFTER('12 - Beds-WUO_ERR'!A206, ":"))))</f>
        <v/>
      </c>
    </row>
    <row r="207">
      <c r="A207" s="39">
        <f>IF('12 - Beds'!B207 = "", "", IF('12 - Beds-WUO_ERR'!A207 = "", "Validated", HYPERLINK("#" &amp; ADDRESS(207, '12 - Beds-WUO_TRK'!A207),_xlfn.TEXTAFTER('12 - Beds-WUO_ERR'!A207, ":"))))</f>
        <v/>
      </c>
    </row>
    <row r="208">
      <c r="A208" s="39">
        <f>IF('12 - Beds'!B208 = "", "", IF('12 - Beds-WUO_ERR'!A208 = "", "Validated", HYPERLINK("#" &amp; ADDRESS(208, '12 - Beds-WUO_TRK'!A208),_xlfn.TEXTAFTER('12 - Beds-WUO_ERR'!A208, ":"))))</f>
        <v/>
      </c>
    </row>
    <row r="209">
      <c r="A209" s="39">
        <f>IF('12 - Beds'!B209 = "", "", IF('12 - Beds-WUO_ERR'!A209 = "", "Validated", HYPERLINK("#" &amp; ADDRESS(209, '12 - Beds-WUO_TRK'!A209),_xlfn.TEXTAFTER('12 - Beds-WUO_ERR'!A209, ":"))))</f>
        <v/>
      </c>
    </row>
    <row r="210">
      <c r="A210" s="39">
        <f>IF('12 - Beds'!B210 = "", "", IF('12 - Beds-WUO_ERR'!A210 = "", "Validated", HYPERLINK("#" &amp; ADDRESS(210, '12 - Beds-WUO_TRK'!A210),_xlfn.TEXTAFTER('12 - Beds-WUO_ERR'!A210, ":"))))</f>
        <v/>
      </c>
    </row>
    <row r="211">
      <c r="A211" s="39">
        <f>IF('12 - Beds'!B211 = "", "", IF('12 - Beds-WUO_ERR'!A211 = "", "Validated", HYPERLINK("#" &amp; ADDRESS(211, '12 - Beds-WUO_TRK'!A211),_xlfn.TEXTAFTER('12 - Beds-WUO_ERR'!A211, ":"))))</f>
        <v/>
      </c>
    </row>
    <row r="212">
      <c r="A212" s="39">
        <f>IF('12 - Beds'!B212 = "", "", IF('12 - Beds-WUO_ERR'!A212 = "", "Validated", HYPERLINK("#" &amp; ADDRESS(212, '12 - Beds-WUO_TRK'!A212),_xlfn.TEXTAFTER('12 - Beds-WUO_ERR'!A212, ":"))))</f>
        <v/>
      </c>
    </row>
    <row r="213">
      <c r="A213" s="39">
        <f>IF('12 - Beds'!B213 = "", "", IF('12 - Beds-WUO_ERR'!A213 = "", "Validated", HYPERLINK("#" &amp; ADDRESS(213, '12 - Beds-WUO_TRK'!A213),_xlfn.TEXTAFTER('12 - Beds-WUO_ERR'!A213, ":"))))</f>
        <v/>
      </c>
    </row>
    <row r="214">
      <c r="A214" s="39">
        <f>IF('12 - Beds'!B214 = "", "", IF('12 - Beds-WUO_ERR'!A214 = "", "Validated", HYPERLINK("#" &amp; ADDRESS(214, '12 - Beds-WUO_TRK'!A214),_xlfn.TEXTAFTER('12 - Beds-WUO_ERR'!A214, ":"))))</f>
        <v/>
      </c>
    </row>
    <row r="215">
      <c r="A215" s="39">
        <f>IF('12 - Beds'!B215 = "", "", IF('12 - Beds-WUO_ERR'!A215 = "", "Validated", HYPERLINK("#" &amp; ADDRESS(215, '12 - Beds-WUO_TRK'!A215),_xlfn.TEXTAFTER('12 - Beds-WUO_ERR'!A215, ":"))))</f>
        <v/>
      </c>
    </row>
    <row r="216">
      <c r="A216" s="39">
        <f>IF('12 - Beds'!B216 = "", "", IF('12 - Beds-WUO_ERR'!A216 = "", "Validated", HYPERLINK("#" &amp; ADDRESS(216, '12 - Beds-WUO_TRK'!A216),_xlfn.TEXTAFTER('12 - Beds-WUO_ERR'!A216, ":"))))</f>
        <v/>
      </c>
    </row>
    <row r="217">
      <c r="A217" s="39">
        <f>IF('12 - Beds'!B217 = "", "", IF('12 - Beds-WUO_ERR'!A217 = "", "Validated", HYPERLINK("#" &amp; ADDRESS(217, '12 - Beds-WUO_TRK'!A217),_xlfn.TEXTAFTER('12 - Beds-WUO_ERR'!A217, ":"))))</f>
        <v/>
      </c>
    </row>
    <row r="218">
      <c r="A218" s="39">
        <f>IF('12 - Beds'!B218 = "", "", IF('12 - Beds-WUO_ERR'!A218 = "", "Validated", HYPERLINK("#" &amp; ADDRESS(218, '12 - Beds-WUO_TRK'!A218),_xlfn.TEXTAFTER('12 - Beds-WUO_ERR'!A218, ":"))))</f>
        <v/>
      </c>
    </row>
    <row r="219">
      <c r="A219" s="39">
        <f>IF('12 - Beds'!B219 = "", "", IF('12 - Beds-WUO_ERR'!A219 = "", "Validated", HYPERLINK("#" &amp; ADDRESS(219, '12 - Beds-WUO_TRK'!A219),_xlfn.TEXTAFTER('12 - Beds-WUO_ERR'!A219, ":"))))</f>
        <v/>
      </c>
    </row>
    <row r="220">
      <c r="A220" s="39">
        <f>IF('12 - Beds'!B220 = "", "", IF('12 - Beds-WUO_ERR'!A220 = "", "Validated", HYPERLINK("#" &amp; ADDRESS(220, '12 - Beds-WUO_TRK'!A220),_xlfn.TEXTAFTER('12 - Beds-WUO_ERR'!A220, ":"))))</f>
        <v/>
      </c>
    </row>
    <row r="221">
      <c r="A221" s="39">
        <f>IF('12 - Beds'!B221 = "", "", IF('12 - Beds-WUO_ERR'!A221 = "", "Validated", HYPERLINK("#" &amp; ADDRESS(221, '12 - Beds-WUO_TRK'!A221),_xlfn.TEXTAFTER('12 - Beds-WUO_ERR'!A221, ":"))))</f>
        <v/>
      </c>
    </row>
    <row r="222">
      <c r="A222" s="39">
        <f>IF('12 - Beds'!B222 = "", "", IF('12 - Beds-WUO_ERR'!A222 = "", "Validated", HYPERLINK("#" &amp; ADDRESS(222, '12 - Beds-WUO_TRK'!A222),_xlfn.TEXTAFTER('12 - Beds-WUO_ERR'!A222, ":"))))</f>
        <v/>
      </c>
    </row>
    <row r="223">
      <c r="A223" s="39">
        <f>IF('12 - Beds'!B223 = "", "", IF('12 - Beds-WUO_ERR'!A223 = "", "Validated", HYPERLINK("#" &amp; ADDRESS(223, '12 - Beds-WUO_TRK'!A223),_xlfn.TEXTAFTER('12 - Beds-WUO_ERR'!A223, ":"))))</f>
        <v/>
      </c>
    </row>
    <row r="224">
      <c r="A224" s="39">
        <f>IF('12 - Beds'!B224 = "", "", IF('12 - Beds-WUO_ERR'!A224 = "", "Validated", HYPERLINK("#" &amp; ADDRESS(224, '12 - Beds-WUO_TRK'!A224),_xlfn.TEXTAFTER('12 - Beds-WUO_ERR'!A224, ":"))))</f>
        <v/>
      </c>
    </row>
    <row r="225">
      <c r="A225" s="39">
        <f>IF('12 - Beds'!B225 = "", "", IF('12 - Beds-WUO_ERR'!A225 = "", "Validated", HYPERLINK("#" &amp; ADDRESS(225, '12 - Beds-WUO_TRK'!A225),_xlfn.TEXTAFTER('12 - Beds-WUO_ERR'!A225, ":"))))</f>
        <v/>
      </c>
    </row>
    <row r="226">
      <c r="A226" s="39">
        <f>IF('12 - Beds'!B226 = "", "", IF('12 - Beds-WUO_ERR'!A226 = "", "Validated", HYPERLINK("#" &amp; ADDRESS(226, '12 - Beds-WUO_TRK'!A226),_xlfn.TEXTAFTER('12 - Beds-WUO_ERR'!A226, ":"))))</f>
        <v/>
      </c>
    </row>
    <row r="227">
      <c r="A227" s="39">
        <f>IF('12 - Beds'!B227 = "", "", IF('12 - Beds-WUO_ERR'!A227 = "", "Validated", HYPERLINK("#" &amp; ADDRESS(227, '12 - Beds-WUO_TRK'!A227),_xlfn.TEXTAFTER('12 - Beds-WUO_ERR'!A227, ":"))))</f>
        <v/>
      </c>
    </row>
    <row r="228">
      <c r="A228" s="39">
        <f>IF('12 - Beds'!B228 = "", "", IF('12 - Beds-WUO_ERR'!A228 = "", "Validated", HYPERLINK("#" &amp; ADDRESS(228, '12 - Beds-WUO_TRK'!A228),_xlfn.TEXTAFTER('12 - Beds-WUO_ERR'!A228, ":"))))</f>
        <v/>
      </c>
    </row>
    <row r="229">
      <c r="A229" s="39">
        <f>IF('12 - Beds'!B229 = "", "", IF('12 - Beds-WUO_ERR'!A229 = "", "Validated", HYPERLINK("#" &amp; ADDRESS(229, '12 - Beds-WUO_TRK'!A229),_xlfn.TEXTAFTER('12 - Beds-WUO_ERR'!A229, ":"))))</f>
        <v/>
      </c>
    </row>
    <row r="230">
      <c r="A230" s="39">
        <f>IF('12 - Beds'!B230 = "", "", IF('12 - Beds-WUO_ERR'!A230 = "", "Validated", HYPERLINK("#" &amp; ADDRESS(230, '12 - Beds-WUO_TRK'!A230),_xlfn.TEXTAFTER('12 - Beds-WUO_ERR'!A230, ":"))))</f>
        <v/>
      </c>
    </row>
    <row r="231">
      <c r="A231" s="39">
        <f>IF('12 - Beds'!B231 = "", "", IF('12 - Beds-WUO_ERR'!A231 = "", "Validated", HYPERLINK("#" &amp; ADDRESS(231, '12 - Beds-WUO_TRK'!A231),_xlfn.TEXTAFTER('12 - Beds-WUO_ERR'!A231, ":"))))</f>
        <v/>
      </c>
    </row>
    <row r="232">
      <c r="A232" s="39">
        <f>IF('12 - Beds'!B232 = "", "", IF('12 - Beds-WUO_ERR'!A232 = "", "Validated", HYPERLINK("#" &amp; ADDRESS(232, '12 - Beds-WUO_TRK'!A232),_xlfn.TEXTAFTER('12 - Beds-WUO_ERR'!A232, ":"))))</f>
        <v/>
      </c>
    </row>
    <row r="233">
      <c r="A233" s="39">
        <f>IF('12 - Beds'!B233 = "", "", IF('12 - Beds-WUO_ERR'!A233 = "", "Validated", HYPERLINK("#" &amp; ADDRESS(233, '12 - Beds-WUO_TRK'!A233),_xlfn.TEXTAFTER('12 - Beds-WUO_ERR'!A233, ":"))))</f>
        <v/>
      </c>
    </row>
    <row r="234">
      <c r="A234" s="39">
        <f>IF('12 - Beds'!B234 = "", "", IF('12 - Beds-WUO_ERR'!A234 = "", "Validated", HYPERLINK("#" &amp; ADDRESS(234, '12 - Beds-WUO_TRK'!A234),_xlfn.TEXTAFTER('12 - Beds-WUO_ERR'!A234, ":"))))</f>
        <v/>
      </c>
    </row>
    <row r="235">
      <c r="A235" s="39">
        <f>IF('12 - Beds'!B235 = "", "", IF('12 - Beds-WUO_ERR'!A235 = "", "Validated", HYPERLINK("#" &amp; ADDRESS(235, '12 - Beds-WUO_TRK'!A235),_xlfn.TEXTAFTER('12 - Beds-WUO_ERR'!A235, ":"))))</f>
        <v/>
      </c>
    </row>
    <row r="236">
      <c r="A236" s="39">
        <f>IF('12 - Beds'!B236 = "", "", IF('12 - Beds-WUO_ERR'!A236 = "", "Validated", HYPERLINK("#" &amp; ADDRESS(236, '12 - Beds-WUO_TRK'!A236),_xlfn.TEXTAFTER('12 - Beds-WUO_ERR'!A236, ":"))))</f>
        <v/>
      </c>
    </row>
    <row r="237">
      <c r="A237" s="39">
        <f>IF('12 - Beds'!B237 = "", "", IF('12 - Beds-WUO_ERR'!A237 = "", "Validated", HYPERLINK("#" &amp; ADDRESS(237, '12 - Beds-WUO_TRK'!A237),_xlfn.TEXTAFTER('12 - Beds-WUO_ERR'!A237, ":"))))</f>
        <v/>
      </c>
    </row>
    <row r="238">
      <c r="A238" s="39">
        <f>IF('12 - Beds'!B238 = "", "", IF('12 - Beds-WUO_ERR'!A238 = "", "Validated", HYPERLINK("#" &amp; ADDRESS(238, '12 - Beds-WUO_TRK'!A238),_xlfn.TEXTAFTER('12 - Beds-WUO_ERR'!A238, ":"))))</f>
        <v/>
      </c>
    </row>
    <row r="239">
      <c r="A239" s="39">
        <f>IF('12 - Beds'!B239 = "", "", IF('12 - Beds-WUO_ERR'!A239 = "", "Validated", HYPERLINK("#" &amp; ADDRESS(239, '12 - Beds-WUO_TRK'!A239),_xlfn.TEXTAFTER('12 - Beds-WUO_ERR'!A239, ":"))))</f>
        <v/>
      </c>
    </row>
    <row r="240">
      <c r="A240" s="39">
        <f>IF('12 - Beds'!B240 = "", "", IF('12 - Beds-WUO_ERR'!A240 = "", "Validated", HYPERLINK("#" &amp; ADDRESS(240, '12 - Beds-WUO_TRK'!A240),_xlfn.TEXTAFTER('12 - Beds-WUO_ERR'!A240, ":"))))</f>
        <v/>
      </c>
    </row>
    <row r="241">
      <c r="A241" s="39">
        <f>IF('12 - Beds'!B241 = "", "", IF('12 - Beds-WUO_ERR'!A241 = "", "Validated", HYPERLINK("#" &amp; ADDRESS(241, '12 - Beds-WUO_TRK'!A241),_xlfn.TEXTAFTER('12 - Beds-WUO_ERR'!A241, ":"))))</f>
        <v/>
      </c>
    </row>
    <row r="242">
      <c r="A242" s="39">
        <f>IF('12 - Beds'!B242 = "", "", IF('12 - Beds-WUO_ERR'!A242 = "", "Validated", HYPERLINK("#" &amp; ADDRESS(242, '12 - Beds-WUO_TRK'!A242),_xlfn.TEXTAFTER('12 - Beds-WUO_ERR'!A242, ":"))))</f>
        <v/>
      </c>
    </row>
    <row r="243">
      <c r="A243" s="39">
        <f>IF('12 - Beds'!B243 = "", "", IF('12 - Beds-WUO_ERR'!A243 = "", "Validated", HYPERLINK("#" &amp; ADDRESS(243, '12 - Beds-WUO_TRK'!A243),_xlfn.TEXTAFTER('12 - Beds-WUO_ERR'!A243, ":"))))</f>
        <v/>
      </c>
    </row>
    <row r="244">
      <c r="A244" s="39">
        <f>IF('12 - Beds'!B244 = "", "", IF('12 - Beds-WUO_ERR'!A244 = "", "Validated", HYPERLINK("#" &amp; ADDRESS(244, '12 - Beds-WUO_TRK'!A244),_xlfn.TEXTAFTER('12 - Beds-WUO_ERR'!A244, ":"))))</f>
        <v/>
      </c>
    </row>
    <row r="245">
      <c r="A245" s="39">
        <f>IF('12 - Beds'!B245 = "", "", IF('12 - Beds-WUO_ERR'!A245 = "", "Validated", HYPERLINK("#" &amp; ADDRESS(245, '12 - Beds-WUO_TRK'!A245),_xlfn.TEXTAFTER('12 - Beds-WUO_ERR'!A245, ":"))))</f>
        <v/>
      </c>
    </row>
    <row r="246">
      <c r="A246" s="39">
        <f>IF('12 - Beds'!B246 = "", "", IF('12 - Beds-WUO_ERR'!A246 = "", "Validated", HYPERLINK("#" &amp; ADDRESS(246, '12 - Beds-WUO_TRK'!A246),_xlfn.TEXTAFTER('12 - Beds-WUO_ERR'!A246, ":"))))</f>
        <v/>
      </c>
    </row>
    <row r="247">
      <c r="A247" s="39">
        <f>IF('12 - Beds'!B247 = "", "", IF('12 - Beds-WUO_ERR'!A247 = "", "Validated", HYPERLINK("#" &amp; ADDRESS(247, '12 - Beds-WUO_TRK'!A247),_xlfn.TEXTAFTER('12 - Beds-WUO_ERR'!A247, ":"))))</f>
        <v/>
      </c>
    </row>
    <row r="248">
      <c r="A248" s="39">
        <f>IF('12 - Beds'!B248 = "", "", IF('12 - Beds-WUO_ERR'!A248 = "", "Validated", HYPERLINK("#" &amp; ADDRESS(248, '12 - Beds-WUO_TRK'!A248),_xlfn.TEXTAFTER('12 - Beds-WUO_ERR'!A248, ":"))))</f>
        <v/>
      </c>
    </row>
    <row r="249">
      <c r="A249" s="39">
        <f>IF('12 - Beds'!B249 = "", "", IF('12 - Beds-WUO_ERR'!A249 = "", "Validated", HYPERLINK("#" &amp; ADDRESS(249, '12 - Beds-WUO_TRK'!A249),_xlfn.TEXTAFTER('12 - Beds-WUO_ERR'!A249, ":"))))</f>
        <v/>
      </c>
    </row>
    <row r="250">
      <c r="A250" s="39">
        <f>IF('12 - Beds'!B250 = "", "", IF('12 - Beds-WUO_ERR'!A250 = "", "Validated", HYPERLINK("#" &amp; ADDRESS(250, '12 - Beds-WUO_TRK'!A250),_xlfn.TEXTAFTER('12 - Beds-WUO_ERR'!A250, ":"))))</f>
        <v/>
      </c>
    </row>
    <row r="251">
      <c r="A251" s="39">
        <f>IF('12 - Beds'!B251 = "", "", IF('12 - Beds-WUO_ERR'!A251 = "", "Validated", HYPERLINK("#" &amp; ADDRESS(251, '12 - Beds-WUO_TRK'!A251),_xlfn.TEXTAFTER('12 - Beds-WUO_ERR'!A251, ":"))))</f>
        <v/>
      </c>
    </row>
    <row r="252">
      <c r="A252" s="39">
        <f>IF('12 - Beds'!B252 = "", "", IF('12 - Beds-WUO_ERR'!A252 = "", "Validated", HYPERLINK("#" &amp; ADDRESS(252, '12 - Beds-WUO_TRK'!A252),_xlfn.TEXTAFTER('12 - Beds-WUO_ERR'!A252, ":"))))</f>
        <v/>
      </c>
    </row>
    <row r="253">
      <c r="A253" s="39">
        <f>IF('12 - Beds'!B253 = "", "", IF('12 - Beds-WUO_ERR'!A253 = "", "Validated", HYPERLINK("#" &amp; ADDRESS(253, '12 - Beds-WUO_TRK'!A253),_xlfn.TEXTAFTER('12 - Beds-WUO_ERR'!A253, ":"))))</f>
        <v/>
      </c>
    </row>
    <row r="254">
      <c r="A254" s="39">
        <f>IF('12 - Beds'!B254 = "", "", IF('12 - Beds-WUO_ERR'!A254 = "", "Validated", HYPERLINK("#" &amp; ADDRESS(254, '12 - Beds-WUO_TRK'!A254),_xlfn.TEXTAFTER('12 - Beds-WUO_ERR'!A254, ":"))))</f>
        <v/>
      </c>
    </row>
    <row r="255">
      <c r="A255" s="39">
        <f>IF('12 - Beds'!B255 = "", "", IF('12 - Beds-WUO_ERR'!A255 = "", "Validated", HYPERLINK("#" &amp; ADDRESS(255, '12 - Beds-WUO_TRK'!A255),_xlfn.TEXTAFTER('12 - Beds-WUO_ERR'!A255, ":"))))</f>
        <v/>
      </c>
    </row>
    <row r="256">
      <c r="A256" s="39">
        <f>IF('12 - Beds'!B256 = "", "", IF('12 - Beds-WUO_ERR'!A256 = "", "Validated", HYPERLINK("#" &amp; ADDRESS(256, '12 - Beds-WUO_TRK'!A256),_xlfn.TEXTAFTER('12 - Beds-WUO_ERR'!A256, ":"))))</f>
        <v/>
      </c>
    </row>
    <row r="257">
      <c r="A257" s="39">
        <f>IF('12 - Beds'!B257 = "", "", IF('12 - Beds-WUO_ERR'!A257 = "", "Validated", HYPERLINK("#" &amp; ADDRESS(257, '12 - Beds-WUO_TRK'!A257),_xlfn.TEXTAFTER('12 - Beds-WUO_ERR'!A257, ":"))))</f>
        <v/>
      </c>
    </row>
    <row r="258">
      <c r="A258" s="39">
        <f>IF('12 - Beds'!B258 = "", "", IF('12 - Beds-WUO_ERR'!A258 = "", "Validated", HYPERLINK("#" &amp; ADDRESS(258, '12 - Beds-WUO_TRK'!A258),_xlfn.TEXTAFTER('12 - Beds-WUO_ERR'!A258, ":"))))</f>
        <v/>
      </c>
    </row>
    <row r="259">
      <c r="A259" s="39">
        <f>IF('12 - Beds'!B259 = "", "", IF('12 - Beds-WUO_ERR'!A259 = "", "Validated", HYPERLINK("#" &amp; ADDRESS(259, '12 - Beds-WUO_TRK'!A259),_xlfn.TEXTAFTER('12 - Beds-WUO_ERR'!A259, ":"))))</f>
        <v/>
      </c>
    </row>
    <row r="260">
      <c r="A260" s="39">
        <f>IF('12 - Beds'!B260 = "", "", IF('12 - Beds-WUO_ERR'!A260 = "", "Validated", HYPERLINK("#" &amp; ADDRESS(260, '12 - Beds-WUO_TRK'!A260),_xlfn.TEXTAFTER('12 - Beds-WUO_ERR'!A260, ":"))))</f>
        <v/>
      </c>
    </row>
    <row r="261">
      <c r="A261" s="39">
        <f>IF('12 - Beds'!B261 = "", "", IF('12 - Beds-WUO_ERR'!A261 = "", "Validated", HYPERLINK("#" &amp; ADDRESS(261, '12 - Beds-WUO_TRK'!A261),_xlfn.TEXTAFTER('12 - Beds-WUO_ERR'!A261, ":"))))</f>
        <v/>
      </c>
    </row>
    <row r="262">
      <c r="A262" s="39">
        <f>IF('12 - Beds'!B262 = "", "", IF('12 - Beds-WUO_ERR'!A262 = "", "Validated", HYPERLINK("#" &amp; ADDRESS(262, '12 - Beds-WUO_TRK'!A262),_xlfn.TEXTAFTER('12 - Beds-WUO_ERR'!A262, ":"))))</f>
        <v/>
      </c>
    </row>
    <row r="263">
      <c r="A263" s="39">
        <f>IF('12 - Beds'!B263 = "", "", IF('12 - Beds-WUO_ERR'!A263 = "", "Validated", HYPERLINK("#" &amp; ADDRESS(263, '12 - Beds-WUO_TRK'!A263),_xlfn.TEXTAFTER('12 - Beds-WUO_ERR'!A263, ":"))))</f>
        <v/>
      </c>
    </row>
    <row r="264">
      <c r="A264" s="39">
        <f>IF('12 - Beds'!B264 = "", "", IF('12 - Beds-WUO_ERR'!A264 = "", "Validated", HYPERLINK("#" &amp; ADDRESS(264, '12 - Beds-WUO_TRK'!A264),_xlfn.TEXTAFTER('12 - Beds-WUO_ERR'!A264, ":"))))</f>
        <v/>
      </c>
    </row>
    <row r="265">
      <c r="A265" s="39">
        <f>IF('12 - Beds'!B265 = "", "", IF('12 - Beds-WUO_ERR'!A265 = "", "Validated", HYPERLINK("#" &amp; ADDRESS(265, '12 - Beds-WUO_TRK'!A265),_xlfn.TEXTAFTER('12 - Beds-WUO_ERR'!A265, ":"))))</f>
        <v/>
      </c>
    </row>
    <row r="266">
      <c r="A266" s="39">
        <f>IF('12 - Beds'!B266 = "", "", IF('12 - Beds-WUO_ERR'!A266 = "", "Validated", HYPERLINK("#" &amp; ADDRESS(266, '12 - Beds-WUO_TRK'!A266),_xlfn.TEXTAFTER('12 - Beds-WUO_ERR'!A266, ":"))))</f>
        <v/>
      </c>
    </row>
    <row r="267">
      <c r="A267" s="39">
        <f>IF('12 - Beds'!B267 = "", "", IF('12 - Beds-WUO_ERR'!A267 = "", "Validated", HYPERLINK("#" &amp; ADDRESS(267, '12 - Beds-WUO_TRK'!A267),_xlfn.TEXTAFTER('12 - Beds-WUO_ERR'!A267, ":"))))</f>
        <v/>
      </c>
    </row>
    <row r="268">
      <c r="A268" s="39">
        <f>IF('12 - Beds'!B268 = "", "", IF('12 - Beds-WUO_ERR'!A268 = "", "Validated", HYPERLINK("#" &amp; ADDRESS(268, '12 - Beds-WUO_TRK'!A268),_xlfn.TEXTAFTER('12 - Beds-WUO_ERR'!A268, ":"))))</f>
        <v/>
      </c>
    </row>
    <row r="269">
      <c r="A269" s="39">
        <f>IF('12 - Beds'!B269 = "", "", IF('12 - Beds-WUO_ERR'!A269 = "", "Validated", HYPERLINK("#" &amp; ADDRESS(269, '12 - Beds-WUO_TRK'!A269),_xlfn.TEXTAFTER('12 - Beds-WUO_ERR'!A269, ":"))))</f>
        <v/>
      </c>
    </row>
    <row r="270">
      <c r="A270" s="39">
        <f>IF('12 - Beds'!B270 = "", "", IF('12 - Beds-WUO_ERR'!A270 = "", "Validated", HYPERLINK("#" &amp; ADDRESS(270, '12 - Beds-WUO_TRK'!A270),_xlfn.TEXTAFTER('12 - Beds-WUO_ERR'!A270, ":"))))</f>
        <v/>
      </c>
    </row>
    <row r="271">
      <c r="A271" s="39">
        <f>IF('12 - Beds'!B271 = "", "", IF('12 - Beds-WUO_ERR'!A271 = "", "Validated", HYPERLINK("#" &amp; ADDRESS(271, '12 - Beds-WUO_TRK'!A271),_xlfn.TEXTAFTER('12 - Beds-WUO_ERR'!A271, ":"))))</f>
        <v/>
      </c>
    </row>
    <row r="272">
      <c r="A272" s="39">
        <f>IF('12 - Beds'!B272 = "", "", IF('12 - Beds-WUO_ERR'!A272 = "", "Validated", HYPERLINK("#" &amp; ADDRESS(272, '12 - Beds-WUO_TRK'!A272),_xlfn.TEXTAFTER('12 - Beds-WUO_ERR'!A272, ":"))))</f>
        <v/>
      </c>
    </row>
    <row r="273">
      <c r="A273" s="39">
        <f>IF('12 - Beds'!B273 = "", "", IF('12 - Beds-WUO_ERR'!A273 = "", "Validated", HYPERLINK("#" &amp; ADDRESS(273, '12 - Beds-WUO_TRK'!A273),_xlfn.TEXTAFTER('12 - Beds-WUO_ERR'!A273, ":"))))</f>
        <v/>
      </c>
    </row>
    <row r="274">
      <c r="A274" s="39">
        <f>IF('12 - Beds'!B274 = "", "", IF('12 - Beds-WUO_ERR'!A274 = "", "Validated", HYPERLINK("#" &amp; ADDRESS(274, '12 - Beds-WUO_TRK'!A274),_xlfn.TEXTAFTER('12 - Beds-WUO_ERR'!A274, ":"))))</f>
        <v/>
      </c>
    </row>
    <row r="275">
      <c r="A275" s="39">
        <f>IF('12 - Beds'!B275 = "", "", IF('12 - Beds-WUO_ERR'!A275 = "", "Validated", HYPERLINK("#" &amp; ADDRESS(275, '12 - Beds-WUO_TRK'!A275),_xlfn.TEXTAFTER('12 - Beds-WUO_ERR'!A275, ":"))))</f>
        <v/>
      </c>
    </row>
    <row r="276">
      <c r="A276" s="39">
        <f>IF('12 - Beds'!B276 = "", "", IF('12 - Beds-WUO_ERR'!A276 = "", "Validated", HYPERLINK("#" &amp; ADDRESS(276, '12 - Beds-WUO_TRK'!A276),_xlfn.TEXTAFTER('12 - Beds-WUO_ERR'!A276, ":"))))</f>
        <v/>
      </c>
    </row>
    <row r="277">
      <c r="A277" s="39">
        <f>IF('12 - Beds'!B277 = "", "", IF('12 - Beds-WUO_ERR'!A277 = "", "Validated", HYPERLINK("#" &amp; ADDRESS(277, '12 - Beds-WUO_TRK'!A277),_xlfn.TEXTAFTER('12 - Beds-WUO_ERR'!A277, ":"))))</f>
        <v/>
      </c>
    </row>
    <row r="278">
      <c r="A278" s="39">
        <f>IF('12 - Beds'!B278 = "", "", IF('12 - Beds-WUO_ERR'!A278 = "", "Validated", HYPERLINK("#" &amp; ADDRESS(278, '12 - Beds-WUO_TRK'!A278),_xlfn.TEXTAFTER('12 - Beds-WUO_ERR'!A278, ":"))))</f>
        <v/>
      </c>
    </row>
    <row r="279">
      <c r="A279" s="39">
        <f>IF('12 - Beds'!B279 = "", "", IF('12 - Beds-WUO_ERR'!A279 = "", "Validated", HYPERLINK("#" &amp; ADDRESS(279, '12 - Beds-WUO_TRK'!A279),_xlfn.TEXTAFTER('12 - Beds-WUO_ERR'!A279, ":"))))</f>
        <v/>
      </c>
    </row>
    <row r="280">
      <c r="A280" s="39">
        <f>IF('12 - Beds'!B280 = "", "", IF('12 - Beds-WUO_ERR'!A280 = "", "Validated", HYPERLINK("#" &amp; ADDRESS(280, '12 - Beds-WUO_TRK'!A280),_xlfn.TEXTAFTER('12 - Beds-WUO_ERR'!A280, ":"))))</f>
        <v/>
      </c>
    </row>
    <row r="281">
      <c r="A281" s="39">
        <f>IF('12 - Beds'!B281 = "", "", IF('12 - Beds-WUO_ERR'!A281 = "", "Validated", HYPERLINK("#" &amp; ADDRESS(281, '12 - Beds-WUO_TRK'!A281),_xlfn.TEXTAFTER('12 - Beds-WUO_ERR'!A281, ":"))))</f>
        <v/>
      </c>
    </row>
    <row r="282">
      <c r="A282" s="39">
        <f>IF('12 - Beds'!B282 = "", "", IF('12 - Beds-WUO_ERR'!A282 = "", "Validated", HYPERLINK("#" &amp; ADDRESS(282, '12 - Beds-WUO_TRK'!A282),_xlfn.TEXTAFTER('12 - Beds-WUO_ERR'!A282, ":"))))</f>
        <v/>
      </c>
    </row>
    <row r="283">
      <c r="A283" s="39">
        <f>IF('12 - Beds'!B283 = "", "", IF('12 - Beds-WUO_ERR'!A283 = "", "Validated", HYPERLINK("#" &amp; ADDRESS(283, '12 - Beds-WUO_TRK'!A283),_xlfn.TEXTAFTER('12 - Beds-WUO_ERR'!A283, ":"))))</f>
        <v/>
      </c>
    </row>
    <row r="284">
      <c r="A284" s="39">
        <f>IF('12 - Beds'!B284 = "", "", IF('12 - Beds-WUO_ERR'!A284 = "", "Validated", HYPERLINK("#" &amp; ADDRESS(284, '12 - Beds-WUO_TRK'!A284),_xlfn.TEXTAFTER('12 - Beds-WUO_ERR'!A284, ":"))))</f>
        <v/>
      </c>
    </row>
    <row r="285">
      <c r="A285" s="39">
        <f>IF('12 - Beds'!B285 = "", "", IF('12 - Beds-WUO_ERR'!A285 = "", "Validated", HYPERLINK("#" &amp; ADDRESS(285, '12 - Beds-WUO_TRK'!A285),_xlfn.TEXTAFTER('12 - Beds-WUO_ERR'!A285, ":"))))</f>
        <v/>
      </c>
    </row>
    <row r="286">
      <c r="A286" s="39">
        <f>IF('12 - Beds'!B286 = "", "", IF('12 - Beds-WUO_ERR'!A286 = "", "Validated", HYPERLINK("#" &amp; ADDRESS(286, '12 - Beds-WUO_TRK'!A286),_xlfn.TEXTAFTER('12 - Beds-WUO_ERR'!A286, ":"))))</f>
        <v/>
      </c>
    </row>
    <row r="287">
      <c r="A287" s="39">
        <f>IF('12 - Beds'!B287 = "", "", IF('12 - Beds-WUO_ERR'!A287 = "", "Validated", HYPERLINK("#" &amp; ADDRESS(287, '12 - Beds-WUO_TRK'!A287),_xlfn.TEXTAFTER('12 - Beds-WUO_ERR'!A287, ":"))))</f>
        <v/>
      </c>
    </row>
    <row r="288">
      <c r="A288" s="39">
        <f>IF('12 - Beds'!B288 = "", "", IF('12 - Beds-WUO_ERR'!A288 = "", "Validated", HYPERLINK("#" &amp; ADDRESS(288, '12 - Beds-WUO_TRK'!A288),_xlfn.TEXTAFTER('12 - Beds-WUO_ERR'!A288, ":"))))</f>
        <v/>
      </c>
    </row>
    <row r="289">
      <c r="A289" s="39">
        <f>IF('12 - Beds'!B289 = "", "", IF('12 - Beds-WUO_ERR'!A289 = "", "Validated", HYPERLINK("#" &amp; ADDRESS(289, '12 - Beds-WUO_TRK'!A289),_xlfn.TEXTAFTER('12 - Beds-WUO_ERR'!A289, ":"))))</f>
        <v/>
      </c>
    </row>
    <row r="290">
      <c r="A290" s="39">
        <f>IF('12 - Beds'!B290 = "", "", IF('12 - Beds-WUO_ERR'!A290 = "", "Validated", HYPERLINK("#" &amp; ADDRESS(290, '12 - Beds-WUO_TRK'!A290),_xlfn.TEXTAFTER('12 - Beds-WUO_ERR'!A290, ":"))))</f>
        <v/>
      </c>
    </row>
    <row r="291">
      <c r="A291" s="39">
        <f>IF('12 - Beds'!B291 = "", "", IF('12 - Beds-WUO_ERR'!A291 = "", "Validated", HYPERLINK("#" &amp; ADDRESS(291, '12 - Beds-WUO_TRK'!A291),_xlfn.TEXTAFTER('12 - Beds-WUO_ERR'!A291, ":"))))</f>
        <v/>
      </c>
    </row>
    <row r="292">
      <c r="A292" s="39">
        <f>IF('12 - Beds'!B292 = "", "", IF('12 - Beds-WUO_ERR'!A292 = "", "Validated", HYPERLINK("#" &amp; ADDRESS(292, '12 - Beds-WUO_TRK'!A292),_xlfn.TEXTAFTER('12 - Beds-WUO_ERR'!A292, ":"))))</f>
        <v/>
      </c>
    </row>
    <row r="293">
      <c r="A293" s="39">
        <f>IF('12 - Beds'!B293 = "", "", IF('12 - Beds-WUO_ERR'!A293 = "", "Validated", HYPERLINK("#" &amp; ADDRESS(293, '12 - Beds-WUO_TRK'!A293),_xlfn.TEXTAFTER('12 - Beds-WUO_ERR'!A293, ":"))))</f>
        <v/>
      </c>
    </row>
    <row r="294">
      <c r="A294" s="39">
        <f>IF('12 - Beds'!B294 = "", "", IF('12 - Beds-WUO_ERR'!A294 = "", "Validated", HYPERLINK("#" &amp; ADDRESS(294, '12 - Beds-WUO_TRK'!A294),_xlfn.TEXTAFTER('12 - Beds-WUO_ERR'!A294, ":"))))</f>
        <v/>
      </c>
    </row>
    <row r="295">
      <c r="A295" s="39">
        <f>IF('12 - Beds'!B295 = "", "", IF('12 - Beds-WUO_ERR'!A295 = "", "Validated", HYPERLINK("#" &amp; ADDRESS(295, '12 - Beds-WUO_TRK'!A295),_xlfn.TEXTAFTER('12 - Beds-WUO_ERR'!A295, ":"))))</f>
        <v/>
      </c>
    </row>
    <row r="296">
      <c r="A296" s="39">
        <f>IF('12 - Beds'!B296 = "", "", IF('12 - Beds-WUO_ERR'!A296 = "", "Validated", HYPERLINK("#" &amp; ADDRESS(296, '12 - Beds-WUO_TRK'!A296),_xlfn.TEXTAFTER('12 - Beds-WUO_ERR'!A296, ":"))))</f>
        <v/>
      </c>
    </row>
    <row r="297">
      <c r="A297" s="39">
        <f>IF('12 - Beds'!B297 = "", "", IF('12 - Beds-WUO_ERR'!A297 = "", "Validated", HYPERLINK("#" &amp; ADDRESS(297, '12 - Beds-WUO_TRK'!A297),_xlfn.TEXTAFTER('12 - Beds-WUO_ERR'!A297, ":"))))</f>
        <v/>
      </c>
    </row>
    <row r="298">
      <c r="A298" s="39">
        <f>IF('12 - Beds'!B298 = "", "", IF('12 - Beds-WUO_ERR'!A298 = "", "Validated", HYPERLINK("#" &amp; ADDRESS(298, '12 - Beds-WUO_TRK'!A298),_xlfn.TEXTAFTER('12 - Beds-WUO_ERR'!A298, ":"))))</f>
        <v/>
      </c>
    </row>
    <row r="299">
      <c r="A299" s="39">
        <f>IF('12 - Beds'!B299 = "", "", IF('12 - Beds-WUO_ERR'!A299 = "", "Validated", HYPERLINK("#" &amp; ADDRESS(299, '12 - Beds-WUO_TRK'!A299),_xlfn.TEXTAFTER('12 - Beds-WUO_ERR'!A299, ":"))))</f>
        <v/>
      </c>
    </row>
    <row r="300">
      <c r="A300" s="39">
        <f>IF('12 - Beds'!B300 = "", "", IF('12 - Beds-WUO_ERR'!A300 = "", "Validated", HYPERLINK("#" &amp; ADDRESS(300, '12 - Beds-WUO_TRK'!A300),_xlfn.TEXTAFTER('12 - Beds-WUO_ERR'!A300, ":"))))</f>
        <v/>
      </c>
    </row>
    <row r="301">
      <c r="A301" s="39">
        <f>IF('12 - Beds'!B301 = "", "", IF('12 - Beds-WUO_ERR'!A301 = "", "Validated", HYPERLINK("#" &amp; ADDRESS(301, '12 - Beds-WUO_TRK'!A301),_xlfn.TEXTAFTER('12 - Beds-WUO_ERR'!A301, ":"))))</f>
        <v/>
      </c>
    </row>
    <row r="302">
      <c r="A302" s="39">
        <f>IF('12 - Beds'!B302 = "", "", IF('12 - Beds-WUO_ERR'!A302 = "", "Validated", HYPERLINK("#" &amp; ADDRESS(302, '12 - Beds-WUO_TRK'!A302),_xlfn.TEXTAFTER('12 - Beds-WUO_ERR'!A302, ":"))))</f>
        <v/>
      </c>
    </row>
    <row r="303">
      <c r="A303" s="39">
        <f>IF('12 - Beds'!B303 = "", "", IF('12 - Beds-WUO_ERR'!A303 = "", "Validated", HYPERLINK("#" &amp; ADDRESS(303, '12 - Beds-WUO_TRK'!A303),_xlfn.TEXTAFTER('12 - Beds-WUO_ERR'!A303, ":"))))</f>
        <v/>
      </c>
    </row>
    <row r="304">
      <c r="A304" s="39">
        <f>IF('12 - Beds'!B304 = "", "", IF('12 - Beds-WUO_ERR'!A304 = "", "Validated", HYPERLINK("#" &amp; ADDRESS(304, '12 - Beds-WUO_TRK'!A304),_xlfn.TEXTAFTER('12 - Beds-WUO_ERR'!A304, ":"))))</f>
        <v/>
      </c>
    </row>
    <row r="305">
      <c r="A305" s="39">
        <f>IF('12 - Beds'!B305 = "", "", IF('12 - Beds-WUO_ERR'!A305 = "", "Validated", HYPERLINK("#" &amp; ADDRESS(305, '12 - Beds-WUO_TRK'!A305),_xlfn.TEXTAFTER('12 - Beds-WUO_ERR'!A305, ":"))))</f>
        <v/>
      </c>
    </row>
    <row r="306">
      <c r="A306" s="39">
        <f>IF('12 - Beds'!B306 = "", "", IF('12 - Beds-WUO_ERR'!A306 = "", "Validated", HYPERLINK("#" &amp; ADDRESS(306, '12 - Beds-WUO_TRK'!A306),_xlfn.TEXTAFTER('12 - Beds-WUO_ERR'!A306, ":"))))</f>
        <v/>
      </c>
    </row>
    <row r="307">
      <c r="A307" s="39">
        <f>IF('12 - Beds'!B307 = "", "", IF('12 - Beds-WUO_ERR'!A307 = "", "Validated", HYPERLINK("#" &amp; ADDRESS(307, '12 - Beds-WUO_TRK'!A307),_xlfn.TEXTAFTER('12 - Beds-WUO_ERR'!A307, ":"))))</f>
        <v/>
      </c>
    </row>
    <row r="308">
      <c r="A308" s="39">
        <f>IF('12 - Beds'!B308 = "", "", IF('12 - Beds-WUO_ERR'!A308 = "", "Validated", HYPERLINK("#" &amp; ADDRESS(308, '12 - Beds-WUO_TRK'!A308),_xlfn.TEXTAFTER('12 - Beds-WUO_ERR'!A308, ":"))))</f>
        <v/>
      </c>
    </row>
    <row r="309">
      <c r="A309" s="39">
        <f>IF('12 - Beds'!B309 = "", "", IF('12 - Beds-WUO_ERR'!A309 = "", "Validated", HYPERLINK("#" &amp; ADDRESS(309, '12 - Beds-WUO_TRK'!A309),_xlfn.TEXTAFTER('12 - Beds-WUO_ERR'!A309, ":"))))</f>
        <v/>
      </c>
    </row>
    <row r="310">
      <c r="A310" s="39">
        <f>IF('12 - Beds'!B310 = "", "", IF('12 - Beds-WUO_ERR'!A310 = "", "Validated", HYPERLINK("#" &amp; ADDRESS(310, '12 - Beds-WUO_TRK'!A310),_xlfn.TEXTAFTER('12 - Beds-WUO_ERR'!A310, ":"))))</f>
        <v/>
      </c>
    </row>
    <row r="311">
      <c r="A311" s="39">
        <f>IF('12 - Beds'!B311 = "", "", IF('12 - Beds-WUO_ERR'!A311 = "", "Validated", HYPERLINK("#" &amp; ADDRESS(311, '12 - Beds-WUO_TRK'!A311),_xlfn.TEXTAFTER('12 - Beds-WUO_ERR'!A311, ":"))))</f>
        <v/>
      </c>
    </row>
    <row r="312">
      <c r="A312" s="39">
        <f>IF('12 - Beds'!B312 = "", "", IF('12 - Beds-WUO_ERR'!A312 = "", "Validated", HYPERLINK("#" &amp; ADDRESS(312, '12 - Beds-WUO_TRK'!A312),_xlfn.TEXTAFTER('12 - Beds-WUO_ERR'!A312, ":"))))</f>
        <v/>
      </c>
    </row>
    <row r="313">
      <c r="A313" s="39">
        <f>IF('12 - Beds'!B313 = "", "", IF('12 - Beds-WUO_ERR'!A313 = "", "Validated", HYPERLINK("#" &amp; ADDRESS(313, '12 - Beds-WUO_TRK'!A313),_xlfn.TEXTAFTER('12 - Beds-WUO_ERR'!A313, ":"))))</f>
        <v/>
      </c>
    </row>
    <row r="314">
      <c r="A314" s="39">
        <f>IF('12 - Beds'!B314 = "", "", IF('12 - Beds-WUO_ERR'!A314 = "", "Validated", HYPERLINK("#" &amp; ADDRESS(314, '12 - Beds-WUO_TRK'!A314),_xlfn.TEXTAFTER('12 - Beds-WUO_ERR'!A314, ":"))))</f>
        <v/>
      </c>
    </row>
    <row r="315">
      <c r="A315" s="39">
        <f>IF('12 - Beds'!B315 = "", "", IF('12 - Beds-WUO_ERR'!A315 = "", "Validated", HYPERLINK("#" &amp; ADDRESS(315, '12 - Beds-WUO_TRK'!A315),_xlfn.TEXTAFTER('12 - Beds-WUO_ERR'!A315, ":"))))</f>
        <v/>
      </c>
    </row>
    <row r="316">
      <c r="A316" s="39">
        <f>IF('12 - Beds'!B316 = "", "", IF('12 - Beds-WUO_ERR'!A316 = "", "Validated", HYPERLINK("#" &amp; ADDRESS(316, '12 - Beds-WUO_TRK'!A316),_xlfn.TEXTAFTER('12 - Beds-WUO_ERR'!A316, ":"))))</f>
        <v/>
      </c>
    </row>
    <row r="317">
      <c r="A317" s="39">
        <f>IF('12 - Beds'!B317 = "", "", IF('12 - Beds-WUO_ERR'!A317 = "", "Validated", HYPERLINK("#" &amp; ADDRESS(317, '12 - Beds-WUO_TRK'!A317),_xlfn.TEXTAFTER('12 - Beds-WUO_ERR'!A317, ":"))))</f>
        <v/>
      </c>
    </row>
    <row r="318">
      <c r="A318" s="39">
        <f>IF('12 - Beds'!B318 = "", "", IF('12 - Beds-WUO_ERR'!A318 = "", "Validated", HYPERLINK("#" &amp; ADDRESS(318, '12 - Beds-WUO_TRK'!A318),_xlfn.TEXTAFTER('12 - Beds-WUO_ERR'!A318, ":"))))</f>
        <v/>
      </c>
    </row>
    <row r="319">
      <c r="A319" s="39">
        <f>IF('12 - Beds'!B319 = "", "", IF('12 - Beds-WUO_ERR'!A319 = "", "Validated", HYPERLINK("#" &amp; ADDRESS(319, '12 - Beds-WUO_TRK'!A319),_xlfn.TEXTAFTER('12 - Beds-WUO_ERR'!A319, ":"))))</f>
        <v/>
      </c>
    </row>
    <row r="320">
      <c r="A320" s="39">
        <f>IF('12 - Beds'!B320 = "", "", IF('12 - Beds-WUO_ERR'!A320 = "", "Validated", HYPERLINK("#" &amp; ADDRESS(320, '12 - Beds-WUO_TRK'!A320),_xlfn.TEXTAFTER('12 - Beds-WUO_ERR'!A320, ":"))))</f>
        <v/>
      </c>
    </row>
    <row r="321">
      <c r="A321" s="39">
        <f>IF('12 - Beds'!B321 = "", "", IF('12 - Beds-WUO_ERR'!A321 = "", "Validated", HYPERLINK("#" &amp; ADDRESS(321, '12 - Beds-WUO_TRK'!A321),_xlfn.TEXTAFTER('12 - Beds-WUO_ERR'!A321, ":"))))</f>
        <v/>
      </c>
    </row>
    <row r="322">
      <c r="A322" s="39">
        <f>IF('12 - Beds'!B322 = "", "", IF('12 - Beds-WUO_ERR'!A322 = "", "Validated", HYPERLINK("#" &amp; ADDRESS(322, '12 - Beds-WUO_TRK'!A322),_xlfn.TEXTAFTER('12 - Beds-WUO_ERR'!A322, ":"))))</f>
        <v/>
      </c>
    </row>
    <row r="323">
      <c r="A323" s="39">
        <f>IF('12 - Beds'!B323 = "", "", IF('12 - Beds-WUO_ERR'!A323 = "", "Validated", HYPERLINK("#" &amp; ADDRESS(323, '12 - Beds-WUO_TRK'!A323),_xlfn.TEXTAFTER('12 - Beds-WUO_ERR'!A323, ":"))))</f>
        <v/>
      </c>
    </row>
    <row r="324">
      <c r="A324" s="39">
        <f>IF('12 - Beds'!B324 = "", "", IF('12 - Beds-WUO_ERR'!A324 = "", "Validated", HYPERLINK("#" &amp; ADDRESS(324, '12 - Beds-WUO_TRK'!A324),_xlfn.TEXTAFTER('12 - Beds-WUO_ERR'!A324, ":"))))</f>
        <v/>
      </c>
    </row>
    <row r="325">
      <c r="A325" s="39">
        <f>IF('12 - Beds'!B325 = "", "", IF('12 - Beds-WUO_ERR'!A325 = "", "Validated", HYPERLINK("#" &amp; ADDRESS(325, '12 - Beds-WUO_TRK'!A325),_xlfn.TEXTAFTER('12 - Beds-WUO_ERR'!A325, ":"))))</f>
        <v/>
      </c>
    </row>
    <row r="326">
      <c r="A326" s="39">
        <f>IF('12 - Beds'!B326 = "", "", IF('12 - Beds-WUO_ERR'!A326 = "", "Validated", HYPERLINK("#" &amp; ADDRESS(326, '12 - Beds-WUO_TRK'!A326),_xlfn.TEXTAFTER('12 - Beds-WUO_ERR'!A326, ":"))))</f>
        <v/>
      </c>
    </row>
    <row r="327">
      <c r="A327" s="39">
        <f>IF('12 - Beds'!B327 = "", "", IF('12 - Beds-WUO_ERR'!A327 = "", "Validated", HYPERLINK("#" &amp; ADDRESS(327, '12 - Beds-WUO_TRK'!A327),_xlfn.TEXTAFTER('12 - Beds-WUO_ERR'!A327, ":"))))</f>
        <v/>
      </c>
    </row>
    <row r="328">
      <c r="A328" s="39">
        <f>IF('12 - Beds'!B328 = "", "", IF('12 - Beds-WUO_ERR'!A328 = "", "Validated", HYPERLINK("#" &amp; ADDRESS(328, '12 - Beds-WUO_TRK'!A328),_xlfn.TEXTAFTER('12 - Beds-WUO_ERR'!A328, ":"))))</f>
        <v/>
      </c>
    </row>
    <row r="329">
      <c r="A329" s="39">
        <f>IF('12 - Beds'!B329 = "", "", IF('12 - Beds-WUO_ERR'!A329 = "", "Validated", HYPERLINK("#" &amp; ADDRESS(329, '12 - Beds-WUO_TRK'!A329),_xlfn.TEXTAFTER('12 - Beds-WUO_ERR'!A329, ":"))))</f>
        <v/>
      </c>
    </row>
    <row r="330">
      <c r="A330" s="39">
        <f>IF('12 - Beds'!B330 = "", "", IF('12 - Beds-WUO_ERR'!A330 = "", "Validated", HYPERLINK("#" &amp; ADDRESS(330, '12 - Beds-WUO_TRK'!A330),_xlfn.TEXTAFTER('12 - Beds-WUO_ERR'!A330, ":"))))</f>
        <v/>
      </c>
    </row>
    <row r="331">
      <c r="A331" s="39">
        <f>IF('12 - Beds'!B331 = "", "", IF('12 - Beds-WUO_ERR'!A331 = "", "Validated", HYPERLINK("#" &amp; ADDRESS(331, '12 - Beds-WUO_TRK'!A331),_xlfn.TEXTAFTER('12 - Beds-WUO_ERR'!A331, ":"))))</f>
        <v/>
      </c>
    </row>
    <row r="332">
      <c r="A332" s="39">
        <f>IF('12 - Beds'!B332 = "", "", IF('12 - Beds-WUO_ERR'!A332 = "", "Validated", HYPERLINK("#" &amp; ADDRESS(332, '12 - Beds-WUO_TRK'!A332),_xlfn.TEXTAFTER('12 - Beds-WUO_ERR'!A332, ":"))))</f>
        <v/>
      </c>
    </row>
    <row r="333">
      <c r="A333" s="39">
        <f>IF('12 - Beds'!B333 = "", "", IF('12 - Beds-WUO_ERR'!A333 = "", "Validated", HYPERLINK("#" &amp; ADDRESS(333, '12 - Beds-WUO_TRK'!A333),_xlfn.TEXTAFTER('12 - Beds-WUO_ERR'!A333, ":"))))</f>
        <v/>
      </c>
    </row>
    <row r="334">
      <c r="A334" s="39">
        <f>IF('12 - Beds'!B334 = "", "", IF('12 - Beds-WUO_ERR'!A334 = "", "Validated", HYPERLINK("#" &amp; ADDRESS(334, '12 - Beds-WUO_TRK'!A334),_xlfn.TEXTAFTER('12 - Beds-WUO_ERR'!A334, ":"))))</f>
        <v/>
      </c>
    </row>
    <row r="335">
      <c r="A335" s="39">
        <f>IF('12 - Beds'!B335 = "", "", IF('12 - Beds-WUO_ERR'!A335 = "", "Validated", HYPERLINK("#" &amp; ADDRESS(335, '12 - Beds-WUO_TRK'!A335),_xlfn.TEXTAFTER('12 - Beds-WUO_ERR'!A335, ":"))))</f>
        <v/>
      </c>
    </row>
    <row r="336">
      <c r="A336" s="39">
        <f>IF('12 - Beds'!B336 = "", "", IF('12 - Beds-WUO_ERR'!A336 = "", "Validated", HYPERLINK("#" &amp; ADDRESS(336, '12 - Beds-WUO_TRK'!A336),_xlfn.TEXTAFTER('12 - Beds-WUO_ERR'!A336, ":"))))</f>
        <v/>
      </c>
    </row>
    <row r="337">
      <c r="A337" s="39">
        <f>IF('12 - Beds'!B337 = "", "", IF('12 - Beds-WUO_ERR'!A337 = "", "Validated", HYPERLINK("#" &amp; ADDRESS(337, '12 - Beds-WUO_TRK'!A337),_xlfn.TEXTAFTER('12 - Beds-WUO_ERR'!A337, ":"))))</f>
        <v/>
      </c>
    </row>
    <row r="338">
      <c r="A338" s="39">
        <f>IF('12 - Beds'!B338 = "", "", IF('12 - Beds-WUO_ERR'!A338 = "", "Validated", HYPERLINK("#" &amp; ADDRESS(338, '12 - Beds-WUO_TRK'!A338),_xlfn.TEXTAFTER('12 - Beds-WUO_ERR'!A338, ":"))))</f>
        <v/>
      </c>
    </row>
    <row r="339">
      <c r="A339" s="39">
        <f>IF('12 - Beds'!B339 = "", "", IF('12 - Beds-WUO_ERR'!A339 = "", "Validated", HYPERLINK("#" &amp; ADDRESS(339, '12 - Beds-WUO_TRK'!A339),_xlfn.TEXTAFTER('12 - Beds-WUO_ERR'!A339, ":"))))</f>
        <v/>
      </c>
    </row>
    <row r="340">
      <c r="A340" s="39">
        <f>IF('12 - Beds'!B340 = "", "", IF('12 - Beds-WUO_ERR'!A340 = "", "Validated", HYPERLINK("#" &amp; ADDRESS(340, '12 - Beds-WUO_TRK'!A340),_xlfn.TEXTAFTER('12 - Beds-WUO_ERR'!A340, ":"))))</f>
        <v/>
      </c>
    </row>
    <row r="341">
      <c r="A341" s="39">
        <f>IF('12 - Beds'!B341 = "", "", IF('12 - Beds-WUO_ERR'!A341 = "", "Validated", HYPERLINK("#" &amp; ADDRESS(341, '12 - Beds-WUO_TRK'!A341),_xlfn.TEXTAFTER('12 - Beds-WUO_ERR'!A341, ":"))))</f>
        <v/>
      </c>
    </row>
    <row r="342">
      <c r="A342" s="39">
        <f>IF('12 - Beds'!B342 = "", "", IF('12 - Beds-WUO_ERR'!A342 = "", "Validated", HYPERLINK("#" &amp; ADDRESS(342, '12 - Beds-WUO_TRK'!A342),_xlfn.TEXTAFTER('12 - Beds-WUO_ERR'!A342, ":"))))</f>
        <v/>
      </c>
    </row>
    <row r="343">
      <c r="A343" s="39">
        <f>IF('12 - Beds'!B343 = "", "", IF('12 - Beds-WUO_ERR'!A343 = "", "Validated", HYPERLINK("#" &amp; ADDRESS(343, '12 - Beds-WUO_TRK'!A343),_xlfn.TEXTAFTER('12 - Beds-WUO_ERR'!A343, ":"))))</f>
        <v/>
      </c>
    </row>
    <row r="344">
      <c r="A344" s="39">
        <f>IF('12 - Beds'!B344 = "", "", IF('12 - Beds-WUO_ERR'!A344 = "", "Validated", HYPERLINK("#" &amp; ADDRESS(344, '12 - Beds-WUO_TRK'!A344),_xlfn.TEXTAFTER('12 - Beds-WUO_ERR'!A344, ":"))))</f>
        <v/>
      </c>
    </row>
    <row r="345">
      <c r="A345" s="39">
        <f>IF('12 - Beds'!B345 = "", "", IF('12 - Beds-WUO_ERR'!A345 = "", "Validated", HYPERLINK("#" &amp; ADDRESS(345, '12 - Beds-WUO_TRK'!A345),_xlfn.TEXTAFTER('12 - Beds-WUO_ERR'!A345, ":"))))</f>
        <v/>
      </c>
    </row>
    <row r="346">
      <c r="A346" s="39">
        <f>IF('12 - Beds'!B346 = "", "", IF('12 - Beds-WUO_ERR'!A346 = "", "Validated", HYPERLINK("#" &amp; ADDRESS(346, '12 - Beds-WUO_TRK'!A346),_xlfn.TEXTAFTER('12 - Beds-WUO_ERR'!A346, ":"))))</f>
        <v/>
      </c>
    </row>
    <row r="347">
      <c r="A347" s="39">
        <f>IF('12 - Beds'!B347 = "", "", IF('12 - Beds-WUO_ERR'!A347 = "", "Validated", HYPERLINK("#" &amp; ADDRESS(347, '12 - Beds-WUO_TRK'!A347),_xlfn.TEXTAFTER('12 - Beds-WUO_ERR'!A347, ":"))))</f>
        <v/>
      </c>
    </row>
    <row r="348">
      <c r="A348" s="39">
        <f>IF('12 - Beds'!B348 = "", "", IF('12 - Beds-WUO_ERR'!A348 = "", "Validated", HYPERLINK("#" &amp; ADDRESS(348, '12 - Beds-WUO_TRK'!A348),_xlfn.TEXTAFTER('12 - Beds-WUO_ERR'!A348, ":"))))</f>
        <v/>
      </c>
    </row>
    <row r="349">
      <c r="A349" s="39">
        <f>IF('12 - Beds'!B349 = "", "", IF('12 - Beds-WUO_ERR'!A349 = "", "Validated", HYPERLINK("#" &amp; ADDRESS(349, '12 - Beds-WUO_TRK'!A349),_xlfn.TEXTAFTER('12 - Beds-WUO_ERR'!A349, ":"))))</f>
        <v/>
      </c>
    </row>
    <row r="350">
      <c r="A350" s="39">
        <f>IF('12 - Beds'!B350 = "", "", IF('12 - Beds-WUO_ERR'!A350 = "", "Validated", HYPERLINK("#" &amp; ADDRESS(350, '12 - Beds-WUO_TRK'!A350),_xlfn.TEXTAFTER('12 - Beds-WUO_ERR'!A350, ":"))))</f>
        <v/>
      </c>
    </row>
    <row r="351">
      <c r="A351" s="39">
        <f>IF('12 - Beds'!B351 = "", "", IF('12 - Beds-WUO_ERR'!A351 = "", "Validated", HYPERLINK("#" &amp; ADDRESS(351, '12 - Beds-WUO_TRK'!A351),_xlfn.TEXTAFTER('12 - Beds-WUO_ERR'!A351, ":"))))</f>
        <v/>
      </c>
    </row>
    <row r="352">
      <c r="A352" s="39">
        <f>IF('12 - Beds'!B352 = "", "", IF('12 - Beds-WUO_ERR'!A352 = "", "Validated", HYPERLINK("#" &amp; ADDRESS(352, '12 - Beds-WUO_TRK'!A352),_xlfn.TEXTAFTER('12 - Beds-WUO_ERR'!A352, ":"))))</f>
        <v/>
      </c>
    </row>
    <row r="353">
      <c r="A353" s="39">
        <f>IF('12 - Beds'!B353 = "", "", IF('12 - Beds-WUO_ERR'!A353 = "", "Validated", HYPERLINK("#" &amp; ADDRESS(353, '12 - Beds-WUO_TRK'!A353),_xlfn.TEXTAFTER('12 - Beds-WUO_ERR'!A353, ":"))))</f>
        <v/>
      </c>
    </row>
    <row r="354">
      <c r="A354" s="39">
        <f>IF('12 - Beds'!B354 = "", "", IF('12 - Beds-WUO_ERR'!A354 = "", "Validated", HYPERLINK("#" &amp; ADDRESS(354, '12 - Beds-WUO_TRK'!A354),_xlfn.TEXTAFTER('12 - Beds-WUO_ERR'!A354, ":"))))</f>
        <v/>
      </c>
    </row>
    <row r="355">
      <c r="A355" s="39">
        <f>IF('12 - Beds'!B355 = "", "", IF('12 - Beds-WUO_ERR'!A355 = "", "Validated", HYPERLINK("#" &amp; ADDRESS(355, '12 - Beds-WUO_TRK'!A355),_xlfn.TEXTAFTER('12 - Beds-WUO_ERR'!A355, ":"))))</f>
        <v/>
      </c>
    </row>
    <row r="356">
      <c r="A356" s="39">
        <f>IF('12 - Beds'!B356 = "", "", IF('12 - Beds-WUO_ERR'!A356 = "", "Validated", HYPERLINK("#" &amp; ADDRESS(356, '12 - Beds-WUO_TRK'!A356),_xlfn.TEXTAFTER('12 - Beds-WUO_ERR'!A356, ":"))))</f>
        <v/>
      </c>
    </row>
    <row r="357">
      <c r="A357" s="39">
        <f>IF('12 - Beds'!B357 = "", "", IF('12 - Beds-WUO_ERR'!A357 = "", "Validated", HYPERLINK("#" &amp; ADDRESS(357, '12 - Beds-WUO_TRK'!A357),_xlfn.TEXTAFTER('12 - Beds-WUO_ERR'!A357, ":"))))</f>
        <v/>
      </c>
    </row>
    <row r="358">
      <c r="A358" s="39">
        <f>IF('12 - Beds'!B358 = "", "", IF('12 - Beds-WUO_ERR'!A358 = "", "Validated", HYPERLINK("#" &amp; ADDRESS(358, '12 - Beds-WUO_TRK'!A358),_xlfn.TEXTAFTER('12 - Beds-WUO_ERR'!A358, ":"))))</f>
        <v/>
      </c>
    </row>
    <row r="359">
      <c r="A359" s="39">
        <f>IF('12 - Beds'!B359 = "", "", IF('12 - Beds-WUO_ERR'!A359 = "", "Validated", HYPERLINK("#" &amp; ADDRESS(359, '12 - Beds-WUO_TRK'!A359),_xlfn.TEXTAFTER('12 - Beds-WUO_ERR'!A359, ":"))))</f>
        <v/>
      </c>
    </row>
    <row r="360">
      <c r="A360" s="39">
        <f>IF('12 - Beds'!B360 = "", "", IF('12 - Beds-WUO_ERR'!A360 = "", "Validated", HYPERLINK("#" &amp; ADDRESS(360, '12 - Beds-WUO_TRK'!A360),_xlfn.TEXTAFTER('12 - Beds-WUO_ERR'!A360, ":"))))</f>
        <v/>
      </c>
    </row>
    <row r="361">
      <c r="A361" s="39">
        <f>IF('12 - Beds'!B361 = "", "", IF('12 - Beds-WUO_ERR'!A361 = "", "Validated", HYPERLINK("#" &amp; ADDRESS(361, '12 - Beds-WUO_TRK'!A361),_xlfn.TEXTAFTER('12 - Beds-WUO_ERR'!A361, ":"))))</f>
        <v/>
      </c>
    </row>
    <row r="362">
      <c r="A362" s="39">
        <f>IF('12 - Beds'!B362 = "", "", IF('12 - Beds-WUO_ERR'!A362 = "", "Validated", HYPERLINK("#" &amp; ADDRESS(362, '12 - Beds-WUO_TRK'!A362),_xlfn.TEXTAFTER('12 - Beds-WUO_ERR'!A362, ":"))))</f>
        <v/>
      </c>
    </row>
    <row r="363">
      <c r="A363" s="39">
        <f>IF('12 - Beds'!B363 = "", "", IF('12 - Beds-WUO_ERR'!A363 = "", "Validated", HYPERLINK("#" &amp; ADDRESS(363, '12 - Beds-WUO_TRK'!A363),_xlfn.TEXTAFTER('12 - Beds-WUO_ERR'!A363, ":"))))</f>
        <v/>
      </c>
    </row>
    <row r="364">
      <c r="A364" s="39">
        <f>IF('12 - Beds'!B364 = "", "", IF('12 - Beds-WUO_ERR'!A364 = "", "Validated", HYPERLINK("#" &amp; ADDRESS(364, '12 - Beds-WUO_TRK'!A364),_xlfn.TEXTAFTER('12 - Beds-WUO_ERR'!A364, ":"))))</f>
        <v/>
      </c>
    </row>
    <row r="365">
      <c r="A365" s="39">
        <f>IF('12 - Beds'!B365 = "", "", IF('12 - Beds-WUO_ERR'!A365 = "", "Validated", HYPERLINK("#" &amp; ADDRESS(365, '12 - Beds-WUO_TRK'!A365),_xlfn.TEXTAFTER('12 - Beds-WUO_ERR'!A365, ":"))))</f>
        <v/>
      </c>
    </row>
    <row r="366">
      <c r="A366" s="39">
        <f>IF('12 - Beds'!B366 = "", "", IF('12 - Beds-WUO_ERR'!A366 = "", "Validated", HYPERLINK("#" &amp; ADDRESS(366, '12 - Beds-WUO_TRK'!A366),_xlfn.TEXTAFTER('12 - Beds-WUO_ERR'!A366, ":"))))</f>
        <v/>
      </c>
    </row>
    <row r="367">
      <c r="A367" s="39">
        <f>IF('12 - Beds'!B367 = "", "", IF('12 - Beds-WUO_ERR'!A367 = "", "Validated", HYPERLINK("#" &amp; ADDRESS(367, '12 - Beds-WUO_TRK'!A367),_xlfn.TEXTAFTER('12 - Beds-WUO_ERR'!A367, ":"))))</f>
        <v/>
      </c>
    </row>
    <row r="368">
      <c r="A368" s="39">
        <f>IF('12 - Beds'!B368 = "", "", IF('12 - Beds-WUO_ERR'!A368 = "", "Validated", HYPERLINK("#" &amp; ADDRESS(368, '12 - Beds-WUO_TRK'!A368),_xlfn.TEXTAFTER('12 - Beds-WUO_ERR'!A368, ":"))))</f>
        <v/>
      </c>
    </row>
    <row r="369">
      <c r="A369" s="39">
        <f>IF('12 - Beds'!B369 = "", "", IF('12 - Beds-WUO_ERR'!A369 = "", "Validated", HYPERLINK("#" &amp; ADDRESS(369, '12 - Beds-WUO_TRK'!A369),_xlfn.TEXTAFTER('12 - Beds-WUO_ERR'!A369, ":"))))</f>
        <v/>
      </c>
    </row>
    <row r="370">
      <c r="A370" s="39">
        <f>IF('12 - Beds'!B370 = "", "", IF('12 - Beds-WUO_ERR'!A370 = "", "Validated", HYPERLINK("#" &amp; ADDRESS(370, '12 - Beds-WUO_TRK'!A370),_xlfn.TEXTAFTER('12 - Beds-WUO_ERR'!A370, ":"))))</f>
        <v/>
      </c>
    </row>
    <row r="371">
      <c r="A371" s="39">
        <f>IF('12 - Beds'!B371 = "", "", IF('12 - Beds-WUO_ERR'!A371 = "", "Validated", HYPERLINK("#" &amp; ADDRESS(371, '12 - Beds-WUO_TRK'!A371),_xlfn.TEXTAFTER('12 - Beds-WUO_ERR'!A371, ":"))))</f>
        <v/>
      </c>
    </row>
    <row r="372">
      <c r="A372" s="39">
        <f>IF('12 - Beds'!B372 = "", "", IF('12 - Beds-WUO_ERR'!A372 = "", "Validated", HYPERLINK("#" &amp; ADDRESS(372, '12 - Beds-WUO_TRK'!A372),_xlfn.TEXTAFTER('12 - Beds-WUO_ERR'!A372, ":"))))</f>
        <v/>
      </c>
    </row>
    <row r="373">
      <c r="A373" s="39">
        <f>IF('12 - Beds'!B373 = "", "", IF('12 - Beds-WUO_ERR'!A373 = "", "Validated", HYPERLINK("#" &amp; ADDRESS(373, '12 - Beds-WUO_TRK'!A373),_xlfn.TEXTAFTER('12 - Beds-WUO_ERR'!A373, ":"))))</f>
        <v/>
      </c>
    </row>
    <row r="374">
      <c r="A374" s="39">
        <f>IF('12 - Beds'!B374 = "", "", IF('12 - Beds-WUO_ERR'!A374 = "", "Validated", HYPERLINK("#" &amp; ADDRESS(374, '12 - Beds-WUO_TRK'!A374),_xlfn.TEXTAFTER('12 - Beds-WUO_ERR'!A374, ":"))))</f>
        <v/>
      </c>
    </row>
    <row r="375">
      <c r="A375" s="39">
        <f>IF('12 - Beds'!B375 = "", "", IF('12 - Beds-WUO_ERR'!A375 = "", "Validated", HYPERLINK("#" &amp; ADDRESS(375, '12 - Beds-WUO_TRK'!A375),_xlfn.TEXTAFTER('12 - Beds-WUO_ERR'!A375, ":"))))</f>
        <v/>
      </c>
    </row>
    <row r="376">
      <c r="A376" s="39">
        <f>IF('12 - Beds'!B376 = "", "", IF('12 - Beds-WUO_ERR'!A376 = "", "Validated", HYPERLINK("#" &amp; ADDRESS(376, '12 - Beds-WUO_TRK'!A376),_xlfn.TEXTAFTER('12 - Beds-WUO_ERR'!A376, ":"))))</f>
        <v/>
      </c>
    </row>
    <row r="377">
      <c r="A377" s="39">
        <f>IF('12 - Beds'!B377 = "", "", IF('12 - Beds-WUO_ERR'!A377 = "", "Validated", HYPERLINK("#" &amp; ADDRESS(377, '12 - Beds-WUO_TRK'!A377),_xlfn.TEXTAFTER('12 - Beds-WUO_ERR'!A377, ":"))))</f>
        <v/>
      </c>
    </row>
    <row r="378">
      <c r="A378" s="39">
        <f>IF('12 - Beds'!B378 = "", "", IF('12 - Beds-WUO_ERR'!A378 = "", "Validated", HYPERLINK("#" &amp; ADDRESS(378, '12 - Beds-WUO_TRK'!A378),_xlfn.TEXTAFTER('12 - Beds-WUO_ERR'!A378, ":"))))</f>
        <v/>
      </c>
    </row>
    <row r="379">
      <c r="A379" s="39">
        <f>IF('12 - Beds'!B379 = "", "", IF('12 - Beds-WUO_ERR'!A379 = "", "Validated", HYPERLINK("#" &amp; ADDRESS(379, '12 - Beds-WUO_TRK'!A379),_xlfn.TEXTAFTER('12 - Beds-WUO_ERR'!A379, ":"))))</f>
        <v/>
      </c>
    </row>
    <row r="380">
      <c r="A380" s="39">
        <f>IF('12 - Beds'!B380 = "", "", IF('12 - Beds-WUO_ERR'!A380 = "", "Validated", HYPERLINK("#" &amp; ADDRESS(380, '12 - Beds-WUO_TRK'!A380),_xlfn.TEXTAFTER('12 - Beds-WUO_ERR'!A380, ":"))))</f>
        <v/>
      </c>
    </row>
    <row r="381">
      <c r="A381" s="39">
        <f>IF('12 - Beds'!B381 = "", "", IF('12 - Beds-WUO_ERR'!A381 = "", "Validated", HYPERLINK("#" &amp; ADDRESS(381, '12 - Beds-WUO_TRK'!A381),_xlfn.TEXTAFTER('12 - Beds-WUO_ERR'!A381, ":"))))</f>
        <v/>
      </c>
    </row>
    <row r="382">
      <c r="A382" s="39">
        <f>IF('12 - Beds'!B382 = "", "", IF('12 - Beds-WUO_ERR'!A382 = "", "Validated", HYPERLINK("#" &amp; ADDRESS(382, '12 - Beds-WUO_TRK'!A382),_xlfn.TEXTAFTER('12 - Beds-WUO_ERR'!A382, ":"))))</f>
        <v/>
      </c>
    </row>
    <row r="383">
      <c r="A383" s="39">
        <f>IF('12 - Beds'!B383 = "", "", IF('12 - Beds-WUO_ERR'!A383 = "", "Validated", HYPERLINK("#" &amp; ADDRESS(383, '12 - Beds-WUO_TRK'!A383),_xlfn.TEXTAFTER('12 - Beds-WUO_ERR'!A383, ":"))))</f>
        <v/>
      </c>
    </row>
    <row r="384">
      <c r="A384" s="39">
        <f>IF('12 - Beds'!B384 = "", "", IF('12 - Beds-WUO_ERR'!A384 = "", "Validated", HYPERLINK("#" &amp; ADDRESS(384, '12 - Beds-WUO_TRK'!A384),_xlfn.TEXTAFTER('12 - Beds-WUO_ERR'!A384, ":"))))</f>
        <v/>
      </c>
    </row>
    <row r="385">
      <c r="A385" s="39">
        <f>IF('12 - Beds'!B385 = "", "", IF('12 - Beds-WUO_ERR'!A385 = "", "Validated", HYPERLINK("#" &amp; ADDRESS(385, '12 - Beds-WUO_TRK'!A385),_xlfn.TEXTAFTER('12 - Beds-WUO_ERR'!A385, ":"))))</f>
        <v/>
      </c>
    </row>
    <row r="386">
      <c r="A386" s="39">
        <f>IF('12 - Beds'!B386 = "", "", IF('12 - Beds-WUO_ERR'!A386 = "", "Validated", HYPERLINK("#" &amp; ADDRESS(386, '12 - Beds-WUO_TRK'!A386),_xlfn.TEXTAFTER('12 - Beds-WUO_ERR'!A386, ":"))))</f>
        <v/>
      </c>
    </row>
    <row r="387">
      <c r="A387" s="39">
        <f>IF('12 - Beds'!B387 = "", "", IF('12 - Beds-WUO_ERR'!A387 = "", "Validated", HYPERLINK("#" &amp; ADDRESS(387, '12 - Beds-WUO_TRK'!A387),_xlfn.TEXTAFTER('12 - Beds-WUO_ERR'!A387, ":"))))</f>
        <v/>
      </c>
    </row>
    <row r="388">
      <c r="A388" s="39">
        <f>IF('12 - Beds'!B388 = "", "", IF('12 - Beds-WUO_ERR'!A388 = "", "Validated", HYPERLINK("#" &amp; ADDRESS(388, '12 - Beds-WUO_TRK'!A388),_xlfn.TEXTAFTER('12 - Beds-WUO_ERR'!A388, ":"))))</f>
        <v/>
      </c>
    </row>
    <row r="389">
      <c r="A389" s="39">
        <f>IF('12 - Beds'!B389 = "", "", IF('12 - Beds-WUO_ERR'!A389 = "", "Validated", HYPERLINK("#" &amp; ADDRESS(389, '12 - Beds-WUO_TRK'!A389),_xlfn.TEXTAFTER('12 - Beds-WUO_ERR'!A389, ":"))))</f>
        <v/>
      </c>
    </row>
    <row r="390">
      <c r="A390" s="39">
        <f>IF('12 - Beds'!B390 = "", "", IF('12 - Beds-WUO_ERR'!A390 = "", "Validated", HYPERLINK("#" &amp; ADDRESS(390, '12 - Beds-WUO_TRK'!A390),_xlfn.TEXTAFTER('12 - Beds-WUO_ERR'!A390, ":"))))</f>
        <v/>
      </c>
    </row>
    <row r="391">
      <c r="A391" s="39">
        <f>IF('12 - Beds'!B391 = "", "", IF('12 - Beds-WUO_ERR'!A391 = "", "Validated", HYPERLINK("#" &amp; ADDRESS(391, '12 - Beds-WUO_TRK'!A391),_xlfn.TEXTAFTER('12 - Beds-WUO_ERR'!A391, ":"))))</f>
        <v/>
      </c>
    </row>
    <row r="392">
      <c r="A392" s="39">
        <f>IF('12 - Beds'!B392 = "", "", IF('12 - Beds-WUO_ERR'!A392 = "", "Validated", HYPERLINK("#" &amp; ADDRESS(392, '12 - Beds-WUO_TRK'!A392),_xlfn.TEXTAFTER('12 - Beds-WUO_ERR'!A392, ":"))))</f>
        <v/>
      </c>
    </row>
    <row r="393">
      <c r="A393" s="39">
        <f>IF('12 - Beds'!B393 = "", "", IF('12 - Beds-WUO_ERR'!A393 = "", "Validated", HYPERLINK("#" &amp; ADDRESS(393, '12 - Beds-WUO_TRK'!A393),_xlfn.TEXTAFTER('12 - Beds-WUO_ERR'!A393, ":"))))</f>
        <v/>
      </c>
    </row>
    <row r="394">
      <c r="A394" s="39">
        <f>IF('12 - Beds'!B394 = "", "", IF('12 - Beds-WUO_ERR'!A394 = "", "Validated", HYPERLINK("#" &amp; ADDRESS(394, '12 - Beds-WUO_TRK'!A394),_xlfn.TEXTAFTER('12 - Beds-WUO_ERR'!A394, ":"))))</f>
        <v/>
      </c>
    </row>
    <row r="395">
      <c r="A395" s="39">
        <f>IF('12 - Beds'!B395 = "", "", IF('12 - Beds-WUO_ERR'!A395 = "", "Validated", HYPERLINK("#" &amp; ADDRESS(395, '12 - Beds-WUO_TRK'!A395),_xlfn.TEXTAFTER('12 - Beds-WUO_ERR'!A395, ":"))))</f>
        <v/>
      </c>
    </row>
    <row r="396">
      <c r="A396" s="39">
        <f>IF('12 - Beds'!B396 = "", "", IF('12 - Beds-WUO_ERR'!A396 = "", "Validated", HYPERLINK("#" &amp; ADDRESS(396, '12 - Beds-WUO_TRK'!A396),_xlfn.TEXTAFTER('12 - Beds-WUO_ERR'!A396, ":"))))</f>
        <v/>
      </c>
    </row>
    <row r="397">
      <c r="A397" s="39">
        <f>IF('12 - Beds'!B397 = "", "", IF('12 - Beds-WUO_ERR'!A397 = "", "Validated", HYPERLINK("#" &amp; ADDRESS(397, '12 - Beds-WUO_TRK'!A397),_xlfn.TEXTAFTER('12 - Beds-WUO_ERR'!A397, ":"))))</f>
        <v/>
      </c>
    </row>
    <row r="398">
      <c r="A398" s="39">
        <f>IF('12 - Beds'!B398 = "", "", IF('12 - Beds-WUO_ERR'!A398 = "", "Validated", HYPERLINK("#" &amp; ADDRESS(398, '12 - Beds-WUO_TRK'!A398),_xlfn.TEXTAFTER('12 - Beds-WUO_ERR'!A398, ":"))))</f>
        <v/>
      </c>
    </row>
    <row r="399">
      <c r="A399" s="39">
        <f>IF('12 - Beds'!B399 = "", "", IF('12 - Beds-WUO_ERR'!A399 = "", "Validated", HYPERLINK("#" &amp; ADDRESS(399, '12 - Beds-WUO_TRK'!A399),_xlfn.TEXTAFTER('12 - Beds-WUO_ERR'!A399, ":"))))</f>
        <v/>
      </c>
    </row>
    <row r="400">
      <c r="A400" s="39">
        <f>IF('12 - Beds'!B400 = "", "", IF('12 - Beds-WUO_ERR'!A400 = "", "Validated", HYPERLINK("#" &amp; ADDRESS(400, '12 - Beds-WUO_TRK'!A400),_xlfn.TEXTAFTER('12 - Beds-WUO_ERR'!A400, ":"))))</f>
        <v/>
      </c>
    </row>
    <row r="401">
      <c r="A401" s="39">
        <f>IF('12 - Beds'!B401 = "", "", IF('12 - Beds-WUO_ERR'!A401 = "", "Validated", HYPERLINK("#" &amp; ADDRESS(401, '12 - Beds-WUO_TRK'!A401),_xlfn.TEXTAFTER('12 - Beds-WUO_ERR'!A401, ":"))))</f>
        <v/>
      </c>
    </row>
    <row r="402">
      <c r="A402" s="39">
        <f>IF('12 - Beds'!B402 = "", "", IF('12 - Beds-WUO_ERR'!A402 = "", "Validated", HYPERLINK("#" &amp; ADDRESS(402, '12 - Beds-WUO_TRK'!A402),_xlfn.TEXTAFTER('12 - Beds-WUO_ERR'!A402, ":"))))</f>
        <v/>
      </c>
    </row>
    <row r="403">
      <c r="A403" s="39">
        <f>IF('12 - Beds'!B403 = "", "", IF('12 - Beds-WUO_ERR'!A403 = "", "Validated", HYPERLINK("#" &amp; ADDRESS(403, '12 - Beds-WUO_TRK'!A403),_xlfn.TEXTAFTER('12 - Beds-WUO_ERR'!A403, ":"))))</f>
        <v/>
      </c>
    </row>
    <row r="404">
      <c r="A404" s="39">
        <f>IF('12 - Beds'!B404 = "", "", IF('12 - Beds-WUO_ERR'!A404 = "", "Validated", HYPERLINK("#" &amp; ADDRESS(404, '12 - Beds-WUO_TRK'!A404),_xlfn.TEXTAFTER('12 - Beds-WUO_ERR'!A404, ":"))))</f>
        <v/>
      </c>
    </row>
    <row r="405">
      <c r="A405" s="39">
        <f>IF('12 - Beds'!B405 = "", "", IF('12 - Beds-WUO_ERR'!A405 = "", "Validated", HYPERLINK("#" &amp; ADDRESS(405, '12 - Beds-WUO_TRK'!A405),_xlfn.TEXTAFTER('12 - Beds-WUO_ERR'!A405, ":"))))</f>
        <v/>
      </c>
    </row>
    <row r="406">
      <c r="A406" s="39">
        <f>IF('12 - Beds'!B406 = "", "", IF('12 - Beds-WUO_ERR'!A406 = "", "Validated", HYPERLINK("#" &amp; ADDRESS(406, '12 - Beds-WUO_TRK'!A406),_xlfn.TEXTAFTER('12 - Beds-WUO_ERR'!A406, ":"))))</f>
        <v/>
      </c>
    </row>
    <row r="407">
      <c r="A407" s="39">
        <f>IF('12 - Beds'!B407 = "", "", IF('12 - Beds-WUO_ERR'!A407 = "", "Validated", HYPERLINK("#" &amp; ADDRESS(407, '12 - Beds-WUO_TRK'!A407),_xlfn.TEXTAFTER('12 - Beds-WUO_ERR'!A407, ":"))))</f>
        <v/>
      </c>
    </row>
    <row r="408">
      <c r="A408" s="39">
        <f>IF('12 - Beds'!B408 = "", "", IF('12 - Beds-WUO_ERR'!A408 = "", "Validated", HYPERLINK("#" &amp; ADDRESS(408, '12 - Beds-WUO_TRK'!A408),_xlfn.TEXTAFTER('12 - Beds-WUO_ERR'!A408, ":"))))</f>
        <v/>
      </c>
    </row>
    <row r="409">
      <c r="A409" s="39">
        <f>IF('12 - Beds'!B409 = "", "", IF('12 - Beds-WUO_ERR'!A409 = "", "Validated", HYPERLINK("#" &amp; ADDRESS(409, '12 - Beds-WUO_TRK'!A409),_xlfn.TEXTAFTER('12 - Beds-WUO_ERR'!A409, ":"))))</f>
        <v/>
      </c>
    </row>
    <row r="410">
      <c r="A410" s="39">
        <f>IF('12 - Beds'!B410 = "", "", IF('12 - Beds-WUO_ERR'!A410 = "", "Validated", HYPERLINK("#" &amp; ADDRESS(410, '12 - Beds-WUO_TRK'!A410),_xlfn.TEXTAFTER('12 - Beds-WUO_ERR'!A410, ":"))))</f>
        <v/>
      </c>
    </row>
    <row r="411">
      <c r="A411" s="39">
        <f>IF('12 - Beds'!B411 = "", "", IF('12 - Beds-WUO_ERR'!A411 = "", "Validated", HYPERLINK("#" &amp; ADDRESS(411, '12 - Beds-WUO_TRK'!A411),_xlfn.TEXTAFTER('12 - Beds-WUO_ERR'!A411, ":"))))</f>
        <v/>
      </c>
    </row>
    <row r="412">
      <c r="A412" s="39">
        <f>IF('12 - Beds'!B412 = "", "", IF('12 - Beds-WUO_ERR'!A412 = "", "Validated", HYPERLINK("#" &amp; ADDRESS(412, '12 - Beds-WUO_TRK'!A412),_xlfn.TEXTAFTER('12 - Beds-WUO_ERR'!A412, ":"))))</f>
        <v/>
      </c>
    </row>
    <row r="413">
      <c r="A413" s="39">
        <f>IF('12 - Beds'!B413 = "", "", IF('12 - Beds-WUO_ERR'!A413 = "", "Validated", HYPERLINK("#" &amp; ADDRESS(413, '12 - Beds-WUO_TRK'!A413),_xlfn.TEXTAFTER('12 - Beds-WUO_ERR'!A413, ":"))))</f>
        <v/>
      </c>
    </row>
    <row r="414">
      <c r="A414" s="39">
        <f>IF('12 - Beds'!B414 = "", "", IF('12 - Beds-WUO_ERR'!A414 = "", "Validated", HYPERLINK("#" &amp; ADDRESS(414, '12 - Beds-WUO_TRK'!A414),_xlfn.TEXTAFTER('12 - Beds-WUO_ERR'!A414, ":"))))</f>
        <v/>
      </c>
    </row>
    <row r="415">
      <c r="A415" s="39">
        <f>IF('12 - Beds'!B415 = "", "", IF('12 - Beds-WUO_ERR'!A415 = "", "Validated", HYPERLINK("#" &amp; ADDRESS(415, '12 - Beds-WUO_TRK'!A415),_xlfn.TEXTAFTER('12 - Beds-WUO_ERR'!A415, ":"))))</f>
        <v/>
      </c>
    </row>
    <row r="416">
      <c r="A416" s="39">
        <f>IF('12 - Beds'!B416 = "", "", IF('12 - Beds-WUO_ERR'!A416 = "", "Validated", HYPERLINK("#" &amp; ADDRESS(416, '12 - Beds-WUO_TRK'!A416),_xlfn.TEXTAFTER('12 - Beds-WUO_ERR'!A416, ":"))))</f>
        <v/>
      </c>
    </row>
    <row r="417">
      <c r="A417" s="39">
        <f>IF('12 - Beds'!B417 = "", "", IF('12 - Beds-WUO_ERR'!A417 = "", "Validated", HYPERLINK("#" &amp; ADDRESS(417, '12 - Beds-WUO_TRK'!A417),_xlfn.TEXTAFTER('12 - Beds-WUO_ERR'!A417, ":"))))</f>
        <v/>
      </c>
    </row>
    <row r="418">
      <c r="A418" s="39">
        <f>IF('12 - Beds'!B418 = "", "", IF('12 - Beds-WUO_ERR'!A418 = "", "Validated", HYPERLINK("#" &amp; ADDRESS(418, '12 - Beds-WUO_TRK'!A418),_xlfn.TEXTAFTER('12 - Beds-WUO_ERR'!A418, ":"))))</f>
        <v/>
      </c>
    </row>
    <row r="419">
      <c r="A419" s="39">
        <f>IF('12 - Beds'!B419 = "", "", IF('12 - Beds-WUO_ERR'!A419 = "", "Validated", HYPERLINK("#" &amp; ADDRESS(419, '12 - Beds-WUO_TRK'!A419),_xlfn.TEXTAFTER('12 - Beds-WUO_ERR'!A419, ":"))))</f>
        <v/>
      </c>
    </row>
    <row r="420">
      <c r="A420" s="39">
        <f>IF('12 - Beds'!B420 = "", "", IF('12 - Beds-WUO_ERR'!A420 = "", "Validated", HYPERLINK("#" &amp; ADDRESS(420, '12 - Beds-WUO_TRK'!A420),_xlfn.TEXTAFTER('12 - Beds-WUO_ERR'!A420, ":"))))</f>
        <v/>
      </c>
    </row>
    <row r="421">
      <c r="A421" s="39">
        <f>IF('12 - Beds'!B421 = "", "", IF('12 - Beds-WUO_ERR'!A421 = "", "Validated", HYPERLINK("#" &amp; ADDRESS(421, '12 - Beds-WUO_TRK'!A421),_xlfn.TEXTAFTER('12 - Beds-WUO_ERR'!A421, ":"))))</f>
        <v/>
      </c>
    </row>
    <row r="422">
      <c r="A422" s="39">
        <f>IF('12 - Beds'!B422 = "", "", IF('12 - Beds-WUO_ERR'!A422 = "", "Validated", HYPERLINK("#" &amp; ADDRESS(422, '12 - Beds-WUO_TRK'!A422),_xlfn.TEXTAFTER('12 - Beds-WUO_ERR'!A422, ":"))))</f>
        <v/>
      </c>
    </row>
    <row r="423">
      <c r="A423" s="39">
        <f>IF('12 - Beds'!B423 = "", "", IF('12 - Beds-WUO_ERR'!A423 = "", "Validated", HYPERLINK("#" &amp; ADDRESS(423, '12 - Beds-WUO_TRK'!A423),_xlfn.TEXTAFTER('12 - Beds-WUO_ERR'!A423, ":"))))</f>
        <v/>
      </c>
    </row>
    <row r="424">
      <c r="A424" s="39">
        <f>IF('12 - Beds'!B424 = "", "", IF('12 - Beds-WUO_ERR'!A424 = "", "Validated", HYPERLINK("#" &amp; ADDRESS(424, '12 - Beds-WUO_TRK'!A424),_xlfn.TEXTAFTER('12 - Beds-WUO_ERR'!A424, ":"))))</f>
        <v/>
      </c>
    </row>
    <row r="425">
      <c r="A425" s="39">
        <f>IF('12 - Beds'!B425 = "", "", IF('12 - Beds-WUO_ERR'!A425 = "", "Validated", HYPERLINK("#" &amp; ADDRESS(425, '12 - Beds-WUO_TRK'!A425),_xlfn.TEXTAFTER('12 - Beds-WUO_ERR'!A425, ":"))))</f>
        <v/>
      </c>
    </row>
    <row r="426">
      <c r="A426" s="39">
        <f>IF('12 - Beds'!B426 = "", "", IF('12 - Beds-WUO_ERR'!A426 = "", "Validated", HYPERLINK("#" &amp; ADDRESS(426, '12 - Beds-WUO_TRK'!A426),_xlfn.TEXTAFTER('12 - Beds-WUO_ERR'!A426, ":"))))</f>
        <v/>
      </c>
    </row>
    <row r="427">
      <c r="A427" s="39">
        <f>IF('12 - Beds'!B427 = "", "", IF('12 - Beds-WUO_ERR'!A427 = "", "Validated", HYPERLINK("#" &amp; ADDRESS(427, '12 - Beds-WUO_TRK'!A427),_xlfn.TEXTAFTER('12 - Beds-WUO_ERR'!A427, ":"))))</f>
        <v/>
      </c>
    </row>
    <row r="428">
      <c r="A428" s="39">
        <f>IF('12 - Beds'!B428 = "", "", IF('12 - Beds-WUO_ERR'!A428 = "", "Validated", HYPERLINK("#" &amp; ADDRESS(428, '12 - Beds-WUO_TRK'!A428),_xlfn.TEXTAFTER('12 - Beds-WUO_ERR'!A428, ":"))))</f>
        <v/>
      </c>
    </row>
    <row r="429">
      <c r="A429" s="39">
        <f>IF('12 - Beds'!B429 = "", "", IF('12 - Beds-WUO_ERR'!A429 = "", "Validated", HYPERLINK("#" &amp; ADDRESS(429, '12 - Beds-WUO_TRK'!A429),_xlfn.TEXTAFTER('12 - Beds-WUO_ERR'!A429, ":"))))</f>
        <v/>
      </c>
    </row>
    <row r="430">
      <c r="A430" s="39">
        <f>IF('12 - Beds'!B430 = "", "", IF('12 - Beds-WUO_ERR'!A430 = "", "Validated", HYPERLINK("#" &amp; ADDRESS(430, '12 - Beds-WUO_TRK'!A430),_xlfn.TEXTAFTER('12 - Beds-WUO_ERR'!A430, ":"))))</f>
        <v/>
      </c>
    </row>
    <row r="431">
      <c r="A431" s="39">
        <f>IF('12 - Beds'!B431 = "", "", IF('12 - Beds-WUO_ERR'!A431 = "", "Validated", HYPERLINK("#" &amp; ADDRESS(431, '12 - Beds-WUO_TRK'!A431),_xlfn.TEXTAFTER('12 - Beds-WUO_ERR'!A431, ":"))))</f>
        <v/>
      </c>
    </row>
    <row r="432">
      <c r="A432" s="39">
        <f>IF('12 - Beds'!B432 = "", "", IF('12 - Beds-WUO_ERR'!A432 = "", "Validated", HYPERLINK("#" &amp; ADDRESS(432, '12 - Beds-WUO_TRK'!A432),_xlfn.TEXTAFTER('12 - Beds-WUO_ERR'!A432, ":"))))</f>
        <v/>
      </c>
    </row>
    <row r="433">
      <c r="A433" s="39">
        <f>IF('12 - Beds'!B433 = "", "", IF('12 - Beds-WUO_ERR'!A433 = "", "Validated", HYPERLINK("#" &amp; ADDRESS(433, '12 - Beds-WUO_TRK'!A433),_xlfn.TEXTAFTER('12 - Beds-WUO_ERR'!A433, ":"))))</f>
        <v/>
      </c>
    </row>
    <row r="434">
      <c r="A434" s="39">
        <f>IF('12 - Beds'!B434 = "", "", IF('12 - Beds-WUO_ERR'!A434 = "", "Validated", HYPERLINK("#" &amp; ADDRESS(434, '12 - Beds-WUO_TRK'!A434),_xlfn.TEXTAFTER('12 - Beds-WUO_ERR'!A434, ":"))))</f>
        <v/>
      </c>
    </row>
    <row r="435">
      <c r="A435" s="39">
        <f>IF('12 - Beds'!B435 = "", "", IF('12 - Beds-WUO_ERR'!A435 = "", "Validated", HYPERLINK("#" &amp; ADDRESS(435, '12 - Beds-WUO_TRK'!A435),_xlfn.TEXTAFTER('12 - Beds-WUO_ERR'!A435, ":"))))</f>
        <v/>
      </c>
    </row>
    <row r="436">
      <c r="A436" s="39">
        <f>IF('12 - Beds'!B436 = "", "", IF('12 - Beds-WUO_ERR'!A436 = "", "Validated", HYPERLINK("#" &amp; ADDRESS(436, '12 - Beds-WUO_TRK'!A436),_xlfn.TEXTAFTER('12 - Beds-WUO_ERR'!A436, ":"))))</f>
        <v/>
      </c>
    </row>
    <row r="437">
      <c r="A437" s="39">
        <f>IF('12 - Beds'!B437 = "", "", IF('12 - Beds-WUO_ERR'!A437 = "", "Validated", HYPERLINK("#" &amp; ADDRESS(437, '12 - Beds-WUO_TRK'!A437),_xlfn.TEXTAFTER('12 - Beds-WUO_ERR'!A437, ":"))))</f>
        <v/>
      </c>
    </row>
    <row r="438">
      <c r="A438" s="39">
        <f>IF('12 - Beds'!B438 = "", "", IF('12 - Beds-WUO_ERR'!A438 = "", "Validated", HYPERLINK("#" &amp; ADDRESS(438, '12 - Beds-WUO_TRK'!A438),_xlfn.TEXTAFTER('12 - Beds-WUO_ERR'!A438, ":"))))</f>
        <v/>
      </c>
    </row>
    <row r="439">
      <c r="A439" s="39">
        <f>IF('12 - Beds'!B439 = "", "", IF('12 - Beds-WUO_ERR'!A439 = "", "Validated", HYPERLINK("#" &amp; ADDRESS(439, '12 - Beds-WUO_TRK'!A439),_xlfn.TEXTAFTER('12 - Beds-WUO_ERR'!A439, ":"))))</f>
        <v/>
      </c>
    </row>
    <row r="440">
      <c r="A440" s="39">
        <f>IF('12 - Beds'!B440 = "", "", IF('12 - Beds-WUO_ERR'!A440 = "", "Validated", HYPERLINK("#" &amp; ADDRESS(440, '12 - Beds-WUO_TRK'!A440),_xlfn.TEXTAFTER('12 - Beds-WUO_ERR'!A440, ":"))))</f>
        <v/>
      </c>
    </row>
    <row r="441">
      <c r="A441" s="39">
        <f>IF('12 - Beds'!B441 = "", "", IF('12 - Beds-WUO_ERR'!A441 = "", "Validated", HYPERLINK("#" &amp; ADDRESS(441, '12 - Beds-WUO_TRK'!A441),_xlfn.TEXTAFTER('12 - Beds-WUO_ERR'!A441, ":"))))</f>
        <v/>
      </c>
    </row>
    <row r="442">
      <c r="A442" s="39">
        <f>IF('12 - Beds'!B442 = "", "", IF('12 - Beds-WUO_ERR'!A442 = "", "Validated", HYPERLINK("#" &amp; ADDRESS(442, '12 - Beds-WUO_TRK'!A442),_xlfn.TEXTAFTER('12 - Beds-WUO_ERR'!A442, ":"))))</f>
        <v/>
      </c>
    </row>
    <row r="443">
      <c r="A443" s="39">
        <f>IF('12 - Beds'!B443 = "", "", IF('12 - Beds-WUO_ERR'!A443 = "", "Validated", HYPERLINK("#" &amp; ADDRESS(443, '12 - Beds-WUO_TRK'!A443),_xlfn.TEXTAFTER('12 - Beds-WUO_ERR'!A443, ":"))))</f>
        <v/>
      </c>
    </row>
    <row r="444">
      <c r="A444" s="39">
        <f>IF('12 - Beds'!B444 = "", "", IF('12 - Beds-WUO_ERR'!A444 = "", "Validated", HYPERLINK("#" &amp; ADDRESS(444, '12 - Beds-WUO_TRK'!A444),_xlfn.TEXTAFTER('12 - Beds-WUO_ERR'!A444, ":"))))</f>
        <v/>
      </c>
    </row>
    <row r="445">
      <c r="A445" s="39">
        <f>IF('12 - Beds'!B445 = "", "", IF('12 - Beds-WUO_ERR'!A445 = "", "Validated", HYPERLINK("#" &amp; ADDRESS(445, '12 - Beds-WUO_TRK'!A445),_xlfn.TEXTAFTER('12 - Beds-WUO_ERR'!A445, ":"))))</f>
        <v/>
      </c>
    </row>
    <row r="446">
      <c r="A446" s="39">
        <f>IF('12 - Beds'!B446 = "", "", IF('12 - Beds-WUO_ERR'!A446 = "", "Validated", HYPERLINK("#" &amp; ADDRESS(446, '12 - Beds-WUO_TRK'!A446),_xlfn.TEXTAFTER('12 - Beds-WUO_ERR'!A446, ":"))))</f>
        <v/>
      </c>
    </row>
    <row r="447">
      <c r="A447" s="39">
        <f>IF('12 - Beds'!B447 = "", "", IF('12 - Beds-WUO_ERR'!A447 = "", "Validated", HYPERLINK("#" &amp; ADDRESS(447, '12 - Beds-WUO_TRK'!A447),_xlfn.TEXTAFTER('12 - Beds-WUO_ERR'!A447, ":"))))</f>
        <v/>
      </c>
    </row>
    <row r="448">
      <c r="A448" s="39">
        <f>IF('12 - Beds'!B448 = "", "", IF('12 - Beds-WUO_ERR'!A448 = "", "Validated", HYPERLINK("#" &amp; ADDRESS(448, '12 - Beds-WUO_TRK'!A448),_xlfn.TEXTAFTER('12 - Beds-WUO_ERR'!A448, ":"))))</f>
        <v/>
      </c>
    </row>
    <row r="449">
      <c r="A449" s="39">
        <f>IF('12 - Beds'!B449 = "", "", IF('12 - Beds-WUO_ERR'!A449 = "", "Validated", HYPERLINK("#" &amp; ADDRESS(449, '12 - Beds-WUO_TRK'!A449),_xlfn.TEXTAFTER('12 - Beds-WUO_ERR'!A449, ":"))))</f>
        <v/>
      </c>
    </row>
    <row r="450">
      <c r="A450" s="39">
        <f>IF('12 - Beds'!B450 = "", "", IF('12 - Beds-WUO_ERR'!A450 = "", "Validated", HYPERLINK("#" &amp; ADDRESS(450, '12 - Beds-WUO_TRK'!A450),_xlfn.TEXTAFTER('12 - Beds-WUO_ERR'!A450, ":"))))</f>
        <v/>
      </c>
    </row>
    <row r="451">
      <c r="A451" s="39">
        <f>IF('12 - Beds'!B451 = "", "", IF('12 - Beds-WUO_ERR'!A451 = "", "Validated", HYPERLINK("#" &amp; ADDRESS(451, '12 - Beds-WUO_TRK'!A451),_xlfn.TEXTAFTER('12 - Beds-WUO_ERR'!A451, ":"))))</f>
        <v/>
      </c>
    </row>
    <row r="452">
      <c r="A452" s="39">
        <f>IF('12 - Beds'!B452 = "", "", IF('12 - Beds-WUO_ERR'!A452 = "", "Validated", HYPERLINK("#" &amp; ADDRESS(452, '12 - Beds-WUO_TRK'!A452),_xlfn.TEXTAFTER('12 - Beds-WUO_ERR'!A452, ":"))))</f>
        <v/>
      </c>
    </row>
    <row r="453">
      <c r="A453" s="39">
        <f>IF('12 - Beds'!B453 = "", "", IF('12 - Beds-WUO_ERR'!A453 = "", "Validated", HYPERLINK("#" &amp; ADDRESS(453, '12 - Beds-WUO_TRK'!A453),_xlfn.TEXTAFTER('12 - Beds-WUO_ERR'!A453, ":"))))</f>
        <v/>
      </c>
    </row>
    <row r="454">
      <c r="A454" s="39">
        <f>IF('12 - Beds'!B454 = "", "", IF('12 - Beds-WUO_ERR'!A454 = "", "Validated", HYPERLINK("#" &amp; ADDRESS(454, '12 - Beds-WUO_TRK'!A454),_xlfn.TEXTAFTER('12 - Beds-WUO_ERR'!A454, ":"))))</f>
        <v/>
      </c>
    </row>
    <row r="455">
      <c r="A455" s="39">
        <f>IF('12 - Beds'!B455 = "", "", IF('12 - Beds-WUO_ERR'!A455 = "", "Validated", HYPERLINK("#" &amp; ADDRESS(455, '12 - Beds-WUO_TRK'!A455),_xlfn.TEXTAFTER('12 - Beds-WUO_ERR'!A455, ":"))))</f>
        <v/>
      </c>
    </row>
    <row r="456">
      <c r="A456" s="39">
        <f>IF('12 - Beds'!B456 = "", "", IF('12 - Beds-WUO_ERR'!A456 = "", "Validated", HYPERLINK("#" &amp; ADDRESS(456, '12 - Beds-WUO_TRK'!A456),_xlfn.TEXTAFTER('12 - Beds-WUO_ERR'!A456, ":"))))</f>
        <v/>
      </c>
    </row>
    <row r="457">
      <c r="A457" s="39">
        <f>IF('12 - Beds'!B457 = "", "", IF('12 - Beds-WUO_ERR'!A457 = "", "Validated", HYPERLINK("#" &amp; ADDRESS(457, '12 - Beds-WUO_TRK'!A457),_xlfn.TEXTAFTER('12 - Beds-WUO_ERR'!A457, ":"))))</f>
        <v/>
      </c>
    </row>
    <row r="458">
      <c r="A458" s="39">
        <f>IF('12 - Beds'!B458 = "", "", IF('12 - Beds-WUO_ERR'!A458 = "", "Validated", HYPERLINK("#" &amp; ADDRESS(458, '12 - Beds-WUO_TRK'!A458),_xlfn.TEXTAFTER('12 - Beds-WUO_ERR'!A458, ":"))))</f>
        <v/>
      </c>
    </row>
    <row r="459">
      <c r="A459" s="39">
        <f>IF('12 - Beds'!B459 = "", "", IF('12 - Beds-WUO_ERR'!A459 = "", "Validated", HYPERLINK("#" &amp; ADDRESS(459, '12 - Beds-WUO_TRK'!A459),_xlfn.TEXTAFTER('12 - Beds-WUO_ERR'!A459, ":"))))</f>
        <v/>
      </c>
    </row>
    <row r="460">
      <c r="A460" s="39">
        <f>IF('12 - Beds'!B460 = "", "", IF('12 - Beds-WUO_ERR'!A460 = "", "Validated", HYPERLINK("#" &amp; ADDRESS(460, '12 - Beds-WUO_TRK'!A460),_xlfn.TEXTAFTER('12 - Beds-WUO_ERR'!A460, ":"))))</f>
        <v/>
      </c>
    </row>
    <row r="461">
      <c r="A461" s="39">
        <f>IF('12 - Beds'!B461 = "", "", IF('12 - Beds-WUO_ERR'!A461 = "", "Validated", HYPERLINK("#" &amp; ADDRESS(461, '12 - Beds-WUO_TRK'!A461),_xlfn.TEXTAFTER('12 - Beds-WUO_ERR'!A461, ":"))))</f>
        <v/>
      </c>
    </row>
    <row r="462">
      <c r="A462" s="39">
        <f>IF('12 - Beds'!B462 = "", "", IF('12 - Beds-WUO_ERR'!A462 = "", "Validated", HYPERLINK("#" &amp; ADDRESS(462, '12 - Beds-WUO_TRK'!A462),_xlfn.TEXTAFTER('12 - Beds-WUO_ERR'!A462, ":"))))</f>
        <v/>
      </c>
    </row>
    <row r="463">
      <c r="A463" s="39">
        <f>IF('12 - Beds'!B463 = "", "", IF('12 - Beds-WUO_ERR'!A463 = "", "Validated", HYPERLINK("#" &amp; ADDRESS(463, '12 - Beds-WUO_TRK'!A463),_xlfn.TEXTAFTER('12 - Beds-WUO_ERR'!A463, ":"))))</f>
        <v/>
      </c>
    </row>
    <row r="464">
      <c r="A464" s="39">
        <f>IF('12 - Beds'!B464 = "", "", IF('12 - Beds-WUO_ERR'!A464 = "", "Validated", HYPERLINK("#" &amp; ADDRESS(464, '12 - Beds-WUO_TRK'!A464),_xlfn.TEXTAFTER('12 - Beds-WUO_ERR'!A464, ":"))))</f>
        <v/>
      </c>
    </row>
    <row r="465">
      <c r="A465" s="39">
        <f>IF('12 - Beds'!B465 = "", "", IF('12 - Beds-WUO_ERR'!A465 = "", "Validated", HYPERLINK("#" &amp; ADDRESS(465, '12 - Beds-WUO_TRK'!A465),_xlfn.TEXTAFTER('12 - Beds-WUO_ERR'!A465, ":"))))</f>
        <v/>
      </c>
    </row>
    <row r="466">
      <c r="A466" s="39">
        <f>IF('12 - Beds'!B466 = "", "", IF('12 - Beds-WUO_ERR'!A466 = "", "Validated", HYPERLINK("#" &amp; ADDRESS(466, '12 - Beds-WUO_TRK'!A466),_xlfn.TEXTAFTER('12 - Beds-WUO_ERR'!A466, ":"))))</f>
        <v/>
      </c>
    </row>
    <row r="467">
      <c r="A467" s="39">
        <f>IF('12 - Beds'!B467 = "", "", IF('12 - Beds-WUO_ERR'!A467 = "", "Validated", HYPERLINK("#" &amp; ADDRESS(467, '12 - Beds-WUO_TRK'!A467),_xlfn.TEXTAFTER('12 - Beds-WUO_ERR'!A467, ":"))))</f>
        <v/>
      </c>
    </row>
    <row r="468">
      <c r="A468" s="39">
        <f>IF('12 - Beds'!B468 = "", "", IF('12 - Beds-WUO_ERR'!A468 = "", "Validated", HYPERLINK("#" &amp; ADDRESS(468, '12 - Beds-WUO_TRK'!A468),_xlfn.TEXTAFTER('12 - Beds-WUO_ERR'!A468, ":"))))</f>
        <v/>
      </c>
    </row>
    <row r="469">
      <c r="A469" s="39">
        <f>IF('12 - Beds'!B469 = "", "", IF('12 - Beds-WUO_ERR'!A469 = "", "Validated", HYPERLINK("#" &amp; ADDRESS(469, '12 - Beds-WUO_TRK'!A469),_xlfn.TEXTAFTER('12 - Beds-WUO_ERR'!A469, ":"))))</f>
        <v/>
      </c>
    </row>
    <row r="470">
      <c r="A470" s="39">
        <f>IF('12 - Beds'!B470 = "", "", IF('12 - Beds-WUO_ERR'!A470 = "", "Validated", HYPERLINK("#" &amp; ADDRESS(470, '12 - Beds-WUO_TRK'!A470),_xlfn.TEXTAFTER('12 - Beds-WUO_ERR'!A470, ":"))))</f>
        <v/>
      </c>
    </row>
    <row r="471">
      <c r="A471" s="39">
        <f>IF('12 - Beds'!B471 = "", "", IF('12 - Beds-WUO_ERR'!A471 = "", "Validated", HYPERLINK("#" &amp; ADDRESS(471, '12 - Beds-WUO_TRK'!A471),_xlfn.TEXTAFTER('12 - Beds-WUO_ERR'!A471, ":"))))</f>
        <v/>
      </c>
    </row>
    <row r="472">
      <c r="A472" s="39">
        <f>IF('12 - Beds'!B472 = "", "", IF('12 - Beds-WUO_ERR'!A472 = "", "Validated", HYPERLINK("#" &amp; ADDRESS(472, '12 - Beds-WUO_TRK'!A472),_xlfn.TEXTAFTER('12 - Beds-WUO_ERR'!A472, ":"))))</f>
        <v/>
      </c>
    </row>
    <row r="473">
      <c r="A473" s="39">
        <f>IF('12 - Beds'!B473 = "", "", IF('12 - Beds-WUO_ERR'!A473 = "", "Validated", HYPERLINK("#" &amp; ADDRESS(473, '12 - Beds-WUO_TRK'!A473),_xlfn.TEXTAFTER('12 - Beds-WUO_ERR'!A473, ":"))))</f>
        <v/>
      </c>
    </row>
    <row r="474">
      <c r="A474" s="39">
        <f>IF('12 - Beds'!B474 = "", "", IF('12 - Beds-WUO_ERR'!A474 = "", "Validated", HYPERLINK("#" &amp; ADDRESS(474, '12 - Beds-WUO_TRK'!A474),_xlfn.TEXTAFTER('12 - Beds-WUO_ERR'!A474, ":"))))</f>
        <v/>
      </c>
    </row>
    <row r="475">
      <c r="A475" s="39">
        <f>IF('12 - Beds'!B475 = "", "", IF('12 - Beds-WUO_ERR'!A475 = "", "Validated", HYPERLINK("#" &amp; ADDRESS(475, '12 - Beds-WUO_TRK'!A475),_xlfn.TEXTAFTER('12 - Beds-WUO_ERR'!A475, ":"))))</f>
        <v/>
      </c>
    </row>
    <row r="476">
      <c r="A476" s="39">
        <f>IF('12 - Beds'!B476 = "", "", IF('12 - Beds-WUO_ERR'!A476 = "", "Validated", HYPERLINK("#" &amp; ADDRESS(476, '12 - Beds-WUO_TRK'!A476),_xlfn.TEXTAFTER('12 - Beds-WUO_ERR'!A476, ":"))))</f>
        <v/>
      </c>
    </row>
    <row r="477">
      <c r="A477" s="39">
        <f>IF('12 - Beds'!B477 = "", "", IF('12 - Beds-WUO_ERR'!A477 = "", "Validated", HYPERLINK("#" &amp; ADDRESS(477, '12 - Beds-WUO_TRK'!A477),_xlfn.TEXTAFTER('12 - Beds-WUO_ERR'!A477, ":"))))</f>
        <v/>
      </c>
    </row>
    <row r="478">
      <c r="A478" s="39">
        <f>IF('12 - Beds'!B478 = "", "", IF('12 - Beds-WUO_ERR'!A478 = "", "Validated", HYPERLINK("#" &amp; ADDRESS(478, '12 - Beds-WUO_TRK'!A478),_xlfn.TEXTAFTER('12 - Beds-WUO_ERR'!A478, ":"))))</f>
        <v/>
      </c>
    </row>
    <row r="479">
      <c r="A479" s="39">
        <f>IF('12 - Beds'!B479 = "", "", IF('12 - Beds-WUO_ERR'!A479 = "", "Validated", HYPERLINK("#" &amp; ADDRESS(479, '12 - Beds-WUO_TRK'!A479),_xlfn.TEXTAFTER('12 - Beds-WUO_ERR'!A479, ":"))))</f>
        <v/>
      </c>
    </row>
    <row r="480">
      <c r="A480" s="39">
        <f>IF('12 - Beds'!B480 = "", "", IF('12 - Beds-WUO_ERR'!A480 = "", "Validated", HYPERLINK("#" &amp; ADDRESS(480, '12 - Beds-WUO_TRK'!A480),_xlfn.TEXTAFTER('12 - Beds-WUO_ERR'!A480, ":"))))</f>
        <v/>
      </c>
    </row>
    <row r="481">
      <c r="A481" s="39">
        <f>IF('12 - Beds'!B481 = "", "", IF('12 - Beds-WUO_ERR'!A481 = "", "Validated", HYPERLINK("#" &amp; ADDRESS(481, '12 - Beds-WUO_TRK'!A481),_xlfn.TEXTAFTER('12 - Beds-WUO_ERR'!A481, ":"))))</f>
        <v/>
      </c>
    </row>
    <row r="482">
      <c r="A482" s="39">
        <f>IF('12 - Beds'!B482 = "", "", IF('12 - Beds-WUO_ERR'!A482 = "", "Validated", HYPERLINK("#" &amp; ADDRESS(482, '12 - Beds-WUO_TRK'!A482),_xlfn.TEXTAFTER('12 - Beds-WUO_ERR'!A482, ":"))))</f>
        <v/>
      </c>
    </row>
    <row r="483">
      <c r="A483" s="39">
        <f>IF('12 - Beds'!B483 = "", "", IF('12 - Beds-WUO_ERR'!A483 = "", "Validated", HYPERLINK("#" &amp; ADDRESS(483, '12 - Beds-WUO_TRK'!A483),_xlfn.TEXTAFTER('12 - Beds-WUO_ERR'!A483, ":"))))</f>
        <v/>
      </c>
    </row>
    <row r="484">
      <c r="A484" s="39">
        <f>IF('12 - Beds'!B484 = "", "", IF('12 - Beds-WUO_ERR'!A484 = "", "Validated", HYPERLINK("#" &amp; ADDRESS(484, '12 - Beds-WUO_TRK'!A484),_xlfn.TEXTAFTER('12 - Beds-WUO_ERR'!A484, ":"))))</f>
        <v/>
      </c>
    </row>
    <row r="485">
      <c r="A485" s="39">
        <f>IF('12 - Beds'!B485 = "", "", IF('12 - Beds-WUO_ERR'!A485 = "", "Validated", HYPERLINK("#" &amp; ADDRESS(485, '12 - Beds-WUO_TRK'!A485),_xlfn.TEXTAFTER('12 - Beds-WUO_ERR'!A485, ":"))))</f>
        <v/>
      </c>
    </row>
    <row r="486">
      <c r="A486" s="39">
        <f>IF('12 - Beds'!B486 = "", "", IF('12 - Beds-WUO_ERR'!A486 = "", "Validated", HYPERLINK("#" &amp; ADDRESS(486, '12 - Beds-WUO_TRK'!A486),_xlfn.TEXTAFTER('12 - Beds-WUO_ERR'!A486, ":"))))</f>
        <v/>
      </c>
    </row>
    <row r="487">
      <c r="A487" s="39">
        <f>IF('12 - Beds'!B487 = "", "", IF('12 - Beds-WUO_ERR'!A487 = "", "Validated", HYPERLINK("#" &amp; ADDRESS(487, '12 - Beds-WUO_TRK'!A487),_xlfn.TEXTAFTER('12 - Beds-WUO_ERR'!A487, ":"))))</f>
        <v/>
      </c>
    </row>
    <row r="488">
      <c r="A488" s="39">
        <f>IF('12 - Beds'!B488 = "", "", IF('12 - Beds-WUO_ERR'!A488 = "", "Validated", HYPERLINK("#" &amp; ADDRESS(488, '12 - Beds-WUO_TRK'!A488),_xlfn.TEXTAFTER('12 - Beds-WUO_ERR'!A488, ":"))))</f>
        <v/>
      </c>
    </row>
    <row r="489">
      <c r="A489" s="39">
        <f>IF('12 - Beds'!B489 = "", "", IF('12 - Beds-WUO_ERR'!A489 = "", "Validated", HYPERLINK("#" &amp; ADDRESS(489, '12 - Beds-WUO_TRK'!A489),_xlfn.TEXTAFTER('12 - Beds-WUO_ERR'!A489, ":"))))</f>
        <v/>
      </c>
    </row>
    <row r="490">
      <c r="A490" s="39">
        <f>IF('12 - Beds'!B490 = "", "", IF('12 - Beds-WUO_ERR'!A490 = "", "Validated", HYPERLINK("#" &amp; ADDRESS(490, '12 - Beds-WUO_TRK'!A490),_xlfn.TEXTAFTER('12 - Beds-WUO_ERR'!A490, ":"))))</f>
        <v/>
      </c>
    </row>
    <row r="491">
      <c r="A491" s="39">
        <f>IF('12 - Beds'!B491 = "", "", IF('12 - Beds-WUO_ERR'!A491 = "", "Validated", HYPERLINK("#" &amp; ADDRESS(491, '12 - Beds-WUO_TRK'!A491),_xlfn.TEXTAFTER('12 - Beds-WUO_ERR'!A491, ":"))))</f>
        <v/>
      </c>
    </row>
    <row r="492">
      <c r="A492" s="39">
        <f>IF('12 - Beds'!B492 = "", "", IF('12 - Beds-WUO_ERR'!A492 = "", "Validated", HYPERLINK("#" &amp; ADDRESS(492, '12 - Beds-WUO_TRK'!A492),_xlfn.TEXTAFTER('12 - Beds-WUO_ERR'!A492, ":"))))</f>
        <v/>
      </c>
    </row>
    <row r="493">
      <c r="A493" s="39">
        <f>IF('12 - Beds'!B493 = "", "", IF('12 - Beds-WUO_ERR'!A493 = "", "Validated", HYPERLINK("#" &amp; ADDRESS(493, '12 - Beds-WUO_TRK'!A493),_xlfn.TEXTAFTER('12 - Beds-WUO_ERR'!A493, ":"))))</f>
        <v/>
      </c>
    </row>
    <row r="494">
      <c r="A494" s="39">
        <f>IF('12 - Beds'!B494 = "", "", IF('12 - Beds-WUO_ERR'!A494 = "", "Validated", HYPERLINK("#" &amp; ADDRESS(494, '12 - Beds-WUO_TRK'!A494),_xlfn.TEXTAFTER('12 - Beds-WUO_ERR'!A494, ":"))))</f>
        <v/>
      </c>
    </row>
    <row r="495">
      <c r="A495" s="39">
        <f>IF('12 - Beds'!B495 = "", "", IF('12 - Beds-WUO_ERR'!A495 = "", "Validated", HYPERLINK("#" &amp; ADDRESS(495, '12 - Beds-WUO_TRK'!A495),_xlfn.TEXTAFTER('12 - Beds-WUO_ERR'!A495, ":"))))</f>
        <v/>
      </c>
    </row>
    <row r="496">
      <c r="A496" s="39">
        <f>IF('12 - Beds'!B496 = "", "", IF('12 - Beds-WUO_ERR'!A496 = "", "Validated", HYPERLINK("#" &amp; ADDRESS(496, '12 - Beds-WUO_TRK'!A496),_xlfn.TEXTAFTER('12 - Beds-WUO_ERR'!A496, ":"))))</f>
        <v/>
      </c>
    </row>
    <row r="497">
      <c r="A497" s="39">
        <f>IF('12 - Beds'!B497 = "", "", IF('12 - Beds-WUO_ERR'!A497 = "", "Validated", HYPERLINK("#" &amp; ADDRESS(497, '12 - Beds-WUO_TRK'!A497),_xlfn.TEXTAFTER('12 - Beds-WUO_ERR'!A497, ":"))))</f>
        <v/>
      </c>
    </row>
    <row r="498">
      <c r="A498" s="39">
        <f>IF('12 - Beds'!B498 = "", "", IF('12 - Beds-WUO_ERR'!A498 = "", "Validated", HYPERLINK("#" &amp; ADDRESS(498, '12 - Beds-WUO_TRK'!A498),_xlfn.TEXTAFTER('12 - Beds-WUO_ERR'!A498, ":"))))</f>
        <v/>
      </c>
    </row>
    <row r="499">
      <c r="A499" s="39">
        <f>IF('12 - Beds'!B499 = "", "", IF('12 - Beds-WUO_ERR'!A499 = "", "Validated", HYPERLINK("#" &amp; ADDRESS(499, '12 - Beds-WUO_TRK'!A499),_xlfn.TEXTAFTER('12 - Beds-WUO_ERR'!A499, ":"))))</f>
        <v/>
      </c>
    </row>
    <row r="500">
      <c r="A500" s="39">
        <f>IF('12 - Beds'!B500 = "", "", IF('12 - Beds-WUO_ERR'!A500 = "", "Validated", HYPERLINK("#" &amp; ADDRESS(500, '12 - Beds-WUO_TRK'!A500),_xlfn.TEXTAFTER('12 - Beds-WUO_ERR'!A500, ":"))))</f>
        <v/>
      </c>
    </row>
    <row r="501">
      <c r="A501" s="39">
        <f>IF('12 - Beds'!B501 = "", "", IF('12 - Beds-WUO_ERR'!A501 = "", "Validated", HYPERLINK("#" &amp; ADDRESS(501, '12 - Beds-WUO_TRK'!A501),_xlfn.TEXTAFTER('12 - Beds-WUO_ERR'!A501, ":"))))</f>
        <v/>
      </c>
    </row>
    <row r="502">
      <c r="A502" s="39">
        <f>IF('12 - Beds'!B502 = "", "", IF('12 - Beds-WUO_ERR'!A502 = "", "Validated", HYPERLINK("#" &amp; ADDRESS(502, '12 - Beds-WUO_TRK'!A502),_xlfn.TEXTAFTER('12 - Beds-WUO_ERR'!A502, ":"))))</f>
        <v/>
      </c>
    </row>
    <row r="503">
      <c r="A503" s="39">
        <f>IF('12 - Beds'!B503 = "", "", IF('12 - Beds-WUO_ERR'!A503 = "", "Validated", HYPERLINK("#" &amp; ADDRESS(503, '12 - Beds-WUO_TRK'!A503),_xlfn.TEXTAFTER('12 - Beds-WUO_ERR'!A503, ":"))))</f>
        <v/>
      </c>
    </row>
    <row r="504">
      <c r="A504" s="39">
        <f>IF('12 - Beds'!B504 = "", "", IF('12 - Beds-WUO_ERR'!A504 = "", "Validated", HYPERLINK("#" &amp; ADDRESS(504, '12 - Beds-WUO_TRK'!A504),_xlfn.TEXTAFTER('12 - Beds-WUO_ERR'!A504, ":"))))</f>
        <v/>
      </c>
    </row>
    <row r="505">
      <c r="A505" s="39">
        <f>IF('12 - Beds'!B505 = "", "", IF('12 - Beds-WUO_ERR'!A505 = "", "Validated", HYPERLINK("#" &amp; ADDRESS(505, '12 - Beds-WUO_TRK'!A505),_xlfn.TEXTAFTER('12 - Beds-WUO_ERR'!A505, ":"))))</f>
        <v/>
      </c>
    </row>
    <row r="506">
      <c r="A506" s="39">
        <f>IF('12 - Beds'!B506 = "", "", IF('12 - Beds-WUO_ERR'!A506 = "", "Validated", HYPERLINK("#" &amp; ADDRESS(506, '12 - Beds-WUO_TRK'!A506),_xlfn.TEXTAFTER('12 - Beds-WUO_ERR'!A506, ":"))))</f>
        <v/>
      </c>
    </row>
    <row r="507">
      <c r="A507" s="39">
        <f>IF('12 - Beds'!B507 = "", "", IF('12 - Beds-WUO_ERR'!A507 = "", "Validated", HYPERLINK("#" &amp; ADDRESS(507, '12 - Beds-WUO_TRK'!A507),_xlfn.TEXTAFTER('12 - Beds-WUO_ERR'!A507, ":"))))</f>
        <v/>
      </c>
    </row>
  </sheetData>
  <sheetProtection selectLockedCells="0" selectUnlockedCells="0" sheet="1" objects="1" insertRows="1" insertHyperlinks="1" autoFilter="1" scenarios="1" formatColumns="0" deleteColumns="1" insertColumns="1" pivotTables="1" deleteRows="1" formatCells="1" formatRows="0" sort="1" password="E939"/>
  <mergeCells count="9">
    <mergeCell ref="AL2:AO2"/>
    <mergeCell ref="BO2:FC2"/>
    <mergeCell ref="AP2:AS2"/>
    <mergeCell ref="U2:Z2"/>
    <mergeCell ref="R2:T2"/>
    <mergeCell ref="B2:I2"/>
    <mergeCell ref="AA2:AK2"/>
    <mergeCell ref="AT2:BN2"/>
    <mergeCell ref="J2:Q2"/>
  </mergeCells>
  <conditionalFormatting sqref="A8:A507">
    <cfRule type="expression" priority="5" dxfId="4">
      <formula>A8="Validated"</formula>
    </cfRule>
    <cfRule type="expression" priority="6" dxfId="5">
      <formula>OR(COUNTIF('12 - Beds-WUO_TRK'!B8:FD8,"Error"),COUNTIF('12 - Beds-WUO_TRK'!B8:FD8,"Required"))</formula>
    </cfRule>
    <cfRule type="expression" priority="7" dxfId="6">
      <formula>COUNTIF('12 - Beds-WUO_TRK'!B8:FD8,"Warning")</formula>
    </cfRule>
  </conditionalFormatting>
  <conditionalFormatting sqref="AA7">
    <cfRule type="notContainsBlanks" priority="38" dxfId="7">
      <formula>LEN(TRIM(AA7))&gt;0</formula>
    </cfRule>
    <cfRule type="containsBlanks" priority="39" dxfId="8">
      <formula>LEN(TRIM(AA7))=0</formula>
    </cfRule>
  </conditionalFormatting>
  <conditionalFormatting sqref="AA8:AA2501">
    <cfRule type="expression" priority="40" dxfId="7">
      <formula>AND($AA$7&lt;&gt;"", AA8="")</formula>
    </cfRule>
  </conditionalFormatting>
  <conditionalFormatting sqref="AB7">
    <cfRule type="notContainsBlanks" priority="41" dxfId="7">
      <formula>LEN(TRIM(AB7))&gt;0</formula>
    </cfRule>
    <cfRule type="containsBlanks" priority="42" dxfId="8">
      <formula>LEN(TRIM(AB7))=0</formula>
    </cfRule>
  </conditionalFormatting>
  <conditionalFormatting sqref="AB8:AB2501">
    <cfRule type="expression" priority="43" dxfId="7">
      <formula>AND($AB$7&lt;&gt;"", AB8="")</formula>
    </cfRule>
  </conditionalFormatting>
  <conditionalFormatting sqref="AC7">
    <cfRule type="notContainsBlanks" priority="44" dxfId="7">
      <formula>LEN(TRIM(AC7))&gt;0</formula>
    </cfRule>
    <cfRule type="containsBlanks" priority="45" dxfId="8">
      <formula>LEN(TRIM(AC7))=0</formula>
    </cfRule>
  </conditionalFormatting>
  <conditionalFormatting sqref="AC8:AC2501">
    <cfRule type="expression" priority="46" dxfId="7">
      <formula>AND($AC$7&lt;&gt;"", AC8="")</formula>
    </cfRule>
  </conditionalFormatting>
  <conditionalFormatting sqref="AD7">
    <cfRule type="notContainsBlanks" priority="47" dxfId="7">
      <formula>LEN(TRIM(AD7))&gt;0</formula>
    </cfRule>
    <cfRule type="containsBlanks" priority="48" dxfId="8">
      <formula>LEN(TRIM(AD7))=0</formula>
    </cfRule>
  </conditionalFormatting>
  <conditionalFormatting sqref="AD8:AD2501">
    <cfRule type="expression" priority="49" dxfId="7">
      <formula>AND($AD$7&lt;&gt;"", AD8="")</formula>
    </cfRule>
  </conditionalFormatting>
  <conditionalFormatting sqref="AE7">
    <cfRule type="notContainsBlanks" priority="50" dxfId="7">
      <formula>LEN(TRIM(AE7))&gt;0</formula>
    </cfRule>
    <cfRule type="containsBlanks" priority="51" dxfId="8">
      <formula>LEN(TRIM(AE7))=0</formula>
    </cfRule>
  </conditionalFormatting>
  <conditionalFormatting sqref="AE8:AE2501">
    <cfRule type="expression" priority="52" dxfId="7">
      <formula>AND($AE$7&lt;&gt;"", AE8="")</formula>
    </cfRule>
  </conditionalFormatting>
  <conditionalFormatting sqref="AF7">
    <cfRule type="notContainsBlanks" priority="53" dxfId="7">
      <formula>LEN(TRIM(AF7))&gt;0</formula>
    </cfRule>
    <cfRule type="containsBlanks" priority="54" dxfId="8">
      <formula>LEN(TRIM(AF7))=0</formula>
    </cfRule>
  </conditionalFormatting>
  <conditionalFormatting sqref="AF8:AF2501">
    <cfRule type="expression" priority="55" dxfId="7">
      <formula>AND($AF$7&lt;&gt;"", AF8="")</formula>
    </cfRule>
  </conditionalFormatting>
  <conditionalFormatting sqref="AG7">
    <cfRule type="notContainsBlanks" priority="56" dxfId="7">
      <formula>LEN(TRIM(AG7))&gt;0</formula>
    </cfRule>
    <cfRule type="containsBlanks" priority="57" dxfId="8">
      <formula>LEN(TRIM(AG7))=0</formula>
    </cfRule>
  </conditionalFormatting>
  <conditionalFormatting sqref="AG8:AG2501">
    <cfRule type="expression" priority="58" dxfId="7">
      <formula>AND($AG$7&lt;&gt;"", AG8="")</formula>
    </cfRule>
  </conditionalFormatting>
  <conditionalFormatting sqref="AH7">
    <cfRule type="notContainsBlanks" priority="59" dxfId="7">
      <formula>LEN(TRIM(AH7))&gt;0</formula>
    </cfRule>
    <cfRule type="containsBlanks" priority="60" dxfId="8">
      <formula>LEN(TRIM(AH7))=0</formula>
    </cfRule>
  </conditionalFormatting>
  <conditionalFormatting sqref="AH8:AH2501">
    <cfRule type="expression" priority="61" dxfId="7">
      <formula>AND($AH$7&lt;&gt;"", AH8="")</formula>
    </cfRule>
  </conditionalFormatting>
  <conditionalFormatting sqref="AI7">
    <cfRule type="notContainsBlanks" priority="62" dxfId="7">
      <formula>LEN(TRIM(AI7))&gt;0</formula>
    </cfRule>
    <cfRule type="containsBlanks" priority="63" dxfId="8">
      <formula>LEN(TRIM(AI7))=0</formula>
    </cfRule>
  </conditionalFormatting>
  <conditionalFormatting sqref="AI8:AI2501">
    <cfRule type="expression" priority="64" dxfId="7">
      <formula>AND($AI$7&lt;&gt;"", AI8="")</formula>
    </cfRule>
  </conditionalFormatting>
  <conditionalFormatting sqref="AJ7">
    <cfRule type="notContainsBlanks" priority="65" dxfId="7">
      <formula>LEN(TRIM(AJ7))&gt;0</formula>
    </cfRule>
    <cfRule type="containsBlanks" priority="66" dxfId="8">
      <formula>LEN(TRIM(AJ7))=0</formula>
    </cfRule>
  </conditionalFormatting>
  <conditionalFormatting sqref="AJ8:AJ2501">
    <cfRule type="expression" priority="67" dxfId="7">
      <formula>AND($AJ$7&lt;&gt;"", AJ8="")</formula>
    </cfRule>
  </conditionalFormatting>
  <conditionalFormatting sqref="AK7">
    <cfRule type="notContainsBlanks" priority="68" dxfId="7">
      <formula>LEN(TRIM(AK7))&gt;0</formula>
    </cfRule>
    <cfRule type="containsBlanks" priority="69" dxfId="8">
      <formula>LEN(TRIM(AK7))=0</formula>
    </cfRule>
  </conditionalFormatting>
  <conditionalFormatting sqref="AK8:AK2501">
    <cfRule type="expression" priority="70" dxfId="7">
      <formula>AND($AK$7&lt;&gt;"", AK8="")</formula>
    </cfRule>
  </conditionalFormatting>
  <conditionalFormatting sqref="AL7">
    <cfRule type="notContainsBlanks" priority="71" dxfId="7">
      <formula>LEN(TRIM(AL7))&gt;0</formula>
    </cfRule>
    <cfRule type="containsBlanks" priority="72" dxfId="8">
      <formula>LEN(TRIM(AL7))=0</formula>
    </cfRule>
  </conditionalFormatting>
  <conditionalFormatting sqref="AL8:AL2501">
    <cfRule type="expression" priority="73" dxfId="7">
      <formula>AND($AL$7&lt;&gt;"", AL8="")</formula>
    </cfRule>
  </conditionalFormatting>
  <conditionalFormatting sqref="AM7">
    <cfRule type="notContainsBlanks" priority="74" dxfId="7">
      <formula>LEN(TRIM(AM7))&gt;0</formula>
    </cfRule>
    <cfRule type="containsBlanks" priority="75" dxfId="8">
      <formula>LEN(TRIM(AM7))=0</formula>
    </cfRule>
  </conditionalFormatting>
  <conditionalFormatting sqref="AM8:AM2501">
    <cfRule type="expression" priority="76" dxfId="7">
      <formula>AND($AM$7&lt;&gt;"", AM8="")</formula>
    </cfRule>
  </conditionalFormatting>
  <conditionalFormatting sqref="AN7">
    <cfRule type="notContainsBlanks" priority="77" dxfId="7">
      <formula>LEN(TRIM(AN7))&gt;0</formula>
    </cfRule>
    <cfRule type="containsBlanks" priority="78" dxfId="8">
      <formula>LEN(TRIM(AN7))=0</formula>
    </cfRule>
  </conditionalFormatting>
  <conditionalFormatting sqref="AN8:AN2501">
    <cfRule type="expression" priority="79" dxfId="7">
      <formula>AND($AN$7&lt;&gt;"", AN8="")</formula>
    </cfRule>
  </conditionalFormatting>
  <conditionalFormatting sqref="AO7">
    <cfRule type="notContainsBlanks" priority="80" dxfId="7">
      <formula>LEN(TRIM(AO7))&gt;0</formula>
    </cfRule>
    <cfRule type="containsBlanks" priority="81" dxfId="8">
      <formula>LEN(TRIM(AO7))=0</formula>
    </cfRule>
  </conditionalFormatting>
  <conditionalFormatting sqref="AO8:AO2501">
    <cfRule type="expression" priority="82" dxfId="7">
      <formula>AND($AO$7&lt;&gt;"", AO8="")</formula>
    </cfRule>
  </conditionalFormatting>
  <conditionalFormatting sqref="AP7">
    <cfRule type="notContainsBlanks" priority="83" dxfId="7">
      <formula>LEN(TRIM(AP7))&gt;0</formula>
    </cfRule>
    <cfRule type="containsBlanks" priority="84" dxfId="8">
      <formula>LEN(TRIM(AP7))=0</formula>
    </cfRule>
  </conditionalFormatting>
  <conditionalFormatting sqref="AP8:AP2501">
    <cfRule type="expression" priority="85" dxfId="7">
      <formula>AND($AP$7&lt;&gt;"", AP8="")</formula>
    </cfRule>
  </conditionalFormatting>
  <conditionalFormatting sqref="AQ7">
    <cfRule type="notContainsBlanks" priority="86" dxfId="7">
      <formula>LEN(TRIM(AQ7))&gt;0</formula>
    </cfRule>
    <cfRule type="containsBlanks" priority="87" dxfId="8">
      <formula>LEN(TRIM(AQ7))=0</formula>
    </cfRule>
  </conditionalFormatting>
  <conditionalFormatting sqref="AQ8:AQ2501">
    <cfRule type="expression" priority="88" dxfId="7">
      <formula>AND($AQ$7&lt;&gt;"", AQ8="")</formula>
    </cfRule>
  </conditionalFormatting>
  <conditionalFormatting sqref="AR7">
    <cfRule type="notContainsBlanks" priority="89" dxfId="7">
      <formula>LEN(TRIM(AR7))&gt;0</formula>
    </cfRule>
    <cfRule type="containsBlanks" priority="90" dxfId="8">
      <formula>LEN(TRIM(AR7))=0</formula>
    </cfRule>
  </conditionalFormatting>
  <conditionalFormatting sqref="AR8:AR2501">
    <cfRule type="expression" priority="91" dxfId="7">
      <formula>AND($AR$7&lt;&gt;"", AR8="")</formula>
    </cfRule>
  </conditionalFormatting>
  <conditionalFormatting sqref="AS7">
    <cfRule type="notContainsBlanks" priority="92" dxfId="7">
      <formula>LEN(TRIM(AS7))&gt;0</formula>
    </cfRule>
    <cfRule type="containsBlanks" priority="93" dxfId="8">
      <formula>LEN(TRIM(AS7))=0</formula>
    </cfRule>
  </conditionalFormatting>
  <conditionalFormatting sqref="AS8:AS2501">
    <cfRule type="expression" priority="94" dxfId="7">
      <formula>AND($AS$7&lt;&gt;"", AS8="")</formula>
    </cfRule>
  </conditionalFormatting>
  <conditionalFormatting sqref="AZ7">
    <cfRule type="notContainsBlanks" priority="95" dxfId="7">
      <formula>LEN(TRIM(AZ7))&gt;0</formula>
    </cfRule>
    <cfRule type="containsBlanks" priority="96" dxfId="8">
      <formula>LEN(TRIM(AZ7))=0</formula>
    </cfRule>
  </conditionalFormatting>
  <conditionalFormatting sqref="AZ8:AZ2501">
    <cfRule type="expression" priority="97" dxfId="7">
      <formula>AND($AZ$7&lt;&gt;"", AZ8="")</formula>
    </cfRule>
  </conditionalFormatting>
  <conditionalFormatting sqref="B8:FD507">
    <cfRule type="expression" priority="1" dxfId="0">
      <formula>'12 - Beds-WUO_TRK'!B8="Error"</formula>
    </cfRule>
    <cfRule type="expression" priority="2" dxfId="1">
      <formula>'12 - Beds-WUO_TRK'!B8="Required"</formula>
    </cfRule>
    <cfRule type="expression" priority="3" dxfId="2">
      <formula>'12 - Beds-WUO_TRK'!B8="Warning"</formula>
    </cfRule>
    <cfRule type="expression" priority="4" dxfId="3">
      <formula>'12 - Beds-WUO_TRK'!B8="Disabled"</formula>
    </cfRule>
  </conditionalFormatting>
  <conditionalFormatting sqref="BA7">
    <cfRule type="notContainsBlanks" priority="98" dxfId="7">
      <formula>LEN(TRIM(BA7))&gt;0</formula>
    </cfRule>
    <cfRule type="containsBlanks" priority="99" dxfId="8">
      <formula>LEN(TRIM(BA7))=0</formula>
    </cfRule>
  </conditionalFormatting>
  <conditionalFormatting sqref="BA8:BA2501">
    <cfRule type="expression" priority="100" dxfId="7">
      <formula>AND($BA$7&lt;&gt;"", BA8="")</formula>
    </cfRule>
  </conditionalFormatting>
  <conditionalFormatting sqref="BB7">
    <cfRule type="notContainsBlanks" priority="101" dxfId="7">
      <formula>LEN(TRIM(BB7))&gt;0</formula>
    </cfRule>
    <cfRule type="containsBlanks" priority="102" dxfId="8">
      <formula>LEN(TRIM(BB7))=0</formula>
    </cfRule>
  </conditionalFormatting>
  <conditionalFormatting sqref="BB8:BB2501">
    <cfRule type="expression" priority="103" dxfId="7">
      <formula>AND($BB$7&lt;&gt;"", BB8="")</formula>
    </cfRule>
  </conditionalFormatting>
  <conditionalFormatting sqref="BC7">
    <cfRule type="notContainsBlanks" priority="104" dxfId="7">
      <formula>LEN(TRIM(BC7))&gt;0</formula>
    </cfRule>
    <cfRule type="containsBlanks" priority="105" dxfId="8">
      <formula>LEN(TRIM(BC7))=0</formula>
    </cfRule>
  </conditionalFormatting>
  <conditionalFormatting sqref="BC8:BC2501">
    <cfRule type="expression" priority="106" dxfId="7">
      <formula>AND($BC$7&lt;&gt;"", BC8="")</formula>
    </cfRule>
  </conditionalFormatting>
  <conditionalFormatting sqref="BD7">
    <cfRule type="notContainsBlanks" priority="107" dxfId="7">
      <formula>LEN(TRIM(BD7))&gt;0</formula>
    </cfRule>
    <cfRule type="containsBlanks" priority="108" dxfId="8">
      <formula>LEN(TRIM(BD7))=0</formula>
    </cfRule>
  </conditionalFormatting>
  <conditionalFormatting sqref="BD8:BD2501">
    <cfRule type="expression" priority="109" dxfId="7">
      <formula>AND($BD$7&lt;&gt;"", BD8="")</formula>
    </cfRule>
  </conditionalFormatting>
  <conditionalFormatting sqref="BE7">
    <cfRule type="notContainsBlanks" priority="110" dxfId="7">
      <formula>LEN(TRIM(BE7))&gt;0</formula>
    </cfRule>
    <cfRule type="containsBlanks" priority="111" dxfId="8">
      <formula>LEN(TRIM(BE7))=0</formula>
    </cfRule>
  </conditionalFormatting>
  <conditionalFormatting sqref="BE8:BE2501">
    <cfRule type="expression" priority="112" dxfId="7">
      <formula>AND($BE$7&lt;&gt;"", BE8="")</formula>
    </cfRule>
  </conditionalFormatting>
  <conditionalFormatting sqref="BF7">
    <cfRule type="notContainsBlanks" priority="113" dxfId="7">
      <formula>LEN(TRIM(BF7))&gt;0</formula>
    </cfRule>
    <cfRule type="containsBlanks" priority="114" dxfId="8">
      <formula>LEN(TRIM(BF7))=0</formula>
    </cfRule>
  </conditionalFormatting>
  <conditionalFormatting sqref="BF8:BF2501">
    <cfRule type="expression" priority="115" dxfId="7">
      <formula>AND($BF$7&lt;&gt;"", BF8="")</formula>
    </cfRule>
  </conditionalFormatting>
  <conditionalFormatting sqref="BG7">
    <cfRule type="notContainsBlanks" priority="116" dxfId="7">
      <formula>LEN(TRIM(BG7))&gt;0</formula>
    </cfRule>
    <cfRule type="containsBlanks" priority="117" dxfId="8">
      <formula>LEN(TRIM(BG7))=0</formula>
    </cfRule>
  </conditionalFormatting>
  <conditionalFormatting sqref="BG8:BG2501">
    <cfRule type="expression" priority="118" dxfId="7">
      <formula>AND($BG$7&lt;&gt;"", BG8="")</formula>
    </cfRule>
  </conditionalFormatting>
  <conditionalFormatting sqref="BH7">
    <cfRule type="notContainsBlanks" priority="119" dxfId="7">
      <formula>LEN(TRIM(BH7))&gt;0</formula>
    </cfRule>
    <cfRule type="containsBlanks" priority="120" dxfId="8">
      <formula>LEN(TRIM(BH7))=0</formula>
    </cfRule>
  </conditionalFormatting>
  <conditionalFormatting sqref="BH8:BH2501">
    <cfRule type="expression" priority="121" dxfId="7">
      <formula>AND($BH$7&lt;&gt;"", BH8="")</formula>
    </cfRule>
  </conditionalFormatting>
  <conditionalFormatting sqref="BI7">
    <cfRule type="notContainsBlanks" priority="122" dxfId="7">
      <formula>LEN(TRIM(BI7))&gt;0</formula>
    </cfRule>
    <cfRule type="containsBlanks" priority="123" dxfId="8">
      <formula>LEN(TRIM(BI7))=0</formula>
    </cfRule>
  </conditionalFormatting>
  <conditionalFormatting sqref="BI8:BI2501">
    <cfRule type="expression" priority="124" dxfId="7">
      <formula>AND($BI$7&lt;&gt;"", BI8="")</formula>
    </cfRule>
  </conditionalFormatting>
  <conditionalFormatting sqref="BJ7">
    <cfRule type="notContainsBlanks" priority="125" dxfId="7">
      <formula>LEN(TRIM(BJ7))&gt;0</formula>
    </cfRule>
    <cfRule type="containsBlanks" priority="126" dxfId="8">
      <formula>LEN(TRIM(BJ7))=0</formula>
    </cfRule>
  </conditionalFormatting>
  <conditionalFormatting sqref="BJ8:BJ2501">
    <cfRule type="expression" priority="127" dxfId="7">
      <formula>AND($BJ$7&lt;&gt;"", BJ8="")</formula>
    </cfRule>
  </conditionalFormatting>
  <conditionalFormatting sqref="BK7">
    <cfRule type="notContainsBlanks" priority="128" dxfId="7">
      <formula>LEN(TRIM(BK7))&gt;0</formula>
    </cfRule>
    <cfRule type="containsBlanks" priority="129" dxfId="8">
      <formula>LEN(TRIM(BK7))=0</formula>
    </cfRule>
  </conditionalFormatting>
  <conditionalFormatting sqref="BK8:BK2501">
    <cfRule type="expression" priority="130" dxfId="7">
      <formula>AND($BK$7&lt;&gt;"", BK8="")</formula>
    </cfRule>
  </conditionalFormatting>
  <conditionalFormatting sqref="BL7">
    <cfRule type="notContainsBlanks" priority="131" dxfId="7">
      <formula>LEN(TRIM(BL7))&gt;0</formula>
    </cfRule>
    <cfRule type="containsBlanks" priority="132" dxfId="8">
      <formula>LEN(TRIM(BL7))=0</formula>
    </cfRule>
  </conditionalFormatting>
  <conditionalFormatting sqref="BL8:BL2501">
    <cfRule type="expression" priority="133" dxfId="7">
      <formula>AND($BL$7&lt;&gt;"", BL8="")</formula>
    </cfRule>
  </conditionalFormatting>
  <conditionalFormatting sqref="BM7">
    <cfRule type="notContainsBlanks" priority="134" dxfId="7">
      <formula>LEN(TRIM(BM7))&gt;0</formula>
    </cfRule>
    <cfRule type="containsBlanks" priority="135" dxfId="8">
      <formula>LEN(TRIM(BM7))=0</formula>
    </cfRule>
  </conditionalFormatting>
  <conditionalFormatting sqref="BM8:BM2501">
    <cfRule type="expression" priority="136" dxfId="7">
      <formula>AND($BM$7&lt;&gt;"", BM8="")</formula>
    </cfRule>
  </conditionalFormatting>
  <conditionalFormatting sqref="BN7">
    <cfRule type="notContainsBlanks" priority="137" dxfId="7">
      <formula>LEN(TRIM(BN7))&gt;0</formula>
    </cfRule>
    <cfRule type="containsBlanks" priority="138" dxfId="8">
      <formula>LEN(TRIM(BN7))=0</formula>
    </cfRule>
  </conditionalFormatting>
  <conditionalFormatting sqref="BN8:BN2501">
    <cfRule type="expression" priority="139" dxfId="7">
      <formula>AND($BN$7&lt;&gt;"", BN8="")</formula>
    </cfRule>
  </conditionalFormatting>
  <conditionalFormatting sqref="BO7">
    <cfRule type="notContainsBlanks" priority="140" dxfId="7">
      <formula>LEN(TRIM(BO7))&gt;0</formula>
    </cfRule>
    <cfRule type="containsBlanks" priority="141" dxfId="8">
      <formula>LEN(TRIM(BO7))=0</formula>
    </cfRule>
  </conditionalFormatting>
  <conditionalFormatting sqref="BO8:BO2501">
    <cfRule type="expression" priority="142" dxfId="7">
      <formula>AND($BO$7&lt;&gt;"", BO8="")</formula>
    </cfRule>
  </conditionalFormatting>
  <conditionalFormatting sqref="BP7">
    <cfRule type="notContainsBlanks" priority="143" dxfId="7">
      <formula>LEN(TRIM(BP7))&gt;0</formula>
    </cfRule>
    <cfRule type="containsBlanks" priority="144" dxfId="8">
      <formula>LEN(TRIM(BP7))=0</formula>
    </cfRule>
  </conditionalFormatting>
  <conditionalFormatting sqref="BP8:BP2501">
    <cfRule type="expression" priority="145" dxfId="7">
      <formula>AND($BP$7&lt;&gt;"", BP8="")</formula>
    </cfRule>
  </conditionalFormatting>
  <conditionalFormatting sqref="BQ7">
    <cfRule type="notContainsBlanks" priority="146" dxfId="7">
      <formula>LEN(TRIM(BQ7))&gt;0</formula>
    </cfRule>
    <cfRule type="containsBlanks" priority="147" dxfId="8">
      <formula>LEN(TRIM(BQ7))=0</formula>
    </cfRule>
  </conditionalFormatting>
  <conditionalFormatting sqref="BQ8:BQ2501">
    <cfRule type="expression" priority="148" dxfId="7">
      <formula>AND($BQ$7&lt;&gt;"", BQ8="")</formula>
    </cfRule>
  </conditionalFormatting>
  <conditionalFormatting sqref="BR7">
    <cfRule type="notContainsBlanks" priority="149" dxfId="7">
      <formula>LEN(TRIM(BR7))&gt;0</formula>
    </cfRule>
    <cfRule type="containsBlanks" priority="150" dxfId="8">
      <formula>LEN(TRIM(BR7))=0</formula>
    </cfRule>
  </conditionalFormatting>
  <conditionalFormatting sqref="BR8:BR2501">
    <cfRule type="expression" priority="151" dxfId="7">
      <formula>AND($BR$7&lt;&gt;"", BR8="")</formula>
    </cfRule>
  </conditionalFormatting>
  <conditionalFormatting sqref="BS7">
    <cfRule type="notContainsBlanks" priority="152" dxfId="7">
      <formula>LEN(TRIM(BS7))&gt;0</formula>
    </cfRule>
    <cfRule type="containsBlanks" priority="153" dxfId="8">
      <formula>LEN(TRIM(BS7))=0</formula>
    </cfRule>
  </conditionalFormatting>
  <conditionalFormatting sqref="BS8:BS2501">
    <cfRule type="expression" priority="154" dxfId="7">
      <formula>AND($BS$7&lt;&gt;"", BS8="")</formula>
    </cfRule>
  </conditionalFormatting>
  <conditionalFormatting sqref="BT7">
    <cfRule type="notContainsBlanks" priority="155" dxfId="7">
      <formula>LEN(TRIM(BT7))&gt;0</formula>
    </cfRule>
    <cfRule type="containsBlanks" priority="156" dxfId="8">
      <formula>LEN(TRIM(BT7))=0</formula>
    </cfRule>
  </conditionalFormatting>
  <conditionalFormatting sqref="BT8:BT2501">
    <cfRule type="expression" priority="157" dxfId="7">
      <formula>AND($BT$7&lt;&gt;"", BT8="")</formula>
    </cfRule>
  </conditionalFormatting>
  <conditionalFormatting sqref="BU7">
    <cfRule type="notContainsBlanks" priority="158" dxfId="7">
      <formula>LEN(TRIM(BU7))&gt;0</formula>
    </cfRule>
    <cfRule type="containsBlanks" priority="159" dxfId="8">
      <formula>LEN(TRIM(BU7))=0</formula>
    </cfRule>
  </conditionalFormatting>
  <conditionalFormatting sqref="BU8:BU2501">
    <cfRule type="expression" priority="160" dxfId="7">
      <formula>AND($BU$7&lt;&gt;"", BU8="")</formula>
    </cfRule>
  </conditionalFormatting>
  <conditionalFormatting sqref="BV7">
    <cfRule type="notContainsBlanks" priority="161" dxfId="7">
      <formula>LEN(TRIM(BV7))&gt;0</formula>
    </cfRule>
    <cfRule type="containsBlanks" priority="162" dxfId="8">
      <formula>LEN(TRIM(BV7))=0</formula>
    </cfRule>
  </conditionalFormatting>
  <conditionalFormatting sqref="BV8:BV2501">
    <cfRule type="expression" priority="163" dxfId="7">
      <formula>AND($BV$7&lt;&gt;"", BV8="")</formula>
    </cfRule>
  </conditionalFormatting>
  <conditionalFormatting sqref="BW7">
    <cfRule type="notContainsBlanks" priority="164" dxfId="7">
      <formula>LEN(TRIM(BW7))&gt;0</formula>
    </cfRule>
    <cfRule type="containsBlanks" priority="165" dxfId="8">
      <formula>LEN(TRIM(BW7))=0</formula>
    </cfRule>
  </conditionalFormatting>
  <conditionalFormatting sqref="BW8:BW2501">
    <cfRule type="expression" priority="166" dxfId="7">
      <formula>AND($BW$7&lt;&gt;"", BW8="")</formula>
    </cfRule>
  </conditionalFormatting>
  <conditionalFormatting sqref="BX7">
    <cfRule type="notContainsBlanks" priority="167" dxfId="7">
      <formula>LEN(TRIM(BX7))&gt;0</formula>
    </cfRule>
    <cfRule type="containsBlanks" priority="168" dxfId="8">
      <formula>LEN(TRIM(BX7))=0</formula>
    </cfRule>
  </conditionalFormatting>
  <conditionalFormatting sqref="BX8:BX2501">
    <cfRule type="expression" priority="169" dxfId="7">
      <formula>AND($BX$7&lt;&gt;"", BX8="")</formula>
    </cfRule>
  </conditionalFormatting>
  <conditionalFormatting sqref="BY7">
    <cfRule type="notContainsBlanks" priority="170" dxfId="7">
      <formula>LEN(TRIM(BY7))&gt;0</formula>
    </cfRule>
    <cfRule type="containsBlanks" priority="171" dxfId="8">
      <formula>LEN(TRIM(BY7))=0</formula>
    </cfRule>
  </conditionalFormatting>
  <conditionalFormatting sqref="BY8:BY2501">
    <cfRule type="expression" priority="172" dxfId="7">
      <formula>AND($BY$7&lt;&gt;"", BY8="")</formula>
    </cfRule>
  </conditionalFormatting>
  <conditionalFormatting sqref="BZ7">
    <cfRule type="notContainsBlanks" priority="173" dxfId="7">
      <formula>LEN(TRIM(BZ7))&gt;0</formula>
    </cfRule>
    <cfRule type="containsBlanks" priority="174" dxfId="8">
      <formula>LEN(TRIM(BZ7))=0</formula>
    </cfRule>
  </conditionalFormatting>
  <conditionalFormatting sqref="BZ8:BZ2501">
    <cfRule type="expression" priority="175" dxfId="7">
      <formula>AND($BZ$7&lt;&gt;"", BZ8="")</formula>
    </cfRule>
  </conditionalFormatting>
  <conditionalFormatting sqref="CA7">
    <cfRule type="notContainsBlanks" priority="176" dxfId="7">
      <formula>LEN(TRIM(CA7))&gt;0</formula>
    </cfRule>
    <cfRule type="containsBlanks" priority="177" dxfId="8">
      <formula>LEN(TRIM(CA7))=0</formula>
    </cfRule>
  </conditionalFormatting>
  <conditionalFormatting sqref="CA8:CA2501">
    <cfRule type="expression" priority="178" dxfId="7">
      <formula>AND($CA$7&lt;&gt;"", CA8="")</formula>
    </cfRule>
  </conditionalFormatting>
  <conditionalFormatting sqref="CB7">
    <cfRule type="notContainsBlanks" priority="179" dxfId="7">
      <formula>LEN(TRIM(CB7))&gt;0</formula>
    </cfRule>
    <cfRule type="containsBlanks" priority="180" dxfId="8">
      <formula>LEN(TRIM(CB7))=0</formula>
    </cfRule>
  </conditionalFormatting>
  <conditionalFormatting sqref="CB8:CB2501">
    <cfRule type="expression" priority="181" dxfId="7">
      <formula>AND($CB$7&lt;&gt;"", CB8="")</formula>
    </cfRule>
  </conditionalFormatting>
  <conditionalFormatting sqref="CC7">
    <cfRule type="notContainsBlanks" priority="182" dxfId="7">
      <formula>LEN(TRIM(CC7))&gt;0</formula>
    </cfRule>
    <cfRule type="containsBlanks" priority="183" dxfId="8">
      <formula>LEN(TRIM(CC7))=0</formula>
    </cfRule>
  </conditionalFormatting>
  <conditionalFormatting sqref="CC8:CC2501">
    <cfRule type="expression" priority="184" dxfId="7">
      <formula>AND($CC$7&lt;&gt;"", CC8="")</formula>
    </cfRule>
  </conditionalFormatting>
  <conditionalFormatting sqref="CD7">
    <cfRule type="notContainsBlanks" priority="185" dxfId="7">
      <formula>LEN(TRIM(CD7))&gt;0</formula>
    </cfRule>
    <cfRule type="containsBlanks" priority="186" dxfId="8">
      <formula>LEN(TRIM(CD7))=0</formula>
    </cfRule>
  </conditionalFormatting>
  <conditionalFormatting sqref="CD8:CD2501">
    <cfRule type="expression" priority="187" dxfId="7">
      <formula>AND($CD$7&lt;&gt;"", CD8="")</formula>
    </cfRule>
  </conditionalFormatting>
  <conditionalFormatting sqref="CE7">
    <cfRule type="notContainsBlanks" priority="188" dxfId="7">
      <formula>LEN(TRIM(CE7))&gt;0</formula>
    </cfRule>
    <cfRule type="containsBlanks" priority="189" dxfId="8">
      <formula>LEN(TRIM(CE7))=0</formula>
    </cfRule>
  </conditionalFormatting>
  <conditionalFormatting sqref="CE8:CE2501">
    <cfRule type="expression" priority="190" dxfId="7">
      <formula>AND($CE$7&lt;&gt;"", CE8="")</formula>
    </cfRule>
  </conditionalFormatting>
  <conditionalFormatting sqref="CF7">
    <cfRule type="notContainsBlanks" priority="191" dxfId="7">
      <formula>LEN(TRIM(CF7))&gt;0</formula>
    </cfRule>
    <cfRule type="containsBlanks" priority="192" dxfId="8">
      <formula>LEN(TRIM(CF7))=0</formula>
    </cfRule>
  </conditionalFormatting>
  <conditionalFormatting sqref="CF8:CF2501">
    <cfRule type="expression" priority="193" dxfId="7">
      <formula>AND($CF$7&lt;&gt;"", CF8="")</formula>
    </cfRule>
  </conditionalFormatting>
  <conditionalFormatting sqref="CG7">
    <cfRule type="notContainsBlanks" priority="194" dxfId="7">
      <formula>LEN(TRIM(CG7))&gt;0</formula>
    </cfRule>
    <cfRule type="containsBlanks" priority="195" dxfId="8">
      <formula>LEN(TRIM(CG7))=0</formula>
    </cfRule>
  </conditionalFormatting>
  <conditionalFormatting sqref="CG8:CG2501">
    <cfRule type="expression" priority="196" dxfId="7">
      <formula>AND($CG$7&lt;&gt;"", CG8="")</formula>
    </cfRule>
  </conditionalFormatting>
  <conditionalFormatting sqref="CH7">
    <cfRule type="notContainsBlanks" priority="197" dxfId="7">
      <formula>LEN(TRIM(CH7))&gt;0</formula>
    </cfRule>
    <cfRule type="containsBlanks" priority="198" dxfId="8">
      <formula>LEN(TRIM(CH7))=0</formula>
    </cfRule>
  </conditionalFormatting>
  <conditionalFormatting sqref="CH8:CH2501">
    <cfRule type="expression" priority="199" dxfId="7">
      <formula>AND($CH$7&lt;&gt;"", CH8="")</formula>
    </cfRule>
  </conditionalFormatting>
  <conditionalFormatting sqref="CI7">
    <cfRule type="notContainsBlanks" priority="200" dxfId="7">
      <formula>LEN(TRIM(CI7))&gt;0</formula>
    </cfRule>
    <cfRule type="containsBlanks" priority="201" dxfId="8">
      <formula>LEN(TRIM(CI7))=0</formula>
    </cfRule>
  </conditionalFormatting>
  <conditionalFormatting sqref="CI8:CI2501">
    <cfRule type="expression" priority="202" dxfId="7">
      <formula>AND($CI$7&lt;&gt;"", CI8="")</formula>
    </cfRule>
  </conditionalFormatting>
  <conditionalFormatting sqref="CJ7">
    <cfRule type="notContainsBlanks" priority="203" dxfId="7">
      <formula>LEN(TRIM(CJ7))&gt;0</formula>
    </cfRule>
    <cfRule type="containsBlanks" priority="204" dxfId="8">
      <formula>LEN(TRIM(CJ7))=0</formula>
    </cfRule>
  </conditionalFormatting>
  <conditionalFormatting sqref="CJ8:CJ2501">
    <cfRule type="expression" priority="205" dxfId="7">
      <formula>AND($CJ$7&lt;&gt;"", CJ8="")</formula>
    </cfRule>
  </conditionalFormatting>
  <conditionalFormatting sqref="CK7">
    <cfRule type="notContainsBlanks" priority="206" dxfId="7">
      <formula>LEN(TRIM(CK7))&gt;0</formula>
    </cfRule>
    <cfRule type="containsBlanks" priority="207" dxfId="8">
      <formula>LEN(TRIM(CK7))=0</formula>
    </cfRule>
  </conditionalFormatting>
  <conditionalFormatting sqref="CK8:CK2501">
    <cfRule type="expression" priority="208" dxfId="7">
      <formula>AND($CK$7&lt;&gt;"", CK8="")</formula>
    </cfRule>
  </conditionalFormatting>
  <conditionalFormatting sqref="CL7">
    <cfRule type="notContainsBlanks" priority="209" dxfId="7">
      <formula>LEN(TRIM(CL7))&gt;0</formula>
    </cfRule>
    <cfRule type="containsBlanks" priority="210" dxfId="8">
      <formula>LEN(TRIM(CL7))=0</formula>
    </cfRule>
  </conditionalFormatting>
  <conditionalFormatting sqref="CL8:CL2501">
    <cfRule type="expression" priority="211" dxfId="7">
      <formula>AND($CL$7&lt;&gt;"", CL8="")</formula>
    </cfRule>
  </conditionalFormatting>
  <conditionalFormatting sqref="CM7">
    <cfRule type="notContainsBlanks" priority="212" dxfId="7">
      <formula>LEN(TRIM(CM7))&gt;0</formula>
    </cfRule>
    <cfRule type="containsBlanks" priority="213" dxfId="8">
      <formula>LEN(TRIM(CM7))=0</formula>
    </cfRule>
  </conditionalFormatting>
  <conditionalFormatting sqref="CM8:CM2501">
    <cfRule type="expression" priority="214" dxfId="7">
      <formula>AND($CM$7&lt;&gt;"", CM8="")</formula>
    </cfRule>
  </conditionalFormatting>
  <conditionalFormatting sqref="CN7">
    <cfRule type="notContainsBlanks" priority="215" dxfId="7">
      <formula>LEN(TRIM(CN7))&gt;0</formula>
    </cfRule>
    <cfRule type="containsBlanks" priority="216" dxfId="8">
      <formula>LEN(TRIM(CN7))=0</formula>
    </cfRule>
  </conditionalFormatting>
  <conditionalFormatting sqref="CN8:CN2501">
    <cfRule type="expression" priority="217" dxfId="7">
      <formula>AND($CN$7&lt;&gt;"", CN8="")</formula>
    </cfRule>
  </conditionalFormatting>
  <conditionalFormatting sqref="CO7">
    <cfRule type="notContainsBlanks" priority="218" dxfId="7">
      <formula>LEN(TRIM(CO7))&gt;0</formula>
    </cfRule>
    <cfRule type="containsBlanks" priority="219" dxfId="8">
      <formula>LEN(TRIM(CO7))=0</formula>
    </cfRule>
  </conditionalFormatting>
  <conditionalFormatting sqref="CO8:CO2501">
    <cfRule type="expression" priority="220" dxfId="7">
      <formula>AND($CO$7&lt;&gt;"", CO8="")</formula>
    </cfRule>
  </conditionalFormatting>
  <conditionalFormatting sqref="CP7">
    <cfRule type="notContainsBlanks" priority="221" dxfId="7">
      <formula>LEN(TRIM(CP7))&gt;0</formula>
    </cfRule>
    <cfRule type="containsBlanks" priority="222" dxfId="8">
      <formula>LEN(TRIM(CP7))=0</formula>
    </cfRule>
  </conditionalFormatting>
  <conditionalFormatting sqref="CP8:CP2501">
    <cfRule type="expression" priority="223" dxfId="7">
      <formula>AND($CP$7&lt;&gt;"", CP8="")</formula>
    </cfRule>
  </conditionalFormatting>
  <conditionalFormatting sqref="CQ7">
    <cfRule type="notContainsBlanks" priority="224" dxfId="7">
      <formula>LEN(TRIM(CQ7))&gt;0</formula>
    </cfRule>
    <cfRule type="containsBlanks" priority="225" dxfId="8">
      <formula>LEN(TRIM(CQ7))=0</formula>
    </cfRule>
  </conditionalFormatting>
  <conditionalFormatting sqref="CQ8:CQ2501">
    <cfRule type="expression" priority="226" dxfId="7">
      <formula>AND($CQ$7&lt;&gt;"", CQ8="")</formula>
    </cfRule>
  </conditionalFormatting>
  <conditionalFormatting sqref="CR7">
    <cfRule type="notContainsBlanks" priority="227" dxfId="7">
      <formula>LEN(TRIM(CR7))&gt;0</formula>
    </cfRule>
    <cfRule type="containsBlanks" priority="228" dxfId="8">
      <formula>LEN(TRIM(CR7))=0</formula>
    </cfRule>
  </conditionalFormatting>
  <conditionalFormatting sqref="CR8:CR2501">
    <cfRule type="expression" priority="229" dxfId="7">
      <formula>AND($CR$7&lt;&gt;"", CR8="")</formula>
    </cfRule>
  </conditionalFormatting>
  <conditionalFormatting sqref="CS7">
    <cfRule type="notContainsBlanks" priority="230" dxfId="7">
      <formula>LEN(TRIM(CS7))&gt;0</formula>
    </cfRule>
    <cfRule type="containsBlanks" priority="231" dxfId="8">
      <formula>LEN(TRIM(CS7))=0</formula>
    </cfRule>
  </conditionalFormatting>
  <conditionalFormatting sqref="CS8:CS2501">
    <cfRule type="expression" priority="232" dxfId="7">
      <formula>AND($CS$7&lt;&gt;"", CS8="")</formula>
    </cfRule>
  </conditionalFormatting>
  <conditionalFormatting sqref="CT7">
    <cfRule type="notContainsBlanks" priority="233" dxfId="7">
      <formula>LEN(TRIM(CT7))&gt;0</formula>
    </cfRule>
    <cfRule type="containsBlanks" priority="234" dxfId="8">
      <formula>LEN(TRIM(CT7))=0</formula>
    </cfRule>
  </conditionalFormatting>
  <conditionalFormatting sqref="CT8:CT2501">
    <cfRule type="expression" priority="235" dxfId="7">
      <formula>AND($CT$7&lt;&gt;"", CT8="")</formula>
    </cfRule>
  </conditionalFormatting>
  <conditionalFormatting sqref="CU7">
    <cfRule type="notContainsBlanks" priority="236" dxfId="7">
      <formula>LEN(TRIM(CU7))&gt;0</formula>
    </cfRule>
    <cfRule type="containsBlanks" priority="237" dxfId="8">
      <formula>LEN(TRIM(CU7))=0</formula>
    </cfRule>
  </conditionalFormatting>
  <conditionalFormatting sqref="CU8:CU2501">
    <cfRule type="expression" priority="238" dxfId="7">
      <formula>AND($CU$7&lt;&gt;"", CU8="")</formula>
    </cfRule>
  </conditionalFormatting>
  <conditionalFormatting sqref="CV7">
    <cfRule type="notContainsBlanks" priority="239" dxfId="7">
      <formula>LEN(TRIM(CV7))&gt;0</formula>
    </cfRule>
    <cfRule type="containsBlanks" priority="240" dxfId="8">
      <formula>LEN(TRIM(CV7))=0</formula>
    </cfRule>
  </conditionalFormatting>
  <conditionalFormatting sqref="CV8:CV2501">
    <cfRule type="expression" priority="241" dxfId="7">
      <formula>AND($CV$7&lt;&gt;"", CV8="")</formula>
    </cfRule>
  </conditionalFormatting>
  <conditionalFormatting sqref="CW7">
    <cfRule type="notContainsBlanks" priority="242" dxfId="7">
      <formula>LEN(TRIM(CW7))&gt;0</formula>
    </cfRule>
    <cfRule type="containsBlanks" priority="243" dxfId="8">
      <formula>LEN(TRIM(CW7))=0</formula>
    </cfRule>
  </conditionalFormatting>
  <conditionalFormatting sqref="CW8:CW2501">
    <cfRule type="expression" priority="244" dxfId="7">
      <formula>AND($CW$7&lt;&gt;"", CW8="")</formula>
    </cfRule>
  </conditionalFormatting>
  <conditionalFormatting sqref="CX7">
    <cfRule type="notContainsBlanks" priority="245" dxfId="7">
      <formula>LEN(TRIM(CX7))&gt;0</formula>
    </cfRule>
    <cfRule type="containsBlanks" priority="246" dxfId="8">
      <formula>LEN(TRIM(CX7))=0</formula>
    </cfRule>
  </conditionalFormatting>
  <conditionalFormatting sqref="CX8:CX2501">
    <cfRule type="expression" priority="247" dxfId="7">
      <formula>AND($CX$7&lt;&gt;"", CX8="")</formula>
    </cfRule>
  </conditionalFormatting>
  <conditionalFormatting sqref="CY7">
    <cfRule type="notContainsBlanks" priority="248" dxfId="7">
      <formula>LEN(TRIM(CY7))&gt;0</formula>
    </cfRule>
    <cfRule type="containsBlanks" priority="249" dxfId="8">
      <formula>LEN(TRIM(CY7))=0</formula>
    </cfRule>
  </conditionalFormatting>
  <conditionalFormatting sqref="CY8:CY2501">
    <cfRule type="expression" priority="250" dxfId="7">
      <formula>AND($CY$7&lt;&gt;"", CY8="")</formula>
    </cfRule>
  </conditionalFormatting>
  <conditionalFormatting sqref="CZ7">
    <cfRule type="notContainsBlanks" priority="251" dxfId="7">
      <formula>LEN(TRIM(CZ7))&gt;0</formula>
    </cfRule>
    <cfRule type="containsBlanks" priority="252" dxfId="8">
      <formula>LEN(TRIM(CZ7))=0</formula>
    </cfRule>
  </conditionalFormatting>
  <conditionalFormatting sqref="CZ8:CZ2501">
    <cfRule type="expression" priority="253"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54" dxfId="7">
      <formula>LEN(TRIM(DA7))&gt;0</formula>
    </cfRule>
    <cfRule type="containsBlanks" priority="255" dxfId="8">
      <formula>LEN(TRIM(DA7))=0</formula>
    </cfRule>
  </conditionalFormatting>
  <conditionalFormatting sqref="DA8:DA2501">
    <cfRule type="expression" priority="256" dxfId="7">
      <formula>AND($DA$7&lt;&gt;"", DA8="")</formula>
    </cfRule>
  </conditionalFormatting>
  <conditionalFormatting sqref="DB7">
    <cfRule type="notContainsBlanks" priority="257" dxfId="7">
      <formula>LEN(TRIM(DB7))&gt;0</formula>
    </cfRule>
    <cfRule type="containsBlanks" priority="258" dxfId="8">
      <formula>LEN(TRIM(DB7))=0</formula>
    </cfRule>
  </conditionalFormatting>
  <conditionalFormatting sqref="DB8:DB2501">
    <cfRule type="expression" priority="259" dxfId="7">
      <formula>AND($DB$7&lt;&gt;"", DB8="")</formula>
    </cfRule>
  </conditionalFormatting>
  <conditionalFormatting sqref="DC7">
    <cfRule type="notContainsBlanks" priority="260" dxfId="7">
      <formula>LEN(TRIM(DC7))&gt;0</formula>
    </cfRule>
    <cfRule type="containsBlanks" priority="261" dxfId="8">
      <formula>LEN(TRIM(DC7))=0</formula>
    </cfRule>
  </conditionalFormatting>
  <conditionalFormatting sqref="DC8:DC2501">
    <cfRule type="expression" priority="262" dxfId="7">
      <formula>AND($DC$7&lt;&gt;"", DC8="")</formula>
    </cfRule>
  </conditionalFormatting>
  <conditionalFormatting sqref="DD7">
    <cfRule type="notContainsBlanks" priority="263" dxfId="7">
      <formula>LEN(TRIM(DD7))&gt;0</formula>
    </cfRule>
    <cfRule type="containsBlanks" priority="264" dxfId="8">
      <formula>LEN(TRIM(DD7))=0</formula>
    </cfRule>
  </conditionalFormatting>
  <conditionalFormatting sqref="DD8:DD2501">
    <cfRule type="expression" priority="265" dxfId="7">
      <formula>AND($DD$7&lt;&gt;"", DD8="")</formula>
    </cfRule>
  </conditionalFormatting>
  <conditionalFormatting sqref="DE7">
    <cfRule type="notContainsBlanks" priority="266" dxfId="7">
      <formula>LEN(TRIM(DE7))&gt;0</formula>
    </cfRule>
    <cfRule type="containsBlanks" priority="267" dxfId="8">
      <formula>LEN(TRIM(DE7))=0</formula>
    </cfRule>
  </conditionalFormatting>
  <conditionalFormatting sqref="DE8:DE2501">
    <cfRule type="expression" priority="268" dxfId="7">
      <formula>AND($DE$7&lt;&gt;"", DE8="")</formula>
    </cfRule>
  </conditionalFormatting>
  <conditionalFormatting sqref="DF7">
    <cfRule type="notContainsBlanks" priority="269" dxfId="7">
      <formula>LEN(TRIM(DF7))&gt;0</formula>
    </cfRule>
    <cfRule type="containsBlanks" priority="270" dxfId="8">
      <formula>LEN(TRIM(DF7))=0</formula>
    </cfRule>
  </conditionalFormatting>
  <conditionalFormatting sqref="DF8:DF2501">
    <cfRule type="expression" priority="271" dxfId="7">
      <formula>AND($DF$7&lt;&gt;"", DF8="")</formula>
    </cfRule>
  </conditionalFormatting>
  <conditionalFormatting sqref="DG7">
    <cfRule type="notContainsBlanks" priority="272" dxfId="7">
      <formula>LEN(TRIM(DG7))&gt;0</formula>
    </cfRule>
    <cfRule type="containsBlanks" priority="273" dxfId="8">
      <formula>LEN(TRIM(DG7))=0</formula>
    </cfRule>
  </conditionalFormatting>
  <conditionalFormatting sqref="DG8:DG2501">
    <cfRule type="expression" priority="274" dxfId="7">
      <formula>AND($DG$7&lt;&gt;"", DG8="")</formula>
    </cfRule>
  </conditionalFormatting>
  <conditionalFormatting sqref="DH7">
    <cfRule type="notContainsBlanks" priority="275" dxfId="7">
      <formula>LEN(TRIM(DH7))&gt;0</formula>
    </cfRule>
    <cfRule type="containsBlanks" priority="276" dxfId="8">
      <formula>LEN(TRIM(DH7))=0</formula>
    </cfRule>
  </conditionalFormatting>
  <conditionalFormatting sqref="DH8:DH2501">
    <cfRule type="expression" priority="277" dxfId="7">
      <formula>AND($DH$7&lt;&gt;"", DH8="")</formula>
    </cfRule>
  </conditionalFormatting>
  <conditionalFormatting sqref="DI7">
    <cfRule type="notContainsBlanks" priority="278" dxfId="7">
      <formula>LEN(TRIM(DI7))&gt;0</formula>
    </cfRule>
    <cfRule type="containsBlanks" priority="279" dxfId="8">
      <formula>LEN(TRIM(DI7))=0</formula>
    </cfRule>
  </conditionalFormatting>
  <conditionalFormatting sqref="DI8:DI2501">
    <cfRule type="expression" priority="280" dxfId="7">
      <formula>AND($DI$7&lt;&gt;"", DI8="")</formula>
    </cfRule>
  </conditionalFormatting>
  <conditionalFormatting sqref="DJ7">
    <cfRule type="notContainsBlanks" priority="281" dxfId="7">
      <formula>LEN(TRIM(DJ7))&gt;0</formula>
    </cfRule>
    <cfRule type="containsBlanks" priority="282" dxfId="8">
      <formula>LEN(TRIM(DJ7))=0</formula>
    </cfRule>
  </conditionalFormatting>
  <conditionalFormatting sqref="DJ8:DJ2501">
    <cfRule type="expression" priority="283" dxfId="7">
      <formula>AND($DJ$7&lt;&gt;"", DJ8="")</formula>
    </cfRule>
  </conditionalFormatting>
  <conditionalFormatting sqref="DK7">
    <cfRule type="notContainsBlanks" priority="284" dxfId="7">
      <formula>LEN(TRIM(DK7))&gt;0</formula>
    </cfRule>
    <cfRule type="containsBlanks" priority="285" dxfId="8">
      <formula>LEN(TRIM(DK7))=0</formula>
    </cfRule>
  </conditionalFormatting>
  <conditionalFormatting sqref="DK8:DK2501">
    <cfRule type="expression" priority="286" dxfId="7">
      <formula>AND($DK$7&lt;&gt;"", DK8="")</formula>
    </cfRule>
  </conditionalFormatting>
  <conditionalFormatting sqref="DL7">
    <cfRule type="notContainsBlanks" priority="287" dxfId="7">
      <formula>LEN(TRIM(DL7))&gt;0</formula>
    </cfRule>
    <cfRule type="containsBlanks" priority="288" dxfId="8">
      <formula>LEN(TRIM(DL7))=0</formula>
    </cfRule>
  </conditionalFormatting>
  <conditionalFormatting sqref="DL8:DL2501">
    <cfRule type="expression" priority="289" dxfId="7">
      <formula>AND($DL$7&lt;&gt;"", DL8="")</formula>
    </cfRule>
  </conditionalFormatting>
  <conditionalFormatting sqref="DM7">
    <cfRule type="notContainsBlanks" priority="290" dxfId="7">
      <formula>LEN(TRIM(DM7))&gt;0</formula>
    </cfRule>
    <cfRule type="containsBlanks" priority="291" dxfId="8">
      <formula>LEN(TRIM(DM7))=0</formula>
    </cfRule>
  </conditionalFormatting>
  <conditionalFormatting sqref="DM8:DM2501">
    <cfRule type="expression" priority="292" dxfId="7">
      <formula>AND($DM$7&lt;&gt;"", DM8="")</formula>
    </cfRule>
  </conditionalFormatting>
  <conditionalFormatting sqref="DN7">
    <cfRule type="notContainsBlanks" priority="293" dxfId="7">
      <formula>LEN(TRIM(DN7))&gt;0</formula>
    </cfRule>
    <cfRule type="containsBlanks" priority="294" dxfId="8">
      <formula>LEN(TRIM(DN7))=0</formula>
    </cfRule>
  </conditionalFormatting>
  <conditionalFormatting sqref="DN8:DN2501">
    <cfRule type="expression" priority="295" dxfId="7">
      <formula>AND($DN$7&lt;&gt;"", DN8="")</formula>
    </cfRule>
  </conditionalFormatting>
  <conditionalFormatting sqref="DO7">
    <cfRule type="notContainsBlanks" priority="296" dxfId="7">
      <formula>LEN(TRIM(DO7))&gt;0</formula>
    </cfRule>
    <cfRule type="containsBlanks" priority="297" dxfId="8">
      <formula>LEN(TRIM(DO7))=0</formula>
    </cfRule>
  </conditionalFormatting>
  <conditionalFormatting sqref="DO8:DO2501">
    <cfRule type="expression" priority="298" dxfId="7">
      <formula>AND($DO$7&lt;&gt;"", DO8="")</formula>
    </cfRule>
  </conditionalFormatting>
  <conditionalFormatting sqref="DP7">
    <cfRule type="notContainsBlanks" priority="299" dxfId="7">
      <formula>LEN(TRIM(DP7))&gt;0</formula>
    </cfRule>
    <cfRule type="containsBlanks" priority="300" dxfId="8">
      <formula>LEN(TRIM(DP7))=0</formula>
    </cfRule>
  </conditionalFormatting>
  <conditionalFormatting sqref="DP8:DP2501">
    <cfRule type="expression" priority="301" dxfId="7">
      <formula>AND($DP$7&lt;&gt;"", DP8="")</formula>
    </cfRule>
  </conditionalFormatting>
  <conditionalFormatting sqref="DQ7">
    <cfRule type="notContainsBlanks" priority="302" dxfId="7">
      <formula>LEN(TRIM(DQ7))&gt;0</formula>
    </cfRule>
    <cfRule type="containsBlanks" priority="303" dxfId="8">
      <formula>LEN(TRIM(DQ7))=0</formula>
    </cfRule>
  </conditionalFormatting>
  <conditionalFormatting sqref="DQ8:DQ2501">
    <cfRule type="expression" priority="304" dxfId="7">
      <formula>AND($DQ$7&lt;&gt;"", DQ8="")</formula>
    </cfRule>
  </conditionalFormatting>
  <conditionalFormatting sqref="DR7">
    <cfRule type="notContainsBlanks" priority="305" dxfId="7">
      <formula>LEN(TRIM(DR7))&gt;0</formula>
    </cfRule>
    <cfRule type="containsBlanks" priority="306" dxfId="8">
      <formula>LEN(TRIM(DR7))=0</formula>
    </cfRule>
  </conditionalFormatting>
  <conditionalFormatting sqref="DR8:DR2501">
    <cfRule type="expression" priority="307" dxfId="7">
      <formula>AND($DR$7&lt;&gt;"", DR8="")</formula>
    </cfRule>
  </conditionalFormatting>
  <conditionalFormatting sqref="DS7">
    <cfRule type="notContainsBlanks" priority="308" dxfId="7">
      <formula>LEN(TRIM(DS7))&gt;0</formula>
    </cfRule>
    <cfRule type="containsBlanks" priority="309" dxfId="8">
      <formula>LEN(TRIM(DS7))=0</formula>
    </cfRule>
  </conditionalFormatting>
  <conditionalFormatting sqref="DS8:DS2501">
    <cfRule type="expression" priority="310" dxfId="7">
      <formula>AND($DS$7&lt;&gt;"", DS8="")</formula>
    </cfRule>
  </conditionalFormatting>
  <conditionalFormatting sqref="DT7">
    <cfRule type="notContainsBlanks" priority="311" dxfId="7">
      <formula>LEN(TRIM(DT7))&gt;0</formula>
    </cfRule>
    <cfRule type="containsBlanks" priority="312" dxfId="8">
      <formula>LEN(TRIM(DT7))=0</formula>
    </cfRule>
  </conditionalFormatting>
  <conditionalFormatting sqref="DT8:DT2501">
    <cfRule type="expression" priority="313" dxfId="7">
      <formula>AND($DT$7&lt;&gt;"", DT8="")</formula>
    </cfRule>
  </conditionalFormatting>
  <conditionalFormatting sqref="DU7">
    <cfRule type="notContainsBlanks" priority="314" dxfId="7">
      <formula>LEN(TRIM(DU7))&gt;0</formula>
    </cfRule>
    <cfRule type="containsBlanks" priority="315" dxfId="8">
      <formula>LEN(TRIM(DU7))=0</formula>
    </cfRule>
  </conditionalFormatting>
  <conditionalFormatting sqref="DU8:DU2501">
    <cfRule type="expression" priority="316" dxfId="7">
      <formula>AND($DU$7&lt;&gt;"", DU8="")</formula>
    </cfRule>
  </conditionalFormatting>
  <conditionalFormatting sqref="DV7">
    <cfRule type="notContainsBlanks" priority="317" dxfId="7">
      <formula>LEN(TRIM(DV7))&gt;0</formula>
    </cfRule>
    <cfRule type="containsBlanks" priority="318" dxfId="8">
      <formula>LEN(TRIM(DV7))=0</formula>
    </cfRule>
  </conditionalFormatting>
  <conditionalFormatting sqref="DV8:DV2501">
    <cfRule type="expression" priority="319" dxfId="7">
      <formula>AND($DV$7&lt;&gt;"", DV8="")</formula>
    </cfRule>
  </conditionalFormatting>
  <conditionalFormatting sqref="DW7">
    <cfRule type="notContainsBlanks" priority="320" dxfId="7">
      <formula>LEN(TRIM(DW7))&gt;0</formula>
    </cfRule>
    <cfRule type="containsBlanks" priority="321" dxfId="8">
      <formula>LEN(TRIM(DW7))=0</formula>
    </cfRule>
  </conditionalFormatting>
  <conditionalFormatting sqref="DW8:DW2501">
    <cfRule type="expression" priority="322" dxfId="7">
      <formula>AND($DW$7&lt;&gt;"", DW8="")</formula>
    </cfRule>
  </conditionalFormatting>
  <conditionalFormatting sqref="DX7">
    <cfRule type="notContainsBlanks" priority="323" dxfId="7">
      <formula>LEN(TRIM(DX7))&gt;0</formula>
    </cfRule>
    <cfRule type="containsBlanks" priority="324" dxfId="8">
      <formula>LEN(TRIM(DX7))=0</formula>
    </cfRule>
  </conditionalFormatting>
  <conditionalFormatting sqref="DX8:DX2501">
    <cfRule type="expression" priority="325" dxfId="7">
      <formula>AND($DX$7&lt;&gt;"", DX8="")</formula>
    </cfRule>
  </conditionalFormatting>
  <conditionalFormatting sqref="DY7">
    <cfRule type="notContainsBlanks" priority="326" dxfId="7">
      <formula>LEN(TRIM(DY7))&gt;0</formula>
    </cfRule>
    <cfRule type="containsBlanks" priority="327" dxfId="8">
      <formula>LEN(TRIM(DY7))=0</formula>
    </cfRule>
  </conditionalFormatting>
  <conditionalFormatting sqref="DY8:DY2501">
    <cfRule type="expression" priority="328" dxfId="7">
      <formula>AND($DY$7&lt;&gt;"", DY8="")</formula>
    </cfRule>
  </conditionalFormatting>
  <conditionalFormatting sqref="DZ7">
    <cfRule type="notContainsBlanks" priority="329" dxfId="7">
      <formula>LEN(TRIM(DZ7))&gt;0</formula>
    </cfRule>
    <cfRule type="containsBlanks" priority="330" dxfId="8">
      <formula>LEN(TRIM(DZ7))=0</formula>
    </cfRule>
  </conditionalFormatting>
  <conditionalFormatting sqref="DZ8:DZ2501">
    <cfRule type="expression" priority="331" dxfId="7">
      <formula>AND($DZ$7&lt;&gt;"", DZ8="")</formula>
    </cfRule>
  </conditionalFormatting>
  <conditionalFormatting sqref="EA7">
    <cfRule type="notContainsBlanks" priority="332" dxfId="7">
      <formula>LEN(TRIM(EA7))&gt;0</formula>
    </cfRule>
    <cfRule type="containsBlanks" priority="333" dxfId="8">
      <formula>LEN(TRIM(EA7))=0</formula>
    </cfRule>
  </conditionalFormatting>
  <conditionalFormatting sqref="EA8:EA2501">
    <cfRule type="expression" priority="334" dxfId="7">
      <formula>AND($EA$7&lt;&gt;"", EA8="")</formula>
    </cfRule>
  </conditionalFormatting>
  <conditionalFormatting sqref="EB7">
    <cfRule type="notContainsBlanks" priority="335" dxfId="7">
      <formula>LEN(TRIM(EB7))&gt;0</formula>
    </cfRule>
    <cfRule type="containsBlanks" priority="336" dxfId="8">
      <formula>LEN(TRIM(EB7))=0</formula>
    </cfRule>
  </conditionalFormatting>
  <conditionalFormatting sqref="EB8:EB2501">
    <cfRule type="expression" priority="337" dxfId="7">
      <formula>AND($EB$7&lt;&gt;"", EB8="")</formula>
    </cfRule>
  </conditionalFormatting>
  <conditionalFormatting sqref="EC7">
    <cfRule type="notContainsBlanks" priority="338" dxfId="7">
      <formula>LEN(TRIM(EC7))&gt;0</formula>
    </cfRule>
    <cfRule type="containsBlanks" priority="339" dxfId="8">
      <formula>LEN(TRIM(EC7))=0</formula>
    </cfRule>
  </conditionalFormatting>
  <conditionalFormatting sqref="EC8:EC2501">
    <cfRule type="expression" priority="340" dxfId="7">
      <formula>AND($EC$7&lt;&gt;"", EC8="")</formula>
    </cfRule>
  </conditionalFormatting>
  <conditionalFormatting sqref="ED7">
    <cfRule type="notContainsBlanks" priority="341" dxfId="7">
      <formula>LEN(TRIM(ED7))&gt;0</formula>
    </cfRule>
    <cfRule type="containsBlanks" priority="342" dxfId="8">
      <formula>LEN(TRIM(ED7))=0</formula>
    </cfRule>
  </conditionalFormatting>
  <conditionalFormatting sqref="ED8:ED2501">
    <cfRule type="expression" priority="343" dxfId="7">
      <formula>AND($ED$7&lt;&gt;"", ED8="")</formula>
    </cfRule>
  </conditionalFormatting>
  <conditionalFormatting sqref="EE7">
    <cfRule type="notContainsBlanks" priority="344" dxfId="7">
      <formula>LEN(TRIM(EE7))&gt;0</formula>
    </cfRule>
    <cfRule type="containsBlanks" priority="345" dxfId="8">
      <formula>LEN(TRIM(EE7))=0</formula>
    </cfRule>
  </conditionalFormatting>
  <conditionalFormatting sqref="EE8:EE2501">
    <cfRule type="expression" priority="346" dxfId="7">
      <formula>AND($EE$7&lt;&gt;"", EE8="")</formula>
    </cfRule>
  </conditionalFormatting>
  <conditionalFormatting sqref="EF7">
    <cfRule type="notContainsBlanks" priority="347" dxfId="7">
      <formula>LEN(TRIM(EF7))&gt;0</formula>
    </cfRule>
    <cfRule type="containsBlanks" priority="348" dxfId="8">
      <formula>LEN(TRIM(EF7))=0</formula>
    </cfRule>
  </conditionalFormatting>
  <conditionalFormatting sqref="EF8:EF2501">
    <cfRule type="expression" priority="349" dxfId="7">
      <formula>AND($EF$7&lt;&gt;"", EF8="")</formula>
    </cfRule>
  </conditionalFormatting>
  <conditionalFormatting sqref="EG7">
    <cfRule type="notContainsBlanks" priority="350" dxfId="7">
      <formula>LEN(TRIM(EG7))&gt;0</formula>
    </cfRule>
    <cfRule type="containsBlanks" priority="351" dxfId="8">
      <formula>LEN(TRIM(EG7))=0</formula>
    </cfRule>
  </conditionalFormatting>
  <conditionalFormatting sqref="EG8:EG2501">
    <cfRule type="expression" priority="352" dxfId="7">
      <formula>AND($EG$7&lt;&gt;"", EG8="")</formula>
    </cfRule>
  </conditionalFormatting>
  <conditionalFormatting sqref="EH7">
    <cfRule type="notContainsBlanks" priority="353" dxfId="7">
      <formula>LEN(TRIM(EH7))&gt;0</formula>
    </cfRule>
    <cfRule type="containsBlanks" priority="354" dxfId="8">
      <formula>LEN(TRIM(EH7))=0</formula>
    </cfRule>
  </conditionalFormatting>
  <conditionalFormatting sqref="EH8:EH2501">
    <cfRule type="expression" priority="355" dxfId="7">
      <formula>AND($EH$7&lt;&gt;"", EH8="")</formula>
    </cfRule>
  </conditionalFormatting>
  <conditionalFormatting sqref="EI7">
    <cfRule type="notContainsBlanks" priority="356" dxfId="7">
      <formula>LEN(TRIM(EI7))&gt;0</formula>
    </cfRule>
    <cfRule type="containsBlanks" priority="357" dxfId="8">
      <formula>LEN(TRIM(EI7))=0</formula>
    </cfRule>
  </conditionalFormatting>
  <conditionalFormatting sqref="EI8:EI2501">
    <cfRule type="expression" priority="358" dxfId="7">
      <formula>AND($EI$7&lt;&gt;"", EI8="")</formula>
    </cfRule>
  </conditionalFormatting>
  <conditionalFormatting sqref="EJ7">
    <cfRule type="notContainsBlanks" priority="359" dxfId="7">
      <formula>LEN(TRIM(EJ7))&gt;0</formula>
    </cfRule>
    <cfRule type="containsBlanks" priority="360" dxfId="8">
      <formula>LEN(TRIM(EJ7))=0</formula>
    </cfRule>
  </conditionalFormatting>
  <conditionalFormatting sqref="EJ8:EJ2501">
    <cfRule type="expression" priority="361" dxfId="7">
      <formula>AND($EJ$7&lt;&gt;"", EJ8="")</formula>
    </cfRule>
  </conditionalFormatting>
  <conditionalFormatting sqref="EK7">
    <cfRule type="notContainsBlanks" priority="362" dxfId="7">
      <formula>LEN(TRIM(EK7))&gt;0</formula>
    </cfRule>
    <cfRule type="containsBlanks" priority="363" dxfId="8">
      <formula>LEN(TRIM(EK7))=0</formula>
    </cfRule>
  </conditionalFormatting>
  <conditionalFormatting sqref="EK8:EK2501">
    <cfRule type="expression" priority="364" dxfId="7">
      <formula>AND($EK$7&lt;&gt;"", EK8="")</formula>
    </cfRule>
  </conditionalFormatting>
  <conditionalFormatting sqref="EL7">
    <cfRule type="notContainsBlanks" priority="365" dxfId="7">
      <formula>LEN(TRIM(EL7))&gt;0</formula>
    </cfRule>
    <cfRule type="containsBlanks" priority="366" dxfId="8">
      <formula>LEN(TRIM(EL7))=0</formula>
    </cfRule>
  </conditionalFormatting>
  <conditionalFormatting sqref="EL8:EL2501">
    <cfRule type="expression" priority="367" dxfId="7">
      <formula>AND($EL$7&lt;&gt;"", EL8="")</formula>
    </cfRule>
  </conditionalFormatting>
  <conditionalFormatting sqref="EM7">
    <cfRule type="notContainsBlanks" priority="368" dxfId="7">
      <formula>LEN(TRIM(EM7))&gt;0</formula>
    </cfRule>
    <cfRule type="containsBlanks" priority="369" dxfId="8">
      <formula>LEN(TRIM(EM7))=0</formula>
    </cfRule>
  </conditionalFormatting>
  <conditionalFormatting sqref="EM8:EM2501">
    <cfRule type="expression" priority="370" dxfId="7">
      <formula>AND($EM$7&lt;&gt;"", EM8="")</formula>
    </cfRule>
  </conditionalFormatting>
  <conditionalFormatting sqref="EN7">
    <cfRule type="notContainsBlanks" priority="371" dxfId="7">
      <formula>LEN(TRIM(EN7))&gt;0</formula>
    </cfRule>
    <cfRule type="containsBlanks" priority="372" dxfId="8">
      <formula>LEN(TRIM(EN7))=0</formula>
    </cfRule>
  </conditionalFormatting>
  <conditionalFormatting sqref="EN8:EN2501">
    <cfRule type="expression" priority="373" dxfId="7">
      <formula>AND($EN$7&lt;&gt;"", EN8="")</formula>
    </cfRule>
  </conditionalFormatting>
  <conditionalFormatting sqref="EO7">
    <cfRule type="notContainsBlanks" priority="374" dxfId="7">
      <formula>LEN(TRIM(EO7))&gt;0</formula>
    </cfRule>
    <cfRule type="containsBlanks" priority="375" dxfId="8">
      <formula>LEN(TRIM(EO7))=0</formula>
    </cfRule>
  </conditionalFormatting>
  <conditionalFormatting sqref="EO8:EO2501">
    <cfRule type="expression" priority="376" dxfId="7">
      <formula>AND($EO$7&lt;&gt;"", EO8="")</formula>
    </cfRule>
  </conditionalFormatting>
  <conditionalFormatting sqref="EP7">
    <cfRule type="notContainsBlanks" priority="377" dxfId="7">
      <formula>LEN(TRIM(EP7))&gt;0</formula>
    </cfRule>
    <cfRule type="containsBlanks" priority="378" dxfId="8">
      <formula>LEN(TRIM(EP7))=0</formula>
    </cfRule>
  </conditionalFormatting>
  <conditionalFormatting sqref="EP8:EP2501">
    <cfRule type="expression" priority="379" dxfId="7">
      <formula>AND($EP$7&lt;&gt;"", EP8="")</formula>
    </cfRule>
  </conditionalFormatting>
  <conditionalFormatting sqref="EQ7">
    <cfRule type="notContainsBlanks" priority="380" dxfId="7">
      <formula>LEN(TRIM(EQ7))&gt;0</formula>
    </cfRule>
    <cfRule type="containsBlanks" priority="381" dxfId="8">
      <formula>LEN(TRIM(EQ7))=0</formula>
    </cfRule>
  </conditionalFormatting>
  <conditionalFormatting sqref="EQ8:EQ2501">
    <cfRule type="expression" priority="382" dxfId="7">
      <formula>AND($EQ$7&lt;&gt;"", EQ8="")</formula>
    </cfRule>
  </conditionalFormatting>
  <conditionalFormatting sqref="ER7">
    <cfRule type="notContainsBlanks" priority="383" dxfId="7">
      <formula>LEN(TRIM(ER7))&gt;0</formula>
    </cfRule>
    <cfRule type="containsBlanks" priority="384" dxfId="8">
      <formula>LEN(TRIM(ER7))=0</formula>
    </cfRule>
  </conditionalFormatting>
  <conditionalFormatting sqref="ER8:ER2501">
    <cfRule type="expression" priority="385" dxfId="7">
      <formula>AND($ER$7&lt;&gt;"", ER8="")</formula>
    </cfRule>
  </conditionalFormatting>
  <conditionalFormatting sqref="ES7">
    <cfRule type="notContainsBlanks" priority="386" dxfId="7">
      <formula>LEN(TRIM(ES7))&gt;0</formula>
    </cfRule>
    <cfRule type="containsBlanks" priority="387" dxfId="8">
      <formula>LEN(TRIM(ES7))=0</formula>
    </cfRule>
  </conditionalFormatting>
  <conditionalFormatting sqref="ES8:ES2501">
    <cfRule type="expression" priority="388" dxfId="7">
      <formula>AND($ES$7&lt;&gt;"", ES8="")</formula>
    </cfRule>
  </conditionalFormatting>
  <conditionalFormatting sqref="ET7">
    <cfRule type="notContainsBlanks" priority="389" dxfId="7">
      <formula>LEN(TRIM(ET7))&gt;0</formula>
    </cfRule>
    <cfRule type="containsBlanks" priority="390" dxfId="8">
      <formula>LEN(TRIM(ET7))=0</formula>
    </cfRule>
  </conditionalFormatting>
  <conditionalFormatting sqref="ET8:ET2501">
    <cfRule type="expression" priority="391" dxfId="7">
      <formula>AND($ET$7&lt;&gt;"", ET8="")</formula>
    </cfRule>
  </conditionalFormatting>
  <conditionalFormatting sqref="EU7">
    <cfRule type="notContainsBlanks" priority="392" dxfId="7">
      <formula>LEN(TRIM(EU7))&gt;0</formula>
    </cfRule>
    <cfRule type="containsBlanks" priority="393" dxfId="8">
      <formula>LEN(TRIM(EU7))=0</formula>
    </cfRule>
  </conditionalFormatting>
  <conditionalFormatting sqref="EU8:EU2501">
    <cfRule type="expression" priority="394" dxfId="7">
      <formula>AND($EU$7&lt;&gt;"", EU8="")</formula>
    </cfRule>
  </conditionalFormatting>
  <conditionalFormatting sqref="EV7">
    <cfRule type="notContainsBlanks" priority="395" dxfId="7">
      <formula>LEN(TRIM(EV7))&gt;0</formula>
    </cfRule>
    <cfRule type="containsBlanks" priority="396" dxfId="8">
      <formula>LEN(TRIM(EV7))=0</formula>
    </cfRule>
  </conditionalFormatting>
  <conditionalFormatting sqref="EV8:EV2501">
    <cfRule type="expression" priority="397" dxfId="7">
      <formula>AND($EV$7&lt;&gt;"", EV8="")</formula>
    </cfRule>
  </conditionalFormatting>
  <conditionalFormatting sqref="EW7">
    <cfRule type="notContainsBlanks" priority="398" dxfId="7">
      <formula>LEN(TRIM(EW7))&gt;0</formula>
    </cfRule>
    <cfRule type="containsBlanks" priority="399" dxfId="8">
      <formula>LEN(TRIM(EW7))=0</formula>
    </cfRule>
  </conditionalFormatting>
  <conditionalFormatting sqref="EW8:EW2501">
    <cfRule type="expression" priority="400" dxfId="7">
      <formula>AND($EW$7&lt;&gt;"", EW8="")</formula>
    </cfRule>
  </conditionalFormatting>
  <conditionalFormatting sqref="EX7">
    <cfRule type="notContainsBlanks" priority="401" dxfId="7">
      <formula>LEN(TRIM(EX7))&gt;0</formula>
    </cfRule>
    <cfRule type="containsBlanks" priority="402" dxfId="8">
      <formula>LEN(TRIM(EX7))=0</formula>
    </cfRule>
  </conditionalFormatting>
  <conditionalFormatting sqref="EX8:EX2501">
    <cfRule type="expression" priority="403" dxfId="7">
      <formula>AND($EX$7&lt;&gt;"", EX8="")</formula>
    </cfRule>
  </conditionalFormatting>
  <conditionalFormatting sqref="EY7">
    <cfRule type="notContainsBlanks" priority="404" dxfId="7">
      <formula>LEN(TRIM(EY7))&gt;0</formula>
    </cfRule>
    <cfRule type="containsBlanks" priority="405" dxfId="8">
      <formula>LEN(TRIM(EY7))=0</formula>
    </cfRule>
  </conditionalFormatting>
  <conditionalFormatting sqref="EY8:EY2501">
    <cfRule type="expression" priority="406" dxfId="7">
      <formula>AND($EY$7&lt;&gt;"", EY8="")</formula>
    </cfRule>
  </conditionalFormatting>
  <conditionalFormatting sqref="EZ7">
    <cfRule type="notContainsBlanks" priority="407" dxfId="7">
      <formula>LEN(TRIM(EZ7))&gt;0</formula>
    </cfRule>
    <cfRule type="containsBlanks" priority="408" dxfId="8">
      <formula>LEN(TRIM(EZ7))=0</formula>
    </cfRule>
  </conditionalFormatting>
  <conditionalFormatting sqref="EZ8:EZ2501">
    <cfRule type="expression" priority="409" dxfId="7">
      <formula>AND($EZ$7&lt;&gt;"", EZ8="")</formula>
    </cfRule>
  </conditionalFormatting>
  <conditionalFormatting sqref="FA7">
    <cfRule type="notContainsBlanks" priority="410" dxfId="7">
      <formula>LEN(TRIM(FA7))&gt;0</formula>
    </cfRule>
    <cfRule type="containsBlanks" priority="411" dxfId="8">
      <formula>LEN(TRIM(FA7))=0</formula>
    </cfRule>
  </conditionalFormatting>
  <conditionalFormatting sqref="FA8:FA2501">
    <cfRule type="expression" priority="412" dxfId="7">
      <formula>AND($FA$7&lt;&gt;"", FA8="")</formula>
    </cfRule>
  </conditionalFormatting>
  <conditionalFormatting sqref="FB7">
    <cfRule type="notContainsBlanks" priority="413" dxfId="7">
      <formula>LEN(TRIM(FB7))&gt;0</formula>
    </cfRule>
    <cfRule type="containsBlanks" priority="414" dxfId="8">
      <formula>LEN(TRIM(FB7))=0</formula>
    </cfRule>
  </conditionalFormatting>
  <conditionalFormatting sqref="FB8:FB2501">
    <cfRule type="expression" priority="415" dxfId="7">
      <formula>AND($FB$7&lt;&gt;"", FB8="")</formula>
    </cfRule>
  </conditionalFormatting>
  <conditionalFormatting sqref="FC7">
    <cfRule type="notContainsBlanks" priority="416" dxfId="7">
      <formula>LEN(TRIM(FC7))&gt;0</formula>
    </cfRule>
    <cfRule type="containsBlanks" priority="417" dxfId="8">
      <formula>LEN(TRIM(FC7))=0</formula>
    </cfRule>
  </conditionalFormatting>
  <conditionalFormatting sqref="FC8:FC2501">
    <cfRule type="expression" priority="418" dxfId="7">
      <formula>AND($FC$7&lt;&gt;"", FC8="")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S7">
    <cfRule type="notContainsBlanks" priority="14" dxfId="7">
      <formula>LEN(TRIM(S7))&gt;0</formula>
    </cfRule>
    <cfRule type="containsBlanks" priority="15" dxfId="8">
      <formula>LEN(TRIM(S7))=0</formula>
    </cfRule>
  </conditionalFormatting>
  <conditionalFormatting sqref="S8:S2501">
    <cfRule type="expression" priority="16" dxfId="7">
      <formula>AND($S$7&lt;&gt;"", S8="")</formula>
    </cfRule>
  </conditionalFormatting>
  <conditionalFormatting sqref="T7">
    <cfRule type="notContainsBlanks" priority="17" dxfId="7">
      <formula>LEN(TRIM(T7))&gt;0</formula>
    </cfRule>
    <cfRule type="containsBlanks" priority="18" dxfId="8">
      <formula>LEN(TRIM(T7))=0</formula>
    </cfRule>
  </conditionalFormatting>
  <conditionalFormatting sqref="T8:T2501">
    <cfRule type="expression" priority="19" dxfId="7">
      <formula>AND($T$7&lt;&gt;"", T8="")</formula>
    </cfRule>
  </conditionalFormatting>
  <conditionalFormatting sqref="U7">
    <cfRule type="notContainsBlanks" priority="20" dxfId="7">
      <formula>LEN(TRIM(U7))&gt;0</formula>
    </cfRule>
    <cfRule type="containsBlanks" priority="21" dxfId="8">
      <formula>LEN(TRIM(U7))=0</formula>
    </cfRule>
  </conditionalFormatting>
  <conditionalFormatting sqref="U8:U2501">
    <cfRule type="expression" priority="22" dxfId="7">
      <formula>AND($U$7&lt;&gt;"", U8="")</formula>
    </cfRule>
  </conditionalFormatting>
  <conditionalFormatting sqref="V7">
    <cfRule type="notContainsBlanks" priority="23" dxfId="7">
      <formula>LEN(TRIM(V7))&gt;0</formula>
    </cfRule>
    <cfRule type="containsBlanks" priority="24" dxfId="8">
      <formula>LEN(TRIM(V7))=0</formula>
    </cfRule>
  </conditionalFormatting>
  <conditionalFormatting sqref="V8:V2501">
    <cfRule type="expression" priority="25" dxfId="7">
      <formula>AND($V$7&lt;&gt;"", V8="")</formula>
    </cfRule>
  </conditionalFormatting>
  <conditionalFormatting sqref="W7">
    <cfRule type="notContainsBlanks" priority="26" dxfId="7">
      <formula>LEN(TRIM(W7))&gt;0</formula>
    </cfRule>
    <cfRule type="containsBlanks" priority="27" dxfId="8">
      <formula>LEN(TRIM(W7))=0</formula>
    </cfRule>
  </conditionalFormatting>
  <conditionalFormatting sqref="W8:W2501">
    <cfRule type="expression" priority="28" dxfId="7">
      <formula>AND($W$7&lt;&gt;"", W8="")</formula>
    </cfRule>
  </conditionalFormatting>
  <conditionalFormatting sqref="X7">
    <cfRule type="notContainsBlanks" priority="29" dxfId="7">
      <formula>LEN(TRIM(X7))&gt;0</formula>
    </cfRule>
    <cfRule type="containsBlanks" priority="30" dxfId="8">
      <formula>LEN(TRIM(X7))=0</formula>
    </cfRule>
  </conditionalFormatting>
  <conditionalFormatting sqref="X8:X2501">
    <cfRule type="expression" priority="31" dxfId="7">
      <formula>AND($X$7&lt;&gt;"", X8="")</formula>
    </cfRule>
  </conditionalFormatting>
  <conditionalFormatting sqref="Y7">
    <cfRule type="notContainsBlanks" priority="32" dxfId="7">
      <formula>LEN(TRIM(Y7))&gt;0</formula>
    </cfRule>
    <cfRule type="containsBlanks" priority="33" dxfId="8">
      <formula>LEN(TRIM(Y7))=0</formula>
    </cfRule>
  </conditionalFormatting>
  <conditionalFormatting sqref="Y8:Y2501">
    <cfRule type="expression" priority="34" dxfId="7">
      <formula>AND($Y$7&lt;&gt;"", Y8="")</formula>
    </cfRule>
  </conditionalFormatting>
  <conditionalFormatting sqref="Z7">
    <cfRule type="notContainsBlanks" priority="35" dxfId="7">
      <formula>LEN(TRIM(Z7))&gt;0</formula>
    </cfRule>
    <cfRule type="containsBlanks" priority="36" dxfId="8">
      <formula>LEN(TRIM(Z7))=0</formula>
    </cfRule>
  </conditionalFormatting>
  <conditionalFormatting sqref="Z8:Z2501">
    <cfRule type="expression" priority="37" dxfId="7">
      <formula>AND($Z$7&lt;&gt;"", Z8="")</formula>
    </cfRule>
  </conditionalFormatting>
  <dataValidations count="286">
    <dataValidation sqref="B8:B250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C250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D2500" showDropDown="0" showInputMessage="1" showErrorMessage="1" allowBlank="1" errorTitle="Invalid Brand" error="The value provided is not a valid Brand." promptTitle="Brand" prompt="Please select a valid Brand" type="list">
      <formula1>'WAYFAIR_USE_ONLY'!$AP$7:$AP7</formula1>
    </dataValidation>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E8:E250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F250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Please enter Text" type="custom">
      <formula1>AND(LEN(F8)&lt;32767, IF(F8&lt;&gt;"",COUNTIF($F$8:$F$2500,F8)=1,""))</formula1>
    </dataValidation>
    <dataValidation sqref="G8:G250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H250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I8:I250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J2500" showDropDown="0" showInputMessage="1" showErrorMessage="1" allowBlank="1" errorTitle="Invalid Variant Type" error="The value provided is not a valid Variant Type." promptTitle="Variant Type" prompt="Please select a valid Variant Type" type="list">
      <formula1>'WAYFAIR_USE_ONLY'!$BB$7:$BB10</formula1>
    </dataValidation>
    <dataValidation sqref="K8:K2500" showDropDown="0" showInputMessage="1" showErrorMessage="1" allowBlank="0" errorTitle="Invalid Text" error="The value provided is not a valid Text." promptTitle="Group Reference ID" prompt="Please enter Text" type="textLength" errorStyle="warning" operator="lessThanOrEqual">
      <formula1>32767</formula1>
    </dataValidation>
    <dataValidation sqref="L8:L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'WAYFAIR_USE_ONLY'!$KK$7:$KK12</formula1>
    </dataValidation>
    <dataValidation sqref="M8:M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N8:N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'WAYFAIR_USE_ONLY'!$KK$7:$KK12</formula1>
    </dataValidation>
    <dataValidation sqref="O8:O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P8:P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'WAYFAIR_USE_ONLY'!$KK$7:$KK12</formula1>
    </dataValidation>
    <dataValidation sqref="Q8:Q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R8:R250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S8:S250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8:T250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8:U250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8:V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8:W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8:X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8:Y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8:Z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8:AA250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8:AB250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8:AC250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8:AD250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8:AE2500" showDropDown="0" showInputMessage="1" showErrorMessage="1" allowBlank="1" errorTitle="Invalid Ship Type" error="The value provided is not a valid Ship Type." promptTitle="Ship Type" prompt="Please select a valid Ship Type" type="list">
      <formula1>'WAYFAIR_USE_ONLY'!$AV$7:$AV9</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8:AF2500" showDropDown="0" showInputMessage="1" showErrorMessage="1" allowBlank="1" errorTitle="Invalid Freight Class" error="The value provided is not a valid Freight Class." promptTitle="Freight Class" prompt="Please select a valid Freight Class" type="list">
      <formula1>'WAYFAIR_USE_ONLY'!$AW$7:$AW25</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8:AG2500" showDropDown="0" showInputMessage="1" showErrorMessage="1" allowBlank="1" errorTitle="Invalid Lead Time" error="The value provided is not a valid Lead Time." promptTitle="Lead Time" prompt="Please select a valid Lead Time" type="list">
      <formula1>'WAYFAIR_USE_ONLY'!$AX$7:$AX24</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8:AH2500" showDropDown="0" showInputMessage="1" showErrorMessage="1" allowBlank="1" errorTitle="Invalid Replacement Lead Time" error="The value provided is not a valid Replacement Lead Time." promptTitle="Replacement Lead Time" prompt="Please select a valid Replacement Lead Time" type="list">
      <formula1>'WAYFAIR_USE_ONLY'!$AY$7:$AY13</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8:AI250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8:AJ2500" showDropDown="0" showInputMessage="1" showErrorMessage="1" allowBlank="1" errorTitle="Invalid Flat Pack" error="The value provided is not a valid Flat Pack." promptTitle="Flat Pack" prompt="Please select a valid Flat Pack" type="list">
      <formula1>'WAYFAIR_USE_ONLY'!$AZ$7:$AZ9</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8:AK2500" showDropDown="0" showInputMessage="1" showErrorMessage="1" allowBlank="1" errorTitle="Invalid Ship Palletized" error="The value provided is not a valid Ship Palletized." promptTitle="Ship Palletized" prompt="Please select a valid Ship Palletized" type="list">
      <formula1>'WAYFAIR_USE_ONLY'!$BA$7:$BA9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8:AL250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8:AM250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8:AN250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8:AO250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8:AP2500" showDropDown="0" showInputMessage="1" showErrorMessage="1" allowBlank="1" errorTitle="Invalid Warning Required" error="The value provided is not a valid Warning Required." promptTitle="Warning Required" prompt="Please select a valid Warning Required" type="list">
      <formula1>'WAYFAIR_USE_ONLY'!$AS$7:$AS9</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8:AQ2500" showDropDown="0" showInputMessage="1" showErrorMessage="1" allowBlank="1" errorTitle="Invalid Chemical" error="The value provided is not a valid Chemical." promptTitle="Chemical" prompt="Please select a valid Chemical" type="list">
      <formula1>'WAYFAIR_USE_ONLY'!$AT$7:$AT908</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8:AS250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'WAYFAIR_USE_ONLY'!$AU$7:$AU254</formula1>
    </dataValidation>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T8:AT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U8:AU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V8:AV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W8:AW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X8:AX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Y8:AY250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Z8:AZ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8:BC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8:BD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8:BE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8:BH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8:BI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8:BJ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8:BM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8:BN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8:BO2500" showDropDown="0" showInputMessage="1" showErrorMessage="1" allowBlank="1" errorTitle="Invalid Mattress Size" error="The value provided is not a valid Mattress Size." promptTitle="Mattress Size" prompt="Please select a valid Mattress Size" type="list">
      <formula1>'WAYFAIR_USE_ONLY'!$HX$7:$HX25</formula1>
    </dataValidation>
    <dataValidation sqref="BO7" showDropDown="0" showInputMessage="1" showErrorMessage="1" allowBlank="1" errorTitle="Invalid Mattress Size" error="The value provided is not a valid Mattress Size." promptTitle="" prompt="If all products in this class consistently have the same answer, you can set a default value to apply automatically. For any exceptions, you can modify the answer for specific products without changing the default." type="list">
      <formula1>'WAYFAIR_USE_ONLY'!$HX$7:$HX25</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8:BQ2500" showDropDown="0" showInputMessage="1" showErrorMessage="1" allowBlank="1" errorTitle="Invalid Bed Design" error="The value provided is not a valid Bed Design. Would you like to provide a custom answer?" promptTitle="Bed Design" prompt="Please select a valid Bed Design" type="list" errorStyle="warning">
      <formula1>'WAYFAIR_USE_ONLY'!$HY$7:$HY22</formula1>
    </dataValidation>
    <dataValidation sqref="BQ7" showDropDown="0" showInputMessage="1" showErrorMessage="1" allowBlank="1" errorTitle="Invalid Bed Design" error="The value provided is not a valid Bed Design.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'WAYFAIR_USE_ONLY'!$HY$7:$HY22</formula1>
    </dataValidation>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8:BS2500" showDropDown="0" showInputMessage="1" showErrorMessage="1" allowBlank="1" errorTitle="Invalid Wooden Components" error="The value provided is not a valid Wooden Components." promptTitle="Wooden Components" prompt="Please select a valid Wooden Components" type="list">
      <formula1>'WAYFAIR_USE_ONLY'!$HZ$7:$HZ11</formula1>
    </dataValidation>
    <dataValidation sqref="BS7" showDropDown="0" showInputMessage="1" showErrorMessage="1" allowBlank="1" errorTitle="Invalid Wooden Components" error="The value provided is not a valid Wooden Components." promptTitle="" prompt="If all products in this class consistently have the same answer, you can set a default value to apply automatically. For any exceptions, you can modify the answer for specific products without changing the default." type="list">
      <formula1>'WAYFAIR_USE_ONLY'!$HZ$7:$HZ11</formula1>
    </dataValidation>
    <dataValidation sqref="BT8:BT2500" showDropDown="0" showInputMessage="1" showErrorMessage="1" allowBlank="1" errorTitle="Invalid Upholstered" error="The value provided is not a valid Upholstered." promptTitle="Upholstered" prompt="Please select a valid Upholstered" type="list">
      <formula1>'WAYFAIR_USE_ONLY'!$IA$7:$IA9</formula1>
    </dataValidation>
    <dataValidation sqref="BT7" showDropDown="0" showInputMessage="1" showErrorMessage="1" allowBlank="1" errorTitle="Invalid Upholstered" error="The value provided is not a valid Upholstered." promptTitle="" prompt="If all products in this class consistently have the same answer, you can set a default value to apply automatically. For any exceptions, you can modify the answer for specific products without changing the default." type="list">
      <formula1>'WAYFAIR_USE_ONLY'!$IA$7:$IA9</formula1>
    </dataValidation>
    <dataValidation sqref="B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V8:BV2500" showDropDown="0" showInputMessage="1" showErrorMessage="1" allowBlank="1" errorTitle="Invalid Faux Leather Type" error="The value provided is not a valid Faux Leather Type. Would you like to provide a custom answer?" promptTitle="Faux Leather Type" prompt="Please select a valid Faux Leather Type" type="list" errorStyle="warning">
      <formula1>'WAYFAIR_USE_ONLY'!$IB$7:$IB18</formula1>
    </dataValidation>
    <dataValidation sqref="BV7" showDropDown="0" showInputMessage="1" showErrorMessage="1" allowBlank="1" errorTitle="Invalid Faux Leather Type" error="The value provided is not a valid Faux Leather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'WAYFAIR_USE_ONLY'!$IB$7:$IB18</formula1>
    </dataValidation>
    <dataValidation sqref="BW8:BW2500" showDropDown="0" showInputMessage="1" showErrorMessage="1" allowBlank="1" errorTitle="Invalid Box Spring Required" error="The value provided is not a valid Box Spring Required." promptTitle="Box Spring Required" prompt="Please select a valid Box Spring Required" type="list">
      <formula1>'WAYFAIR_USE_ONLY'!$IC$7:$IC9</formula1>
    </dataValidation>
    <dataValidation sqref="BW7" showDropDown="0" showInputMessage="1" showErrorMessage="1" allowBlank="1" errorTitle="Invalid Box Spring Required" error="The value provided is not a valid Box Spring Required." promptTitle="" prompt="If all products in this class consistently have the same answer, you can set a default value to apply automatically. For any exceptions, you can modify the answer for specific products without changing the default." type="list">
      <formula1>'WAYFAIR_USE_ONLY'!$IC$7:$IC9</formula1>
    </dataValidation>
    <dataValidation sqref="B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Y8:BY2500" showDropDown="0" showInputMessage="1" showErrorMessage="1" allowBlank="1" errorTitle="Invalid Center Support Legs" error="The value provided is not a valid Center Support Legs." promptTitle="Center Support Legs" prompt="Please select a valid Center Support Legs" type="list">
      <formula1>'WAYFAIR_USE_ONLY'!$ID$7:$ID10</formula1>
    </dataValidation>
    <dataValidation sqref="BY7" showDropDown="0" showInputMessage="1" showErrorMessage="1" allowBlank="1" errorTitle="Invalid Center Support Legs" error="The value provided is not a valid Center Support Legs." promptTitle="" prompt="If all products in this class consistently have the same answer, you can set a default value to apply automatically. For any exceptions, you can modify the answer for specific products without changing the default." type="list">
      <formula1>'WAYFAIR_USE_ONLY'!$ID$7:$ID10</formula1>
    </dataValidation>
    <dataValidation sqref="BZ8:BZ250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BZ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A8:CA2500" showDropDown="0" showInputMessage="1" showErrorMessage="1" allowBlank="1" errorTitle="Invalid Footboard Included" error="The value provided is not a valid Footboard Included." promptTitle="Footboard Included" prompt="Please select a valid Footboard Included" type="list">
      <formula1>'WAYFAIR_USE_ONLY'!$IE$7:$IE10</formula1>
    </dataValidation>
    <dataValidation sqref="CA7" showDropDown="0" showInputMessage="1" showErrorMessage="1" allowBlank="1" errorTitle="Invalid Footboard Included" error="The value provided is not a valid Footboard Included." promptTitle="" prompt="If all products in this class consistently have the same answer, you can set a default value to apply automatically. For any exceptions, you can modify the answer for specific products without changing the default." type="list">
      <formula1>'WAYFAIR_USE_ONLY'!$IE$7:$IE10</formula1>
    </dataValidation>
    <dataValidation sqref="C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C8:CC2500" showDropDown="0" showInputMessage="1" showErrorMessage="1" allowBlank="1" errorTitle="Invalid Drawers Included" error="The value provided is not a valid Drawers Included." promptTitle="Drawers Included" prompt="Please select a valid Drawers Included" type="list">
      <formula1>'WAYFAIR_USE_ONLY'!$IF$7:$IF9</formula1>
    </dataValidation>
    <dataValidation sqref="CC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'WAYFAIR_USE_ONLY'!$IF$7:$IF9</formula1>
    </dataValidation>
    <dataValidation sqref="CD8:CD2500" showDropDown="0" showInputMessage="1" showErrorMessage="1" allowBlank="1" errorTitle="Invalid Compatible with Adjustab" error="The value provided is not a valid Compatible with Adjustable Bed Base." promptTitle="Compatible with Adjustable Bed B" prompt="Please select a valid Compatible with Adjustable Bed Base" type="list">
      <formula1>'WAYFAIR_USE_ONLY'!$IG$7:$IG10</formula1>
    </dataValidation>
    <dataValidation sqref="CD7" showDropDown="0" showInputMessage="1" showErrorMessage="1" allowBlank="1" errorTitle="Invalid Compatible with Adjustab" error="The value provided is not a valid Compatible with Adjustable Bed Base." promptTitle="" prompt="If all products in this class consistently have the same answer, you can set a default value to apply automatically. For any exceptions, you can modify the answer for specific products without changing the default." type="list">
      <formula1>'WAYFAIR_USE_ONLY'!$IG$7:$IG10</formula1>
    </dataValidation>
    <dataValidation sqref="CE8:CE2500" showDropDown="0" showInputMessage="1" showErrorMessage="1" allowBlank="1" errorTitle="Invalid Plug-In" error="The value provided is not a valid Plug-In." promptTitle="Plug-In" prompt="Please select a valid Plug-In" type="list">
      <formula1>'WAYFAIR_USE_ONLY'!$IH$7:$IH9</formula1>
    </dataValidation>
    <dataValidation sqref="CE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'WAYFAIR_USE_ONLY'!$IH$7:$IH9</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J8:CJ250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'WAYFAIR_USE_ONLY'!$II$7:$II26</formula1>
    </dataValidation>
    <dataValidation sqref="CJ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'WAYFAIR_USE_ONLY'!$II$7:$II26</formula1>
    </dataValidation>
    <dataValidation sqref="CK8:CK2500" showDropDown="0" showInputMessage="1" showErrorMessage="1" allowBlank="1" errorTitle="Invalid Kiln-Dried Wood" error="The value provided is not a valid Kiln-Dried Wood." promptTitle="Kiln-Dried Wood" prompt="Please select a valid Kiln-Dried Wood" type="list">
      <formula1>'WAYFAIR_USE_ONLY'!$IJ$7:$IJ11</formula1>
    </dataValidation>
    <dataValidation sqref="CK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'WAYFAIR_USE_ONLY'!$IJ$7:$IJ11</formula1>
    </dataValidation>
    <dataValidation sqref="C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M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N8:CN250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'WAYFAIR_USE_ONLY'!$IR$7:$IR10</formula1>
    </dataValidation>
    <dataValidation sqref="CN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'WAYFAIR_USE_ONLY'!$IR$7:$IR10</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8:CO2500" showDropDown="0" showInputMessage="1" showErrorMessage="1" allowBlank="1" errorTitle="Invalid Battery Composition" error="The value provided is not a valid Battery Composition." promptTitle="Battery Composition" prompt="Please select a valid Battery Composition" type="list">
      <formula1>'WAYFAIR_USE_ONLY'!$IL$7:$IL17</formula1>
    </dataValidation>
    <dataValidation sqref="CO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'WAYFAIR_USE_ONLY'!$IL$7:$IL17</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8:CP2500" showDropDown="0" showInputMessage="1" showErrorMessage="1" allowBlank="1" errorTitle="Invalid Battery Type" error="The value provided is not a valid Battery Type." promptTitle="Battery Type" prompt="Please select a valid Battery Type" type="list">
      <formula1>'WAYFAIR_USE_ONLY'!$IK$7:$IK11</formula1>
    </dataValidation>
    <dataValidation sqref="CP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'WAYFAIR_USE_ONLY'!$IK$7:$IK11</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8:CQ2500"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'WAYFAIR_USE_ONLY'!$IM$7:$IM19</formula1>
    </dataValidation>
    <dataValidation sqref="CQ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'WAYFAIR_USE_ONLY'!$IM$7:$IM19</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8:CR2500" showDropDown="0" showInputMessage="1" showErrorMessage="1" allowBlank="1" errorTitle="Invalid Battery Shipment" error="The value provided is not a valid Battery Shipment." promptTitle="Battery Shipment" prompt="Please select a valid Battery Shipment" type="list">
      <formula1>'WAYFAIR_USE_ONLY'!$IN$7:$IN11</formula1>
    </dataValidation>
    <dataValidation sqref="CR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'WAYFAIR_USE_ONLY'!$IN$7:$IN11</formula1>
    </dataValidation>
    <dataValidation sqref="CS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S8:CS2500" showDropDown="0" showInputMessage="1" showErrorMessage="1" allowBlank="1" errorTitle="Invalid Lithium Content" error="The value provided is not a valid Lithium Content." promptTitle="Lithium Content" prompt="Please select a valid Lithium Content" type="list">
      <formula1>'WAYFAIR_USE_ONLY'!$IO$7:$IO14</formula1>
    </dataValidation>
    <dataValidation sqref="CS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'WAYFAIR_USE_ONLY'!$IO$7:$IO14</formula1>
    </dataValidation>
    <dataValidation sqref="CT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T8:CT250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'WAYFAIR_USE_ONLY'!$IP$7:$IP14</formula1>
    </dataValidation>
    <dataValidation sqref="CT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'WAYFAIR_USE_ONLY'!$IP$7:$IP14</formula1>
    </dataValidation>
    <dataValidation sqref="CU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U8:CU250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'WAYFAIR_USE_ONLY'!$IQ$7:$IQ12</formula1>
    </dataValidation>
    <dataValidation sqref="CU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'WAYFAIR_USE_ONLY'!$IQ$7:$IQ12</formula1>
    </dataValidation>
    <dataValidation sqref="CV8:CV2500" showDropDown="0" showInputMessage="1" showErrorMessage="1" allowBlank="1" errorTitle="Invalid Tufted" error="The value provided is not a valid Tufted." promptTitle="Tufted" prompt="Please select a valid Tufted" type="list">
      <formula1>'WAYFAIR_USE_ONLY'!$IS$7:$IS10</formula1>
    </dataValidation>
    <dataValidation sqref="CV7" showDropDown="0" showInputMessage="1" showErrorMessage="1" allowBlank="1" errorTitle="Invalid Tufted" error="The value provided is not a valid Tufted." promptTitle="" prompt="If all products in this class consistently have the same answer, you can set a default value to apply automatically. For any exceptions, you can modify the answer for specific products without changing the default." type="list">
      <formula1>'WAYFAIR_USE_ONLY'!$IS$7:$IS10</formula1>
    </dataValidation>
    <dataValidation sqref="CW8:CW2500" showDropDown="0" showInputMessage="1" showErrorMessage="1" allowBlank="1" errorTitle="Invalid Nailhead Trim" error="The value provided is not a valid Nailhead Trim." promptTitle="Nailhead Trim" prompt="Please select a valid Nailhead Trim" type="list">
      <formula1>'WAYFAIR_USE_ONLY'!$IT$7:$IT9</formula1>
    </dataValidation>
    <dataValidation sqref="CW7" showDropDown="0" showInputMessage="1" showErrorMessage="1" allowBlank="1" errorTitle="Invalid Nailhead Trim" error="The value provided is not a valid Nailhead Trim." promptTitle="" prompt="If all products in this class consistently have the same answer, you can set a default value to apply automatically. For any exceptions, you can modify the answer for specific products without changing the default." type="list">
      <formula1>'WAYFAIR_USE_ONLY'!$IT$7:$IT9</formula1>
    </dataValidation>
    <dataValidation sqref="CX8:CX2500" showDropDown="0" showInputMessage="1" showErrorMessage="1" allowBlank="1" errorTitle="Invalid Unfinished" error="The value provided is not a valid Unfinished." promptTitle="Unfinished" prompt="Please select a valid Unfinished" type="list">
      <formula1>'WAYFAIR_USE_ONLY'!$IU$7:$IU10</formula1>
    </dataValidation>
    <dataValidation sqref="CX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'WAYFAIR_USE_ONLY'!$IU$7:$IU10</formula1>
    </dataValidation>
    <dataValidation sqref="CY8:CY2500" showDropDown="0" showInputMessage="1" showErrorMessage="1" allowBlank="1" errorTitle="Invalid Finished Back" error="The value provided is not a valid Finished Back." promptTitle="Finished Back" prompt="Please select a valid Finished Back" type="list">
      <formula1>'WAYFAIR_USE_ONLY'!$IV$7:$IV10</formula1>
    </dataValidation>
    <dataValidation sqref="CY7" showDropDown="0" showInputMessage="1" showErrorMessage="1" allowBlank="1" errorTitle="Invalid Finished Back" error="The value provided is not a valid Finished Back." promptTitle="" prompt="If all products in this class consistently have the same answer, you can set a default value to apply automatically. For any exceptions, you can modify the answer for specific products without changing the default." type="list">
      <formula1>'WAYFAIR_USE_ONLY'!$IV$7:$IV10</formula1>
    </dataValidation>
    <dataValidation sqref="CZ8:CZ2500" showDropDown="0" showInputMessage="1" showErrorMessage="1" allowBlank="1" errorTitle="Invalid Manufactured Wood Type" error="The value provided is not a valid Manufactured Wood Type." promptTitle="Manufactured Wood Type" prompt="Please select a valid Manufactured Wood Type" type="list">
      <formula1>'WAYFAIR_USE_ONLY'!$IW$7:$IW12</formula1>
    </dataValidation>
    <dataValidation sqref="CZ7" showDropDown="0" showInputMessage="1" showErrorMessage="1" allowBlank="1" errorTitle="Invalid Manufactured Wood Type" error="The value provided is not a valid Manufactured Wood Type." promptTitle="" prompt="If all products in this class consistently have the same answer, you can set a default value to apply automatically. For any exceptions, you can modify the answer for specific products without changing the default." type="list">
      <formula1>'WAYFAIR_USE_ONLY'!$IW$7:$IW12</formula1>
    </dataValidation>
    <dataValidation sqref="DA8:DA2500" showDropDown="0" showInputMessage="1" showErrorMessage="1" allowBlank="1" errorTitle="Invalid Lighted Headboard" error="The value provided is not a valid Lighted Headboard." promptTitle="Lighted Headboard" prompt="Please select a valid Lighted Headboard" type="list">
      <formula1>'WAYFAIR_USE_ONLY'!$IX$7:$IX10</formula1>
    </dataValidation>
    <dataValidation sqref="DA7" showDropDown="0" showInputMessage="1" showErrorMessage="1" allowBlank="1" errorTitle="Invalid Lighted Headboard" error="The value provided is not a valid Lighted Headboard." promptTitle="" prompt="If all products in this class consistently have the same answer, you can set a default value to apply automatically. For any exceptions, you can modify the answer for specific products without changing the default." type="list">
      <formula1>'WAYFAIR_USE_ONLY'!$IX$7:$IX10</formula1>
    </dataValidation>
    <dataValidation sqref="DB8:DB2500" showDropDown="0" showInputMessage="1" showErrorMessage="1" allowBlank="1" errorTitle="Invalid Leather Type" error="The value provided is not a valid Leather Type. Would you like to provide a custom answer?" promptTitle="Leather Type" prompt="Please select a valid Leather Type" type="list" errorStyle="warning">
      <formula1>'WAYFAIR_USE_ONLY'!$IY$7:$IY19</formula1>
    </dataValidation>
    <dataValidation sqref="DB7" showDropDown="0" showInputMessage="1" showErrorMessage="1" allowBlank="1" errorTitle="Invalid Leather Type" error="The value provided is not a valid Leather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'WAYFAIR_USE_ONLY'!$IY$7:$IY19</formula1>
    </dataValidation>
    <dataValidation sqref="DC8:DC2500" showDropDown="0" showInputMessage="1" showErrorMessage="1" allowBlank="1" errorTitle="Invalid Upholstery Fabric Qualit" error="The value provided is not a valid Upholstery Fabric Quality. Would you like to provide a custom answer?" promptTitle="Upholstery Fabric Quality" prompt="Please select a valid Upholstery Fabric Quality" type="list" errorStyle="warning">
      <formula1>'WAYFAIR_USE_ONLY'!$IZ$7:$IZ15</formula1>
    </dataValidation>
    <dataValidation sqref="DC7" showDropDown="0" showInputMessage="1" showErrorMessage="1" allowBlank="1" errorTitle="Invalid Upholstery Fabric Qualit" error="The value provided is not a valid Upholstery Fabric Quality.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'WAYFAIR_USE_ONLY'!$IZ$7:$IZ15</formula1>
    </dataValidation>
    <dataValidation sqref="DD8:DD2500" showDropDown="0" showInputMessage="1" showErrorMessage="1" allowBlank="1" errorTitle="Invalid Headboard Shape" error="The value provided is not a valid Headboard Shape." promptTitle="Headboard Shape" prompt="Please select a valid Headboard Shape" type="list">
      <formula1>'WAYFAIR_USE_ONLY'!$JA$7:$JA18</formula1>
    </dataValidation>
    <dataValidation sqref="DD7" showDropDown="0" showInputMessage="1" showErrorMessage="1" allowBlank="1" errorTitle="Invalid Headboard Shape" error="The value provided is not a valid Headboard Shape." promptTitle="" prompt="If all products in this class consistently have the same answer, you can set a default value to apply automatically. For any exceptions, you can modify the answer for specific products without changing the default." type="list">
      <formula1>'WAYFAIR_USE_ONLY'!$JA$7:$JA18</formula1>
    </dataValidation>
    <dataValidation sqref="DE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F8:DF2500" showDropDown="0" showInputMessage="1" showErrorMessage="1" allowBlank="1" errorTitle="Invalid Ribbed Detailing" error="The value provided is not a valid Ribbed Detailing." promptTitle="Ribbed Detailing" prompt="Please select a valid Ribbed Detailing" type="list">
      <formula1>'WAYFAIR_USE_ONLY'!$JB$7:$JB11</formula1>
    </dataValidation>
    <dataValidation sqref="DF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'WAYFAIR_USE_ONLY'!$JB$7:$JB11</formula1>
    </dataValidation>
    <dataValidation sqref="DG8:DG2500" showDropDown="0" showInputMessage="1" showErrorMessage="1" allowBlank="1" errorTitle="Invalid Fluted Detailing" error="The value provided is not a valid Fluted Detailing." promptTitle="Fluted Detailing" prompt="Please select a valid Fluted Detailing" type="list">
      <formula1>'WAYFAIR_USE_ONLY'!$JC$7:$JC11</formula1>
    </dataValidation>
    <dataValidation sqref="DG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'WAYFAIR_USE_ONLY'!$JC$7:$JC11</formula1>
    </dataValidation>
    <dataValidation sqref="D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I8:DI2500" showDropDown="0" showInputMessage="1" showErrorMessage="1" allowBlank="0" errorTitle="Invalid Whole Number" error="The value provided is not a valid Whole Number." promptTitle="Number of Center Support Legs" prompt="Please enter Whole Number" type="textLength" errorStyle="warning" operator="lessThanOrEqual">
      <formula1>32767</formula1>
    </dataValidation>
    <dataValidation sqref="DI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K8:DK2500" showDropDown="0" showInputMessage="1" showErrorMessage="1" allowBlank="1" errorTitle="Invalid Additional Intended Use " error="The value provided is not a valid Additional Intended Use For Child." promptTitle="Additional Intended Use For Chil" prompt="Please select a valid Additional Intended Use For Child" type="list">
      <formula1>'WAYFAIR_USE_ONLY'!$JD$7:$JD9</formula1>
    </dataValidation>
    <dataValidation sqref="DK7" showDropDown="0" showInputMessage="1" showErrorMessage="1" allowBlank="1" errorTitle="Invalid Additional Intended Use " error="The value provided is not a valid Additional Intended Use For Child." promptTitle="" prompt="If all products in this class consistently have the same answer, you can set a default value to apply automatically. For any exceptions, you can modify the answer for specific products without changing the default." type="list">
      <formula1>'WAYFAIR_USE_ONLY'!$JD$7:$JD9</formula1>
    </dataValidation>
    <dataValidation sqref="DL8:DL250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'WAYFAIR_USE_ONLY'!$JH$7:$JH10</formula1>
    </dataValidation>
    <dataValidation sqref="DL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'WAYFAIR_USE_ONLY'!$JH$7:$JH10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8:DM2500"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'WAYFAIR_USE_ONLY'!$JE$7:$JE11</formula1>
    </dataValidation>
    <dataValidation sqref="DM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'WAYFAIR_USE_ONLY'!$JE$7:$JE11</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8:DN2500"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'WAYFAIR_USE_ONLY'!$JF$7:$JF11</formula1>
    </dataValidation>
    <dataValidation sqref="DN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'WAYFAIR_USE_ONLY'!$JF$7:$JF11</formula1>
    </dataValidation>
    <dataValidation sqref="DO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O8:DO2500" showDropDown="0" showInputMessage="1" showErrorMessage="1" allowBlank="1" errorTitle="Invalid CANFER Compliant" error="The value provided is not a valid CANFER Compliant." promptTitle="CANFER Compliant" prompt="Please select a valid CANFER Compliant" type="list">
      <formula1>'WAYFAIR_USE_ONLY'!$JG$7:$JG11</formula1>
    </dataValidation>
    <dataValidation sqref="DO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'WAYFAIR_USE_ONLY'!$JG$7:$JG11</formula1>
    </dataValidation>
    <dataValidation sqref="DP8:DP2500" showDropDown="0" showInputMessage="1" showErrorMessage="1" allowBlank="1" errorTitle="Invalid SOR/2016-183 Compliant" error="The value provided is not a valid SOR/2016-183 Compliant." promptTitle="SOR/2016-183 Compliant" prompt="Please select a valid SOR/2016-183 Compliant" type="list">
      <formula1>'WAYFAIR_USE_ONLY'!$JI$7:$JI11</formula1>
    </dataValidation>
    <dataValidation sqref="DP7" showDropDown="0" showInputMessage="1" showErrorMessage="1" allowBlank="1" errorTitle="Invalid SOR/2016-183 Compliant" error="The value provided is not a valid SOR/2016-183 Compliant." promptTitle="" prompt="If all products in this class consistently have the same answer, you can set a default value to apply automatically. For any exceptions, you can modify the answer for specific products without changing the default." type="list">
      <formula1>'WAYFAIR_USE_ONLY'!$JI$7:$JI11</formula1>
    </dataValidation>
    <dataValidation sqref="DQ8:DQ2500" showDropDown="0" showInputMessage="1" showErrorMessage="1" allowBlank="1" errorTitle="Invalid CAL TB 116 Compliant" error="The value provided is not a valid CAL TB 116 Compliant." promptTitle="CAL TB 116 Compliant" prompt="Please select a valid CAL TB 116 Compliant" type="list">
      <formula1>'WAYFAIR_USE_ONLY'!$JJ$7:$JJ12</formula1>
    </dataValidation>
    <dataValidation sqref="DQ7" showDropDown="0" showInputMessage="1" showErrorMessage="1" allowBlank="1" errorTitle="Invalid CAL TB 116 Compliant" error="The value provided is not a valid CAL TB 116 Compliant." promptTitle="" prompt="If all products in this class consistently have the same answer, you can set a default value to apply automatically. For any exceptions, you can modify the answer for specific products without changing the default." type="list">
      <formula1>'WAYFAIR_USE_ONLY'!$JJ$7:$JJ12</formula1>
    </dataValidation>
    <dataValidation sqref="DR8:DR2500" showDropDown="0" showInputMessage="1" showErrorMessage="1" allowBlank="1" errorTitle="Invalid CAL TB 117-2013 Complian" error="The value provided is not a valid CAL TB 117-2013 Compliant." promptTitle="CAL TB 117-2013 Compliant" prompt="Please select a valid CAL TB 117-2013 Compliant" type="list">
      <formula1>'WAYFAIR_USE_ONLY'!$JK$7:$JK12</formula1>
    </dataValidation>
    <dataValidation sqref="DR7" showDropDown="0" showInputMessage="1" showErrorMessage="1" allowBlank="1" errorTitle="Invalid CAL TB 117-2013 Complian" error="The value provided is not a valid CAL TB 117-2013 Compliant." promptTitle="" prompt="If all products in this class consistently have the same answer, you can set a default value to apply automatically. For any exceptions, you can modify the answer for specific products without changing the default." type="list">
      <formula1>'WAYFAIR_USE_ONLY'!$JK$7:$JK12</formula1>
    </dataValidation>
    <dataValidation sqref="DS8:DS250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'WAYFAIR_USE_ONLY'!$JL$7:$JL10</formula1>
    </dataValidation>
    <dataValidation sqref="DS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'WAYFAIR_USE_ONLY'!$JL$7:$JL10</formula1>
    </dataValidation>
    <dataValidation sqref="DT8:DT250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'WAYFAIR_USE_ONLY'!$JM$7:$JM9</formula1>
    </dataValidation>
    <dataValidation sqref="DT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'WAYFAIR_USE_ONLY'!$JM$7:$JM9</formula1>
    </dataValidation>
    <dataValidation sqref="DU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V8:DV2500" showDropDown="0" showInputMessage="1" showErrorMessage="1" allowBlank="1" errorTitle="Invalid Textile Labelling and Ad" error="The value provided is not a valid Textile Labelling and Advertising Regulations (C.R.C., c. 1551)." promptTitle="Textile Labelling and Advertisin" prompt="Please select a valid Textile Labelling and Advertising Regulations (C.R.C., c. 1551)" type="list">
      <formula1>'WAYFAIR_USE_ONLY'!$JN$7:$JN11</formula1>
    </dataValidation>
    <dataValidation sqref="DV7" showDropDown="0" showInputMessage="1" showErrorMessage="1" allowBlank="1" errorTitle="Invalid Textile Labelling and Ad" error="The value provided is not a valid Textile Labelling and Advertising Regulations (C.R.C., c. 1551)." promptTitle="" prompt="If all products in this class consistently have the same answer, you can set a default value to apply automatically. For any exceptions, you can modify the answer for specific products without changing the default." type="list">
      <formula1>'WAYFAIR_USE_ONLY'!$JN$7:$JN11</formula1>
    </dataValidation>
    <dataValidation sqref="DW8:DW2500" showDropDown="0" showInputMessage="1" showErrorMessage="1" allowBlank="1" errorTitle="Invalid SOR/2016-194 - Textile F" error="The value provided is not a valid SOR/2016-194 - Textile Flammability Regulations." promptTitle="SOR/2016-194 - Textile Flammabil" prompt="Please select a valid SOR/2016-194 - Textile Flammability Regulations" type="list">
      <formula1>'WAYFAIR_USE_ONLY'!$JO$7:$JO11</formula1>
    </dataValidation>
    <dataValidation sqref="DW7" showDropDown="0" showInputMessage="1" showErrorMessage="1" allowBlank="1" errorTitle="Invalid SOR/2016-194 - Textile F" error="The value provided is not a valid SOR/2016-194 - Textile Flammability Regulations." promptTitle="" prompt="If all products in this class consistently have the same answer, you can set a default value to apply automatically. For any exceptions, you can modify the answer for specific products without changing the default." type="list">
      <formula1>'WAYFAIR_USE_ONLY'!$JO$7:$JO11</formula1>
    </dataValidation>
    <dataValidation sqref="DX8:DX2500" showDropDown="0" showInputMessage="1" showErrorMessage="1" allowBlank="1" errorTitle="Invalid SOFFA Compliant" error="The value provided is not a valid SOFFA Compliant." promptTitle="SOFFA Compliant" prompt="Please select a valid SOFFA Compliant" type="list">
      <formula1>'WAYFAIR_USE_ONLY'!$JP$7:$JP10</formula1>
    </dataValidation>
    <dataValidation sqref="DX7" showDropDown="0" showInputMessage="1" showErrorMessage="1" allowBlank="1" errorTitle="Invalid SOFFA Compliant" error="The value provided is not a valid SOFFA Compliant." promptTitle="" prompt="If all products in this class consistently have the same answer, you can set a default value to apply automatically. For any exceptions, you can modify the answer for specific products without changing the default." type="list">
      <formula1>'WAYFAIR_USE_ONLY'!$JP$7:$JP10</formula1>
    </dataValidation>
    <dataValidation sqref="DY8:DY2500" showDropDown="0" showInputMessage="1" showErrorMessage="1" allowBlank="1" errorTitle="Invalid Children’s Product Certi" error="The value provided is not a valid Children’s Product Certificate (CPC)." promptTitle="Children’s Product Certificate (" prompt="Please select a valid Children’s Product Certificate (CPC)" type="list">
      <formula1>'WAYFAIR_USE_ONLY'!$JQ$7:$JQ11</formula1>
    </dataValidation>
    <dataValidation sqref="DY7" showDropDown="0" showInputMessage="1" showErrorMessage="1" allowBlank="1" errorTitle="Invalid Children’s Product Certi" error="The value provided is not a valid Children’s Product Certificate (CPC)." promptTitle="" prompt="If all products in this class consistently have the same answer, you can set a default value to apply automatically. For any exceptions, you can modify the answer for specific products without changing the default." type="list">
      <formula1>'WAYFAIR_USE_ONLY'!$JQ$7:$JQ11</formula1>
    </dataValidation>
    <dataValidation sqref="DZ8:DZ250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'WAYFAIR_USE_ONLY'!$JR$7:$JR11</formula1>
    </dataValidation>
    <dataValidation sqref="DZ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'WAYFAIR_USE_ONLY'!$JR$7:$JR11</formula1>
    </dataValidation>
    <dataValidation sqref="EA8:EA250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'WAYFAIR_USE_ONLY'!$JV$7:$JV9</formula1>
    </dataValidation>
    <dataValidation sqref="EA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'WAYFAIR_USE_ONLY'!$JV$7:$JV9</formula1>
    </dataValidation>
    <dataValidation sqref="EB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C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C8:EC2500" showDropDown="0" showInputMessage="1" showErrorMessage="1" allowBlank="1" errorTitle="Invalid Hazard Class(es)" error="The value provided is not a valid Hazard Class(es)." promptTitle="Hazard Class(es)" prompt="Please select a valid Hazard Class(es)" type="list">
      <formula1>'WAYFAIR_USE_ONLY'!$JS$7:$JS23</formula1>
    </dataValidation>
    <dataValidation sqref="EC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'WAYFAIR_USE_ONLY'!$JS$7:$JS23</formula1>
    </dataValidation>
    <dataValidation sqref="ED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D8:ED2500" showDropDown="0" showInputMessage="1" showErrorMessage="1" allowBlank="1" errorTitle="Invalid Packing Group" error="The value provided is not a valid Packing Group." promptTitle="Packing Group" prompt="Please select a valid Packing Group" type="list">
      <formula1>'WAYFAIR_USE_ONLY'!$JT$7:$JT12</formula1>
    </dataValidation>
    <dataValidation sqref="ED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'WAYFAIR_USE_ONLY'!$JT$7:$JT12</formula1>
    </dataValidation>
    <dataValidation sqref="EE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E8:EE250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'WAYFAIR_USE_ONLY'!$JU$7:$JU19</formula1>
    </dataValidation>
    <dataValidation sqref="EE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'WAYFAIR_USE_ONLY'!$JU$7:$JU19</formula1>
    </dataValidation>
    <dataValidation sqref="EF8:EF2500"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'WAYFAIR_USE_ONLY'!$JW$7:$JW11</formula1>
    </dataValidation>
    <dataValidation sqref="EF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'WAYFAIR_USE_ONLY'!$JW$7:$JW11</formula1>
    </dataValidation>
    <dataValidation sqref="EG8:EG2500" showDropDown="0" showInputMessage="1" showErrorMessage="1" allowBlank="1" errorTitle="Invalid ISTA Certified" error="The value provided is not a valid ISTA Certified." promptTitle="ISTA Certified" prompt="Please select a valid ISTA Certified" type="list">
      <formula1>'WAYFAIR_USE_ONLY'!$JX$7:$JX10</formula1>
    </dataValidation>
    <dataValidation sqref="EG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'WAYFAIR_USE_ONLY'!$JX$7:$JX10</formula1>
    </dataValidation>
    <dataValidation sqref="EH8:EH2500" showDropDown="0" showInputMessage="1" showErrorMessage="1" allowBlank="1" errorTitle="Invalid California AB-1817 Compl" error="The value provided is not a valid California AB-1817 Compliant (CA PFAS)." promptTitle="California AB-1817 Compliant (CA" prompt="Please select a valid California AB-1817 Compliant (CA PFAS)" type="list">
      <formula1>'WAYFAIR_USE_ONLY'!$JY$7:$JY11</formula1>
    </dataValidation>
    <dataValidation sqref="EH7" showDropDown="0" showInputMessage="1" showErrorMessage="1" allowBlank="1" errorTitle="Invalid California AB-1817 Compl" error="The value provided is not a valid California AB-1817 Compliant (CA PFAS)." promptTitle="" prompt="If all products in this class consistently have the same answer, you can set a default value to apply automatically. For any exceptions, you can modify the answer for specific products without changing the default." type="list">
      <formula1>'WAYFAIR_USE_ONLY'!$JY$7:$JY11</formula1>
    </dataValidation>
    <dataValidation sqref="EI8:EI2500" showDropDown="0" showInputMessage="1" showErrorMessage="1" allowBlank="1" errorTitle="Invalid SOR/2016-193 - Surface C" error="The value provided is not a valid SOR/2016-193 - Surface Coating Materials Regulations." promptTitle="SOR/2016-193 - Surface Coating M" prompt="Please select a valid SOR/2016-193 - Surface Coating Materials Regulations" type="list">
      <formula1>'WAYFAIR_USE_ONLY'!$JZ$7:$JZ11</formula1>
    </dataValidation>
    <dataValidation sqref="EI7" showDropDown="0" showInputMessage="1" showErrorMessage="1" allowBlank="1" errorTitle="Invalid SOR/2016-193 - Surface C" error="The value provided is not a valid SOR/2016-193 - Surface Coating Materials Regulations." promptTitle="" prompt="If all products in this class consistently have the same answer, you can set a default value to apply automatically. For any exceptions, you can modify the answer for specific products without changing the default." type="list">
      <formula1>'WAYFAIR_USE_ONLY'!$JZ$7:$JZ11</formula1>
    </dataValidation>
    <dataValidation sqref="EJ8:EJ2500" showDropDown="0" showInputMessage="1" showErrorMessage="1" allowBlank="1" errorTitle="Invalid Consumer Product Safety " error="The value provided is not a valid Consumer Product Safety Improvement Act (CPSIA) Compliant." promptTitle="Consumer Product Safety Improvem" prompt="Please select a valid Consumer Product Safety Improvement Act (CPSIA) Compliant" type="list">
      <formula1>'WAYFAIR_USE_ONLY'!$KA$7:$KA11</formula1>
    </dataValidation>
    <dataValidation sqref="EJ7" showDropDown="0" showInputMessage="1" showErrorMessage="1" allowBlank="1" errorTitle="Invalid Consumer Product Safety " error="The value provided is not a valid Consumer Product Safety Improvement Act (CPSIA) Compliant." promptTitle="" prompt="If all products in this class consistently have the same answer, you can set a default value to apply automatically. For any exceptions, you can modify the answer for specific products without changing the default." type="list">
      <formula1>'WAYFAIR_USE_ONLY'!$KA$7:$KA11</formula1>
    </dataValidation>
    <dataValidation sqref="EK8:EK2500" showDropDown="0" showInputMessage="1" showErrorMessage="1" allowBlank="1" errorTitle="Invalid CPSC - 16 CFR 1303 Compl" error="The value provided is not a valid CPSC - 16 CFR 1303 Compliant." promptTitle="CPSC - 16 CFR 1303 Compliant" prompt="Please select a valid CPSC - 16 CFR 1303 Compliant" type="list">
      <formula1>'WAYFAIR_USE_ONLY'!$KB$7:$KB10</formula1>
    </dataValidation>
    <dataValidation sqref="EK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'WAYFAIR_USE_ONLY'!$KB$7:$KB10</formula1>
    </dataValidation>
    <dataValidation sqref="EL8:EL250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'WAYFAIR_USE_ONLY'!$KC$7:$KC10</formula1>
    </dataValidation>
    <dataValidation sqref="EL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'WAYFAIR_USE_ONLY'!$KC$7:$KC10</formula1>
    </dataValidation>
    <dataValidation sqref="EM8:EM2500" showDropDown="0" showInputMessage="1" showErrorMessage="1" allowBlank="1" errorTitle="Invalid US Mattress Flammability" error="The value provided is not a valid US Mattress Flammability Regulations Compliant." promptTitle="US Mattress Flammability Regulat" prompt="Please select a valid US Mattress Flammability Regulations Compliant" type="list">
      <formula1>'WAYFAIR_USE_ONLY'!$KD$7:$KD12</formula1>
    </dataValidation>
    <dataValidation sqref="EM7" showDropDown="0" showInputMessage="1" showErrorMessage="1" allowBlank="1" errorTitle="Invalid US Mattress Flammability" error="The value provided is not a valid US Mattress Flammabilit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'WAYFAIR_USE_ONLY'!$KD$7:$KD12</formula1>
    </dataValidation>
    <dataValidation sqref="EN8:EN2500" showDropDown="0" showInputMessage="1" showErrorMessage="1" allowBlank="0" errorTitle="Invalid Number" error="The value provided is not a valid Number." promptTitle="Overall Height - Top to Bottom" prompt="Please enter Number" type="textLength" errorStyle="warning" operator="lessThanOrEqual">
      <formula1>32767</formula1>
    </dataValidation>
    <dataValidation sqref="E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O8:EO2500" showDropDown="0" showInputMessage="1" showErrorMessage="1" allowBlank="0" errorTitle="Invalid Number" error="The value provided is not a valid Number." promptTitle="Overall Width - Side to Side" prompt="Please enter Number" type="textLength" errorStyle="warning" operator="lessThanOrEqual">
      <formula1>32767</formula1>
    </dataValidation>
    <dataValidation sqref="E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P8:EP2500" showDropDown="0" showInputMessage="1" showErrorMessage="1" allowBlank="0" errorTitle="Invalid Number" error="The value provided is not a valid Number." promptTitle="Overall Length - Head to Toe" prompt="Please enter Number" type="textLength" errorStyle="warning" operator="lessThanOrEqual">
      <formula1>32767</formula1>
    </dataValidation>
    <dataValidation sqref="E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Q8:EQ250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R8:ER2500" showDropDown="0" showInputMessage="1" showErrorMessage="1" allowBlank="0" errorTitle="Invalid Number" error="The value provided is not a valid Number." promptTitle="Clearance - Floor to Bottom" prompt="Please enter Number" type="textLength" errorStyle="warning" operator="lessThanOrEqual">
      <formula1>32767</formula1>
    </dataValidation>
    <dataValidation sqref="E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S8:ES2500" showDropDown="0" showInputMessage="1" showErrorMessage="1" allowBlank="0" errorTitle="Invalid Number" error="The value provided is not a valid Number." promptTitle="Headboard Height - Top to Bottom" prompt="Please enter Number" type="textLength" errorStyle="warning" operator="lessThanOrEqual">
      <formula1>32767</formula1>
    </dataValidation>
    <dataValidation sqref="E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T8:ET2500" showDropDown="0" showInputMessage="1" showErrorMessage="1" allowBlank="0" errorTitle="Invalid Number" error="The value provided is not a valid Number." promptTitle="Headboard Width - Side to Side" prompt="Please enter Number" type="textLength" errorStyle="warning" operator="lessThanOrEqual">
      <formula1>32767</formula1>
    </dataValidation>
    <dataValidation sqref="E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U8:EU2500" showDropDown="0" showInputMessage="1" showErrorMessage="1" allowBlank="0" errorTitle="Invalid Number" error="The value provided is not a valid Number." promptTitle="Headboard Depth - Front to Back" prompt="Please enter Number" type="textLength" errorStyle="warning" operator="lessThanOrEqual">
      <formula1>32767</formula1>
    </dataValidation>
    <dataValidation sqref="E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V8:EV2500" showDropDown="0" showInputMessage="1" showErrorMessage="1" allowBlank="1" errorTitle="Invalid Assembly Required" error="The value provided is not a valid Assembly Required." promptTitle="Assembly Required" prompt="Please select a valid Assembly Required" type="list">
      <formula1>'WAYFAIR_USE_ONLY'!$KE$7:$KE9</formula1>
    </dataValidation>
    <dataValidation sqref="EV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'WAYFAIR_USE_ONLY'!$KE$7:$KE9</formula1>
    </dataValidation>
    <dataValidation sqref="EW8:EW2500" showDropDown="0" showInputMessage="1" showErrorMessage="1" allowBlank="1" errorTitle="Invalid Level of Assembly" error="The value provided is not a valid Level of Assembly." promptTitle="Level of Assembly" prompt="Please select a valid Level of Assembly" type="list">
      <formula1>'WAYFAIR_USE_ONLY'!$KF$7:$KF11</formula1>
    </dataValidation>
    <dataValidation sqref="EW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'WAYFAIR_USE_ONLY'!$KF$7:$KF11</formula1>
    </dataValidation>
    <dataValidation sqref="E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Y8:EY2500" showDropDown="0" showInputMessage="1" showErrorMessage="1" allowBlank="1" errorTitle="Invalid Commercial Warranty" error="The value provided is not a valid Commercial Warranty." promptTitle="Commercial Warranty" prompt="Please select a valid Commercial Warranty" type="list">
      <formula1>'WAYFAIR_USE_ONLY'!$KH$7:$KH10</formula1>
    </dataValidation>
    <dataValidation sqref="EY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'WAYFAIR_USE_ONLY'!$KH$7:$KH10</formula1>
    </dataValidation>
    <dataValidation sqref="EZ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Z8:EZ250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'WAYFAIR_USE_ONLY'!$KG$7:$KG32</formula1>
    </dataValidation>
    <dataValidation sqref="EZ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'WAYFAIR_USE_ONLY'!$KG$7:$KG32</formula1>
    </dataValidation>
    <dataValidation sqref="FA8:FA2500" showDropDown="0" showInputMessage="1" showErrorMessage="1" allowBlank="1" errorTitle="Invalid Product Warranty" error="The value provided is not a valid Product Warranty." promptTitle="Product Warranty" prompt="Please select a valid Product Warranty" type="list">
      <formula1>'WAYFAIR_USE_ONLY'!$KI$7:$KI9</formula1>
    </dataValidation>
    <dataValidation sqref="FA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'WAYFAIR_USE_ONLY'!$KI$7:$KI9</formula1>
    </dataValidation>
    <dataValidation sqref="FB8:FB250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'WAYFAIR_USE_ONLY'!$KJ$7:$KJ10</formula1>
    </dataValidation>
    <dataValidation sqref="FB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'WAYFAIR_USE_ONLY'!$KJ$7:$KJ10</formula1>
    </dataValidation>
    <dataValidation sqref="F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J6" location="'Valid Values'!B1" display="Select"/>
    <hyperlink ref="L6" location="'Valid Values'!F1" display="Select"/>
    <hyperlink ref="N6" location="'Valid Values'!F1" display="Select"/>
    <hyperlink ref="P6" location="'Valid Values'!F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GG1" display="Select"/>
    <hyperlink ref="BP6" location="'Valid Values'!GH1" display="Please choose one or more from the following, using a semicolon (;) to separate each value: Blue; Black; Brown; Red; Beige; Yellow; Pink; Purple; Gold; White; Ivory; Tan; Teal; Navy; Orange; Silver; Gray; Green; Cream; Clear"/>
    <hyperlink ref="BQ6" location="'Valid Values'!GI1" display="Select"/>
    <hyperlink ref="BR6" location="'Valid Values'!GJ1" display="Please choose one or more from the following, using a semicolon (;) to separate each value: Wicker / Rattan; Stainless Steel; Raffia; Solid + Manufactured Wood; Iron; Cane; Aluminum; Manufactured Wood; Nickel; Brass; Copper; Metal; Solid Wood; Unavailable"/>
    <hyperlink ref="BU6" location="'Valid Values'!GK1" display="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
    <hyperlink ref="BV6" location="'Valid Values'!GL1" display="Select"/>
    <hyperlink ref="BX6" location="'Valid Values'!GM1" display="Please choose one or more from the following, using a semicolon (;) to separate each value: Manufactured Wood; Wood; Metal; Solid Wood; Solid + Manufactured Wood; Plywood; Bamboo; Unavailable; Does Not Apply"/>
    <hyperlink ref="CB6" location="'Valid Values'!GN1" display="Please choose one or more from the following, using a semicolon (;) to separate each value: Cabinet; Footboard Storage; No Storage Included; Shelves; Drawers; Lift Up Storage; Unavailable; Does Not Apply"/>
    <hyperlink ref="CF6" location="'Valid Values'!GO1" display="Please choose one or more from the following, using a semicolon (;) to separate each value: No Natural Variation; Natural Wood Grain Color Variation; Weathered Steel; Wood Knots; Natural Stone Color Variation; Unavailable"/>
    <hyperlink ref="CG6" location="'Valid Values'!G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H6" location="'Valid Values'!GQ1" display="Please choose one or more from the following, using a semicolon (;) to separate each value: Non Residential Use; Residential Use"/>
    <hyperlink ref="CI6" location="'Valid Values'!GR1" display="Please choose one or more from the following, using a semicolon (;) to separate each value: Made in USA; Made in USA of Imported Materials; Product of Canada; Made In Canada; Does Not Apply"/>
    <hyperlink ref="CJ6" location="'Valid Values'!GS1" display="Select"/>
    <hyperlink ref="CL6" location="'Valid Values'!GT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M6" location="'Valid Values'!GU1" display="Please choose one or more from the following, using a semicolon (;) to separate each value: Striped; Plaid; Chevron; Damask; Paisley; Geometric; Abstract; Gingham; Animal Print; Camouflage; Polka Dots; Ikat; Houndstooth; Toile; Patchwork; Ombre; Checkered; Floral; Argyle; Solid Color; No Pattern; Trellis; Dots; Starburst; Geometric Shapes; Marble; Brick; Irish Chain; Wood &amp; Shiplap; Chevron / Zig Zag; Clear; Stone; Drunkard's Path; Moroccan; Oriental; Block Print; Arc; Vintage Look; Does Not Apply"/>
    <hyperlink ref="CO6" location="'Valid Values'!GV1" display="Select"/>
    <hyperlink ref="CP6" location="'Valid Values'!GW1" display="Select"/>
    <hyperlink ref="CQ6" location="'Valid Values'!GX1" display="Select"/>
    <hyperlink ref="CR6" location="'Valid Values'!GY1" display="Select"/>
    <hyperlink ref="CS6" location="'Valid Values'!GZ1" display="Select"/>
    <hyperlink ref="CT6" location="'Valid Values'!HA1" display="Select"/>
    <hyperlink ref="CU6" location="'Valid Values'!HB1" display="Select"/>
    <hyperlink ref="CZ6" location="'Valid Values'!HC1" display="Select"/>
    <hyperlink ref="DB6" location="'Valid Values'!HD1" display="Select"/>
    <hyperlink ref="DC6" location="'Valid Values'!HE1" display="Select"/>
    <hyperlink ref="DD6" location="'Valid Values'!HF1" display="Select"/>
    <hyperlink ref="DE6" location="'Valid Values'!HG1" display="Please choose one or more from the following, using a semicolon (;) to separate each value: Built In Outlet (AC); Built in USB-C Port; LED Lighting Included; Lighting Included; Built In Speaker; Reclining Headboard Function; Built In USB Port; Adjustable Lighting; Unavailable; Does Not Apply"/>
    <hyperlink ref="DH6" location="'Valid Values'!HH1" display="Please choose one or more from the following, using a semicolon (;) to separate each value: Box Spring; Drawers; Footboard; Headboard; Mattress; Trundle Bed; Center Support Legs; Slat Kit; Unavailable; Does Not Apply"/>
    <hyperlink ref="DJ6" location="'Valid Values'!HI1" display="Please choose one or more from the following, using a semicolon (;) to separate each value: InsideOut®; Sustain®; Sunbrella®; Revolution Performance Fabric®; Livesmart®; Perennials®; Outdura; Crypton®; Suncrylic; Richloom Fortress® Home Performance; Eco Ease® Performance Fabric; Unavailable; Does Not Apply"/>
    <hyperlink ref="DM6" location="'Valid Values'!HJ1" display="Select"/>
    <hyperlink ref="DN6" location="'Valid Values'!HK1" display="Select"/>
    <hyperlink ref="DO6" location="'Valid Values'!HL1" display="Select"/>
    <hyperlink ref="DP6" location="'Valid Values'!HM1" display="Select"/>
    <hyperlink ref="DQ6" location="'Valid Values'!HN1" display="Select"/>
    <hyperlink ref="DR6" location="'Valid Values'!HO1" display="Select"/>
    <hyperlink ref="DS6" location="'Valid Values'!HP1" display="Select"/>
    <hyperlink ref="DU6" location="'Valid Values'!HQ1" display="Please choose one or more from the following, using a semicolon (;) to separate each value: Dual Language; Distribution Conflict; Logistics; Does Not Apply"/>
    <hyperlink ref="DV6" location="'Valid Values'!HR1" display="Select"/>
    <hyperlink ref="DW6" location="'Valid Values'!HS1" display="Select"/>
    <hyperlink ref="DY6" location="'Valid Values'!HT1" display="Select"/>
    <hyperlink ref="DZ6" location="'Valid Values'!HU1" display="Select"/>
    <hyperlink ref="EB6" location="'Valid Values'!HV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EC6" location="'Valid Values'!HW1" display="Select"/>
    <hyperlink ref="ED6" location="'Valid Values'!HX1" display="Select"/>
    <hyperlink ref="EE6" location="'Valid Values'!HY1" display="Select"/>
    <hyperlink ref="EF6" location="'Valid Values'!HZ1" display="Select"/>
    <hyperlink ref="EG6" location="'Valid Values'!IA1" display="Select"/>
    <hyperlink ref="EH6" location="'Valid Values'!IB1" display="Select"/>
    <hyperlink ref="EI6" location="'Valid Values'!IC1" display="Select"/>
    <hyperlink ref="EJ6" location="'Valid Values'!ID1" display="Select"/>
    <hyperlink ref="EK6" location="'Valid Values'!IE1" display="Select"/>
    <hyperlink ref="EM6" location="'Valid Values'!IF1" display="Select"/>
    <hyperlink ref="EW6" location="'Valid Values'!IG1" display="Select"/>
    <hyperlink ref="EX6" location="'Valid Values'!IH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Z6" location="'Valid Values'!II1" display="Select"/>
    <hyperlink ref="FB6" location="'Valid Values'!IJ1" display="Select"/>
    <hyperlink ref="FC6" location="'Valid Values'!IK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FC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8.7109375" customWidth="1" style="22" min="67" max="67"/>
    <col width="10.7109375" customWidth="1" style="22" min="68" max="68"/>
    <col width="15.7109375" customWidth="1" style="22" min="69" max="69"/>
    <col width="23.7109375" customWidth="1" style="22" min="70" max="70"/>
    <col width="22.7109375" customWidth="1" style="22" min="71" max="71"/>
    <col width="16.7109375" customWidth="1" style="22" min="72" max="72"/>
    <col width="24.7109375" customWidth="1" style="22" min="73" max="73"/>
    <col width="22.7109375" customWidth="1" style="22" min="74" max="74"/>
    <col width="24.7109375" customWidth="1" style="22" min="75" max="75"/>
    <col width="18.7109375" customWidth="1" style="22" min="76" max="76"/>
    <col width="24.7109375" customWidth="1" style="22" min="77" max="77"/>
    <col width="20.7109375" customWidth="1" style="22" min="78" max="78"/>
    <col width="23.7109375" customWidth="1" style="22" min="79" max="79"/>
    <col width="29.7109375" customWidth="1" style="22" min="80" max="80"/>
    <col width="21.7109375" customWidth="1" style="22" min="81" max="81"/>
    <col width="40.7109375" customWidth="1" style="22" min="82" max="82"/>
    <col width="12.7109375" customWidth="1" style="22" min="83" max="83"/>
    <col width="27.7109375" customWidth="1" style="22" min="84" max="84"/>
    <col width="32.7109375" customWidth="1" style="22" min="85" max="85"/>
    <col width="39.7109375" customWidth="1" style="22" min="86" max="86"/>
    <col width="43.7109375" customWidth="1" style="22" min="87" max="87"/>
    <col width="29.7109375" customWidth="1" style="22" min="88" max="88"/>
    <col width="20.7109375" customWidth="1" style="22" min="89" max="89"/>
    <col width="17.7109375" customWidth="1" style="22" min="90" max="90"/>
    <col width="12.7109375" customWidth="1" style="22" min="91" max="91"/>
    <col width="34.7109375" customWidth="1" style="22" min="92" max="92"/>
    <col width="24.7109375" customWidth="1" style="22" min="93" max="93"/>
    <col width="17.7109375" customWidth="1" style="22" min="94" max="94"/>
    <col width="24.7109375" customWidth="1" style="22" min="95" max="95"/>
    <col width="21.7109375" customWidth="1" style="22" min="96" max="96"/>
    <col width="20.7109375" customWidth="1" style="22" min="97" max="97"/>
    <col width="35.7109375" customWidth="1" style="22" min="98" max="98"/>
    <col width="30.7109375" customWidth="1" style="22" min="99" max="99"/>
    <col width="11.7109375" customWidth="1" style="22" min="100" max="100"/>
    <col width="18.7109375" customWidth="1" style="22" min="101" max="101"/>
    <col width="15.7109375" customWidth="1" style="22" min="102" max="102"/>
    <col width="18.7109375" customWidth="1" style="22" min="103" max="103"/>
    <col width="27.7109375" customWidth="1" style="22" min="104" max="104"/>
    <col width="22.7109375" customWidth="1" style="22" min="105" max="105"/>
    <col width="17.7109375" customWidth="1" style="22" min="106" max="106"/>
    <col width="30.7109375" customWidth="1" style="22" min="107" max="107"/>
    <col width="20.7109375" customWidth="1" style="22" min="108" max="108"/>
    <col width="35.7109375" customWidth="1" style="22" min="109" max="109"/>
    <col width="21.7109375" customWidth="1" style="22" min="110" max="111"/>
    <col width="20.7109375" customWidth="1" style="22" min="112" max="112"/>
    <col width="34.7109375" customWidth="1" style="22" min="113" max="113"/>
    <col width="42.7109375" customWidth="1" style="22" min="114" max="114"/>
    <col width="38.7109375" customWidth="1" style="22" min="115" max="115"/>
    <col width="33.7109375" customWidth="1" style="22" min="116" max="116"/>
    <col width="53.7109375" customWidth="1" style="22" min="117" max="118"/>
    <col width="21.7109375" customWidth="1" style="22" min="119" max="119"/>
    <col width="27.7109375" customWidth="1" style="22" min="120" max="120"/>
    <col width="25.7109375" customWidth="1" style="22" min="121" max="121"/>
    <col width="30.7109375" customWidth="1" style="22" min="122" max="122"/>
    <col width="64.7109375" customWidth="1" style="22" min="123" max="123"/>
    <col width="31.7109375" customWidth="1" style="22" min="124" max="124"/>
    <col width="27.7109375" customWidth="1" style="22" min="125" max="125"/>
    <col width="68.7109375" customWidth="1" style="22" min="126" max="126"/>
    <col width="52.7109375" customWidth="1" style="22" min="127" max="127"/>
    <col width="20.7109375" customWidth="1" style="22" min="128" max="128"/>
    <col width="41.7109375" customWidth="1" style="22" min="129" max="129"/>
    <col width="44.7109375" customWidth="1" style="22" min="130" max="130"/>
    <col width="41.7109375" customWidth="1" style="22" min="131" max="131"/>
    <col width="20.7109375" customWidth="1" style="22" min="132" max="132"/>
    <col width="21.7109375" customWidth="1" style="22" min="133" max="133"/>
    <col width="18.7109375" customWidth="1" style="22" min="134" max="134"/>
    <col width="30.7109375" customWidth="1" style="22" min="135" max="135"/>
    <col width="47.7109375" customWidth="1" style="22" min="136" max="136"/>
    <col width="19.7109375" customWidth="1" style="22" min="137" max="137"/>
    <col width="43.7109375" customWidth="1" style="22" min="138" max="138"/>
    <col width="57.7109375" customWidth="1" style="22" min="139" max="139"/>
    <col width="62.7109375" customWidth="1" style="22" min="140" max="140"/>
    <col width="33.7109375" customWidth="1" style="22" min="141" max="141"/>
    <col width="79.7109375" customWidth="1" style="22" min="142" max="142"/>
    <col width="51.7109375" customWidth="1" style="22" min="143" max="143"/>
    <col width="35.7109375" customWidth="1" style="22" min="144" max="144"/>
    <col width="33.7109375" customWidth="1" style="22" min="145" max="146"/>
    <col width="27.7109375" customWidth="1" style="22" min="147" max="147"/>
    <col width="32.7109375" customWidth="1" style="22" min="148" max="148"/>
    <col width="37.7109375" customWidth="1" style="22" min="149" max="149"/>
    <col width="35.7109375" customWidth="1" style="22" min="150" max="150"/>
    <col width="36.7109375" customWidth="1" style="22" min="151" max="151"/>
    <col width="22.7109375" customWidth="1" style="22" min="152" max="153"/>
    <col width="45.7109375" customWidth="1" style="22" min="154" max="154"/>
    <col width="24.7109375" customWidth="1" style="22" min="155" max="155"/>
    <col width="31.7109375" customWidth="1" style="22" min="156" max="156"/>
    <col width="21.7109375" customWidth="1" style="22" min="157" max="157"/>
    <col width="29.7109375" customWidth="1" style="22" min="158" max="158"/>
    <col width="20.7109375" customWidth="1" style="22" min="159" max="159"/>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4170</t>
        </is>
      </c>
      <c r="BP1" s="22" t="inlineStr">
        <is>
          <t>378114</t>
        </is>
      </c>
      <c r="BQ1" s="22" t="inlineStr">
        <is>
          <t>184838</t>
        </is>
      </c>
      <c r="BR1" s="22" t="inlineStr">
        <is>
          <t>4164</t>
        </is>
      </c>
      <c r="BS1" s="22" t="inlineStr">
        <is>
          <t>224148</t>
        </is>
      </c>
      <c r="BT1" s="22" t="inlineStr">
        <is>
          <t>4166</t>
        </is>
      </c>
      <c r="BU1" s="22" t="inlineStr">
        <is>
          <t>4446</t>
        </is>
      </c>
      <c r="BV1" s="22" t="inlineStr">
        <is>
          <t>224163</t>
        </is>
      </c>
      <c r="BW1" s="22" t="inlineStr">
        <is>
          <t>4179</t>
        </is>
      </c>
      <c r="BX1" s="22" t="inlineStr">
        <is>
          <t>250332</t>
        </is>
      </c>
      <c r="BY1" s="22" t="inlineStr">
        <is>
          <t>4185</t>
        </is>
      </c>
      <c r="BZ1" s="22" t="inlineStr">
        <is>
          <t>4198</t>
        </is>
      </c>
      <c r="CA1" s="22" t="inlineStr">
        <is>
          <t>4178</t>
        </is>
      </c>
      <c r="CB1" s="22" t="inlineStr">
        <is>
          <t>242937</t>
        </is>
      </c>
      <c r="CC1" s="22" t="inlineStr">
        <is>
          <t>4223</t>
        </is>
      </c>
      <c r="CD1" s="22" t="inlineStr">
        <is>
          <t>218965</t>
        </is>
      </c>
      <c r="CE1" s="22" t="inlineStr">
        <is>
          <t>189877</t>
        </is>
      </c>
      <c r="CF1" s="22" t="inlineStr">
        <is>
          <t>222864</t>
        </is>
      </c>
      <c r="CG1" s="22" t="inlineStr">
        <is>
          <t>222865</t>
        </is>
      </c>
      <c r="CH1" s="22" t="inlineStr">
        <is>
          <t>223513</t>
        </is>
      </c>
      <c r="CI1" s="22" t="inlineStr">
        <is>
          <t>244542</t>
        </is>
      </c>
      <c r="CJ1" s="22" t="inlineStr">
        <is>
          <t>293470</t>
        </is>
      </c>
      <c r="CK1" s="22" t="inlineStr">
        <is>
          <t>293542</t>
        </is>
      </c>
      <c r="CL1" s="22" t="inlineStr">
        <is>
          <t>185256</t>
        </is>
      </c>
      <c r="CM1" s="22" t="inlineStr">
        <is>
          <t>336669</t>
        </is>
      </c>
      <c r="CN1" s="22" t="inlineStr">
        <is>
          <t>340102</t>
        </is>
      </c>
      <c r="CO1" s="22" t="inlineStr">
        <is>
          <t>340616</t>
        </is>
      </c>
      <c r="CP1" s="22" t="inlineStr">
        <is>
          <t>342726</t>
        </is>
      </c>
      <c r="CQ1" s="22" t="inlineStr">
        <is>
          <t>367366</t>
        </is>
      </c>
      <c r="CR1" s="22" t="inlineStr">
        <is>
          <t>342735</t>
        </is>
      </c>
      <c r="CS1" s="22" t="inlineStr">
        <is>
          <t>343332</t>
        </is>
      </c>
      <c r="CT1" s="22" t="inlineStr">
        <is>
          <t>343325</t>
        </is>
      </c>
      <c r="CU1" s="22" t="inlineStr">
        <is>
          <t>352587</t>
        </is>
      </c>
      <c r="CV1" s="22" t="inlineStr">
        <is>
          <t>4450</t>
        </is>
      </c>
      <c r="CW1" s="22" t="inlineStr">
        <is>
          <t>250237</t>
        </is>
      </c>
      <c r="CX1" s="22" t="inlineStr">
        <is>
          <t>370849</t>
        </is>
      </c>
      <c r="CY1" s="22" t="inlineStr">
        <is>
          <t>4191</t>
        </is>
      </c>
      <c r="CZ1" s="22" t="inlineStr">
        <is>
          <t>292745</t>
        </is>
      </c>
      <c r="DA1" s="22" t="inlineStr">
        <is>
          <t>4455</t>
        </is>
      </c>
      <c r="DB1" s="22" t="inlineStr">
        <is>
          <t>224155</t>
        </is>
      </c>
      <c r="DC1" s="22" t="inlineStr">
        <is>
          <t>224158</t>
        </is>
      </c>
      <c r="DD1" s="22" t="inlineStr">
        <is>
          <t>252472</t>
        </is>
      </c>
      <c r="DE1" s="22" t="inlineStr">
        <is>
          <t>384474</t>
        </is>
      </c>
      <c r="DF1" s="22" t="inlineStr">
        <is>
          <t>393968</t>
        </is>
      </c>
      <c r="DG1" s="22" t="inlineStr">
        <is>
          <t>400771</t>
        </is>
      </c>
      <c r="DH1" s="22" t="inlineStr">
        <is>
          <t>420141</t>
        </is>
      </c>
      <c r="DI1" s="22" t="inlineStr">
        <is>
          <t>4477</t>
        </is>
      </c>
      <c r="DJ1" s="22" t="inlineStr">
        <is>
          <t>378924</t>
        </is>
      </c>
      <c r="DK1" s="22" t="inlineStr">
        <is>
          <t>243577</t>
        </is>
      </c>
      <c r="DL1" s="22" t="inlineStr">
        <is>
          <t>201436</t>
        </is>
      </c>
      <c r="DM1" s="22" t="inlineStr">
        <is>
          <t>224768</t>
        </is>
      </c>
      <c r="DN1" s="22" t="inlineStr">
        <is>
          <t>224989</t>
        </is>
      </c>
      <c r="DO1" s="22" t="inlineStr">
        <is>
          <t>364707</t>
        </is>
      </c>
      <c r="DP1" s="22" t="inlineStr">
        <is>
          <t>224311</t>
        </is>
      </c>
      <c r="DQ1" s="22" t="inlineStr">
        <is>
          <t>225358</t>
        </is>
      </c>
      <c r="DR1" s="22" t="inlineStr">
        <is>
          <t>202653</t>
        </is>
      </c>
      <c r="DS1" s="22" t="inlineStr">
        <is>
          <t>236086</t>
        </is>
      </c>
      <c r="DT1" s="22" t="inlineStr">
        <is>
          <t>249274</t>
        </is>
      </c>
      <c r="DU1" s="22" t="inlineStr">
        <is>
          <t>251018</t>
        </is>
      </c>
      <c r="DV1" s="22" t="inlineStr">
        <is>
          <t>246161</t>
        </is>
      </c>
      <c r="DW1" s="22" t="inlineStr">
        <is>
          <t>246188</t>
        </is>
      </c>
      <c r="DX1" s="22" t="inlineStr">
        <is>
          <t>295637</t>
        </is>
      </c>
      <c r="DY1" s="22" t="inlineStr">
        <is>
          <t>243578</t>
        </is>
      </c>
      <c r="DZ1" s="22" t="inlineStr">
        <is>
          <t>4213</t>
        </is>
      </c>
      <c r="EA1" s="22" t="inlineStr">
        <is>
          <t>340095</t>
        </is>
      </c>
      <c r="EB1" s="22" t="inlineStr">
        <is>
          <t>373566</t>
        </is>
      </c>
      <c r="EC1" s="22" t="inlineStr">
        <is>
          <t>341882</t>
        </is>
      </c>
      <c r="ED1" s="22" t="inlineStr">
        <is>
          <t>341883</t>
        </is>
      </c>
      <c r="EE1" s="22" t="inlineStr">
        <is>
          <t>369622</t>
        </is>
      </c>
      <c r="EF1" s="22" t="inlineStr">
        <is>
          <t>382037</t>
        </is>
      </c>
      <c r="EG1" s="22" t="inlineStr">
        <is>
          <t>385924</t>
        </is>
      </c>
      <c r="EH1" s="22" t="inlineStr">
        <is>
          <t>394170</t>
        </is>
      </c>
      <c r="EI1" s="22" t="inlineStr">
        <is>
          <t>399936</t>
        </is>
      </c>
      <c r="EJ1" s="22" t="inlineStr">
        <is>
          <t>400793</t>
        </is>
      </c>
      <c r="EK1" s="22" t="inlineStr">
        <is>
          <t>412911</t>
        </is>
      </c>
      <c r="EL1" s="22" t="inlineStr">
        <is>
          <t>415139</t>
        </is>
      </c>
      <c r="EM1" s="22" t="inlineStr">
        <is>
          <t>421402</t>
        </is>
      </c>
      <c r="EN1" s="22" t="inlineStr">
        <is>
          <t>4215</t>
        </is>
      </c>
      <c r="EO1" s="22" t="inlineStr">
        <is>
          <t>4216</t>
        </is>
      </c>
      <c r="EP1" s="22" t="inlineStr">
        <is>
          <t>4217</t>
        </is>
      </c>
      <c r="EQ1" s="22" t="inlineStr">
        <is>
          <t>4218</t>
        </is>
      </c>
      <c r="ER1" s="22" t="inlineStr">
        <is>
          <t>4227</t>
        </is>
      </c>
      <c r="ES1" s="22" t="inlineStr">
        <is>
          <t>4486</t>
        </is>
      </c>
      <c r="ET1" s="22" t="inlineStr">
        <is>
          <t>4485</t>
        </is>
      </c>
      <c r="EU1" s="22" t="inlineStr">
        <is>
          <t>4484</t>
        </is>
      </c>
      <c r="EV1" s="22" t="inlineStr">
        <is>
          <t>4231</t>
        </is>
      </c>
      <c r="EW1" s="22" t="inlineStr">
        <is>
          <t>222782</t>
        </is>
      </c>
      <c r="EX1" s="22" t="inlineStr">
        <is>
          <t>222785</t>
        </is>
      </c>
      <c r="EY1" s="22" t="inlineStr">
        <is>
          <t>228892</t>
        </is>
      </c>
      <c r="EZ1" s="22" t="inlineStr">
        <is>
          <t>334025</t>
        </is>
      </c>
      <c r="FA1" s="22" t="inlineStr">
        <is>
          <t>254172</t>
        </is>
      </c>
      <c r="FB1" s="22" t="inlineStr">
        <is>
          <t>255296</t>
        </is>
      </c>
      <c r="FC1" s="22" t="inlineStr">
        <is>
          <t>256095</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1" t="n"/>
      <c r="EU2" s="41" t="n"/>
      <c r="EV2" s="41" t="n"/>
      <c r="EW2" s="41" t="n"/>
      <c r="EX2" s="41" t="n"/>
      <c r="EY2" s="41" t="n"/>
      <c r="EZ2" s="41" t="n"/>
      <c r="FA2" s="41" t="n"/>
      <c r="FB2" s="41" t="n"/>
      <c r="FC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Required</t>
        </is>
      </c>
      <c r="BQ3" s="32" t="inlineStr">
        <is>
          <t>Required</t>
        </is>
      </c>
      <c r="BR3" s="32" t="inlineStr">
        <is>
          <t>Required</t>
        </is>
      </c>
      <c r="BS3" s="32" t="inlineStr">
        <is>
          <t>Recommended</t>
        </is>
      </c>
      <c r="BT3" s="32" t="inlineStr">
        <is>
          <t>Required</t>
        </is>
      </c>
      <c r="BU3" s="32" t="inlineStr">
        <is>
          <t>Recommended</t>
        </is>
      </c>
      <c r="BV3" s="32" t="inlineStr">
        <is>
          <t>Recommended</t>
        </is>
      </c>
      <c r="BW3" s="32" t="inlineStr">
        <is>
          <t>Required</t>
        </is>
      </c>
      <c r="BX3" s="32" t="inlineStr">
        <is>
          <t>Required</t>
        </is>
      </c>
      <c r="BY3" s="32" t="inlineStr">
        <is>
          <t>Recommended</t>
        </is>
      </c>
      <c r="BZ3" s="32" t="inlineStr">
        <is>
          <t>Recommended</t>
        </is>
      </c>
      <c r="CA3" s="32" t="inlineStr">
        <is>
          <t>Recommended</t>
        </is>
      </c>
      <c r="CB3" s="32" t="inlineStr">
        <is>
          <t>Recommended</t>
        </is>
      </c>
      <c r="CC3" s="32" t="inlineStr">
        <is>
          <t>Recommended</t>
        </is>
      </c>
      <c r="CD3" s="32" t="inlineStr">
        <is>
          <t>Recommended</t>
        </is>
      </c>
      <c r="CE3" s="32" t="inlineStr">
        <is>
          <t>Required</t>
        </is>
      </c>
      <c r="CF3" s="32" t="inlineStr">
        <is>
          <t>Recommended</t>
        </is>
      </c>
      <c r="CG3" s="32" t="inlineStr">
        <is>
          <t>Recommended</t>
        </is>
      </c>
      <c r="CH3" s="32" t="inlineStr">
        <is>
          <t>Required</t>
        </is>
      </c>
      <c r="CI3" s="32" t="inlineStr">
        <is>
          <t>Additional</t>
        </is>
      </c>
      <c r="CJ3" s="32" t="inlineStr">
        <is>
          <t>Recommended</t>
        </is>
      </c>
      <c r="CK3" s="32" t="inlineStr">
        <is>
          <t>Recommended</t>
        </is>
      </c>
      <c r="CL3" s="32" t="inlineStr">
        <is>
          <t>Recommended</t>
        </is>
      </c>
      <c r="CM3" s="32" t="inlineStr">
        <is>
          <t>Required</t>
        </is>
      </c>
      <c r="CN3" s="32" t="inlineStr">
        <is>
          <t>Additional</t>
        </is>
      </c>
      <c r="CO3" s="32" t="inlineStr">
        <is>
          <t>Additional</t>
        </is>
      </c>
      <c r="CP3" s="32" t="inlineStr">
        <is>
          <t>Additional</t>
        </is>
      </c>
      <c r="CQ3" s="32" t="inlineStr">
        <is>
          <t>Additional</t>
        </is>
      </c>
      <c r="CR3" s="32" t="inlineStr">
        <is>
          <t>Additional</t>
        </is>
      </c>
      <c r="CS3" s="32" t="inlineStr">
        <is>
          <t>Additional</t>
        </is>
      </c>
      <c r="CT3" s="32" t="inlineStr">
        <is>
          <t>Additional</t>
        </is>
      </c>
      <c r="CU3" s="32" t="inlineStr">
        <is>
          <t>Additional</t>
        </is>
      </c>
      <c r="CV3" s="32" t="inlineStr">
        <is>
          <t>Recommended</t>
        </is>
      </c>
      <c r="CW3" s="32" t="inlineStr">
        <is>
          <t>Required</t>
        </is>
      </c>
      <c r="CX3" s="32" t="inlineStr">
        <is>
          <t>Recommended</t>
        </is>
      </c>
      <c r="CY3" s="32" t="inlineStr">
        <is>
          <t>Recommended</t>
        </is>
      </c>
      <c r="CZ3" s="32" t="inlineStr">
        <is>
          <t>Recommended</t>
        </is>
      </c>
      <c r="DA3" s="32" t="inlineStr">
        <is>
          <t>Recommended</t>
        </is>
      </c>
      <c r="DB3" s="32" t="inlineStr">
        <is>
          <t>Recommended</t>
        </is>
      </c>
      <c r="DC3" s="32" t="inlineStr">
        <is>
          <t>Recommended</t>
        </is>
      </c>
      <c r="DD3" s="32" t="inlineStr">
        <is>
          <t>Recommended</t>
        </is>
      </c>
      <c r="DE3" s="32" t="inlineStr">
        <is>
          <t>Recommended</t>
        </is>
      </c>
      <c r="DF3" s="32" t="inlineStr">
        <is>
          <t>Recommended</t>
        </is>
      </c>
      <c r="DG3" s="32" t="inlineStr">
        <is>
          <t>Recommended</t>
        </is>
      </c>
      <c r="DH3" s="32" t="inlineStr">
        <is>
          <t>Required</t>
        </is>
      </c>
      <c r="DI3" s="32" t="inlineStr">
        <is>
          <t>Recommended</t>
        </is>
      </c>
      <c r="DJ3" s="32" t="inlineStr">
        <is>
          <t>Recommended</t>
        </is>
      </c>
      <c r="DK3" s="32" t="inlineStr">
        <is>
          <t>Required</t>
        </is>
      </c>
      <c r="DL3" s="32" t="inlineStr">
        <is>
          <t>Required</t>
        </is>
      </c>
      <c r="DM3" s="32" t="inlineStr">
        <is>
          <t>Required</t>
        </is>
      </c>
      <c r="DN3" s="32" t="inlineStr">
        <is>
          <t>Required</t>
        </is>
      </c>
      <c r="DO3" s="32" t="inlineStr">
        <is>
          <t>Required</t>
        </is>
      </c>
      <c r="DP3" s="32" t="inlineStr">
        <is>
          <t>Required</t>
        </is>
      </c>
      <c r="DQ3" s="32" t="inlineStr">
        <is>
          <t>Recommended</t>
        </is>
      </c>
      <c r="DR3" s="32" t="inlineStr">
        <is>
          <t>Required</t>
        </is>
      </c>
      <c r="DS3" s="32" t="inlineStr">
        <is>
          <t>Required</t>
        </is>
      </c>
      <c r="DT3" s="32" t="inlineStr">
        <is>
          <t>Required</t>
        </is>
      </c>
      <c r="DU3" s="32" t="inlineStr">
        <is>
          <t>Required</t>
        </is>
      </c>
      <c r="DV3" s="32" t="inlineStr">
        <is>
          <t>Required</t>
        </is>
      </c>
      <c r="DW3" s="32" t="inlineStr">
        <is>
          <t>Required</t>
        </is>
      </c>
      <c r="DX3" s="32" t="inlineStr">
        <is>
          <t>Required</t>
        </is>
      </c>
      <c r="DY3" s="32" t="inlineStr">
        <is>
          <t>Required</t>
        </is>
      </c>
      <c r="DZ3" s="32" t="inlineStr">
        <is>
          <t>Required</t>
        </is>
      </c>
      <c r="EA3" s="32" t="inlineStr">
        <is>
          <t>Additional</t>
        </is>
      </c>
      <c r="EB3" s="32" t="inlineStr">
        <is>
          <t>Additional</t>
        </is>
      </c>
      <c r="EC3" s="32" t="inlineStr">
        <is>
          <t>Additional</t>
        </is>
      </c>
      <c r="ED3" s="32" t="inlineStr">
        <is>
          <t>Additional</t>
        </is>
      </c>
      <c r="EE3" s="32" t="inlineStr">
        <is>
          <t>Additional</t>
        </is>
      </c>
      <c r="EF3" s="32" t="inlineStr">
        <is>
          <t>Required</t>
        </is>
      </c>
      <c r="EG3" s="32" t="inlineStr">
        <is>
          <t>Recommended</t>
        </is>
      </c>
      <c r="EH3" s="32" t="inlineStr">
        <is>
          <t>Required</t>
        </is>
      </c>
      <c r="EI3" s="32" t="inlineStr">
        <is>
          <t>Required</t>
        </is>
      </c>
      <c r="EJ3" s="32" t="inlineStr">
        <is>
          <t>Required</t>
        </is>
      </c>
      <c r="EK3" s="32" t="inlineStr">
        <is>
          <t>Required</t>
        </is>
      </c>
      <c r="EL3" s="32" t="inlineStr">
        <is>
          <t>Recommended</t>
        </is>
      </c>
      <c r="EM3" s="32" t="inlineStr">
        <is>
          <t>Required</t>
        </is>
      </c>
      <c r="EN3" s="32" t="inlineStr">
        <is>
          <t>Required</t>
        </is>
      </c>
      <c r="EO3" s="32" t="inlineStr">
        <is>
          <t>Required</t>
        </is>
      </c>
      <c r="EP3" s="32" t="inlineStr">
        <is>
          <t>Required</t>
        </is>
      </c>
      <c r="EQ3" s="32" t="inlineStr">
        <is>
          <t>Recommended</t>
        </is>
      </c>
      <c r="ER3" s="32" t="inlineStr">
        <is>
          <t>Recommended</t>
        </is>
      </c>
      <c r="ES3" s="32" t="inlineStr">
        <is>
          <t>Recommended</t>
        </is>
      </c>
      <c r="ET3" s="32" t="inlineStr">
        <is>
          <t>Recommended</t>
        </is>
      </c>
      <c r="EU3" s="32" t="inlineStr">
        <is>
          <t>Recommended</t>
        </is>
      </c>
      <c r="EV3" s="32" t="inlineStr">
        <is>
          <t>Required</t>
        </is>
      </c>
      <c r="EW3" s="32" t="inlineStr">
        <is>
          <t>Recommended</t>
        </is>
      </c>
      <c r="EX3" s="32" t="inlineStr">
        <is>
          <t>Recommended</t>
        </is>
      </c>
      <c r="EY3" s="32" t="inlineStr">
        <is>
          <t>Required</t>
        </is>
      </c>
      <c r="EZ3" s="32" t="inlineStr">
        <is>
          <t>Recommended</t>
        </is>
      </c>
      <c r="FA3" s="32" t="inlineStr">
        <is>
          <t>Recommended</t>
        </is>
      </c>
      <c r="FB3" s="32" t="inlineStr">
        <is>
          <t>Recommended</t>
        </is>
      </c>
      <c r="FC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Mattress Size</t>
        </is>
      </c>
      <c r="BP4" s="19" t="inlineStr">
        <is>
          <t>Color</t>
        </is>
      </c>
      <c r="BQ4" s="19" t="inlineStr">
        <is>
          <t>Bed Design</t>
        </is>
      </c>
      <c r="BR4" s="19" t="inlineStr">
        <is>
          <t>Bed Frame Material</t>
        </is>
      </c>
      <c r="BS4" s="19" t="inlineStr">
        <is>
          <t>Wooden Components</t>
        </is>
      </c>
      <c r="BT4" s="19" t="inlineStr">
        <is>
          <t>Upholstered</t>
        </is>
      </c>
      <c r="BU4" s="19" t="inlineStr">
        <is>
          <t>Upholstery Material</t>
        </is>
      </c>
      <c r="BV4" s="19" t="inlineStr">
        <is>
          <t>Faux Leather Type</t>
        </is>
      </c>
      <c r="BW4" s="19" t="inlineStr">
        <is>
          <t>Box Spring Required</t>
        </is>
      </c>
      <c r="BX4" s="19" t="inlineStr">
        <is>
          <t>Slat Material</t>
        </is>
      </c>
      <c r="BY4" s="19" t="inlineStr">
        <is>
          <t>Center Support Legs</t>
        </is>
      </c>
      <c r="BZ4" s="19" t="inlineStr">
        <is>
          <t>Weight Capacity</t>
        </is>
      </c>
      <c r="CA4" s="19" t="inlineStr">
        <is>
          <t>Footboard Included</t>
        </is>
      </c>
      <c r="CB4" s="19" t="inlineStr">
        <is>
          <t>Type of Storage Included</t>
        </is>
      </c>
      <c r="CC4" s="19" t="inlineStr">
        <is>
          <t>Drawers Included</t>
        </is>
      </c>
      <c r="CD4" s="19" t="inlineStr">
        <is>
          <t>Compatible with Adjustable Bed Base</t>
        </is>
      </c>
      <c r="CE4" s="19" t="inlineStr">
        <is>
          <t>Plug-In</t>
        </is>
      </c>
      <c r="CF4" s="19" t="inlineStr">
        <is>
          <t>Natural Variation Type</t>
        </is>
      </c>
      <c r="CG4" s="19" t="inlineStr">
        <is>
          <t>Purposeful Distressing Type</t>
        </is>
      </c>
      <c r="CH4" s="19" t="inlineStr">
        <is>
          <t>Supplier Intended and Approved Use</t>
        </is>
      </c>
      <c r="CI4" s="19" t="inlineStr">
        <is>
          <t>Country of Origin - Additional Details</t>
        </is>
      </c>
      <c r="CJ4" s="19" t="inlineStr">
        <is>
          <t>Main Wood Joinery Method</t>
        </is>
      </c>
      <c r="CK4" s="19" t="inlineStr">
        <is>
          <t>Kiln-Dried Wood</t>
        </is>
      </c>
      <c r="CL4" s="19" t="inlineStr">
        <is>
          <t>Wood Species</t>
        </is>
      </c>
      <c r="CM4" s="19" t="inlineStr">
        <is>
          <t>Pattern</t>
        </is>
      </c>
      <c r="CN4" s="33" t="inlineStr">
        <is>
          <t>Battery or Batteries Included</t>
        </is>
      </c>
      <c r="CO4" s="34" t="inlineStr">
        <is>
          <t>Battery Composition</t>
        </is>
      </c>
      <c r="CP4" s="34" t="inlineStr">
        <is>
          <t>Battery Type</t>
        </is>
      </c>
      <c r="CQ4" s="34" t="inlineStr">
        <is>
          <t>Number of Batteries</t>
        </is>
      </c>
      <c r="CR4" s="34" t="inlineStr">
        <is>
          <t>Battery Shipment</t>
        </is>
      </c>
      <c r="CS4" s="34" t="inlineStr">
        <is>
          <t>Lithium Content</t>
        </is>
      </c>
      <c r="CT4" s="34" t="inlineStr">
        <is>
          <t>Watt Rating of Cells / Battery</t>
        </is>
      </c>
      <c r="CU4" s="34" t="inlineStr">
        <is>
          <t>Weight of Cells / Battery</t>
        </is>
      </c>
      <c r="CV4" s="19" t="inlineStr">
        <is>
          <t>Tufted</t>
        </is>
      </c>
      <c r="CW4" s="19" t="inlineStr">
        <is>
          <t>Nailhead Trim</t>
        </is>
      </c>
      <c r="CX4" s="19" t="inlineStr">
        <is>
          <t>Unfinished</t>
        </is>
      </c>
      <c r="CY4" s="19" t="inlineStr">
        <is>
          <t>Finished Back</t>
        </is>
      </c>
      <c r="CZ4" s="19" t="inlineStr">
        <is>
          <t>Manufactured Wood Type</t>
        </is>
      </c>
      <c r="DA4" s="19" t="inlineStr">
        <is>
          <t>Lighted Headboard</t>
        </is>
      </c>
      <c r="DB4" s="19" t="inlineStr">
        <is>
          <t>Leather Type</t>
        </is>
      </c>
      <c r="DC4" s="19" t="inlineStr">
        <is>
          <t>Upholstery Fabric Quality</t>
        </is>
      </c>
      <c r="DD4" s="19" t="inlineStr">
        <is>
          <t>Headboard Shape</t>
        </is>
      </c>
      <c r="DE4" s="19" t="inlineStr">
        <is>
          <t>Additional Technology Features</t>
        </is>
      </c>
      <c r="DF4" s="19" t="inlineStr">
        <is>
          <t>Ribbed Detailing</t>
        </is>
      </c>
      <c r="DG4" s="19" t="inlineStr">
        <is>
          <t>Fluted Detailing</t>
        </is>
      </c>
      <c r="DH4" s="19" t="inlineStr">
        <is>
          <t>Pieces Included</t>
        </is>
      </c>
      <c r="DI4" s="19" t="inlineStr">
        <is>
          <t>Number of Center Support Legs</t>
        </is>
      </c>
      <c r="DJ4" s="19" t="inlineStr">
        <is>
          <t>Upholstery Material Performance Brand</t>
        </is>
      </c>
      <c r="DK4" s="19" t="inlineStr">
        <is>
          <t>Additional Intended Use For Child</t>
        </is>
      </c>
      <c r="DL4" s="33" t="inlineStr">
        <is>
          <t>Composite Wood Product (CWP)</t>
        </is>
      </c>
      <c r="DM4" s="34" t="inlineStr">
        <is>
          <t>CARB Phase II Compliant (formaldehyde emissions)</t>
        </is>
      </c>
      <c r="DN4" s="34" t="inlineStr">
        <is>
          <t>TSCA Title VI Compliant (formaldehyde emissions)</t>
        </is>
      </c>
      <c r="DO4" s="34" t="inlineStr">
        <is>
          <t>CANFER Compliant</t>
        </is>
      </c>
      <c r="DP4" s="19" t="inlineStr">
        <is>
          <t>SOR/2016-183 Compliant</t>
        </is>
      </c>
      <c r="DQ4" s="19" t="inlineStr">
        <is>
          <t>CAL TB 116 Compliant</t>
        </is>
      </c>
      <c r="DR4" s="19" t="inlineStr">
        <is>
          <t>CAL TB 117-2013 Compliant</t>
        </is>
      </c>
      <c r="DS4" s="19" t="inlineStr">
        <is>
          <t>Uniform Packaging and Labeling Regulations (UPLR) Compliant</t>
        </is>
      </c>
      <c r="DT4" s="33" t="inlineStr">
        <is>
          <t>Canada Product Restriction</t>
        </is>
      </c>
      <c r="DU4" s="34" t="inlineStr">
        <is>
          <t>Reason for Restriction</t>
        </is>
      </c>
      <c r="DV4" s="19" t="inlineStr">
        <is>
          <t>Textile Labelling and Advertising Regulations (C.R.C., c. 1551)</t>
        </is>
      </c>
      <c r="DW4" s="19" t="inlineStr">
        <is>
          <t>SOR/2016-194 - Textile Flammability Regulations</t>
        </is>
      </c>
      <c r="DX4" s="19" t="inlineStr">
        <is>
          <t>SOFFA Compliant</t>
        </is>
      </c>
      <c r="DY4" s="19" t="inlineStr">
        <is>
          <t>Children’s Product Certificate (CPC)</t>
        </is>
      </c>
      <c r="DZ4" s="19" t="inlineStr">
        <is>
          <t>General Certificate of Conformity (GCC)</t>
        </is>
      </c>
      <c r="EA4" s="33" t="inlineStr">
        <is>
          <t>Hazardous Material / Dangerous Goods</t>
        </is>
      </c>
      <c r="EB4" s="34" t="inlineStr">
        <is>
          <t>UN or ID number</t>
        </is>
      </c>
      <c r="EC4" s="34" t="inlineStr">
        <is>
          <t>Hazard Class(es)</t>
        </is>
      </c>
      <c r="ED4" s="34" t="inlineStr">
        <is>
          <t>Packing Group</t>
        </is>
      </c>
      <c r="EE4" s="34" t="inlineStr">
        <is>
          <t>Hazardous Material Weight</t>
        </is>
      </c>
      <c r="EF4" s="19" t="inlineStr">
        <is>
          <t>CPSC - 16 CFR 1263 Compliant (Reese's Law)</t>
        </is>
      </c>
      <c r="EG4" s="19" t="inlineStr">
        <is>
          <t>ISTA Certified</t>
        </is>
      </c>
      <c r="EH4" s="19" t="inlineStr">
        <is>
          <t>California AB-1817 Compliant (CA PFAS)</t>
        </is>
      </c>
      <c r="EI4" s="19" t="inlineStr">
        <is>
          <t>SOR/2016-193 - Surface Coating Materials Regulations</t>
        </is>
      </c>
      <c r="EJ4" s="19" t="inlineStr">
        <is>
          <t>Consumer Product Safety Improvement Act (CPSIA) Compliant</t>
        </is>
      </c>
      <c r="EK4" s="19" t="inlineStr">
        <is>
          <t>CPSC - 16 CFR 1303 Compliant</t>
        </is>
      </c>
      <c r="EL4" s="19" t="inlineStr">
        <is>
          <t>Sustainability &amp; Social Responsibility Certifications (North America Only)</t>
        </is>
      </c>
      <c r="EM4" s="19" t="inlineStr">
        <is>
          <t>US Mattress Flammability Regulations Compliant</t>
        </is>
      </c>
      <c r="EN4" s="19" t="inlineStr">
        <is>
          <t>Overall Height - Top to Bottom</t>
        </is>
      </c>
      <c r="EO4" s="19" t="inlineStr">
        <is>
          <t>Overall Width - Side to Side</t>
        </is>
      </c>
      <c r="EP4" s="19" t="inlineStr">
        <is>
          <t>Overall Length - Head to Toe</t>
        </is>
      </c>
      <c r="EQ4" s="19" t="inlineStr">
        <is>
          <t>Overall Product Weight</t>
        </is>
      </c>
      <c r="ER4" s="19" t="inlineStr">
        <is>
          <t>Clearance - Floor to Bottom</t>
        </is>
      </c>
      <c r="ES4" s="19" t="inlineStr">
        <is>
          <t>Headboard Height - Top to Bottom</t>
        </is>
      </c>
      <c r="ET4" s="19" t="inlineStr">
        <is>
          <t>Headboard Width - Side to Side</t>
        </is>
      </c>
      <c r="EU4" s="19" t="inlineStr">
        <is>
          <t>Headboard Depth - Front to Back</t>
        </is>
      </c>
      <c r="EV4" s="19" t="inlineStr">
        <is>
          <t>Assembly Required</t>
        </is>
      </c>
      <c r="EW4" s="19" t="inlineStr">
        <is>
          <t>Level of Assembly</t>
        </is>
      </c>
      <c r="EX4" s="19" t="inlineStr">
        <is>
          <t>Additional Tools Required (Not Included)</t>
        </is>
      </c>
      <c r="EY4" s="33" t="inlineStr">
        <is>
          <t>Commercial Warranty</t>
        </is>
      </c>
      <c r="EZ4" s="34" t="inlineStr">
        <is>
          <t>Commercial Warranty Length</t>
        </is>
      </c>
      <c r="FA4" s="19" t="inlineStr">
        <is>
          <t>Product Warranty</t>
        </is>
      </c>
      <c r="FB4" s="19" t="inlineStr">
        <is>
          <t>Full or Limited Warranty</t>
        </is>
      </c>
      <c r="FC4" s="19" t="inlineStr">
        <is>
          <t>Warranty Length</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is the size of the mattress / compatible mattress size?</t>
        </is>
      </c>
      <c r="BP5" s="35" t="inlineStr">
        <is>
          <t>What is the color of the product? If your color name is not listed, please type in the value.</t>
        </is>
      </c>
      <c r="BQ5" s="35" t="inlineStr">
        <is>
          <t>What is the design of this bed?</t>
        </is>
      </c>
      <c r="BR5" s="35" t="inlineStr">
        <is>
          <t>What are the primary materials used to construct the frame of the product?</t>
        </is>
      </c>
      <c r="BS5" s="35" t="inlineStr">
        <is>
          <t>Is any part of this product made of wood?</t>
        </is>
      </c>
      <c r="BT5" s="35" t="inlineStr">
        <is>
          <t>Select if this product is upholstered or comes with an upholstered component. (An upholstered item will have some sort of pad or filling material covered by fabric.)</t>
        </is>
      </c>
      <c r="BU5" s="35" t="inlineStr">
        <is>
          <t>What is the upholstery material used for this product? If the material is a combination of multiple materials, please choose the material that makes up the highest percentage of composition. For example, if the material is 55% Cotton, and 45% Polyester, please choose Cotton Blend.</t>
        </is>
      </c>
      <c r="BV5" s="35" t="inlineStr">
        <is>
          <t>If the item has been tagged as faux leather, what is the type of leather?</t>
        </is>
      </c>
      <c r="BW5" s="35" t="inlineStr">
        <is>
          <t>Is a box spring (foundation) required for the proper usage of this bed?</t>
        </is>
      </c>
      <c r="BX5" s="35" t="inlineStr">
        <is>
          <t>If slats are included please specify what material the slats have.</t>
        </is>
      </c>
      <c r="BY5" s="35" t="inlineStr">
        <is>
          <t>Are there additional legs in the center of the bed to help support the weight of the mattress?</t>
        </is>
      </c>
      <c r="BZ5" s="35" t="inlineStr">
        <is>
          <t>[Pounds] What is the maximum weight capacity of the product? Please enter just the number (i.e., 45.5).</t>
        </is>
      </c>
      <c r="CA5" s="35" t="inlineStr">
        <is>
          <t>Does this product have a footboard included?</t>
        </is>
      </c>
      <c r="CB5" s="35" t="inlineStr">
        <is>
          <t>What kind of storage is included with this product?</t>
        </is>
      </c>
      <c r="CC5" s="35" t="inlineStr">
        <is>
          <t>Does this product have any drawers?</t>
        </is>
      </c>
      <c r="CD5" s="35" t="inlineStr">
        <is>
          <t>Is this product compatible with an adjustable bed?</t>
        </is>
      </c>
      <c r="CE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F5" s="35" t="inlineStr">
        <is>
          <t>Which of the following types of natural variation and texture does the product have? Multiple can be selected if applicable. If the product does NOT have natural variation, please select No Natural Variation.</t>
        </is>
      </c>
      <c r="CG5" s="35" t="inlineStr">
        <is>
          <t>What specific type of distressing does this product have? Select all that apply.</t>
        </is>
      </c>
      <c r="CH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I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J5" s="35" t="inlineStr">
        <is>
          <t>Which technique was used to join together the main pieces of wood to construct the overall product?</t>
        </is>
      </c>
      <c r="CK5" s="35" t="inlineStr">
        <is>
          <t>Is the wood kiln-dried? If product is not made of wood, please select "does not apply."</t>
        </is>
      </c>
      <c r="CL5" s="35" t="inlineStr">
        <is>
          <t>What type of wood was used to construct this product? This describes the actual materials used, not the product's appearance.</t>
        </is>
      </c>
      <c r="CM5" s="35" t="inlineStr">
        <is>
          <t>What is the pattern of the product? If there is more than one pattern, please select all that apply.</t>
        </is>
      </c>
      <c r="CN5" s="35" t="inlineStr">
        <is>
          <t>Is the product a battery or does the product include batteries?</t>
        </is>
      </c>
      <c r="CO5" s="35" t="inlineStr">
        <is>
          <t>What is the composition of the batteries included with product?</t>
        </is>
      </c>
      <c r="CP5" s="35" t="inlineStr">
        <is>
          <t>What type is the battery? Button Cell, Cell, Battery?</t>
        </is>
      </c>
      <c r="CQ5" s="35" t="inlineStr">
        <is>
          <t>Confirm number of batteries in this product</t>
        </is>
      </c>
      <c r="CR5" s="35" t="inlineStr">
        <is>
          <t>Do the cells/batteries ship stand alone/packed with the equipment/ contained (installed) in the equipment?</t>
        </is>
      </c>
      <c r="CS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T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U5" s="35" t="inlineStr">
        <is>
          <t>What is the net weight of the cells or batteries that ship with the product in grams or kilograms.</t>
        </is>
      </c>
      <c r="CV5" s="35" t="inlineStr">
        <is>
          <t>If the product is upholstered, is it tufted? (A tuft is a gathered section of fabric, secured by a button, that creates a 3D cushioned effect.)</t>
        </is>
      </c>
      <c r="CW5" s="35" t="inlineStr">
        <is>
          <t>Does this product feature nailhead trim (decorative metal embellishments that outline the frame)?</t>
        </is>
      </c>
      <c r="CX5" s="35" t="inlineStr">
        <is>
          <t>Is this product unfinished (no paint, stain, or varnish)?</t>
        </is>
      </c>
      <c r="CY5" s="35" t="inlineStr">
        <is>
          <t>Does this product have a "finished" back, meaning that the back is stained, colored, no visible hardware, or otherwise finished? (e.g., may be fully finished so item can "float" in room)</t>
        </is>
      </c>
      <c r="CZ5" s="35" t="inlineStr">
        <is>
          <t>What type of manufactured wood was used to construct this product?</t>
        </is>
      </c>
      <c r="DA5" s="35" t="inlineStr">
        <is>
          <t>Does this product have a lighted headboard?</t>
        </is>
      </c>
      <c r="DB5" s="35" t="inlineStr">
        <is>
          <t>If the item has been tagged as genuine leather, what is the type of leather?</t>
        </is>
      </c>
      <c r="DC5" s="35" t="inlineStr">
        <is>
          <t>The quality of the fabric refers to special fabric treatments. Synthetic and natural fibers can be converted to different qualities e.g. velvet, corduroy, twill . A specification will help the customer to better understand the texture of the upholstery material.</t>
        </is>
      </c>
      <c r="DD5" s="35" t="inlineStr">
        <is>
          <t>What is the shape of the headboard? Select only one option.</t>
        </is>
      </c>
      <c r="DE5" s="35" t="inlineStr">
        <is>
          <t>Does this product include any of the following technology features?</t>
        </is>
      </c>
      <c r="DF5" s="35" t="inlineStr">
        <is>
          <t>Is there a a raised pattern of parallel lines on a surface of this product?</t>
        </is>
      </c>
      <c r="DG5" s="35" t="inlineStr">
        <is>
          <t>Is there a a concave pattern of parallel lines on a surface of this product?</t>
        </is>
      </c>
      <c r="DH5" s="35" t="inlineStr">
        <is>
          <t>What pieces are included with this product?</t>
        </is>
      </c>
      <c r="DI5" s="35" t="inlineStr">
        <is>
          <t>If the bed has center support legs, how many does it have?</t>
        </is>
      </c>
      <c r="DJ5" s="35" t="inlineStr">
        <is>
          <t>Is there a branded performance fabric used?</t>
        </is>
      </c>
      <c r="DK5" s="35" t="inlineStr">
        <is>
          <t>Is this product intended to be used by a child 12 and under in addition to adults?</t>
        </is>
      </c>
      <c r="DL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M5" s="35" t="inlineStr">
        <is>
          <t>Is this product certified compliant for CARB ATCM Phase II formaldehyde emission standards from Composite Wood Products [California Air Resources Board (CARB)- Airborne Toxic Control Measures (ATCM) Phase II]</t>
        </is>
      </c>
      <c r="DN5" s="35" t="inlineStr">
        <is>
          <t>Is this product certified TSCA Title VI compliant regarding formaldehyde emissions from Composite Wood Products [Environmental Protection Agency (EPA)-Toxic Substance Control Act (TSCA)-Title VI]</t>
        </is>
      </c>
      <c r="DO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P5" s="35" t="inlineStr">
        <is>
          <t>Is this product compliant with SOR/2016-183, the Health Canada regulations for flammability resistance of mattresses?</t>
        </is>
      </c>
      <c r="DQ5" s="35" t="inlineStr">
        <is>
          <t>Is this product certified compliant with California Technical Bulletin: CAL TB 116, the Flammability Standard for Upholstered Furniture?</t>
        </is>
      </c>
      <c r="DR5" s="35" t="inlineStr">
        <is>
          <t>Are this products components certified compliant with California Technical Bulletin: CAL TB 117-2013, the Flammability (Smolder) Standard for Upholstered Furniture Materials?</t>
        </is>
      </c>
      <c r="DS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T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U5" s="35" t="inlineStr">
        <is>
          <t>Please select the reason this product can not ship to Canada?  Please select from the options or write in a reason if not selectable</t>
        </is>
      </c>
      <c r="DV5" s="35" t="inlineStr">
        <is>
          <t>Is this product compliant with the Canadian Textile Labelling and Advertising Regulations, which regulate labelling for products with textiles?</t>
        </is>
      </c>
      <c r="DW5" s="35" t="inlineStr">
        <is>
          <t>Does this product comply with Textile Flammability Regulations (SOR/2016-194), the Canadian regulations establishing flammability standards for textiles?  Please note: A no answer to this question will prevent this item from being listed for sale on Wayfair.ca.</t>
        </is>
      </c>
      <c r="DX5" s="35" t="inlineStr">
        <is>
          <t>Does this product meet the flammability standard for upholstered furniture set forth by Safer Occupancy Future Flammability Act (SOFFA)? Please note that SOFFA is incorporated into the COVID-19 Regulatory Relief and Work from Home Safety Act.</t>
        </is>
      </c>
      <c r="DY5" s="35" t="inlineStr">
        <is>
          <t>Does this product have a Children's Product Certificate (CPC), as required by the U.S. CPSC for children's products?
Please note: A No answer to this question will prevent this item from being listed for sale.</t>
        </is>
      </c>
      <c r="DZ5" s="35" t="inlineStr">
        <is>
          <t>Does this product have a General Certificate of Conformity (GCC), as required by the U.S. CPSC for certain product classes?</t>
        </is>
      </c>
      <c r="EA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EB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EC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ED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EE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EF5" s="35"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G5" s="35" t="inlineStr">
        <is>
          <t>Is the packaging for this SKU ISTA Certified (1A, 3A, 6A)?</t>
        </is>
      </c>
      <c r="EH5" s="35" t="inlineStr">
        <is>
          <t>Select "Does Not Apply" if your product does not contain any textiles.
Is this product compliant with California's Safer Clothes and Textiles Act (AB 1817), the standard restricting per- and polyfluoroalkyl substances (PFAS) above 100 parts per million in textiles? 
Products marked "No" will be blocked from sale in California. 
Please see Help Center article here for more information: https://partners.wayfair.com/help/2/article/2828).</t>
        </is>
      </c>
      <c r="EI5" s="35" t="inlineStr">
        <is>
          <t>Does your product comply with SOR/2016-193 (as amended by SOR/2022-122), the Canadian regulation banning paint or similar surface-coating materials for consumer use that contain more than 10 mg/kg total mercury and 90mg/kg total lead? Please note: A no answer to this question will prevent this item from being listed for sale on Wayfair.ca.</t>
        </is>
      </c>
      <c r="EJ5" s="35" t="inlineStr">
        <is>
          <t>Is this product compliant with the Consumer Product Safety Improvement Act (CPSIA), including all of the following provisions, as applicable:
- Lead provisions;
- Phthalate provisions; 
- Toy safety provisions;
- Durable infant and toddler product provisions;
- Tracking label provisions; AND
- Compliance with all applicable children's product safety rules (found here: https://www.cpsc.gov/Business--Manufacturing/Testing-Certification/Lab-Accreditation/Rules-Requiring-Third-Party-Testing). Please note: a "No" answer to this question will prevent your product from being listed for sale.</t>
        </is>
      </c>
      <c r="EK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EL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M5" s="35" t="inlineStr">
        <is>
          <t>Is this product compliant with all mattress flammability regulations required in the United States? This includes CPSC - 16 CFR - 1632 and CPSC - 16 CFR - 1633.
Please note: a ""No"" answer to this question will prevent your product from being listed for sale."</t>
        </is>
      </c>
      <c r="EN5" s="35" t="inlineStr">
        <is>
          <t>[Inches] What is the overall height of the product from top to bottom? Please enter just the number (e.g. 45.5).</t>
        </is>
      </c>
      <c r="EO5" s="35" t="inlineStr">
        <is>
          <t>[Inches] What is overall width of the product from side to side? Please enter just the number (e.g. 45.5).</t>
        </is>
      </c>
      <c r="EP5" s="35" t="inlineStr">
        <is>
          <t>[Inches] Overall length of the product (head to toe). Please enter just the number (i.e. 45.5).</t>
        </is>
      </c>
      <c r="EQ5" s="35" t="inlineStr">
        <is>
          <t>[Pounds] What is the total weight of this product once assembled? If this product includes multiples of the same item, add weight of one individual unit (e.g. 1 Dining Chair in a set of 2). Please enter just the number (i.e. 45.5).</t>
        </is>
      </c>
      <c r="ER5" s="35" t="inlineStr">
        <is>
          <t>[Inches] What is the clearance for this product from floor to bottom? This is the distance between the bottom of the product to the floor. Please enter just the number (e.g. 45.5).</t>
        </is>
      </c>
      <c r="ES5" s="35" t="inlineStr">
        <is>
          <t>[Inches] What is the overall height of the headboard from top to bottom? Please enter just the number (e.g. 45.5).</t>
        </is>
      </c>
      <c r="ET5" s="35" t="inlineStr">
        <is>
          <t>[Inches] What is the overall width of the headboard from side to side? Please enter just the number (e.g. 45.5).</t>
        </is>
      </c>
      <c r="EU5" s="35" t="inlineStr">
        <is>
          <t>[Inches] What is the overall depth of the headboard from front to back? Please enter just the number (e.g. 45.5).</t>
        </is>
      </c>
      <c r="EV5" s="35" t="inlineStr">
        <is>
          <t>Does the product require any form of assembly prior to use as intended?</t>
        </is>
      </c>
      <c r="EW5" s="35" t="inlineStr">
        <is>
          <t>What is the level of assembly required?</t>
        </is>
      </c>
      <c r="EX5" s="35" t="inlineStr">
        <is>
          <t>What additional tools will the customer need to set-up this product that are NOT included with purchase?</t>
        </is>
      </c>
      <c r="EY5" s="35" t="inlineStr">
        <is>
          <t>Does the manufacturer warranty cover the use of this product in a commercial environment?</t>
        </is>
      </c>
      <c r="EZ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FA5" s="35" t="inlineStr">
        <is>
          <t>Please indicate if there is a warranty on this product if it were to be used in a residential setting.</t>
        </is>
      </c>
      <c r="FB5" s="35" t="inlineStr">
        <is>
          <t>Please indicate if the warranty is Full or Limited.</t>
        </is>
      </c>
      <c r="FC5" s="35"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Please choose one or more from the following, using a semicolon (;) to separate each value: Blue; Black; Brown; Red; Beige; Yellow; Pink; Purple; Gold; White; Ivory; Tan; Teal; Navy; Orange; Silver; Gray; Green; Cream; Clear</t>
        </is>
      </c>
      <c r="BQ6" s="36" t="inlineStr">
        <is>
          <t>Select</t>
        </is>
      </c>
      <c r="BR6" s="36" t="inlineStr">
        <is>
          <t>Please choose one or more from the following, using a semicolon (;) to separate each value: Wicker / Rattan; Stainless Steel; Raffia; Solid + Manufactured Wood; Iron; Cane; Aluminum; Manufactured Wood; Nickel; Brass; Copper; Metal; Solid Wood; Unavailable</t>
        </is>
      </c>
      <c r="BS6" s="35" t="inlineStr">
        <is>
          <t>Yes or No</t>
        </is>
      </c>
      <c r="BT6" s="35" t="inlineStr">
        <is>
          <t>Yes or No</t>
        </is>
      </c>
      <c r="BU6" s="36" t="inlineStr">
        <is>
          <t>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t>
        </is>
      </c>
      <c r="BV6" s="36" t="inlineStr">
        <is>
          <t>Select</t>
        </is>
      </c>
      <c r="BW6" s="35" t="inlineStr">
        <is>
          <t>Yes or No</t>
        </is>
      </c>
      <c r="BX6" s="36" t="inlineStr">
        <is>
          <t>Please choose one or more from the following, using a semicolon (;) to separate each value: Manufactured Wood; Wood; Metal; Solid Wood; Solid + Manufactured Wood; Plywood; Bamboo; Unavailable; Does Not Apply</t>
        </is>
      </c>
      <c r="BY6" s="35" t="inlineStr">
        <is>
          <t>Yes or No</t>
        </is>
      </c>
      <c r="BZ6" s="35" t="inlineStr">
        <is>
          <t>Number</t>
        </is>
      </c>
      <c r="CA6" s="35" t="inlineStr">
        <is>
          <t>Yes or No</t>
        </is>
      </c>
      <c r="CB6" s="36" t="inlineStr">
        <is>
          <t>Please choose one or more from the following, using a semicolon (;) to separate each value: Cabinet; Footboard Storage; No Storage Included; Shelves; Drawers; Lift Up Storage; Unavailable; Does Not Apply</t>
        </is>
      </c>
      <c r="CC6" s="35" t="inlineStr">
        <is>
          <t>Yes or No</t>
        </is>
      </c>
      <c r="CD6" s="35" t="inlineStr">
        <is>
          <t>Yes or No</t>
        </is>
      </c>
      <c r="CE6" s="35" t="inlineStr">
        <is>
          <t>Yes or No</t>
        </is>
      </c>
      <c r="CF6" s="36" t="inlineStr">
        <is>
          <t>Please choose one or more from the following, using a semicolon (;) to separate each value: No Natural Variation; Natural Wood Grain Color Variation; Weathered Steel; Wood Knots; Natural Stone Color Variation; Unavailable</t>
        </is>
      </c>
      <c r="CG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H6" s="36" t="inlineStr">
        <is>
          <t>Please choose one or more from the following, using a semicolon (;) to separate each value: Non Residential Use; Residential Use</t>
        </is>
      </c>
      <c r="CI6" s="36" t="inlineStr">
        <is>
          <t>Please choose one or more from the following, using a semicolon (;) to separate each value: Made in USA; Made in USA of Imported Materials; Product of Canada; Made In Canada; Does Not Apply</t>
        </is>
      </c>
      <c r="CJ6" s="36" t="inlineStr">
        <is>
          <t>Select</t>
        </is>
      </c>
      <c r="CK6" s="35" t="inlineStr">
        <is>
          <t>Yes or No</t>
        </is>
      </c>
      <c r="CL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M6" s="36" t="inlineStr">
        <is>
          <t>Please choose one or more from the following, using a semicolon (;) to separate each value: Striped; Plaid; Chevron; Damask; Paisley; Geometric; Abstract; Gingham; Animal Print; Camouflage; Polka Dots; Ikat; Houndstooth; Toile; Patchwork; Ombre; Checkered; Floral; Argyle; Solid Color; No Pattern; Trellis; Dots; Starburst; Geometric Shapes; Marble; Brick; Irish Chain; Wood &amp; Shiplap; Chevron / Zig Zag; Clear; Stone; Drunkard's Path; Moroccan; Oriental; Block Print; Arc; Vintage Look; Does Not Apply</t>
        </is>
      </c>
      <c r="CN6" s="35" t="inlineStr">
        <is>
          <t>Yes or No</t>
        </is>
      </c>
      <c r="CO6" s="36" t="inlineStr">
        <is>
          <t>Select</t>
        </is>
      </c>
      <c r="CP6" s="36" t="inlineStr">
        <is>
          <t>Select</t>
        </is>
      </c>
      <c r="CQ6" s="36" t="inlineStr">
        <is>
          <t>Select</t>
        </is>
      </c>
      <c r="CR6" s="36" t="inlineStr">
        <is>
          <t>Select</t>
        </is>
      </c>
      <c r="CS6" s="36" t="inlineStr">
        <is>
          <t>Select</t>
        </is>
      </c>
      <c r="CT6" s="36" t="inlineStr">
        <is>
          <t>Select</t>
        </is>
      </c>
      <c r="CU6" s="36" t="inlineStr">
        <is>
          <t>Select</t>
        </is>
      </c>
      <c r="CV6" s="35" t="inlineStr">
        <is>
          <t>Yes or No</t>
        </is>
      </c>
      <c r="CW6" s="35" t="inlineStr">
        <is>
          <t>Yes or No</t>
        </is>
      </c>
      <c r="CX6" s="35" t="inlineStr">
        <is>
          <t>Yes or No</t>
        </is>
      </c>
      <c r="CY6" s="35" t="inlineStr">
        <is>
          <t>Yes or No</t>
        </is>
      </c>
      <c r="CZ6" s="36" t="inlineStr">
        <is>
          <t>Select</t>
        </is>
      </c>
      <c r="DA6" s="35" t="inlineStr">
        <is>
          <t>Yes or No</t>
        </is>
      </c>
      <c r="DB6" s="36" t="inlineStr">
        <is>
          <t>Select</t>
        </is>
      </c>
      <c r="DC6" s="36" t="inlineStr">
        <is>
          <t>Select</t>
        </is>
      </c>
      <c r="DD6" s="36" t="inlineStr">
        <is>
          <t>Select</t>
        </is>
      </c>
      <c r="DE6" s="36" t="inlineStr">
        <is>
          <t>Please choose one or more from the following, using a semicolon (;) to separate each value: Built In Outlet (AC); Built in USB-C Port; LED Lighting Included; Lighting Included; Built In Speaker; Reclining Headboard Function; Built In USB Port; Adjustable Lighting; Unavailable; Does Not Apply</t>
        </is>
      </c>
      <c r="DF6" s="35" t="inlineStr">
        <is>
          <t>Yes or No</t>
        </is>
      </c>
      <c r="DG6" s="35" t="inlineStr">
        <is>
          <t>Yes or No</t>
        </is>
      </c>
      <c r="DH6" s="36" t="inlineStr">
        <is>
          <t>Please choose one or more from the following, using a semicolon (;) to separate each value: Box Spring; Drawers; Footboard; Headboard; Mattress; Trundle Bed; Center Support Legs; Slat Kit; Unavailable; Does Not Apply</t>
        </is>
      </c>
      <c r="DI6" s="35" t="inlineStr">
        <is>
          <t>Whole Number</t>
        </is>
      </c>
      <c r="DJ6" s="36" t="inlineStr">
        <is>
          <t>Please choose one or more from the following, using a semicolon (;) to separate each value: InsideOut®; Sustain®; Sunbrella®; Revolution Performance Fabric®; Livesmart®; Perennials®; Outdura; Crypton®; Suncrylic; Richloom Fortress® Home Performance; Eco Ease® Performance Fabric; Unavailable; Does Not Apply</t>
        </is>
      </c>
      <c r="DK6" s="35" t="inlineStr">
        <is>
          <t>Yes or No</t>
        </is>
      </c>
      <c r="DL6" s="35" t="inlineStr">
        <is>
          <t>Yes or No</t>
        </is>
      </c>
      <c r="DM6" s="36" t="inlineStr">
        <is>
          <t>Select</t>
        </is>
      </c>
      <c r="DN6" s="36" t="inlineStr">
        <is>
          <t>Select</t>
        </is>
      </c>
      <c r="DO6" s="36" t="inlineStr">
        <is>
          <t>Select</t>
        </is>
      </c>
      <c r="DP6" s="36" t="inlineStr">
        <is>
          <t>Select</t>
        </is>
      </c>
      <c r="DQ6" s="36" t="inlineStr">
        <is>
          <t>Select</t>
        </is>
      </c>
      <c r="DR6" s="36" t="inlineStr">
        <is>
          <t>Select</t>
        </is>
      </c>
      <c r="DS6" s="36" t="inlineStr">
        <is>
          <t>Select</t>
        </is>
      </c>
      <c r="DT6" s="35" t="inlineStr">
        <is>
          <t>Yes or No</t>
        </is>
      </c>
      <c r="DU6" s="36" t="inlineStr">
        <is>
          <t>Please choose one or more from the following, using a semicolon (;) to separate each value: Dual Language; Distribution Conflict; Logistics; Does Not Apply</t>
        </is>
      </c>
      <c r="DV6" s="36" t="inlineStr">
        <is>
          <t>Select</t>
        </is>
      </c>
      <c r="DW6" s="36" t="inlineStr">
        <is>
          <t>Select</t>
        </is>
      </c>
      <c r="DX6" s="35" t="inlineStr">
        <is>
          <t>Yes or No</t>
        </is>
      </c>
      <c r="DY6" s="36" t="inlineStr">
        <is>
          <t>Select</t>
        </is>
      </c>
      <c r="DZ6" s="36" t="inlineStr">
        <is>
          <t>Select</t>
        </is>
      </c>
      <c r="EA6" s="35" t="inlineStr">
        <is>
          <t>Yes or No</t>
        </is>
      </c>
      <c r="EB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EC6" s="36" t="inlineStr">
        <is>
          <t>Select</t>
        </is>
      </c>
      <c r="ED6" s="36" t="inlineStr">
        <is>
          <t>Select</t>
        </is>
      </c>
      <c r="EE6" s="36" t="inlineStr">
        <is>
          <t>Select</t>
        </is>
      </c>
      <c r="EF6" s="36" t="inlineStr">
        <is>
          <t>Select</t>
        </is>
      </c>
      <c r="EG6" s="36" t="inlineStr">
        <is>
          <t>Select</t>
        </is>
      </c>
      <c r="EH6" s="36" t="inlineStr">
        <is>
          <t>Select</t>
        </is>
      </c>
      <c r="EI6" s="36" t="inlineStr">
        <is>
          <t>Select</t>
        </is>
      </c>
      <c r="EJ6" s="36" t="inlineStr">
        <is>
          <t>Select</t>
        </is>
      </c>
      <c r="EK6" s="36" t="inlineStr">
        <is>
          <t>Select</t>
        </is>
      </c>
      <c r="EL6" s="35" t="inlineStr">
        <is>
          <t>Yes or No</t>
        </is>
      </c>
      <c r="EM6" s="36" t="inlineStr">
        <is>
          <t>Select</t>
        </is>
      </c>
      <c r="EN6" s="35" t="inlineStr">
        <is>
          <t>Number</t>
        </is>
      </c>
      <c r="EO6" s="35" t="inlineStr">
        <is>
          <t>Number</t>
        </is>
      </c>
      <c r="EP6" s="35" t="inlineStr">
        <is>
          <t>Number</t>
        </is>
      </c>
      <c r="EQ6" s="35" t="inlineStr">
        <is>
          <t>Number</t>
        </is>
      </c>
      <c r="ER6" s="35" t="inlineStr">
        <is>
          <t>Number</t>
        </is>
      </c>
      <c r="ES6" s="35" t="inlineStr">
        <is>
          <t>Number</t>
        </is>
      </c>
      <c r="ET6" s="35" t="inlineStr">
        <is>
          <t>Number</t>
        </is>
      </c>
      <c r="EU6" s="35" t="inlineStr">
        <is>
          <t>Number</t>
        </is>
      </c>
      <c r="EV6" s="35" t="inlineStr">
        <is>
          <t>Yes or No</t>
        </is>
      </c>
      <c r="EW6" s="36" t="inlineStr">
        <is>
          <t>Select</t>
        </is>
      </c>
      <c r="EX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Y6" s="35" t="inlineStr">
        <is>
          <t>Yes or No</t>
        </is>
      </c>
      <c r="EZ6" s="36" t="inlineStr">
        <is>
          <t>Select</t>
        </is>
      </c>
      <c r="FA6" s="35" t="inlineStr">
        <is>
          <t>Yes or No</t>
        </is>
      </c>
      <c r="FB6" s="36" t="inlineStr">
        <is>
          <t>Select</t>
        </is>
      </c>
      <c r="FC6" s="36"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c r="DZ7" s="38" t="n"/>
      <c r="EA7" s="38" t="n"/>
      <c r="EB7" s="38" t="n"/>
      <c r="EC7" s="38" t="n"/>
      <c r="ED7" s="38" t="n"/>
      <c r="EE7" s="38" t="n"/>
      <c r="EF7" s="38" t="n"/>
      <c r="EG7" s="38" t="n"/>
      <c r="EH7" s="38" t="n"/>
      <c r="EI7" s="38" t="n"/>
      <c r="EJ7" s="38" t="n"/>
      <c r="EK7" s="38" t="n"/>
      <c r="EL7" s="38" t="n"/>
      <c r="EM7" s="38" t="n"/>
      <c r="EN7" s="38" t="n"/>
      <c r="EO7" s="38" t="n"/>
      <c r="EP7" s="38" t="n"/>
      <c r="EQ7" s="38" t="n"/>
      <c r="ER7" s="38" t="n"/>
      <c r="ES7" s="38" t="n"/>
      <c r="ET7" s="38" t="n"/>
      <c r="EU7" s="38" t="n"/>
      <c r="EV7" s="38" t="n"/>
      <c r="EW7" s="38" t="n"/>
      <c r="EX7" s="38" t="n"/>
      <c r="EY7" s="38" t="n"/>
      <c r="EZ7" s="38" t="n"/>
      <c r="FA7" s="38" t="n"/>
      <c r="FB7" s="38" t="n"/>
      <c r="FC7" s="38" t="n"/>
    </row>
    <row r="8">
      <c r="A8">
        <f t="array" ref="A8">_xlfn.BYROW(B8:FD507, _xlfn.LAMBDA(_xlpm.r, _xlfn.LET(_xlpm.high_priority, IFERROR(INDEX(_xlpm.r, MATCH(TRUE, (_xlpm.r &lt;&gt; "") * ((LEFT(_xlpm.r, 2) = "1:") + (LEFT(_xlpm.r, 2) = "3:")) &gt; 0, 0)), ""), IF(_xlpm.high_priority &lt;&gt; "", _xlpm.high_priority, IFERROR(INDEX(_xlpm.r, MATCH(TRUE, (_xlpm.r &lt;&gt; "") * (LEFT(_xlpm.r, 2) = "4:") &gt; 0, 0)), "")))))</f>
        <v/>
      </c>
      <c r="B8" s="22">
        <f t="array" ref="B8">_xlfn.MAP('12 - Beds'!B8:B507, '12 - Beds'!B8:B507,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IF(OR('12 - Beds'!B$7 = "", '12 - Beds'!B$7 = "N/A"), "3:Supplier Part Number - Value is required", ""), ""))))))))</f>
        <v/>
      </c>
      <c r="C8" s="22">
        <f t="array" ref="C8">_xlfn.MAP('12 - Beds'!B8:B507, '12 - Beds'!C8:C507, _xlfn.LAMBDA(_xlpm.part, _xlpm.val, IF(_xlpm.part = "", "", IF(AND(_xlpm.val = "", C$3="Required"), IF(OR('12 - Beds'!C$7 = "", '12 - Beds'!C$7 = "N/A"), "3:ASIN or Amazon Seller SKU - Value is required", ""), ""))))</f>
        <v/>
      </c>
      <c r="D8" s="22">
        <f t="array" ref="D8">_xlfn.MAP('12 - Beds'!B8:B507, '12 - Beds'!D8:D507, '12 - Beds'!J8:J507, _xlfn.LAMBDA(_xlpm.part, _xlpm.val, _xlpm.dep1, IF(_xlpm.part = "", "", _xlfn.LET(_xlpm.check1, IF(AND(_xlpm.val = "", _xlpm.dep1 = "NON-PRIMARY VARIANT"), "2:Autofill", ""), IF(LEN(_xlpm.check1) &gt; 0, _xlpm.check1, IF(AND(_xlpm.val = "", D$3="Required"), IF(OR('12 - Beds'!D$7 = "", '12 - Beds'!D$7 = "N/A"), "3:Brand - Value is required", ""), ""))))))</f>
        <v/>
      </c>
      <c r="E8" s="22">
        <f t="array" ref="E8">_xlfn.MAP('12 - Beds'!B8:B507, '12 - Beds'!E8:E507, _xlfn.LAMBDA(_xlpm.part, _xlpm.val, IF(_xlpm.part = "", "",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IF(OR('12 - Beds'!E$7 = "", '12 - Beds'!E$7 = "N/A"), "3:Manufacturer Part Number - Value is required", ""), ""))))))))))</f>
        <v/>
      </c>
      <c r="F8" s="22">
        <f t="array" ref="F8">_xlfn.MAP('12 - Beds'!B8:B507, '12 - Beds'!F8:F507, _xlfn.LAMBDA(_xlpm.part, _xlpm.val, IF(_xlpm.part = "", "",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IF(OR('12 - Beds'!F$7 = "", '12 - Beds'!F$7 = "N/A"), "3:Universal Product Code - Value is required", ""), ""))))))))</f>
        <v/>
      </c>
      <c r="G8" s="22">
        <f t="array" ref="G8">_xlfn.MAP('12 - Beds'!B8:B507, '12 - Beds'!G8:G507, _xlfn.LAMBDA(_xlpm.part, _xlpm.val, IF(_xlpm.part = "", "", _xlfn.LET(_xlpm.check1, IF(OR(ISNUMBER(SEARCH({"&lt;","&gt;","^","Ø","•","‣","⁃","⁌","™","∙","⌀","◦"}, _xlpm.val))), "1:Product name cannot contain special characters ([™Ø⌀•‣◦⁃⁌⁍∙&lt;&gt;])", ""), IF(LEN(_xlpm.check1) &gt; 0, _xlpm.check1, IF(AND(_xlpm.val = "", G$3="Required"), IF(OR('12 - Beds'!G$7 = "", '12 - Beds'!G$7 = "N/A"), "3:Product Name - Value is required", ""), ""))))))</f>
        <v/>
      </c>
      <c r="H8" s="22">
        <f t="array" ref="H8">_xlfn.MAP('12 - Beds'!B8:B507, '12 - Beds'!H8:H507, '12 - Beds'!J8:J507, _xlfn.LAMBDA(_xlpm.part, _xlpm.val, _xlpm.dep1, IF(_xlpm.part = "", "", _xlfn.LET(_xlpm.check1, IF(AND(_xlpm.val = "", _xlpm.dep1 = "NON-PRIMARY VARIANT"), "2:Autofill", ""), IF(LEN(_xlpm.check1) &gt; 0, _xlpm.check1, IF(AND(_xlpm.val = "", H$3="Required"), IF(OR('12 - Beds'!H$7 = "", '12 - Beds'!H$7 = "N/A"), "3:Collection Name - Value is required", ""), ""))))))</f>
        <v/>
      </c>
      <c r="I8" s="22">
        <f t="array" ref="I8">_xlfn.MAP('12 - Beds'!B8:B507, '12 - Beds'!I8:I507, _xlfn.LAMBDA(_xlpm.part, _xlpm.val, IF(_xlpm.part = "", "", IF(AND(_xlpm.val = "", I$3="Required"), IF(OR('12 - Beds'!I$7 = "", '12 - Beds'!I$7 = "N/A"), "3:Manufacturer Product URL - Value is required", ""), ""))))</f>
        <v/>
      </c>
      <c r="J8" s="22">
        <f t="array" ref="J8">_xlfn.MAP('12 - Beds'!B8:B507, '12 - Beds'!J8:J507, _xlfn.LAMBDA(_xlpm.part, _xlpm.val, IF(_xlpm.part = "", "", IF(AND(_xlpm.val = "", J$3="Required"), IF(OR('12 - Beds'!J$7 = "", '12 - Beds'!J$7 = "N/A"), "3:Variant Type - Value is required", ""), ""))))</f>
        <v/>
      </c>
      <c r="K8" s="22">
        <f t="array" ref="K8">_xlfn.MAP('12 - Beds'!B8:B507, '12 - Beds'!K8:K507, '12 - Beds'!J8:J507, _xlfn.LAMBDA(_xlpm.part, _xlpm.val, _xlpm.dep1, IF(_xlpm.part = "", "", _xlfn.LET(_xlpm.check1, IF(OR(_xlpm.dep1 = "NOT VARIANT", _xlpm.dep1 = ""), IF(_xlpm.val = "", "2:Disable", "1:Variant fields are not accepted when Variant Type is 'Not Variant' or blank. Please remove variant data or set a valid Variant Type."), ""), IF(LEN(_xlpm.check1) &gt; 0, _xlpm.check1, _xlfn.LET(_xlpm.check2, IF(AND(_xlpm.val = "", K$3="Required"), IF(OR('12 - Beds'!K$7 = "", '12 - Beds'!K$7 = "N/A"), "3:Group Reference ID - Value is required", ""), ""), IF(LEN(_xlpm.check2) &gt; 0, _xlpm.check2, _xlfn.LET(_xlpm.check3, IF(_xlpm.dep1 = "PRIMARY VARIANT", IF(_xlpm.val = "", IF(OR('12 - Beds'!K$7 = "", '12 - Beds'!K$7 = "N/A"), "3:Variant Group Reference Id is required for primary-variant", ""), ""), ""), IF(LEN(_xlpm.check3) &gt; 0, _xlpm.check3, IF(_xlpm.dep1 = "NON-PRIMARY VARIANT", IF(_xlpm.val = "", IF(OR('12 - Beds'!K$7 = "", '12 - Beds'!K$7 = "N/A"), "3:Variant Group Reference Id is required for non-primary variant", ""), ""), ""))))))))))</f>
        <v/>
      </c>
      <c r="L8" s="22">
        <f t="array" ref="L8">_xlfn.MAP('12 - Beds'!B8:B507, '12 - Beds'!L8:L507, '12 - Beds'!J8:J507,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_xlfn.LET(_xlpm.check5, IF(AND(_xlpm.val = "", L$3="Required"), IF(OR('12 - Beds'!L$7 = "", '12 - Beds'!L$7 = "N/A"), "3:Variant Grouping - Value is required", ""), ""), IF(LEN(_xlpm.check5) &gt; 0, _xlpm.check5, IF(_xlpm.dep1 = "PRIMARY VARIANT", IF(_xlpm.val = "", IF(OR('12 - Beds'!L$7 = "", '12 - Beds'!L$7 = "N/A"), "3:Variant grouping value must be specified for primary variant", ""), ""), ""))))))))))))))</f>
        <v/>
      </c>
      <c r="M8" s="22">
        <f t="array" ref="M8">_xlfn.MAP('12 - Beds'!B8:B507, '12 - Beds'!M8:M507, '12 - Beds'!J8:J507, '12 - Beds'!L8:L507,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M$3="Required"), IF(OR('12 - Beds'!M$7 = "", '12 - Beds'!M$7 = "N/A"), "3:Variant Attribute Name On Site - Value is required", ""), ""), IF(LEN(_xlpm.check3) &gt; 0, _xlpm.check3, _xlfn.LET(_xlpm.check4, IF(AND(_xlpm.dep2 &lt;&gt; "", _xlpm.dep2 &lt;&gt; "Finish", _xlpm.dep2 &lt;&gt; "Assembly"), IF(_xlpm.val = "", IF(OR('12 - Beds'!M$7 = "", '12 - Beds'!M$7 = "N/A"), "3:Name on site is required when variant grouping value is provided", ""), ""), ""), IF(LEN(_xlpm.check4) &gt; 0, _xlpm.check4, _xlfn.LET(_xlpm.check5, IF(AND(_xlpm.dep2 &lt;&gt; "", _xlpm.dep2 &lt;&gt; "Color", _xlpm.dep2 &lt;&gt; "Material", _xlpm.dep2 &lt;&gt; "Size", _xlpm.dep2 &lt;&gt; "Fireplace Included"), IF(_xlpm.val = "", IF(OR('12 - Beds'!M$7 = "", '12 - Beds'!M$7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IF(OR('12 - Beds'!M$7 = "", '12 - Beds'!M$7 = "N/A"), "3:Name on site is required when variant grouping value is provided", ""), ""), ""), IF(LEN(_xlpm.check6) &gt; 0, _xlpm.check6, _xlfn.LET(_xlpm.check7, IF(AND(_xlpm.dep2 &lt;&gt; "", _xlpm.dep2 &lt;&gt; "Color"), IF(_xlpm.val = "", IF(OR('12 - Beds'!M$7 = "", '12 - Beds'!M$7 = "N/A"), "3:Name on site is required when variant grouping value is provided", ""), ""), ""), IF(LEN(_xlpm.check7) &gt; 0, _xlpm.check7, IF(AND(_xlpm.dep2 &lt;&gt; "", _xlpm.dep2 &lt;&gt; "Size", _xlpm.dep2 &lt;&gt; "Color", _xlpm.dep2 &lt;&gt; "Frame Material", _xlpm.dep2 &lt;&gt; "Print/Pattern", _xlpm.dep2 &lt;&gt; "Storage"), IF(_xlpm.val = "", IF(OR('12 - Beds'!M$7 = "", '12 - Beds'!M$7 = "N/A"), "3:Name on site is required when variant grouping value is provided", ""), ""), ""))))))))))))))))))</f>
        <v/>
      </c>
      <c r="N8" s="22">
        <f t="array" ref="N8">_xlfn.MAP('12 - Beds'!B8:B507, '12 - Beds'!N8:N507, '12 - Beds'!J8:J507,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N$3="Required"), IF(OR('12 - Beds'!N$7 = "", '12 - Beds'!N$7 = "N/A"), "3:Variant Grouping - Value is required", ""), ""))))))))))))</f>
        <v/>
      </c>
      <c r="O8" s="22">
        <f t="array" ref="O8">_xlfn.MAP('12 - Beds'!B8:B507, '12 - Beds'!O8:O507, '12 - Beds'!J8:J507, '12 - Beds'!N8:N507,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O$3="Required"), IF(OR('12 - Beds'!O$7 = "", '12 - Beds'!O$7 = "N/A"), "3:Variant Attribute Name On Site - Value is required", ""), ""), IF(LEN(_xlpm.check3) &gt; 0, _xlpm.check3, _xlfn.LET(_xlpm.check4, IF(AND(_xlpm.dep2 &lt;&gt; "", _xlpm.dep2 &lt;&gt; "Finish", _xlpm.dep2 &lt;&gt; "Assembly"), IF(_xlpm.val = "", IF(OR('12 - Beds'!O$7 = "", '12 - Beds'!O$7 = "N/A"), "3:Name on site is required when variant grouping value is provided", ""), ""), ""), IF(LEN(_xlpm.check4) &gt; 0, _xlpm.check4, _xlfn.LET(_xlpm.check5, IF(AND(_xlpm.dep2 &lt;&gt; "", _xlpm.dep2 &lt;&gt; "Color", _xlpm.dep2 &lt;&gt; "Material", _xlpm.dep2 &lt;&gt; "Size", _xlpm.dep2 &lt;&gt; "Fireplace Included"), IF(_xlpm.val = "", IF(OR('12 - Beds'!O$7 = "", '12 - Beds'!O$7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IF(OR('12 - Beds'!O$7 = "", '12 - Beds'!O$7 = "N/A"), "3:Name on site is required when variant grouping value is provided", ""), ""), ""), IF(LEN(_xlpm.check6) &gt; 0, _xlpm.check6, _xlfn.LET(_xlpm.check7, IF(AND(_xlpm.dep2 &lt;&gt; "", _xlpm.dep2 &lt;&gt; "Color"), IF(_xlpm.val = "", IF(OR('12 - Beds'!O$7 = "", '12 - Beds'!O$7 = "N/A"), "3:Name on site is required when variant grouping value is provided", ""), ""), ""), IF(LEN(_xlpm.check7) &gt; 0, _xlpm.check7, IF(AND(_xlpm.dep2 &lt;&gt; "", _xlpm.dep2 &lt;&gt; "Size", _xlpm.dep2 &lt;&gt; "Color", _xlpm.dep2 &lt;&gt; "Frame Material", _xlpm.dep2 &lt;&gt; "Print/Pattern", _xlpm.dep2 &lt;&gt; "Storage"), IF(_xlpm.val = "", IF(OR('12 - Beds'!O$7 = "", '12 - Beds'!O$7 = "N/A"), "3:Name on site is required when variant grouping value is provided", ""), ""), ""))))))))))))))))))</f>
        <v/>
      </c>
      <c r="P8" s="22">
        <f t="array" ref="P8">_xlfn.MAP('12 - Beds'!B8:B507, '12 - Beds'!P8:P507, '12 - Beds'!J8:J507,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P$3="Required"), IF(OR('12 - Beds'!P$7 = "", '12 - Beds'!P$7 = "N/A"), "3:Variant Grouping - Value is required", ""), ""))))))))))))</f>
        <v/>
      </c>
      <c r="Q8" s="22">
        <f t="array" ref="Q8">_xlfn.MAP('12 - Beds'!B8:B507, '12 - Beds'!Q8:Q507, '12 - Beds'!J8:J507, '12 - Beds'!P8:P507,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Q$3="Required"), IF(OR('12 - Beds'!Q$7 = "", '12 - Beds'!Q$7 = "N/A"), "3:Variant Attribute Name On Site - Value is required", ""), ""), IF(LEN(_xlpm.check3) &gt; 0, _xlpm.check3, _xlfn.LET(_xlpm.check4, IF(AND(_xlpm.dep2 &lt;&gt; "", _xlpm.dep2 &lt;&gt; "Finish", _xlpm.dep2 &lt;&gt; "Assembly"), IF(_xlpm.val = "", IF(OR('12 - Beds'!Q$7 = "", '12 - Beds'!Q$7 = "N/A"), "3:Name on site is required when variant grouping value is provided", ""), ""), ""), IF(LEN(_xlpm.check4) &gt; 0, _xlpm.check4, _xlfn.LET(_xlpm.check5, IF(AND(_xlpm.dep2 &lt;&gt; "", _xlpm.dep2 &lt;&gt; "Color", _xlpm.dep2 &lt;&gt; "Material", _xlpm.dep2 &lt;&gt; "Size", _xlpm.dep2 &lt;&gt; "Fireplace Included"), IF(_xlpm.val = "", IF(OR('12 - Beds'!Q$7 = "", '12 - Beds'!Q$7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IF(OR('12 - Beds'!Q$7 = "", '12 - Beds'!Q$7 = "N/A"), "3:Name on site is required when variant grouping value is provided", ""), ""), ""), IF(LEN(_xlpm.check6) &gt; 0, _xlpm.check6, _xlfn.LET(_xlpm.check7, IF(AND(_xlpm.dep2 &lt;&gt; "", _xlpm.dep2 &lt;&gt; "Color"), IF(_xlpm.val = "", IF(OR('12 - Beds'!Q$7 = "", '12 - Beds'!Q$7 = "N/A"), "3:Name on site is required when variant grouping value is provided", ""), ""), ""), IF(LEN(_xlpm.check7) &gt; 0, _xlpm.check7, IF(AND(_xlpm.dep2 &lt;&gt; "", _xlpm.dep2 &lt;&gt; "Size", _xlpm.dep2 &lt;&gt; "Color", _xlpm.dep2 &lt;&gt; "Frame Material", _xlpm.dep2 &lt;&gt; "Print/Pattern", _xlpm.dep2 &lt;&gt; "Storage"), IF(_xlpm.val = "", IF(OR('12 - Beds'!Q$7 = "", '12 - Beds'!Q$7 = "N/A"), "3:Name on site is required when variant grouping value is provided", ""), ""), ""))))))))))))))))))</f>
        <v/>
      </c>
      <c r="R8" s="22">
        <f t="array" ref="R8">_xlfn.MAP('12 - Beds'!B8:B507, '12 - Beds'!R8:R507, _xlfn.LAMBDA(_xlpm.part, _xlpm.val, IF(_xlpm.part = "", "", _xlfn.LET(_xlpm.check1, IF(AND(NOT(ISBLANK(_xlpm.val)),OR(NOT(ISNUMBER(IFERROR(VALUE(_xlpm.val), ""))), IFERROR(VALUE(_xlpm.val), -1) &lt; 0)), "1:Base Cost - Value should be numeric", ""), IF(LEN(_xlpm.check1) &gt; 0, _xlpm.check1, IF(AND(_xlpm.val = "", R$3="Required"), IF(OR('12 - Beds'!R$7 = "", '12 - Beds'!R$7 = "N/A"), "3:Base Cost - Value is required", ""), ""))))))</f>
        <v/>
      </c>
      <c r="S8" s="22">
        <f t="array" ref="S8">_xlfn.MAP('12 - Beds'!B8:B507, '12 - Beds'!S8:S507, _xlfn.LAMBDA(_xlpm.part, _xlpm.val, IF(_xlpm.part = "", "", _xlfn.LET(_xlpm.check1, IF(AND(NOT(ISBLANK(_xlpm.val)),OR(NOT(ISNUMBER(IFERROR(VALUE(_xlpm.val), ""))), IFERROR(VALUE(_xlpm.val), -1) &lt; 0)), "1:Minimum Advertised Price - Value should be numeric", ""), IF(LEN(_xlpm.check1) &gt; 0, _xlpm.check1, IF(AND(_xlpm.val = "", S$3="Required"), IF(OR('12 - Beds'!S$7 = "", '12 - Beds'!S$7 = "N/A"), "3:Minimum Advertised Price - Value is required", ""), ""))))))</f>
        <v/>
      </c>
      <c r="T8" s="22">
        <f t="array" ref="T8">_xlfn.MAP('12 - Beds'!B8:B507, '12 - Beds'!T8:T507, _xlfn.LAMBDA(_xlpm.part, _xlpm.val, IF(_xlpm.part = "", "", _xlfn.LET(_xlpm.check1, IF(AND(NOT(ISBLANK(_xlpm.val)),OR(NOT(ISNUMBER(IFERROR(VALUE(_xlpm.val), ""))), IFERROR(VALUE(_xlpm.val), -1) &lt; 0)), "1:Manufacturer Suggested Retail Price - Value should be numeric", ""), IF(LEN(_xlpm.check1) &gt; 0, _xlpm.check1, IF(AND(_xlpm.val = "", T$3="Required"), IF(OR('12 - Beds'!T$7 = "", '12 - Beds'!T$7 = "N/A"), "3:Manufacturer Suggested Retail Price - Value is required", ""), ""))))))</f>
        <v/>
      </c>
      <c r="U8" s="22">
        <f t="array" ref="U8">_xlfn.MAP('12 - Beds'!B8:B507, '12 - Beds'!U8:U507, '12 - Beds'!J8:J507, '12 - Beds'!V8:V507, '12 - Beds'!W8:W507, '12 - Beds'!X8:X507, _xlfn.LAMBDA(_xlpm.part, _xlpm.val, _xlpm.dep1, _xlpm.dep2, _xlpm.dep3, _xlpm.dep4, IF(_xlpm.part = "", "", _xlfn.LET(_xlpm.check1, IF(AND(_xlpm.val = "", _xlpm.dep1 = "NON-PRIMARY VARIANT"), "2:Autofill", ""), IF(LEN(_xlpm.check1) &gt; 0, _xlpm.check1, _xlfn.LET(_xlpm.check2, IF(OR(ISNUMBER(SEARCH({"&lt;","&gt;","^","Ø","•","‣","⁃","⁌","™","∙","⌀","◦"}, _xlpm.val))), "1:Marketing Copy cannot contain special characters ([™Ø⌀•‣◦⁃⁌⁍∙&lt;&gt;])", ""), IF(LEN(_xlpm.check2) &gt; 0, _xlpm.check2, _xlfn.LET(_xlpm.check3, IF(AND(_xlpm.val &lt;&gt; "", LEN(_xlpm.val) &lt; 16), "1:Marketing Copy should be more than 15 characters", ""), IF(LEN(_xlpm.check3) &gt; 0, _xlpm.check3, _xlfn.LET(_xlpm.check4, IF(AND(_xlpm.val = "", U$3="Required"), IF(OR('12 - Beds'!U$7 = "", '12 - Beds'!U$7 = "N/A"), "3:Marketing Copy - Value is required", ""), ""), IF(LEN(_xlpm.check4) &gt; 0, _xlpm.check4, IF(OR(_xlpm.dep2 = "", _xlpm.dep3 = "", _xlpm.dep4 = ""), IF(_xlpm.val = "", IF(OR('12 - Beds'!U$7 = "", '12 - Beds'!U$7 = "N/A"), "3:Either the Marketing Copy or at least three Feature Bullets are required for this part.", ""), ""), ""))))))))))))</f>
        <v/>
      </c>
      <c r="V8" s="22">
        <f t="array" ref="V8">_xlfn.MAP('12 - Beds'!B8:B507, '12 - Beds'!V8:V507, '12 - Beds'!J8:J507, '12 - Beds'!W8:W507, '12 - Beds'!X8:X507, '12 - Beds'!U8:U507,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V$3="Required"), IF(OR('12 - Beds'!V$7 = "", '12 - Beds'!V$7 = "N/A"), "3:Feature Bullet - Value is required", ""), ""), IF(LEN(_xlpm.check3) &gt; 0, _xlpm.check3, _xlfn.LET(_xlpm.check4, IF(AND(AND(_xlpm.dep2 = "", _xlpm.dep3 = ""), _xlpm.dep4 = ""), IF(_xlpm.val = "", IF(OR('12 - Beds'!V$7 = "", '12 - Beds'!V$7 = "N/A"), "3:Either the Marketing Copy or at least three Feature Bullets are required for this part.", ""), ""), ""), IF(LEN(_xlpm.check4) &gt; 0, _xlpm.check4, IF(_xlpm.dep4 = "", IF(_xlpm.val = "", IF(OR('12 - Beds'!V$7 = "", '12 - Beds'!V$7 = "N/A"), "3:Three feature bullets must be filled", ""), ""), ""))))))))))))</f>
        <v/>
      </c>
      <c r="W8" s="22">
        <f t="array" ref="W8">_xlfn.MAP('12 - Beds'!B8:B507, '12 - Beds'!W8:W507, '12 - Beds'!J8:J507, '12 - Beds'!V8:V507, '12 - Beds'!X8:X507, '12 - Beds'!U8:U507,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W$3="Required"), IF(OR('12 - Beds'!W$7 = "", '12 - Beds'!W$7 = "N/A"), "3:Feature Bullet - Value is required", ""), ""), IF(LEN(_xlpm.check3) &gt; 0, _xlpm.check3, _xlfn.LET(_xlpm.check4, IF(AND(AND(_xlpm.dep2 = "", _xlpm.dep3 = ""), _xlpm.dep4 = ""), IF(_xlpm.val = "", IF(OR('12 - Beds'!W$7 = "", '12 - Beds'!W$7 = "N/A"), "3:Either the Marketing Copy or at least three Feature Bullets are required for this part.", ""), ""), ""), IF(LEN(_xlpm.check4) &gt; 0, _xlpm.check4, IF(_xlpm.dep4 = "", IF(_xlpm.val = "", IF(OR('12 - Beds'!W$7 = "", '12 - Beds'!W$7 = "N/A"), "3:Three feature bullets must be filled", ""), ""), ""))))))))))))</f>
        <v/>
      </c>
      <c r="X8" s="22">
        <f t="array" ref="X8">_xlfn.MAP('12 - Beds'!B8:B507, '12 - Beds'!X8:X507, '12 - Beds'!J8:J507, '12 - Beds'!V8:V507, '12 - Beds'!W8:W507, '12 - Beds'!U8:U507,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X$3="Required"), IF(OR('12 - Beds'!X$7 = "", '12 - Beds'!X$7 = "N/A"), "3:Feature Bullet - Value is required", ""), ""), IF(LEN(_xlpm.check3) &gt; 0, _xlpm.check3, _xlfn.LET(_xlpm.check4, IF(AND(AND(_xlpm.dep2 = "", _xlpm.dep3 = ""), _xlpm.dep4 = ""), IF(_xlpm.val = "", IF(OR('12 - Beds'!X$7 = "", '12 - Beds'!X$7 = "N/A"), "3:Either the Marketing Copy or at least three Feature Bullets are required for this part.", ""), ""), ""), IF(LEN(_xlpm.check4) &gt; 0, _xlpm.check4, IF(_xlpm.dep4 = "", IF(_xlpm.val = "", IF(OR('12 - Beds'!X$7 = "", '12 - Beds'!X$7 = "N/A"), "3:Three feature bullets must be filled", ""), ""), ""))))))))))))</f>
        <v/>
      </c>
      <c r="Y8" s="22">
        <f t="array" ref="Y8">_xlfn.MAP('12 - Beds'!B8:B507, '12 - Beds'!Y8:Y507, '12 - Beds'!J8:J507,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Y$3="Required"), IF(OR('12 - Beds'!Y$7 = "", '12 - Beds'!Y$7 = "N/A"), "3:Feature Bullet - Value is required", ""), ""))))))))</f>
        <v/>
      </c>
      <c r="Z8" s="22">
        <f t="array" ref="Z8">_xlfn.MAP('12 - Beds'!B8:B507, '12 - Beds'!Z8:Z507, '12 - Beds'!J8:J507,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Z$3="Required"), IF(OR('12 - Beds'!Z$7 = "", '12 - Beds'!Z$7 = "N/A"), "3:Feature Bullet - Value is required", ""), ""))))))))</f>
        <v/>
      </c>
      <c r="AA8" s="22">
        <f t="array" ref="AA8">_xlfn.MAP('12 - Beds'!B8:B507, '12 - Beds'!AA8:AA507, '12 - Beds'!J8:J507,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"1:Minimum Order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AA$3="Required"), IF(OR('12 - Beds'!AA$7 = "", '12 - Beds'!AA$7 = "N/A"), "3:Minimum Order Quantity - Value is required", ""), ""))))))))))))</f>
        <v/>
      </c>
      <c r="AB8" s="22">
        <f t="array" ref="AB8">_xlfn.MAP('12 - Beds'!B8:B507, '12 - Beds'!AB8:AB507, '12 - Beds'!J8:J507,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"1:Force Quantity Multiplier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AB$3="Required"), IF(OR('12 - Beds'!AB$7 = "", '12 - Beds'!AB$7 = "N/A"), "3:Force Quantity Multiplier - Value is required", ""), ""))))))))))))</f>
        <v/>
      </c>
      <c r="AC8" s="22">
        <f t="array" ref="AC8">_xlfn.MAP('12 - Beds'!B8:B507, '12 - Beds'!AC8:AC507, '12 - Beds'!J8:J507,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"1:Display Set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AC$3="Required"), IF(OR('12 - Beds'!AC$7 = "", '12 - Beds'!AC$7 = "N/A"), "3:Display Set Quantity - Value is required", ""), ""))))))))))))</f>
        <v/>
      </c>
      <c r="AD8" s="22">
        <f t="array" ref="AD8">_xlfn.MAP('12 - Beds'!B8:B507, '12 - Beds'!AD8:AD507, '12 - Beds'!J8:J507,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"1:Product Weight - Value should be numeric", ""), IF(LEN(_xlpm.check2) &gt; 0, _xlpm.check2, _xlfn.LET(_xlpm.check3, IF(AND(_xlpm.val &lt;&gt; "" ,IFERROR(VALUE(_xlpm.val), _xlpm.val)&lt;0), "1:Product weight must be a positive number", ""), IF(LEN(_xlpm.check3) &gt; 0, _xlpm.check3, IF(AND(_xlpm.val = "", AD$3="Required"), IF(OR('12 - Beds'!AD$7 = "", '12 - Beds'!AD$7 = "N/A"), "3:Product Weight - Value is required", ""), ""))))))))))</f>
        <v/>
      </c>
      <c r="AE8" s="22">
        <f t="array" ref="AE8">_xlfn.MAP('12 - Beds'!B8:B507, '12 - Beds'!AE8:AE507, '12 - Beds'!J8:J507, _xlfn.LAMBDA(_xlpm.part, _xlpm.val, _xlpm.dep1, IF(_xlpm.part = "", "", _xlfn.LET(_xlpm.check1, IF(AND(_xlpm.val = "", _xlpm.dep1 = "NON-PRIMARY VARIANT"), "2:Autofill", ""), IF(LEN(_xlpm.check1) &gt; 0, _xlpm.check1, IF(AND(_xlpm.val = "", AE$3="Required"), IF(OR('12 - Beds'!AE$7 = "", '12 - Beds'!AE$7 = "N/A"), "3:Ship Type - Value is required", ""), ""))))))</f>
        <v/>
      </c>
      <c r="AF8" s="22">
        <f t="array" ref="AF8">_xlfn.MAP('12 - Beds'!B8:B507, '12 - Beds'!AF8:AF507, '12 - Beds'!J8:J507, _xlfn.LAMBDA(_xlpm.part, _xlpm.val, _xlpm.dep1, IF(_xlpm.part = "", "", _xlfn.LET(_xlpm.check1, IF(AND(_xlpm.val = "", _xlpm.dep1 = "NON-PRIMARY VARIANT"), "2:Autofill", ""), IF(LEN(_xlpm.check1) &gt; 0, _xlpm.check1, IF(AND(_xlpm.val = "", AF$3="Required"), IF(OR('12 - Beds'!AF$7 = "", '12 - Beds'!AF$7 = "N/A"), "3:Freight Class - Value is required", ""), ""))))))</f>
        <v/>
      </c>
      <c r="AG8" s="22">
        <f t="array" ref="AG8">_xlfn.MAP('12 - Beds'!B8:B507, '12 - Beds'!AG8:AG507, '12 - Beds'!J8:J507, _xlfn.LAMBDA(_xlpm.part, _xlpm.val, _xlpm.dep1, IF(_xlpm.part = "", "", _xlfn.LET(_xlpm.check1, IF(AND(_xlpm.val = "", _xlpm.dep1 = "NON-PRIMARY VARIANT"), "2:Autofill", ""), IF(LEN(_xlpm.check1) &gt; 0, _xlpm.check1, IF(AND(_xlpm.val = "", AG$3="Required"), IF(OR('12 - Beds'!AG$7 = "", '12 - Beds'!AG$7 = "N/A"), "3:Lead Time - Value is required", ""), ""))))))</f>
        <v/>
      </c>
      <c r="AH8" s="22">
        <f t="array" ref="AH8">_xlfn.MAP('12 - Beds'!B8:B507, '12 - Beds'!AH8:AH507, '12 - Beds'!J8:J507, _xlfn.LAMBDA(_xlpm.part, _xlpm.val, _xlpm.dep1, IF(_xlpm.part = "", "", _xlfn.LET(_xlpm.check1, IF(AND(_xlpm.val = "", _xlpm.dep1 = "NON-PRIMARY VARIANT"), "2:Autofill", ""), IF(LEN(_xlpm.check1) &gt; 0, _xlpm.check1, IF(AND(_xlpm.val = "", AH$3="Required"), IF(OR('12 - Beds'!AH$7 = "", '12 - Beds'!AH$7 = "N/A"), "3:Replacement Lead Time - Value is required", ""), ""))))))</f>
        <v/>
      </c>
      <c r="AI8" s="22">
        <f t="array" ref="AI8">_xlfn.MAP('12 - Beds'!B8:B507, '12 - Beds'!AI8:AI507, '12 - Beds'!J8:J507, _xlfn.LAMBDA(_xlpm.part, _xlpm.val, _xlpm.dep1, IF(_xlpm.part = "", "", _xlfn.LET(_xlpm.check1, IF(AND(_xlpm.val = "", _xlpm.dep1 = "NON-PRIMARY VARIANT"), "2:Autofill", ""), IF(LEN(_xlpm.check1) &gt; 0, _xlpm.check1, _xlfn.LET(_xlpm.check2, IF(AND(_xlpm.val &lt;&gt; "", LEN(_xlpm.val) &lt; 5), "1:NMFC must contain at least 5 digits", ""), IF(LEN(_xlpm.check2) &gt; 0, _xlpm.check2, IF(AND(_xlpm.val = "", AI$3="Required"), IF(OR('12 - Beds'!AI$7 = "", '12 - Beds'!AI$7 = "N/A"), "3:National Motor Freight Class - Value is required", ""), ""))))))))</f>
        <v/>
      </c>
      <c r="AJ8" s="22">
        <f t="array" ref="AJ8">_xlfn.MAP('12 - Beds'!B8:B507, '12 - Beds'!AJ8:AJ507, '12 - Beds'!J8:J507, _xlfn.LAMBDA(_xlpm.part, _xlpm.val, _xlpm.dep1, IF(_xlpm.part = "", "", _xlfn.LET(_xlpm.check1, IF(AND(_xlpm.val = "", _xlpm.dep1 = "NON-PRIMARY VARIANT"), "2:Autofill", ""), IF(LEN(_xlpm.check1) &gt; 0, _xlpm.check1, IF(AND(_xlpm.val = "", AJ$3="Required"), IF(OR('12 - Beds'!AJ$7 = "", '12 - Beds'!AJ$7 = "N/A"), "3:Flat Pack - Value is required", ""), ""))))))</f>
        <v/>
      </c>
      <c r="AK8" s="22">
        <f t="array" ref="AK8">_xlfn.MAP('12 - Beds'!B8:B507, '12 - Beds'!AK8:AK507, '12 - Beds'!J8:J507, _xlfn.LAMBDA(_xlpm.part, _xlpm.val, _xlpm.dep1, IF(_xlpm.part = "", "", _xlfn.LET(_xlpm.check1, IF(AND(_xlpm.val = "", _xlpm.dep1 = "NON-PRIMARY VARIANT"), "2:Autofill", ""), IF(LEN(_xlpm.check1) &gt; 0, _xlpm.check1, IF(AND(_xlpm.val = "", AK$3="Required"), IF(OR('12 - Beds'!AK$7 = "", '12 - Beds'!AK$7 = "N/A"), "3:Ship Palletized - Value is required", ""), ""))))))</f>
        <v/>
      </c>
      <c r="AL8" s="22">
        <f t="array" ref="AL8">_xlfn.MAP('12 - Beds'!B8:B507, '12 - Beds'!AL8:AL507, '12 - Beds'!AM8:AM507, '12 - Beds'!AN8:AN507, '12 - Beds'!AO8:AO507,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AL$3="Required"), IF(OR('12 - Beds'!AL$7 = "", '12 - Beds'!AL$7 = "N/A"), "3:Carton Weight - Value is required", ""), ""), IF(LEN(_xlpm.check3) &gt; 0, _xlpm.check3, _xlfn.LET(_xlpm.check4, IF(OR(_xlpm.dep1 &lt;&gt; "", _xlpm.dep2 &lt;&gt; "", _xlpm.dep3 &lt;&gt; ""), IF(_xlpm.val = "", IF(OR('12 - Beds'!AL$7 = "", '12 - Beds'!AL$7 = "N/A"), "3:Shipping weight is required", ""), ""), ""), IF(LEN(_xlpm.check4) &gt; 0, _xlpm.check4, IF(AND(_xlpm.dep3 = "", _xlpm.dep1 = "", _xlpm.dep2 = ""), IF(_xlpm.val = "", IF(OR('12 - Beds'!AL$7 = "", '12 - Beds'!AL$7 = "N/A"), "3:Shipping weight is required", ""), ""), ""))))))))))))</f>
        <v/>
      </c>
      <c r="AM8" s="22">
        <f t="array" ref="AM8">_xlfn.MAP('12 - Beds'!B8:B507, '12 - Beds'!AM8:AM507, '12 - Beds'!AL8:AL507, '12 - Beds'!AN8:AN507, '12 - Beds'!AO8:AO507,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AM$3="Required"), IF(OR('12 - Beds'!AM$7 = "", '12 - Beds'!AM$7 = "N/A"), "3:Carton Height - Value is required", ""), ""), IF(LEN(_xlpm.check3) &gt; 0, _xlpm.check3, _xlfn.LET(_xlpm.check4, IF(OR(_xlpm.dep1 &lt;&gt; "", _xlpm.dep2 &lt;&gt; "", _xlpm.dep3 &lt;&gt; ""), IF(_xlpm.val = "", IF(OR('12 - Beds'!AM$7 = "", '12 - Beds'!AM$7 = "N/A"), "3:Carton height is required", ""), ""), ""), IF(LEN(_xlpm.check4) &gt; 0, _xlpm.check4, IF(AND(_xlpm.dep1 = "", _xlpm.dep3 = "", _xlpm.dep2 = ""), IF(_xlpm.val = "", IF(OR('12 - Beds'!AM$7 = "", '12 - Beds'!AM$7 = "N/A"), "3:Carton height is required", ""), ""), ""))))))))))))</f>
        <v/>
      </c>
      <c r="AN8" s="22">
        <f t="array" ref="AN8">_xlfn.MAP('12 - Beds'!B8:B507, '12 - Beds'!AN8:AN507, '12 - Beds'!AL8:AL507, '12 - Beds'!AM8:AM507, '12 - Beds'!AO8:AO507,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AN$3="Required"), IF(OR('12 - Beds'!AN$7 = "", '12 - Beds'!AN$7 = "N/A"), "3:Carton Width - Value is required", ""), ""), IF(LEN(_xlpm.check3) &gt; 0, _xlpm.check3, _xlfn.LET(_xlpm.check4, IF(OR(_xlpm.dep1 &lt;&gt; "", _xlpm.dep2 &lt;&gt; "", _xlpm.dep3 &lt;&gt; ""), IF(_xlpm.val = "", IF(OR('12 - Beds'!AN$7 = "", '12 - Beds'!AN$7 = "N/A"), "3:Carton width is required", ""), ""), ""), IF(LEN(_xlpm.check4) &gt; 0, _xlpm.check4, IF(AND(_xlpm.dep1 = "", _xlpm.dep2 = "", _xlpm.dep3 = ""), IF(_xlpm.val = "", IF(OR('12 - Beds'!AN$7 = "", '12 - Beds'!AN$7 = "N/A"), "3:Carton width is required", ""), ""), ""))))))))))))</f>
        <v/>
      </c>
      <c r="AO8" s="22">
        <f t="array" ref="AO8">_xlfn.MAP('12 - Beds'!B8:B507, '12 - Beds'!AO8:AO507, '12 - Beds'!AL8:AL507, '12 - Beds'!AM8:AM507, '12 - Beds'!AN8:AN507,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AO$3="Required"), IF(OR('12 - Beds'!AO$7 = "", '12 - Beds'!AO$7 = "N/A"), "3:Carton Depth - Value is required", ""), ""), IF(LEN(_xlpm.check3) &gt; 0, _xlpm.check3, _xlfn.LET(_xlpm.check4, IF(OR(_xlpm.dep1 &lt;&gt; "", _xlpm.dep2 &lt;&gt; "", _xlpm.dep3 &lt;&gt; ""), IF(_xlpm.val = "", IF(OR('12 - Beds'!AO$7 = "", '12 - Beds'!AO$7 = "N/A"), "3:Carton depth is required", ""), ""), ""), IF(LEN(_xlpm.check4) &gt; 0, _xlpm.check4, IF(AND(_xlpm.dep1 = "", _xlpm.dep2 = "", _xlpm.dep3 = ""), IF(_xlpm.val = "", IF(OR('12 - Beds'!AO$7 = "", '12 - Beds'!AO$7 = "N/A"), "3:Carton depth is required", ""), ""), ""))))))))))))</f>
        <v/>
      </c>
      <c r="AP8" s="22">
        <f t="array" ref="AP8">_xlfn.MAP('12 - Beds'!B8:B507, '12 - Beds'!AP8:AP507, _xlfn.LAMBDA(_xlpm.part, _xlpm.val, IF(_xlpm.part = "", "", IF(AND(_xlpm.val = "", AP$3="Required"), IF(OR('12 - Beds'!AP$7 = "", '12 - Beds'!AP$7 = "N/A"), "3:Warning Required - Value is required", ""), ""))))</f>
        <v/>
      </c>
      <c r="AQ8" s="22">
        <f t="array" ref="AQ8">_xlfn.MAP('12 - Beds'!B8:B507, '12 - Beds'!AQ8:AQ507, '12 - Beds'!AR8:AR507, '12 - Beds'!AP8:AP507, _xlfn.LAMBDA(_xlpm.part, _xlpm.val, _xlpm.dep1, _xlpm.dep2, IF(_xlpm.part = "", "", _xlfn.LET(_xlpm.check1, IF(AND(_xlpm.val = "", AQ$3="Required"), IF(OR('12 - Beds'!AQ$7 = "", '12 - Beds'!AQ$7 = "N/A"), "3:Chemical - Value is required", ""), ""), IF(LEN(_xlpm.check1) &gt; 0, _xlpm.check1, _xlfn.LET(_xlpm.check2, IF(_xlpm.dep1 &lt;&gt; "", IF(_xlpm.val = "", IF(OR('12 - Beds'!AQ$7 = "", '12 - Beds'!AQ$7 = "N/A"), "3:Please provide a chemical", ""), ""), ""), IF(LEN(_xlpm.check2) &gt; 0, _xlpm.check2, IF(_xlpm.dep2 = "Yes", IF(_xlpm.val = "", IF(OR('12 - Beds'!AQ$7 = "", '12 - Beds'!AQ$7 = "N/A"), "3:If a warning is required, then a chemical must also be provided", ""), ""), ""))))))))</f>
        <v/>
      </c>
      <c r="AR8" s="22">
        <f t="array" ref="AR8">_xlfn.MAP('12 - Beds'!B8:B507, '12 - Beds'!AR8:AR507, '12 - Beds'!AQ8:AQ507, '12 - Beds'!AP8:AP507, _xlfn.LAMBDA(_xlpm.part, _xlpm.val, _xlpm.dep1, _xlpm.dep2,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AR$3="Required"), IF(OR('12 - Beds'!AR$7 = "", '12 - Beds'!AR$7 = "N/A"), "3:Toxicity - Value is required", ""), ""), IF(LEN(_xlpm.check2) &gt; 0, _xlpm.check2, _xlfn.LET(_xlpm.check3, IF(_xlpm.dep1 &lt;&gt; "", IF(_xlpm.val = "", IF(OR('12 - Beds'!AR$7 = "", '12 - Beds'!AR$7 = "N/A"), "3:Please select a toxicity from the provided dropdown", ""), ""), ""), IF(LEN(_xlpm.check3) &gt; 0, _xlpm.check3, IF(_xlpm.dep2 = "Yes", IF(_xlpm.val = "", IF(OR('12 - Beds'!AR$7 = "", '12 - Beds'!AR$7 = "N/A"), "3:If a warning is required, then a chemical must also be provided", ""), ""), ""))))))))))</f>
        <v/>
      </c>
      <c r="AS8" s="22">
        <f t="array" ref="AS8">_xlfn.MAP('12 - Beds'!B8:B507, '12 - Beds'!AS8:AS507, '12 - Beds'!J8:J507, _xlfn.LAMBDA(_xlpm.part, _xlpm.val, _xlpm.dep1, IF(_xlpm.part = "", "", _xlfn.LET(_xlpm.check1, IF(AND(_xlpm.val = "", _xlpm.dep1 = "NON-PRIMARY VARIANT"), "2:Autofill", ""), IF(LEN(_xlpm.check1) &gt; 0, _xlpm.check1, IF(AND(_xlpm.val = "", AS$3="Required"), IF(OR('12 - Beds'!AS$7 = "", '12 - Beds'!AS$7 = "N/A"), "3:Country Of Manufacturer - Value is required", ""), ""))))))</f>
        <v/>
      </c>
      <c r="AT8" s="22">
        <f t="array" ref="AT8">_xlfn.MAP('12 - Beds'!B8:B507, '12 - Beds'!AT8:AT507, _xlfn.LAMBDA(_xlpm.part, _xlpm.val, IF(_xlpm.part = "", "", IF(AND(_xlpm.val = "", AT$3="Required"), IF(OR('12 - Beds'!AT$7 = "", '12 - Beds'!AT$7 = "N/A"), "3:Image File Name or URL - Value is required", ""), ""))))</f>
        <v/>
      </c>
      <c r="AU8" s="22">
        <f t="array" ref="AU8">_xlfn.MAP('12 - Beds'!B8:B507, '12 - Beds'!AU8:AU507, _xlfn.LAMBDA(_xlpm.part, _xlpm.val, IF(_xlpm.part = "", "", IF(AND(_xlpm.val = "", AU$3="Required"), IF(OR('12 - Beds'!AU$7 = "", '12 - Beds'!AU$7 = "N/A"), "3:Image File Name or URL - Value is required", ""), ""))))</f>
        <v/>
      </c>
      <c r="AV8" s="22">
        <f t="array" ref="AV8">_xlfn.MAP('12 - Beds'!B8:B507, '12 - Beds'!AV8:AV507, _xlfn.LAMBDA(_xlpm.part, _xlpm.val, IF(_xlpm.part = "", "", IF(AND(_xlpm.val = "", AV$3="Required"), IF(OR('12 - Beds'!AV$7 = "", '12 - Beds'!AV$7 = "N/A"), "3:Image File Name or URL - Value is required", ""), ""))))</f>
        <v/>
      </c>
      <c r="AW8" s="22">
        <f t="array" ref="AW8">_xlfn.MAP('12 - Beds'!B8:B507, '12 - Beds'!AW8:AW507, _xlfn.LAMBDA(_xlpm.part, _xlpm.val, IF(_xlpm.part = "", "", IF(AND(_xlpm.val = "", AW$3="Required"), IF(OR('12 - Beds'!AW$7 = "", '12 - Beds'!AW$7 = "N/A"), "3:Image File Name or URL - Value is required", ""), ""))))</f>
        <v/>
      </c>
      <c r="AX8" s="22">
        <f t="array" ref="AX8">_xlfn.MAP('12 - Beds'!B8:B507, '12 - Beds'!AX8:AX507, _xlfn.LAMBDA(_xlpm.part, _xlpm.val, IF(_xlpm.part = "", "", IF(AND(_xlpm.val = "", AX$3="Required"), IF(OR('12 - Beds'!AX$7 = "", '12 - Beds'!AX$7 = "N/A"), "3:Image File Name or URL - Value is required", ""), ""))))</f>
        <v/>
      </c>
      <c r="AY8" s="22">
        <f t="array" ref="AY8">_xlfn.MAP('12 - Beds'!B8:B507, '12 - Beds'!AY8:AY507, _xlfn.LAMBDA(_xlpm.part, _xlpm.val, IF(_xlpm.part = "", "", IF(AND(_xlpm.val = "", AY$3="Required"), IF(OR('12 - Beds'!AY$7 = "", '12 - Beds'!AY$7 = "N/A"), "3:Video File Name or URL - Value is required", ""), ""))))</f>
        <v/>
      </c>
      <c r="AZ8" s="22">
        <f t="array" ref="AZ8">_xlfn.MAP('12 - Beds'!B8:B507, '12 - Beds'!AZ8:AZ507, '12 - Beds'!BA8:BA507, '12 - Beds'!BB8:BB507, '12 - Beds'!BC8:BC507, '12 - Beds'!BD8:BD507, _xlfn.LAMBDA(_xlpm.part, _xlpm.val, _xlpm.dep1, _xlpm.dep2, _xlpm.dep3, _xlpm.dep4, IF(_xlpm.part = "", "", _xlfn.LET(_xlpm.check1, IF(AND(_xlpm.val = "", AZ$3="Required"), IF(OR('12 - Beds'!AZ$7 = "", '12 - Beds'!AZ$7 = "N/A"), "3:Document File Name or URL - Value is required", ""), ""), IF(LEN(_xlpm.check1) &gt; 0, _xlpm.check1, IF(OR(_xlpm.dep1 &lt;&gt; "", _xlpm.dep2 &lt;&gt; "", _xlpm.dep3 &lt;&gt; "", _xlpm.dep4 &lt;&gt; ""), IF(_xlpm.val = "", IF(OR('12 - Beds'!AZ$7 = "", '12 - Beds'!AZ$7 = "N/A"), "3:Document value is required", ""), ""), ""))))))</f>
        <v/>
      </c>
      <c r="BA8" s="22">
        <f t="array" ref="BA8">_xlfn.MAP('12 - Beds'!B8:B507, '12 - Beds'!BA8:BA507,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BA$3="Required"), IF(OR('12 - Beds'!BA$7 = "", '12 - Beds'!BA$7 = "N/A"), "3:Document Type - Value is required", ""), ""))))))</f>
        <v/>
      </c>
      <c r="BB8" s="22">
        <f t="array" ref="BB8">_xlfn.MAP('12 - Beds'!B8:B507, '12 - Beds'!BB8:BB507,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BB$3="Required"), IF(OR('12 - Beds'!BB$7 = "", '12 - Beds'!BB$7 = "N/A"), "3:Legal Document Type - Value is required", ""), ""))))))</f>
        <v/>
      </c>
      <c r="BC8" s="22">
        <f t="array" ref="BC8">_xlfn.MAP('12 - Beds'!B8:B507, '12 - Beds'!BC8:BC507, _xlfn.LAMBDA(_xlpm.part, _xlpm.val, IF(_xlpm.part = "", "", IF(AND(_xlpm.val = "", BC$3="Required"), IF(OR('12 - Beds'!BC$7 = "", '12 - Beds'!BC$7 = "N/A"), "3:Document Region - Value is required", ""), ""))))</f>
        <v/>
      </c>
      <c r="BD8" s="22">
        <f t="array" ref="BD8">_xlfn.MAP('12 - Beds'!B8:B507, '12 - Beds'!BD8:BD507, _xlfn.LAMBDA(_xlpm.part, _xlpm.val, IF(_xlpm.part = "", "", IF(AND(_xlpm.val = "", BD$3="Required"), IF(OR('12 - Beds'!BD$7 = "", '12 - Beds'!BD$7 = "N/A"), "3:Document Language - Value is required", ""), ""))))</f>
        <v/>
      </c>
      <c r="BE8" s="22">
        <f t="array" ref="BE8">_xlfn.MAP('12 - Beds'!B8:B507, '12 - Beds'!BE8:BE507, '12 - Beds'!BF8:BF507, '12 - Beds'!BG8:BG507, '12 - Beds'!BH8:BH507, '12 - Beds'!BI8:BI507, _xlfn.LAMBDA(_xlpm.part, _xlpm.val, _xlpm.dep1, _xlpm.dep2, _xlpm.dep3, _xlpm.dep4, IF(_xlpm.part = "", "", _xlfn.LET(_xlpm.check1, IF(AND(_xlpm.val = "", BE$3="Required"), IF(OR('12 - Beds'!BE$7 = "", '12 - Beds'!BE$7 = "N/A"), "3:Document File Name or URL - Value is required", ""), ""), IF(LEN(_xlpm.check1) &gt; 0, _xlpm.check1, IF(OR(_xlpm.dep1 &lt;&gt; "", _xlpm.dep2 &lt;&gt; "", _xlpm.dep3 &lt;&gt; "", _xlpm.dep4 &lt;&gt; ""), IF(_xlpm.val = "", IF(OR('12 - Beds'!BE$7 = "", '12 - Beds'!BE$7 = "N/A"), "3:Document value is required", ""), ""), ""))))))</f>
        <v/>
      </c>
      <c r="BF8" s="22">
        <f t="array" ref="BF8">_xlfn.MAP('12 - Beds'!B8:B507, '12 - Beds'!BF8:BF507,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BF$3="Required"), IF(OR('12 - Beds'!BF$7 = "", '12 - Beds'!BF$7 = "N/A"), "3:Document Type - Value is required", ""), ""))))))</f>
        <v/>
      </c>
      <c r="BG8" s="22">
        <f t="array" ref="BG8">_xlfn.MAP('12 - Beds'!B8:B507, '12 - Beds'!BG8:BG507,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BG$3="Required"), IF(OR('12 - Beds'!BG$7 = "", '12 - Beds'!BG$7 = "N/A"), "3:Legal Document Type - Value is required", ""), ""))))))</f>
        <v/>
      </c>
      <c r="BH8" s="22">
        <f t="array" ref="BH8">_xlfn.MAP('12 - Beds'!B8:B507, '12 - Beds'!BH8:BH507, _xlfn.LAMBDA(_xlpm.part, _xlpm.val, IF(_xlpm.part = "", "", IF(AND(_xlpm.val = "", BH$3="Required"), IF(OR('12 - Beds'!BH$7 = "", '12 - Beds'!BH$7 = "N/A"), "3:Document Region - Value is required", ""), ""))))</f>
        <v/>
      </c>
      <c r="BI8" s="22">
        <f t="array" ref="BI8">_xlfn.MAP('12 - Beds'!B8:B507, '12 - Beds'!BI8:BI507, _xlfn.LAMBDA(_xlpm.part, _xlpm.val, IF(_xlpm.part = "", "", IF(AND(_xlpm.val = "", BI$3="Required"), IF(OR('12 - Beds'!BI$7 = "", '12 - Beds'!BI$7 = "N/A"), "3:Document Language - Value is required", ""), ""))))</f>
        <v/>
      </c>
      <c r="BJ8" s="22">
        <f t="array" ref="BJ8">_xlfn.MAP('12 - Beds'!B8:B507, '12 - Beds'!BJ8:BJ507, '12 - Beds'!BK8:BK507, '12 - Beds'!BL8:BL507, '12 - Beds'!BM8:BM507, '12 - Beds'!BN8:BN507, _xlfn.LAMBDA(_xlpm.part, _xlpm.val, _xlpm.dep1, _xlpm.dep2, _xlpm.dep3, _xlpm.dep4, IF(_xlpm.part = "", "", _xlfn.LET(_xlpm.check1, IF(AND(_xlpm.val = "", BJ$3="Required"), IF(OR('12 - Beds'!BJ$7 = "", '12 - Beds'!BJ$7 = "N/A"), "3:Document File Name or URL - Value is required", ""), ""), IF(LEN(_xlpm.check1) &gt; 0, _xlpm.check1, IF(OR(_xlpm.dep1 &lt;&gt; "", _xlpm.dep2 &lt;&gt; "", _xlpm.dep3 &lt;&gt; "", _xlpm.dep4 &lt;&gt; ""), IF(_xlpm.val = "", IF(OR('12 - Beds'!BJ$7 = "", '12 - Beds'!BJ$7 = "N/A"), "3:Document value is required", ""), ""), ""))))))</f>
        <v/>
      </c>
      <c r="BK8" s="22">
        <f t="array" ref="BK8">_xlfn.MAP('12 - Beds'!B8:B507, '12 - Beds'!BK8:BK507,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BK$3="Required"), IF(OR('12 - Beds'!BK$7 = "", '12 - Beds'!BK$7 = "N/A"), "3:Document Type - Value is required", ""), ""))))))</f>
        <v/>
      </c>
      <c r="BL8" s="22">
        <f t="array" ref="BL8">_xlfn.MAP('12 - Beds'!B8:B507, '12 - Beds'!BL8:BL507,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BL$3="Required"), IF(OR('12 - Beds'!BL$7 = "", '12 - Beds'!BL$7 = "N/A"), "3:Legal Document Type - Value is required", ""), ""))))))</f>
        <v/>
      </c>
      <c r="BM8" s="22">
        <f t="array" ref="BM8">_xlfn.MAP('12 - Beds'!B8:B507, '12 - Beds'!BM8:BM507, _xlfn.LAMBDA(_xlpm.part, _xlpm.val, IF(_xlpm.part = "", "", IF(AND(_xlpm.val = "", BM$3="Required"), IF(OR('12 - Beds'!BM$7 = "", '12 - Beds'!BM$7 = "N/A"), "3:Document Region - Value is required", ""), ""))))</f>
        <v/>
      </c>
      <c r="BN8" s="22">
        <f t="array" ref="BN8">_xlfn.MAP('12 - Beds'!B8:B507, '12 - Beds'!BN8:BN507, _xlfn.LAMBDA(_xlpm.part, _xlpm.val, IF(_xlpm.part = "", "", IF(AND(_xlpm.val = "", BN$3="Required"), IF(OR('12 - Beds'!BN$7 = "", '12 - Beds'!BN$7 = "N/A"), "3:Document Language - Value is required", ""), ""))))</f>
        <v/>
      </c>
      <c r="BO8" s="22">
        <f t="array" ref="BO8">_xlfn.MAP('12 - Beds'!B8:B507, '12 - Beds'!BO8:BO507, _xlfn.LAMBDA(_xlpm.part, _xlpm.val, IF(_xlpm.part = "", "", IF(AND(_xlpm.val = "", BO$3="Required"), IF(OR('12 - Beds'!BO$7 = "", '12 - Beds'!BO$7 = "N/A"), "3:Mattress Size - Value is required", ""), ""))))</f>
        <v/>
      </c>
      <c r="BP8" s="22">
        <f t="array" ref="BP8">_xlfn.MAP('12 - Beds'!B8:B507, '12 - Beds'!BP8:BP507, _xlfn.LAMBDA(_xlpm.part, _xlpm.val, IF(_xlpm.part = "", "", IF(AND(_xlpm.val = "", BP$3="Required"), IF(OR('12 - Beds'!BP$7 = "", '12 - Beds'!BP$7 = "N/A"), "3:Color - Value is required", ""), ""))))</f>
        <v/>
      </c>
      <c r="BQ8" s="22">
        <f t="array" ref="BQ8">_xlfn.MAP('12 - Beds'!B8:B507, '12 - Beds'!BQ8:BQ507, _xlfn.LAMBDA(_xlpm.part, _xlpm.val, IF(_xlpm.part = "", "", IF(AND(_xlpm.val = "", BQ$3="Required"), IF(OR('12 - Beds'!BQ$7 = "", '12 - Beds'!BQ$7 = "N/A"), "3:Bed Design - Value is required", ""), ""))))</f>
        <v/>
      </c>
      <c r="BR8" s="22">
        <f t="array" ref="BR8">_xlfn.MAP('12 - Beds'!B8:B507, '12 - Beds'!BR8:BR507, _xlfn.LAMBDA(_xlpm.part, _xlpm.val, IF(_xlpm.part = "", "", IF(AND(_xlpm.val = "", BR$3="Required"), IF(OR('12 - Beds'!BR$7 = "", '12 - Beds'!BR$7 = "N/A"), "3:Bed Frame Material - Value is required", ""), ""))))</f>
        <v/>
      </c>
      <c r="BS8" s="22">
        <f t="array" ref="BS8">_xlfn.MAP('12 - Beds'!B8:B507, '12 - Beds'!BS8:BS507, '12 - Beds'!BR8:BR507, _xlfn.LAMBDA(_xlpm.part, _xlpm.val, _xlpm.dep1, IF(_xlpm.part = "", "", _xlfn.LET(_xlpm.check1, IF(AND(_xlpm.val = "", OR(OR(ISNUMBER(SEARCH("Solid + Manufactured Wood", _xlpm.dep1)), ISNUMBER(SEARCH("Manufactured Wood", _xlpm.dep1)), ISNUMBER(SEARCH("Solid Wood", _xlpm.dep1))), AND(NOT(OR(ISNUMBER(SEARCH("Solid + Manufactured Wood", _xlpm.dep1)), ISNUMBER(SEARCH("Manufactured Wood", _xlpm.dep1)), ISNUMBER(SEARCH("Solid Wood", _xlpm.dep1)))), _xlpm.dep1 &lt;&gt; ""))), "2:Autofill", ""), IF(LEN(_xlpm.check1) &gt; 0, _xlpm.check1, IF(AND(_xlpm.val = "", BS$3="Required"), IF(OR('12 - Beds'!BS$7 = "", '12 - Beds'!BS$7 = "N/A"), "3:Wooden Components - Value is required", ""), ""))))))</f>
        <v/>
      </c>
      <c r="BT8" s="22">
        <f t="array" ref="BT8">_xlfn.MAP('12 - Beds'!B8:B507, '12 - Beds'!BT8:BT507, _xlfn.LAMBDA(_xlpm.part, _xlpm.val, IF(_xlpm.part = "", "", IF(AND(_xlpm.val = "", BT$3="Required"), IF(OR('12 - Beds'!BT$7 = "", '12 - Beds'!BT$7 = "N/A"), "3:Upholstered - Value is required", ""), ""))))</f>
        <v/>
      </c>
      <c r="BU8" s="22">
        <f t="array" ref="BU8">_xlfn.MAP('12 - Beds'!B8:B507, '12 - Beds'!BU8:BU507, '12 - Beds'!BT8:BT507, _xlfn.LAMBDA(_xlpm.part, _xlpm.val, _xlpm.dep1, IF(_xlpm.part = "", "", _xlfn.LET(_xlpm.check1, IF(AND(_xlpm.val = "", _xlpm.dep1 = "No"), "2:Autofill", ""), IF(LEN(_xlpm.check1) &gt; 0, _xlpm.check1, IF(AND(_xlpm.val = "", BU$3="Required"), IF(OR('12 - Beds'!BU$7 = "", '12 - Beds'!BU$7 = "N/A"), "3:Upholstery Material - Value is required", ""), ""))))))</f>
        <v/>
      </c>
      <c r="BV8" s="22">
        <f t="array" ref="BV8">_xlfn.MAP('12 - Beds'!B8:B507, '12 - Beds'!BV8:BV507, '12 - Beds'!BT8:BT507, '12 - Beds'!BU8:BU507, _xlfn.LAMBDA(_xlpm.part, _xlpm.val, _xlpm.dep1, _xlpm.dep2, IF(_xlpm.part = "", "", _xlfn.LET(_xlpm.check1, IF(AND(_xlpm.val = "", OR(_xlpm.dep1 = "No", AND(NOT(OR(ISNUMBER(SEARCH("Faux Leather", _xlpm.dep2)), ISNUMBER(SEARCH("Leather Match", _xlpm.dep2)))), _xlpm.dep2 &lt;&gt; ""))), "2:Autofill", ""), IF(LEN(_xlpm.check1) &gt; 0, _xlpm.check1, _xlfn.LET(_xlpm.check2, IF(_xlpm.dep1 = "No", IF(_xlpm.val &lt;&gt; "Does Not Apply", "1:Based on Upholstered, value should be Does Not Apply", ""), ""), IF(LEN(_xlpm.check2) &gt; 0, _xlpm.check2, _xlfn.LET(_xlpm.check3, IF(AND(NOT(OR(ISNUMBER(SEARCH("Faux Leather", _xlpm.dep2)), ISNUMBER(SEARCH("Leather Match", _xlpm.dep2)))), _xlpm.dep2 &lt;&gt; ""), IF(_xlpm.val &lt;&gt; "Does Not Apply", "1:Based on Upholstery Material, value should be Does Not Apply", ""), ""), IF(LEN(_xlpm.check3) &gt; 0, _xlpm.check3, IF(AND(_xlpm.val = "", BV$3="Required"), IF(OR('12 - Beds'!BV$7 = "", '12 - Beds'!BV$7 = "N/A"), "3:Faux Leather Type - Value is required", ""), ""))))))))))</f>
        <v/>
      </c>
      <c r="BW8" s="22">
        <f t="array" ref="BW8">_xlfn.MAP('12 - Beds'!B8:B507, '12 - Beds'!BW8:BW507, _xlfn.LAMBDA(_xlpm.part, _xlpm.val, IF(_xlpm.part = "", "", IF(AND(_xlpm.val = "", BW$3="Required"), IF(OR('12 - Beds'!BW$7 = "", '12 - Beds'!BW$7 = "N/A"), "3:Box Spring Required - Value is required", ""), ""))))</f>
        <v/>
      </c>
      <c r="BX8" s="22">
        <f t="array" ref="BX8">_xlfn.MAP('12 - Beds'!B8:B507, '12 - Beds'!BX8:BX507, _xlfn.LAMBDA(_xlpm.part, _xlpm.val, IF(_xlpm.part = "", "", IF(AND(_xlpm.val = "", BX$3="Required"), IF(OR('12 - Beds'!BX$7 = "", '12 - Beds'!BX$7 = "N/A"), "3:Slat Material - Value is required", ""), ""))))</f>
        <v/>
      </c>
      <c r="BY8" s="22">
        <f t="array" ref="BY8">_xlfn.MAP('12 - Beds'!B8:B507, '12 - Beds'!BY8:BY507, _xlfn.LAMBDA(_xlpm.part, _xlpm.val, IF(_xlpm.part = "", "", IF(AND(_xlpm.val = "", BY$3="Required"), IF(OR('12 - Beds'!BY$7 = "", '12 - Beds'!BY$7 = "N/A"), "3:Center Support Legs - Value is required", ""), ""))))</f>
        <v/>
      </c>
      <c r="BZ8" s="22">
        <f t="array" ref="BZ8">_xlfn.MAP('12 - Beds'!B8:B507, '12 - Beds'!BZ8:BZ507, _xlfn.LAMBDA(_xlpm.part, _xlpm.val, IF(_xlpm.part = "", "", IF(AND(_xlpm.val = "", BZ$3="Required"), IF(OR('12 - Beds'!BZ$7 = "", '12 - Beds'!BZ$7 = "N/A"), "3:Weight Capacity - Value is required", ""), ""))))</f>
        <v/>
      </c>
      <c r="CA8" s="22">
        <f t="array" ref="CA8">_xlfn.MAP('12 - Beds'!B8:B507, '12 - Beds'!CA8:CA507, _xlfn.LAMBDA(_xlpm.part, _xlpm.val, IF(_xlpm.part = "", "", IF(AND(_xlpm.val = "", CA$3="Required"), IF(OR('12 - Beds'!CA$7 = "", '12 - Beds'!CA$7 = "N/A"), "3:Footboard Included - Value is required", ""), ""))))</f>
        <v/>
      </c>
      <c r="CB8" s="22">
        <f t="array" ref="CB8">_xlfn.MAP('12 - Beds'!B8:B507, '12 - Beds'!CB8:CB507, _xlfn.LAMBDA(_xlpm.part, _xlpm.val, IF(_xlpm.part = "", "", IF(AND(_xlpm.val = "", CB$3="Required"), IF(OR('12 - Beds'!CB$7 = "", '12 - Beds'!CB$7 = "N/A"), "3:Type of Storage Included - Value is required", ""), ""))))</f>
        <v/>
      </c>
      <c r="CC8" s="22">
        <f t="array" ref="CC8">_xlfn.MAP('12 - Beds'!B8:B507, '12 - Beds'!CC8:CC507, '12 - Beds'!CB8:CB507, _xlfn.LAMBDA(_xlpm.part, _xlpm.val, _xlpm.dep1, IF(_xlpm.part = "", "", _xlfn.LET(_xlpm.check1, IF(AND(_xlpm.val = "", OR(ISNUMBER(SEARCH("Drawers", _xlpm.dep1)), _xlpm.dep1 = "No Storage Included", AND(NOT(ISNUMBER(SEARCH("Drawers", _xlpm.dep1))), _xlpm.dep1 &lt;&gt; ""))), "2:Autofill", ""), IF(LEN(_xlpm.check1) &gt; 0, _xlpm.check1, IF(AND(_xlpm.val = "", CC$3="Required"), IF(OR('12 - Beds'!CC$7 = "", '12 - Beds'!CC$7 = "N/A"), "3:Drawers Included - Value is required", ""), ""))))))</f>
        <v/>
      </c>
      <c r="CD8" s="22">
        <f t="array" ref="CD8">_xlfn.MAP('12 - Beds'!B8:B507, '12 - Beds'!CD8:CD507, _xlfn.LAMBDA(_xlpm.part, _xlpm.val, IF(_xlpm.part = "", "", IF(AND(_xlpm.val = "", CD$3="Required"), IF(OR('12 - Beds'!CD$7 = "", '12 - Beds'!CD$7 = "N/A"), "3:Compatible with Adjustable Bed Base - Value is required", ""), ""))))</f>
        <v/>
      </c>
      <c r="CE8" s="22">
        <f t="array" ref="CE8">_xlfn.MAP('12 - Beds'!B8:B507, '12 - Beds'!CE8:CE507, _xlfn.LAMBDA(_xlpm.part, _xlpm.val, IF(_xlpm.part = "", "", IF(AND(_xlpm.val = "", CE$3="Required"), IF(OR('12 - Beds'!CE$7 = "", '12 - Beds'!CE$7 = "N/A"), "3:Plug-In - Value is required", ""), ""))))</f>
        <v/>
      </c>
      <c r="CF8" s="22">
        <f t="array" ref="CF8">_xlfn.MAP('12 - Beds'!B8:B507, '12 - Beds'!CF8:CF507, _xlfn.LAMBDA(_xlpm.part, _xlpm.val, IF(_xlpm.part = "", "", IF(AND(_xlpm.val = "", CF$3="Required"), IF(OR('12 - Beds'!CF$7 = "", '12 - Beds'!CF$7 = "N/A"), "3:Natural Variation Type - Value is required", ""), ""))))</f>
        <v/>
      </c>
      <c r="CG8" s="22">
        <f t="array" ref="CG8">_xlfn.MAP('12 - Beds'!B8:B507, '12 - Beds'!CG8:CG507, _xlfn.LAMBDA(_xlpm.part, _xlpm.val, IF(_xlpm.part = "", "", IF(AND(_xlpm.val = "", CG$3="Required"), IF(OR('12 - Beds'!CG$7 = "", '12 - Beds'!CG$7 = "N/A"), "3:Purposeful Distressing Type - Value is required", ""), ""))))</f>
        <v/>
      </c>
      <c r="CH8" s="22">
        <f t="array" ref="CH8">_xlfn.MAP('12 - Beds'!B8:B507, '12 - Beds'!CH8:CH507, _xlfn.LAMBDA(_xlpm.part, _xlpm.val, IF(_xlpm.part = "", "", _xlfn.LET(_xlpm.check1, IF(NOT(ISBLANK(_xlpm.val)),_xlfn.LET(_xlpm.items, _xlfn.TEXTSPLIT(_xlpm.val, ";"),_xlpm.trimmed, _xlfn.MAP(_xlpm.items, _xlfn.LAMBDA(_xlpm.x, TRIM(_xlpm.x))),_xlpm.invalid, _xlfn._xlws.FILTER(_xlpm.trimmed, ISNA(MATCH(_xlpm.trimmed, allowed223513, 0)), ""),IF(AND(_xlpm.invalid&lt;&gt;"", COUNTA(_xlpm.invalid)&gt;0),"1:Please select valid values from the provided list. Answers are case-sensitive and must be separated by a semicolon.","")), ""), IF(LEN(_xlpm.check1) &gt; 0, _xlpm.check1, IF(AND(_xlpm.val = "", CH$3="Required"), IF(OR('12 - Beds'!CH$7 = "", '12 - Beds'!CH$7 = "N/A"), "3:Supplier Intended and Approved Use - Value is required", ""), ""))))))</f>
        <v/>
      </c>
      <c r="CI8" s="22">
        <f t="array" ref="CI8">_xlfn.MAP('12 - Beds'!B8:B507, '12 - Beds'!CI8:CI507, _xlfn.LAMBDA(_xlpm.part, _xlpm.val, IF(_xlpm.part = "", "", IF(AND(_xlpm.val = "", CI$3="Required"), IF(OR('12 - Beds'!CI$7 = "", '12 - Beds'!CI$7 = "N/A"), "3:Country of Origin - Additional Details - Value is required", ""), ""))))</f>
        <v/>
      </c>
      <c r="CJ8" s="22">
        <f t="array" ref="CJ8">_xlfn.MAP('12 - Beds'!B8:B507, '12 - Beds'!CJ8:CJ507, '12 - Beds'!BR8:BR507, _xlfn.LAMBDA(_xlpm.part, _xlpm.val, _xlpm.dep1, IF(_xlpm.part = "", "", _xlfn.LET(_xlpm.check1, IF(AND(_xlpm.val = "", OR(OR(ISNUMBER(SEARCH("Solid + Manufactured Wood", _xlpm.dep1)), ISNUMBER(SEARCH("Manufactured Wood", _xlpm.dep1)), ISNUMBER(SEARCH("Solid Wood", _xlpm.dep1))), AND(NOT(OR(ISNUMBER(SEARCH("Solid + Manufactured Wood", _xlpm.dep1)), ISNUMBER(SEARCH("Manufactured Wood", _xlpm.dep1)), ISNUMBER(SEARCH("Solid Wood", _xlpm.dep1)))), _xlpm.dep1 &lt;&gt; ""))), "2:Autofill", ""), IF(LEN(_xlpm.check1) &gt; 0, _xlpm.check1, IF(AND(_xlpm.val = "", CJ$3="Required"), IF(OR('12 - Beds'!CJ$7 = "", '12 - Beds'!CJ$7 = "N/A"), "3:Main Wood Joinery Method - Value is required", ""), ""))))))</f>
        <v/>
      </c>
      <c r="CK8" s="22">
        <f t="array" ref="CK8">_xlfn.MAP('12 - Beds'!B8:B507, '12 - Beds'!CK8:CK507, _xlfn.LAMBDA(_xlpm.part, _xlpm.val, IF(_xlpm.part = "", "", IF(AND(_xlpm.val = "", CK$3="Required"), IF(OR('12 - Beds'!CK$7 = "", '12 - Beds'!CK$7 = "N/A"), "3:Kiln-Dried Wood - Value is required", ""), ""))))</f>
        <v/>
      </c>
      <c r="CL8" s="22">
        <f t="array" ref="CL8">_xlfn.MAP('12 - Beds'!B8:B507, '12 - Beds'!CL8:CL507, _xlfn.LAMBDA(_xlpm.part, _xlpm.val, IF(_xlpm.part = "", "", IF(AND(_xlpm.val = "", CL$3="Required"), IF(OR('12 - Beds'!CL$7 = "", '12 - Beds'!CL$7 = "N/A"), "3:Wood Species - Value is required", ""), ""))))</f>
        <v/>
      </c>
      <c r="CM8" s="22">
        <f t="array" ref="CM8">_xlfn.MAP('12 - Beds'!B8:B507, '12 - Beds'!CM8:CM507, _xlfn.LAMBDA(_xlpm.part, _xlpm.val, IF(_xlpm.part = "", "", _xlfn.LET(_xlpm.check1, IF(NOT(ISBLANK(_xlpm.val)),_xlfn.LET(_xlpm.items, _xlfn.TEXTSPLIT(_xlpm.val, ";"),_xlpm.trimmed, _xlfn.MAP(_xlpm.items, _xlfn.LAMBDA(_xlpm.x, TRIM(_xlpm.x))),_xlpm.invalid, _xlfn._xlws.FILTER(_xlpm.trimmed, ISNA(MATCH(_xlpm.trimmed, allowed336669, 0)), ""),IF(AND(_xlpm.invalid&lt;&gt;"", COUNTA(_xlpm.invalid)&gt;0),"1:Please select valid values from the provided list. Answers are case-sensitive and must be separated by a semicolon.","")), ""), IF(LEN(_xlpm.check1) &gt; 0, _xlpm.check1, IF(AND(_xlpm.val = "", CM$3="Required"), IF(OR('12 - Beds'!CM$7 = "", '12 - Beds'!CM$7 = "N/A"), "3:Pattern - Value is required", ""), ""))))))</f>
        <v/>
      </c>
      <c r="CN8" s="22">
        <f t="array" ref="CN8">_xlfn.MAP('12 - Beds'!B8:B507, '12 - Beds'!CN8:CN507, _xlfn.LAMBDA(_xlpm.part, _xlpm.val, IF(_xlpm.part = "", "", IF(AND(_xlpm.val = "", CN$3="Required"), IF(OR('12 - Beds'!CN$7 = "", '12 - Beds'!CN$7 = "N/A"), "3:Battery or Batteries Included - Value is required", ""), ""))))</f>
        <v/>
      </c>
      <c r="CO8" s="22">
        <f t="array" ref="CO8">_xlfn.MAP('12 - Beds'!B8:B507, '12 - Beds'!CO8:CO507, '12 - Beds'!CN8:CN507,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IF(OR('12 - Beds'!CO$7 = "", '12 - Beds'!CO$7 = "N/A"), "3:Since Battery or Batteries Included equals 'Yes', this field is required", ""), ""), ""), IF(LEN(_xlpm.check3) &gt; 0, _xlpm.check3, IF(AND(_xlpm.val = "", CO$3="Required"), IF(OR('12 - Beds'!CO$7 = "", '12 - Beds'!CO$7 = "N/A"), "3:Battery Composition - Value is required", ""), ""))))))))))</f>
        <v/>
      </c>
      <c r="CP8" s="22">
        <f t="array" ref="CP8">_xlfn.MAP('12 - Beds'!B8:B507, '12 - Beds'!CP8:CP507, '12 - Beds'!CN8:CN507,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IF(OR('12 - Beds'!CP$7 = "", '12 - Beds'!CP$7 = "N/A"), "3:Since Battery or Batteries Included equals 'Yes', this field is required", ""), ""), ""), IF(LEN(_xlpm.check3) &gt; 0, _xlpm.check3, IF(AND(_xlpm.val = "", CP$3="Required"), IF(OR('12 - Beds'!CP$7 = "", '12 - Beds'!CP$7 = "N/A"), "3:Battery Type - Value is required", ""), ""))))))))))</f>
        <v/>
      </c>
      <c r="CQ8" s="22">
        <f t="array" ref="CQ8">_xlfn.MAP('12 - Beds'!B8:B507, '12 - Beds'!CQ8:CQ507, '12 - Beds'!CN8:CN507,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IF(OR('12 - Beds'!CQ$7 = "", '12 - Beds'!CQ$7 = "N/A"), "3:Since Battery or Batteries Included equals 'Yes', this field is required", ""), ""), ""), IF(LEN(_xlpm.check3) &gt; 0, _xlpm.check3, IF(AND(_xlpm.val = "", CQ$3="Required"), IF(OR('12 - Beds'!CQ$7 = "", '12 - Beds'!CQ$7 = "N/A"), "3:Number of Batteries - Value is required", ""), ""))))))))))</f>
        <v/>
      </c>
      <c r="CR8" s="22">
        <f t="array" ref="CR8">_xlfn.MAP('12 - Beds'!B8:B507, '12 - Beds'!CR8:CR507, '12 - Beds'!CN8:CN507, '12 - Beds'!CO8:CO507, _xlfn.LAMBDA(_xlpm.part, _xlpm.val, _xlpm.dep1, _xlpm.dep2, IF(_xlpm.part = "", "",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IF(OR('12 - Beds'!CR$7 = "", '12 - Beds'!CR$7 = "N/A"), "3:Since Battery or Batteries Included equals 'Yes', this field is required", ""), ""), ""), IF(LEN(_xlpm.check4) &gt; 0, _xlpm.check4, IF(AND(_xlpm.val = "", CR$3="Required"), IF(OR('12 - Beds'!CR$7 = "", '12 - Beds'!CR$7 = "N/A"), "3:Battery Shipment - Value is required", ""), ""))))))))))))</f>
        <v/>
      </c>
      <c r="CS8" s="22">
        <f t="array" ref="CS8">_xlfn.MAP('12 - Beds'!B8:B507, '12 - Beds'!CS8:CS507, '12 - Beds'!CN8:CN507, '12 - Beds'!CO8:CO507, _xlfn.LAMBDA(_xlpm.part, _xlpm.val, _xlpm.dep1, _xlpm.dep2, IF(_xlpm.part = "", "", _xlfn.LET(_xlpm.check1, IF(AND(_xlpm.val = "", OR(_xlpm.dep1 = "No", _xlpm.dep2 = "Lithium Ion / Lithium Polymer",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Ion / Lithium Polymer",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IF(_xlpm.dep1 = "Yes", IF(_xlpm.val = "", IF(OR('12 - Beds'!CS$7 = "", '12 - Beds'!CS$7 = "N/A"), "3:Since Battery or Batteries Included equals 'Yes', this field is required", ""), ""), ""), IF(LEN(_xlpm.check5) &gt; 0, _xlpm.check5, IF(AND(_xlpm.val = "", CS$3="Required"), IF(OR('12 - Beds'!CS$7 = "", '12 - Beds'!CS$7 = "N/A"), "3:Lithium Content - Value is required", ""), ""))))))))))))))</f>
        <v/>
      </c>
      <c r="CT8" s="22">
        <f t="array" ref="CT8">_xlfn.MAP('12 - Beds'!B8:B507, '12 - Beds'!CT8:CT507, '12 - Beds'!CN8:CN507, '12 - Beds'!CO8:CO507, '12 - Beds'!CP8:CP507, _xlfn.LAMBDA(_xlpm.part, _xlpm.val, _xlpm.dep1, _xlpm.dep2, _xlpm.dep3, IF(_xlpm.part = "", "", _xlfn.LET(_xlpm.check1, IF(AND(_xlpm.val = "", OR(_xlpm.dep1 = "No", _xlpm.dep2 = "Lithium Metal",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Metal",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IF(OR(ISNUMBER(SEARCH("Cell", _xlpm.dep3)), ISNUMBER(SEARCH("Button Cell", _xlpm.dep3))), IF(OR(_xlpm.val = "Batteries exceeding 300w/h", _xlpm.val = "Batteries of between 100w/h and 300 w/h", _xlpm.val = "Batteries of 100w/h or less"), "1:Based on Battery Type, value should not be Batteries exceeding 300w/h, Batteries of between 100w/h and 300 w/h, Batteries of 100w/h or less", ""), ""), IF(LEN(_xlpm.check5) &gt; 0, _xlpm.check5, _xlfn.LET(_xlpm.check6, IF(ISNUMBER(SEARCH("Battery", _xlpm.dep3)), IF(OR(_xlpm.val = "Cells of between 20w/h and 60w/h", _xlpm.val = "Cells exceeding 60w/h", _xlpm.val = "Cells of 20w/h or less"), "1:Based on Battery Type, value should not be Cells of between 20w/h and 60w/h, Cells exceeding 60w/h, Cells of 20w/h or less", ""), ""), IF(LEN(_xlpm.check6) &gt; 0, _xlpm.check6, _xlfn.LET(_xlpm.check7, IF(_xlpm.dep1 = "Yes", IF(_xlpm.val = "", IF(OR('12 - Beds'!CT$7 = "", '12 - Beds'!CT$7 = "N/A"), "3:Since Battery or Batteries Included equals 'Yes', this field is required", ""), ""), ""), IF(LEN(_xlpm.check7) &gt; 0, _xlpm.check7, IF(AND(_xlpm.val = "", CT$3="Required"), IF(OR('12 - Beds'!CT$7 = "", '12 - Beds'!CT$7 = "N/A"), "3:Watt Rating of Cells / Battery - Value is required", ""), ""))))))))))))))))))</f>
        <v/>
      </c>
      <c r="CU8" s="22">
        <f t="array" ref="CU8">_xlfn.MAP('12 - Beds'!B8:B507, '12 - Beds'!CU8:CU507, '12 - Beds'!CN8:CN507, '12 - Beds'!CO8:CO507, _xlfn.LAMBDA(_xlpm.part, _xlpm.val, _xlpm.dep1, _xlpm.dep2, IF(_xlpm.part = "", "",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IF(OR('12 - Beds'!CU$7 = "", '12 - Beds'!CU$7 = "N/A"), "3:Since Battery or Batteries Included equals 'Yes', this field is required", ""), ""), ""), IF(LEN(_xlpm.check4) &gt; 0, _xlpm.check4, IF(AND(_xlpm.val = "", CU$3="Required"), IF(OR('12 - Beds'!CU$7 = "", '12 - Beds'!CU$7 = "N/A"), "3:Weight of Cells / Battery - Value is required", ""), ""))))))))))))</f>
        <v/>
      </c>
      <c r="CV8" s="22">
        <f t="array" ref="CV8">_xlfn.MAP('12 - Beds'!B8:B507, '12 - Beds'!CV8:CV507, '12 - Beds'!BT8:BT507, _xlfn.LAMBDA(_xlpm.part, _xlpm.val, _xlpm.dep1, IF(_xlpm.part = "", "", _xlfn.LET(_xlpm.check1, IF(AND(_xlpm.val = "", _xlpm.dep1 = "No"), "2:Autofill", ""), IF(LEN(_xlpm.check1) &gt; 0, _xlpm.check1, _xlfn.LET(_xlpm.check2, IF(_xlpm.dep1 = "No", IF(_xlpm.val &lt;&gt; "No", "1:Based on Upholstered, value should be No", ""), ""), IF(LEN(_xlpm.check2) &gt; 0, _xlpm.check2, IF(AND(_xlpm.val = "", CV$3="Required"), IF(OR('12 - Beds'!CV$7 = "", '12 - Beds'!CV$7 = "N/A"), "3:Tufted - Value is required", ""), ""))))))))</f>
        <v/>
      </c>
      <c r="CW8" s="22">
        <f t="array" ref="CW8">_xlfn.MAP('12 - Beds'!B8:B507, '12 - Beds'!CW8:CW507, '12 - Beds'!BT8:BT507, _xlfn.LAMBDA(_xlpm.part, _xlpm.val, _xlpm.dep1, IF(_xlpm.part = "", "", _xlfn.LET(_xlpm.check1, IF(AND(_xlpm.val = "", _xlpm.dep1 = "No"), "2:Autofill", ""), IF(LEN(_xlpm.check1) &gt; 0, _xlpm.check1, IF(AND(_xlpm.val = "", CW$3="Required"), IF(OR('12 - Beds'!CW$7 = "", '12 - Beds'!CW$7 = "N/A"), "3:Nailhead Trim - Value is required", ""), ""))))))</f>
        <v/>
      </c>
      <c r="CX8" s="22">
        <f t="array" ref="CX8">_xlfn.MAP('12 - Beds'!B8:B507, '12 - Beds'!CX8:CX507, _xlfn.LAMBDA(_xlpm.part, _xlpm.val, IF(_xlpm.part = "", "", IF(AND(_xlpm.val = "", CX$3="Required"), IF(OR('12 - Beds'!CX$7 = "", '12 - Beds'!CX$7 = "N/A"), "3:Unfinished - Value is required", ""), ""))))</f>
        <v/>
      </c>
      <c r="CY8" s="22">
        <f t="array" ref="CY8">_xlfn.MAP('12 - Beds'!B8:B507, '12 - Beds'!CY8:CY507, _xlfn.LAMBDA(_xlpm.part, _xlpm.val, IF(_xlpm.part = "", "", IF(AND(_xlpm.val = "", CY$3="Required"), IF(OR('12 - Beds'!CY$7 = "", '12 - Beds'!CY$7 = "N/A"), "3:Finished Back - Value is required", ""), ""))))</f>
        <v/>
      </c>
      <c r="CZ8" s="22">
        <f t="array" ref="CZ8">_xlfn.MAP('12 - Beds'!B8:B507, '12 - Beds'!CZ8:CZ507, '12 - Beds'!BR8:BR507, _xlfn.LAMBDA(_xlpm.part, _xlpm.val, _xlpm.dep1, IF(_xlpm.part = "", "", _xlfn.LET(_xlpm.check1, IF(AND(_xlpm.val = "", AND(NOT(OR(ISNUMBER(SEARCH("Solid + Manufactured Wood", _xlpm.dep1)), ISNUMBER(SEARCH("Manufactured Wood", _xlpm.dep1)))), _xlpm.dep1 &lt;&gt; "")), "2:Autofill", ""), IF(LEN(_xlpm.check1) &gt; 0, _xlpm.check1, _xlfn.LET(_xlpm.check2, IF(AND(NOT(OR(ISNUMBER(SEARCH("Solid + Manufactured Wood", _xlpm.dep1)), ISNUMBER(SEARCH("Manufactured Wood", _xlpm.dep1)))), _xlpm.dep1 &lt;&gt; ""), IF(_xlpm.val &lt;&gt; "Does Not Apply", "1:Based on Bed Frame Material, value should be Does Not Apply", ""), ""), IF(LEN(_xlpm.check2) &gt; 0, _xlpm.check2, IF(AND(_xlpm.val = "", CZ$3="Required"), IF(OR('12 - Beds'!CZ$7 = "", '12 - Beds'!CZ$7 = "N/A"), "3:Manufactured Wood Type - Value is required", ""), ""))))))))</f>
        <v/>
      </c>
      <c r="DA8" s="22">
        <f t="array" ref="DA8">_xlfn.MAP('12 - Beds'!B8:B507, '12 - Beds'!DA8:DA507, _xlfn.LAMBDA(_xlpm.part, _xlpm.val, IF(_xlpm.part = "", "", IF(AND(_xlpm.val = "", DA$3="Required"), IF(OR('12 - Beds'!DA$7 = "", '12 - Beds'!DA$7 = "N/A"), "3:Lighted Headboard - Value is required", ""), ""))))</f>
        <v/>
      </c>
      <c r="DB8" s="22">
        <f t="array" ref="DB8">_xlfn.MAP('12 - Beds'!B8:B507, '12 - Beds'!DB8:DB507, '12 - Beds'!BT8:BT507, '12 - Beds'!BU8:BU507, _xlfn.LAMBDA(_xlpm.part, _xlpm.val, _xlpm.dep1, _xlpm.dep2, IF(_xlpm.part = "", "", _xlfn.LET(_xlpm.check1, IF(AND(_xlpm.val = "", OR(_xlpm.dep1 = "No", AND(NOT(OR(ISNUMBER(SEARCH("Leather Match", _xlpm.dep2)), ISNUMBER(SEARCH("Genuine Leather", _xlpm.dep2)))), _xlpm.dep2 &lt;&gt; ""))), "2:Autofill", ""), IF(LEN(_xlpm.check1) &gt; 0, _xlpm.check1, _xlfn.LET(_xlpm.check2, IF(_xlpm.dep1 = "No", IF(_xlpm.val &lt;&gt; "Does Not Apply", "1:Based on Upholstered, value should be Does Not Apply", ""), ""), IF(LEN(_xlpm.check2) &gt; 0, _xlpm.check2, _xlfn.LET(_xlpm.check3, IF(AND(NOT(OR(ISNUMBER(SEARCH("Leather Match", _xlpm.dep2)), ISNUMBER(SEARCH("Genuine Leather", _xlpm.dep2)))), _xlpm.dep2 &lt;&gt; ""), IF(_xlpm.val &lt;&gt; "Does Not Apply", "1:Based on Upholstery Material, value should be Does Not Apply", ""), ""), IF(LEN(_xlpm.check3) &gt; 0, _xlpm.check3, IF(AND(_xlpm.val = "", DB$3="Required"), IF(OR('12 - Beds'!DB$7 = "", '12 - Beds'!DB$7 = "N/A"), "3:Leather Type - Value is required", ""), ""))))))))))</f>
        <v/>
      </c>
      <c r="DC8" s="22">
        <f t="array" ref="DC8">_xlfn.MAP('12 - Beds'!B8:B507, '12 - Beds'!DC8:DC507, _xlfn.LAMBDA(_xlpm.part, _xlpm.val, IF(_xlpm.part = "", "", IF(AND(_xlpm.val = "", DC$3="Required"), IF(OR('12 - Beds'!DC$7 = "", '12 - Beds'!DC$7 = "N/A"), "3:Upholstery Fabric Quality - Value is required", ""), ""))))</f>
        <v/>
      </c>
      <c r="DD8" s="22">
        <f t="array" ref="DD8">_xlfn.MAP('12 - Beds'!B8:B507, '12 - Beds'!DD8:DD507, _xlfn.LAMBDA(_xlpm.part, _xlpm.val, IF(_xlpm.part = "", "", IF(AND(_xlpm.val = "", DD$3="Required"), IF(OR('12 - Beds'!DD$7 = "", '12 - Beds'!DD$7 = "N/A"), "3:Headboard Shape - Value is required", ""), ""))))</f>
        <v/>
      </c>
      <c r="DE8" s="22">
        <f t="array" ref="DE8">_xlfn.MAP('12 - Beds'!B8:B507, '12 - Beds'!DE8:DE507, _xlfn.LAMBDA(_xlpm.part, _xlpm.val, IF(_xlpm.part = "", "", IF(AND(_xlpm.val = "", DE$3="Required"), IF(OR('12 - Beds'!DE$7 = "", '12 - Beds'!DE$7 = "N/A"), "3:Additional Technology Features - Value is required", ""), ""))))</f>
        <v/>
      </c>
      <c r="DF8" s="22">
        <f t="array" ref="DF8">_xlfn.MAP('12 - Beds'!B8:B507, '12 - Beds'!DF8:DF507, _xlfn.LAMBDA(_xlpm.part, _xlpm.val, IF(_xlpm.part = "", "", IF(AND(_xlpm.val = "", DF$3="Required"), IF(OR('12 - Beds'!DF$7 = "", '12 - Beds'!DF$7 = "N/A"), "3:Ribbed Detailing - Value is required", ""), ""))))</f>
        <v/>
      </c>
      <c r="DG8" s="22">
        <f t="array" ref="DG8">_xlfn.MAP('12 - Beds'!B8:B507, '12 - Beds'!DG8:DG507, _xlfn.LAMBDA(_xlpm.part, _xlpm.val, IF(_xlpm.part = "", "", IF(AND(_xlpm.val = "", DG$3="Required"), IF(OR('12 - Beds'!DG$7 = "", '12 - Beds'!DG$7 = "N/A"), "3:Fluted Detailing - Value is required", ""), ""))))</f>
        <v/>
      </c>
      <c r="DH8" s="22">
        <f t="array" ref="DH8">_xlfn.MAP('12 - Beds'!B8:B507, '12 - Beds'!DH8:DH507, _xlfn.LAMBDA(_xlpm.part, _xlpm.val, IF(_xlpm.part = "", "", _xlfn.LET(_xlpm.check1, IF(NOT(ISBLANK(_xlpm.val)),_xlfn.LET(_xlpm.items, _xlfn.TEXTSPLIT(_xlpm.val, ";"),_xlpm.trimmed, _xlfn.MAP(_xlpm.items, _xlfn.LAMBDA(_xlpm.x, TRIM(_xlpm.x))),_xlpm.invalid, _xlfn._xlws.FILTER(_xlpm.trimmed, ISNA(MATCH(_xlpm.trimmed, allowed420141, 0)), ""),IF(AND(_xlpm.invalid&lt;&gt;"", COUNTA(_xlpm.invalid)&gt;0),"1:Please select valid values from the provided list. Answers are case-sensitive and must be separated by a semicolon.","")), ""), IF(LEN(_xlpm.check1) &gt; 0, _xlpm.check1, IF(AND(_xlpm.val = "", DH$3="Required"), IF(OR('12 - Beds'!DH$7 = "", '12 - Beds'!DH$7 = "N/A"), "3:Pieces Included - Value is required", ""), ""))))))</f>
        <v/>
      </c>
      <c r="DI8" s="22">
        <f t="array" ref="DI8">_xlfn.MAP('12 - Beds'!B8:B507, '12 - Beds'!DI8:DI507, '12 - Beds'!BY8:BY507, _xlfn.LAMBDA(_xlpm.part, _xlpm.val, _xlpm.dep1, IF(_xlpm.part = "", "", _xlfn.LET(_xlpm.check1, IF(AND(_xlpm.val = "", _xlpm.dep1 = "No"), "2:Autofill", ""), IF(LEN(_xlpm.check1) &gt; 0, _xlpm.check1, _xlfn.LET(_xlpm.check2, IF(_xlpm.dep1 = "No", IF(_xlpm.val &lt;&gt; "Does Not Apply", "1:Based on Center Support Legs, value should be Does Not Apply", ""), ""), IF(LEN(_xlpm.check2) &gt; 0, _xlpm.check2, IF(AND(_xlpm.val = "", DI$3="Required"), IF(OR('12 - Beds'!DI$7 = "", '12 - Beds'!DI$7 = "N/A"), "3:Number of Center Support Legs - Value is required", ""), ""))))))))</f>
        <v/>
      </c>
      <c r="DJ8" s="22">
        <f t="array" ref="DJ8">_xlfn.MAP('12 - Beds'!B8:B507, '12 - Beds'!DJ8:DJ507, _xlfn.LAMBDA(_xlpm.part, _xlpm.val, IF(_xlpm.part = "", "", IF(AND(_xlpm.val = "", DJ$3="Required"), IF(OR('12 - Beds'!DJ$7 = "", '12 - Beds'!DJ$7 = "N/A"), "3:Upholstery Material Performance Brand - Value is required", ""), ""))))</f>
        <v/>
      </c>
      <c r="DK8" s="22">
        <f t="array" ref="DK8">_xlfn.MAP('12 - Beds'!B8:B507, '12 - Beds'!DK8:DK507, _xlfn.LAMBDA(_xlpm.part, _xlpm.val, IF(_xlpm.part = "", "", IF(AND(_xlpm.val = "", DK$3="Required"), IF(OR('12 - Beds'!DK$7 = "", '12 - Beds'!DK$7 = "N/A"), "3:Additional Intended Use For Child - Value is required", ""), ""))))</f>
        <v/>
      </c>
      <c r="DL8" s="22">
        <f t="array" ref="DL8">_xlfn.MAP('12 - Beds'!B8:B507, '12 - Beds'!DL8:DL507, _xlfn.LAMBDA(_xlpm.part, _xlpm.val, IF(_xlpm.part = "", "", IF(AND(_xlpm.val = "", DL$3="Required"), IF(OR('12 - Beds'!DL$7 = "", '12 - Beds'!DL$7 = "N/A"), "3:Composite Wood Product (CWP) - Value is required", ""), ""))))</f>
        <v/>
      </c>
      <c r="DM8" s="22">
        <f t="array" ref="DM8">_xlfn.MAP('12 - Beds'!B8:B507, '12 - Beds'!DM8:DM507, '12 - Beds'!DL8:DL507,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IF(OR('12 - Beds'!DM$7 = "", '12 - Beds'!DM$7 = "N/A"), "3:Since Composite Wood Product (CWP) equals 'Yes', this field is required", ""), ""), ""), IF(LEN(_xlpm.check4) &gt; 0, _xlpm.check4, IF(AND(_xlpm.val = "", DM$3="Required"), IF(OR('12 - Beds'!DM$7 = "", '12 - Beds'!DM$7 = "N/A"), "3:CARB Phase II Compliant (formaldehyde emissions) - Value is required", ""), ""))))))))))))</f>
        <v/>
      </c>
      <c r="DN8" s="22">
        <f t="array" ref="DN8">_xlfn.MAP('12 - Beds'!B8:B507, '12 - Beds'!DN8:DN507, '12 - Beds'!DL8:DL507,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IF(OR('12 - Beds'!DN$7 = "", '12 - Beds'!DN$7 = "N/A"), "3:Since Composite Wood Product (CWP) equals 'Yes', this field is required", ""), ""), ""), IF(LEN(_xlpm.check4) &gt; 0, _xlpm.check4, IF(AND(_xlpm.val = "", DN$3="Required"), IF(OR('12 - Beds'!DN$7 = "", '12 - Beds'!DN$7 = "N/A"), "3:TSCA Title VI Compliant (formaldehyde emissions) - Value is required", ""), ""))))))))))))</f>
        <v/>
      </c>
      <c r="DO8" s="22">
        <f t="array" ref="DO8">_xlfn.MAP('12 - Beds'!B8:B507, '12 - Beds'!DO8:DO507, '12 - Beds'!DL8:DL507,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IF(OR('12 - Beds'!DO$7 = "", '12 - Beds'!DO$7 = "N/A"), "3:Since Composite Wood Product (CWP) equals 'Yes', this field is required", ""), ""), ""), IF(LEN(_xlpm.check4) &gt; 0, _xlpm.check4, IF(AND(_xlpm.val = "", DO$3="Required"), IF(OR('12 - Beds'!DO$7 = "", '12 - Beds'!DO$7 = "N/A"), "3:CANFER Compliant - Value is required", ""), ""))))))))))))</f>
        <v/>
      </c>
      <c r="DP8" s="22">
        <f t="array" ref="DP8">_xlfn.MAP('12 - Beds'!B8:B507, '12 - Beds'!DP8:DP507, '12 - Beds'!DH8:DH507, _xlfn.LAMBDA(_xlpm.part, _xlpm.val, _xlpm.dep1, IF(_xlpm.part = "", "", _xlfn.LET(_xlpm.check1, IF(AND(_xlpm.val = "", AND(NOT(ISNUMBER(SEARCH("Mattress", _xlpm.dep1))), _xlpm.dep1 &lt;&gt; "")), "2:Autofill", ""), IF(LEN(_xlpm.check1) &gt; 0, _xlpm.check1, _xlfn.LET(_xlpm.check2, IF(AND(NOT(ISNUMBER(SEARCH("Mattress", _xlpm.dep1))), _xlpm.dep1 &lt;&gt; ""), IF(_xlpm.val &lt;&gt; "Does Not Apply", "1:Based on Pieces Included, value should be Does Not Apply", ""), ""), IF(LEN(_xlpm.check2) &gt; 0, _xlpm.check2, IF(AND(_xlpm.val = "", DP$3="Required"), IF(OR('12 - Beds'!DP$7 = "", '12 - Beds'!DP$7 = "N/A"), "3:SOR/2016-183 Compliant - Value is required", ""), ""))))))))</f>
        <v/>
      </c>
      <c r="DQ8" s="22">
        <f t="array" ref="DQ8">_xlfn.MAP('12 - Beds'!B8:B507, '12 - Beds'!DQ8:DQ507, '12 - Beds'!BT8:BT507, _xlfn.LAMBDA(_xlpm.part, _xlpm.val, _xlpm.dep1, IF(_xlpm.part = "", "", _xlfn.LET(_xlpm.check1, IF(AND(_xlpm.val = "", OR(_xlpm.dep1 = "No", AND(NOT(ISNUMBER(SEARCH("Yes", _xlpm.dep1))), _xlpm.dep1 &lt;&gt; ""))), "2:Autofill", ""), IF(LEN(_xlpm.check1) &gt; 0, _xlpm.check1, IF(AND(_xlpm.val = "", DQ$3="Required"), IF(OR('12 - Beds'!DQ$7 = "", '12 - Beds'!DQ$7 = "N/A"), "3:CAL TB 116 Compliant - Value is required", ""), ""))))))</f>
        <v/>
      </c>
      <c r="DR8" s="22">
        <f t="array" ref="DR8">_xlfn.MAP('12 - Beds'!B8:B507, '12 - Beds'!DR8:DR507, '12 - Beds'!BT8:BT507, _xlfn.LAMBDA(_xlpm.part, _xlpm.val, _xlpm.dep1, IF(_xlpm.part = "", "", _xlfn.LET(_xlpm.check1, IF(AND(_xlpm.val = "", _xlpm.dep1 = "No"), "2:Autofill", ""), IF(LEN(_xlpm.check1) &gt; 0, _xlpm.check1, IF(AND(_xlpm.val = "", DR$3="Required"), IF(OR('12 - Beds'!DR$7 = "", '12 - Beds'!DR$7 = "N/A"), "3:CAL TB 117-2013 Compliant - Value is required", ""), ""))))))</f>
        <v/>
      </c>
      <c r="DS8" s="22">
        <f t="array" ref="DS8">_xlfn.MAP('12 - Beds'!B8:B507, '12 - Beds'!DS8:DS507, _xlfn.LAMBDA(_xlpm.part, _xlpm.val, IF(_xlpm.part = "", "", IF(AND(_xlpm.val = "", DS$3="Required"), IF(OR('12 - Beds'!DS$7 = "", '12 - Beds'!DS$7 = "N/A"), "3:Uniform Packaging and Labeling Regulations (UPLR) Compliant - Value is required", ""), ""))))</f>
        <v/>
      </c>
      <c r="DT8" s="22">
        <f t="array" ref="DT8">_xlfn.MAP('12 - Beds'!B8:B507, '12 - Beds'!DT8:DT507, _xlfn.LAMBDA(_xlpm.part, _xlpm.val, IF(_xlpm.part = "", "", IF(AND(_xlpm.val = "", DT$3="Required"), IF(OR('12 - Beds'!DT$7 = "", '12 - Beds'!DT$7 = "N/A"), "3:Canada Product Restriction - Value is required", ""), ""))))</f>
        <v/>
      </c>
      <c r="DU8" s="22">
        <f t="array" ref="DU8">_xlfn.MAP('12 - Beds'!B8:B507, '12 - Beds'!DU8:DU507, '12 - Beds'!DT8:DT507, _xlfn.LAMBDA(_xlpm.part, _xlpm.val, _xlpm.dep1, IF(_xlpm.part = "", "",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allowed251018, 0)), ""),IF(AND(_xlpm.invalid&lt;&gt;"", COUNTA(_xlpm.invalid)&gt;0),"1:Please select valid values from the provided list. Answers are case-sensitive and must be separated by a semicolon.","")), ""), IF(LEN(_xlpm.check3) &gt; 0, _xlpm.check3, _xlfn.LET(_xlpm.check4, IF(_xlpm.dep1 = "Yes", IF(_xlpm.val = "", IF(OR('12 - Beds'!DU$7 = "", '12 - Beds'!DU$7 = "N/A"), "3:Since Canada Product Restriction equals 'Yes', this field is required", ""), ""), ""), IF(LEN(_xlpm.check4) &gt; 0, _xlpm.check4, IF(AND(_xlpm.val = "", DU$3="Required"), IF(OR('12 - Beds'!DU$7 = "", '12 - Beds'!DU$7 = "N/A"), "3:Reason for Restriction - Value is required", ""), ""))))))))))))</f>
        <v/>
      </c>
      <c r="DV8" s="22">
        <f t="array" ref="DV8">_xlfn.MAP('12 - Beds'!B8:B507, '12 - Beds'!DV8:DV507, '12 - Beds'!BT8:BT507, _xlfn.LAMBDA(_xlpm.part, _xlpm.val, _xlpm.dep1, IF(_xlpm.part = "", "", _xlfn.LET(_xlpm.check1, IF(AND(_xlpm.val = "", _xlpm.dep1 = "No"), "2:Autofill", ""), IF(LEN(_xlpm.check1) &gt; 0, _xlpm.check1, IF(AND(_xlpm.val = "", DV$3="Required"), IF(OR('12 - Beds'!DV$7 = "", '12 - Beds'!DV$7 = "N/A"), "3:Textile Labelling and Advertising Regulations (C.R.C., c. 1551) - Value is required", ""), ""))))))</f>
        <v/>
      </c>
      <c r="DW8" s="22">
        <f t="array" ref="DW8">_xlfn.MAP('12 - Beds'!B8:B507, '12 - Beds'!DW8:DW507, '12 - Beds'!BT8:BT507, _xlfn.LAMBDA(_xlpm.part, _xlpm.val, _xlpm.dep1, IF(_xlpm.part = "", "", _xlfn.LET(_xlpm.check1, IF(AND(_xlpm.val = "", _xlpm.dep1 = "No"), "2:Autofill", ""), IF(LEN(_xlpm.check1) &gt; 0, _xlpm.check1, IF(AND(_xlpm.val = "", DW$3="Required"), IF(OR('12 - Beds'!DW$7 = "", '12 - Beds'!DW$7 = "N/A"), "3:SOR/2016-194 - Textile Flammability Regulations - Value is required", ""), ""))))))</f>
        <v/>
      </c>
      <c r="DX8" s="22">
        <f t="array" ref="DX8">_xlfn.MAP('12 - Beds'!B8:B507, '12 - Beds'!DX8:DX507, '12 - Beds'!BT8:BT507, _xlfn.LAMBDA(_xlpm.part, _xlpm.val, _xlpm.dep1, IF(_xlpm.part = "", "", _xlfn.LET(_xlpm.check1, IF(AND(_xlpm.val = "", _xlpm.dep1 = "No"), "2:Autofill", ""), IF(LEN(_xlpm.check1) &gt; 0, _xlpm.check1, IF(AND(_xlpm.val = "", DX$3="Required"), IF(OR('12 - Beds'!DX$7 = "", '12 - Beds'!DX$7 = "N/A"), "3:SOFFA Compliant - Value is required", ""), ""))))))</f>
        <v/>
      </c>
      <c r="DY8" s="22">
        <f t="array" ref="DY8">_xlfn.MAP('12 - Beds'!B8:B507, '12 - Beds'!DY8:DY507, '12 - Beds'!DK8:DK507, _xlfn.LAMBDA(_xlpm.part, _xlpm.val, _xlpm.dep1, IF(_xlpm.part = "", "", _xlfn.LET(_xlpm.check1, IF(AND(_xlpm.val = "", _xlpm.dep1 = "No"), "2:Autofill", ""), IF(LEN(_xlpm.check1) &gt; 0, _xlpm.check1, _xlfn.LET(_xlpm.check2, IF(_xlpm.dep1 = "Yes", IF(_xlpm.val = "Does Not Apply", "1:Based on Additional Intended Use For Child, value should not be Does Not Apply", ""), ""), IF(LEN(_xlpm.check2) &gt; 0, _xlpm.check2, IF(AND(_xlpm.val = "", DY$3="Required"), IF(OR('12 - Beds'!DY$7 = "", '12 - Beds'!DY$7 = "N/A"), "3:Children’s Product Certificate (CPC) - Value is required", ""), ""))))))))</f>
        <v/>
      </c>
      <c r="DZ8" s="22">
        <f t="array" ref="DZ8">_xlfn.MAP('12 - Beds'!B8:B507, '12 - Beds'!DZ8:DZ507, '12 - Beds'!DY8:DY507, _xlfn.LAMBDA(_xlpm.part, _xlpm.val, _xlpm.dep1, IF(_xlpm.part = "", "", _xlfn.LET(_xlpm.check1, IF(AND(_xlpm.val = "", _xlpm.dep1 = "Yes"), "2:Autofill", ""), IF(LEN(_xlpm.check1) &gt; 0, _xlpm.check1, IF(AND(_xlpm.val = "", DZ$3="Required"), IF(OR('12 - Beds'!DZ$7 = "", '12 - Beds'!DZ$7 = "N/A"), "3:General Certificate of Conformity (GCC) - Value is required", ""), ""))))))</f>
        <v/>
      </c>
      <c r="EA8" s="22">
        <f t="array" ref="EA8">_xlfn.MAP('12 - Beds'!B8:B507, '12 - Beds'!EA8:EA507, '12 - Beds'!CO8:CO507, _xlfn.LAMBDA(_xlpm.part, _xlpm.val, _xlpm.dep1, IF(_xlpm.part = "", "", _xlfn.LET(_xlpm.check1, IF(AND(_xlpm.val = "", OR(OR(ISNUMBER(SEARCH("Lead Acid (Spillable)", _xlpm.dep1)), ISNUMBER(SEARCH("Lead Acid (Non-Spillable)", _xlpm.dep1))), _xlpm.dep1 = "Lithium Metal", _xlpm.dep1 = "Lithium Ion / Lithium Polymer")), "2:Autofill", ""), IF(LEN(_xlpm.check1) &gt; 0, _xlpm.check1, _xlfn.LET(_xlpm.check2, IF(OR(ISNUMBER(SEARCH("Lead Acid (Spillable)", _xlpm.dep1)), ISNUMBER(SEARCH("Lead Acid (Non-Spillable)", _xlpm.dep1))), IF(_xlpm.val &lt;&gt; "Yes", "1:Based on Battery Composition, value should be Yes", ""), ""), IF(LEN(_xlpm.check2) &gt; 0, _xlpm.check2, _xlfn.LET(_xlpm.check3, IF(_xlpm.dep1 = "Lithium Metal", IF(_xlpm.val &lt;&gt; "Yes", "1:Based on Battery Composition, value should be Yes", ""), ""), IF(LEN(_xlpm.check3) &gt; 0, _xlpm.check3, _xlfn.LET(_xlpm.check4, IF(_xlpm.dep1 = "Lithium Ion / Lithium Polymer", IF(_xlpm.val &lt;&gt; "Yes", "1:Based on Battery Composition, value should be Yes", ""), ""), IF(LEN(_xlpm.check4) &gt; 0, _xlpm.check4, IF(AND(_xlpm.val = "", EA$3="Required"), IF(OR('12 - Beds'!EA$7 = "", '12 - Beds'!EA$7 = "N/A"), "3:Hazardous Material / Dangerous Goods - Value is required", ""), ""))))))))))))</f>
        <v/>
      </c>
      <c r="EB8" s="22">
        <f t="array" ref="EB8">_xlfn.MAP('12 - Beds'!B8:B507, '12 - Beds'!EB8:EB507, '12 - Beds'!EA8:EA507,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allowed373566, 0)), ""),IF(AND(_xlpm.invalid&lt;&gt;"", COUNTA(_xlpm.invalid)&gt;0),"1:Please select valid values from the provided list. Answers are case-sensitive and must be separated by a semicolon.","")), ""), IF(LEN(_xlpm.check3) &gt; 0, _xlpm.check3, _xlfn.LET(_xlpm.check4, IF(_xlpm.dep1 = "Yes", IF(_xlpm.val = "", IF(OR('12 - Beds'!EB$7 = "", '12 - Beds'!EB$7 = "N/A"), "3:Since Hazardous Material / Dangerous Goods equals 'Yes', this field is required", ""), ""), ""), IF(LEN(_xlpm.check4) &gt; 0, _xlpm.check4, IF(AND(_xlpm.val = "", EB$3="Required"), IF(OR('12 - Beds'!EB$7 = "", '12 - Beds'!EB$7 = "N/A"), "3:UN or ID number - Value is required", ""), ""))))))))))))</f>
        <v/>
      </c>
      <c r="EC8" s="22">
        <f t="array" ref="EC8">_xlfn.MAP('12 - Beds'!B8:B507, '12 - Beds'!EC8:EC507, '12 - Beds'!EA8:EA507,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IF(OR('12 - Beds'!EC$7 = "", '12 - Beds'!EC$7 = "N/A"), "3:Since Hazardous Material / Dangerous Goods equals 'Yes', this field is required", ""), ""), ""), IF(LEN(_xlpm.check3) &gt; 0, _xlpm.check3, IF(AND(_xlpm.val = "", EC$3="Required"), IF(OR('12 - Beds'!EC$7 = "", '12 - Beds'!EC$7 = "N/A"), "3:Hazard Class(es) - Value is required", ""), ""))))))))))</f>
        <v/>
      </c>
      <c r="ED8" s="22">
        <f t="array" ref="ED8">_xlfn.MAP('12 - Beds'!B8:B507, '12 - Beds'!ED8:ED507, '12 - Beds'!EA8:EA507,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IF(OR('12 - Beds'!ED$7 = "", '12 - Beds'!ED$7 = "N/A"), "3:Since Hazardous Material / Dangerous Goods equals 'Yes', this field is required", ""), ""), ""), IF(LEN(_xlpm.check3) &gt; 0, _xlpm.check3, IF(AND(_xlpm.val = "", ED$3="Required"), IF(OR('12 - Beds'!ED$7 = "", '12 - Beds'!ED$7 = "N/A"), "3:Packing Group - Value is required", ""), ""))))))))))</f>
        <v/>
      </c>
      <c r="EE8" s="22">
        <f t="array" ref="EE8">_xlfn.MAP('12 - Beds'!B8:B507, '12 - Beds'!EE8:EE507, '12 - Beds'!EA8:EA507,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IF(OR('12 - Beds'!EE$7 = "", '12 - Beds'!EE$7 = "N/A"), "3:Since Hazardous Material / Dangerous Goods equals 'Yes', this field is required", ""), ""), ""), IF(LEN(_xlpm.check3) &gt; 0, _xlpm.check3, IF(AND(_xlpm.val = "", EE$3="Required"), IF(OR('12 - Beds'!EE$7 = "", '12 - Beds'!EE$7 = "N/A"), "3:Hazardous Material Weight - Value is required", ""), ""))))))))))</f>
        <v/>
      </c>
      <c r="EF8" s="22">
        <f t="array" ref="EF8">_xlfn.MAP('12 - Beds'!B8:B507, '12 - Beds'!EF8:EF507, '12 - Beds'!CP8:CP507, _xlfn.LAMBDA(_xlpm.part, _xlpm.val, _xlpm.dep1, IF(_xlpm.part = "", "", _xlfn.LET(_xlpm.check1, IF(AND(_xlpm.val = "", AND(NOT(ISNUMBER(SEARCH("Button Cell", _xlpm.dep1))), _xlpm.dep1 &lt;&gt; "")), "2:Autofill", ""), IF(LEN(_xlpm.check1) &gt; 0, _xlpm.check1, _xlfn.LET(_xlpm.check2, IF(AND(NOT(ISNUMBER(SEARCH("Button Cell", _xlpm.dep1))), _xlpm.dep1 &lt;&gt; ""), IF(_xlpm.val &lt;&gt; "Does Not Apply", "1:Based on Battery Type, value should be Does Not Apply", ""), ""), IF(LEN(_xlpm.check2) &gt; 0, _xlpm.check2, IF(AND(_xlpm.val = "", EF$3="Required"), IF(OR('12 - Beds'!EF$7 = "", '12 - Beds'!EF$7 = "N/A"), "3:CPSC - 16 CFR 1263 Compliant (Reese's Law) - Value is required", ""), ""))))))))</f>
        <v/>
      </c>
      <c r="EG8" s="22">
        <f t="array" ref="EG8">_xlfn.MAP('12 - Beds'!B8:B507, '12 - Beds'!EG8:EG507, _xlfn.LAMBDA(_xlpm.part, _xlpm.val, IF(_xlpm.part = "", "", IF(AND(_xlpm.val = "", EG$3="Required"), IF(OR('12 - Beds'!EG$7 = "", '12 - Beds'!EG$7 = "N/A"), "3:ISTA Certified - Value is required", ""), ""))))</f>
        <v/>
      </c>
      <c r="EH8" s="22">
        <f t="array" ref="EH8">_xlfn.MAP('12 - Beds'!B8:B507, '12 - Beds'!EH8:EH507, _xlfn.LAMBDA(_xlpm.part, _xlpm.val, IF(_xlpm.part = "", "", IF(AND(_xlpm.val = "", EH$3="Required"), IF(OR('12 - Beds'!EH$7 = "", '12 - Beds'!EH$7 = "N/A"), "3:California AB-1817 Compliant (CA PFAS) - Value is required", ""), ""))))</f>
        <v/>
      </c>
      <c r="EI8" s="22">
        <f t="array" ref="EI8">_xlfn.MAP('12 - Beds'!B8:B507, '12 - Beds'!EI8:EI507, _xlfn.LAMBDA(_xlpm.part, _xlpm.val, IF(_xlpm.part = "", "", IF(AND(_xlpm.val = "", EI$3="Required"), IF(OR('12 - Beds'!EI$7 = "", '12 - Beds'!EI$7 = "N/A"), "3:SOR/2016-193 - Surface Coating Materials Regulations - Value is required", ""), ""))))</f>
        <v/>
      </c>
      <c r="EJ8" s="22">
        <f t="array" ref="EJ8">_xlfn.MAP('12 - Beds'!B8:B507, '12 - Beds'!EJ8:EJ507, '12 - Beds'!DK8:DK507, _xlfn.LAMBDA(_xlpm.part, _xlpm.val, _xlpm.dep1, IF(_xlpm.part = "", "", _xlfn.LET(_xlpm.check1, IF(AND(_xlpm.val = "", _xlpm.dep1 = "No"), "2:Autofill", ""), IF(LEN(_xlpm.check1) &gt; 0, _xlpm.check1, _xlfn.LET(_xlpm.check2, IF(_xlpm.dep1 = "Yes", IF(_xlpm.val = "Does Not Apply", "1:Based on Additional Intended Use For Child, value should not be Does Not Apply", ""), ""), IF(LEN(_xlpm.check2) &gt; 0, _xlpm.check2, IF(AND(_xlpm.val = "", EJ$3="Required"), IF(OR('12 - Beds'!EJ$7 = "", '12 - Beds'!EJ$7 = "N/A"), "3:Consumer Product Safety Improvement Act (CPSIA) Compliant - Value is required", ""), ""))))))))</f>
        <v/>
      </c>
      <c r="EK8" s="22">
        <f t="array" ref="EK8">_xlfn.MAP('12 - Beds'!B8:B507, '12 - Beds'!EK8:EK507, '12 - Beds'!EJ8:EJ507, _xlfn.LAMBDA(_xlpm.part, _xlpm.val, _xlpm.dep1, IF(_xlpm.part = "", "", _xlfn.LET(_xlpm.check1, IF(AND(_xlpm.val = "", _xlpm.dep1 = "Yes"), "2:Autofill", ""), IF(LEN(_xlpm.check1) &gt; 0, _xlpm.check1, _xlfn.LET(_xlpm.check2, IF(_xlpm.dep1 = "Yes", IF(_xlpm.val &lt;&gt; "Yes", "1:Based on Consumer Product Safety Improvement Act (CPSIA) Compliant, value should be Yes", ""), ""), IF(LEN(_xlpm.check2) &gt; 0, _xlpm.check2, IF(AND(_xlpm.val = "", EK$3="Required"), IF(OR('12 - Beds'!EK$7 = "", '12 - Beds'!EK$7 = "N/A"), "3:CPSC - 16 CFR 1303 Compliant - Value is required", ""), ""))))))))</f>
        <v/>
      </c>
      <c r="EL8" s="22">
        <f t="array" ref="EL8">_xlfn.MAP('12 - Beds'!B8:B507, '12 - Beds'!EL8:EL507, _xlfn.LAMBDA(_xlpm.part, _xlpm.val, IF(_xlpm.part = "", "", IF(AND(_xlpm.val = "", EL$3="Required"), IF(OR('12 - Beds'!EL$7 = "", '12 - Beds'!EL$7 = "N/A"), "3:Sustainability &amp; Social Responsibility Certifications (North America Only) - Value is required", ""), ""))))</f>
        <v/>
      </c>
      <c r="EM8" s="22">
        <f t="array" ref="EM8">_xlfn.MAP('12 - Beds'!B8:B507, '12 - Beds'!EM8:EM507, '12 - Beds'!DH8:DH507, '12 - Beds'!EJ8:EJ507, _xlfn.LAMBDA(_xlpm.part, _xlpm.val, _xlpm.dep1, _xlpm.dep2, IF(_xlpm.part = "", "", _xlfn.LET(_xlpm.check1, IF(AND(_xlpm.val = "", _xlpm.dep2 = "Yes"), "2:Autofill", ""), IF(LEN(_xlpm.check1) &gt; 0, _xlpm.check1, _xlfn.LET(_xlpm.check2, IF(ISNUMBER(SEARCH("Mattress", _xlpm.dep1)), IF(_xlpm.val = "Does Not Apply", "1:Based on Pieces Included, value should not be Does Not Apply", ""), ""), IF(LEN(_xlpm.check2) &gt; 0, _xlpm.check2, IF(AND(_xlpm.val = "", EM$3="Required"), IF(OR('12 - Beds'!EM$7 = "", '12 - Beds'!EM$7 = "N/A"), "3:US Mattress Flammability Regulations Compliant - Value is required", ""), ""))))))))</f>
        <v/>
      </c>
      <c r="EN8" s="22">
        <f t="array" ref="EN8">_xlfn.MAP('12 - Beds'!B8:B507, '12 - Beds'!EN8:EN507, _xlfn.LAMBDA(_xlpm.part, _xlpm.val, IF(_xlpm.part = "", "", IF(AND(_xlpm.val = "", EN$3="Required"), IF(OR('12 - Beds'!EN$7 = "", '12 - Beds'!EN$7 = "N/A"), "3:Overall Height - Top to Bottom - Value is required", ""), ""))))</f>
        <v/>
      </c>
      <c r="EO8" s="22">
        <f t="array" ref="EO8">_xlfn.MAP('12 - Beds'!B8:B507, '12 - Beds'!EO8:EO507, _xlfn.LAMBDA(_xlpm.part, _xlpm.val, IF(_xlpm.part = "", "", _xlfn.LET(_xlpm.check1, IF(AND(NOT(ISBLANK(_xlpm.val)),OR(NOT(ISNUMBER(IFERROR(VALUE(_xlpm.val), ""))), IFERROR(VALUE(_xlpm.val), -1) &lt; 0)), "1:Overall Width - Side to Side - Value should be numeric", ""), IF(LEN(_xlpm.check1) &gt; 0, _xlpm.check1, IF(AND(_xlpm.val = "", EO$3="Required"), IF(OR('12 - Beds'!EO$7 = "", '12 - Beds'!EO$7 = "N/A"), "3:Overall Width - Side to Side - Value is required", ""), ""))))))</f>
        <v/>
      </c>
      <c r="EP8" s="22">
        <f t="array" ref="EP8">_xlfn.MAP('12 - Beds'!B8:B507, '12 - Beds'!EP8:EP507, _xlfn.LAMBDA(_xlpm.part, _xlpm.val, IF(_xlpm.part = "", "", IF(AND(_xlpm.val = "", EP$3="Required"), IF(OR('12 - Beds'!EP$7 = "", '12 - Beds'!EP$7 = "N/A"), "3:Overall Length - Head to Toe - Value is required", ""), ""))))</f>
        <v/>
      </c>
      <c r="EQ8" s="22">
        <f t="array" ref="EQ8">_xlfn.MAP('12 - Beds'!B8:B507, '12 - Beds'!EQ8:EQ507, _xlfn.LAMBDA(_xlpm.part, _xlpm.val, IF(_xlpm.part = "", "", IF(AND(_xlpm.val = "", EQ$3="Required"), IF(OR('12 - Beds'!EQ$7 = "", '12 - Beds'!EQ$7 = "N/A"), "3:Overall Product Weight - Value is required", ""), ""))))</f>
        <v/>
      </c>
      <c r="ER8" s="22">
        <f t="array" ref="ER8">_xlfn.MAP('12 - Beds'!B8:B507, '12 - Beds'!ER8:ER507, _xlfn.LAMBDA(_xlpm.part, _xlpm.val, IF(_xlpm.part = "", "", IF(AND(_xlpm.val = "", ER$3="Required"), IF(OR('12 - Beds'!ER$7 = "", '12 - Beds'!ER$7 = "N/A"), "3:Clearance - Floor to Bottom - Value is required", ""), ""))))</f>
        <v/>
      </c>
      <c r="ES8" s="22">
        <f t="array" ref="ES8">_xlfn.MAP('12 - Beds'!B8:B507, '12 - Beds'!ES8:ES507, '12 - Beds'!DH8:DH507, _xlfn.LAMBDA(_xlpm.part, _xlpm.val, _xlpm.dep1, IF(_xlpm.part = "", "", _xlfn.LET(_xlpm.check1, IF(AND(_xlpm.val = "", AND(NOT(ISNUMBER(SEARCH("Headboard", _xlpm.dep1))), _xlpm.dep1 &lt;&gt; "")), "2:Autofill", ""), IF(LEN(_xlpm.check1) &gt; 0, _xlpm.check1, _xlfn.LET(_xlpm.check2, IF(AND(NOT(ISNUMBER(SEARCH("Headboard", _xlpm.dep1))), _xlpm.dep1 &lt;&gt; ""), IF(_xlpm.val &lt;&gt; "Does Not Apply", "1:Based on Pieces Included, value should be Does Not Apply", ""), ""), IF(LEN(_xlpm.check2) &gt; 0, _xlpm.check2, IF(AND(_xlpm.val = "", ES$3="Required"), IF(OR('12 - Beds'!ES$7 = "", '12 - Beds'!ES$7 = "N/A"), "3:Headboard Height - Top to Bottom - Value is required", ""), ""))))))))</f>
        <v/>
      </c>
      <c r="ET8" s="22">
        <f t="array" ref="ET8">_xlfn.MAP('12 - Beds'!B8:B507, '12 - Beds'!ET8:ET507, '12 - Beds'!DH8:DH507, _xlfn.LAMBDA(_xlpm.part, _xlpm.val, _xlpm.dep1, IF(_xlpm.part = "", "", _xlfn.LET(_xlpm.check1, IF(AND(_xlpm.val = "", AND(NOT(ISNUMBER(SEARCH("Headboard", _xlpm.dep1))), _xlpm.dep1 &lt;&gt; "")), "2:Autofill", ""), IF(LEN(_xlpm.check1) &gt; 0, _xlpm.check1, _xlfn.LET(_xlpm.check2, IF(AND(NOT(ISNUMBER(SEARCH("Headboard", _xlpm.dep1))), _xlpm.dep1 &lt;&gt; ""), IF(_xlpm.val &lt;&gt; "Does Not Apply", "1:Based on Pieces Included, value should be Does Not Apply", ""), ""), IF(LEN(_xlpm.check2) &gt; 0, _xlpm.check2, IF(AND(_xlpm.val = "", ET$3="Required"), IF(OR('12 - Beds'!ET$7 = "", '12 - Beds'!ET$7 = "N/A"), "3:Headboard Width - Side to Side - Value is required", ""), ""))))))))</f>
        <v/>
      </c>
      <c r="EU8" s="22">
        <f t="array" ref="EU8">_xlfn.MAP('12 - Beds'!B8:B507, '12 - Beds'!EU8:EU507, '12 - Beds'!DH8:DH507, _xlfn.LAMBDA(_xlpm.part, _xlpm.val, _xlpm.dep1, IF(_xlpm.part = "", "", _xlfn.LET(_xlpm.check1, IF(AND(_xlpm.val = "", AND(NOT(ISNUMBER(SEARCH("Headboard", _xlpm.dep1))), _xlpm.dep1 &lt;&gt; "")), "2:Autofill", ""), IF(LEN(_xlpm.check1) &gt; 0, _xlpm.check1, _xlfn.LET(_xlpm.check2, IF(AND(NOT(ISNUMBER(SEARCH("Headboard", _xlpm.dep1))), _xlpm.dep1 &lt;&gt; ""), IF(_xlpm.val &lt;&gt; "Does Not Apply", "1:Based on Pieces Included, value should be Does Not Apply", ""), ""), IF(LEN(_xlpm.check2) &gt; 0, _xlpm.check2, IF(AND(_xlpm.val = "", EU$3="Required"), IF(OR('12 - Beds'!EU$7 = "", '12 - Beds'!EU$7 = "N/A"), "3:Headboard Depth - Front to Back - Value is required", ""), ""))))))))</f>
        <v/>
      </c>
      <c r="EV8" s="22">
        <f t="array" ref="EV8">_xlfn.MAP('12 - Beds'!B8:B507, '12 - Beds'!EV8:EV507, _xlfn.LAMBDA(_xlpm.part, _xlpm.val, IF(_xlpm.part = "", "", IF(AND(_xlpm.val = "", EV$3="Required"), IF(OR('12 - Beds'!EV$7 = "", '12 - Beds'!EV$7 = "N/A"), "3:Assembly Required - Value is required", ""), ""))))</f>
        <v/>
      </c>
      <c r="EW8" s="22">
        <f t="array" ref="EW8">_xlfn.MAP('12 - Beds'!B8:B507, '12 - Beds'!EW8:EW507, '12 - Beds'!EV8:EV507, _xlfn.LAMBDA(_xlpm.part, _xlpm.val, _xlpm.dep1, IF(_xlpm.part = "", "", _xlfn.LET(_xlpm.check1, IF(AND(_xlpm.val = "", _xlpm.dep1 = "No"), "2:Autofill", ""), IF(LEN(_xlpm.check1) &gt; 0, _xlpm.check1, _xlfn.LET(_xlpm.check2, IF(_xlpm.dep1 = "No", IF(_xlpm.val &lt;&gt; "No Assembly Needed", "1:Based on Assembly Required, value should be No Assembly Needed", ""), ""), IF(LEN(_xlpm.check2) &gt; 0, _xlpm.check2, IF(AND(_xlpm.val = "", EW$3="Required"), IF(OR('12 - Beds'!EW$7 = "", '12 - Beds'!EW$7 = "N/A"), "3:Level of Assembly - Value is required", ""), ""))))))))</f>
        <v/>
      </c>
      <c r="EX8" s="22">
        <f t="array" ref="EX8">_xlfn.MAP('12 - Beds'!B8:B507, '12 - Beds'!EX8:EX507, '12 - Beds'!EV8:EV507, _xlfn.LAMBDA(_xlpm.part, _xlpm.val, _xlpm.dep1, IF(_xlpm.part = "", "", _xlfn.LET(_xlpm.check1, IF(AND(_xlpm.val = "", _xlpm.dep1 = "No"), "2:Autofill", ""), IF(LEN(_xlpm.check1) &gt; 0, _xlpm.check1, _xlfn.LET(_xlpm.check2, IF(NOT(ISBLANK(_xlpm.val)),_xlfn.LET(_xlpm.items, _xlfn.TEXTSPLIT(_xlpm.val, ";"),_xlpm.trimmed, _xlfn.MAP(_xlpm.items, _xlfn.LAMBDA(_xlpm.x, TRIM(_xlpm.x))),_xlpm.invalid, _xlfn._xlws.FILTER(_xlpm.trimmed, ISNA(MATCH(_xlpm.trimmed, allowed222785, 0)), ""),IF(AND(_xlpm.invalid&lt;&gt;"", COUNTA(_xlpm.invalid)&gt;0),"1:Please select valid values from the provided list. Answers are case-sensitive and must be separated by a semicolon.","")), ""), IF(LEN(_xlpm.check2) &gt; 0, _xlpm.check2, _xlfn.LET(_xlpm.check3, IF(_xlpm.dep1 = "No", IF(_xlpm.val &lt;&gt; "Does Not Apply", "1:Based on Assembly Required, value should be Does Not Apply", ""), ""), IF(LEN(_xlpm.check3) &gt; 0, _xlpm.check3, IF(AND(_xlpm.val = "", EX$3="Required"), IF(OR('12 - Beds'!EX$7 = "", '12 - Beds'!EX$7 = "N/A"), "3:Additional Tools Required (Not Included) - Value is required", ""), ""))))))))))</f>
        <v/>
      </c>
      <c r="EY8" s="22">
        <f t="array" ref="EY8">_xlfn.MAP('12 - Beds'!B8:B507, '12 - Beds'!EY8:EY507, _xlfn.LAMBDA(_xlpm.part, _xlpm.val, IF(_xlpm.part = "", "", IF(AND(_xlpm.val = "", EY$3="Required"), IF(OR('12 - Beds'!EY$7 = "", '12 - Beds'!EY$7 = "N/A"), "3:Commercial Warranty - Value is required", ""), ""))))</f>
        <v/>
      </c>
      <c r="EZ8" s="22">
        <f t="array" ref="EZ8">_xlfn.MAP('12 - Beds'!B8:B507, '12 - Beds'!EZ8:EZ507, '12 - Beds'!EY8:EY507, _xlfn.LAMBDA(_xlpm.part, _xlpm.val, _xlpm.dep1, IF(_xlpm.part = "", "",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IF(OR('12 - Beds'!EZ$7 = "", '12 - Beds'!EZ$7 = "N/A"), "3:Since Commercial Warranty equals 'Yes', this field is required", ""), ""), ""), IF(LEN(_xlpm.check3) &gt; 0, _xlpm.check3, IF(AND(_xlpm.val = "", EZ$3="Required"), IF(OR('12 - Beds'!EZ$7 = "", '12 - Beds'!EZ$7 = "N/A"), "3:Commercial Warranty Length - Value is required", ""), ""))))))))))</f>
        <v/>
      </c>
      <c r="FA8" s="22">
        <f t="array" ref="FA8">_xlfn.MAP('12 - Beds'!B8:B507, '12 - Beds'!FA8:FA507, _xlfn.LAMBDA(_xlpm.part, _xlpm.val, IF(_xlpm.part = "", "", IF(AND(_xlpm.val = "", FA$3="Required"), IF(OR('12 - Beds'!FA$7 = "", '12 - Beds'!FA$7 = "N/A"), "3:Product Warranty - Value is required", ""), ""))))</f>
        <v/>
      </c>
      <c r="FB8" s="22">
        <f t="array" ref="FB8">_xlfn.MAP('12 - Beds'!B8:B507, '12 - Beds'!FB8:FB507, _xlfn.LAMBDA(_xlpm.part, _xlpm.val, IF(_xlpm.part = "", "", IF(AND(_xlpm.val = "", FB$3="Required"), IF(OR('12 - Beds'!FB$7 = "", '12 - Beds'!FB$7 = "N/A"), "3:Full or Limited Warranty - Value is required", ""), ""))))</f>
        <v/>
      </c>
      <c r="FC8" s="22">
        <f t="array" ref="FC8">_xlfn.MAP('12 - Beds'!B8:B507, '12 - Beds'!FC8:FC507, _xlfn.LAMBDA(_xlpm.part, _xlpm.val, IF(_xlpm.part = "", "", IF(AND(_xlpm.val = "", FC$3="Required"), IF(OR('12 - Beds'!FC$7 = "", '12 - Beds'!FC$7 = "N/A"), "3:Warranty Length - Value is required", ""), ""))))</f>
        <v/>
      </c>
    </row>
  </sheetData>
  <sheetProtection selectLockedCells="0" selectUnlockedCells="0" sheet="1" objects="1" insertRows="1" insertHyperlinks="1" autoFilter="1" scenarios="1" formatColumns="1" deleteColumns="1" insertColumns="1" pivotTables="1" deleteRows="1" formatCells="1" formatRows="1" sort="1" password="94BA"/>
  <mergeCells count="9">
    <mergeCell ref="AL2:AO2"/>
    <mergeCell ref="BO2:FC2"/>
    <mergeCell ref="AP2:AS2"/>
    <mergeCell ref="U2:Z2"/>
    <mergeCell ref="R2:T2"/>
    <mergeCell ref="B2:I2"/>
    <mergeCell ref="AA2:AK2"/>
    <mergeCell ref="AT2:BN2"/>
    <mergeCell ref="J2:Q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Mattress Size" error="The value provided is not a valid Mattress Size." promptTitle="" prompt="If all products in this class consistently have the same answer, you can set a default value to apply automatically. For any exceptions, you can modify the answer for specific products without changing the default." type="list">
      <formula1>'WAYFAIR_USE_ONLY'!$HX$7:$HX25</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errorTitle="Invalid Bed Design" error="The value provided is not a valid Bed Design.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'WAYFAIR_USE_ONLY'!$HY$7:$HY22</formula1>
    </dataValidation>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errorTitle="Invalid Wooden Components" error="The value provided is not a valid Wooden Components." promptTitle="" prompt="If all products in this class consistently have the same answer, you can set a default value to apply automatically. For any exceptions, you can modify the answer for specific products without changing the default." type="list">
      <formula1>'WAYFAIR_USE_ONLY'!$HZ$7:$HZ11</formula1>
    </dataValidation>
    <dataValidation sqref="BT7" showDropDown="0" showInputMessage="1" showErrorMessage="1" allowBlank="1" errorTitle="Invalid Upholstered" error="The value provided is not a valid Upholstered." promptTitle="" prompt="If all products in this class consistently have the same answer, you can set a default value to apply automatically. For any exceptions, you can modify the answer for specific products without changing the default." type="list">
      <formula1>'WAYFAIR_USE_ONLY'!$IA$7:$IA9</formula1>
    </dataValidation>
    <dataValidation sqref="B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V7" showDropDown="0" showInputMessage="1" showErrorMessage="1" allowBlank="1" errorTitle="Invalid Faux Leather Type" error="The value provided is not a valid Faux Leather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'WAYFAIR_USE_ONLY'!$IB$7:$IB18</formula1>
    </dataValidation>
    <dataValidation sqref="BW7" showDropDown="0" showInputMessage="1" showErrorMessage="1" allowBlank="1" errorTitle="Invalid Box Spring Required" error="The value provided is not a valid Box Spring Required." promptTitle="" prompt="If all products in this class consistently have the same answer, you can set a default value to apply automatically. For any exceptions, you can modify the answer for specific products without changing the default." type="list">
      <formula1>'WAYFAIR_USE_ONLY'!$IC$7:$IC9</formula1>
    </dataValidation>
    <dataValidation sqref="B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Y7" showDropDown="0" showInputMessage="1" showErrorMessage="1" allowBlank="1" errorTitle="Invalid Center Support Legs" error="The value provided is not a valid Center Support Legs." promptTitle="" prompt="If all products in this class consistently have the same answer, you can set a default value to apply automatically. For any exceptions, you can modify the answer for specific products without changing the default." type="list">
      <formula1>'WAYFAIR_USE_ONLY'!$ID$7:$ID10</formula1>
    </dataValidation>
    <dataValidation sqref="BZ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A7" showDropDown="0" showInputMessage="1" showErrorMessage="1" allowBlank="1" errorTitle="Invalid Footboard Included" error="The value provided is not a valid Footboard Included." promptTitle="" prompt="If all products in this class consistently have the same answer, you can set a default value to apply automatically. For any exceptions, you can modify the answer for specific products without changing the default." type="list">
      <formula1>'WAYFAIR_USE_ONLY'!$IE$7:$IE10</formula1>
    </dataValidation>
    <dataValidation sqref="C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C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'WAYFAIR_USE_ONLY'!$IF$7:$IF9</formula1>
    </dataValidation>
    <dataValidation sqref="CD7" showDropDown="0" showInputMessage="1" showErrorMessage="1" allowBlank="1" errorTitle="Invalid Compatible with Adjustab" error="The value provided is not a valid Compatible with Adjustable Bed Base." promptTitle="" prompt="If all products in this class consistently have the same answer, you can set a default value to apply automatically. For any exceptions, you can modify the answer for specific products without changing the default." type="list">
      <formula1>'WAYFAIR_USE_ONLY'!$IG$7:$IG10</formula1>
    </dataValidation>
    <dataValidation sqref="CE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'WAYFAIR_USE_ONLY'!$IH$7:$IH9</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J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'WAYFAIR_USE_ONLY'!$II$7:$II26</formula1>
    </dataValidation>
    <dataValidation sqref="CK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'WAYFAIR_USE_ONLY'!$IJ$7:$IJ11</formula1>
    </dataValidation>
    <dataValidation sqref="C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M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N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'WAYFAIR_USE_ONLY'!$IR$7:$IR10</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'WAYFAIR_USE_ONLY'!$IL$7:$IL17</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'WAYFAIR_USE_ONLY'!$IK$7:$IK11</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'WAYFAIR_USE_ONLY'!$IM$7:$IM19</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'WAYFAIR_USE_ONLY'!$IN$7:$IN11</formula1>
    </dataValidation>
    <dataValidation sqref="CS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S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'WAYFAIR_USE_ONLY'!$IO$7:$IO14</formula1>
    </dataValidation>
    <dataValidation sqref="CT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T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'WAYFAIR_USE_ONLY'!$IP$7:$IP14</formula1>
    </dataValidation>
    <dataValidation sqref="CU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U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'WAYFAIR_USE_ONLY'!$IQ$7:$IQ12</formula1>
    </dataValidation>
    <dataValidation sqref="CV7" showDropDown="0" showInputMessage="1" showErrorMessage="1" allowBlank="1" errorTitle="Invalid Tufted" error="The value provided is not a valid Tufted." promptTitle="" prompt="If all products in this class consistently have the same answer, you can set a default value to apply automatically. For any exceptions, you can modify the answer for specific products without changing the default." type="list">
      <formula1>'WAYFAIR_USE_ONLY'!$IS$7:$IS10</formula1>
    </dataValidation>
    <dataValidation sqref="CW7" showDropDown="0" showInputMessage="1" showErrorMessage="1" allowBlank="1" errorTitle="Invalid Nailhead Trim" error="The value provided is not a valid Nailhead Trim." promptTitle="" prompt="If all products in this class consistently have the same answer, you can set a default value to apply automatically. For any exceptions, you can modify the answer for specific products without changing the default." type="list">
      <formula1>'WAYFAIR_USE_ONLY'!$IT$7:$IT9</formula1>
    </dataValidation>
    <dataValidation sqref="CX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'WAYFAIR_USE_ONLY'!$IU$7:$IU10</formula1>
    </dataValidation>
    <dataValidation sqref="CY7" showDropDown="0" showInputMessage="1" showErrorMessage="1" allowBlank="1" errorTitle="Invalid Finished Back" error="The value provided is not a valid Finished Back." promptTitle="" prompt="If all products in this class consistently have the same answer, you can set a default value to apply automatically. For any exceptions, you can modify the answer for specific products without changing the default." type="list">
      <formula1>'WAYFAIR_USE_ONLY'!$IV$7:$IV10</formula1>
    </dataValidation>
    <dataValidation sqref="CZ7" showDropDown="0" showInputMessage="1" showErrorMessage="1" allowBlank="1" errorTitle="Invalid Manufactured Wood Type" error="The value provided is not a valid Manufactured Wood Type." promptTitle="" prompt="If all products in this class consistently have the same answer, you can set a default value to apply automatically. For any exceptions, you can modify the answer for specific products without changing the default." type="list">
      <formula1>'WAYFAIR_USE_ONLY'!$IW$7:$IW12</formula1>
    </dataValidation>
    <dataValidation sqref="DA7" showDropDown="0" showInputMessage="1" showErrorMessage="1" allowBlank="1" errorTitle="Invalid Lighted Headboard" error="The value provided is not a valid Lighted Headboard." promptTitle="" prompt="If all products in this class consistently have the same answer, you can set a default value to apply automatically. For any exceptions, you can modify the answer for specific products without changing the default." type="list">
      <formula1>'WAYFAIR_USE_ONLY'!$IX$7:$IX10</formula1>
    </dataValidation>
    <dataValidation sqref="DB7" showDropDown="0" showInputMessage="1" showErrorMessage="1" allowBlank="1" errorTitle="Invalid Leather Type" error="The value provided is not a valid Leather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'WAYFAIR_USE_ONLY'!$IY$7:$IY19</formula1>
    </dataValidation>
    <dataValidation sqref="DC7" showDropDown="0" showInputMessage="1" showErrorMessage="1" allowBlank="1" errorTitle="Invalid Upholstery Fabric Qualit" error="The value provided is not a valid Upholstery Fabric Quality.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'WAYFAIR_USE_ONLY'!$IZ$7:$IZ15</formula1>
    </dataValidation>
    <dataValidation sqref="DD7" showDropDown="0" showInputMessage="1" showErrorMessage="1" allowBlank="1" errorTitle="Invalid Headboard Shape" error="The value provided is not a valid Headboard Shape." promptTitle="" prompt="If all products in this class consistently have the same answer, you can set a default value to apply automatically. For any exceptions, you can modify the answer for specific products without changing the default." type="list">
      <formula1>'WAYFAIR_USE_ONLY'!$JA$7:$JA18</formula1>
    </dataValidation>
    <dataValidation sqref="DE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F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'WAYFAIR_USE_ONLY'!$JB$7:$JB11</formula1>
    </dataValidation>
    <dataValidation sqref="DG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'WAYFAIR_USE_ONLY'!$JC$7:$JC11</formula1>
    </dataValidation>
    <dataValidation sqref="D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I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K7" showDropDown="0" showInputMessage="1" showErrorMessage="1" allowBlank="1" errorTitle="Invalid Additional Intended Use " error="The value provided is not a valid Additional Intended Use For Child." promptTitle="" prompt="If all products in this class consistently have the same answer, you can set a default value to apply automatically. For any exceptions, you can modify the answer for specific products without changing the default." type="list">
      <formula1>'WAYFAIR_USE_ONLY'!$JD$7:$JD9</formula1>
    </dataValidation>
    <dataValidation sqref="DL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'WAYFAIR_USE_ONLY'!$JH$7:$JH10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'WAYFAIR_USE_ONLY'!$JE$7:$JE11</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'WAYFAIR_USE_ONLY'!$JF$7:$JF11</formula1>
    </dataValidation>
    <dataValidation sqref="DO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O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'WAYFAIR_USE_ONLY'!$JG$7:$JG11</formula1>
    </dataValidation>
    <dataValidation sqref="DP7" showDropDown="0" showInputMessage="1" showErrorMessage="1" allowBlank="1" errorTitle="Invalid SOR/2016-183 Compliant" error="The value provided is not a valid SOR/2016-183 Compliant." promptTitle="" prompt="If all products in this class consistently have the same answer, you can set a default value to apply automatically. For any exceptions, you can modify the answer for specific products without changing the default." type="list">
      <formula1>'WAYFAIR_USE_ONLY'!$JI$7:$JI11</formula1>
    </dataValidation>
    <dataValidation sqref="DQ7" showDropDown="0" showInputMessage="1" showErrorMessage="1" allowBlank="1" errorTitle="Invalid CAL TB 116 Compliant" error="The value provided is not a valid CAL TB 116 Compliant." promptTitle="" prompt="If all products in this class consistently have the same answer, you can set a default value to apply automatically. For any exceptions, you can modify the answer for specific products without changing the default." type="list">
      <formula1>'WAYFAIR_USE_ONLY'!$JJ$7:$JJ12</formula1>
    </dataValidation>
    <dataValidation sqref="DR7" showDropDown="0" showInputMessage="1" showErrorMessage="1" allowBlank="1" errorTitle="Invalid CAL TB 117-2013 Complian" error="The value provided is not a valid CAL TB 117-2013 Compliant." promptTitle="" prompt="If all products in this class consistently have the same answer, you can set a default value to apply automatically. For any exceptions, you can modify the answer for specific products without changing the default." type="list">
      <formula1>'WAYFAIR_USE_ONLY'!$JK$7:$JK12</formula1>
    </dataValidation>
    <dataValidation sqref="DS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'WAYFAIR_USE_ONLY'!$JL$7:$JL10</formula1>
    </dataValidation>
    <dataValidation sqref="DT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'WAYFAIR_USE_ONLY'!$JM$7:$JM9</formula1>
    </dataValidation>
    <dataValidation sqref="DU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V7" showDropDown="0" showInputMessage="1" showErrorMessage="1" allowBlank="1" errorTitle="Invalid Textile Labelling and Ad" error="The value provided is not a valid Textile Labelling and Advertising Regulations (C.R.C., c. 1551)." promptTitle="" prompt="If all products in this class consistently have the same answer, you can set a default value to apply automatically. For any exceptions, you can modify the answer for specific products without changing the default." type="list">
      <formula1>'WAYFAIR_USE_ONLY'!$JN$7:$JN11</formula1>
    </dataValidation>
    <dataValidation sqref="DW7" showDropDown="0" showInputMessage="1" showErrorMessage="1" allowBlank="1" errorTitle="Invalid SOR/2016-194 - Textile F" error="The value provided is not a valid SOR/2016-194 - Textile Flammability Regulations." promptTitle="" prompt="If all products in this class consistently have the same answer, you can set a default value to apply automatically. For any exceptions, you can modify the answer for specific products without changing the default." type="list">
      <formula1>'WAYFAIR_USE_ONLY'!$JO$7:$JO11</formula1>
    </dataValidation>
    <dataValidation sqref="DX7" showDropDown="0" showInputMessage="1" showErrorMessage="1" allowBlank="1" errorTitle="Invalid SOFFA Compliant" error="The value provided is not a valid SOFFA Compliant." promptTitle="" prompt="If all products in this class consistently have the same answer, you can set a default value to apply automatically. For any exceptions, you can modify the answer for specific products without changing the default." type="list">
      <formula1>'WAYFAIR_USE_ONLY'!$JP$7:$JP10</formula1>
    </dataValidation>
    <dataValidation sqref="DY7" showDropDown="0" showInputMessage="1" showErrorMessage="1" allowBlank="1" errorTitle="Invalid Children’s Product Certi" error="The value provided is not a valid Children’s Product Certificate (CPC)." promptTitle="" prompt="If all products in this class consistently have the same answer, you can set a default value to apply automatically. For any exceptions, you can modify the answer for specific products without changing the default." type="list">
      <formula1>'WAYFAIR_USE_ONLY'!$JQ$7:$JQ11</formula1>
    </dataValidation>
    <dataValidation sqref="DZ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'WAYFAIR_USE_ONLY'!$JR$7:$JR11</formula1>
    </dataValidation>
    <dataValidation sqref="EA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'WAYFAIR_USE_ONLY'!$JV$7:$JV9</formula1>
    </dataValidation>
    <dataValidation sqref="EB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C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C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'WAYFAIR_USE_ONLY'!$JS$7:$JS23</formula1>
    </dataValidation>
    <dataValidation sqref="ED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D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'WAYFAIR_USE_ONLY'!$JT$7:$JT12</formula1>
    </dataValidation>
    <dataValidation sqref="EE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E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'WAYFAIR_USE_ONLY'!$JU$7:$JU19</formula1>
    </dataValidation>
    <dataValidation sqref="EF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'WAYFAIR_USE_ONLY'!$JW$7:$JW11</formula1>
    </dataValidation>
    <dataValidation sqref="EG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'WAYFAIR_USE_ONLY'!$JX$7:$JX10</formula1>
    </dataValidation>
    <dataValidation sqref="EH7" showDropDown="0" showInputMessage="1" showErrorMessage="1" allowBlank="1" errorTitle="Invalid California AB-1817 Compl" error="The value provided is not a valid California AB-1817 Compliant (CA PFAS)." promptTitle="" prompt="If all products in this class consistently have the same answer, you can set a default value to apply automatically. For any exceptions, you can modify the answer for specific products without changing the default." type="list">
      <formula1>'WAYFAIR_USE_ONLY'!$JY$7:$JY11</formula1>
    </dataValidation>
    <dataValidation sqref="EI7" showDropDown="0" showInputMessage="1" showErrorMessage="1" allowBlank="1" errorTitle="Invalid SOR/2016-193 - Surface C" error="The value provided is not a valid SOR/2016-193 - Surface Coating Materials Regulations." promptTitle="" prompt="If all products in this class consistently have the same answer, you can set a default value to apply automatically. For any exceptions, you can modify the answer for specific products without changing the default." type="list">
      <formula1>'WAYFAIR_USE_ONLY'!$JZ$7:$JZ11</formula1>
    </dataValidation>
    <dataValidation sqref="EJ7" showDropDown="0" showInputMessage="1" showErrorMessage="1" allowBlank="1" errorTitle="Invalid Consumer Product Safety " error="The value provided is not a valid Consumer Product Safety Improvement Act (CPSIA) Compliant." promptTitle="" prompt="If all products in this class consistently have the same answer, you can set a default value to apply automatically. For any exceptions, you can modify the answer for specific products without changing the default." type="list">
      <formula1>'WAYFAIR_USE_ONLY'!$KA$7:$KA11</formula1>
    </dataValidation>
    <dataValidation sqref="EK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'WAYFAIR_USE_ONLY'!$KB$7:$KB10</formula1>
    </dataValidation>
    <dataValidation sqref="EL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'WAYFAIR_USE_ONLY'!$KC$7:$KC10</formula1>
    </dataValidation>
    <dataValidation sqref="EM7" showDropDown="0" showInputMessage="1" showErrorMessage="1" allowBlank="1" errorTitle="Invalid US Mattress Flammability" error="The value provided is not a valid US Mattress Flammabilit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'WAYFAIR_USE_ONLY'!$KD$7:$KD12</formula1>
    </dataValidation>
    <dataValidation sqref="E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V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'WAYFAIR_USE_ONLY'!$KE$7:$KE9</formula1>
    </dataValidation>
    <dataValidation sqref="EW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'WAYFAIR_USE_ONLY'!$KF$7:$KF11</formula1>
    </dataValidation>
    <dataValidation sqref="E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Y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'WAYFAIR_USE_ONLY'!$KH$7:$KH10</formula1>
    </dataValidation>
    <dataValidation sqref="EZ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Z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'WAYFAIR_USE_ONLY'!$KG$7:$KG32</formula1>
    </dataValidation>
    <dataValidation sqref="FA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'WAYFAIR_USE_ONLY'!$KI$7:$KI9</formula1>
    </dataValidation>
    <dataValidation sqref="FB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'WAYFAIR_USE_ONLY'!$KJ$7:$KJ10</formula1>
    </dataValidation>
    <dataValidation sqref="F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J6" location="'Valid Values'!B1" display="Select"/>
    <hyperlink ref="L6" location="'Valid Values'!F1" display="Select"/>
    <hyperlink ref="N6" location="'Valid Values'!F1" display="Select"/>
    <hyperlink ref="P6" location="'Valid Values'!F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GG1" display="Select"/>
    <hyperlink ref="BP6" location="'Valid Values'!GH1" display="Please choose one or more from the following, using a semicolon (;) to separate each value: Blue; Black; Brown; Red; Beige; Yellow; Pink; Purple; Gold; White; Ivory; Tan; Teal; Navy; Orange; Silver; Gray; Green; Cream; Clear"/>
    <hyperlink ref="BQ6" location="'Valid Values'!GI1" display="Select"/>
    <hyperlink ref="BR6" location="'Valid Values'!GJ1" display="Please choose one or more from the following, using a semicolon (;) to separate each value: Wicker / Rattan; Stainless Steel; Raffia; Solid + Manufactured Wood; Iron; Cane; Aluminum; Manufactured Wood; Nickel; Brass; Copper; Metal; Solid Wood; Unavailable"/>
    <hyperlink ref="BU6" location="'Valid Values'!GK1" display="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
    <hyperlink ref="BV6" location="'Valid Values'!GL1" display="Select"/>
    <hyperlink ref="BX6" location="'Valid Values'!GM1" display="Please choose one or more from the following, using a semicolon (;) to separate each value: Manufactured Wood; Wood; Metal; Solid Wood; Solid + Manufactured Wood; Plywood; Bamboo; Unavailable; Does Not Apply"/>
    <hyperlink ref="CB6" location="'Valid Values'!GN1" display="Please choose one or more from the following, using a semicolon (;) to separate each value: Cabinet; Footboard Storage; No Storage Included; Shelves; Drawers; Lift Up Storage; Unavailable; Does Not Apply"/>
    <hyperlink ref="CF6" location="'Valid Values'!GO1" display="Please choose one or more from the following, using a semicolon (;) to separate each value: No Natural Variation; Natural Wood Grain Color Variation; Weathered Steel; Wood Knots; Natural Stone Color Variation; Unavailable"/>
    <hyperlink ref="CG6" location="'Valid Values'!G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H6" location="'Valid Values'!GQ1" display="Please choose one or more from the following, using a semicolon (;) to separate each value: Non Residential Use; Residential Use"/>
    <hyperlink ref="CI6" location="'Valid Values'!GR1" display="Please choose one or more from the following, using a semicolon (;) to separate each value: Made in USA; Made in USA of Imported Materials; Product of Canada; Made In Canada; Does Not Apply"/>
    <hyperlink ref="CJ6" location="'Valid Values'!GS1" display="Select"/>
    <hyperlink ref="CL6" location="'Valid Values'!GT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M6" location="'Valid Values'!GU1" display="Please choose one or more from the following, using a semicolon (;) to separate each value: Striped; Plaid; Chevron; Damask; Paisley; Geometric; Abstract; Gingham; Animal Print; Camouflage; Polka Dots; Ikat; Houndstooth; Toile; Patchwork; Ombre; Checkered; Floral; Argyle; Solid Color; No Pattern; Trellis; Dots; Starburst; Geometric Shapes; Marble; Brick; Irish Chain; Wood &amp; Shiplap; Chevron / Zig Zag; Clear; Stone; Drunkard's Path; Moroccan; Oriental; Block Print; Arc; Vintage Look; Does Not Apply"/>
    <hyperlink ref="CO6" location="'Valid Values'!GV1" display="Select"/>
    <hyperlink ref="CP6" location="'Valid Values'!GW1" display="Select"/>
    <hyperlink ref="CQ6" location="'Valid Values'!GX1" display="Select"/>
    <hyperlink ref="CR6" location="'Valid Values'!GY1" display="Select"/>
    <hyperlink ref="CS6" location="'Valid Values'!GZ1" display="Select"/>
    <hyperlink ref="CT6" location="'Valid Values'!HA1" display="Select"/>
    <hyperlink ref="CU6" location="'Valid Values'!HB1" display="Select"/>
    <hyperlink ref="CZ6" location="'Valid Values'!HC1" display="Select"/>
    <hyperlink ref="DB6" location="'Valid Values'!HD1" display="Select"/>
    <hyperlink ref="DC6" location="'Valid Values'!HE1" display="Select"/>
    <hyperlink ref="DD6" location="'Valid Values'!HF1" display="Select"/>
    <hyperlink ref="DE6" location="'Valid Values'!HG1" display="Please choose one or more from the following, using a semicolon (;) to separate each value: Built In Outlet (AC); Built in USB-C Port; LED Lighting Included; Lighting Included; Built In Speaker; Reclining Headboard Function; Built In USB Port; Adjustable Lighting; Unavailable; Does Not Apply"/>
    <hyperlink ref="DH6" location="'Valid Values'!HH1" display="Please choose one or more from the following, using a semicolon (;) to separate each value: Box Spring; Drawers; Footboard; Headboard; Mattress; Trundle Bed; Center Support Legs; Slat Kit; Unavailable; Does Not Apply"/>
    <hyperlink ref="DJ6" location="'Valid Values'!HI1" display="Please choose one or more from the following, using a semicolon (;) to separate each value: InsideOut®; Sustain®; Sunbrella®; Revolution Performance Fabric®; Livesmart®; Perennials®; Outdura; Crypton®; Suncrylic; Richloom Fortress® Home Performance; Eco Ease® Performance Fabric; Unavailable; Does Not Apply"/>
    <hyperlink ref="DM6" location="'Valid Values'!HJ1" display="Select"/>
    <hyperlink ref="DN6" location="'Valid Values'!HK1" display="Select"/>
    <hyperlink ref="DO6" location="'Valid Values'!HL1" display="Select"/>
    <hyperlink ref="DP6" location="'Valid Values'!HM1" display="Select"/>
    <hyperlink ref="DQ6" location="'Valid Values'!HN1" display="Select"/>
    <hyperlink ref="DR6" location="'Valid Values'!HO1" display="Select"/>
    <hyperlink ref="DS6" location="'Valid Values'!HP1" display="Select"/>
    <hyperlink ref="DU6" location="'Valid Values'!HQ1" display="Please choose one or more from the following, using a semicolon (;) to separate each value: Dual Language; Distribution Conflict; Logistics; Does Not Apply"/>
    <hyperlink ref="DV6" location="'Valid Values'!HR1" display="Select"/>
    <hyperlink ref="DW6" location="'Valid Values'!HS1" display="Select"/>
    <hyperlink ref="DY6" location="'Valid Values'!HT1" display="Select"/>
    <hyperlink ref="DZ6" location="'Valid Values'!HU1" display="Select"/>
    <hyperlink ref="EB6" location="'Valid Values'!HV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EC6" location="'Valid Values'!HW1" display="Select"/>
    <hyperlink ref="ED6" location="'Valid Values'!HX1" display="Select"/>
    <hyperlink ref="EE6" location="'Valid Values'!HY1" display="Select"/>
    <hyperlink ref="EF6" location="'Valid Values'!HZ1" display="Select"/>
    <hyperlink ref="EG6" location="'Valid Values'!IA1" display="Select"/>
    <hyperlink ref="EH6" location="'Valid Values'!IB1" display="Select"/>
    <hyperlink ref="EI6" location="'Valid Values'!IC1" display="Select"/>
    <hyperlink ref="EJ6" location="'Valid Values'!ID1" display="Select"/>
    <hyperlink ref="EK6" location="'Valid Values'!IE1" display="Select"/>
    <hyperlink ref="EM6" location="'Valid Values'!IF1" display="Select"/>
    <hyperlink ref="EW6" location="'Valid Values'!IG1" display="Select"/>
    <hyperlink ref="EX6" location="'Valid Values'!IH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Z6" location="'Valid Values'!II1" display="Select"/>
    <hyperlink ref="FB6" location="'Valid Values'!IJ1" display="Select"/>
    <hyperlink ref="FC6" location="'Valid Values'!IK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FC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8.7109375" customWidth="1" style="22" min="67" max="67"/>
    <col width="10.7109375" customWidth="1" style="22" min="68" max="68"/>
    <col width="15.7109375" customWidth="1" style="22" min="69" max="69"/>
    <col width="23.7109375" customWidth="1" style="22" min="70" max="70"/>
    <col width="22.7109375" customWidth="1" style="22" min="71" max="71"/>
    <col width="16.7109375" customWidth="1" style="22" min="72" max="72"/>
    <col width="24.7109375" customWidth="1" style="22" min="73" max="73"/>
    <col width="22.7109375" customWidth="1" style="22" min="74" max="74"/>
    <col width="24.7109375" customWidth="1" style="22" min="75" max="75"/>
    <col width="18.7109375" customWidth="1" style="22" min="76" max="76"/>
    <col width="24.7109375" customWidth="1" style="22" min="77" max="77"/>
    <col width="20.7109375" customWidth="1" style="22" min="78" max="78"/>
    <col width="23.7109375" customWidth="1" style="22" min="79" max="79"/>
    <col width="29.7109375" customWidth="1" style="22" min="80" max="80"/>
    <col width="21.7109375" customWidth="1" style="22" min="81" max="81"/>
    <col width="40.7109375" customWidth="1" style="22" min="82" max="82"/>
    <col width="12.7109375" customWidth="1" style="22" min="83" max="83"/>
    <col width="27.7109375" customWidth="1" style="22" min="84" max="84"/>
    <col width="32.7109375" customWidth="1" style="22" min="85" max="85"/>
    <col width="39.7109375" customWidth="1" style="22" min="86" max="86"/>
    <col width="43.7109375" customWidth="1" style="22" min="87" max="87"/>
    <col width="29.7109375" customWidth="1" style="22" min="88" max="88"/>
    <col width="20.7109375" customWidth="1" style="22" min="89" max="89"/>
    <col width="17.7109375" customWidth="1" style="22" min="90" max="90"/>
    <col width="12.7109375" customWidth="1" style="22" min="91" max="91"/>
    <col width="34.7109375" customWidth="1" style="22" min="92" max="92"/>
    <col width="24.7109375" customWidth="1" style="22" min="93" max="93"/>
    <col width="17.7109375" customWidth="1" style="22" min="94" max="94"/>
    <col width="24.7109375" customWidth="1" style="22" min="95" max="95"/>
    <col width="21.7109375" customWidth="1" style="22" min="96" max="96"/>
    <col width="20.7109375" customWidth="1" style="22" min="97" max="97"/>
    <col width="35.7109375" customWidth="1" style="22" min="98" max="98"/>
    <col width="30.7109375" customWidth="1" style="22" min="99" max="99"/>
    <col width="11.7109375" customWidth="1" style="22" min="100" max="100"/>
    <col width="18.7109375" customWidth="1" style="22" min="101" max="101"/>
    <col width="15.7109375" customWidth="1" style="22" min="102" max="102"/>
    <col width="18.7109375" customWidth="1" style="22" min="103" max="103"/>
    <col width="27.7109375" customWidth="1" style="22" min="104" max="104"/>
    <col width="22.7109375" customWidth="1" style="22" min="105" max="105"/>
    <col width="17.7109375" customWidth="1" style="22" min="106" max="106"/>
    <col width="30.7109375" customWidth="1" style="22" min="107" max="107"/>
    <col width="20.7109375" customWidth="1" style="22" min="108" max="108"/>
    <col width="35.7109375" customWidth="1" style="22" min="109" max="109"/>
    <col width="21.7109375" customWidth="1" style="22" min="110" max="111"/>
    <col width="20.7109375" customWidth="1" style="22" min="112" max="112"/>
    <col width="34.7109375" customWidth="1" style="22" min="113" max="113"/>
    <col width="42.7109375" customWidth="1" style="22" min="114" max="114"/>
    <col width="38.7109375" customWidth="1" style="22" min="115" max="115"/>
    <col width="33.7109375" customWidth="1" style="22" min="116" max="116"/>
    <col width="53.7109375" customWidth="1" style="22" min="117" max="118"/>
    <col width="21.7109375" customWidth="1" style="22" min="119" max="119"/>
    <col width="27.7109375" customWidth="1" style="22" min="120" max="120"/>
    <col width="25.7109375" customWidth="1" style="22" min="121" max="121"/>
    <col width="30.7109375" customWidth="1" style="22" min="122" max="122"/>
    <col width="64.7109375" customWidth="1" style="22" min="123" max="123"/>
    <col width="31.7109375" customWidth="1" style="22" min="124" max="124"/>
    <col width="27.7109375" customWidth="1" style="22" min="125" max="125"/>
    <col width="68.7109375" customWidth="1" style="22" min="126" max="126"/>
    <col width="52.7109375" customWidth="1" style="22" min="127" max="127"/>
    <col width="20.7109375" customWidth="1" style="22" min="128" max="128"/>
    <col width="41.7109375" customWidth="1" style="22" min="129" max="129"/>
    <col width="44.7109375" customWidth="1" style="22" min="130" max="130"/>
    <col width="41.7109375" customWidth="1" style="22" min="131" max="131"/>
    <col width="20.7109375" customWidth="1" style="22" min="132" max="132"/>
    <col width="21.7109375" customWidth="1" style="22" min="133" max="133"/>
    <col width="18.7109375" customWidth="1" style="22" min="134" max="134"/>
    <col width="30.7109375" customWidth="1" style="22" min="135" max="135"/>
    <col width="47.7109375" customWidth="1" style="22" min="136" max="136"/>
    <col width="19.7109375" customWidth="1" style="22" min="137" max="137"/>
    <col width="43.7109375" customWidth="1" style="22" min="138" max="138"/>
    <col width="57.7109375" customWidth="1" style="22" min="139" max="139"/>
    <col width="62.7109375" customWidth="1" style="22" min="140" max="140"/>
    <col width="33.7109375" customWidth="1" style="22" min="141" max="141"/>
    <col width="79.7109375" customWidth="1" style="22" min="142" max="142"/>
    <col width="51.7109375" customWidth="1" style="22" min="143" max="143"/>
    <col width="35.7109375" customWidth="1" style="22" min="144" max="144"/>
    <col width="33.7109375" customWidth="1" style="22" min="145" max="146"/>
    <col width="27.7109375" customWidth="1" style="22" min="147" max="147"/>
    <col width="32.7109375" customWidth="1" style="22" min="148" max="148"/>
    <col width="37.7109375" customWidth="1" style="22" min="149" max="149"/>
    <col width="35.7109375" customWidth="1" style="22" min="150" max="150"/>
    <col width="36.7109375" customWidth="1" style="22" min="151" max="151"/>
    <col width="22.7109375" customWidth="1" style="22" min="152" max="153"/>
    <col width="45.7109375" customWidth="1" style="22" min="154" max="154"/>
    <col width="24.7109375" customWidth="1" style="22" min="155" max="155"/>
    <col width="31.7109375" customWidth="1" style="22" min="156" max="156"/>
    <col width="21.7109375" customWidth="1" style="22" min="157" max="157"/>
    <col width="29.7109375" customWidth="1" style="22" min="158" max="158"/>
    <col width="20.7109375" customWidth="1" style="22" min="159" max="159"/>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4170</t>
        </is>
      </c>
      <c r="BP1" s="22" t="inlineStr">
        <is>
          <t>378114</t>
        </is>
      </c>
      <c r="BQ1" s="22" t="inlineStr">
        <is>
          <t>184838</t>
        </is>
      </c>
      <c r="BR1" s="22" t="inlineStr">
        <is>
          <t>4164</t>
        </is>
      </c>
      <c r="BS1" s="22" t="inlineStr">
        <is>
          <t>224148</t>
        </is>
      </c>
      <c r="BT1" s="22" t="inlineStr">
        <is>
          <t>4166</t>
        </is>
      </c>
      <c r="BU1" s="22" t="inlineStr">
        <is>
          <t>4446</t>
        </is>
      </c>
      <c r="BV1" s="22" t="inlineStr">
        <is>
          <t>224163</t>
        </is>
      </c>
      <c r="BW1" s="22" t="inlineStr">
        <is>
          <t>4179</t>
        </is>
      </c>
      <c r="BX1" s="22" t="inlineStr">
        <is>
          <t>250332</t>
        </is>
      </c>
      <c r="BY1" s="22" t="inlineStr">
        <is>
          <t>4185</t>
        </is>
      </c>
      <c r="BZ1" s="22" t="inlineStr">
        <is>
          <t>4198</t>
        </is>
      </c>
      <c r="CA1" s="22" t="inlineStr">
        <is>
          <t>4178</t>
        </is>
      </c>
      <c r="CB1" s="22" t="inlineStr">
        <is>
          <t>242937</t>
        </is>
      </c>
      <c r="CC1" s="22" t="inlineStr">
        <is>
          <t>4223</t>
        </is>
      </c>
      <c r="CD1" s="22" t="inlineStr">
        <is>
          <t>218965</t>
        </is>
      </c>
      <c r="CE1" s="22" t="inlineStr">
        <is>
          <t>189877</t>
        </is>
      </c>
      <c r="CF1" s="22" t="inlineStr">
        <is>
          <t>222864</t>
        </is>
      </c>
      <c r="CG1" s="22" t="inlineStr">
        <is>
          <t>222865</t>
        </is>
      </c>
      <c r="CH1" s="22" t="inlineStr">
        <is>
          <t>223513</t>
        </is>
      </c>
      <c r="CI1" s="22" t="inlineStr">
        <is>
          <t>244542</t>
        </is>
      </c>
      <c r="CJ1" s="22" t="inlineStr">
        <is>
          <t>293470</t>
        </is>
      </c>
      <c r="CK1" s="22" t="inlineStr">
        <is>
          <t>293542</t>
        </is>
      </c>
      <c r="CL1" s="22" t="inlineStr">
        <is>
          <t>185256</t>
        </is>
      </c>
      <c r="CM1" s="22" t="inlineStr">
        <is>
          <t>336669</t>
        </is>
      </c>
      <c r="CN1" s="22" t="inlineStr">
        <is>
          <t>340102</t>
        </is>
      </c>
      <c r="CO1" s="22" t="inlineStr">
        <is>
          <t>340616</t>
        </is>
      </c>
      <c r="CP1" s="22" t="inlineStr">
        <is>
          <t>342726</t>
        </is>
      </c>
      <c r="CQ1" s="22" t="inlineStr">
        <is>
          <t>367366</t>
        </is>
      </c>
      <c r="CR1" s="22" t="inlineStr">
        <is>
          <t>342735</t>
        </is>
      </c>
      <c r="CS1" s="22" t="inlineStr">
        <is>
          <t>343332</t>
        </is>
      </c>
      <c r="CT1" s="22" t="inlineStr">
        <is>
          <t>343325</t>
        </is>
      </c>
      <c r="CU1" s="22" t="inlineStr">
        <is>
          <t>352587</t>
        </is>
      </c>
      <c r="CV1" s="22" t="inlineStr">
        <is>
          <t>4450</t>
        </is>
      </c>
      <c r="CW1" s="22" t="inlineStr">
        <is>
          <t>250237</t>
        </is>
      </c>
      <c r="CX1" s="22" t="inlineStr">
        <is>
          <t>370849</t>
        </is>
      </c>
      <c r="CY1" s="22" t="inlineStr">
        <is>
          <t>4191</t>
        </is>
      </c>
      <c r="CZ1" s="22" t="inlineStr">
        <is>
          <t>292745</t>
        </is>
      </c>
      <c r="DA1" s="22" t="inlineStr">
        <is>
          <t>4455</t>
        </is>
      </c>
      <c r="DB1" s="22" t="inlineStr">
        <is>
          <t>224155</t>
        </is>
      </c>
      <c r="DC1" s="22" t="inlineStr">
        <is>
          <t>224158</t>
        </is>
      </c>
      <c r="DD1" s="22" t="inlineStr">
        <is>
          <t>252472</t>
        </is>
      </c>
      <c r="DE1" s="22" t="inlineStr">
        <is>
          <t>384474</t>
        </is>
      </c>
      <c r="DF1" s="22" t="inlineStr">
        <is>
          <t>393968</t>
        </is>
      </c>
      <c r="DG1" s="22" t="inlineStr">
        <is>
          <t>400771</t>
        </is>
      </c>
      <c r="DH1" s="22" t="inlineStr">
        <is>
          <t>420141</t>
        </is>
      </c>
      <c r="DI1" s="22" t="inlineStr">
        <is>
          <t>4477</t>
        </is>
      </c>
      <c r="DJ1" s="22" t="inlineStr">
        <is>
          <t>378924</t>
        </is>
      </c>
      <c r="DK1" s="22" t="inlineStr">
        <is>
          <t>243577</t>
        </is>
      </c>
      <c r="DL1" s="22" t="inlineStr">
        <is>
          <t>201436</t>
        </is>
      </c>
      <c r="DM1" s="22" t="inlineStr">
        <is>
          <t>224768</t>
        </is>
      </c>
      <c r="DN1" s="22" t="inlineStr">
        <is>
          <t>224989</t>
        </is>
      </c>
      <c r="DO1" s="22" t="inlineStr">
        <is>
          <t>364707</t>
        </is>
      </c>
      <c r="DP1" s="22" t="inlineStr">
        <is>
          <t>224311</t>
        </is>
      </c>
      <c r="DQ1" s="22" t="inlineStr">
        <is>
          <t>225358</t>
        </is>
      </c>
      <c r="DR1" s="22" t="inlineStr">
        <is>
          <t>202653</t>
        </is>
      </c>
      <c r="DS1" s="22" t="inlineStr">
        <is>
          <t>236086</t>
        </is>
      </c>
      <c r="DT1" s="22" t="inlineStr">
        <is>
          <t>249274</t>
        </is>
      </c>
      <c r="DU1" s="22" t="inlineStr">
        <is>
          <t>251018</t>
        </is>
      </c>
      <c r="DV1" s="22" t="inlineStr">
        <is>
          <t>246161</t>
        </is>
      </c>
      <c r="DW1" s="22" t="inlineStr">
        <is>
          <t>246188</t>
        </is>
      </c>
      <c r="DX1" s="22" t="inlineStr">
        <is>
          <t>295637</t>
        </is>
      </c>
      <c r="DY1" s="22" t="inlineStr">
        <is>
          <t>243578</t>
        </is>
      </c>
      <c r="DZ1" s="22" t="inlineStr">
        <is>
          <t>4213</t>
        </is>
      </c>
      <c r="EA1" s="22" t="inlineStr">
        <is>
          <t>340095</t>
        </is>
      </c>
      <c r="EB1" s="22" t="inlineStr">
        <is>
          <t>373566</t>
        </is>
      </c>
      <c r="EC1" s="22" t="inlineStr">
        <is>
          <t>341882</t>
        </is>
      </c>
      <c r="ED1" s="22" t="inlineStr">
        <is>
          <t>341883</t>
        </is>
      </c>
      <c r="EE1" s="22" t="inlineStr">
        <is>
          <t>369622</t>
        </is>
      </c>
      <c r="EF1" s="22" t="inlineStr">
        <is>
          <t>382037</t>
        </is>
      </c>
      <c r="EG1" s="22" t="inlineStr">
        <is>
          <t>385924</t>
        </is>
      </c>
      <c r="EH1" s="22" t="inlineStr">
        <is>
          <t>394170</t>
        </is>
      </c>
      <c r="EI1" s="22" t="inlineStr">
        <is>
          <t>399936</t>
        </is>
      </c>
      <c r="EJ1" s="22" t="inlineStr">
        <is>
          <t>400793</t>
        </is>
      </c>
      <c r="EK1" s="22" t="inlineStr">
        <is>
          <t>412911</t>
        </is>
      </c>
      <c r="EL1" s="22" t="inlineStr">
        <is>
          <t>415139</t>
        </is>
      </c>
      <c r="EM1" s="22" t="inlineStr">
        <is>
          <t>421402</t>
        </is>
      </c>
      <c r="EN1" s="22" t="inlineStr">
        <is>
          <t>4215</t>
        </is>
      </c>
      <c r="EO1" s="22" t="inlineStr">
        <is>
          <t>4216</t>
        </is>
      </c>
      <c r="EP1" s="22" t="inlineStr">
        <is>
          <t>4217</t>
        </is>
      </c>
      <c r="EQ1" s="22" t="inlineStr">
        <is>
          <t>4218</t>
        </is>
      </c>
      <c r="ER1" s="22" t="inlineStr">
        <is>
          <t>4227</t>
        </is>
      </c>
      <c r="ES1" s="22" t="inlineStr">
        <is>
          <t>4486</t>
        </is>
      </c>
      <c r="ET1" s="22" t="inlineStr">
        <is>
          <t>4485</t>
        </is>
      </c>
      <c r="EU1" s="22" t="inlineStr">
        <is>
          <t>4484</t>
        </is>
      </c>
      <c r="EV1" s="22" t="inlineStr">
        <is>
          <t>4231</t>
        </is>
      </c>
      <c r="EW1" s="22" t="inlineStr">
        <is>
          <t>222782</t>
        </is>
      </c>
      <c r="EX1" s="22" t="inlineStr">
        <is>
          <t>222785</t>
        </is>
      </c>
      <c r="EY1" s="22" t="inlineStr">
        <is>
          <t>228892</t>
        </is>
      </c>
      <c r="EZ1" s="22" t="inlineStr">
        <is>
          <t>334025</t>
        </is>
      </c>
      <c r="FA1" s="22" t="inlineStr">
        <is>
          <t>254172</t>
        </is>
      </c>
      <c r="FB1" s="22" t="inlineStr">
        <is>
          <t>255296</t>
        </is>
      </c>
      <c r="FC1" s="22" t="inlineStr">
        <is>
          <t>256095</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1" t="n"/>
      <c r="EU2" s="41" t="n"/>
      <c r="EV2" s="41" t="n"/>
      <c r="EW2" s="41" t="n"/>
      <c r="EX2" s="41" t="n"/>
      <c r="EY2" s="41" t="n"/>
      <c r="EZ2" s="41" t="n"/>
      <c r="FA2" s="41" t="n"/>
      <c r="FB2" s="41" t="n"/>
      <c r="FC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Required</t>
        </is>
      </c>
      <c r="BQ3" s="32" t="inlineStr">
        <is>
          <t>Required</t>
        </is>
      </c>
      <c r="BR3" s="32" t="inlineStr">
        <is>
          <t>Required</t>
        </is>
      </c>
      <c r="BS3" s="32" t="inlineStr">
        <is>
          <t>Recommended</t>
        </is>
      </c>
      <c r="BT3" s="32" t="inlineStr">
        <is>
          <t>Required</t>
        </is>
      </c>
      <c r="BU3" s="32" t="inlineStr">
        <is>
          <t>Recommended</t>
        </is>
      </c>
      <c r="BV3" s="32" t="inlineStr">
        <is>
          <t>Recommended</t>
        </is>
      </c>
      <c r="BW3" s="32" t="inlineStr">
        <is>
          <t>Required</t>
        </is>
      </c>
      <c r="BX3" s="32" t="inlineStr">
        <is>
          <t>Required</t>
        </is>
      </c>
      <c r="BY3" s="32" t="inlineStr">
        <is>
          <t>Recommended</t>
        </is>
      </c>
      <c r="BZ3" s="32" t="inlineStr">
        <is>
          <t>Recommended</t>
        </is>
      </c>
      <c r="CA3" s="32" t="inlineStr">
        <is>
          <t>Recommended</t>
        </is>
      </c>
      <c r="CB3" s="32" t="inlineStr">
        <is>
          <t>Recommended</t>
        </is>
      </c>
      <c r="CC3" s="32" t="inlineStr">
        <is>
          <t>Recommended</t>
        </is>
      </c>
      <c r="CD3" s="32" t="inlineStr">
        <is>
          <t>Recommended</t>
        </is>
      </c>
      <c r="CE3" s="32" t="inlineStr">
        <is>
          <t>Required</t>
        </is>
      </c>
      <c r="CF3" s="32" t="inlineStr">
        <is>
          <t>Recommended</t>
        </is>
      </c>
      <c r="CG3" s="32" t="inlineStr">
        <is>
          <t>Recommended</t>
        </is>
      </c>
      <c r="CH3" s="32" t="inlineStr">
        <is>
          <t>Required</t>
        </is>
      </c>
      <c r="CI3" s="32" t="inlineStr">
        <is>
          <t>Additional</t>
        </is>
      </c>
      <c r="CJ3" s="32" t="inlineStr">
        <is>
          <t>Recommended</t>
        </is>
      </c>
      <c r="CK3" s="32" t="inlineStr">
        <is>
          <t>Recommended</t>
        </is>
      </c>
      <c r="CL3" s="32" t="inlineStr">
        <is>
          <t>Recommended</t>
        </is>
      </c>
      <c r="CM3" s="32" t="inlineStr">
        <is>
          <t>Required</t>
        </is>
      </c>
      <c r="CN3" s="32" t="inlineStr">
        <is>
          <t>Additional</t>
        </is>
      </c>
      <c r="CO3" s="32" t="inlineStr">
        <is>
          <t>Additional</t>
        </is>
      </c>
      <c r="CP3" s="32" t="inlineStr">
        <is>
          <t>Additional</t>
        </is>
      </c>
      <c r="CQ3" s="32" t="inlineStr">
        <is>
          <t>Additional</t>
        </is>
      </c>
      <c r="CR3" s="32" t="inlineStr">
        <is>
          <t>Additional</t>
        </is>
      </c>
      <c r="CS3" s="32" t="inlineStr">
        <is>
          <t>Additional</t>
        </is>
      </c>
      <c r="CT3" s="32" t="inlineStr">
        <is>
          <t>Additional</t>
        </is>
      </c>
      <c r="CU3" s="32" t="inlineStr">
        <is>
          <t>Additional</t>
        </is>
      </c>
      <c r="CV3" s="32" t="inlineStr">
        <is>
          <t>Recommended</t>
        </is>
      </c>
      <c r="CW3" s="32" t="inlineStr">
        <is>
          <t>Required</t>
        </is>
      </c>
      <c r="CX3" s="32" t="inlineStr">
        <is>
          <t>Recommended</t>
        </is>
      </c>
      <c r="CY3" s="32" t="inlineStr">
        <is>
          <t>Recommended</t>
        </is>
      </c>
      <c r="CZ3" s="32" t="inlineStr">
        <is>
          <t>Recommended</t>
        </is>
      </c>
      <c r="DA3" s="32" t="inlineStr">
        <is>
          <t>Recommended</t>
        </is>
      </c>
      <c r="DB3" s="32" t="inlineStr">
        <is>
          <t>Recommended</t>
        </is>
      </c>
      <c r="DC3" s="32" t="inlineStr">
        <is>
          <t>Recommended</t>
        </is>
      </c>
      <c r="DD3" s="32" t="inlineStr">
        <is>
          <t>Recommended</t>
        </is>
      </c>
      <c r="DE3" s="32" t="inlineStr">
        <is>
          <t>Recommended</t>
        </is>
      </c>
      <c r="DF3" s="32" t="inlineStr">
        <is>
          <t>Recommended</t>
        </is>
      </c>
      <c r="DG3" s="32" t="inlineStr">
        <is>
          <t>Recommended</t>
        </is>
      </c>
      <c r="DH3" s="32" t="inlineStr">
        <is>
          <t>Required</t>
        </is>
      </c>
      <c r="DI3" s="32" t="inlineStr">
        <is>
          <t>Recommended</t>
        </is>
      </c>
      <c r="DJ3" s="32" t="inlineStr">
        <is>
          <t>Recommended</t>
        </is>
      </c>
      <c r="DK3" s="32" t="inlineStr">
        <is>
          <t>Required</t>
        </is>
      </c>
      <c r="DL3" s="32" t="inlineStr">
        <is>
          <t>Required</t>
        </is>
      </c>
      <c r="DM3" s="32" t="inlineStr">
        <is>
          <t>Required</t>
        </is>
      </c>
      <c r="DN3" s="32" t="inlineStr">
        <is>
          <t>Required</t>
        </is>
      </c>
      <c r="DO3" s="32" t="inlineStr">
        <is>
          <t>Required</t>
        </is>
      </c>
      <c r="DP3" s="32" t="inlineStr">
        <is>
          <t>Required</t>
        </is>
      </c>
      <c r="DQ3" s="32" t="inlineStr">
        <is>
          <t>Recommended</t>
        </is>
      </c>
      <c r="DR3" s="32" t="inlineStr">
        <is>
          <t>Required</t>
        </is>
      </c>
      <c r="DS3" s="32" t="inlineStr">
        <is>
          <t>Required</t>
        </is>
      </c>
      <c r="DT3" s="32" t="inlineStr">
        <is>
          <t>Required</t>
        </is>
      </c>
      <c r="DU3" s="32" t="inlineStr">
        <is>
          <t>Required</t>
        </is>
      </c>
      <c r="DV3" s="32" t="inlineStr">
        <is>
          <t>Required</t>
        </is>
      </c>
      <c r="DW3" s="32" t="inlineStr">
        <is>
          <t>Required</t>
        </is>
      </c>
      <c r="DX3" s="32" t="inlineStr">
        <is>
          <t>Required</t>
        </is>
      </c>
      <c r="DY3" s="32" t="inlineStr">
        <is>
          <t>Required</t>
        </is>
      </c>
      <c r="DZ3" s="32" t="inlineStr">
        <is>
          <t>Required</t>
        </is>
      </c>
      <c r="EA3" s="32" t="inlineStr">
        <is>
          <t>Additional</t>
        </is>
      </c>
      <c r="EB3" s="32" t="inlineStr">
        <is>
          <t>Additional</t>
        </is>
      </c>
      <c r="EC3" s="32" t="inlineStr">
        <is>
          <t>Additional</t>
        </is>
      </c>
      <c r="ED3" s="32" t="inlineStr">
        <is>
          <t>Additional</t>
        </is>
      </c>
      <c r="EE3" s="32" t="inlineStr">
        <is>
          <t>Additional</t>
        </is>
      </c>
      <c r="EF3" s="32" t="inlineStr">
        <is>
          <t>Required</t>
        </is>
      </c>
      <c r="EG3" s="32" t="inlineStr">
        <is>
          <t>Recommended</t>
        </is>
      </c>
      <c r="EH3" s="32" t="inlineStr">
        <is>
          <t>Required</t>
        </is>
      </c>
      <c r="EI3" s="32" t="inlineStr">
        <is>
          <t>Required</t>
        </is>
      </c>
      <c r="EJ3" s="32" t="inlineStr">
        <is>
          <t>Required</t>
        </is>
      </c>
      <c r="EK3" s="32" t="inlineStr">
        <is>
          <t>Required</t>
        </is>
      </c>
      <c r="EL3" s="32" t="inlineStr">
        <is>
          <t>Recommended</t>
        </is>
      </c>
      <c r="EM3" s="32" t="inlineStr">
        <is>
          <t>Required</t>
        </is>
      </c>
      <c r="EN3" s="32" t="inlineStr">
        <is>
          <t>Required</t>
        </is>
      </c>
      <c r="EO3" s="32" t="inlineStr">
        <is>
          <t>Required</t>
        </is>
      </c>
      <c r="EP3" s="32" t="inlineStr">
        <is>
          <t>Required</t>
        </is>
      </c>
      <c r="EQ3" s="32" t="inlineStr">
        <is>
          <t>Recommended</t>
        </is>
      </c>
      <c r="ER3" s="32" t="inlineStr">
        <is>
          <t>Recommended</t>
        </is>
      </c>
      <c r="ES3" s="32" t="inlineStr">
        <is>
          <t>Recommended</t>
        </is>
      </c>
      <c r="ET3" s="32" t="inlineStr">
        <is>
          <t>Recommended</t>
        </is>
      </c>
      <c r="EU3" s="32" t="inlineStr">
        <is>
          <t>Recommended</t>
        </is>
      </c>
      <c r="EV3" s="32" t="inlineStr">
        <is>
          <t>Required</t>
        </is>
      </c>
      <c r="EW3" s="32" t="inlineStr">
        <is>
          <t>Recommended</t>
        </is>
      </c>
      <c r="EX3" s="32" t="inlineStr">
        <is>
          <t>Recommended</t>
        </is>
      </c>
      <c r="EY3" s="32" t="inlineStr">
        <is>
          <t>Required</t>
        </is>
      </c>
      <c r="EZ3" s="32" t="inlineStr">
        <is>
          <t>Recommended</t>
        </is>
      </c>
      <c r="FA3" s="32" t="inlineStr">
        <is>
          <t>Recommended</t>
        </is>
      </c>
      <c r="FB3" s="32" t="inlineStr">
        <is>
          <t>Recommended</t>
        </is>
      </c>
      <c r="FC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Mattress Size</t>
        </is>
      </c>
      <c r="BP4" s="19" t="inlineStr">
        <is>
          <t>Color</t>
        </is>
      </c>
      <c r="BQ4" s="19" t="inlineStr">
        <is>
          <t>Bed Design</t>
        </is>
      </c>
      <c r="BR4" s="19" t="inlineStr">
        <is>
          <t>Bed Frame Material</t>
        </is>
      </c>
      <c r="BS4" s="19" t="inlineStr">
        <is>
          <t>Wooden Components</t>
        </is>
      </c>
      <c r="BT4" s="19" t="inlineStr">
        <is>
          <t>Upholstered</t>
        </is>
      </c>
      <c r="BU4" s="19" t="inlineStr">
        <is>
          <t>Upholstery Material</t>
        </is>
      </c>
      <c r="BV4" s="19" t="inlineStr">
        <is>
          <t>Faux Leather Type</t>
        </is>
      </c>
      <c r="BW4" s="19" t="inlineStr">
        <is>
          <t>Box Spring Required</t>
        </is>
      </c>
      <c r="BX4" s="19" t="inlineStr">
        <is>
          <t>Slat Material</t>
        </is>
      </c>
      <c r="BY4" s="19" t="inlineStr">
        <is>
          <t>Center Support Legs</t>
        </is>
      </c>
      <c r="BZ4" s="19" t="inlineStr">
        <is>
          <t>Weight Capacity</t>
        </is>
      </c>
      <c r="CA4" s="19" t="inlineStr">
        <is>
          <t>Footboard Included</t>
        </is>
      </c>
      <c r="CB4" s="19" t="inlineStr">
        <is>
          <t>Type of Storage Included</t>
        </is>
      </c>
      <c r="CC4" s="19" t="inlineStr">
        <is>
          <t>Drawers Included</t>
        </is>
      </c>
      <c r="CD4" s="19" t="inlineStr">
        <is>
          <t>Compatible with Adjustable Bed Base</t>
        </is>
      </c>
      <c r="CE4" s="19" t="inlineStr">
        <is>
          <t>Plug-In</t>
        </is>
      </c>
      <c r="CF4" s="19" t="inlineStr">
        <is>
          <t>Natural Variation Type</t>
        </is>
      </c>
      <c r="CG4" s="19" t="inlineStr">
        <is>
          <t>Purposeful Distressing Type</t>
        </is>
      </c>
      <c r="CH4" s="19" t="inlineStr">
        <is>
          <t>Supplier Intended and Approved Use</t>
        </is>
      </c>
      <c r="CI4" s="19" t="inlineStr">
        <is>
          <t>Country of Origin - Additional Details</t>
        </is>
      </c>
      <c r="CJ4" s="19" t="inlineStr">
        <is>
          <t>Main Wood Joinery Method</t>
        </is>
      </c>
      <c r="CK4" s="19" t="inlineStr">
        <is>
          <t>Kiln-Dried Wood</t>
        </is>
      </c>
      <c r="CL4" s="19" t="inlineStr">
        <is>
          <t>Wood Species</t>
        </is>
      </c>
      <c r="CM4" s="19" t="inlineStr">
        <is>
          <t>Pattern</t>
        </is>
      </c>
      <c r="CN4" s="33" t="inlineStr">
        <is>
          <t>Battery or Batteries Included</t>
        </is>
      </c>
      <c r="CO4" s="34" t="inlineStr">
        <is>
          <t>Battery Composition</t>
        </is>
      </c>
      <c r="CP4" s="34" t="inlineStr">
        <is>
          <t>Battery Type</t>
        </is>
      </c>
      <c r="CQ4" s="34" t="inlineStr">
        <is>
          <t>Number of Batteries</t>
        </is>
      </c>
      <c r="CR4" s="34" t="inlineStr">
        <is>
          <t>Battery Shipment</t>
        </is>
      </c>
      <c r="CS4" s="34" t="inlineStr">
        <is>
          <t>Lithium Content</t>
        </is>
      </c>
      <c r="CT4" s="34" t="inlineStr">
        <is>
          <t>Watt Rating of Cells / Battery</t>
        </is>
      </c>
      <c r="CU4" s="34" t="inlineStr">
        <is>
          <t>Weight of Cells / Battery</t>
        </is>
      </c>
      <c r="CV4" s="19" t="inlineStr">
        <is>
          <t>Tufted</t>
        </is>
      </c>
      <c r="CW4" s="19" t="inlineStr">
        <is>
          <t>Nailhead Trim</t>
        </is>
      </c>
      <c r="CX4" s="19" t="inlineStr">
        <is>
          <t>Unfinished</t>
        </is>
      </c>
      <c r="CY4" s="19" t="inlineStr">
        <is>
          <t>Finished Back</t>
        </is>
      </c>
      <c r="CZ4" s="19" t="inlineStr">
        <is>
          <t>Manufactured Wood Type</t>
        </is>
      </c>
      <c r="DA4" s="19" t="inlineStr">
        <is>
          <t>Lighted Headboard</t>
        </is>
      </c>
      <c r="DB4" s="19" t="inlineStr">
        <is>
          <t>Leather Type</t>
        </is>
      </c>
      <c r="DC4" s="19" t="inlineStr">
        <is>
          <t>Upholstery Fabric Quality</t>
        </is>
      </c>
      <c r="DD4" s="19" t="inlineStr">
        <is>
          <t>Headboard Shape</t>
        </is>
      </c>
      <c r="DE4" s="19" t="inlineStr">
        <is>
          <t>Additional Technology Features</t>
        </is>
      </c>
      <c r="DF4" s="19" t="inlineStr">
        <is>
          <t>Ribbed Detailing</t>
        </is>
      </c>
      <c r="DG4" s="19" t="inlineStr">
        <is>
          <t>Fluted Detailing</t>
        </is>
      </c>
      <c r="DH4" s="19" t="inlineStr">
        <is>
          <t>Pieces Included</t>
        </is>
      </c>
      <c r="DI4" s="19" t="inlineStr">
        <is>
          <t>Number of Center Support Legs</t>
        </is>
      </c>
      <c r="DJ4" s="19" t="inlineStr">
        <is>
          <t>Upholstery Material Performance Brand</t>
        </is>
      </c>
      <c r="DK4" s="19" t="inlineStr">
        <is>
          <t>Additional Intended Use For Child</t>
        </is>
      </c>
      <c r="DL4" s="33" t="inlineStr">
        <is>
          <t>Composite Wood Product (CWP)</t>
        </is>
      </c>
      <c r="DM4" s="34" t="inlineStr">
        <is>
          <t>CARB Phase II Compliant (formaldehyde emissions)</t>
        </is>
      </c>
      <c r="DN4" s="34" t="inlineStr">
        <is>
          <t>TSCA Title VI Compliant (formaldehyde emissions)</t>
        </is>
      </c>
      <c r="DO4" s="34" t="inlineStr">
        <is>
          <t>CANFER Compliant</t>
        </is>
      </c>
      <c r="DP4" s="19" t="inlineStr">
        <is>
          <t>SOR/2016-183 Compliant</t>
        </is>
      </c>
      <c r="DQ4" s="19" t="inlineStr">
        <is>
          <t>CAL TB 116 Compliant</t>
        </is>
      </c>
      <c r="DR4" s="19" t="inlineStr">
        <is>
          <t>CAL TB 117-2013 Compliant</t>
        </is>
      </c>
      <c r="DS4" s="19" t="inlineStr">
        <is>
          <t>Uniform Packaging and Labeling Regulations (UPLR) Compliant</t>
        </is>
      </c>
      <c r="DT4" s="33" t="inlineStr">
        <is>
          <t>Canada Product Restriction</t>
        </is>
      </c>
      <c r="DU4" s="34" t="inlineStr">
        <is>
          <t>Reason for Restriction</t>
        </is>
      </c>
      <c r="DV4" s="19" t="inlineStr">
        <is>
          <t>Textile Labelling and Advertising Regulations (C.R.C., c. 1551)</t>
        </is>
      </c>
      <c r="DW4" s="19" t="inlineStr">
        <is>
          <t>SOR/2016-194 - Textile Flammability Regulations</t>
        </is>
      </c>
      <c r="DX4" s="19" t="inlineStr">
        <is>
          <t>SOFFA Compliant</t>
        </is>
      </c>
      <c r="DY4" s="19" t="inlineStr">
        <is>
          <t>Children’s Product Certificate (CPC)</t>
        </is>
      </c>
      <c r="DZ4" s="19" t="inlineStr">
        <is>
          <t>General Certificate of Conformity (GCC)</t>
        </is>
      </c>
      <c r="EA4" s="33" t="inlineStr">
        <is>
          <t>Hazardous Material / Dangerous Goods</t>
        </is>
      </c>
      <c r="EB4" s="34" t="inlineStr">
        <is>
          <t>UN or ID number</t>
        </is>
      </c>
      <c r="EC4" s="34" t="inlineStr">
        <is>
          <t>Hazard Class(es)</t>
        </is>
      </c>
      <c r="ED4" s="34" t="inlineStr">
        <is>
          <t>Packing Group</t>
        </is>
      </c>
      <c r="EE4" s="34" t="inlineStr">
        <is>
          <t>Hazardous Material Weight</t>
        </is>
      </c>
      <c r="EF4" s="19" t="inlineStr">
        <is>
          <t>CPSC - 16 CFR 1263 Compliant (Reese's Law)</t>
        </is>
      </c>
      <c r="EG4" s="19" t="inlineStr">
        <is>
          <t>ISTA Certified</t>
        </is>
      </c>
      <c r="EH4" s="19" t="inlineStr">
        <is>
          <t>California AB-1817 Compliant (CA PFAS)</t>
        </is>
      </c>
      <c r="EI4" s="19" t="inlineStr">
        <is>
          <t>SOR/2016-193 - Surface Coating Materials Regulations</t>
        </is>
      </c>
      <c r="EJ4" s="19" t="inlineStr">
        <is>
          <t>Consumer Product Safety Improvement Act (CPSIA) Compliant</t>
        </is>
      </c>
      <c r="EK4" s="19" t="inlineStr">
        <is>
          <t>CPSC - 16 CFR 1303 Compliant</t>
        </is>
      </c>
      <c r="EL4" s="19" t="inlineStr">
        <is>
          <t>Sustainability &amp; Social Responsibility Certifications (North America Only)</t>
        </is>
      </c>
      <c r="EM4" s="19" t="inlineStr">
        <is>
          <t>US Mattress Flammability Regulations Compliant</t>
        </is>
      </c>
      <c r="EN4" s="19" t="inlineStr">
        <is>
          <t>Overall Height - Top to Bottom</t>
        </is>
      </c>
      <c r="EO4" s="19" t="inlineStr">
        <is>
          <t>Overall Width - Side to Side</t>
        </is>
      </c>
      <c r="EP4" s="19" t="inlineStr">
        <is>
          <t>Overall Length - Head to Toe</t>
        </is>
      </c>
      <c r="EQ4" s="19" t="inlineStr">
        <is>
          <t>Overall Product Weight</t>
        </is>
      </c>
      <c r="ER4" s="19" t="inlineStr">
        <is>
          <t>Clearance - Floor to Bottom</t>
        </is>
      </c>
      <c r="ES4" s="19" t="inlineStr">
        <is>
          <t>Headboard Height - Top to Bottom</t>
        </is>
      </c>
      <c r="ET4" s="19" t="inlineStr">
        <is>
          <t>Headboard Width - Side to Side</t>
        </is>
      </c>
      <c r="EU4" s="19" t="inlineStr">
        <is>
          <t>Headboard Depth - Front to Back</t>
        </is>
      </c>
      <c r="EV4" s="19" t="inlineStr">
        <is>
          <t>Assembly Required</t>
        </is>
      </c>
      <c r="EW4" s="19" t="inlineStr">
        <is>
          <t>Level of Assembly</t>
        </is>
      </c>
      <c r="EX4" s="19" t="inlineStr">
        <is>
          <t>Additional Tools Required (Not Included)</t>
        </is>
      </c>
      <c r="EY4" s="33" t="inlineStr">
        <is>
          <t>Commercial Warranty</t>
        </is>
      </c>
      <c r="EZ4" s="34" t="inlineStr">
        <is>
          <t>Commercial Warranty Length</t>
        </is>
      </c>
      <c r="FA4" s="19" t="inlineStr">
        <is>
          <t>Product Warranty</t>
        </is>
      </c>
      <c r="FB4" s="19" t="inlineStr">
        <is>
          <t>Full or Limited Warranty</t>
        </is>
      </c>
      <c r="FC4" s="19" t="inlineStr">
        <is>
          <t>Warranty Length</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is the size of the mattress / compatible mattress size?</t>
        </is>
      </c>
      <c r="BP5" s="35" t="inlineStr">
        <is>
          <t>What is the color of the product? If your color name is not listed, please type in the value.</t>
        </is>
      </c>
      <c r="BQ5" s="35" t="inlineStr">
        <is>
          <t>What is the design of this bed?</t>
        </is>
      </c>
      <c r="BR5" s="35" t="inlineStr">
        <is>
          <t>What are the primary materials used to construct the frame of the product?</t>
        </is>
      </c>
      <c r="BS5" s="35" t="inlineStr">
        <is>
          <t>Is any part of this product made of wood?</t>
        </is>
      </c>
      <c r="BT5" s="35" t="inlineStr">
        <is>
          <t>Select if this product is upholstered or comes with an upholstered component. (An upholstered item will have some sort of pad or filling material covered by fabric.)</t>
        </is>
      </c>
      <c r="BU5" s="35" t="inlineStr">
        <is>
          <t>What is the upholstery material used for this product? If the material is a combination of multiple materials, please choose the material that makes up the highest percentage of composition. For example, if the material is 55% Cotton, and 45% Polyester, please choose Cotton Blend.</t>
        </is>
      </c>
      <c r="BV5" s="35" t="inlineStr">
        <is>
          <t>If the item has been tagged as faux leather, what is the type of leather?</t>
        </is>
      </c>
      <c r="BW5" s="35" t="inlineStr">
        <is>
          <t>Is a box spring (foundation) required for the proper usage of this bed?</t>
        </is>
      </c>
      <c r="BX5" s="35" t="inlineStr">
        <is>
          <t>If slats are included please specify what material the slats have.</t>
        </is>
      </c>
      <c r="BY5" s="35" t="inlineStr">
        <is>
          <t>Are there additional legs in the center of the bed to help support the weight of the mattress?</t>
        </is>
      </c>
      <c r="BZ5" s="35" t="inlineStr">
        <is>
          <t>[Pounds] What is the maximum weight capacity of the product? Please enter just the number (i.e., 45.5).</t>
        </is>
      </c>
      <c r="CA5" s="35" t="inlineStr">
        <is>
          <t>Does this product have a footboard included?</t>
        </is>
      </c>
      <c r="CB5" s="35" t="inlineStr">
        <is>
          <t>What kind of storage is included with this product?</t>
        </is>
      </c>
      <c r="CC5" s="35" t="inlineStr">
        <is>
          <t>Does this product have any drawers?</t>
        </is>
      </c>
      <c r="CD5" s="35" t="inlineStr">
        <is>
          <t>Is this product compatible with an adjustable bed?</t>
        </is>
      </c>
      <c r="CE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F5" s="35" t="inlineStr">
        <is>
          <t>Which of the following types of natural variation and texture does the product have? Multiple can be selected if applicable. If the product does NOT have natural variation, please select No Natural Variation.</t>
        </is>
      </c>
      <c r="CG5" s="35" t="inlineStr">
        <is>
          <t>What specific type of distressing does this product have? Select all that apply.</t>
        </is>
      </c>
      <c r="CH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I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J5" s="35" t="inlineStr">
        <is>
          <t>Which technique was used to join together the main pieces of wood to construct the overall product?</t>
        </is>
      </c>
      <c r="CK5" s="35" t="inlineStr">
        <is>
          <t>Is the wood kiln-dried? If product is not made of wood, please select "does not apply."</t>
        </is>
      </c>
      <c r="CL5" s="35" t="inlineStr">
        <is>
          <t>What type of wood was used to construct this product? This describes the actual materials used, not the product's appearance.</t>
        </is>
      </c>
      <c r="CM5" s="35" t="inlineStr">
        <is>
          <t>What is the pattern of the product? If there is more than one pattern, please select all that apply.</t>
        </is>
      </c>
      <c r="CN5" s="35" t="inlineStr">
        <is>
          <t>Is the product a battery or does the product include batteries?</t>
        </is>
      </c>
      <c r="CO5" s="35" t="inlineStr">
        <is>
          <t>What is the composition of the batteries included with product?</t>
        </is>
      </c>
      <c r="CP5" s="35" t="inlineStr">
        <is>
          <t>What type is the battery? Button Cell, Cell, Battery?</t>
        </is>
      </c>
      <c r="CQ5" s="35" t="inlineStr">
        <is>
          <t>Confirm number of batteries in this product</t>
        </is>
      </c>
      <c r="CR5" s="35" t="inlineStr">
        <is>
          <t>Do the cells/batteries ship stand alone/packed with the equipment/ contained (installed) in the equipment?</t>
        </is>
      </c>
      <c r="CS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T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U5" s="35" t="inlineStr">
        <is>
          <t>What is the net weight of the cells or batteries that ship with the product in grams or kilograms.</t>
        </is>
      </c>
      <c r="CV5" s="35" t="inlineStr">
        <is>
          <t>If the product is upholstered, is it tufted? (A tuft is a gathered section of fabric, secured by a button, that creates a 3D cushioned effect.)</t>
        </is>
      </c>
      <c r="CW5" s="35" t="inlineStr">
        <is>
          <t>Does this product feature nailhead trim (decorative metal embellishments that outline the frame)?</t>
        </is>
      </c>
      <c r="CX5" s="35" t="inlineStr">
        <is>
          <t>Is this product unfinished (no paint, stain, or varnish)?</t>
        </is>
      </c>
      <c r="CY5" s="35" t="inlineStr">
        <is>
          <t>Does this product have a "finished" back, meaning that the back is stained, colored, no visible hardware, or otherwise finished? (e.g., may be fully finished so item can "float" in room)</t>
        </is>
      </c>
      <c r="CZ5" s="35" t="inlineStr">
        <is>
          <t>What type of manufactured wood was used to construct this product?</t>
        </is>
      </c>
      <c r="DA5" s="35" t="inlineStr">
        <is>
          <t>Does this product have a lighted headboard?</t>
        </is>
      </c>
      <c r="DB5" s="35" t="inlineStr">
        <is>
          <t>If the item has been tagged as genuine leather, what is the type of leather?</t>
        </is>
      </c>
      <c r="DC5" s="35" t="inlineStr">
        <is>
          <t>The quality of the fabric refers to special fabric treatments. Synthetic and natural fibers can be converted to different qualities e.g. velvet, corduroy, twill . A specification will help the customer to better understand the texture of the upholstery material.</t>
        </is>
      </c>
      <c r="DD5" s="35" t="inlineStr">
        <is>
          <t>What is the shape of the headboard? Select only one option.</t>
        </is>
      </c>
      <c r="DE5" s="35" t="inlineStr">
        <is>
          <t>Does this product include any of the following technology features?</t>
        </is>
      </c>
      <c r="DF5" s="35" t="inlineStr">
        <is>
          <t>Is there a a raised pattern of parallel lines on a surface of this product?</t>
        </is>
      </c>
      <c r="DG5" s="35" t="inlineStr">
        <is>
          <t>Is there a a concave pattern of parallel lines on a surface of this product?</t>
        </is>
      </c>
      <c r="DH5" s="35" t="inlineStr">
        <is>
          <t>What pieces are included with this product?</t>
        </is>
      </c>
      <c r="DI5" s="35" t="inlineStr">
        <is>
          <t>If the bed has center support legs, how many does it have?</t>
        </is>
      </c>
      <c r="DJ5" s="35" t="inlineStr">
        <is>
          <t>Is there a branded performance fabric used?</t>
        </is>
      </c>
      <c r="DK5" s="35" t="inlineStr">
        <is>
          <t>Is this product intended to be used by a child 12 and under in addition to adults?</t>
        </is>
      </c>
      <c r="DL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M5" s="35" t="inlineStr">
        <is>
          <t>Is this product certified compliant for CARB ATCM Phase II formaldehyde emission standards from Composite Wood Products [California Air Resources Board (CARB)- Airborne Toxic Control Measures (ATCM) Phase II]</t>
        </is>
      </c>
      <c r="DN5" s="35" t="inlineStr">
        <is>
          <t>Is this product certified TSCA Title VI compliant regarding formaldehyde emissions from Composite Wood Products [Environmental Protection Agency (EPA)-Toxic Substance Control Act (TSCA)-Title VI]</t>
        </is>
      </c>
      <c r="DO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P5" s="35" t="inlineStr">
        <is>
          <t>Is this product compliant with SOR/2016-183, the Health Canada regulations for flammability resistance of mattresses?</t>
        </is>
      </c>
      <c r="DQ5" s="35" t="inlineStr">
        <is>
          <t>Is this product certified compliant with California Technical Bulletin: CAL TB 116, the Flammability Standard for Upholstered Furniture?</t>
        </is>
      </c>
      <c r="DR5" s="35" t="inlineStr">
        <is>
          <t>Are this products components certified compliant with California Technical Bulletin: CAL TB 117-2013, the Flammability (Smolder) Standard for Upholstered Furniture Materials?</t>
        </is>
      </c>
      <c r="DS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T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U5" s="35" t="inlineStr">
        <is>
          <t>Please select the reason this product can not ship to Canada?  Please select from the options or write in a reason if not selectable</t>
        </is>
      </c>
      <c r="DV5" s="35" t="inlineStr">
        <is>
          <t>Is this product compliant with the Canadian Textile Labelling and Advertising Regulations, which regulate labelling for products with textiles?</t>
        </is>
      </c>
      <c r="DW5" s="35" t="inlineStr">
        <is>
          <t>Does this product comply with Textile Flammability Regulations (SOR/2016-194), the Canadian regulations establishing flammability standards for textiles?  Please note: A no answer to this question will prevent this item from being listed for sale on Wayfair.ca.</t>
        </is>
      </c>
      <c r="DX5" s="35" t="inlineStr">
        <is>
          <t>Does this product meet the flammability standard for upholstered furniture set forth by Safer Occupancy Future Flammability Act (SOFFA)? Please note that SOFFA is incorporated into the COVID-19 Regulatory Relief and Work from Home Safety Act.</t>
        </is>
      </c>
      <c r="DY5" s="35" t="inlineStr">
        <is>
          <t>Does this product have a Children's Product Certificate (CPC), as required by the U.S. CPSC for children's products?
Please note: A No answer to this question will prevent this item from being listed for sale.</t>
        </is>
      </c>
      <c r="DZ5" s="35" t="inlineStr">
        <is>
          <t>Does this product have a General Certificate of Conformity (GCC), as required by the U.S. CPSC for certain product classes?</t>
        </is>
      </c>
      <c r="EA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EB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EC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ED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EE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EF5" s="35"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G5" s="35" t="inlineStr">
        <is>
          <t>Is the packaging for this SKU ISTA Certified (1A, 3A, 6A)?</t>
        </is>
      </c>
      <c r="EH5" s="35" t="inlineStr">
        <is>
          <t>Select "Does Not Apply" if your product does not contain any textiles.
Is this product compliant with California's Safer Clothes and Textiles Act (AB 1817), the standard restricting per- and polyfluoroalkyl substances (PFAS) above 100 parts per million in textiles? 
Products marked "No" will be blocked from sale in California. 
Please see Help Center article here for more information: https://partners.wayfair.com/help/2/article/2828).</t>
        </is>
      </c>
      <c r="EI5" s="35" t="inlineStr">
        <is>
          <t>Does your product comply with SOR/2016-193 (as amended by SOR/2022-122), the Canadian regulation banning paint or similar surface-coating materials for consumer use that contain more than 10 mg/kg total mercury and 90mg/kg total lead? Please note: A no answer to this question will prevent this item from being listed for sale on Wayfair.ca.</t>
        </is>
      </c>
      <c r="EJ5" s="35" t="inlineStr">
        <is>
          <t>Is this product compliant with the Consumer Product Safety Improvement Act (CPSIA), including all of the following provisions, as applicable:
- Lead provisions;
- Phthalate provisions; 
- Toy safety provisions;
- Durable infant and toddler product provisions;
- Tracking label provisions; AND
- Compliance with all applicable children's product safety rules (found here: https://www.cpsc.gov/Business--Manufacturing/Testing-Certification/Lab-Accreditation/Rules-Requiring-Third-Party-Testing). Please note: a "No" answer to this question will prevent your product from being listed for sale.</t>
        </is>
      </c>
      <c r="EK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EL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M5" s="35" t="inlineStr">
        <is>
          <t>Is this product compliant with all mattress flammability regulations required in the United States? This includes CPSC - 16 CFR - 1632 and CPSC - 16 CFR - 1633.
Please note: a ""No"" answer to this question will prevent your product from being listed for sale."</t>
        </is>
      </c>
      <c r="EN5" s="35" t="inlineStr">
        <is>
          <t>[Inches] What is the overall height of the product from top to bottom? Please enter just the number (e.g. 45.5).</t>
        </is>
      </c>
      <c r="EO5" s="35" t="inlineStr">
        <is>
          <t>[Inches] What is overall width of the product from side to side? Please enter just the number (e.g. 45.5).</t>
        </is>
      </c>
      <c r="EP5" s="35" t="inlineStr">
        <is>
          <t>[Inches] Overall length of the product (head to toe). Please enter just the number (i.e. 45.5).</t>
        </is>
      </c>
      <c r="EQ5" s="35" t="inlineStr">
        <is>
          <t>[Pounds] What is the total weight of this product once assembled? If this product includes multiples of the same item, add weight of one individual unit (e.g. 1 Dining Chair in a set of 2). Please enter just the number (i.e. 45.5).</t>
        </is>
      </c>
      <c r="ER5" s="35" t="inlineStr">
        <is>
          <t>[Inches] What is the clearance for this product from floor to bottom? This is the distance between the bottom of the product to the floor. Please enter just the number (e.g. 45.5).</t>
        </is>
      </c>
      <c r="ES5" s="35" t="inlineStr">
        <is>
          <t>[Inches] What is the overall height of the headboard from top to bottom? Please enter just the number (e.g. 45.5).</t>
        </is>
      </c>
      <c r="ET5" s="35" t="inlineStr">
        <is>
          <t>[Inches] What is the overall width of the headboard from side to side? Please enter just the number (e.g. 45.5).</t>
        </is>
      </c>
      <c r="EU5" s="35" t="inlineStr">
        <is>
          <t>[Inches] What is the overall depth of the headboard from front to back? Please enter just the number (e.g. 45.5).</t>
        </is>
      </c>
      <c r="EV5" s="35" t="inlineStr">
        <is>
          <t>Does the product require any form of assembly prior to use as intended?</t>
        </is>
      </c>
      <c r="EW5" s="35" t="inlineStr">
        <is>
          <t>What is the level of assembly required?</t>
        </is>
      </c>
      <c r="EX5" s="35" t="inlineStr">
        <is>
          <t>What additional tools will the customer need to set-up this product that are NOT included with purchase?</t>
        </is>
      </c>
      <c r="EY5" s="35" t="inlineStr">
        <is>
          <t>Does the manufacturer warranty cover the use of this product in a commercial environment?</t>
        </is>
      </c>
      <c r="EZ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FA5" s="35" t="inlineStr">
        <is>
          <t>Please indicate if there is a warranty on this product if it were to be used in a residential setting.</t>
        </is>
      </c>
      <c r="FB5" s="35" t="inlineStr">
        <is>
          <t>Please indicate if the warranty is Full or Limited.</t>
        </is>
      </c>
      <c r="FC5" s="35"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Please choose one or more from the following, using a semicolon (;) to separate each value: Blue; Black; Brown; Red; Beige; Yellow; Pink; Purple; Gold; White; Ivory; Tan; Teal; Navy; Orange; Silver; Gray; Green; Cream; Clear</t>
        </is>
      </c>
      <c r="BQ6" s="36" t="inlineStr">
        <is>
          <t>Select</t>
        </is>
      </c>
      <c r="BR6" s="36" t="inlineStr">
        <is>
          <t>Please choose one or more from the following, using a semicolon (;) to separate each value: Wicker / Rattan; Stainless Steel; Raffia; Solid + Manufactured Wood; Iron; Cane; Aluminum; Manufactured Wood; Nickel; Brass; Copper; Metal; Solid Wood; Unavailable</t>
        </is>
      </c>
      <c r="BS6" s="35" t="inlineStr">
        <is>
          <t>Yes or No</t>
        </is>
      </c>
      <c r="BT6" s="35" t="inlineStr">
        <is>
          <t>Yes or No</t>
        </is>
      </c>
      <c r="BU6" s="36" t="inlineStr">
        <is>
          <t>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t>
        </is>
      </c>
      <c r="BV6" s="36" t="inlineStr">
        <is>
          <t>Select</t>
        </is>
      </c>
      <c r="BW6" s="35" t="inlineStr">
        <is>
          <t>Yes or No</t>
        </is>
      </c>
      <c r="BX6" s="36" t="inlineStr">
        <is>
          <t>Please choose one or more from the following, using a semicolon (;) to separate each value: Manufactured Wood; Wood; Metal; Solid Wood; Solid + Manufactured Wood; Plywood; Bamboo; Unavailable; Does Not Apply</t>
        </is>
      </c>
      <c r="BY6" s="35" t="inlineStr">
        <is>
          <t>Yes or No</t>
        </is>
      </c>
      <c r="BZ6" s="35" t="inlineStr">
        <is>
          <t>Number</t>
        </is>
      </c>
      <c r="CA6" s="35" t="inlineStr">
        <is>
          <t>Yes or No</t>
        </is>
      </c>
      <c r="CB6" s="36" t="inlineStr">
        <is>
          <t>Please choose one or more from the following, using a semicolon (;) to separate each value: Cabinet; Footboard Storage; No Storage Included; Shelves; Drawers; Lift Up Storage; Unavailable; Does Not Apply</t>
        </is>
      </c>
      <c r="CC6" s="35" t="inlineStr">
        <is>
          <t>Yes or No</t>
        </is>
      </c>
      <c r="CD6" s="35" t="inlineStr">
        <is>
          <t>Yes or No</t>
        </is>
      </c>
      <c r="CE6" s="35" t="inlineStr">
        <is>
          <t>Yes or No</t>
        </is>
      </c>
      <c r="CF6" s="36" t="inlineStr">
        <is>
          <t>Please choose one or more from the following, using a semicolon (;) to separate each value: No Natural Variation; Natural Wood Grain Color Variation; Weathered Steel; Wood Knots; Natural Stone Color Variation; Unavailable</t>
        </is>
      </c>
      <c r="CG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H6" s="36" t="inlineStr">
        <is>
          <t>Please choose one or more from the following, using a semicolon (;) to separate each value: Non Residential Use; Residential Use</t>
        </is>
      </c>
      <c r="CI6" s="36" t="inlineStr">
        <is>
          <t>Please choose one or more from the following, using a semicolon (;) to separate each value: Made in USA; Made in USA of Imported Materials; Product of Canada; Made In Canada; Does Not Apply</t>
        </is>
      </c>
      <c r="CJ6" s="36" t="inlineStr">
        <is>
          <t>Select</t>
        </is>
      </c>
      <c r="CK6" s="35" t="inlineStr">
        <is>
          <t>Yes or No</t>
        </is>
      </c>
      <c r="CL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M6" s="36" t="inlineStr">
        <is>
          <t>Please choose one or more from the following, using a semicolon (;) to separate each value: Striped; Plaid; Chevron; Damask; Paisley; Geometric; Abstract; Gingham; Animal Print; Camouflage; Polka Dots; Ikat; Houndstooth; Toile; Patchwork; Ombre; Checkered; Floral; Argyle; Solid Color; No Pattern; Trellis; Dots; Starburst; Geometric Shapes; Marble; Brick; Irish Chain; Wood &amp; Shiplap; Chevron / Zig Zag; Clear; Stone; Drunkard's Path; Moroccan; Oriental; Block Print; Arc; Vintage Look; Does Not Apply</t>
        </is>
      </c>
      <c r="CN6" s="35" t="inlineStr">
        <is>
          <t>Yes or No</t>
        </is>
      </c>
      <c r="CO6" s="36" t="inlineStr">
        <is>
          <t>Select</t>
        </is>
      </c>
      <c r="CP6" s="36" t="inlineStr">
        <is>
          <t>Select</t>
        </is>
      </c>
      <c r="CQ6" s="36" t="inlineStr">
        <is>
          <t>Select</t>
        </is>
      </c>
      <c r="CR6" s="36" t="inlineStr">
        <is>
          <t>Select</t>
        </is>
      </c>
      <c r="CS6" s="36" t="inlineStr">
        <is>
          <t>Select</t>
        </is>
      </c>
      <c r="CT6" s="36" t="inlineStr">
        <is>
          <t>Select</t>
        </is>
      </c>
      <c r="CU6" s="36" t="inlineStr">
        <is>
          <t>Select</t>
        </is>
      </c>
      <c r="CV6" s="35" t="inlineStr">
        <is>
          <t>Yes or No</t>
        </is>
      </c>
      <c r="CW6" s="35" t="inlineStr">
        <is>
          <t>Yes or No</t>
        </is>
      </c>
      <c r="CX6" s="35" t="inlineStr">
        <is>
          <t>Yes or No</t>
        </is>
      </c>
      <c r="CY6" s="35" t="inlineStr">
        <is>
          <t>Yes or No</t>
        </is>
      </c>
      <c r="CZ6" s="36" t="inlineStr">
        <is>
          <t>Select</t>
        </is>
      </c>
      <c r="DA6" s="35" t="inlineStr">
        <is>
          <t>Yes or No</t>
        </is>
      </c>
      <c r="DB6" s="36" t="inlineStr">
        <is>
          <t>Select</t>
        </is>
      </c>
      <c r="DC6" s="36" t="inlineStr">
        <is>
          <t>Select</t>
        </is>
      </c>
      <c r="DD6" s="36" t="inlineStr">
        <is>
          <t>Select</t>
        </is>
      </c>
      <c r="DE6" s="36" t="inlineStr">
        <is>
          <t>Please choose one or more from the following, using a semicolon (;) to separate each value: Built In Outlet (AC); Built in USB-C Port; LED Lighting Included; Lighting Included; Built In Speaker; Reclining Headboard Function; Built In USB Port; Adjustable Lighting; Unavailable; Does Not Apply</t>
        </is>
      </c>
      <c r="DF6" s="35" t="inlineStr">
        <is>
          <t>Yes or No</t>
        </is>
      </c>
      <c r="DG6" s="35" t="inlineStr">
        <is>
          <t>Yes or No</t>
        </is>
      </c>
      <c r="DH6" s="36" t="inlineStr">
        <is>
          <t>Please choose one or more from the following, using a semicolon (;) to separate each value: Box Spring; Drawers; Footboard; Headboard; Mattress; Trundle Bed; Center Support Legs; Slat Kit; Unavailable; Does Not Apply</t>
        </is>
      </c>
      <c r="DI6" s="35" t="inlineStr">
        <is>
          <t>Whole Number</t>
        </is>
      </c>
      <c r="DJ6" s="36" t="inlineStr">
        <is>
          <t>Please choose one or more from the following, using a semicolon (;) to separate each value: InsideOut®; Sustain®; Sunbrella®; Revolution Performance Fabric®; Livesmart®; Perennials®; Outdura; Crypton®; Suncrylic; Richloom Fortress® Home Performance; Eco Ease® Performance Fabric; Unavailable; Does Not Apply</t>
        </is>
      </c>
      <c r="DK6" s="35" t="inlineStr">
        <is>
          <t>Yes or No</t>
        </is>
      </c>
      <c r="DL6" s="35" t="inlineStr">
        <is>
          <t>Yes or No</t>
        </is>
      </c>
      <c r="DM6" s="36" t="inlineStr">
        <is>
          <t>Select</t>
        </is>
      </c>
      <c r="DN6" s="36" t="inlineStr">
        <is>
          <t>Select</t>
        </is>
      </c>
      <c r="DO6" s="36" t="inlineStr">
        <is>
          <t>Select</t>
        </is>
      </c>
      <c r="DP6" s="36" t="inlineStr">
        <is>
          <t>Select</t>
        </is>
      </c>
      <c r="DQ6" s="36" t="inlineStr">
        <is>
          <t>Select</t>
        </is>
      </c>
      <c r="DR6" s="36" t="inlineStr">
        <is>
          <t>Select</t>
        </is>
      </c>
      <c r="DS6" s="36" t="inlineStr">
        <is>
          <t>Select</t>
        </is>
      </c>
      <c r="DT6" s="35" t="inlineStr">
        <is>
          <t>Yes or No</t>
        </is>
      </c>
      <c r="DU6" s="36" t="inlineStr">
        <is>
          <t>Please choose one or more from the following, using a semicolon (;) to separate each value: Dual Language; Distribution Conflict; Logistics; Does Not Apply</t>
        </is>
      </c>
      <c r="DV6" s="36" t="inlineStr">
        <is>
          <t>Select</t>
        </is>
      </c>
      <c r="DW6" s="36" t="inlineStr">
        <is>
          <t>Select</t>
        </is>
      </c>
      <c r="DX6" s="35" t="inlineStr">
        <is>
          <t>Yes or No</t>
        </is>
      </c>
      <c r="DY6" s="36" t="inlineStr">
        <is>
          <t>Select</t>
        </is>
      </c>
      <c r="DZ6" s="36" t="inlineStr">
        <is>
          <t>Select</t>
        </is>
      </c>
      <c r="EA6" s="35" t="inlineStr">
        <is>
          <t>Yes or No</t>
        </is>
      </c>
      <c r="EB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EC6" s="36" t="inlineStr">
        <is>
          <t>Select</t>
        </is>
      </c>
      <c r="ED6" s="36" t="inlineStr">
        <is>
          <t>Select</t>
        </is>
      </c>
      <c r="EE6" s="36" t="inlineStr">
        <is>
          <t>Select</t>
        </is>
      </c>
      <c r="EF6" s="36" t="inlineStr">
        <is>
          <t>Select</t>
        </is>
      </c>
      <c r="EG6" s="36" t="inlineStr">
        <is>
          <t>Select</t>
        </is>
      </c>
      <c r="EH6" s="36" t="inlineStr">
        <is>
          <t>Select</t>
        </is>
      </c>
      <c r="EI6" s="36" t="inlineStr">
        <is>
          <t>Select</t>
        </is>
      </c>
      <c r="EJ6" s="36" t="inlineStr">
        <is>
          <t>Select</t>
        </is>
      </c>
      <c r="EK6" s="36" t="inlineStr">
        <is>
          <t>Select</t>
        </is>
      </c>
      <c r="EL6" s="35" t="inlineStr">
        <is>
          <t>Yes or No</t>
        </is>
      </c>
      <c r="EM6" s="36" t="inlineStr">
        <is>
          <t>Select</t>
        </is>
      </c>
      <c r="EN6" s="35" t="inlineStr">
        <is>
          <t>Number</t>
        </is>
      </c>
      <c r="EO6" s="35" t="inlineStr">
        <is>
          <t>Number</t>
        </is>
      </c>
      <c r="EP6" s="35" t="inlineStr">
        <is>
          <t>Number</t>
        </is>
      </c>
      <c r="EQ6" s="35" t="inlineStr">
        <is>
          <t>Number</t>
        </is>
      </c>
      <c r="ER6" s="35" t="inlineStr">
        <is>
          <t>Number</t>
        </is>
      </c>
      <c r="ES6" s="35" t="inlineStr">
        <is>
          <t>Number</t>
        </is>
      </c>
      <c r="ET6" s="35" t="inlineStr">
        <is>
          <t>Number</t>
        </is>
      </c>
      <c r="EU6" s="35" t="inlineStr">
        <is>
          <t>Number</t>
        </is>
      </c>
      <c r="EV6" s="35" t="inlineStr">
        <is>
          <t>Yes or No</t>
        </is>
      </c>
      <c r="EW6" s="36" t="inlineStr">
        <is>
          <t>Select</t>
        </is>
      </c>
      <c r="EX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Y6" s="35" t="inlineStr">
        <is>
          <t>Yes or No</t>
        </is>
      </c>
      <c r="EZ6" s="36" t="inlineStr">
        <is>
          <t>Select</t>
        </is>
      </c>
      <c r="FA6" s="35" t="inlineStr">
        <is>
          <t>Yes or No</t>
        </is>
      </c>
      <c r="FB6" s="36" t="inlineStr">
        <is>
          <t>Select</t>
        </is>
      </c>
      <c r="FC6" s="36"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c r="DZ7" s="38" t="n"/>
      <c r="EA7" s="38" t="n"/>
      <c r="EB7" s="38" t="n"/>
      <c r="EC7" s="38" t="n"/>
      <c r="ED7" s="38" t="n"/>
      <c r="EE7" s="38" t="n"/>
      <c r="EF7" s="38" t="n"/>
      <c r="EG7" s="38" t="n"/>
      <c r="EH7" s="38" t="n"/>
      <c r="EI7" s="38" t="n"/>
      <c r="EJ7" s="38" t="n"/>
      <c r="EK7" s="38" t="n"/>
      <c r="EL7" s="38" t="n"/>
      <c r="EM7" s="38" t="n"/>
      <c r="EN7" s="38" t="n"/>
      <c r="EO7" s="38" t="n"/>
      <c r="EP7" s="38" t="n"/>
      <c r="EQ7" s="38" t="n"/>
      <c r="ER7" s="38" t="n"/>
      <c r="ES7" s="38" t="n"/>
      <c r="ET7" s="38" t="n"/>
      <c r="EU7" s="38" t="n"/>
      <c r="EV7" s="38" t="n"/>
      <c r="EW7" s="38" t="n"/>
      <c r="EX7" s="38" t="n"/>
      <c r="EY7" s="38" t="n"/>
      <c r="EZ7" s="38" t="n"/>
      <c r="FA7" s="38" t="n"/>
      <c r="FB7" s="38" t="n"/>
      <c r="FC7" s="38" t="n"/>
    </row>
    <row r="8">
      <c r="A8">
        <f t="array" ref="A8">_xlfn.BYROW(B8:FD507, _xlfn.LAMBDA(_xlpm.r, _xlfn.LET(_xlpm.high_priority_idx, IFERROR(MATCH(TRUE, (_xlpm.r = "Error") + (_xlpm.r = "Required") &gt; 0, 0), 0), IF(_xlpm.high_priority_idx &gt; 0, _xlpm.high_priority_idx + 1, IFERROR(MATCH(1, (_xlpm.r = "Warning") * 1, 0) + 1, "")))))</f>
        <v/>
      </c>
      <c r="B8" s="22">
        <f t="array" ref="B8">_xlfn.MAP('12 - Beds'!B8:B507, '12 - Beds'!B8:B507, '12 - Beds-WUO_ERR'!B8:B507, _xlfn.LAMBDA(_xlpm.part, _xlpm.val, _xlpm.error, IF(_xlpm.part = "", "", IF(LEN(_xlpm.error), _xlfn.SWITCH(IFERROR(_xlfn.TEXTBEFORE(_xlpm.error,":"), ""), "1", "Error", "2", "Disabled", "3", "Required", "4", "Warning", "Valid"), "Valid"))))</f>
        <v/>
      </c>
      <c r="C8" s="22">
        <f t="array" ref="C8">_xlfn.MAP('12 - Beds'!B8:B507, '12 - Beds'!C8:C507, '12 - Beds-WUO_ERR'!C8:C507, _xlfn.LAMBDA(_xlpm.part, _xlpm.val, _xlpm.error, IF(_xlpm.part = "", "", IF(LEN(_xlpm.error), _xlfn.SWITCH(IFERROR(_xlfn.TEXTBEFORE(_xlpm.error,":"), ""), "1", "Error", "2", "Disabled", "3", "Required", "4", "Warning", "Valid"), "Valid"))))</f>
        <v/>
      </c>
      <c r="D8" s="22">
        <f t="array" ref="D8">_xlfn.MAP('12 - Beds'!B8:B507, '12 - Beds'!D8:D507, '12 - Beds-WUO_ERR'!D8:D507, _xlfn.LAMBDA(_xlpm.part, _xlpm.val, _xlpm.error, IF(_xlpm.part = "", "", IF(LEN(_xlpm.error), _xlfn.SWITCH(IFERROR(_xlfn.TEXTBEFORE(_xlpm.error,":"), ""), "1", "Error", "2", "Disabled", "3", "Required", "4", "Warning", "Valid"), "Valid"))))</f>
        <v/>
      </c>
      <c r="E8" s="22">
        <f t="array" ref="E8">_xlfn.MAP('12 - Beds'!B8:B507, '12 - Beds'!E8:E507, '12 - Beds-WUO_ERR'!E8:E507, _xlfn.LAMBDA(_xlpm.part, _xlpm.val, _xlpm.error, IF(_xlpm.part = "", "", IF(LEN(_xlpm.error), _xlfn.SWITCH(IFERROR(_xlfn.TEXTBEFORE(_xlpm.error,":"), ""), "1", "Error", "2", "Disabled", "3", "Required", "4", "Warning", "Valid"), "Valid"))))</f>
        <v/>
      </c>
      <c r="F8" s="22">
        <f t="array" ref="F8">_xlfn.MAP('12 - Beds'!B8:B507, '12 - Beds'!F8:F507, '12 - Beds-WUO_ERR'!F8:F507, _xlfn.LAMBDA(_xlpm.part, _xlpm.val, _xlpm.error, IF(_xlpm.part = "", "", IF(LEN(_xlpm.error), _xlfn.SWITCH(IFERROR(_xlfn.TEXTBEFORE(_xlpm.error,":"), ""), "1", "Error", "2", "Disabled", "3", "Required", "4", "Warning", "Valid"), "Valid"))))</f>
        <v/>
      </c>
      <c r="G8" s="22">
        <f t="array" ref="G8">_xlfn.MAP('12 - Beds'!B8:B507, '12 - Beds'!G8:G507, '12 - Beds-WUO_ERR'!G8:G507, _xlfn.LAMBDA(_xlpm.part, _xlpm.val, _xlpm.error, IF(_xlpm.part = "", "", IF(LEN(_xlpm.error), _xlfn.SWITCH(IFERROR(_xlfn.TEXTBEFORE(_xlpm.error,":"), ""), "1", "Error", "2", "Disabled", "3", "Required", "4", "Warning", "Valid"), "Valid"))))</f>
        <v/>
      </c>
      <c r="H8" s="22">
        <f t="array" ref="H8">_xlfn.MAP('12 - Beds'!B8:B507, '12 - Beds'!H8:H507, '12 - Beds-WUO_ERR'!H8:H507, _xlfn.LAMBDA(_xlpm.part, _xlpm.val, _xlpm.error, IF(_xlpm.part = "", "", IF(LEN(_xlpm.error), _xlfn.SWITCH(IFERROR(_xlfn.TEXTBEFORE(_xlpm.error,":"), ""), "1", "Error", "2", "Disabled", "3", "Required", "4", "Warning", "Valid"), "Valid"))))</f>
        <v/>
      </c>
      <c r="I8" s="22">
        <f t="array" ref="I8">_xlfn.MAP('12 - Beds'!B8:B507, '12 - Beds'!I8:I507, '12 - Beds-WUO_ERR'!I8:I507, _xlfn.LAMBDA(_xlpm.part, _xlpm.val, _xlpm.error, IF(_xlpm.part = "", "", IF(LEN(_xlpm.error), _xlfn.SWITCH(IFERROR(_xlfn.TEXTBEFORE(_xlpm.error,":"), ""), "1", "Error", "2", "Disabled", "3", "Required", "4", "Warning", "Valid"), "Valid"))))</f>
        <v/>
      </c>
      <c r="J8" s="22">
        <f t="array" ref="J8">_xlfn.MAP('12 - Beds'!B8:B507, '12 - Beds'!J8:J507, '12 - Beds-WUO_ERR'!J8:J507, _xlfn.LAMBDA(_xlpm.part, _xlpm.val, _xlpm.error, IF(_xlpm.part = "", "", IF(LEN(_xlpm.error), _xlfn.SWITCH(IFERROR(_xlfn.TEXTBEFORE(_xlpm.error,":"), ""), "1", "Error", "2", "Disabled", "3", "Required", "4", "Warning", "Valid"), "Valid"))))</f>
        <v/>
      </c>
      <c r="K8" s="22">
        <f t="array" ref="K8">_xlfn.MAP('12 - Beds'!B8:B507, '12 - Beds'!K8:K507, '12 - Beds-WUO_ERR'!K8:K507, _xlfn.LAMBDA(_xlpm.part, _xlpm.val, _xlpm.error, IF(_xlpm.part = "", "", IF(LEN(_xlpm.error), _xlfn.SWITCH(IFERROR(_xlfn.TEXTBEFORE(_xlpm.error,":"), ""), "1", "Error", "2", "Disabled", "3", "Required", "4", "Warning", "Valid"), "Valid"))))</f>
        <v/>
      </c>
      <c r="L8" s="22">
        <f t="array" ref="L8">_xlfn.MAP('12 - Beds'!B8:B507, '12 - Beds'!L8:L507, '12 - Beds-WUO_ERR'!L8:L507, _xlfn.LAMBDA(_xlpm.part, _xlpm.val, _xlpm.error, IF(_xlpm.part = "", "", IF(LEN(_xlpm.error), _xlfn.SWITCH(IFERROR(_xlfn.TEXTBEFORE(_xlpm.error,":"), ""), "1", "Error", "2", "Disabled", "3", "Required", "4", "Warning", "Valid"), "Valid"))))</f>
        <v/>
      </c>
      <c r="M8" s="22">
        <f t="array" ref="M8">_xlfn.MAP('12 - Beds'!B8:B507, '12 - Beds'!M8:M507, '12 - Beds-WUO_ERR'!M8:M507, _xlfn.LAMBDA(_xlpm.part, _xlpm.val, _xlpm.error, IF(_xlpm.part = "", "", IF(LEN(_xlpm.error), _xlfn.SWITCH(IFERROR(_xlfn.TEXTBEFORE(_xlpm.error,":"), ""), "1", "Error", "2", "Disabled", "3", "Required", "4", "Warning", "Valid"), "Valid"))))</f>
        <v/>
      </c>
      <c r="N8" s="22">
        <f t="array" ref="N8">_xlfn.MAP('12 - Beds'!B8:B507, '12 - Beds'!N8:N507, '12 - Beds-WUO_ERR'!N8:N507, _xlfn.LAMBDA(_xlpm.part, _xlpm.val, _xlpm.error, IF(_xlpm.part = "", "", IF(LEN(_xlpm.error), _xlfn.SWITCH(IFERROR(_xlfn.TEXTBEFORE(_xlpm.error,":"), ""), "1", "Error", "2", "Disabled", "3", "Required", "4", "Warning", "Valid"), "Valid"))))</f>
        <v/>
      </c>
      <c r="O8" s="22">
        <f t="array" ref="O8">_xlfn.MAP('12 - Beds'!B8:B507, '12 - Beds'!O8:O507, '12 - Beds-WUO_ERR'!O8:O507, _xlfn.LAMBDA(_xlpm.part, _xlpm.val, _xlpm.error, IF(_xlpm.part = "", "", IF(LEN(_xlpm.error), _xlfn.SWITCH(IFERROR(_xlfn.TEXTBEFORE(_xlpm.error,":"), ""), "1", "Error", "2", "Disabled", "3", "Required", "4", "Warning", "Valid"), "Valid"))))</f>
        <v/>
      </c>
      <c r="P8" s="22">
        <f t="array" ref="P8">_xlfn.MAP('12 - Beds'!B8:B507, '12 - Beds'!P8:P507, '12 - Beds-WUO_ERR'!P8:P507, _xlfn.LAMBDA(_xlpm.part, _xlpm.val, _xlpm.error, IF(_xlpm.part = "", "", IF(LEN(_xlpm.error), _xlfn.SWITCH(IFERROR(_xlfn.TEXTBEFORE(_xlpm.error,":"), ""), "1", "Error", "2", "Disabled", "3", "Required", "4", "Warning", "Valid"), "Valid"))))</f>
        <v/>
      </c>
      <c r="Q8" s="22">
        <f t="array" ref="Q8">_xlfn.MAP('12 - Beds'!B8:B507, '12 - Beds'!Q8:Q507, '12 - Beds-WUO_ERR'!Q8:Q507, _xlfn.LAMBDA(_xlpm.part, _xlpm.val, _xlpm.error, IF(_xlpm.part = "", "", IF(LEN(_xlpm.error), _xlfn.SWITCH(IFERROR(_xlfn.TEXTBEFORE(_xlpm.error,":"), ""), "1", "Error", "2", "Disabled", "3", "Required", "4", "Warning", "Valid"), "Valid"))))</f>
        <v/>
      </c>
      <c r="R8" s="22">
        <f t="array" ref="R8">_xlfn.MAP('12 - Beds'!B8:B507, '12 - Beds'!R8:R507, '12 - Beds-WUO_ERR'!R8:R507, _xlfn.LAMBDA(_xlpm.part, _xlpm.val, _xlpm.error, IF(_xlpm.part = "", "", IF(LEN(_xlpm.error), _xlfn.SWITCH(IFERROR(_xlfn.TEXTBEFORE(_xlpm.error,":"), ""), "1", "Error", "2", "Disabled", "3", "Required", "4", "Warning", "Valid"), "Valid"))))</f>
        <v/>
      </c>
      <c r="S8" s="22">
        <f t="array" ref="S8">_xlfn.MAP('12 - Beds'!B8:B507, '12 - Beds'!S8:S507, '12 - Beds-WUO_ERR'!S8:S507, _xlfn.LAMBDA(_xlpm.part, _xlpm.val, _xlpm.error, IF(_xlpm.part = "", "", IF(LEN(_xlpm.error), _xlfn.SWITCH(IFERROR(_xlfn.TEXTBEFORE(_xlpm.error,":"), ""), "1", "Error", "2", "Disabled", "3", "Required", "4", "Warning", "Valid"), "Valid"))))</f>
        <v/>
      </c>
      <c r="T8" s="22">
        <f t="array" ref="T8">_xlfn.MAP('12 - Beds'!B8:B507, '12 - Beds'!T8:T507, '12 - Beds-WUO_ERR'!T8:T507, _xlfn.LAMBDA(_xlpm.part, _xlpm.val, _xlpm.error, IF(_xlpm.part = "", "", IF(LEN(_xlpm.error), _xlfn.SWITCH(IFERROR(_xlfn.TEXTBEFORE(_xlpm.error,":"), ""), "1", "Error", "2", "Disabled", "3", "Required", "4", "Warning", "Valid"), "Valid"))))</f>
        <v/>
      </c>
      <c r="U8" s="22">
        <f t="array" ref="U8">_xlfn.MAP('12 - Beds'!B8:B507, '12 - Beds'!U8:U507, '12 - Beds-WUO_ERR'!U8:U507, _xlfn.LAMBDA(_xlpm.part, _xlpm.val, _xlpm.error, IF(_xlpm.part = "", "", IF(LEN(_xlpm.error), _xlfn.SWITCH(IFERROR(_xlfn.TEXTBEFORE(_xlpm.error,":"), ""), "1", "Error", "2", "Disabled", "3", "Required", "4", "Warning", "Valid"), "Valid"))))</f>
        <v/>
      </c>
      <c r="V8" s="22">
        <f t="array" ref="V8">_xlfn.MAP('12 - Beds'!B8:B507, '12 - Beds'!V8:V507, '12 - Beds-WUO_ERR'!V8:V507, _xlfn.LAMBDA(_xlpm.part, _xlpm.val, _xlpm.error, IF(_xlpm.part = "", "", IF(LEN(_xlpm.error), _xlfn.SWITCH(IFERROR(_xlfn.TEXTBEFORE(_xlpm.error,":"), ""), "1", "Error", "2", "Disabled", "3", "Required", "4", "Warning", "Valid"), "Valid"))))</f>
        <v/>
      </c>
      <c r="W8" s="22">
        <f t="array" ref="W8">_xlfn.MAP('12 - Beds'!B8:B507, '12 - Beds'!W8:W507, '12 - Beds-WUO_ERR'!W8:W507, _xlfn.LAMBDA(_xlpm.part, _xlpm.val, _xlpm.error, IF(_xlpm.part = "", "", IF(LEN(_xlpm.error), _xlfn.SWITCH(IFERROR(_xlfn.TEXTBEFORE(_xlpm.error,":"), ""), "1", "Error", "2", "Disabled", "3", "Required", "4", "Warning", "Valid"), "Valid"))))</f>
        <v/>
      </c>
      <c r="X8" s="22">
        <f t="array" ref="X8">_xlfn.MAP('12 - Beds'!B8:B507, '12 - Beds'!X8:X507, '12 - Beds-WUO_ERR'!X8:X507, _xlfn.LAMBDA(_xlpm.part, _xlpm.val, _xlpm.error, IF(_xlpm.part = "", "", IF(LEN(_xlpm.error), _xlfn.SWITCH(IFERROR(_xlfn.TEXTBEFORE(_xlpm.error,":"), ""), "1", "Error", "2", "Disabled", "3", "Required", "4", "Warning", "Valid"), "Valid"))))</f>
        <v/>
      </c>
      <c r="Y8" s="22">
        <f t="array" ref="Y8">_xlfn.MAP('12 - Beds'!B8:B507, '12 - Beds'!Y8:Y507, '12 - Beds-WUO_ERR'!Y8:Y507, _xlfn.LAMBDA(_xlpm.part, _xlpm.val, _xlpm.error, IF(_xlpm.part = "", "", IF(LEN(_xlpm.error), _xlfn.SWITCH(IFERROR(_xlfn.TEXTBEFORE(_xlpm.error,":"), ""), "1", "Error", "2", "Disabled", "3", "Required", "4", "Warning", "Valid"), "Valid"))))</f>
        <v/>
      </c>
      <c r="Z8" s="22">
        <f t="array" ref="Z8">_xlfn.MAP('12 - Beds'!B8:B507, '12 - Beds'!Z8:Z507, '12 - Beds-WUO_ERR'!Z8:Z507, _xlfn.LAMBDA(_xlpm.part, _xlpm.val, _xlpm.error, IF(_xlpm.part = "", "", IF(LEN(_xlpm.error), _xlfn.SWITCH(IFERROR(_xlfn.TEXTBEFORE(_xlpm.error,":"), ""), "1", "Error", "2", "Disabled", "3", "Required", "4", "Warning", "Valid"), "Valid"))))</f>
        <v/>
      </c>
      <c r="AA8" s="22">
        <f t="array" ref="AA8">_xlfn.MAP('12 - Beds'!B8:B507, '12 - Beds'!AA8:AA507, '12 - Beds-WUO_ERR'!AA8:AA507, _xlfn.LAMBDA(_xlpm.part, _xlpm.val, _xlpm.error, IF(_xlpm.part = "", "", IF(LEN(_xlpm.error), _xlfn.SWITCH(IFERROR(_xlfn.TEXTBEFORE(_xlpm.error,":"), ""), "1", "Error", "2", "Disabled", "3", "Required", "4", "Warning", "Valid"), "Valid"))))</f>
        <v/>
      </c>
      <c r="AB8" s="22">
        <f t="array" ref="AB8">_xlfn.MAP('12 - Beds'!B8:B507, '12 - Beds'!AB8:AB507, '12 - Beds-WUO_ERR'!AB8:AB507, _xlfn.LAMBDA(_xlpm.part, _xlpm.val, _xlpm.error, IF(_xlpm.part = "", "", IF(LEN(_xlpm.error), _xlfn.SWITCH(IFERROR(_xlfn.TEXTBEFORE(_xlpm.error,":"), ""), "1", "Error", "2", "Disabled", "3", "Required", "4", "Warning", "Valid"), "Valid"))))</f>
        <v/>
      </c>
      <c r="AC8" s="22">
        <f t="array" ref="AC8">_xlfn.MAP('12 - Beds'!B8:B507, '12 - Beds'!AC8:AC507, '12 - Beds-WUO_ERR'!AC8:AC507, _xlfn.LAMBDA(_xlpm.part, _xlpm.val, _xlpm.error, IF(_xlpm.part = "", "", IF(LEN(_xlpm.error), _xlfn.SWITCH(IFERROR(_xlfn.TEXTBEFORE(_xlpm.error,":"), ""), "1", "Error", "2", "Disabled", "3", "Required", "4", "Warning", "Valid"), "Valid"))))</f>
        <v/>
      </c>
      <c r="AD8" s="22">
        <f t="array" ref="AD8">_xlfn.MAP('12 - Beds'!B8:B507, '12 - Beds'!AD8:AD507, '12 - Beds-WUO_ERR'!AD8:AD507, _xlfn.LAMBDA(_xlpm.part, _xlpm.val, _xlpm.error, IF(_xlpm.part = "", "", IF(LEN(_xlpm.error), _xlfn.SWITCH(IFERROR(_xlfn.TEXTBEFORE(_xlpm.error,":"), ""), "1", "Error", "2", "Disabled", "3", "Required", "4", "Warning", "Valid"), "Valid"))))</f>
        <v/>
      </c>
      <c r="AE8" s="22">
        <f t="array" ref="AE8">_xlfn.MAP('12 - Beds'!B8:B507, '12 - Beds'!AE8:AE507, '12 - Beds-WUO_ERR'!AE8:AE507, _xlfn.LAMBDA(_xlpm.part, _xlpm.val, _xlpm.error, IF(_xlpm.part = "", "", IF(LEN(_xlpm.error), _xlfn.SWITCH(IFERROR(_xlfn.TEXTBEFORE(_xlpm.error,":"), ""), "1", "Error", "2", "Disabled", "3", "Required", "4", "Warning", "Valid"), "Valid"))))</f>
        <v/>
      </c>
      <c r="AF8" s="22">
        <f t="array" ref="AF8">_xlfn.MAP('12 - Beds'!B8:B507, '12 - Beds'!AF8:AF507, '12 - Beds-WUO_ERR'!AF8:AF507, _xlfn.LAMBDA(_xlpm.part, _xlpm.val, _xlpm.error, IF(_xlpm.part = "", "", IF(LEN(_xlpm.error), _xlfn.SWITCH(IFERROR(_xlfn.TEXTBEFORE(_xlpm.error,":"), ""), "1", "Error", "2", "Disabled", "3", "Required", "4", "Warning", "Valid"), "Valid"))))</f>
        <v/>
      </c>
      <c r="AG8" s="22">
        <f t="array" ref="AG8">_xlfn.MAP('12 - Beds'!B8:B507, '12 - Beds'!AG8:AG507, '12 - Beds-WUO_ERR'!AG8:AG507, _xlfn.LAMBDA(_xlpm.part, _xlpm.val, _xlpm.error, IF(_xlpm.part = "", "", IF(LEN(_xlpm.error), _xlfn.SWITCH(IFERROR(_xlfn.TEXTBEFORE(_xlpm.error,":"), ""), "1", "Error", "2", "Disabled", "3", "Required", "4", "Warning", "Valid"), "Valid"))))</f>
        <v/>
      </c>
      <c r="AH8" s="22">
        <f t="array" ref="AH8">_xlfn.MAP('12 - Beds'!B8:B507, '12 - Beds'!AH8:AH507, '12 - Beds-WUO_ERR'!AH8:AH507, _xlfn.LAMBDA(_xlpm.part, _xlpm.val, _xlpm.error, IF(_xlpm.part = "", "", IF(LEN(_xlpm.error), _xlfn.SWITCH(IFERROR(_xlfn.TEXTBEFORE(_xlpm.error,":"), ""), "1", "Error", "2", "Disabled", "3", "Required", "4", "Warning", "Valid"), "Valid"))))</f>
        <v/>
      </c>
      <c r="AI8" s="22">
        <f t="array" ref="AI8">_xlfn.MAP('12 - Beds'!B8:B507, '12 - Beds'!AI8:AI507, '12 - Beds-WUO_ERR'!AI8:AI507, _xlfn.LAMBDA(_xlpm.part, _xlpm.val, _xlpm.error, IF(_xlpm.part = "", "", IF(LEN(_xlpm.error), _xlfn.SWITCH(IFERROR(_xlfn.TEXTBEFORE(_xlpm.error,":"), ""), "1", "Error", "2", "Disabled", "3", "Required", "4", "Warning", "Valid"), "Valid"))))</f>
        <v/>
      </c>
      <c r="AJ8" s="22">
        <f t="array" ref="AJ8">_xlfn.MAP('12 - Beds'!B8:B507, '12 - Beds'!AJ8:AJ507, '12 - Beds-WUO_ERR'!AJ8:AJ507, _xlfn.LAMBDA(_xlpm.part, _xlpm.val, _xlpm.error, IF(_xlpm.part = "", "", IF(LEN(_xlpm.error), _xlfn.SWITCH(IFERROR(_xlfn.TEXTBEFORE(_xlpm.error,":"), ""), "1", "Error", "2", "Disabled", "3", "Required", "4", "Warning", "Valid"), "Valid"))))</f>
        <v/>
      </c>
      <c r="AK8" s="22">
        <f t="array" ref="AK8">_xlfn.MAP('12 - Beds'!B8:B507, '12 - Beds'!AK8:AK507, '12 - Beds-WUO_ERR'!AK8:AK507, _xlfn.LAMBDA(_xlpm.part, _xlpm.val, _xlpm.error, IF(_xlpm.part = "", "", IF(LEN(_xlpm.error), _xlfn.SWITCH(IFERROR(_xlfn.TEXTBEFORE(_xlpm.error,":"), ""), "1", "Error", "2", "Disabled", "3", "Required", "4", "Warning", "Valid"), "Valid"))))</f>
        <v/>
      </c>
      <c r="AL8" s="22">
        <f t="array" ref="AL8">_xlfn.MAP('12 - Beds'!B8:B507, '12 - Beds'!AL8:AL507, '12 - Beds-WUO_ERR'!AL8:AL507, _xlfn.LAMBDA(_xlpm.part, _xlpm.val, _xlpm.error, IF(_xlpm.part = "", "", IF(LEN(_xlpm.error), _xlfn.SWITCH(IFERROR(_xlfn.TEXTBEFORE(_xlpm.error,":"), ""), "1", "Error", "2", "Disabled", "3", "Required", "4", "Warning", "Valid"), "Valid"))))</f>
        <v/>
      </c>
      <c r="AM8" s="22">
        <f t="array" ref="AM8">_xlfn.MAP('12 - Beds'!B8:B507, '12 - Beds'!AM8:AM507, '12 - Beds-WUO_ERR'!AM8:AM507, _xlfn.LAMBDA(_xlpm.part, _xlpm.val, _xlpm.error, IF(_xlpm.part = "", "", IF(LEN(_xlpm.error), _xlfn.SWITCH(IFERROR(_xlfn.TEXTBEFORE(_xlpm.error,":"), ""), "1", "Error", "2", "Disabled", "3", "Required", "4", "Warning", "Valid"), "Valid"))))</f>
        <v/>
      </c>
      <c r="AN8" s="22">
        <f t="array" ref="AN8">_xlfn.MAP('12 - Beds'!B8:B507, '12 - Beds'!AN8:AN507, '12 - Beds-WUO_ERR'!AN8:AN507, _xlfn.LAMBDA(_xlpm.part, _xlpm.val, _xlpm.error, IF(_xlpm.part = "", "", IF(LEN(_xlpm.error), _xlfn.SWITCH(IFERROR(_xlfn.TEXTBEFORE(_xlpm.error,":"), ""), "1", "Error", "2", "Disabled", "3", "Required", "4", "Warning", "Valid"), "Valid"))))</f>
        <v/>
      </c>
      <c r="AO8" s="22">
        <f t="array" ref="AO8">_xlfn.MAP('12 - Beds'!B8:B507, '12 - Beds'!AO8:AO507, '12 - Beds-WUO_ERR'!AO8:AO507, _xlfn.LAMBDA(_xlpm.part, _xlpm.val, _xlpm.error, IF(_xlpm.part = "", "", IF(LEN(_xlpm.error), _xlfn.SWITCH(IFERROR(_xlfn.TEXTBEFORE(_xlpm.error,":"), ""), "1", "Error", "2", "Disabled", "3", "Required", "4", "Warning", "Valid"), "Valid"))))</f>
        <v/>
      </c>
      <c r="AP8" s="22">
        <f t="array" ref="AP8">_xlfn.MAP('12 - Beds'!B8:B507, '12 - Beds'!AP8:AP507, '12 - Beds-WUO_ERR'!AP8:AP507, _xlfn.LAMBDA(_xlpm.part, _xlpm.val, _xlpm.error, IF(_xlpm.part = "", "", IF(LEN(_xlpm.error), _xlfn.SWITCH(IFERROR(_xlfn.TEXTBEFORE(_xlpm.error,":"), ""), "1", "Error", "2", "Disabled", "3", "Required", "4", "Warning", "Valid"), "Valid"))))</f>
        <v/>
      </c>
      <c r="AQ8" s="22">
        <f t="array" ref="AQ8">_xlfn.MAP('12 - Beds'!B8:B507, '12 - Beds'!AQ8:AQ507, '12 - Beds-WUO_ERR'!AQ8:AQ507, _xlfn.LAMBDA(_xlpm.part, _xlpm.val, _xlpm.error, IF(_xlpm.part = "", "", IF(LEN(_xlpm.error), _xlfn.SWITCH(IFERROR(_xlfn.TEXTBEFORE(_xlpm.error,":"), ""), "1", "Error", "2", "Disabled", "3", "Required", "4", "Warning", "Valid"), "Valid"))))</f>
        <v/>
      </c>
      <c r="AR8" s="22">
        <f t="array" ref="AR8">_xlfn.MAP('12 - Beds'!B8:B507, '12 - Beds'!AR8:AR507, '12 - Beds-WUO_ERR'!AR8:AR507, _xlfn.LAMBDA(_xlpm.part, _xlpm.val, _xlpm.error, IF(_xlpm.part = "", "", IF(LEN(_xlpm.error), _xlfn.SWITCH(IFERROR(_xlfn.TEXTBEFORE(_xlpm.error,":"), ""), "1", "Error", "2", "Disabled", "3", "Required", "4", "Warning", "Valid"), "Valid"))))</f>
        <v/>
      </c>
      <c r="AS8" s="22">
        <f t="array" ref="AS8">_xlfn.MAP('12 - Beds'!B8:B507, '12 - Beds'!AS8:AS507, '12 - Beds-WUO_ERR'!AS8:AS507, _xlfn.LAMBDA(_xlpm.part, _xlpm.val, _xlpm.error, IF(_xlpm.part = "", "", IF(LEN(_xlpm.error), _xlfn.SWITCH(IFERROR(_xlfn.TEXTBEFORE(_xlpm.error,":"), ""), "1", "Error", "2", "Disabled", "3", "Required", "4", "Warning", "Valid"), "Valid"))))</f>
        <v/>
      </c>
      <c r="AT8" s="22">
        <f t="array" ref="AT8">_xlfn.MAP('12 - Beds'!B8:B507, '12 - Beds'!AT8:AT507, '12 - Beds-WUO_ERR'!AT8:AT507, _xlfn.LAMBDA(_xlpm.part, _xlpm.val, _xlpm.error, IF(_xlpm.part = "", "", IF(LEN(_xlpm.error), _xlfn.SWITCH(IFERROR(_xlfn.TEXTBEFORE(_xlpm.error,":"), ""), "1", "Error", "2", "Disabled", "3", "Required", "4", "Warning", "Valid"), "Valid"))))</f>
        <v/>
      </c>
      <c r="AU8" s="22">
        <f t="array" ref="AU8">_xlfn.MAP('12 - Beds'!B8:B507, '12 - Beds'!AU8:AU507, '12 - Beds-WUO_ERR'!AU8:AU507, _xlfn.LAMBDA(_xlpm.part, _xlpm.val, _xlpm.error, IF(_xlpm.part = "", "", IF(LEN(_xlpm.error), _xlfn.SWITCH(IFERROR(_xlfn.TEXTBEFORE(_xlpm.error,":"), ""), "1", "Error", "2", "Disabled", "3", "Required", "4", "Warning", "Valid"), "Valid"))))</f>
        <v/>
      </c>
      <c r="AV8" s="22">
        <f t="array" ref="AV8">_xlfn.MAP('12 - Beds'!B8:B507, '12 - Beds'!AV8:AV507, '12 - Beds-WUO_ERR'!AV8:AV507, _xlfn.LAMBDA(_xlpm.part, _xlpm.val, _xlpm.error, IF(_xlpm.part = "", "", IF(LEN(_xlpm.error), _xlfn.SWITCH(IFERROR(_xlfn.TEXTBEFORE(_xlpm.error,":"), ""), "1", "Error", "2", "Disabled", "3", "Required", "4", "Warning", "Valid"), "Valid"))))</f>
        <v/>
      </c>
      <c r="AW8" s="22">
        <f t="array" ref="AW8">_xlfn.MAP('12 - Beds'!B8:B507, '12 - Beds'!AW8:AW507, '12 - Beds-WUO_ERR'!AW8:AW507, _xlfn.LAMBDA(_xlpm.part, _xlpm.val, _xlpm.error, IF(_xlpm.part = "", "", IF(LEN(_xlpm.error), _xlfn.SWITCH(IFERROR(_xlfn.TEXTBEFORE(_xlpm.error,":"), ""), "1", "Error", "2", "Disabled", "3", "Required", "4", "Warning", "Valid"), "Valid"))))</f>
        <v/>
      </c>
      <c r="AX8" s="22">
        <f t="array" ref="AX8">_xlfn.MAP('12 - Beds'!B8:B507, '12 - Beds'!AX8:AX507, '12 - Beds-WUO_ERR'!AX8:AX507, _xlfn.LAMBDA(_xlpm.part, _xlpm.val, _xlpm.error, IF(_xlpm.part = "", "", IF(LEN(_xlpm.error), _xlfn.SWITCH(IFERROR(_xlfn.TEXTBEFORE(_xlpm.error,":"), ""), "1", "Error", "2", "Disabled", "3", "Required", "4", "Warning", "Valid"), "Valid"))))</f>
        <v/>
      </c>
      <c r="AY8" s="22">
        <f t="array" ref="AY8">_xlfn.MAP('12 - Beds'!B8:B507, '12 - Beds'!AY8:AY507, '12 - Beds-WUO_ERR'!AY8:AY507, _xlfn.LAMBDA(_xlpm.part, _xlpm.val, _xlpm.error, IF(_xlpm.part = "", "", IF(LEN(_xlpm.error), _xlfn.SWITCH(IFERROR(_xlfn.TEXTBEFORE(_xlpm.error,":"), ""), "1", "Error", "2", "Disabled", "3", "Required", "4", "Warning", "Valid"), "Valid"))))</f>
        <v/>
      </c>
      <c r="AZ8" s="22">
        <f t="array" ref="AZ8">_xlfn.MAP('12 - Beds'!B8:B507, '12 - Beds'!AZ8:AZ507, '12 - Beds-WUO_ERR'!AZ8:AZ507, _xlfn.LAMBDA(_xlpm.part, _xlpm.val, _xlpm.error, IF(_xlpm.part = "", "", IF(LEN(_xlpm.error), _xlfn.SWITCH(IFERROR(_xlfn.TEXTBEFORE(_xlpm.error,":"), ""), "1", "Error", "2", "Disabled", "3", "Required", "4", "Warning", "Valid"), "Valid"))))</f>
        <v/>
      </c>
      <c r="BA8" s="22">
        <f t="array" ref="BA8">_xlfn.MAP('12 - Beds'!B8:B507, '12 - Beds'!BA8:BA507, '12 - Beds-WUO_ERR'!BA8:BA507, _xlfn.LAMBDA(_xlpm.part, _xlpm.val, _xlpm.error, IF(_xlpm.part = "", "", IF(LEN(_xlpm.error), _xlfn.SWITCH(IFERROR(_xlfn.TEXTBEFORE(_xlpm.error,":"), ""), "1", "Error", "2", "Disabled", "3", "Required", "4", "Warning", "Valid"), "Valid"))))</f>
        <v/>
      </c>
      <c r="BB8" s="22">
        <f t="array" ref="BB8">_xlfn.MAP('12 - Beds'!B8:B507, '12 - Beds'!BB8:BB507, '12 - Beds-WUO_ERR'!BB8:BB507, _xlfn.LAMBDA(_xlpm.part, _xlpm.val, _xlpm.error, IF(_xlpm.part = "", "", IF(LEN(_xlpm.error), _xlfn.SWITCH(IFERROR(_xlfn.TEXTBEFORE(_xlpm.error,":"), ""), "1", "Error", "2", "Disabled", "3", "Required", "4", "Warning", "Valid"), "Valid"))))</f>
        <v/>
      </c>
      <c r="BC8" s="22">
        <f t="array" ref="BC8">_xlfn.MAP('12 - Beds'!B8:B507, '12 - Beds'!BC8:BC507, '12 - Beds-WUO_ERR'!BC8:BC507, _xlfn.LAMBDA(_xlpm.part, _xlpm.val, _xlpm.error, IF(_xlpm.part = "", "", IF(LEN(_xlpm.error), _xlfn.SWITCH(IFERROR(_xlfn.TEXTBEFORE(_xlpm.error,":"), ""), "1", "Error", "2", "Disabled", "3", "Required", "4", "Warning", "Valid"), "Valid"))))</f>
        <v/>
      </c>
      <c r="BD8" s="22">
        <f t="array" ref="BD8">_xlfn.MAP('12 - Beds'!B8:B507, '12 - Beds'!BD8:BD507, '12 - Beds-WUO_ERR'!BD8:BD507, _xlfn.LAMBDA(_xlpm.part, _xlpm.val, _xlpm.error, IF(_xlpm.part = "", "", IF(LEN(_xlpm.error), _xlfn.SWITCH(IFERROR(_xlfn.TEXTBEFORE(_xlpm.error,":"), ""), "1", "Error", "2", "Disabled", "3", "Required", "4", "Warning", "Valid"), "Valid"))))</f>
        <v/>
      </c>
      <c r="BE8" s="22">
        <f t="array" ref="BE8">_xlfn.MAP('12 - Beds'!B8:B507, '12 - Beds'!BE8:BE507, '12 - Beds-WUO_ERR'!BE8:BE507, _xlfn.LAMBDA(_xlpm.part, _xlpm.val, _xlpm.error, IF(_xlpm.part = "", "", IF(LEN(_xlpm.error), _xlfn.SWITCH(IFERROR(_xlfn.TEXTBEFORE(_xlpm.error,":"), ""), "1", "Error", "2", "Disabled", "3", "Required", "4", "Warning", "Valid"), "Valid"))))</f>
        <v/>
      </c>
      <c r="BF8" s="22">
        <f t="array" ref="BF8">_xlfn.MAP('12 - Beds'!B8:B507, '12 - Beds'!BF8:BF507, '12 - Beds-WUO_ERR'!BF8:BF507, _xlfn.LAMBDA(_xlpm.part, _xlpm.val, _xlpm.error, IF(_xlpm.part = "", "", IF(LEN(_xlpm.error), _xlfn.SWITCH(IFERROR(_xlfn.TEXTBEFORE(_xlpm.error,":"), ""), "1", "Error", "2", "Disabled", "3", "Required", "4", "Warning", "Valid"), "Valid"))))</f>
        <v/>
      </c>
      <c r="BG8" s="22">
        <f t="array" ref="BG8">_xlfn.MAP('12 - Beds'!B8:B507, '12 - Beds'!BG8:BG507, '12 - Beds-WUO_ERR'!BG8:BG507, _xlfn.LAMBDA(_xlpm.part, _xlpm.val, _xlpm.error, IF(_xlpm.part = "", "", IF(LEN(_xlpm.error), _xlfn.SWITCH(IFERROR(_xlfn.TEXTBEFORE(_xlpm.error,":"), ""), "1", "Error", "2", "Disabled", "3", "Required", "4", "Warning", "Valid"), "Valid"))))</f>
        <v/>
      </c>
      <c r="BH8" s="22">
        <f t="array" ref="BH8">_xlfn.MAP('12 - Beds'!B8:B507, '12 - Beds'!BH8:BH507, '12 - Beds-WUO_ERR'!BH8:BH507, _xlfn.LAMBDA(_xlpm.part, _xlpm.val, _xlpm.error, IF(_xlpm.part = "", "", IF(LEN(_xlpm.error), _xlfn.SWITCH(IFERROR(_xlfn.TEXTBEFORE(_xlpm.error,":"), ""), "1", "Error", "2", "Disabled", "3", "Required", "4", "Warning", "Valid"), "Valid"))))</f>
        <v/>
      </c>
      <c r="BI8" s="22">
        <f t="array" ref="BI8">_xlfn.MAP('12 - Beds'!B8:B507, '12 - Beds'!BI8:BI507, '12 - Beds-WUO_ERR'!BI8:BI507, _xlfn.LAMBDA(_xlpm.part, _xlpm.val, _xlpm.error, IF(_xlpm.part = "", "", IF(LEN(_xlpm.error), _xlfn.SWITCH(IFERROR(_xlfn.TEXTBEFORE(_xlpm.error,":"), ""), "1", "Error", "2", "Disabled", "3", "Required", "4", "Warning", "Valid"), "Valid"))))</f>
        <v/>
      </c>
      <c r="BJ8" s="22">
        <f t="array" ref="BJ8">_xlfn.MAP('12 - Beds'!B8:B507, '12 - Beds'!BJ8:BJ507, '12 - Beds-WUO_ERR'!BJ8:BJ507, _xlfn.LAMBDA(_xlpm.part, _xlpm.val, _xlpm.error, IF(_xlpm.part = "", "", IF(LEN(_xlpm.error), _xlfn.SWITCH(IFERROR(_xlfn.TEXTBEFORE(_xlpm.error,":"), ""), "1", "Error", "2", "Disabled", "3", "Required", "4", "Warning", "Valid"), "Valid"))))</f>
        <v/>
      </c>
      <c r="BK8" s="22">
        <f t="array" ref="BK8">_xlfn.MAP('12 - Beds'!B8:B507, '12 - Beds'!BK8:BK507, '12 - Beds-WUO_ERR'!BK8:BK507, _xlfn.LAMBDA(_xlpm.part, _xlpm.val, _xlpm.error, IF(_xlpm.part = "", "", IF(LEN(_xlpm.error), _xlfn.SWITCH(IFERROR(_xlfn.TEXTBEFORE(_xlpm.error,":"), ""), "1", "Error", "2", "Disabled", "3", "Required", "4", "Warning", "Valid"), "Valid"))))</f>
        <v/>
      </c>
      <c r="BL8" s="22">
        <f t="array" ref="BL8">_xlfn.MAP('12 - Beds'!B8:B507, '12 - Beds'!BL8:BL507, '12 - Beds-WUO_ERR'!BL8:BL507, _xlfn.LAMBDA(_xlpm.part, _xlpm.val, _xlpm.error, IF(_xlpm.part = "", "", IF(LEN(_xlpm.error), _xlfn.SWITCH(IFERROR(_xlfn.TEXTBEFORE(_xlpm.error,":"), ""), "1", "Error", "2", "Disabled", "3", "Required", "4", "Warning", "Valid"), "Valid"))))</f>
        <v/>
      </c>
      <c r="BM8" s="22">
        <f t="array" ref="BM8">_xlfn.MAP('12 - Beds'!B8:B507, '12 - Beds'!BM8:BM507, '12 - Beds-WUO_ERR'!BM8:BM507, _xlfn.LAMBDA(_xlpm.part, _xlpm.val, _xlpm.error, IF(_xlpm.part = "", "", IF(LEN(_xlpm.error), _xlfn.SWITCH(IFERROR(_xlfn.TEXTBEFORE(_xlpm.error,":"), ""), "1", "Error", "2", "Disabled", "3", "Required", "4", "Warning", "Valid"), "Valid"))))</f>
        <v/>
      </c>
      <c r="BN8" s="22">
        <f t="array" ref="BN8">_xlfn.MAP('12 - Beds'!B8:B507, '12 - Beds'!BN8:BN507, '12 - Beds-WUO_ERR'!BN8:BN507, _xlfn.LAMBDA(_xlpm.part, _xlpm.val, _xlpm.error, IF(_xlpm.part = "", "", IF(LEN(_xlpm.error), _xlfn.SWITCH(IFERROR(_xlfn.TEXTBEFORE(_xlpm.error,":"), ""), "1", "Error", "2", "Disabled", "3", "Required", "4", "Warning", "Valid"), "Valid"))))</f>
        <v/>
      </c>
      <c r="BO8" s="22">
        <f t="array" ref="BO8">_xlfn.MAP('12 - Beds'!B8:B507, '12 - Beds'!BO8:BO507, '12 - Beds-WUO_ERR'!BO8:BO507, _xlfn.LAMBDA(_xlpm.part, _xlpm.val, _xlpm.error, IF(_xlpm.part = "", "", IF(LEN(_xlpm.error), _xlfn.SWITCH(IFERROR(_xlfn.TEXTBEFORE(_xlpm.error,":"), ""), "1", "Error", "2", "Disabled", "3", "Required", "4", "Warning", "Valid"), "Valid"))))</f>
        <v/>
      </c>
      <c r="BP8" s="22">
        <f t="array" ref="BP8">_xlfn.MAP('12 - Beds'!B8:B507, '12 - Beds'!BP8:BP507, '12 - Beds-WUO_ERR'!BP8:BP507, _xlfn.LAMBDA(_xlpm.part, _xlpm.val, _xlpm.error, IF(_xlpm.part = "", "", IF(LEN(_xlpm.error), _xlfn.SWITCH(IFERROR(_xlfn.TEXTBEFORE(_xlpm.error,":"), ""), "1", "Error", "2", "Disabled", "3", "Required", "4", "Warning", "Valid"), "Valid"))))</f>
        <v/>
      </c>
      <c r="BQ8" s="22">
        <f t="array" ref="BQ8">_xlfn.MAP('12 - Beds'!B8:B507, '12 - Beds'!BQ8:BQ507, '12 - Beds-WUO_ERR'!BQ8:BQ507, _xlfn.LAMBDA(_xlpm.part, _xlpm.val, _xlpm.error, IF(_xlpm.part = "", "", IF(LEN(_xlpm.error), _xlfn.SWITCH(IFERROR(_xlfn.TEXTBEFORE(_xlpm.error,":"), ""), "1", "Error", "2", "Disabled", "3", "Required", "4", "Warning", "Valid"), "Valid"))))</f>
        <v/>
      </c>
      <c r="BR8" s="22">
        <f t="array" ref="BR8">_xlfn.MAP('12 - Beds'!B8:B507, '12 - Beds'!BR8:BR507, '12 - Beds-WUO_ERR'!BR8:BR507, _xlfn.LAMBDA(_xlpm.part, _xlpm.val, _xlpm.error, IF(_xlpm.part = "", "", IF(LEN(_xlpm.error), _xlfn.SWITCH(IFERROR(_xlfn.TEXTBEFORE(_xlpm.error,":"), ""), "1", "Error", "2", "Disabled", "3", "Required", "4", "Warning", "Valid"), "Valid"))))</f>
        <v/>
      </c>
      <c r="BS8" s="22">
        <f t="array" ref="BS8">_xlfn.MAP('12 - Beds'!B8:B507, '12 - Beds'!BS8:BS507, '12 - Beds-WUO_ERR'!BS8:BS507, _xlfn.LAMBDA(_xlpm.part, _xlpm.val, _xlpm.error, IF(_xlpm.part = "", "", IF(LEN(_xlpm.error), _xlfn.SWITCH(IFERROR(_xlfn.TEXTBEFORE(_xlpm.error,":"), ""), "1", "Error", "2", "Disabled", "3", "Required", "4", "Warning", "Valid"), "Valid"))))</f>
        <v/>
      </c>
      <c r="BT8" s="22">
        <f t="array" ref="BT8">_xlfn.MAP('12 - Beds'!B8:B507, '12 - Beds'!BT8:BT507, '12 - Beds-WUO_ERR'!BT8:BT507, _xlfn.LAMBDA(_xlpm.part, _xlpm.val, _xlpm.error, IF(_xlpm.part = "", "", IF(LEN(_xlpm.error), _xlfn.SWITCH(IFERROR(_xlfn.TEXTBEFORE(_xlpm.error,":"), ""), "1", "Error", "2", "Disabled", "3", "Required", "4", "Warning", "Valid"), "Valid"))))</f>
        <v/>
      </c>
      <c r="BU8" s="22">
        <f t="array" ref="BU8">_xlfn.MAP('12 - Beds'!B8:B507, '12 - Beds'!BU8:BU507, '12 - Beds-WUO_ERR'!BU8:BU507, _xlfn.LAMBDA(_xlpm.part, _xlpm.val, _xlpm.error, IF(_xlpm.part = "", "", IF(LEN(_xlpm.error), _xlfn.SWITCH(IFERROR(_xlfn.TEXTBEFORE(_xlpm.error,":"), ""), "1", "Error", "2", "Disabled", "3", "Required", "4", "Warning", "Valid"), "Valid"))))</f>
        <v/>
      </c>
      <c r="BV8" s="22">
        <f t="array" ref="BV8">_xlfn.MAP('12 - Beds'!B8:B507, '12 - Beds'!BV8:BV507, '12 - Beds-WUO_ERR'!BV8:BV507, _xlfn.LAMBDA(_xlpm.part, _xlpm.val, _xlpm.error, IF(_xlpm.part = "", "", IF(LEN(_xlpm.error), _xlfn.SWITCH(IFERROR(_xlfn.TEXTBEFORE(_xlpm.error,":"), ""), "1", "Error", "2", "Disabled", "3", "Required", "4", "Warning", "Valid"), "Valid"))))</f>
        <v/>
      </c>
      <c r="BW8" s="22">
        <f t="array" ref="BW8">_xlfn.MAP('12 - Beds'!B8:B507, '12 - Beds'!BW8:BW507, '12 - Beds-WUO_ERR'!BW8:BW507, _xlfn.LAMBDA(_xlpm.part, _xlpm.val, _xlpm.error, IF(_xlpm.part = "", "", IF(LEN(_xlpm.error), _xlfn.SWITCH(IFERROR(_xlfn.TEXTBEFORE(_xlpm.error,":"), ""), "1", "Error", "2", "Disabled", "3", "Required", "4", "Warning", "Valid"), "Valid"))))</f>
        <v/>
      </c>
      <c r="BX8" s="22">
        <f t="array" ref="BX8">_xlfn.MAP('12 - Beds'!B8:B507, '12 - Beds'!BX8:BX507, '12 - Beds-WUO_ERR'!BX8:BX507, _xlfn.LAMBDA(_xlpm.part, _xlpm.val, _xlpm.error, IF(_xlpm.part = "", "", IF(LEN(_xlpm.error), _xlfn.SWITCH(IFERROR(_xlfn.TEXTBEFORE(_xlpm.error,":"), ""), "1", "Error", "2", "Disabled", "3", "Required", "4", "Warning", "Valid"), "Valid"))))</f>
        <v/>
      </c>
      <c r="BY8" s="22">
        <f t="array" ref="BY8">_xlfn.MAP('12 - Beds'!B8:B507, '12 - Beds'!BY8:BY507, '12 - Beds-WUO_ERR'!BY8:BY507, _xlfn.LAMBDA(_xlpm.part, _xlpm.val, _xlpm.error, IF(_xlpm.part = "", "", IF(LEN(_xlpm.error), _xlfn.SWITCH(IFERROR(_xlfn.TEXTBEFORE(_xlpm.error,":"), ""), "1", "Error", "2", "Disabled", "3", "Required", "4", "Warning", "Valid"), "Valid"))))</f>
        <v/>
      </c>
      <c r="BZ8" s="22">
        <f t="array" ref="BZ8">_xlfn.MAP('12 - Beds'!B8:B507, '12 - Beds'!BZ8:BZ507, '12 - Beds-WUO_ERR'!BZ8:BZ507, _xlfn.LAMBDA(_xlpm.part, _xlpm.val, _xlpm.error, IF(_xlpm.part = "", "", IF(LEN(_xlpm.error), _xlfn.SWITCH(IFERROR(_xlfn.TEXTBEFORE(_xlpm.error,":"), ""), "1", "Error", "2", "Disabled", "3", "Required", "4", "Warning", "Valid"), "Valid"))))</f>
        <v/>
      </c>
      <c r="CA8" s="22">
        <f t="array" ref="CA8">_xlfn.MAP('12 - Beds'!B8:B507, '12 - Beds'!CA8:CA507, '12 - Beds-WUO_ERR'!CA8:CA507, _xlfn.LAMBDA(_xlpm.part, _xlpm.val, _xlpm.error, IF(_xlpm.part = "", "", IF(LEN(_xlpm.error), _xlfn.SWITCH(IFERROR(_xlfn.TEXTBEFORE(_xlpm.error,":"), ""), "1", "Error", "2", "Disabled", "3", "Required", "4", "Warning", "Valid"), "Valid"))))</f>
        <v/>
      </c>
      <c r="CB8" s="22">
        <f t="array" ref="CB8">_xlfn.MAP('12 - Beds'!B8:B507, '12 - Beds'!CB8:CB507, '12 - Beds-WUO_ERR'!CB8:CB507, _xlfn.LAMBDA(_xlpm.part, _xlpm.val, _xlpm.error, IF(_xlpm.part = "", "", IF(LEN(_xlpm.error), _xlfn.SWITCH(IFERROR(_xlfn.TEXTBEFORE(_xlpm.error,":"), ""), "1", "Error", "2", "Disabled", "3", "Required", "4", "Warning", "Valid"), "Valid"))))</f>
        <v/>
      </c>
      <c r="CC8" s="22">
        <f t="array" ref="CC8">_xlfn.MAP('12 - Beds'!B8:B507, '12 - Beds'!CC8:CC507, '12 - Beds-WUO_ERR'!CC8:CC507, _xlfn.LAMBDA(_xlpm.part, _xlpm.val, _xlpm.error, IF(_xlpm.part = "", "", IF(LEN(_xlpm.error), _xlfn.SWITCH(IFERROR(_xlfn.TEXTBEFORE(_xlpm.error,":"), ""), "1", "Error", "2", "Disabled", "3", "Required", "4", "Warning", "Valid"), "Valid"))))</f>
        <v/>
      </c>
      <c r="CD8" s="22">
        <f t="array" ref="CD8">_xlfn.MAP('12 - Beds'!B8:B507, '12 - Beds'!CD8:CD507, '12 - Beds-WUO_ERR'!CD8:CD507, _xlfn.LAMBDA(_xlpm.part, _xlpm.val, _xlpm.error, IF(_xlpm.part = "", "", IF(LEN(_xlpm.error), _xlfn.SWITCH(IFERROR(_xlfn.TEXTBEFORE(_xlpm.error,":"), ""), "1", "Error", "2", "Disabled", "3", "Required", "4", "Warning", "Valid"), "Valid"))))</f>
        <v/>
      </c>
      <c r="CE8" s="22">
        <f t="array" ref="CE8">_xlfn.MAP('12 - Beds'!B8:B507, '12 - Beds'!CE8:CE507, '12 - Beds-WUO_ERR'!CE8:CE507, _xlfn.LAMBDA(_xlpm.part, _xlpm.val, _xlpm.error, IF(_xlpm.part = "", "", IF(LEN(_xlpm.error), _xlfn.SWITCH(IFERROR(_xlfn.TEXTBEFORE(_xlpm.error,":"), ""), "1", "Error", "2", "Disabled", "3", "Required", "4", "Warning", "Valid"), "Valid"))))</f>
        <v/>
      </c>
      <c r="CF8" s="22">
        <f t="array" ref="CF8">_xlfn.MAP('12 - Beds'!B8:B507, '12 - Beds'!CF8:CF507, '12 - Beds-WUO_ERR'!CF8:CF507, _xlfn.LAMBDA(_xlpm.part, _xlpm.val, _xlpm.error, IF(_xlpm.part = "", "", IF(LEN(_xlpm.error), _xlfn.SWITCH(IFERROR(_xlfn.TEXTBEFORE(_xlpm.error,":"), ""), "1", "Error", "2", "Disabled", "3", "Required", "4", "Warning", "Valid"), "Valid"))))</f>
        <v/>
      </c>
      <c r="CG8" s="22">
        <f t="array" ref="CG8">_xlfn.MAP('12 - Beds'!B8:B507, '12 - Beds'!CG8:CG507, '12 - Beds-WUO_ERR'!CG8:CG507, _xlfn.LAMBDA(_xlpm.part, _xlpm.val, _xlpm.error, IF(_xlpm.part = "", "", IF(LEN(_xlpm.error), _xlfn.SWITCH(IFERROR(_xlfn.TEXTBEFORE(_xlpm.error,":"), ""), "1", "Error", "2", "Disabled", "3", "Required", "4", "Warning", "Valid"), "Valid"))))</f>
        <v/>
      </c>
      <c r="CH8" s="22">
        <f t="array" ref="CH8">_xlfn.MAP('12 - Beds'!B8:B507, '12 - Beds'!CH8:CH507, '12 - Beds-WUO_ERR'!CH8:CH507, _xlfn.LAMBDA(_xlpm.part, _xlpm.val, _xlpm.error, IF(_xlpm.part = "", "", IF(LEN(_xlpm.error), _xlfn.SWITCH(IFERROR(_xlfn.TEXTBEFORE(_xlpm.error,":"), ""), "1", "Error", "2", "Disabled", "3", "Required", "4", "Warning", "Valid"), "Valid"))))</f>
        <v/>
      </c>
      <c r="CI8" s="22">
        <f t="array" ref="CI8">_xlfn.MAP('12 - Beds'!B8:B507, '12 - Beds'!CI8:CI507, '12 - Beds-WUO_ERR'!CI8:CI507, _xlfn.LAMBDA(_xlpm.part, _xlpm.val, _xlpm.error, IF(_xlpm.part = "", "", IF(LEN(_xlpm.error), _xlfn.SWITCH(IFERROR(_xlfn.TEXTBEFORE(_xlpm.error,":"), ""), "1", "Error", "2", "Disabled", "3", "Required", "4", "Warning", "Valid"), "Valid"))))</f>
        <v/>
      </c>
      <c r="CJ8" s="22">
        <f t="array" ref="CJ8">_xlfn.MAP('12 - Beds'!B8:B507, '12 - Beds'!CJ8:CJ507, '12 - Beds-WUO_ERR'!CJ8:CJ507, _xlfn.LAMBDA(_xlpm.part, _xlpm.val, _xlpm.error, IF(_xlpm.part = "", "", IF(LEN(_xlpm.error), _xlfn.SWITCH(IFERROR(_xlfn.TEXTBEFORE(_xlpm.error,":"), ""), "1", "Error", "2", "Disabled", "3", "Required", "4", "Warning", "Valid"), "Valid"))))</f>
        <v/>
      </c>
      <c r="CK8" s="22">
        <f t="array" ref="CK8">_xlfn.MAP('12 - Beds'!B8:B507, '12 - Beds'!CK8:CK507, '12 - Beds-WUO_ERR'!CK8:CK507, _xlfn.LAMBDA(_xlpm.part, _xlpm.val, _xlpm.error, IF(_xlpm.part = "", "", IF(LEN(_xlpm.error), _xlfn.SWITCH(IFERROR(_xlfn.TEXTBEFORE(_xlpm.error,":"), ""), "1", "Error", "2", "Disabled", "3", "Required", "4", "Warning", "Valid"), "Valid"))))</f>
        <v/>
      </c>
      <c r="CL8" s="22">
        <f t="array" ref="CL8">_xlfn.MAP('12 - Beds'!B8:B507, '12 - Beds'!CL8:CL507, '12 - Beds-WUO_ERR'!CL8:CL507, _xlfn.LAMBDA(_xlpm.part, _xlpm.val, _xlpm.error, IF(_xlpm.part = "", "", IF(LEN(_xlpm.error), _xlfn.SWITCH(IFERROR(_xlfn.TEXTBEFORE(_xlpm.error,":"), ""), "1", "Error", "2", "Disabled", "3", "Required", "4", "Warning", "Valid"), "Valid"))))</f>
        <v/>
      </c>
      <c r="CM8" s="22">
        <f t="array" ref="CM8">_xlfn.MAP('12 - Beds'!B8:B507, '12 - Beds'!CM8:CM507, '12 - Beds-WUO_ERR'!CM8:CM507, _xlfn.LAMBDA(_xlpm.part, _xlpm.val, _xlpm.error, IF(_xlpm.part = "", "", IF(LEN(_xlpm.error), _xlfn.SWITCH(IFERROR(_xlfn.TEXTBEFORE(_xlpm.error,":"), ""), "1", "Error", "2", "Disabled", "3", "Required", "4", "Warning", "Valid"), "Valid"))))</f>
        <v/>
      </c>
      <c r="CN8" s="22">
        <f t="array" ref="CN8">_xlfn.MAP('12 - Beds'!B8:B507, '12 - Beds'!CN8:CN507, '12 - Beds-WUO_ERR'!CN8:CN507, _xlfn.LAMBDA(_xlpm.part, _xlpm.val, _xlpm.error, IF(_xlpm.part = "", "", IF(LEN(_xlpm.error), _xlfn.SWITCH(IFERROR(_xlfn.TEXTBEFORE(_xlpm.error,":"), ""), "1", "Error", "2", "Disabled", "3", "Required", "4", "Warning", "Valid"), "Valid"))))</f>
        <v/>
      </c>
      <c r="CO8" s="22">
        <f t="array" ref="CO8">_xlfn.MAP('12 - Beds'!B8:B507, '12 - Beds'!CO8:CO507, '12 - Beds-WUO_ERR'!CO8:CO507, _xlfn.LAMBDA(_xlpm.part, _xlpm.val, _xlpm.error, IF(_xlpm.part = "", "", IF(LEN(_xlpm.error), _xlfn.SWITCH(IFERROR(_xlfn.TEXTBEFORE(_xlpm.error,":"), ""), "1", "Error", "2", "Disabled", "3", "Required", "4", "Warning", "Valid"), "Valid"))))</f>
        <v/>
      </c>
      <c r="CP8" s="22">
        <f t="array" ref="CP8">_xlfn.MAP('12 - Beds'!B8:B507, '12 - Beds'!CP8:CP507, '12 - Beds-WUO_ERR'!CP8:CP507, _xlfn.LAMBDA(_xlpm.part, _xlpm.val, _xlpm.error, IF(_xlpm.part = "", "", IF(LEN(_xlpm.error), _xlfn.SWITCH(IFERROR(_xlfn.TEXTBEFORE(_xlpm.error,":"), ""), "1", "Error", "2", "Disabled", "3", "Required", "4", "Warning", "Valid"), "Valid"))))</f>
        <v/>
      </c>
      <c r="CQ8" s="22">
        <f t="array" ref="CQ8">_xlfn.MAP('12 - Beds'!B8:B507, '12 - Beds'!CQ8:CQ507, '12 - Beds-WUO_ERR'!CQ8:CQ507, _xlfn.LAMBDA(_xlpm.part, _xlpm.val, _xlpm.error, IF(_xlpm.part = "", "", IF(LEN(_xlpm.error), _xlfn.SWITCH(IFERROR(_xlfn.TEXTBEFORE(_xlpm.error,":"), ""), "1", "Error", "2", "Disabled", "3", "Required", "4", "Warning", "Valid"), "Valid"))))</f>
        <v/>
      </c>
      <c r="CR8" s="22">
        <f t="array" ref="CR8">_xlfn.MAP('12 - Beds'!B8:B507, '12 - Beds'!CR8:CR507, '12 - Beds-WUO_ERR'!CR8:CR507, _xlfn.LAMBDA(_xlpm.part, _xlpm.val, _xlpm.error, IF(_xlpm.part = "", "", IF(LEN(_xlpm.error), _xlfn.SWITCH(IFERROR(_xlfn.TEXTBEFORE(_xlpm.error,":"), ""), "1", "Error", "2", "Disabled", "3", "Required", "4", "Warning", "Valid"), "Valid"))))</f>
        <v/>
      </c>
      <c r="CS8" s="22">
        <f t="array" ref="CS8">_xlfn.MAP('12 - Beds'!B8:B507, '12 - Beds'!CS8:CS507, '12 - Beds-WUO_ERR'!CS8:CS507, _xlfn.LAMBDA(_xlpm.part, _xlpm.val, _xlpm.error, IF(_xlpm.part = "", "", IF(LEN(_xlpm.error), _xlfn.SWITCH(IFERROR(_xlfn.TEXTBEFORE(_xlpm.error,":"), ""), "1", "Error", "2", "Disabled", "3", "Required", "4", "Warning", "Valid"), "Valid"))))</f>
        <v/>
      </c>
      <c r="CT8" s="22">
        <f t="array" ref="CT8">_xlfn.MAP('12 - Beds'!B8:B507, '12 - Beds'!CT8:CT507, '12 - Beds-WUO_ERR'!CT8:CT507, _xlfn.LAMBDA(_xlpm.part, _xlpm.val, _xlpm.error, IF(_xlpm.part = "", "", IF(LEN(_xlpm.error), _xlfn.SWITCH(IFERROR(_xlfn.TEXTBEFORE(_xlpm.error,":"), ""), "1", "Error", "2", "Disabled", "3", "Required", "4", "Warning", "Valid"), "Valid"))))</f>
        <v/>
      </c>
      <c r="CU8" s="22">
        <f t="array" ref="CU8">_xlfn.MAP('12 - Beds'!B8:B507, '12 - Beds'!CU8:CU507, '12 - Beds-WUO_ERR'!CU8:CU507, _xlfn.LAMBDA(_xlpm.part, _xlpm.val, _xlpm.error, IF(_xlpm.part = "", "", IF(LEN(_xlpm.error), _xlfn.SWITCH(IFERROR(_xlfn.TEXTBEFORE(_xlpm.error,":"), ""), "1", "Error", "2", "Disabled", "3", "Required", "4", "Warning", "Valid"), "Valid"))))</f>
        <v/>
      </c>
      <c r="CV8" s="22">
        <f t="array" ref="CV8">_xlfn.MAP('12 - Beds'!B8:B507, '12 - Beds'!CV8:CV507, '12 - Beds-WUO_ERR'!CV8:CV507, _xlfn.LAMBDA(_xlpm.part, _xlpm.val, _xlpm.error, IF(_xlpm.part = "", "", IF(LEN(_xlpm.error), _xlfn.SWITCH(IFERROR(_xlfn.TEXTBEFORE(_xlpm.error,":"), ""), "1", "Error", "2", "Disabled", "3", "Required", "4", "Warning", "Valid"), "Valid"))))</f>
        <v/>
      </c>
      <c r="CW8" s="22">
        <f t="array" ref="CW8">_xlfn.MAP('12 - Beds'!B8:B507, '12 - Beds'!CW8:CW507, '12 - Beds-WUO_ERR'!CW8:CW507, _xlfn.LAMBDA(_xlpm.part, _xlpm.val, _xlpm.error, IF(_xlpm.part = "", "", IF(LEN(_xlpm.error), _xlfn.SWITCH(IFERROR(_xlfn.TEXTBEFORE(_xlpm.error,":"), ""), "1", "Error", "2", "Disabled", "3", "Required", "4", "Warning", "Valid"), "Valid"))))</f>
        <v/>
      </c>
      <c r="CX8" s="22">
        <f t="array" ref="CX8">_xlfn.MAP('12 - Beds'!B8:B507, '12 - Beds'!CX8:CX507, '12 - Beds-WUO_ERR'!CX8:CX507, _xlfn.LAMBDA(_xlpm.part, _xlpm.val, _xlpm.error, IF(_xlpm.part = "", "", IF(LEN(_xlpm.error), _xlfn.SWITCH(IFERROR(_xlfn.TEXTBEFORE(_xlpm.error,":"), ""), "1", "Error", "2", "Disabled", "3", "Required", "4", "Warning", "Valid"), "Valid"))))</f>
        <v/>
      </c>
      <c r="CY8" s="22">
        <f t="array" ref="CY8">_xlfn.MAP('12 - Beds'!B8:B507, '12 - Beds'!CY8:CY507, '12 - Beds-WUO_ERR'!CY8:CY507, _xlfn.LAMBDA(_xlpm.part, _xlpm.val, _xlpm.error, IF(_xlpm.part = "", "", IF(LEN(_xlpm.error), _xlfn.SWITCH(IFERROR(_xlfn.TEXTBEFORE(_xlpm.error,":"), ""), "1", "Error", "2", "Disabled", "3", "Required", "4", "Warning", "Valid"), "Valid"))))</f>
        <v/>
      </c>
      <c r="CZ8" s="22">
        <f t="array" ref="CZ8">_xlfn.MAP('12 - Beds'!B8:B507, '12 - Beds'!CZ8:CZ507, '12 - Beds-WUO_ERR'!CZ8:CZ507, _xlfn.LAMBDA(_xlpm.part, _xlpm.val, _xlpm.error, IF(_xlpm.part = "", "", IF(LEN(_xlpm.error), _xlfn.SWITCH(IFERROR(_xlfn.TEXTBEFORE(_xlpm.error,":"), ""), "1", "Error", "2", "Disabled", "3", "Required", "4", "Warning", "Valid"), "Valid"))))</f>
        <v/>
      </c>
      <c r="DA8" s="22">
        <f t="array" ref="DA8">_xlfn.MAP('12 - Beds'!B8:B507, '12 - Beds'!DA8:DA507, '12 - Beds-WUO_ERR'!DA8:DA507, _xlfn.LAMBDA(_xlpm.part, _xlpm.val, _xlpm.error, IF(_xlpm.part = "", "", IF(LEN(_xlpm.error), _xlfn.SWITCH(IFERROR(_xlfn.TEXTBEFORE(_xlpm.error,":"), ""), "1", "Error", "2", "Disabled", "3", "Required", "4", "Warning", "Valid"), "Valid"))))</f>
        <v/>
      </c>
      <c r="DB8" s="22">
        <f t="array" ref="DB8">_xlfn.MAP('12 - Beds'!B8:B507, '12 - Beds'!DB8:DB507, '12 - Beds-WUO_ERR'!DB8:DB507, _xlfn.LAMBDA(_xlpm.part, _xlpm.val, _xlpm.error, IF(_xlpm.part = "", "", IF(LEN(_xlpm.error), _xlfn.SWITCH(IFERROR(_xlfn.TEXTBEFORE(_xlpm.error,":"), ""), "1", "Error", "2", "Disabled", "3", "Required", "4", "Warning", "Valid"), "Valid"))))</f>
        <v/>
      </c>
      <c r="DC8" s="22">
        <f t="array" ref="DC8">_xlfn.MAP('12 - Beds'!B8:B507, '12 - Beds'!DC8:DC507, '12 - Beds-WUO_ERR'!DC8:DC507, _xlfn.LAMBDA(_xlpm.part, _xlpm.val, _xlpm.error, IF(_xlpm.part = "", "", IF(LEN(_xlpm.error), _xlfn.SWITCH(IFERROR(_xlfn.TEXTBEFORE(_xlpm.error,":"), ""), "1", "Error", "2", "Disabled", "3", "Required", "4", "Warning", "Valid"), "Valid"))))</f>
        <v/>
      </c>
      <c r="DD8" s="22">
        <f t="array" ref="DD8">_xlfn.MAP('12 - Beds'!B8:B507, '12 - Beds'!DD8:DD507, '12 - Beds-WUO_ERR'!DD8:DD507, _xlfn.LAMBDA(_xlpm.part, _xlpm.val, _xlpm.error, IF(_xlpm.part = "", "", IF(LEN(_xlpm.error), _xlfn.SWITCH(IFERROR(_xlfn.TEXTBEFORE(_xlpm.error,":"), ""), "1", "Error", "2", "Disabled", "3", "Required", "4", "Warning", "Valid"), "Valid"))))</f>
        <v/>
      </c>
      <c r="DE8" s="22">
        <f t="array" ref="DE8">_xlfn.MAP('12 - Beds'!B8:B507, '12 - Beds'!DE8:DE507, '12 - Beds-WUO_ERR'!DE8:DE507, _xlfn.LAMBDA(_xlpm.part, _xlpm.val, _xlpm.error, IF(_xlpm.part = "", "", IF(LEN(_xlpm.error), _xlfn.SWITCH(IFERROR(_xlfn.TEXTBEFORE(_xlpm.error,":"), ""), "1", "Error", "2", "Disabled", "3", "Required", "4", "Warning", "Valid"), "Valid"))))</f>
        <v/>
      </c>
      <c r="DF8" s="22">
        <f t="array" ref="DF8">_xlfn.MAP('12 - Beds'!B8:B507, '12 - Beds'!DF8:DF507, '12 - Beds-WUO_ERR'!DF8:DF507, _xlfn.LAMBDA(_xlpm.part, _xlpm.val, _xlpm.error, IF(_xlpm.part = "", "", IF(LEN(_xlpm.error), _xlfn.SWITCH(IFERROR(_xlfn.TEXTBEFORE(_xlpm.error,":"), ""), "1", "Error", "2", "Disabled", "3", "Required", "4", "Warning", "Valid"), "Valid"))))</f>
        <v/>
      </c>
      <c r="DG8" s="22">
        <f t="array" ref="DG8">_xlfn.MAP('12 - Beds'!B8:B507, '12 - Beds'!DG8:DG507, '12 - Beds-WUO_ERR'!DG8:DG507, _xlfn.LAMBDA(_xlpm.part, _xlpm.val, _xlpm.error, IF(_xlpm.part = "", "", IF(LEN(_xlpm.error), _xlfn.SWITCH(IFERROR(_xlfn.TEXTBEFORE(_xlpm.error,":"), ""), "1", "Error", "2", "Disabled", "3", "Required", "4", "Warning", "Valid"), "Valid"))))</f>
        <v/>
      </c>
      <c r="DH8" s="22">
        <f t="array" ref="DH8">_xlfn.MAP('12 - Beds'!B8:B507, '12 - Beds'!DH8:DH507, '12 - Beds-WUO_ERR'!DH8:DH507, _xlfn.LAMBDA(_xlpm.part, _xlpm.val, _xlpm.error, IF(_xlpm.part = "", "", IF(LEN(_xlpm.error), _xlfn.SWITCH(IFERROR(_xlfn.TEXTBEFORE(_xlpm.error,":"), ""), "1", "Error", "2", "Disabled", "3", "Required", "4", "Warning", "Valid"), "Valid"))))</f>
        <v/>
      </c>
      <c r="DI8" s="22">
        <f t="array" ref="DI8">_xlfn.MAP('12 - Beds'!B8:B507, '12 - Beds'!DI8:DI507, '12 - Beds-WUO_ERR'!DI8:DI507, _xlfn.LAMBDA(_xlpm.part, _xlpm.val, _xlpm.error, IF(_xlpm.part = "", "", IF(LEN(_xlpm.error), _xlfn.SWITCH(IFERROR(_xlfn.TEXTBEFORE(_xlpm.error,":"), ""), "1", "Error", "2", "Disabled", "3", "Required", "4", "Warning", "Valid"), "Valid"))))</f>
        <v/>
      </c>
      <c r="DJ8" s="22">
        <f t="array" ref="DJ8">_xlfn.MAP('12 - Beds'!B8:B507, '12 - Beds'!DJ8:DJ507, '12 - Beds-WUO_ERR'!DJ8:DJ507, _xlfn.LAMBDA(_xlpm.part, _xlpm.val, _xlpm.error, IF(_xlpm.part = "", "", IF(LEN(_xlpm.error), _xlfn.SWITCH(IFERROR(_xlfn.TEXTBEFORE(_xlpm.error,":"), ""), "1", "Error", "2", "Disabled", "3", "Required", "4", "Warning", "Valid"), "Valid"))))</f>
        <v/>
      </c>
      <c r="DK8" s="22">
        <f t="array" ref="DK8">_xlfn.MAP('12 - Beds'!B8:B507, '12 - Beds'!DK8:DK507, '12 - Beds-WUO_ERR'!DK8:DK507, _xlfn.LAMBDA(_xlpm.part, _xlpm.val, _xlpm.error, IF(_xlpm.part = "", "", IF(LEN(_xlpm.error), _xlfn.SWITCH(IFERROR(_xlfn.TEXTBEFORE(_xlpm.error,":"), ""), "1", "Error", "2", "Disabled", "3", "Required", "4", "Warning", "Valid"), "Valid"))))</f>
        <v/>
      </c>
      <c r="DL8" s="22">
        <f t="array" ref="DL8">_xlfn.MAP('12 - Beds'!B8:B507, '12 - Beds'!DL8:DL507, '12 - Beds-WUO_ERR'!DL8:DL507, _xlfn.LAMBDA(_xlpm.part, _xlpm.val, _xlpm.error, IF(_xlpm.part = "", "", IF(LEN(_xlpm.error), _xlfn.SWITCH(IFERROR(_xlfn.TEXTBEFORE(_xlpm.error,":"), ""), "1", "Error", "2", "Disabled", "3", "Required", "4", "Warning", "Valid"), "Valid"))))</f>
        <v/>
      </c>
      <c r="DM8" s="22">
        <f t="array" ref="DM8">_xlfn.MAP('12 - Beds'!B8:B507, '12 - Beds'!DM8:DM507, '12 - Beds-WUO_ERR'!DM8:DM507, _xlfn.LAMBDA(_xlpm.part, _xlpm.val, _xlpm.error, IF(_xlpm.part = "", "", IF(LEN(_xlpm.error), _xlfn.SWITCH(IFERROR(_xlfn.TEXTBEFORE(_xlpm.error,":"), ""), "1", "Error", "2", "Disabled", "3", "Required", "4", "Warning", "Valid"), "Valid"))))</f>
        <v/>
      </c>
      <c r="DN8" s="22">
        <f t="array" ref="DN8">_xlfn.MAP('12 - Beds'!B8:B507, '12 - Beds'!DN8:DN507, '12 - Beds-WUO_ERR'!DN8:DN507, _xlfn.LAMBDA(_xlpm.part, _xlpm.val, _xlpm.error, IF(_xlpm.part = "", "", IF(LEN(_xlpm.error), _xlfn.SWITCH(IFERROR(_xlfn.TEXTBEFORE(_xlpm.error,":"), ""), "1", "Error", "2", "Disabled", "3", "Required", "4", "Warning", "Valid"), "Valid"))))</f>
        <v/>
      </c>
      <c r="DO8" s="22">
        <f t="array" ref="DO8">_xlfn.MAP('12 - Beds'!B8:B507, '12 - Beds'!DO8:DO507, '12 - Beds-WUO_ERR'!DO8:DO507, _xlfn.LAMBDA(_xlpm.part, _xlpm.val, _xlpm.error, IF(_xlpm.part = "", "", IF(LEN(_xlpm.error), _xlfn.SWITCH(IFERROR(_xlfn.TEXTBEFORE(_xlpm.error,":"), ""), "1", "Error", "2", "Disabled", "3", "Required", "4", "Warning", "Valid"), "Valid"))))</f>
        <v/>
      </c>
      <c r="DP8" s="22">
        <f t="array" ref="DP8">_xlfn.MAP('12 - Beds'!B8:B507, '12 - Beds'!DP8:DP507, '12 - Beds-WUO_ERR'!DP8:DP507, _xlfn.LAMBDA(_xlpm.part, _xlpm.val, _xlpm.error, IF(_xlpm.part = "", "", IF(LEN(_xlpm.error), _xlfn.SWITCH(IFERROR(_xlfn.TEXTBEFORE(_xlpm.error,":"), ""), "1", "Error", "2", "Disabled", "3", "Required", "4", "Warning", "Valid"), "Valid"))))</f>
        <v/>
      </c>
      <c r="DQ8" s="22">
        <f t="array" ref="DQ8">_xlfn.MAP('12 - Beds'!B8:B507, '12 - Beds'!DQ8:DQ507, '12 - Beds-WUO_ERR'!DQ8:DQ507, _xlfn.LAMBDA(_xlpm.part, _xlpm.val, _xlpm.error, IF(_xlpm.part = "", "", IF(LEN(_xlpm.error), _xlfn.SWITCH(IFERROR(_xlfn.TEXTBEFORE(_xlpm.error,":"), ""), "1", "Error", "2", "Disabled", "3", "Required", "4", "Warning", "Valid"), "Valid"))))</f>
        <v/>
      </c>
      <c r="DR8" s="22">
        <f t="array" ref="DR8">_xlfn.MAP('12 - Beds'!B8:B507, '12 - Beds'!DR8:DR507, '12 - Beds-WUO_ERR'!DR8:DR507, _xlfn.LAMBDA(_xlpm.part, _xlpm.val, _xlpm.error, IF(_xlpm.part = "", "", IF(LEN(_xlpm.error), _xlfn.SWITCH(IFERROR(_xlfn.TEXTBEFORE(_xlpm.error,":"), ""), "1", "Error", "2", "Disabled", "3", "Required", "4", "Warning", "Valid"), "Valid"))))</f>
        <v/>
      </c>
      <c r="DS8" s="22">
        <f t="array" ref="DS8">_xlfn.MAP('12 - Beds'!B8:B507, '12 - Beds'!DS8:DS507, '12 - Beds-WUO_ERR'!DS8:DS507, _xlfn.LAMBDA(_xlpm.part, _xlpm.val, _xlpm.error, IF(_xlpm.part = "", "", IF(LEN(_xlpm.error), _xlfn.SWITCH(IFERROR(_xlfn.TEXTBEFORE(_xlpm.error,":"), ""), "1", "Error", "2", "Disabled", "3", "Required", "4", "Warning", "Valid"), "Valid"))))</f>
        <v/>
      </c>
      <c r="DT8" s="22">
        <f t="array" ref="DT8">_xlfn.MAP('12 - Beds'!B8:B507, '12 - Beds'!DT8:DT507, '12 - Beds-WUO_ERR'!DT8:DT507, _xlfn.LAMBDA(_xlpm.part, _xlpm.val, _xlpm.error, IF(_xlpm.part = "", "", IF(LEN(_xlpm.error), _xlfn.SWITCH(IFERROR(_xlfn.TEXTBEFORE(_xlpm.error,":"), ""), "1", "Error", "2", "Disabled", "3", "Required", "4", "Warning", "Valid"), "Valid"))))</f>
        <v/>
      </c>
      <c r="DU8" s="22">
        <f t="array" ref="DU8">_xlfn.MAP('12 - Beds'!B8:B507, '12 - Beds'!DU8:DU507, '12 - Beds-WUO_ERR'!DU8:DU507, _xlfn.LAMBDA(_xlpm.part, _xlpm.val, _xlpm.error, IF(_xlpm.part = "", "", IF(LEN(_xlpm.error), _xlfn.SWITCH(IFERROR(_xlfn.TEXTBEFORE(_xlpm.error,":"), ""), "1", "Error", "2", "Disabled", "3", "Required", "4", "Warning", "Valid"), "Valid"))))</f>
        <v/>
      </c>
      <c r="DV8" s="22">
        <f t="array" ref="DV8">_xlfn.MAP('12 - Beds'!B8:B507, '12 - Beds'!DV8:DV507, '12 - Beds-WUO_ERR'!DV8:DV507, _xlfn.LAMBDA(_xlpm.part, _xlpm.val, _xlpm.error, IF(_xlpm.part = "", "", IF(LEN(_xlpm.error), _xlfn.SWITCH(IFERROR(_xlfn.TEXTBEFORE(_xlpm.error,":"), ""), "1", "Error", "2", "Disabled", "3", "Required", "4", "Warning", "Valid"), "Valid"))))</f>
        <v/>
      </c>
      <c r="DW8" s="22">
        <f t="array" ref="DW8">_xlfn.MAP('12 - Beds'!B8:B507, '12 - Beds'!DW8:DW507, '12 - Beds-WUO_ERR'!DW8:DW507, _xlfn.LAMBDA(_xlpm.part, _xlpm.val, _xlpm.error, IF(_xlpm.part = "", "", IF(LEN(_xlpm.error), _xlfn.SWITCH(IFERROR(_xlfn.TEXTBEFORE(_xlpm.error,":"), ""), "1", "Error", "2", "Disabled", "3", "Required", "4", "Warning", "Valid"), "Valid"))))</f>
        <v/>
      </c>
      <c r="DX8" s="22">
        <f t="array" ref="DX8">_xlfn.MAP('12 - Beds'!B8:B507, '12 - Beds'!DX8:DX507, '12 - Beds-WUO_ERR'!DX8:DX507, _xlfn.LAMBDA(_xlpm.part, _xlpm.val, _xlpm.error, IF(_xlpm.part = "", "", IF(LEN(_xlpm.error), _xlfn.SWITCH(IFERROR(_xlfn.TEXTBEFORE(_xlpm.error,":"), ""), "1", "Error", "2", "Disabled", "3", "Required", "4", "Warning", "Valid"), "Valid"))))</f>
        <v/>
      </c>
      <c r="DY8" s="22">
        <f t="array" ref="DY8">_xlfn.MAP('12 - Beds'!B8:B507, '12 - Beds'!DY8:DY507, '12 - Beds-WUO_ERR'!DY8:DY507, _xlfn.LAMBDA(_xlpm.part, _xlpm.val, _xlpm.error, IF(_xlpm.part = "", "", IF(LEN(_xlpm.error), _xlfn.SWITCH(IFERROR(_xlfn.TEXTBEFORE(_xlpm.error,":"), ""), "1", "Error", "2", "Disabled", "3", "Required", "4", "Warning", "Valid"), "Valid"))))</f>
        <v/>
      </c>
      <c r="DZ8" s="22">
        <f t="array" ref="DZ8">_xlfn.MAP('12 - Beds'!B8:B507, '12 - Beds'!DZ8:DZ507, '12 - Beds-WUO_ERR'!DZ8:DZ507, _xlfn.LAMBDA(_xlpm.part, _xlpm.val, _xlpm.error, IF(_xlpm.part = "", "", IF(LEN(_xlpm.error), _xlfn.SWITCH(IFERROR(_xlfn.TEXTBEFORE(_xlpm.error,":"), ""), "1", "Error", "2", "Disabled", "3", "Required", "4", "Warning", "Valid"), "Valid"))))</f>
        <v/>
      </c>
      <c r="EA8" s="22">
        <f t="array" ref="EA8">_xlfn.MAP('12 - Beds'!B8:B507, '12 - Beds'!EA8:EA507, '12 - Beds-WUO_ERR'!EA8:EA507, _xlfn.LAMBDA(_xlpm.part, _xlpm.val, _xlpm.error, IF(_xlpm.part = "", "", IF(LEN(_xlpm.error), _xlfn.SWITCH(IFERROR(_xlfn.TEXTBEFORE(_xlpm.error,":"), ""), "1", "Error", "2", "Disabled", "3", "Required", "4", "Warning", "Valid"), "Valid"))))</f>
        <v/>
      </c>
      <c r="EB8" s="22">
        <f t="array" ref="EB8">_xlfn.MAP('12 - Beds'!B8:B507, '12 - Beds'!EB8:EB507, '12 - Beds-WUO_ERR'!EB8:EB507, _xlfn.LAMBDA(_xlpm.part, _xlpm.val, _xlpm.error, IF(_xlpm.part = "", "", IF(LEN(_xlpm.error), _xlfn.SWITCH(IFERROR(_xlfn.TEXTBEFORE(_xlpm.error,":"), ""), "1", "Error", "2", "Disabled", "3", "Required", "4", "Warning", "Valid"), "Valid"))))</f>
        <v/>
      </c>
      <c r="EC8" s="22">
        <f t="array" ref="EC8">_xlfn.MAP('12 - Beds'!B8:B507, '12 - Beds'!EC8:EC507, '12 - Beds-WUO_ERR'!EC8:EC507, _xlfn.LAMBDA(_xlpm.part, _xlpm.val, _xlpm.error, IF(_xlpm.part = "", "", IF(LEN(_xlpm.error), _xlfn.SWITCH(IFERROR(_xlfn.TEXTBEFORE(_xlpm.error,":"), ""), "1", "Error", "2", "Disabled", "3", "Required", "4", "Warning", "Valid"), "Valid"))))</f>
        <v/>
      </c>
      <c r="ED8" s="22">
        <f t="array" ref="ED8">_xlfn.MAP('12 - Beds'!B8:B507, '12 - Beds'!ED8:ED507, '12 - Beds-WUO_ERR'!ED8:ED507, _xlfn.LAMBDA(_xlpm.part, _xlpm.val, _xlpm.error, IF(_xlpm.part = "", "", IF(LEN(_xlpm.error), _xlfn.SWITCH(IFERROR(_xlfn.TEXTBEFORE(_xlpm.error,":"), ""), "1", "Error", "2", "Disabled", "3", "Required", "4", "Warning", "Valid"), "Valid"))))</f>
        <v/>
      </c>
      <c r="EE8" s="22">
        <f t="array" ref="EE8">_xlfn.MAP('12 - Beds'!B8:B507, '12 - Beds'!EE8:EE507, '12 - Beds-WUO_ERR'!EE8:EE507, _xlfn.LAMBDA(_xlpm.part, _xlpm.val, _xlpm.error, IF(_xlpm.part = "", "", IF(LEN(_xlpm.error), _xlfn.SWITCH(IFERROR(_xlfn.TEXTBEFORE(_xlpm.error,":"), ""), "1", "Error", "2", "Disabled", "3", "Required", "4", "Warning", "Valid"), "Valid"))))</f>
        <v/>
      </c>
      <c r="EF8" s="22">
        <f t="array" ref="EF8">_xlfn.MAP('12 - Beds'!B8:B507, '12 - Beds'!EF8:EF507, '12 - Beds-WUO_ERR'!EF8:EF507, _xlfn.LAMBDA(_xlpm.part, _xlpm.val, _xlpm.error, IF(_xlpm.part = "", "", IF(LEN(_xlpm.error), _xlfn.SWITCH(IFERROR(_xlfn.TEXTBEFORE(_xlpm.error,":"), ""), "1", "Error", "2", "Disabled", "3", "Required", "4", "Warning", "Valid"), "Valid"))))</f>
        <v/>
      </c>
      <c r="EG8" s="22">
        <f t="array" ref="EG8">_xlfn.MAP('12 - Beds'!B8:B507, '12 - Beds'!EG8:EG507, '12 - Beds-WUO_ERR'!EG8:EG507, _xlfn.LAMBDA(_xlpm.part, _xlpm.val, _xlpm.error, IF(_xlpm.part = "", "", IF(LEN(_xlpm.error), _xlfn.SWITCH(IFERROR(_xlfn.TEXTBEFORE(_xlpm.error,":"), ""), "1", "Error", "2", "Disabled", "3", "Required", "4", "Warning", "Valid"), "Valid"))))</f>
        <v/>
      </c>
      <c r="EH8" s="22">
        <f t="array" ref="EH8">_xlfn.MAP('12 - Beds'!B8:B507, '12 - Beds'!EH8:EH507, '12 - Beds-WUO_ERR'!EH8:EH507, _xlfn.LAMBDA(_xlpm.part, _xlpm.val, _xlpm.error, IF(_xlpm.part = "", "", IF(LEN(_xlpm.error), _xlfn.SWITCH(IFERROR(_xlfn.TEXTBEFORE(_xlpm.error,":"), ""), "1", "Error", "2", "Disabled", "3", "Required", "4", "Warning", "Valid"), "Valid"))))</f>
        <v/>
      </c>
      <c r="EI8" s="22">
        <f t="array" ref="EI8">_xlfn.MAP('12 - Beds'!B8:B507, '12 - Beds'!EI8:EI507, '12 - Beds-WUO_ERR'!EI8:EI507, _xlfn.LAMBDA(_xlpm.part, _xlpm.val, _xlpm.error, IF(_xlpm.part = "", "", IF(LEN(_xlpm.error), _xlfn.SWITCH(IFERROR(_xlfn.TEXTBEFORE(_xlpm.error,":"), ""), "1", "Error", "2", "Disabled", "3", "Required", "4", "Warning", "Valid"), "Valid"))))</f>
        <v/>
      </c>
      <c r="EJ8" s="22">
        <f t="array" ref="EJ8">_xlfn.MAP('12 - Beds'!B8:B507, '12 - Beds'!EJ8:EJ507, '12 - Beds-WUO_ERR'!EJ8:EJ507, _xlfn.LAMBDA(_xlpm.part, _xlpm.val, _xlpm.error, IF(_xlpm.part = "", "", IF(LEN(_xlpm.error), _xlfn.SWITCH(IFERROR(_xlfn.TEXTBEFORE(_xlpm.error,":"), ""), "1", "Error", "2", "Disabled", "3", "Required", "4", "Warning", "Valid"), "Valid"))))</f>
        <v/>
      </c>
      <c r="EK8" s="22">
        <f t="array" ref="EK8">_xlfn.MAP('12 - Beds'!B8:B507, '12 - Beds'!EK8:EK507, '12 - Beds-WUO_ERR'!EK8:EK507, _xlfn.LAMBDA(_xlpm.part, _xlpm.val, _xlpm.error, IF(_xlpm.part = "", "", IF(LEN(_xlpm.error), _xlfn.SWITCH(IFERROR(_xlfn.TEXTBEFORE(_xlpm.error,":"), ""), "1", "Error", "2", "Disabled", "3", "Required", "4", "Warning", "Valid"), "Valid"))))</f>
        <v/>
      </c>
      <c r="EL8" s="22">
        <f t="array" ref="EL8">_xlfn.MAP('12 - Beds'!B8:B507, '12 - Beds'!EL8:EL507, '12 - Beds-WUO_ERR'!EL8:EL507, _xlfn.LAMBDA(_xlpm.part, _xlpm.val, _xlpm.error, IF(_xlpm.part = "", "", IF(LEN(_xlpm.error), _xlfn.SWITCH(IFERROR(_xlfn.TEXTBEFORE(_xlpm.error,":"), ""), "1", "Error", "2", "Disabled", "3", "Required", "4", "Warning", "Valid"), "Valid"))))</f>
        <v/>
      </c>
      <c r="EM8" s="22">
        <f t="array" ref="EM8">_xlfn.MAP('12 - Beds'!B8:B507, '12 - Beds'!EM8:EM507, '12 - Beds-WUO_ERR'!EM8:EM507, _xlfn.LAMBDA(_xlpm.part, _xlpm.val, _xlpm.error, IF(_xlpm.part = "", "", IF(LEN(_xlpm.error), _xlfn.SWITCH(IFERROR(_xlfn.TEXTBEFORE(_xlpm.error,":"), ""), "1", "Error", "2", "Disabled", "3", "Required", "4", "Warning", "Valid"), "Valid"))))</f>
        <v/>
      </c>
      <c r="EN8" s="22">
        <f t="array" ref="EN8">_xlfn.MAP('12 - Beds'!B8:B507, '12 - Beds'!EN8:EN507, '12 - Beds-WUO_ERR'!EN8:EN507, _xlfn.LAMBDA(_xlpm.part, _xlpm.val, _xlpm.error, IF(_xlpm.part = "", "", IF(LEN(_xlpm.error), _xlfn.SWITCH(IFERROR(_xlfn.TEXTBEFORE(_xlpm.error,":"), ""), "1", "Error", "2", "Disabled", "3", "Required", "4", "Warning", "Valid"), "Valid"))))</f>
        <v/>
      </c>
      <c r="EO8" s="22">
        <f t="array" ref="EO8">_xlfn.MAP('12 - Beds'!B8:B507, '12 - Beds'!EO8:EO507, '12 - Beds-WUO_ERR'!EO8:EO507, _xlfn.LAMBDA(_xlpm.part, _xlpm.val, _xlpm.error, IF(_xlpm.part = "", "", IF(LEN(_xlpm.error), _xlfn.SWITCH(IFERROR(_xlfn.TEXTBEFORE(_xlpm.error,":"), ""), "1", "Error", "2", "Disabled", "3", "Required", "4", "Warning", "Valid"), "Valid"))))</f>
        <v/>
      </c>
      <c r="EP8" s="22">
        <f t="array" ref="EP8">_xlfn.MAP('12 - Beds'!B8:B507, '12 - Beds'!EP8:EP507, '12 - Beds-WUO_ERR'!EP8:EP507, _xlfn.LAMBDA(_xlpm.part, _xlpm.val, _xlpm.error, IF(_xlpm.part = "", "", IF(LEN(_xlpm.error), _xlfn.SWITCH(IFERROR(_xlfn.TEXTBEFORE(_xlpm.error,":"), ""), "1", "Error", "2", "Disabled", "3", "Required", "4", "Warning", "Valid"), "Valid"))))</f>
        <v/>
      </c>
      <c r="EQ8" s="22">
        <f t="array" ref="EQ8">_xlfn.MAP('12 - Beds'!B8:B507, '12 - Beds'!EQ8:EQ507, '12 - Beds-WUO_ERR'!EQ8:EQ507, _xlfn.LAMBDA(_xlpm.part, _xlpm.val, _xlpm.error, IF(_xlpm.part = "", "", IF(LEN(_xlpm.error), _xlfn.SWITCH(IFERROR(_xlfn.TEXTBEFORE(_xlpm.error,":"), ""), "1", "Error", "2", "Disabled", "3", "Required", "4", "Warning", "Valid"), "Valid"))))</f>
        <v/>
      </c>
      <c r="ER8" s="22">
        <f t="array" ref="ER8">_xlfn.MAP('12 - Beds'!B8:B507, '12 - Beds'!ER8:ER507, '12 - Beds-WUO_ERR'!ER8:ER507, _xlfn.LAMBDA(_xlpm.part, _xlpm.val, _xlpm.error, IF(_xlpm.part = "", "", IF(LEN(_xlpm.error), _xlfn.SWITCH(IFERROR(_xlfn.TEXTBEFORE(_xlpm.error,":"), ""), "1", "Error", "2", "Disabled", "3", "Required", "4", "Warning", "Valid"), "Valid"))))</f>
        <v/>
      </c>
      <c r="ES8" s="22">
        <f t="array" ref="ES8">_xlfn.MAP('12 - Beds'!B8:B507, '12 - Beds'!ES8:ES507, '12 - Beds-WUO_ERR'!ES8:ES507, _xlfn.LAMBDA(_xlpm.part, _xlpm.val, _xlpm.error, IF(_xlpm.part = "", "", IF(LEN(_xlpm.error), _xlfn.SWITCH(IFERROR(_xlfn.TEXTBEFORE(_xlpm.error,":"), ""), "1", "Error", "2", "Disabled", "3", "Required", "4", "Warning", "Valid"), "Valid"))))</f>
        <v/>
      </c>
      <c r="ET8" s="22">
        <f t="array" ref="ET8">_xlfn.MAP('12 - Beds'!B8:B507, '12 - Beds'!ET8:ET507, '12 - Beds-WUO_ERR'!ET8:ET507, _xlfn.LAMBDA(_xlpm.part, _xlpm.val, _xlpm.error, IF(_xlpm.part = "", "", IF(LEN(_xlpm.error), _xlfn.SWITCH(IFERROR(_xlfn.TEXTBEFORE(_xlpm.error,":"), ""), "1", "Error", "2", "Disabled", "3", "Required", "4", "Warning", "Valid"), "Valid"))))</f>
        <v/>
      </c>
      <c r="EU8" s="22">
        <f t="array" ref="EU8">_xlfn.MAP('12 - Beds'!B8:B507, '12 - Beds'!EU8:EU507, '12 - Beds-WUO_ERR'!EU8:EU507, _xlfn.LAMBDA(_xlpm.part, _xlpm.val, _xlpm.error, IF(_xlpm.part = "", "", IF(LEN(_xlpm.error), _xlfn.SWITCH(IFERROR(_xlfn.TEXTBEFORE(_xlpm.error,":"), ""), "1", "Error", "2", "Disabled", "3", "Required", "4", "Warning", "Valid"), "Valid"))))</f>
        <v/>
      </c>
      <c r="EV8" s="22">
        <f t="array" ref="EV8">_xlfn.MAP('12 - Beds'!B8:B507, '12 - Beds'!EV8:EV507, '12 - Beds-WUO_ERR'!EV8:EV507, _xlfn.LAMBDA(_xlpm.part, _xlpm.val, _xlpm.error, IF(_xlpm.part = "", "", IF(LEN(_xlpm.error), _xlfn.SWITCH(IFERROR(_xlfn.TEXTBEFORE(_xlpm.error,":"), ""), "1", "Error", "2", "Disabled", "3", "Required", "4", "Warning", "Valid"), "Valid"))))</f>
        <v/>
      </c>
      <c r="EW8" s="22">
        <f t="array" ref="EW8">_xlfn.MAP('12 - Beds'!B8:B507, '12 - Beds'!EW8:EW507, '12 - Beds-WUO_ERR'!EW8:EW507, _xlfn.LAMBDA(_xlpm.part, _xlpm.val, _xlpm.error, IF(_xlpm.part = "", "", IF(LEN(_xlpm.error), _xlfn.SWITCH(IFERROR(_xlfn.TEXTBEFORE(_xlpm.error,":"), ""), "1", "Error", "2", "Disabled", "3", "Required", "4", "Warning", "Valid"), "Valid"))))</f>
        <v/>
      </c>
      <c r="EX8" s="22">
        <f t="array" ref="EX8">_xlfn.MAP('12 - Beds'!B8:B507, '12 - Beds'!EX8:EX507, '12 - Beds-WUO_ERR'!EX8:EX507, _xlfn.LAMBDA(_xlpm.part, _xlpm.val, _xlpm.error, IF(_xlpm.part = "", "", IF(LEN(_xlpm.error), _xlfn.SWITCH(IFERROR(_xlfn.TEXTBEFORE(_xlpm.error,":"), ""), "1", "Error", "2", "Disabled", "3", "Required", "4", "Warning", "Valid"), "Valid"))))</f>
        <v/>
      </c>
      <c r="EY8" s="22">
        <f t="array" ref="EY8">_xlfn.MAP('12 - Beds'!B8:B507, '12 - Beds'!EY8:EY507, '12 - Beds-WUO_ERR'!EY8:EY507, _xlfn.LAMBDA(_xlpm.part, _xlpm.val, _xlpm.error, IF(_xlpm.part = "", "", IF(LEN(_xlpm.error), _xlfn.SWITCH(IFERROR(_xlfn.TEXTBEFORE(_xlpm.error,":"), ""), "1", "Error", "2", "Disabled", "3", "Required", "4", "Warning", "Valid"), "Valid"))))</f>
        <v/>
      </c>
      <c r="EZ8" s="22">
        <f t="array" ref="EZ8">_xlfn.MAP('12 - Beds'!B8:B507, '12 - Beds'!EZ8:EZ507, '12 - Beds-WUO_ERR'!EZ8:EZ507, _xlfn.LAMBDA(_xlpm.part, _xlpm.val, _xlpm.error, IF(_xlpm.part = "", "", IF(LEN(_xlpm.error), _xlfn.SWITCH(IFERROR(_xlfn.TEXTBEFORE(_xlpm.error,":"), ""), "1", "Error", "2", "Disabled", "3", "Required", "4", "Warning", "Valid"), "Valid"))))</f>
        <v/>
      </c>
      <c r="FA8" s="22">
        <f t="array" ref="FA8">_xlfn.MAP('12 - Beds'!B8:B507, '12 - Beds'!FA8:FA507, '12 - Beds-WUO_ERR'!FA8:FA507, _xlfn.LAMBDA(_xlpm.part, _xlpm.val, _xlpm.error, IF(_xlpm.part = "", "", IF(LEN(_xlpm.error), _xlfn.SWITCH(IFERROR(_xlfn.TEXTBEFORE(_xlpm.error,":"), ""), "1", "Error", "2", "Disabled", "3", "Required", "4", "Warning", "Valid"), "Valid"))))</f>
        <v/>
      </c>
      <c r="FB8" s="22">
        <f t="array" ref="FB8">_xlfn.MAP('12 - Beds'!B8:B507, '12 - Beds'!FB8:FB507, '12 - Beds-WUO_ERR'!FB8:FB507, _xlfn.LAMBDA(_xlpm.part, _xlpm.val, _xlpm.error, IF(_xlpm.part = "", "", IF(LEN(_xlpm.error), _xlfn.SWITCH(IFERROR(_xlfn.TEXTBEFORE(_xlpm.error,":"), ""), "1", "Error", "2", "Disabled", "3", "Required", "4", "Warning", "Valid"), "Valid"))))</f>
        <v/>
      </c>
      <c r="FC8" s="22">
        <f t="array" ref="FC8">_xlfn.MAP('12 - Beds'!B8:B507, '12 - Beds'!FC8:FC507, '12 - Beds-WUO_ERR'!FC8:FC507,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94CF"/>
  <mergeCells count="9">
    <mergeCell ref="AL2:AO2"/>
    <mergeCell ref="BO2:FC2"/>
    <mergeCell ref="AP2:AS2"/>
    <mergeCell ref="U2:Z2"/>
    <mergeCell ref="R2:T2"/>
    <mergeCell ref="B2:I2"/>
    <mergeCell ref="AA2:AK2"/>
    <mergeCell ref="AT2:BN2"/>
    <mergeCell ref="J2:Q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Mattress Size" error="The value provided is not a valid Mattress Size." promptTitle="" prompt="If all products in this class consistently have the same answer, you can set a default value to apply automatically. For any exceptions, you can modify the answer for specific products without changing the default." type="list">
      <formula1>'WAYFAIR_USE_ONLY'!$HX$7:$HX25</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errorTitle="Invalid Bed Design" error="The value provided is not a valid Bed Design.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'WAYFAIR_USE_ONLY'!$HY$7:$HY22</formula1>
    </dataValidation>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errorTitle="Invalid Wooden Components" error="The value provided is not a valid Wooden Components." promptTitle="" prompt="If all products in this class consistently have the same answer, you can set a default value to apply automatically. For any exceptions, you can modify the answer for specific products without changing the default." type="list">
      <formula1>'WAYFAIR_USE_ONLY'!$HZ$7:$HZ11</formula1>
    </dataValidation>
    <dataValidation sqref="BT7" showDropDown="0" showInputMessage="1" showErrorMessage="1" allowBlank="1" errorTitle="Invalid Upholstered" error="The value provided is not a valid Upholstered." promptTitle="" prompt="If all products in this class consistently have the same answer, you can set a default value to apply automatically. For any exceptions, you can modify the answer for specific products without changing the default." type="list">
      <formula1>'WAYFAIR_USE_ONLY'!$IA$7:$IA9</formula1>
    </dataValidation>
    <dataValidation sqref="B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V7" showDropDown="0" showInputMessage="1" showErrorMessage="1" allowBlank="1" errorTitle="Invalid Faux Leather Type" error="The value provided is not a valid Faux Leather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'WAYFAIR_USE_ONLY'!$IB$7:$IB18</formula1>
    </dataValidation>
    <dataValidation sqref="BW7" showDropDown="0" showInputMessage="1" showErrorMessage="1" allowBlank="1" errorTitle="Invalid Box Spring Required" error="The value provided is not a valid Box Spring Required." promptTitle="" prompt="If all products in this class consistently have the same answer, you can set a default value to apply automatically. For any exceptions, you can modify the answer for specific products without changing the default." type="list">
      <formula1>'WAYFAIR_USE_ONLY'!$IC$7:$IC9</formula1>
    </dataValidation>
    <dataValidation sqref="B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Y7" showDropDown="0" showInputMessage="1" showErrorMessage="1" allowBlank="1" errorTitle="Invalid Center Support Legs" error="The value provided is not a valid Center Support Legs." promptTitle="" prompt="If all products in this class consistently have the same answer, you can set a default value to apply automatically. For any exceptions, you can modify the answer for specific products without changing the default." type="list">
      <formula1>'WAYFAIR_USE_ONLY'!$ID$7:$ID10</formula1>
    </dataValidation>
    <dataValidation sqref="BZ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A7" showDropDown="0" showInputMessage="1" showErrorMessage="1" allowBlank="1" errorTitle="Invalid Footboard Included" error="The value provided is not a valid Footboard Included." promptTitle="" prompt="If all products in this class consistently have the same answer, you can set a default value to apply automatically. For any exceptions, you can modify the answer for specific products without changing the default." type="list">
      <formula1>'WAYFAIR_USE_ONLY'!$IE$7:$IE10</formula1>
    </dataValidation>
    <dataValidation sqref="C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C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'WAYFAIR_USE_ONLY'!$IF$7:$IF9</formula1>
    </dataValidation>
    <dataValidation sqref="CD7" showDropDown="0" showInputMessage="1" showErrorMessage="1" allowBlank="1" errorTitle="Invalid Compatible with Adjustab" error="The value provided is not a valid Compatible with Adjustable Bed Base." promptTitle="" prompt="If all products in this class consistently have the same answer, you can set a default value to apply automatically. For any exceptions, you can modify the answer for specific products without changing the default." type="list">
      <formula1>'WAYFAIR_USE_ONLY'!$IG$7:$IG10</formula1>
    </dataValidation>
    <dataValidation sqref="CE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'WAYFAIR_USE_ONLY'!$IH$7:$IH9</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J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'WAYFAIR_USE_ONLY'!$II$7:$II26</formula1>
    </dataValidation>
    <dataValidation sqref="CK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'WAYFAIR_USE_ONLY'!$IJ$7:$IJ11</formula1>
    </dataValidation>
    <dataValidation sqref="C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M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N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'WAYFAIR_USE_ONLY'!$IR$7:$IR10</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'WAYFAIR_USE_ONLY'!$IL$7:$IL17</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'WAYFAIR_USE_ONLY'!$IK$7:$IK11</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'WAYFAIR_USE_ONLY'!$IM$7:$IM19</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'WAYFAIR_USE_ONLY'!$IN$7:$IN11</formula1>
    </dataValidation>
    <dataValidation sqref="CS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S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'WAYFAIR_USE_ONLY'!$IO$7:$IO14</formula1>
    </dataValidation>
    <dataValidation sqref="CT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T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'WAYFAIR_USE_ONLY'!$IP$7:$IP14</formula1>
    </dataValidation>
    <dataValidation sqref="CU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U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'WAYFAIR_USE_ONLY'!$IQ$7:$IQ12</formula1>
    </dataValidation>
    <dataValidation sqref="CV7" showDropDown="0" showInputMessage="1" showErrorMessage="1" allowBlank="1" errorTitle="Invalid Tufted" error="The value provided is not a valid Tufted." promptTitle="" prompt="If all products in this class consistently have the same answer, you can set a default value to apply automatically. For any exceptions, you can modify the answer for specific products without changing the default." type="list">
      <formula1>'WAYFAIR_USE_ONLY'!$IS$7:$IS10</formula1>
    </dataValidation>
    <dataValidation sqref="CW7" showDropDown="0" showInputMessage="1" showErrorMessage="1" allowBlank="1" errorTitle="Invalid Nailhead Trim" error="The value provided is not a valid Nailhead Trim." promptTitle="" prompt="If all products in this class consistently have the same answer, you can set a default value to apply automatically. For any exceptions, you can modify the answer for specific products without changing the default." type="list">
      <formula1>'WAYFAIR_USE_ONLY'!$IT$7:$IT9</formula1>
    </dataValidation>
    <dataValidation sqref="CX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'WAYFAIR_USE_ONLY'!$IU$7:$IU10</formula1>
    </dataValidation>
    <dataValidation sqref="CY7" showDropDown="0" showInputMessage="1" showErrorMessage="1" allowBlank="1" errorTitle="Invalid Finished Back" error="The value provided is not a valid Finished Back." promptTitle="" prompt="If all products in this class consistently have the same answer, you can set a default value to apply automatically. For any exceptions, you can modify the answer for specific products without changing the default." type="list">
      <formula1>'WAYFAIR_USE_ONLY'!$IV$7:$IV10</formula1>
    </dataValidation>
    <dataValidation sqref="CZ7" showDropDown="0" showInputMessage="1" showErrorMessage="1" allowBlank="1" errorTitle="Invalid Manufactured Wood Type" error="The value provided is not a valid Manufactured Wood Type." promptTitle="" prompt="If all products in this class consistently have the same answer, you can set a default value to apply automatically. For any exceptions, you can modify the answer for specific products without changing the default." type="list">
      <formula1>'WAYFAIR_USE_ONLY'!$IW$7:$IW12</formula1>
    </dataValidation>
    <dataValidation sqref="DA7" showDropDown="0" showInputMessage="1" showErrorMessage="1" allowBlank="1" errorTitle="Invalid Lighted Headboard" error="The value provided is not a valid Lighted Headboard." promptTitle="" prompt="If all products in this class consistently have the same answer, you can set a default value to apply automatically. For any exceptions, you can modify the answer for specific products without changing the default." type="list">
      <formula1>'WAYFAIR_USE_ONLY'!$IX$7:$IX10</formula1>
    </dataValidation>
    <dataValidation sqref="DB7" showDropDown="0" showInputMessage="1" showErrorMessage="1" allowBlank="1" errorTitle="Invalid Leather Type" error="The value provided is not a valid Leather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'WAYFAIR_USE_ONLY'!$IY$7:$IY19</formula1>
    </dataValidation>
    <dataValidation sqref="DC7" showDropDown="0" showInputMessage="1" showErrorMessage="1" allowBlank="1" errorTitle="Invalid Upholstery Fabric Qualit" error="The value provided is not a valid Upholstery Fabric Quality.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'WAYFAIR_USE_ONLY'!$IZ$7:$IZ15</formula1>
    </dataValidation>
    <dataValidation sqref="DD7" showDropDown="0" showInputMessage="1" showErrorMessage="1" allowBlank="1" errorTitle="Invalid Headboard Shape" error="The value provided is not a valid Headboard Shape." promptTitle="" prompt="If all products in this class consistently have the same answer, you can set a default value to apply automatically. For any exceptions, you can modify the answer for specific products without changing the default." type="list">
      <formula1>'WAYFAIR_USE_ONLY'!$JA$7:$JA18</formula1>
    </dataValidation>
    <dataValidation sqref="DE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F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'WAYFAIR_USE_ONLY'!$JB$7:$JB11</formula1>
    </dataValidation>
    <dataValidation sqref="DG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'WAYFAIR_USE_ONLY'!$JC$7:$JC11</formula1>
    </dataValidation>
    <dataValidation sqref="D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I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K7" showDropDown="0" showInputMessage="1" showErrorMessage="1" allowBlank="1" errorTitle="Invalid Additional Intended Use " error="The value provided is not a valid Additional Intended Use For Child." promptTitle="" prompt="If all products in this class consistently have the same answer, you can set a default value to apply automatically. For any exceptions, you can modify the answer for specific products without changing the default." type="list">
      <formula1>'WAYFAIR_USE_ONLY'!$JD$7:$JD9</formula1>
    </dataValidation>
    <dataValidation sqref="DL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'WAYFAIR_USE_ONLY'!$JH$7:$JH10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'WAYFAIR_USE_ONLY'!$JE$7:$JE11</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'WAYFAIR_USE_ONLY'!$JF$7:$JF11</formula1>
    </dataValidation>
    <dataValidation sqref="DO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O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'WAYFAIR_USE_ONLY'!$JG$7:$JG11</formula1>
    </dataValidation>
    <dataValidation sqref="DP7" showDropDown="0" showInputMessage="1" showErrorMessage="1" allowBlank="1" errorTitle="Invalid SOR/2016-183 Compliant" error="The value provided is not a valid SOR/2016-183 Compliant." promptTitle="" prompt="If all products in this class consistently have the same answer, you can set a default value to apply automatically. For any exceptions, you can modify the answer for specific products without changing the default." type="list">
      <formula1>'WAYFAIR_USE_ONLY'!$JI$7:$JI11</formula1>
    </dataValidation>
    <dataValidation sqref="DQ7" showDropDown="0" showInputMessage="1" showErrorMessage="1" allowBlank="1" errorTitle="Invalid CAL TB 116 Compliant" error="The value provided is not a valid CAL TB 116 Compliant." promptTitle="" prompt="If all products in this class consistently have the same answer, you can set a default value to apply automatically. For any exceptions, you can modify the answer for specific products without changing the default." type="list">
      <formula1>'WAYFAIR_USE_ONLY'!$JJ$7:$JJ12</formula1>
    </dataValidation>
    <dataValidation sqref="DR7" showDropDown="0" showInputMessage="1" showErrorMessage="1" allowBlank="1" errorTitle="Invalid CAL TB 117-2013 Complian" error="The value provided is not a valid CAL TB 117-2013 Compliant." promptTitle="" prompt="If all products in this class consistently have the same answer, you can set a default value to apply automatically. For any exceptions, you can modify the answer for specific products without changing the default." type="list">
      <formula1>'WAYFAIR_USE_ONLY'!$JK$7:$JK12</formula1>
    </dataValidation>
    <dataValidation sqref="DS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'WAYFAIR_USE_ONLY'!$JL$7:$JL10</formula1>
    </dataValidation>
    <dataValidation sqref="DT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'WAYFAIR_USE_ONLY'!$JM$7:$JM9</formula1>
    </dataValidation>
    <dataValidation sqref="DU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V7" showDropDown="0" showInputMessage="1" showErrorMessage="1" allowBlank="1" errorTitle="Invalid Textile Labelling and Ad" error="The value provided is not a valid Textile Labelling and Advertising Regulations (C.R.C., c. 1551)." promptTitle="" prompt="If all products in this class consistently have the same answer, you can set a default value to apply automatically. For any exceptions, you can modify the answer for specific products without changing the default." type="list">
      <formula1>'WAYFAIR_USE_ONLY'!$JN$7:$JN11</formula1>
    </dataValidation>
    <dataValidation sqref="DW7" showDropDown="0" showInputMessage="1" showErrorMessage="1" allowBlank="1" errorTitle="Invalid SOR/2016-194 - Textile F" error="The value provided is not a valid SOR/2016-194 - Textile Flammability Regulations." promptTitle="" prompt="If all products in this class consistently have the same answer, you can set a default value to apply automatically. For any exceptions, you can modify the answer for specific products without changing the default." type="list">
      <formula1>'WAYFAIR_USE_ONLY'!$JO$7:$JO11</formula1>
    </dataValidation>
    <dataValidation sqref="DX7" showDropDown="0" showInputMessage="1" showErrorMessage="1" allowBlank="1" errorTitle="Invalid SOFFA Compliant" error="The value provided is not a valid SOFFA Compliant." promptTitle="" prompt="If all products in this class consistently have the same answer, you can set a default value to apply automatically. For any exceptions, you can modify the answer for specific products without changing the default." type="list">
      <formula1>'WAYFAIR_USE_ONLY'!$JP$7:$JP10</formula1>
    </dataValidation>
    <dataValidation sqref="DY7" showDropDown="0" showInputMessage="1" showErrorMessage="1" allowBlank="1" errorTitle="Invalid Children’s Product Certi" error="The value provided is not a valid Children’s Product Certificate (CPC)." promptTitle="" prompt="If all products in this class consistently have the same answer, you can set a default value to apply automatically. For any exceptions, you can modify the answer for specific products without changing the default." type="list">
      <formula1>'WAYFAIR_USE_ONLY'!$JQ$7:$JQ11</formula1>
    </dataValidation>
    <dataValidation sqref="DZ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'WAYFAIR_USE_ONLY'!$JR$7:$JR11</formula1>
    </dataValidation>
    <dataValidation sqref="EA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'WAYFAIR_USE_ONLY'!$JV$7:$JV9</formula1>
    </dataValidation>
    <dataValidation sqref="EB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C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C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'WAYFAIR_USE_ONLY'!$JS$7:$JS23</formula1>
    </dataValidation>
    <dataValidation sqref="ED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D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'WAYFAIR_USE_ONLY'!$JT$7:$JT12</formula1>
    </dataValidation>
    <dataValidation sqref="EE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E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'WAYFAIR_USE_ONLY'!$JU$7:$JU19</formula1>
    </dataValidation>
    <dataValidation sqref="EF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'WAYFAIR_USE_ONLY'!$JW$7:$JW11</formula1>
    </dataValidation>
    <dataValidation sqref="EG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'WAYFAIR_USE_ONLY'!$JX$7:$JX10</formula1>
    </dataValidation>
    <dataValidation sqref="EH7" showDropDown="0" showInputMessage="1" showErrorMessage="1" allowBlank="1" errorTitle="Invalid California AB-1817 Compl" error="The value provided is not a valid California AB-1817 Compliant (CA PFAS)." promptTitle="" prompt="If all products in this class consistently have the same answer, you can set a default value to apply automatically. For any exceptions, you can modify the answer for specific products without changing the default." type="list">
      <formula1>'WAYFAIR_USE_ONLY'!$JY$7:$JY11</formula1>
    </dataValidation>
    <dataValidation sqref="EI7" showDropDown="0" showInputMessage="1" showErrorMessage="1" allowBlank="1" errorTitle="Invalid SOR/2016-193 - Surface C" error="The value provided is not a valid SOR/2016-193 - Surface Coating Materials Regulations." promptTitle="" prompt="If all products in this class consistently have the same answer, you can set a default value to apply automatically. For any exceptions, you can modify the answer for specific products without changing the default." type="list">
      <formula1>'WAYFAIR_USE_ONLY'!$JZ$7:$JZ11</formula1>
    </dataValidation>
    <dataValidation sqref="EJ7" showDropDown="0" showInputMessage="1" showErrorMessage="1" allowBlank="1" errorTitle="Invalid Consumer Product Safety " error="The value provided is not a valid Consumer Product Safety Improvement Act (CPSIA) Compliant." promptTitle="" prompt="If all products in this class consistently have the same answer, you can set a default value to apply automatically. For any exceptions, you can modify the answer for specific products without changing the default." type="list">
      <formula1>'WAYFAIR_USE_ONLY'!$KA$7:$KA11</formula1>
    </dataValidation>
    <dataValidation sqref="EK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'WAYFAIR_USE_ONLY'!$KB$7:$KB10</formula1>
    </dataValidation>
    <dataValidation sqref="EL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'WAYFAIR_USE_ONLY'!$KC$7:$KC10</formula1>
    </dataValidation>
    <dataValidation sqref="EM7" showDropDown="0" showInputMessage="1" showErrorMessage="1" allowBlank="1" errorTitle="Invalid US Mattress Flammability" error="The value provided is not a valid US Mattress Flammabilit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'WAYFAIR_USE_ONLY'!$KD$7:$KD12</formula1>
    </dataValidation>
    <dataValidation sqref="E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V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'WAYFAIR_USE_ONLY'!$KE$7:$KE9</formula1>
    </dataValidation>
    <dataValidation sqref="EW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'WAYFAIR_USE_ONLY'!$KF$7:$KF11</formula1>
    </dataValidation>
    <dataValidation sqref="E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Y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'WAYFAIR_USE_ONLY'!$KH$7:$KH10</formula1>
    </dataValidation>
    <dataValidation sqref="EZ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Z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'WAYFAIR_USE_ONLY'!$KG$7:$KG32</formula1>
    </dataValidation>
    <dataValidation sqref="FA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'WAYFAIR_USE_ONLY'!$KI$7:$KI9</formula1>
    </dataValidation>
    <dataValidation sqref="FB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'WAYFAIR_USE_ONLY'!$KJ$7:$KJ10</formula1>
    </dataValidation>
    <dataValidation sqref="F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J6" location="'Valid Values'!B1" display="Select"/>
    <hyperlink ref="L6" location="'Valid Values'!F1" display="Select"/>
    <hyperlink ref="N6" location="'Valid Values'!F1" display="Select"/>
    <hyperlink ref="P6" location="'Valid Values'!F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GG1" display="Select"/>
    <hyperlink ref="BP6" location="'Valid Values'!GH1" display="Please choose one or more from the following, using a semicolon (;) to separate each value: Blue; Black; Brown; Red; Beige; Yellow; Pink; Purple; Gold; White; Ivory; Tan; Teal; Navy; Orange; Silver; Gray; Green; Cream; Clear"/>
    <hyperlink ref="BQ6" location="'Valid Values'!GI1" display="Select"/>
    <hyperlink ref="BR6" location="'Valid Values'!GJ1" display="Please choose one or more from the following, using a semicolon (;) to separate each value: Wicker / Rattan; Stainless Steel; Raffia; Solid + Manufactured Wood; Iron; Cane; Aluminum; Manufactured Wood; Nickel; Brass; Copper; Metal; Solid Wood; Unavailable"/>
    <hyperlink ref="BU6" location="'Valid Values'!GK1" display="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
    <hyperlink ref="BV6" location="'Valid Values'!GL1" display="Select"/>
    <hyperlink ref="BX6" location="'Valid Values'!GM1" display="Please choose one or more from the following, using a semicolon (;) to separate each value: Manufactured Wood; Wood; Metal; Solid Wood; Solid + Manufactured Wood; Plywood; Bamboo; Unavailable; Does Not Apply"/>
    <hyperlink ref="CB6" location="'Valid Values'!GN1" display="Please choose one or more from the following, using a semicolon (;) to separate each value: Cabinet; Footboard Storage; No Storage Included; Shelves; Drawers; Lift Up Storage; Unavailable; Does Not Apply"/>
    <hyperlink ref="CF6" location="'Valid Values'!GO1" display="Please choose one or more from the following, using a semicolon (;) to separate each value: No Natural Variation; Natural Wood Grain Color Variation; Weathered Steel; Wood Knots; Natural Stone Color Variation; Unavailable"/>
    <hyperlink ref="CG6" location="'Valid Values'!G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H6" location="'Valid Values'!GQ1" display="Please choose one or more from the following, using a semicolon (;) to separate each value: Non Residential Use; Residential Use"/>
    <hyperlink ref="CI6" location="'Valid Values'!GR1" display="Please choose one or more from the following, using a semicolon (;) to separate each value: Made in USA; Made in USA of Imported Materials; Product of Canada; Made In Canada; Does Not Apply"/>
    <hyperlink ref="CJ6" location="'Valid Values'!GS1" display="Select"/>
    <hyperlink ref="CL6" location="'Valid Values'!GT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M6" location="'Valid Values'!GU1" display="Please choose one or more from the following, using a semicolon (;) to separate each value: Striped; Plaid; Chevron; Damask; Paisley; Geometric; Abstract; Gingham; Animal Print; Camouflage; Polka Dots; Ikat; Houndstooth; Toile; Patchwork; Ombre; Checkered; Floral; Argyle; Solid Color; No Pattern; Trellis; Dots; Starburst; Geometric Shapes; Marble; Brick; Irish Chain; Wood &amp; Shiplap; Chevron / Zig Zag; Clear; Stone; Drunkard's Path; Moroccan; Oriental; Block Print; Arc; Vintage Look; Does Not Apply"/>
    <hyperlink ref="CO6" location="'Valid Values'!GV1" display="Select"/>
    <hyperlink ref="CP6" location="'Valid Values'!GW1" display="Select"/>
    <hyperlink ref="CQ6" location="'Valid Values'!GX1" display="Select"/>
    <hyperlink ref="CR6" location="'Valid Values'!GY1" display="Select"/>
    <hyperlink ref="CS6" location="'Valid Values'!GZ1" display="Select"/>
    <hyperlink ref="CT6" location="'Valid Values'!HA1" display="Select"/>
    <hyperlink ref="CU6" location="'Valid Values'!HB1" display="Select"/>
    <hyperlink ref="CZ6" location="'Valid Values'!HC1" display="Select"/>
    <hyperlink ref="DB6" location="'Valid Values'!HD1" display="Select"/>
    <hyperlink ref="DC6" location="'Valid Values'!HE1" display="Select"/>
    <hyperlink ref="DD6" location="'Valid Values'!HF1" display="Select"/>
    <hyperlink ref="DE6" location="'Valid Values'!HG1" display="Please choose one or more from the following, using a semicolon (;) to separate each value: Built In Outlet (AC); Built in USB-C Port; LED Lighting Included; Lighting Included; Built In Speaker; Reclining Headboard Function; Built In USB Port; Adjustable Lighting; Unavailable; Does Not Apply"/>
    <hyperlink ref="DH6" location="'Valid Values'!HH1" display="Please choose one or more from the following, using a semicolon (;) to separate each value: Box Spring; Drawers; Footboard; Headboard; Mattress; Trundle Bed; Center Support Legs; Slat Kit; Unavailable; Does Not Apply"/>
    <hyperlink ref="DJ6" location="'Valid Values'!HI1" display="Please choose one or more from the following, using a semicolon (;) to separate each value: InsideOut®; Sustain®; Sunbrella®; Revolution Performance Fabric®; Livesmart®; Perennials®; Outdura; Crypton®; Suncrylic; Richloom Fortress® Home Performance; Eco Ease® Performance Fabric; Unavailable; Does Not Apply"/>
    <hyperlink ref="DM6" location="'Valid Values'!HJ1" display="Select"/>
    <hyperlink ref="DN6" location="'Valid Values'!HK1" display="Select"/>
    <hyperlink ref="DO6" location="'Valid Values'!HL1" display="Select"/>
    <hyperlink ref="DP6" location="'Valid Values'!HM1" display="Select"/>
    <hyperlink ref="DQ6" location="'Valid Values'!HN1" display="Select"/>
    <hyperlink ref="DR6" location="'Valid Values'!HO1" display="Select"/>
    <hyperlink ref="DS6" location="'Valid Values'!HP1" display="Select"/>
    <hyperlink ref="DU6" location="'Valid Values'!HQ1" display="Please choose one or more from the following, using a semicolon (;) to separate each value: Dual Language; Distribution Conflict; Logistics; Does Not Apply"/>
    <hyperlink ref="DV6" location="'Valid Values'!HR1" display="Select"/>
    <hyperlink ref="DW6" location="'Valid Values'!HS1" display="Select"/>
    <hyperlink ref="DY6" location="'Valid Values'!HT1" display="Select"/>
    <hyperlink ref="DZ6" location="'Valid Values'!HU1" display="Select"/>
    <hyperlink ref="EB6" location="'Valid Values'!HV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EC6" location="'Valid Values'!HW1" display="Select"/>
    <hyperlink ref="ED6" location="'Valid Values'!HX1" display="Select"/>
    <hyperlink ref="EE6" location="'Valid Values'!HY1" display="Select"/>
    <hyperlink ref="EF6" location="'Valid Values'!HZ1" display="Select"/>
    <hyperlink ref="EG6" location="'Valid Values'!IA1" display="Select"/>
    <hyperlink ref="EH6" location="'Valid Values'!IB1" display="Select"/>
    <hyperlink ref="EI6" location="'Valid Values'!IC1" display="Select"/>
    <hyperlink ref="EJ6" location="'Valid Values'!ID1" display="Select"/>
    <hyperlink ref="EK6" location="'Valid Values'!IE1" display="Select"/>
    <hyperlink ref="EM6" location="'Valid Values'!IF1" display="Select"/>
    <hyperlink ref="EW6" location="'Valid Values'!IG1" display="Select"/>
    <hyperlink ref="EX6" location="'Valid Values'!IH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Z6" location="'Valid Values'!II1" display="Select"/>
    <hyperlink ref="FB6" location="'Valid Values'!IJ1" display="Select"/>
    <hyperlink ref="FC6" location="'Valid Values'!IK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Z507"/>
  <sheetViews>
    <sheetView workbookViewId="0">
      <selection activeCell="A1" sqref="A1"/>
    </sheetView>
  </sheetViews>
  <sheetFormatPr baseColWidth="8" defaultRowHeight="15"/>
  <cols>
    <col width="35.7109375" customWidth="1" min="1" max="1"/>
    <col width="25.7109375" customWidth="1" style="22" min="2" max="2"/>
    <col width="18.7109375" customWidth="1" style="22" min="3" max="4"/>
    <col width="17.7109375" customWidth="1" style="22" min="5" max="6"/>
    <col hidden="1" min="26" max="26"/>
  </cols>
  <sheetData>
    <row r="1" hidden="1">
      <c r="B1" s="22" t="inlineStr">
        <is>
          <t>core::supplierPartNumber</t>
        </is>
      </c>
      <c r="C1" s="22" t="inlineStr">
        <is>
          <t>shippingAndFulfillment::weight</t>
        </is>
      </c>
      <c r="D1" s="22" t="inlineStr">
        <is>
          <t>shippingAndFulfillment::height</t>
        </is>
      </c>
      <c r="E1" s="22" t="inlineStr">
        <is>
          <t>shippingAndFulfillment::width</t>
        </is>
      </c>
      <c r="F1" s="22" t="inlineStr">
        <is>
          <t>shippingAndFulfillment::depth</t>
        </is>
      </c>
    </row>
    <row r="2">
      <c r="B2" s="23" t="inlineStr">
        <is>
          <t>Basic Information</t>
        </is>
      </c>
      <c r="C2" s="28" t="inlineStr">
        <is>
          <t>Carton Details</t>
        </is>
      </c>
      <c r="D2" s="41" t="n"/>
      <c r="E2" s="41" t="n"/>
      <c r="F2" s="42" t="n"/>
    </row>
    <row r="3">
      <c r="B3" s="32" t="inlineStr">
        <is>
          <t>Required</t>
        </is>
      </c>
      <c r="C3" s="32" t="inlineStr">
        <is>
          <t>Conditional</t>
        </is>
      </c>
      <c r="D3" s="32" t="inlineStr">
        <is>
          <t>Conditional</t>
        </is>
      </c>
      <c r="E3" s="32" t="inlineStr">
        <is>
          <t>Conditional</t>
        </is>
      </c>
      <c r="F3" s="32" t="inlineStr">
        <is>
          <t>Conditional</t>
        </is>
      </c>
    </row>
    <row r="4" ht="50" customHeight="1">
      <c r="A4" s="19" t="inlineStr">
        <is>
          <t>Errors</t>
        </is>
      </c>
      <c r="B4" s="19" t="inlineStr">
        <is>
          <t>Supplier Part Number</t>
        </is>
      </c>
      <c r="C4" s="19" t="inlineStr">
        <is>
          <t>Carton Weight</t>
        </is>
      </c>
      <c r="D4" s="19" t="inlineStr">
        <is>
          <t>Carton Height</t>
        </is>
      </c>
      <c r="E4" s="19" t="inlineStr">
        <is>
          <t>Carton Width</t>
        </is>
      </c>
      <c r="F4" s="19" t="inlineStr">
        <is>
          <t>Carton Depth</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[Pounds] Enter in the shipping weight (i.e. 45.5) of the packaging used for the product.  If the product ships in more than one box, this measurement is per box.</t>
        </is>
      </c>
      <c r="D5" s="35" t="inlineStr">
        <is>
          <t>[Inches] Enter in the shipping height (i.e. 45.5) of the packaging used for the product.  If the product ships in more than one box, this measurement is per box.</t>
        </is>
      </c>
      <c r="E5" s="35" t="inlineStr">
        <is>
          <t>[Inches] Enter in the shipping width (i.e. 45.5) of the packaging used for the product.  If the product ships in more than one box, this measurement is per box.</t>
        </is>
      </c>
      <c r="F5" s="35" t="inlineStr">
        <is>
          <t>[Inches] Enter in the shipping depth (i.e. 45.5) of the packaging used for the product.  If the product ships in more than one box, this measurement is per box.</t>
        </is>
      </c>
    </row>
    <row r="6" ht="50" customHeight="1">
      <c r="A6" s="35" t="inlineStr">
        <is>
          <t>Read-Only</t>
        </is>
      </c>
      <c r="B6" s="35" t="inlineStr">
        <is>
          <t>Text</t>
        </is>
      </c>
      <c r="C6" s="35" t="inlineStr">
        <is>
          <t>Number</t>
        </is>
      </c>
      <c r="D6" s="35" t="inlineStr">
        <is>
          <t>Number</t>
        </is>
      </c>
      <c r="E6" s="35" t="inlineStr">
        <is>
          <t>Number</t>
        </is>
      </c>
      <c r="F6" s="35" t="inlineStr">
        <is>
          <t>Number</t>
        </is>
      </c>
    </row>
    <row r="7">
      <c r="A7" s="39">
        <f>IF('Additional Cartons'!B7 = "", "", IF('Additional Cartons-WUO_ERR'!A7 = "", "Validated", HYPERLINK("#" &amp; ADDRESS(7, 'Additional Cartons-WUO_TRK'!A7),_xlfn.TEXTAFTER('Additional Cartons-WUO_ERR'!A7, ":"))))</f>
        <v/>
      </c>
      <c r="Z7">
        <f t="array" ref="Z7">IF(B7:B507="", "", IFERROR(_xlfn.XLOOKUP(B7:B507, _xlfn.VSTACK('3 - Carts &amp; Stands'!B7:B507, '6 - TV Stands &amp; Enterta'!B7:B507, '10 - Office Chairs'!B7:B507, '13 - Dressers &amp; Chests'!B7:B507, '12 - Beds'!B7:B507), _xlfn.VSTACK('3 - Carts &amp; Stands'!G7:G507, '6 - TV Stands &amp; Enterta'!G7:G507, '10 - Office Chairs'!G7:G507, '13 - Dressers &amp; Chests'!G7:G507, '12 - Beds'!G7:G507)), ""))</f>
        <v/>
      </c>
    </row>
    <row r="8">
      <c r="A8" s="39">
        <f>IF('Additional Cartons'!B8 = "", "", IF('Additional Cartons-WUO_ERR'!A8 = "", "Validated", HYPERLINK("#" &amp; ADDRESS(8, 'Additional Cartons-WUO_TRK'!A8),_xlfn.TEXTAFTER('Additional Cartons-WUO_ERR'!A8, ":"))))</f>
        <v/>
      </c>
    </row>
    <row r="9">
      <c r="A9" s="39">
        <f>IF('Additional Cartons'!B9 = "", "", IF('Additional Cartons-WUO_ERR'!A9 = "", "Validated", HYPERLINK("#" &amp; ADDRESS(9, 'Additional Cartons-WUO_TRK'!A9),_xlfn.TEXTAFTER('Additional Cartons-WUO_ERR'!A9, ":"))))</f>
        <v/>
      </c>
    </row>
    <row r="10">
      <c r="A10" s="39">
        <f>IF('Additional Cartons'!B10 = "", "", IF('Additional Cartons-WUO_ERR'!A10 = "", "Validated", HYPERLINK("#" &amp; ADDRESS(10, 'Additional Cartons-WUO_TRK'!A10),_xlfn.TEXTAFTER('Additional Cartons-WUO_ERR'!A10, ":"))))</f>
        <v/>
      </c>
    </row>
    <row r="11">
      <c r="A11" s="39">
        <f>IF('Additional Cartons'!B11 = "", "", IF('Additional Cartons-WUO_ERR'!A11 = "", "Validated", HYPERLINK("#" &amp; ADDRESS(11, 'Additional Cartons-WUO_TRK'!A11),_xlfn.TEXTAFTER('Additional Cartons-WUO_ERR'!A11, ":"))))</f>
        <v/>
      </c>
    </row>
    <row r="12">
      <c r="A12" s="39">
        <f>IF('Additional Cartons'!B12 = "", "", IF('Additional Cartons-WUO_ERR'!A12 = "", "Validated", HYPERLINK("#" &amp; ADDRESS(12, 'Additional Cartons-WUO_TRK'!A12),_xlfn.TEXTAFTER('Additional Cartons-WUO_ERR'!A12, ":"))))</f>
        <v/>
      </c>
    </row>
    <row r="13">
      <c r="A13" s="39">
        <f>IF('Additional Cartons'!B13 = "", "", IF('Additional Cartons-WUO_ERR'!A13 = "", "Validated", HYPERLINK("#" &amp; ADDRESS(13, 'Additional Cartons-WUO_TRK'!A13),_xlfn.TEXTAFTER('Additional Cartons-WUO_ERR'!A13, ":"))))</f>
        <v/>
      </c>
    </row>
    <row r="14">
      <c r="A14" s="39">
        <f>IF('Additional Cartons'!B14 = "", "", IF('Additional Cartons-WUO_ERR'!A14 = "", "Validated", HYPERLINK("#" &amp; ADDRESS(14, 'Additional Cartons-WUO_TRK'!A14),_xlfn.TEXTAFTER('Additional Cartons-WUO_ERR'!A14, ":"))))</f>
        <v/>
      </c>
    </row>
    <row r="15">
      <c r="A15" s="39">
        <f>IF('Additional Cartons'!B15 = "", "", IF('Additional Cartons-WUO_ERR'!A15 = "", "Validated", HYPERLINK("#" &amp; ADDRESS(15, 'Additional Cartons-WUO_TRK'!A15),_xlfn.TEXTAFTER('Additional Cartons-WUO_ERR'!A15, ":"))))</f>
        <v/>
      </c>
    </row>
    <row r="16">
      <c r="A16" s="39">
        <f>IF('Additional Cartons'!B16 = "", "", IF('Additional Cartons-WUO_ERR'!A16 = "", "Validated", HYPERLINK("#" &amp; ADDRESS(16, 'Additional Cartons-WUO_TRK'!A16),_xlfn.TEXTAFTER('Additional Cartons-WUO_ERR'!A16, ":"))))</f>
        <v/>
      </c>
    </row>
    <row r="17">
      <c r="A17" s="39">
        <f>IF('Additional Cartons'!B17 = "", "", IF('Additional Cartons-WUO_ERR'!A17 = "", "Validated", HYPERLINK("#" &amp; ADDRESS(17, 'Additional Cartons-WUO_TRK'!A17),_xlfn.TEXTAFTER('Additional Cartons-WUO_ERR'!A17, ":"))))</f>
        <v/>
      </c>
    </row>
    <row r="18">
      <c r="A18" s="39">
        <f>IF('Additional Cartons'!B18 = "", "", IF('Additional Cartons-WUO_ERR'!A18 = "", "Validated", HYPERLINK("#" &amp; ADDRESS(18, 'Additional Cartons-WUO_TRK'!A18),_xlfn.TEXTAFTER('Additional Cartons-WUO_ERR'!A18, ":"))))</f>
        <v/>
      </c>
    </row>
    <row r="19">
      <c r="A19" s="39">
        <f>IF('Additional Cartons'!B19 = "", "", IF('Additional Cartons-WUO_ERR'!A19 = "", "Validated", HYPERLINK("#" &amp; ADDRESS(19, 'Additional Cartons-WUO_TRK'!A19),_xlfn.TEXTAFTER('Additional Cartons-WUO_ERR'!A19, ":"))))</f>
        <v/>
      </c>
    </row>
    <row r="20">
      <c r="A20" s="39">
        <f>IF('Additional Cartons'!B20 = "", "", IF('Additional Cartons-WUO_ERR'!A20 = "", "Validated", HYPERLINK("#" &amp; ADDRESS(20, 'Additional Cartons-WUO_TRK'!A20),_xlfn.TEXTAFTER('Additional Cartons-WUO_ERR'!A20, ":"))))</f>
        <v/>
      </c>
    </row>
    <row r="21">
      <c r="A21" s="39">
        <f>IF('Additional Cartons'!B21 = "", "", IF('Additional Cartons-WUO_ERR'!A21 = "", "Validated", HYPERLINK("#" &amp; ADDRESS(21, 'Additional Cartons-WUO_TRK'!A21),_xlfn.TEXTAFTER('Additional Cartons-WUO_ERR'!A21, ":"))))</f>
        <v/>
      </c>
    </row>
    <row r="22">
      <c r="A22" s="39">
        <f>IF('Additional Cartons'!B22 = "", "", IF('Additional Cartons-WUO_ERR'!A22 = "", "Validated", HYPERLINK("#" &amp; ADDRESS(22, 'Additional Cartons-WUO_TRK'!A22),_xlfn.TEXTAFTER('Additional Cartons-WUO_ERR'!A22, ":"))))</f>
        <v/>
      </c>
    </row>
    <row r="23">
      <c r="A23" s="39">
        <f>IF('Additional Cartons'!B23 = "", "", IF('Additional Cartons-WUO_ERR'!A23 = "", "Validated", HYPERLINK("#" &amp; ADDRESS(23, 'Additional Cartons-WUO_TRK'!A23),_xlfn.TEXTAFTER('Additional Cartons-WUO_ERR'!A23, ":"))))</f>
        <v/>
      </c>
    </row>
    <row r="24">
      <c r="A24" s="39">
        <f>IF('Additional Cartons'!B24 = "", "", IF('Additional Cartons-WUO_ERR'!A24 = "", "Validated", HYPERLINK("#" &amp; ADDRESS(24, 'Additional Cartons-WUO_TRK'!A24),_xlfn.TEXTAFTER('Additional Cartons-WUO_ERR'!A24, ":"))))</f>
        <v/>
      </c>
    </row>
    <row r="25">
      <c r="A25" s="39">
        <f>IF('Additional Cartons'!B25 = "", "", IF('Additional Cartons-WUO_ERR'!A25 = "", "Validated", HYPERLINK("#" &amp; ADDRESS(25, 'Additional Cartons-WUO_TRK'!A25),_xlfn.TEXTAFTER('Additional Cartons-WUO_ERR'!A25, ":"))))</f>
        <v/>
      </c>
    </row>
    <row r="26">
      <c r="A26" s="39">
        <f>IF('Additional Cartons'!B26 = "", "", IF('Additional Cartons-WUO_ERR'!A26 = "", "Validated", HYPERLINK("#" &amp; ADDRESS(26, 'Additional Cartons-WUO_TRK'!A26),_xlfn.TEXTAFTER('Additional Cartons-WUO_ERR'!A26, ":"))))</f>
        <v/>
      </c>
    </row>
    <row r="27">
      <c r="A27" s="39">
        <f>IF('Additional Cartons'!B27 = "", "", IF('Additional Cartons-WUO_ERR'!A27 = "", "Validated", HYPERLINK("#" &amp; ADDRESS(27, 'Additional Cartons-WUO_TRK'!A27),_xlfn.TEXTAFTER('Additional Cartons-WUO_ERR'!A27, ":"))))</f>
        <v/>
      </c>
    </row>
    <row r="28">
      <c r="A28" s="39">
        <f>IF('Additional Cartons'!B28 = "", "", IF('Additional Cartons-WUO_ERR'!A28 = "", "Validated", HYPERLINK("#" &amp; ADDRESS(28, 'Additional Cartons-WUO_TRK'!A28),_xlfn.TEXTAFTER('Additional Cartons-WUO_ERR'!A28, ":"))))</f>
        <v/>
      </c>
    </row>
    <row r="29">
      <c r="A29" s="39">
        <f>IF('Additional Cartons'!B29 = "", "", IF('Additional Cartons-WUO_ERR'!A29 = "", "Validated", HYPERLINK("#" &amp; ADDRESS(29, 'Additional Cartons-WUO_TRK'!A29),_xlfn.TEXTAFTER('Additional Cartons-WUO_ERR'!A29, ":"))))</f>
        <v/>
      </c>
    </row>
    <row r="30">
      <c r="A30" s="39">
        <f>IF('Additional Cartons'!B30 = "", "", IF('Additional Cartons-WUO_ERR'!A30 = "", "Validated", HYPERLINK("#" &amp; ADDRESS(30, 'Additional Cartons-WUO_TRK'!A30),_xlfn.TEXTAFTER('Additional Cartons-WUO_ERR'!A30, ":"))))</f>
        <v/>
      </c>
    </row>
    <row r="31">
      <c r="A31" s="39">
        <f>IF('Additional Cartons'!B31 = "", "", IF('Additional Cartons-WUO_ERR'!A31 = "", "Validated", HYPERLINK("#" &amp; ADDRESS(31, 'Additional Cartons-WUO_TRK'!A31),_xlfn.TEXTAFTER('Additional Cartons-WUO_ERR'!A31, ":"))))</f>
        <v/>
      </c>
    </row>
    <row r="32">
      <c r="A32" s="39">
        <f>IF('Additional Cartons'!B32 = "", "", IF('Additional Cartons-WUO_ERR'!A32 = "", "Validated", HYPERLINK("#" &amp; ADDRESS(32, 'Additional Cartons-WUO_TRK'!A32),_xlfn.TEXTAFTER('Additional Cartons-WUO_ERR'!A32, ":"))))</f>
        <v/>
      </c>
    </row>
    <row r="33">
      <c r="A33" s="39">
        <f>IF('Additional Cartons'!B33 = "", "", IF('Additional Cartons-WUO_ERR'!A33 = "", "Validated", HYPERLINK("#" &amp; ADDRESS(33, 'Additional Cartons-WUO_TRK'!A33),_xlfn.TEXTAFTER('Additional Cartons-WUO_ERR'!A33, ":"))))</f>
        <v/>
      </c>
    </row>
    <row r="34">
      <c r="A34" s="39">
        <f>IF('Additional Cartons'!B34 = "", "", IF('Additional Cartons-WUO_ERR'!A34 = "", "Validated", HYPERLINK("#" &amp; ADDRESS(34, 'Additional Cartons-WUO_TRK'!A34),_xlfn.TEXTAFTER('Additional Cartons-WUO_ERR'!A34, ":"))))</f>
        <v/>
      </c>
    </row>
    <row r="35">
      <c r="A35" s="39">
        <f>IF('Additional Cartons'!B35 = "", "", IF('Additional Cartons-WUO_ERR'!A35 = "", "Validated", HYPERLINK("#" &amp; ADDRESS(35, 'Additional Cartons-WUO_TRK'!A35),_xlfn.TEXTAFTER('Additional Cartons-WUO_ERR'!A35, ":"))))</f>
        <v/>
      </c>
    </row>
    <row r="36">
      <c r="A36" s="39">
        <f>IF('Additional Cartons'!B36 = "", "", IF('Additional Cartons-WUO_ERR'!A36 = "", "Validated", HYPERLINK("#" &amp; ADDRESS(36, 'Additional Cartons-WUO_TRK'!A36),_xlfn.TEXTAFTER('Additional Cartons-WUO_ERR'!A36, ":"))))</f>
        <v/>
      </c>
    </row>
    <row r="37">
      <c r="A37" s="39">
        <f>IF('Additional Cartons'!B37 = "", "", IF('Additional Cartons-WUO_ERR'!A37 = "", "Validated", HYPERLINK("#" &amp; ADDRESS(37, 'Additional Cartons-WUO_TRK'!A37),_xlfn.TEXTAFTER('Additional Cartons-WUO_ERR'!A37, ":"))))</f>
        <v/>
      </c>
    </row>
    <row r="38">
      <c r="A38" s="39">
        <f>IF('Additional Cartons'!B38 = "", "", IF('Additional Cartons-WUO_ERR'!A38 = "", "Validated", HYPERLINK("#" &amp; ADDRESS(38, 'Additional Cartons-WUO_TRK'!A38),_xlfn.TEXTAFTER('Additional Cartons-WUO_ERR'!A38, ":"))))</f>
        <v/>
      </c>
    </row>
    <row r="39">
      <c r="A39" s="39">
        <f>IF('Additional Cartons'!B39 = "", "", IF('Additional Cartons-WUO_ERR'!A39 = "", "Validated", HYPERLINK("#" &amp; ADDRESS(39, 'Additional Cartons-WUO_TRK'!A39),_xlfn.TEXTAFTER('Additional Cartons-WUO_ERR'!A39, ":"))))</f>
        <v/>
      </c>
    </row>
    <row r="40">
      <c r="A40" s="39">
        <f>IF('Additional Cartons'!B40 = "", "", IF('Additional Cartons-WUO_ERR'!A40 = "", "Validated", HYPERLINK("#" &amp; ADDRESS(40, 'Additional Cartons-WUO_TRK'!A40),_xlfn.TEXTAFTER('Additional Cartons-WUO_ERR'!A40, ":"))))</f>
        <v/>
      </c>
    </row>
    <row r="41">
      <c r="A41" s="39">
        <f>IF('Additional Cartons'!B41 = "", "", IF('Additional Cartons-WUO_ERR'!A41 = "", "Validated", HYPERLINK("#" &amp; ADDRESS(41, 'Additional Cartons-WUO_TRK'!A41),_xlfn.TEXTAFTER('Additional Cartons-WUO_ERR'!A41, ":"))))</f>
        <v/>
      </c>
    </row>
    <row r="42">
      <c r="A42" s="39">
        <f>IF('Additional Cartons'!B42 = "", "", IF('Additional Cartons-WUO_ERR'!A42 = "", "Validated", HYPERLINK("#" &amp; ADDRESS(42, 'Additional Cartons-WUO_TRK'!A42),_xlfn.TEXTAFTER('Additional Cartons-WUO_ERR'!A42, ":"))))</f>
        <v/>
      </c>
    </row>
    <row r="43">
      <c r="A43" s="39">
        <f>IF('Additional Cartons'!B43 = "", "", IF('Additional Cartons-WUO_ERR'!A43 = "", "Validated", HYPERLINK("#" &amp; ADDRESS(43, 'Additional Cartons-WUO_TRK'!A43),_xlfn.TEXTAFTER('Additional Cartons-WUO_ERR'!A43, ":"))))</f>
        <v/>
      </c>
    </row>
    <row r="44">
      <c r="A44" s="39">
        <f>IF('Additional Cartons'!B44 = "", "", IF('Additional Cartons-WUO_ERR'!A44 = "", "Validated", HYPERLINK("#" &amp; ADDRESS(44, 'Additional Cartons-WUO_TRK'!A44),_xlfn.TEXTAFTER('Additional Cartons-WUO_ERR'!A44, ":"))))</f>
        <v/>
      </c>
    </row>
    <row r="45">
      <c r="A45" s="39">
        <f>IF('Additional Cartons'!B45 = "", "", IF('Additional Cartons-WUO_ERR'!A45 = "", "Validated", HYPERLINK("#" &amp; ADDRESS(45, 'Additional Cartons-WUO_TRK'!A45),_xlfn.TEXTAFTER('Additional Cartons-WUO_ERR'!A45, ":"))))</f>
        <v/>
      </c>
    </row>
    <row r="46">
      <c r="A46" s="39">
        <f>IF('Additional Cartons'!B46 = "", "", IF('Additional Cartons-WUO_ERR'!A46 = "", "Validated", HYPERLINK("#" &amp; ADDRESS(46, 'Additional Cartons-WUO_TRK'!A46),_xlfn.TEXTAFTER('Additional Cartons-WUO_ERR'!A46, ":"))))</f>
        <v/>
      </c>
    </row>
    <row r="47">
      <c r="A47" s="39">
        <f>IF('Additional Cartons'!B47 = "", "", IF('Additional Cartons-WUO_ERR'!A47 = "", "Validated", HYPERLINK("#" &amp; ADDRESS(47, 'Additional Cartons-WUO_TRK'!A47),_xlfn.TEXTAFTER('Additional Cartons-WUO_ERR'!A47, ":"))))</f>
        <v/>
      </c>
    </row>
    <row r="48">
      <c r="A48" s="39">
        <f>IF('Additional Cartons'!B48 = "", "", IF('Additional Cartons-WUO_ERR'!A48 = "", "Validated", HYPERLINK("#" &amp; ADDRESS(48, 'Additional Cartons-WUO_TRK'!A48),_xlfn.TEXTAFTER('Additional Cartons-WUO_ERR'!A48, ":"))))</f>
        <v/>
      </c>
    </row>
    <row r="49">
      <c r="A49" s="39">
        <f>IF('Additional Cartons'!B49 = "", "", IF('Additional Cartons-WUO_ERR'!A49 = "", "Validated", HYPERLINK("#" &amp; ADDRESS(49, 'Additional Cartons-WUO_TRK'!A49),_xlfn.TEXTAFTER('Additional Cartons-WUO_ERR'!A49, ":"))))</f>
        <v/>
      </c>
    </row>
    <row r="50">
      <c r="A50" s="39">
        <f>IF('Additional Cartons'!B50 = "", "", IF('Additional Cartons-WUO_ERR'!A50 = "", "Validated", HYPERLINK("#" &amp; ADDRESS(50, 'Additional Cartons-WUO_TRK'!A50),_xlfn.TEXTAFTER('Additional Cartons-WUO_ERR'!A50, ":"))))</f>
        <v/>
      </c>
    </row>
    <row r="51">
      <c r="A51" s="39">
        <f>IF('Additional Cartons'!B51 = "", "", IF('Additional Cartons-WUO_ERR'!A51 = "", "Validated", HYPERLINK("#" &amp; ADDRESS(51, 'Additional Cartons-WUO_TRK'!A51),_xlfn.TEXTAFTER('Additional Cartons-WUO_ERR'!A51, ":"))))</f>
        <v/>
      </c>
    </row>
    <row r="52">
      <c r="A52" s="39">
        <f>IF('Additional Cartons'!B52 = "", "", IF('Additional Cartons-WUO_ERR'!A52 = "", "Validated", HYPERLINK("#" &amp; ADDRESS(52, 'Additional Cartons-WUO_TRK'!A52),_xlfn.TEXTAFTER('Additional Cartons-WUO_ERR'!A52, ":"))))</f>
        <v/>
      </c>
    </row>
    <row r="53">
      <c r="A53" s="39">
        <f>IF('Additional Cartons'!B53 = "", "", IF('Additional Cartons-WUO_ERR'!A53 = "", "Validated", HYPERLINK("#" &amp; ADDRESS(53, 'Additional Cartons-WUO_TRK'!A53),_xlfn.TEXTAFTER('Additional Cartons-WUO_ERR'!A53, ":"))))</f>
        <v/>
      </c>
    </row>
    <row r="54">
      <c r="A54" s="39">
        <f>IF('Additional Cartons'!B54 = "", "", IF('Additional Cartons-WUO_ERR'!A54 = "", "Validated", HYPERLINK("#" &amp; ADDRESS(54, 'Additional Cartons-WUO_TRK'!A54),_xlfn.TEXTAFTER('Additional Cartons-WUO_ERR'!A54, ":"))))</f>
        <v/>
      </c>
    </row>
    <row r="55">
      <c r="A55" s="39">
        <f>IF('Additional Cartons'!B55 = "", "", IF('Additional Cartons-WUO_ERR'!A55 = "", "Validated", HYPERLINK("#" &amp; ADDRESS(55, 'Additional Cartons-WUO_TRK'!A55),_xlfn.TEXTAFTER('Additional Cartons-WUO_ERR'!A55, ":"))))</f>
        <v/>
      </c>
    </row>
    <row r="56">
      <c r="A56" s="39">
        <f>IF('Additional Cartons'!B56 = "", "", IF('Additional Cartons-WUO_ERR'!A56 = "", "Validated", HYPERLINK("#" &amp; ADDRESS(56, 'Additional Cartons-WUO_TRK'!A56),_xlfn.TEXTAFTER('Additional Cartons-WUO_ERR'!A56, ":"))))</f>
        <v/>
      </c>
    </row>
    <row r="57">
      <c r="A57" s="39">
        <f>IF('Additional Cartons'!B57 = "", "", IF('Additional Cartons-WUO_ERR'!A57 = "", "Validated", HYPERLINK("#" &amp; ADDRESS(57, 'Additional Cartons-WUO_TRK'!A57),_xlfn.TEXTAFTER('Additional Cartons-WUO_ERR'!A57, ":"))))</f>
        <v/>
      </c>
    </row>
    <row r="58">
      <c r="A58" s="39">
        <f>IF('Additional Cartons'!B58 = "", "", IF('Additional Cartons-WUO_ERR'!A58 = "", "Validated", HYPERLINK("#" &amp; ADDRESS(58, 'Additional Cartons-WUO_TRK'!A58),_xlfn.TEXTAFTER('Additional Cartons-WUO_ERR'!A58, ":"))))</f>
        <v/>
      </c>
    </row>
    <row r="59">
      <c r="A59" s="39">
        <f>IF('Additional Cartons'!B59 = "", "", IF('Additional Cartons-WUO_ERR'!A59 = "", "Validated", HYPERLINK("#" &amp; ADDRESS(59, 'Additional Cartons-WUO_TRK'!A59),_xlfn.TEXTAFTER('Additional Cartons-WUO_ERR'!A59, ":"))))</f>
        <v/>
      </c>
    </row>
    <row r="60">
      <c r="A60" s="39">
        <f>IF('Additional Cartons'!B60 = "", "", IF('Additional Cartons-WUO_ERR'!A60 = "", "Validated", HYPERLINK("#" &amp; ADDRESS(60, 'Additional Cartons-WUO_TRK'!A60),_xlfn.TEXTAFTER('Additional Cartons-WUO_ERR'!A60, ":"))))</f>
        <v/>
      </c>
    </row>
    <row r="61">
      <c r="A61" s="39">
        <f>IF('Additional Cartons'!B61 = "", "", IF('Additional Cartons-WUO_ERR'!A61 = "", "Validated", HYPERLINK("#" &amp; ADDRESS(61, 'Additional Cartons-WUO_TRK'!A61),_xlfn.TEXTAFTER('Additional Cartons-WUO_ERR'!A61, ":"))))</f>
        <v/>
      </c>
    </row>
    <row r="62">
      <c r="A62" s="39">
        <f>IF('Additional Cartons'!B62 = "", "", IF('Additional Cartons-WUO_ERR'!A62 = "", "Validated", HYPERLINK("#" &amp; ADDRESS(62, 'Additional Cartons-WUO_TRK'!A62),_xlfn.TEXTAFTER('Additional Cartons-WUO_ERR'!A62, ":"))))</f>
        <v/>
      </c>
    </row>
    <row r="63">
      <c r="A63" s="39">
        <f>IF('Additional Cartons'!B63 = "", "", IF('Additional Cartons-WUO_ERR'!A63 = "", "Validated", HYPERLINK("#" &amp; ADDRESS(63, 'Additional Cartons-WUO_TRK'!A63),_xlfn.TEXTAFTER('Additional Cartons-WUO_ERR'!A63, ":"))))</f>
        <v/>
      </c>
    </row>
    <row r="64">
      <c r="A64" s="39">
        <f>IF('Additional Cartons'!B64 = "", "", IF('Additional Cartons-WUO_ERR'!A64 = "", "Validated", HYPERLINK("#" &amp; ADDRESS(64, 'Additional Cartons-WUO_TRK'!A64),_xlfn.TEXTAFTER('Additional Cartons-WUO_ERR'!A64, ":"))))</f>
        <v/>
      </c>
    </row>
    <row r="65">
      <c r="A65" s="39">
        <f>IF('Additional Cartons'!B65 = "", "", IF('Additional Cartons-WUO_ERR'!A65 = "", "Validated", HYPERLINK("#" &amp; ADDRESS(65, 'Additional Cartons-WUO_TRK'!A65),_xlfn.TEXTAFTER('Additional Cartons-WUO_ERR'!A65, ":"))))</f>
        <v/>
      </c>
    </row>
    <row r="66">
      <c r="A66" s="39">
        <f>IF('Additional Cartons'!B66 = "", "", IF('Additional Cartons-WUO_ERR'!A66 = "", "Validated", HYPERLINK("#" &amp; ADDRESS(66, 'Additional Cartons-WUO_TRK'!A66),_xlfn.TEXTAFTER('Additional Cartons-WUO_ERR'!A66, ":"))))</f>
        <v/>
      </c>
    </row>
    <row r="67">
      <c r="A67" s="39">
        <f>IF('Additional Cartons'!B67 = "", "", IF('Additional Cartons-WUO_ERR'!A67 = "", "Validated", HYPERLINK("#" &amp; ADDRESS(67, 'Additional Cartons-WUO_TRK'!A67),_xlfn.TEXTAFTER('Additional Cartons-WUO_ERR'!A67, ":"))))</f>
        <v/>
      </c>
    </row>
    <row r="68">
      <c r="A68" s="39">
        <f>IF('Additional Cartons'!B68 = "", "", IF('Additional Cartons-WUO_ERR'!A68 = "", "Validated", HYPERLINK("#" &amp; ADDRESS(68, 'Additional Cartons-WUO_TRK'!A68),_xlfn.TEXTAFTER('Additional Cartons-WUO_ERR'!A68, ":"))))</f>
        <v/>
      </c>
    </row>
    <row r="69">
      <c r="A69" s="39">
        <f>IF('Additional Cartons'!B69 = "", "", IF('Additional Cartons-WUO_ERR'!A69 = "", "Validated", HYPERLINK("#" &amp; ADDRESS(69, 'Additional Cartons-WUO_TRK'!A69),_xlfn.TEXTAFTER('Additional Cartons-WUO_ERR'!A69, ":"))))</f>
        <v/>
      </c>
    </row>
    <row r="70">
      <c r="A70" s="39">
        <f>IF('Additional Cartons'!B70 = "", "", IF('Additional Cartons-WUO_ERR'!A70 = "", "Validated", HYPERLINK("#" &amp; ADDRESS(70, 'Additional Cartons-WUO_TRK'!A70),_xlfn.TEXTAFTER('Additional Cartons-WUO_ERR'!A70, ":"))))</f>
        <v/>
      </c>
    </row>
    <row r="71">
      <c r="A71" s="39">
        <f>IF('Additional Cartons'!B71 = "", "", IF('Additional Cartons-WUO_ERR'!A71 = "", "Validated", HYPERLINK("#" &amp; ADDRESS(71, 'Additional Cartons-WUO_TRK'!A71),_xlfn.TEXTAFTER('Additional Cartons-WUO_ERR'!A71, ":"))))</f>
        <v/>
      </c>
    </row>
    <row r="72">
      <c r="A72" s="39">
        <f>IF('Additional Cartons'!B72 = "", "", IF('Additional Cartons-WUO_ERR'!A72 = "", "Validated", HYPERLINK("#" &amp; ADDRESS(72, 'Additional Cartons-WUO_TRK'!A72),_xlfn.TEXTAFTER('Additional Cartons-WUO_ERR'!A72, ":"))))</f>
        <v/>
      </c>
    </row>
    <row r="73">
      <c r="A73" s="39">
        <f>IF('Additional Cartons'!B73 = "", "", IF('Additional Cartons-WUO_ERR'!A73 = "", "Validated", HYPERLINK("#" &amp; ADDRESS(73, 'Additional Cartons-WUO_TRK'!A73),_xlfn.TEXTAFTER('Additional Cartons-WUO_ERR'!A73, ":"))))</f>
        <v/>
      </c>
    </row>
    <row r="74">
      <c r="A74" s="39">
        <f>IF('Additional Cartons'!B74 = "", "", IF('Additional Cartons-WUO_ERR'!A74 = "", "Validated", HYPERLINK("#" &amp; ADDRESS(74, 'Additional Cartons-WUO_TRK'!A74),_xlfn.TEXTAFTER('Additional Cartons-WUO_ERR'!A74, ":"))))</f>
        <v/>
      </c>
    </row>
    <row r="75">
      <c r="A75" s="39">
        <f>IF('Additional Cartons'!B75 = "", "", IF('Additional Cartons-WUO_ERR'!A75 = "", "Validated", HYPERLINK("#" &amp; ADDRESS(75, 'Additional Cartons-WUO_TRK'!A75),_xlfn.TEXTAFTER('Additional Cartons-WUO_ERR'!A75, ":"))))</f>
        <v/>
      </c>
    </row>
    <row r="76">
      <c r="A76" s="39">
        <f>IF('Additional Cartons'!B76 = "", "", IF('Additional Cartons-WUO_ERR'!A76 = "", "Validated", HYPERLINK("#" &amp; ADDRESS(76, 'Additional Cartons-WUO_TRK'!A76),_xlfn.TEXTAFTER('Additional Cartons-WUO_ERR'!A76, ":"))))</f>
        <v/>
      </c>
    </row>
    <row r="77">
      <c r="A77" s="39">
        <f>IF('Additional Cartons'!B77 = "", "", IF('Additional Cartons-WUO_ERR'!A77 = "", "Validated", HYPERLINK("#" &amp; ADDRESS(77, 'Additional Cartons-WUO_TRK'!A77),_xlfn.TEXTAFTER('Additional Cartons-WUO_ERR'!A77, ":"))))</f>
        <v/>
      </c>
    </row>
    <row r="78">
      <c r="A78" s="39">
        <f>IF('Additional Cartons'!B78 = "", "", IF('Additional Cartons-WUO_ERR'!A78 = "", "Validated", HYPERLINK("#" &amp; ADDRESS(78, 'Additional Cartons-WUO_TRK'!A78),_xlfn.TEXTAFTER('Additional Cartons-WUO_ERR'!A78, ":"))))</f>
        <v/>
      </c>
    </row>
    <row r="79">
      <c r="A79" s="39">
        <f>IF('Additional Cartons'!B79 = "", "", IF('Additional Cartons-WUO_ERR'!A79 = "", "Validated", HYPERLINK("#" &amp; ADDRESS(79, 'Additional Cartons-WUO_TRK'!A79),_xlfn.TEXTAFTER('Additional Cartons-WUO_ERR'!A79, ":"))))</f>
        <v/>
      </c>
    </row>
    <row r="80">
      <c r="A80" s="39">
        <f>IF('Additional Cartons'!B80 = "", "", IF('Additional Cartons-WUO_ERR'!A80 = "", "Validated", HYPERLINK("#" &amp; ADDRESS(80, 'Additional Cartons-WUO_TRK'!A80),_xlfn.TEXTAFTER('Additional Cartons-WUO_ERR'!A80, ":"))))</f>
        <v/>
      </c>
    </row>
    <row r="81">
      <c r="A81" s="39">
        <f>IF('Additional Cartons'!B81 = "", "", IF('Additional Cartons-WUO_ERR'!A81 = "", "Validated", HYPERLINK("#" &amp; ADDRESS(81, 'Additional Cartons-WUO_TRK'!A81),_xlfn.TEXTAFTER('Additional Cartons-WUO_ERR'!A81, ":"))))</f>
        <v/>
      </c>
    </row>
    <row r="82">
      <c r="A82" s="39">
        <f>IF('Additional Cartons'!B82 = "", "", IF('Additional Cartons-WUO_ERR'!A82 = "", "Validated", HYPERLINK("#" &amp; ADDRESS(82, 'Additional Cartons-WUO_TRK'!A82),_xlfn.TEXTAFTER('Additional Cartons-WUO_ERR'!A82, ":"))))</f>
        <v/>
      </c>
    </row>
    <row r="83">
      <c r="A83" s="39">
        <f>IF('Additional Cartons'!B83 = "", "", IF('Additional Cartons-WUO_ERR'!A83 = "", "Validated", HYPERLINK("#" &amp; ADDRESS(83, 'Additional Cartons-WUO_TRK'!A83),_xlfn.TEXTAFTER('Additional Cartons-WUO_ERR'!A83, ":"))))</f>
        <v/>
      </c>
    </row>
    <row r="84">
      <c r="A84" s="39">
        <f>IF('Additional Cartons'!B84 = "", "", IF('Additional Cartons-WUO_ERR'!A84 = "", "Validated", HYPERLINK("#" &amp; ADDRESS(84, 'Additional Cartons-WUO_TRK'!A84),_xlfn.TEXTAFTER('Additional Cartons-WUO_ERR'!A84, ":"))))</f>
        <v/>
      </c>
    </row>
    <row r="85">
      <c r="A85" s="39">
        <f>IF('Additional Cartons'!B85 = "", "", IF('Additional Cartons-WUO_ERR'!A85 = "", "Validated", HYPERLINK("#" &amp; ADDRESS(85, 'Additional Cartons-WUO_TRK'!A85),_xlfn.TEXTAFTER('Additional Cartons-WUO_ERR'!A85, ":"))))</f>
        <v/>
      </c>
    </row>
    <row r="86">
      <c r="A86" s="39">
        <f>IF('Additional Cartons'!B86 = "", "", IF('Additional Cartons-WUO_ERR'!A86 = "", "Validated", HYPERLINK("#" &amp; ADDRESS(86, 'Additional Cartons-WUO_TRK'!A86),_xlfn.TEXTAFTER('Additional Cartons-WUO_ERR'!A86, ":"))))</f>
        <v/>
      </c>
    </row>
    <row r="87">
      <c r="A87" s="39">
        <f>IF('Additional Cartons'!B87 = "", "", IF('Additional Cartons-WUO_ERR'!A87 = "", "Validated", HYPERLINK("#" &amp; ADDRESS(87, 'Additional Cartons-WUO_TRK'!A87),_xlfn.TEXTAFTER('Additional Cartons-WUO_ERR'!A87, ":"))))</f>
        <v/>
      </c>
    </row>
    <row r="88">
      <c r="A88" s="39">
        <f>IF('Additional Cartons'!B88 = "", "", IF('Additional Cartons-WUO_ERR'!A88 = "", "Validated", HYPERLINK("#" &amp; ADDRESS(88, 'Additional Cartons-WUO_TRK'!A88),_xlfn.TEXTAFTER('Additional Cartons-WUO_ERR'!A88, ":"))))</f>
        <v/>
      </c>
    </row>
    <row r="89">
      <c r="A89" s="39">
        <f>IF('Additional Cartons'!B89 = "", "", IF('Additional Cartons-WUO_ERR'!A89 = "", "Validated", HYPERLINK("#" &amp; ADDRESS(89, 'Additional Cartons-WUO_TRK'!A89),_xlfn.TEXTAFTER('Additional Cartons-WUO_ERR'!A89, ":"))))</f>
        <v/>
      </c>
    </row>
    <row r="90">
      <c r="A90" s="39">
        <f>IF('Additional Cartons'!B90 = "", "", IF('Additional Cartons-WUO_ERR'!A90 = "", "Validated", HYPERLINK("#" &amp; ADDRESS(90, 'Additional Cartons-WUO_TRK'!A90),_xlfn.TEXTAFTER('Additional Cartons-WUO_ERR'!A90, ":"))))</f>
        <v/>
      </c>
    </row>
    <row r="91">
      <c r="A91" s="39">
        <f>IF('Additional Cartons'!B91 = "", "", IF('Additional Cartons-WUO_ERR'!A91 = "", "Validated", HYPERLINK("#" &amp; ADDRESS(91, 'Additional Cartons-WUO_TRK'!A91),_xlfn.TEXTAFTER('Additional Cartons-WUO_ERR'!A91, ":"))))</f>
        <v/>
      </c>
    </row>
    <row r="92">
      <c r="A92" s="39">
        <f>IF('Additional Cartons'!B92 = "", "", IF('Additional Cartons-WUO_ERR'!A92 = "", "Validated", HYPERLINK("#" &amp; ADDRESS(92, 'Additional Cartons-WUO_TRK'!A92),_xlfn.TEXTAFTER('Additional Cartons-WUO_ERR'!A92, ":"))))</f>
        <v/>
      </c>
    </row>
    <row r="93">
      <c r="A93" s="39">
        <f>IF('Additional Cartons'!B93 = "", "", IF('Additional Cartons-WUO_ERR'!A93 = "", "Validated", HYPERLINK("#" &amp; ADDRESS(93, 'Additional Cartons-WUO_TRK'!A93),_xlfn.TEXTAFTER('Additional Cartons-WUO_ERR'!A93, ":"))))</f>
        <v/>
      </c>
    </row>
    <row r="94">
      <c r="A94" s="39">
        <f>IF('Additional Cartons'!B94 = "", "", IF('Additional Cartons-WUO_ERR'!A94 = "", "Validated", HYPERLINK("#" &amp; ADDRESS(94, 'Additional Cartons-WUO_TRK'!A94),_xlfn.TEXTAFTER('Additional Cartons-WUO_ERR'!A94, ":"))))</f>
        <v/>
      </c>
    </row>
    <row r="95">
      <c r="A95" s="39">
        <f>IF('Additional Cartons'!B95 = "", "", IF('Additional Cartons-WUO_ERR'!A95 = "", "Validated", HYPERLINK("#" &amp; ADDRESS(95, 'Additional Cartons-WUO_TRK'!A95),_xlfn.TEXTAFTER('Additional Cartons-WUO_ERR'!A95, ":"))))</f>
        <v/>
      </c>
    </row>
    <row r="96">
      <c r="A96" s="39">
        <f>IF('Additional Cartons'!B96 = "", "", IF('Additional Cartons-WUO_ERR'!A96 = "", "Validated", HYPERLINK("#" &amp; ADDRESS(96, 'Additional Cartons-WUO_TRK'!A96),_xlfn.TEXTAFTER('Additional Cartons-WUO_ERR'!A96, ":"))))</f>
        <v/>
      </c>
    </row>
    <row r="97">
      <c r="A97" s="39">
        <f>IF('Additional Cartons'!B97 = "", "", IF('Additional Cartons-WUO_ERR'!A97 = "", "Validated", HYPERLINK("#" &amp; ADDRESS(97, 'Additional Cartons-WUO_TRK'!A97),_xlfn.TEXTAFTER('Additional Cartons-WUO_ERR'!A97, ":"))))</f>
        <v/>
      </c>
    </row>
    <row r="98">
      <c r="A98" s="39">
        <f>IF('Additional Cartons'!B98 = "", "", IF('Additional Cartons-WUO_ERR'!A98 = "", "Validated", HYPERLINK("#" &amp; ADDRESS(98, 'Additional Cartons-WUO_TRK'!A98),_xlfn.TEXTAFTER('Additional Cartons-WUO_ERR'!A98, ":"))))</f>
        <v/>
      </c>
    </row>
    <row r="99">
      <c r="A99" s="39">
        <f>IF('Additional Cartons'!B99 = "", "", IF('Additional Cartons-WUO_ERR'!A99 = "", "Validated", HYPERLINK("#" &amp; ADDRESS(99, 'Additional Cartons-WUO_TRK'!A99),_xlfn.TEXTAFTER('Additional Cartons-WUO_ERR'!A99, ":"))))</f>
        <v/>
      </c>
    </row>
    <row r="100">
      <c r="A100" s="39">
        <f>IF('Additional Cartons'!B100 = "", "", IF('Additional Cartons-WUO_ERR'!A100 = "", "Validated", HYPERLINK("#" &amp; ADDRESS(100, 'Additional Cartons-WUO_TRK'!A100),_xlfn.TEXTAFTER('Additional Cartons-WUO_ERR'!A100, ":"))))</f>
        <v/>
      </c>
    </row>
    <row r="101">
      <c r="A101" s="39">
        <f>IF('Additional Cartons'!B101 = "", "", IF('Additional Cartons-WUO_ERR'!A101 = "", "Validated", HYPERLINK("#" &amp; ADDRESS(101, 'Additional Cartons-WUO_TRK'!A101),_xlfn.TEXTAFTER('Additional Cartons-WUO_ERR'!A101, ":"))))</f>
        <v/>
      </c>
    </row>
    <row r="102">
      <c r="A102" s="39">
        <f>IF('Additional Cartons'!B102 = "", "", IF('Additional Cartons-WUO_ERR'!A102 = "", "Validated", HYPERLINK("#" &amp; ADDRESS(102, 'Additional Cartons-WUO_TRK'!A102),_xlfn.TEXTAFTER('Additional Cartons-WUO_ERR'!A102, ":"))))</f>
        <v/>
      </c>
    </row>
    <row r="103">
      <c r="A103" s="39">
        <f>IF('Additional Cartons'!B103 = "", "", IF('Additional Cartons-WUO_ERR'!A103 = "", "Validated", HYPERLINK("#" &amp; ADDRESS(103, 'Additional Cartons-WUO_TRK'!A103),_xlfn.TEXTAFTER('Additional Cartons-WUO_ERR'!A103, ":"))))</f>
        <v/>
      </c>
    </row>
    <row r="104">
      <c r="A104" s="39">
        <f>IF('Additional Cartons'!B104 = "", "", IF('Additional Cartons-WUO_ERR'!A104 = "", "Validated", HYPERLINK("#" &amp; ADDRESS(104, 'Additional Cartons-WUO_TRK'!A104),_xlfn.TEXTAFTER('Additional Cartons-WUO_ERR'!A104, ":"))))</f>
        <v/>
      </c>
    </row>
    <row r="105">
      <c r="A105" s="39">
        <f>IF('Additional Cartons'!B105 = "", "", IF('Additional Cartons-WUO_ERR'!A105 = "", "Validated", HYPERLINK("#" &amp; ADDRESS(105, 'Additional Cartons-WUO_TRK'!A105),_xlfn.TEXTAFTER('Additional Cartons-WUO_ERR'!A105, ":"))))</f>
        <v/>
      </c>
    </row>
    <row r="106">
      <c r="A106" s="39">
        <f>IF('Additional Cartons'!B106 = "", "", IF('Additional Cartons-WUO_ERR'!A106 = "", "Validated", HYPERLINK("#" &amp; ADDRESS(106, 'Additional Cartons-WUO_TRK'!A106),_xlfn.TEXTAFTER('Additional Cartons-WUO_ERR'!A106, ":"))))</f>
        <v/>
      </c>
    </row>
    <row r="107">
      <c r="A107" s="39">
        <f>IF('Additional Cartons'!B107 = "", "", IF('Additional Cartons-WUO_ERR'!A107 = "", "Validated", HYPERLINK("#" &amp; ADDRESS(107, 'Additional Cartons-WUO_TRK'!A107),_xlfn.TEXTAFTER('Additional Cartons-WUO_ERR'!A107, ":"))))</f>
        <v/>
      </c>
    </row>
    <row r="108">
      <c r="A108" s="39">
        <f>IF('Additional Cartons'!B108 = "", "", IF('Additional Cartons-WUO_ERR'!A108 = "", "Validated", HYPERLINK("#" &amp; ADDRESS(108, 'Additional Cartons-WUO_TRK'!A108),_xlfn.TEXTAFTER('Additional Cartons-WUO_ERR'!A108, ":"))))</f>
        <v/>
      </c>
    </row>
    <row r="109">
      <c r="A109" s="39">
        <f>IF('Additional Cartons'!B109 = "", "", IF('Additional Cartons-WUO_ERR'!A109 = "", "Validated", HYPERLINK("#" &amp; ADDRESS(109, 'Additional Cartons-WUO_TRK'!A109),_xlfn.TEXTAFTER('Additional Cartons-WUO_ERR'!A109, ":"))))</f>
        <v/>
      </c>
    </row>
    <row r="110">
      <c r="A110" s="39">
        <f>IF('Additional Cartons'!B110 = "", "", IF('Additional Cartons-WUO_ERR'!A110 = "", "Validated", HYPERLINK("#" &amp; ADDRESS(110, 'Additional Cartons-WUO_TRK'!A110),_xlfn.TEXTAFTER('Additional Cartons-WUO_ERR'!A110, ":"))))</f>
        <v/>
      </c>
    </row>
    <row r="111">
      <c r="A111" s="39">
        <f>IF('Additional Cartons'!B111 = "", "", IF('Additional Cartons-WUO_ERR'!A111 = "", "Validated", HYPERLINK("#" &amp; ADDRESS(111, 'Additional Cartons-WUO_TRK'!A111),_xlfn.TEXTAFTER('Additional Cartons-WUO_ERR'!A111, ":"))))</f>
        <v/>
      </c>
    </row>
    <row r="112">
      <c r="A112" s="39">
        <f>IF('Additional Cartons'!B112 = "", "", IF('Additional Cartons-WUO_ERR'!A112 = "", "Validated", HYPERLINK("#" &amp; ADDRESS(112, 'Additional Cartons-WUO_TRK'!A112),_xlfn.TEXTAFTER('Additional Cartons-WUO_ERR'!A112, ":"))))</f>
        <v/>
      </c>
    </row>
    <row r="113">
      <c r="A113" s="39">
        <f>IF('Additional Cartons'!B113 = "", "", IF('Additional Cartons-WUO_ERR'!A113 = "", "Validated", HYPERLINK("#" &amp; ADDRESS(113, 'Additional Cartons-WUO_TRK'!A113),_xlfn.TEXTAFTER('Additional Cartons-WUO_ERR'!A113, ":"))))</f>
        <v/>
      </c>
    </row>
    <row r="114">
      <c r="A114" s="39">
        <f>IF('Additional Cartons'!B114 = "", "", IF('Additional Cartons-WUO_ERR'!A114 = "", "Validated", HYPERLINK("#" &amp; ADDRESS(114, 'Additional Cartons-WUO_TRK'!A114),_xlfn.TEXTAFTER('Additional Cartons-WUO_ERR'!A114, ":"))))</f>
        <v/>
      </c>
    </row>
    <row r="115">
      <c r="A115" s="39">
        <f>IF('Additional Cartons'!B115 = "", "", IF('Additional Cartons-WUO_ERR'!A115 = "", "Validated", HYPERLINK("#" &amp; ADDRESS(115, 'Additional Cartons-WUO_TRK'!A115),_xlfn.TEXTAFTER('Additional Cartons-WUO_ERR'!A115, ":"))))</f>
        <v/>
      </c>
    </row>
    <row r="116">
      <c r="A116" s="39">
        <f>IF('Additional Cartons'!B116 = "", "", IF('Additional Cartons-WUO_ERR'!A116 = "", "Validated", HYPERLINK("#" &amp; ADDRESS(116, 'Additional Cartons-WUO_TRK'!A116),_xlfn.TEXTAFTER('Additional Cartons-WUO_ERR'!A116, ":"))))</f>
        <v/>
      </c>
    </row>
    <row r="117">
      <c r="A117" s="39">
        <f>IF('Additional Cartons'!B117 = "", "", IF('Additional Cartons-WUO_ERR'!A117 = "", "Validated", HYPERLINK("#" &amp; ADDRESS(117, 'Additional Cartons-WUO_TRK'!A117),_xlfn.TEXTAFTER('Additional Cartons-WUO_ERR'!A117, ":"))))</f>
        <v/>
      </c>
    </row>
    <row r="118">
      <c r="A118" s="39">
        <f>IF('Additional Cartons'!B118 = "", "", IF('Additional Cartons-WUO_ERR'!A118 = "", "Validated", HYPERLINK("#" &amp; ADDRESS(118, 'Additional Cartons-WUO_TRK'!A118),_xlfn.TEXTAFTER('Additional Cartons-WUO_ERR'!A118, ":"))))</f>
        <v/>
      </c>
    </row>
    <row r="119">
      <c r="A119" s="39">
        <f>IF('Additional Cartons'!B119 = "", "", IF('Additional Cartons-WUO_ERR'!A119 = "", "Validated", HYPERLINK("#" &amp; ADDRESS(119, 'Additional Cartons-WUO_TRK'!A119),_xlfn.TEXTAFTER('Additional Cartons-WUO_ERR'!A119, ":"))))</f>
        <v/>
      </c>
    </row>
    <row r="120">
      <c r="A120" s="39">
        <f>IF('Additional Cartons'!B120 = "", "", IF('Additional Cartons-WUO_ERR'!A120 = "", "Validated", HYPERLINK("#" &amp; ADDRESS(120, 'Additional Cartons-WUO_TRK'!A120),_xlfn.TEXTAFTER('Additional Cartons-WUO_ERR'!A120, ":"))))</f>
        <v/>
      </c>
    </row>
    <row r="121">
      <c r="A121" s="39">
        <f>IF('Additional Cartons'!B121 = "", "", IF('Additional Cartons-WUO_ERR'!A121 = "", "Validated", HYPERLINK("#" &amp; ADDRESS(121, 'Additional Cartons-WUO_TRK'!A121),_xlfn.TEXTAFTER('Additional Cartons-WUO_ERR'!A121, ":"))))</f>
        <v/>
      </c>
    </row>
    <row r="122">
      <c r="A122" s="39">
        <f>IF('Additional Cartons'!B122 = "", "", IF('Additional Cartons-WUO_ERR'!A122 = "", "Validated", HYPERLINK("#" &amp; ADDRESS(122, 'Additional Cartons-WUO_TRK'!A122),_xlfn.TEXTAFTER('Additional Cartons-WUO_ERR'!A122, ":"))))</f>
        <v/>
      </c>
    </row>
    <row r="123">
      <c r="A123" s="39">
        <f>IF('Additional Cartons'!B123 = "", "", IF('Additional Cartons-WUO_ERR'!A123 = "", "Validated", HYPERLINK("#" &amp; ADDRESS(123, 'Additional Cartons-WUO_TRK'!A123),_xlfn.TEXTAFTER('Additional Cartons-WUO_ERR'!A123, ":"))))</f>
        <v/>
      </c>
    </row>
    <row r="124">
      <c r="A124" s="39">
        <f>IF('Additional Cartons'!B124 = "", "", IF('Additional Cartons-WUO_ERR'!A124 = "", "Validated", HYPERLINK("#" &amp; ADDRESS(124, 'Additional Cartons-WUO_TRK'!A124),_xlfn.TEXTAFTER('Additional Cartons-WUO_ERR'!A124, ":"))))</f>
        <v/>
      </c>
    </row>
    <row r="125">
      <c r="A125" s="39">
        <f>IF('Additional Cartons'!B125 = "", "", IF('Additional Cartons-WUO_ERR'!A125 = "", "Validated", HYPERLINK("#" &amp; ADDRESS(125, 'Additional Cartons-WUO_TRK'!A125),_xlfn.TEXTAFTER('Additional Cartons-WUO_ERR'!A125, ":"))))</f>
        <v/>
      </c>
    </row>
    <row r="126">
      <c r="A126" s="39">
        <f>IF('Additional Cartons'!B126 = "", "", IF('Additional Cartons-WUO_ERR'!A126 = "", "Validated", HYPERLINK("#" &amp; ADDRESS(126, 'Additional Cartons-WUO_TRK'!A126),_xlfn.TEXTAFTER('Additional Cartons-WUO_ERR'!A126, ":"))))</f>
        <v/>
      </c>
    </row>
    <row r="127">
      <c r="A127" s="39">
        <f>IF('Additional Cartons'!B127 = "", "", IF('Additional Cartons-WUO_ERR'!A127 = "", "Validated", HYPERLINK("#" &amp; ADDRESS(127, 'Additional Cartons-WUO_TRK'!A127),_xlfn.TEXTAFTER('Additional Cartons-WUO_ERR'!A127, ":"))))</f>
        <v/>
      </c>
    </row>
    <row r="128">
      <c r="A128" s="39">
        <f>IF('Additional Cartons'!B128 = "", "", IF('Additional Cartons-WUO_ERR'!A128 = "", "Validated", HYPERLINK("#" &amp; ADDRESS(128, 'Additional Cartons-WUO_TRK'!A128),_xlfn.TEXTAFTER('Additional Cartons-WUO_ERR'!A128, ":"))))</f>
        <v/>
      </c>
    </row>
    <row r="129">
      <c r="A129" s="39">
        <f>IF('Additional Cartons'!B129 = "", "", IF('Additional Cartons-WUO_ERR'!A129 = "", "Validated", HYPERLINK("#" &amp; ADDRESS(129, 'Additional Cartons-WUO_TRK'!A129),_xlfn.TEXTAFTER('Additional Cartons-WUO_ERR'!A129, ":"))))</f>
        <v/>
      </c>
    </row>
    <row r="130">
      <c r="A130" s="39">
        <f>IF('Additional Cartons'!B130 = "", "", IF('Additional Cartons-WUO_ERR'!A130 = "", "Validated", HYPERLINK("#" &amp; ADDRESS(130, 'Additional Cartons-WUO_TRK'!A130),_xlfn.TEXTAFTER('Additional Cartons-WUO_ERR'!A130, ":"))))</f>
        <v/>
      </c>
    </row>
    <row r="131">
      <c r="A131" s="39">
        <f>IF('Additional Cartons'!B131 = "", "", IF('Additional Cartons-WUO_ERR'!A131 = "", "Validated", HYPERLINK("#" &amp; ADDRESS(131, 'Additional Cartons-WUO_TRK'!A131),_xlfn.TEXTAFTER('Additional Cartons-WUO_ERR'!A131, ":"))))</f>
        <v/>
      </c>
    </row>
    <row r="132">
      <c r="A132" s="39">
        <f>IF('Additional Cartons'!B132 = "", "", IF('Additional Cartons-WUO_ERR'!A132 = "", "Validated", HYPERLINK("#" &amp; ADDRESS(132, 'Additional Cartons-WUO_TRK'!A132),_xlfn.TEXTAFTER('Additional Cartons-WUO_ERR'!A132, ":"))))</f>
        <v/>
      </c>
    </row>
    <row r="133">
      <c r="A133" s="39">
        <f>IF('Additional Cartons'!B133 = "", "", IF('Additional Cartons-WUO_ERR'!A133 = "", "Validated", HYPERLINK("#" &amp; ADDRESS(133, 'Additional Cartons-WUO_TRK'!A133),_xlfn.TEXTAFTER('Additional Cartons-WUO_ERR'!A133, ":"))))</f>
        <v/>
      </c>
    </row>
    <row r="134">
      <c r="A134" s="39">
        <f>IF('Additional Cartons'!B134 = "", "", IF('Additional Cartons-WUO_ERR'!A134 = "", "Validated", HYPERLINK("#" &amp; ADDRESS(134, 'Additional Cartons-WUO_TRK'!A134),_xlfn.TEXTAFTER('Additional Cartons-WUO_ERR'!A134, ":"))))</f>
        <v/>
      </c>
    </row>
    <row r="135">
      <c r="A135" s="39">
        <f>IF('Additional Cartons'!B135 = "", "", IF('Additional Cartons-WUO_ERR'!A135 = "", "Validated", HYPERLINK("#" &amp; ADDRESS(135, 'Additional Cartons-WUO_TRK'!A135),_xlfn.TEXTAFTER('Additional Cartons-WUO_ERR'!A135, ":"))))</f>
        <v/>
      </c>
    </row>
    <row r="136">
      <c r="A136" s="39">
        <f>IF('Additional Cartons'!B136 = "", "", IF('Additional Cartons-WUO_ERR'!A136 = "", "Validated", HYPERLINK("#" &amp; ADDRESS(136, 'Additional Cartons-WUO_TRK'!A136),_xlfn.TEXTAFTER('Additional Cartons-WUO_ERR'!A136, ":"))))</f>
        <v/>
      </c>
    </row>
    <row r="137">
      <c r="A137" s="39">
        <f>IF('Additional Cartons'!B137 = "", "", IF('Additional Cartons-WUO_ERR'!A137 = "", "Validated", HYPERLINK("#" &amp; ADDRESS(137, 'Additional Cartons-WUO_TRK'!A137),_xlfn.TEXTAFTER('Additional Cartons-WUO_ERR'!A137, ":"))))</f>
        <v/>
      </c>
    </row>
    <row r="138">
      <c r="A138" s="39">
        <f>IF('Additional Cartons'!B138 = "", "", IF('Additional Cartons-WUO_ERR'!A138 = "", "Validated", HYPERLINK("#" &amp; ADDRESS(138, 'Additional Cartons-WUO_TRK'!A138),_xlfn.TEXTAFTER('Additional Cartons-WUO_ERR'!A138, ":"))))</f>
        <v/>
      </c>
    </row>
    <row r="139">
      <c r="A139" s="39">
        <f>IF('Additional Cartons'!B139 = "", "", IF('Additional Cartons-WUO_ERR'!A139 = "", "Validated", HYPERLINK("#" &amp; ADDRESS(139, 'Additional Cartons-WUO_TRK'!A139),_xlfn.TEXTAFTER('Additional Cartons-WUO_ERR'!A139, ":"))))</f>
        <v/>
      </c>
    </row>
    <row r="140">
      <c r="A140" s="39">
        <f>IF('Additional Cartons'!B140 = "", "", IF('Additional Cartons-WUO_ERR'!A140 = "", "Validated", HYPERLINK("#" &amp; ADDRESS(140, 'Additional Cartons-WUO_TRK'!A140),_xlfn.TEXTAFTER('Additional Cartons-WUO_ERR'!A140, ":"))))</f>
        <v/>
      </c>
    </row>
    <row r="141">
      <c r="A141" s="39">
        <f>IF('Additional Cartons'!B141 = "", "", IF('Additional Cartons-WUO_ERR'!A141 = "", "Validated", HYPERLINK("#" &amp; ADDRESS(141, 'Additional Cartons-WUO_TRK'!A141),_xlfn.TEXTAFTER('Additional Cartons-WUO_ERR'!A141, ":"))))</f>
        <v/>
      </c>
    </row>
    <row r="142">
      <c r="A142" s="39">
        <f>IF('Additional Cartons'!B142 = "", "", IF('Additional Cartons-WUO_ERR'!A142 = "", "Validated", HYPERLINK("#" &amp; ADDRESS(142, 'Additional Cartons-WUO_TRK'!A142),_xlfn.TEXTAFTER('Additional Cartons-WUO_ERR'!A142, ":"))))</f>
        <v/>
      </c>
    </row>
    <row r="143">
      <c r="A143" s="39">
        <f>IF('Additional Cartons'!B143 = "", "", IF('Additional Cartons-WUO_ERR'!A143 = "", "Validated", HYPERLINK("#" &amp; ADDRESS(143, 'Additional Cartons-WUO_TRK'!A143),_xlfn.TEXTAFTER('Additional Cartons-WUO_ERR'!A143, ":"))))</f>
        <v/>
      </c>
    </row>
    <row r="144">
      <c r="A144" s="39">
        <f>IF('Additional Cartons'!B144 = "", "", IF('Additional Cartons-WUO_ERR'!A144 = "", "Validated", HYPERLINK("#" &amp; ADDRESS(144, 'Additional Cartons-WUO_TRK'!A144),_xlfn.TEXTAFTER('Additional Cartons-WUO_ERR'!A144, ":"))))</f>
        <v/>
      </c>
    </row>
    <row r="145">
      <c r="A145" s="39">
        <f>IF('Additional Cartons'!B145 = "", "", IF('Additional Cartons-WUO_ERR'!A145 = "", "Validated", HYPERLINK("#" &amp; ADDRESS(145, 'Additional Cartons-WUO_TRK'!A145),_xlfn.TEXTAFTER('Additional Cartons-WUO_ERR'!A145, ":"))))</f>
        <v/>
      </c>
    </row>
    <row r="146">
      <c r="A146" s="39">
        <f>IF('Additional Cartons'!B146 = "", "", IF('Additional Cartons-WUO_ERR'!A146 = "", "Validated", HYPERLINK("#" &amp; ADDRESS(146, 'Additional Cartons-WUO_TRK'!A146),_xlfn.TEXTAFTER('Additional Cartons-WUO_ERR'!A146, ":"))))</f>
        <v/>
      </c>
    </row>
    <row r="147">
      <c r="A147" s="39">
        <f>IF('Additional Cartons'!B147 = "", "", IF('Additional Cartons-WUO_ERR'!A147 = "", "Validated", HYPERLINK("#" &amp; ADDRESS(147, 'Additional Cartons-WUO_TRK'!A147),_xlfn.TEXTAFTER('Additional Cartons-WUO_ERR'!A147, ":"))))</f>
        <v/>
      </c>
    </row>
    <row r="148">
      <c r="A148" s="39">
        <f>IF('Additional Cartons'!B148 = "", "", IF('Additional Cartons-WUO_ERR'!A148 = "", "Validated", HYPERLINK("#" &amp; ADDRESS(148, 'Additional Cartons-WUO_TRK'!A148),_xlfn.TEXTAFTER('Additional Cartons-WUO_ERR'!A148, ":"))))</f>
        <v/>
      </c>
    </row>
    <row r="149">
      <c r="A149" s="39">
        <f>IF('Additional Cartons'!B149 = "", "", IF('Additional Cartons-WUO_ERR'!A149 = "", "Validated", HYPERLINK("#" &amp; ADDRESS(149, 'Additional Cartons-WUO_TRK'!A149),_xlfn.TEXTAFTER('Additional Cartons-WUO_ERR'!A149, ":"))))</f>
        <v/>
      </c>
    </row>
    <row r="150">
      <c r="A150" s="39">
        <f>IF('Additional Cartons'!B150 = "", "", IF('Additional Cartons-WUO_ERR'!A150 = "", "Validated", HYPERLINK("#" &amp; ADDRESS(150, 'Additional Cartons-WUO_TRK'!A150),_xlfn.TEXTAFTER('Additional Cartons-WUO_ERR'!A150, ":"))))</f>
        <v/>
      </c>
    </row>
    <row r="151">
      <c r="A151" s="39">
        <f>IF('Additional Cartons'!B151 = "", "", IF('Additional Cartons-WUO_ERR'!A151 = "", "Validated", HYPERLINK("#" &amp; ADDRESS(151, 'Additional Cartons-WUO_TRK'!A151),_xlfn.TEXTAFTER('Additional Cartons-WUO_ERR'!A151, ":"))))</f>
        <v/>
      </c>
    </row>
    <row r="152">
      <c r="A152" s="39">
        <f>IF('Additional Cartons'!B152 = "", "", IF('Additional Cartons-WUO_ERR'!A152 = "", "Validated", HYPERLINK("#" &amp; ADDRESS(152, 'Additional Cartons-WUO_TRK'!A152),_xlfn.TEXTAFTER('Additional Cartons-WUO_ERR'!A152, ":"))))</f>
        <v/>
      </c>
    </row>
    <row r="153">
      <c r="A153" s="39">
        <f>IF('Additional Cartons'!B153 = "", "", IF('Additional Cartons-WUO_ERR'!A153 = "", "Validated", HYPERLINK("#" &amp; ADDRESS(153, 'Additional Cartons-WUO_TRK'!A153),_xlfn.TEXTAFTER('Additional Cartons-WUO_ERR'!A153, ":"))))</f>
        <v/>
      </c>
    </row>
    <row r="154">
      <c r="A154" s="39">
        <f>IF('Additional Cartons'!B154 = "", "", IF('Additional Cartons-WUO_ERR'!A154 = "", "Validated", HYPERLINK("#" &amp; ADDRESS(154, 'Additional Cartons-WUO_TRK'!A154),_xlfn.TEXTAFTER('Additional Cartons-WUO_ERR'!A154, ":"))))</f>
        <v/>
      </c>
    </row>
    <row r="155">
      <c r="A155" s="39">
        <f>IF('Additional Cartons'!B155 = "", "", IF('Additional Cartons-WUO_ERR'!A155 = "", "Validated", HYPERLINK("#" &amp; ADDRESS(155, 'Additional Cartons-WUO_TRK'!A155),_xlfn.TEXTAFTER('Additional Cartons-WUO_ERR'!A155, ":"))))</f>
        <v/>
      </c>
    </row>
    <row r="156">
      <c r="A156" s="39">
        <f>IF('Additional Cartons'!B156 = "", "", IF('Additional Cartons-WUO_ERR'!A156 = "", "Validated", HYPERLINK("#" &amp; ADDRESS(156, 'Additional Cartons-WUO_TRK'!A156),_xlfn.TEXTAFTER('Additional Cartons-WUO_ERR'!A156, ":"))))</f>
        <v/>
      </c>
    </row>
    <row r="157">
      <c r="A157" s="39">
        <f>IF('Additional Cartons'!B157 = "", "", IF('Additional Cartons-WUO_ERR'!A157 = "", "Validated", HYPERLINK("#" &amp; ADDRESS(157, 'Additional Cartons-WUO_TRK'!A157),_xlfn.TEXTAFTER('Additional Cartons-WUO_ERR'!A157, ":"))))</f>
        <v/>
      </c>
    </row>
    <row r="158">
      <c r="A158" s="39">
        <f>IF('Additional Cartons'!B158 = "", "", IF('Additional Cartons-WUO_ERR'!A158 = "", "Validated", HYPERLINK("#" &amp; ADDRESS(158, 'Additional Cartons-WUO_TRK'!A158),_xlfn.TEXTAFTER('Additional Cartons-WUO_ERR'!A158, ":"))))</f>
        <v/>
      </c>
    </row>
    <row r="159">
      <c r="A159" s="39">
        <f>IF('Additional Cartons'!B159 = "", "", IF('Additional Cartons-WUO_ERR'!A159 = "", "Validated", HYPERLINK("#" &amp; ADDRESS(159, 'Additional Cartons-WUO_TRK'!A159),_xlfn.TEXTAFTER('Additional Cartons-WUO_ERR'!A159, ":"))))</f>
        <v/>
      </c>
    </row>
    <row r="160">
      <c r="A160" s="39">
        <f>IF('Additional Cartons'!B160 = "", "", IF('Additional Cartons-WUO_ERR'!A160 = "", "Validated", HYPERLINK("#" &amp; ADDRESS(160, 'Additional Cartons-WUO_TRK'!A160),_xlfn.TEXTAFTER('Additional Cartons-WUO_ERR'!A160, ":"))))</f>
        <v/>
      </c>
    </row>
    <row r="161">
      <c r="A161" s="39">
        <f>IF('Additional Cartons'!B161 = "", "", IF('Additional Cartons-WUO_ERR'!A161 = "", "Validated", HYPERLINK("#" &amp; ADDRESS(161, 'Additional Cartons-WUO_TRK'!A161),_xlfn.TEXTAFTER('Additional Cartons-WUO_ERR'!A161, ":"))))</f>
        <v/>
      </c>
    </row>
    <row r="162">
      <c r="A162" s="39">
        <f>IF('Additional Cartons'!B162 = "", "", IF('Additional Cartons-WUO_ERR'!A162 = "", "Validated", HYPERLINK("#" &amp; ADDRESS(162, 'Additional Cartons-WUO_TRK'!A162),_xlfn.TEXTAFTER('Additional Cartons-WUO_ERR'!A162, ":"))))</f>
        <v/>
      </c>
    </row>
    <row r="163">
      <c r="A163" s="39">
        <f>IF('Additional Cartons'!B163 = "", "", IF('Additional Cartons-WUO_ERR'!A163 = "", "Validated", HYPERLINK("#" &amp; ADDRESS(163, 'Additional Cartons-WUO_TRK'!A163),_xlfn.TEXTAFTER('Additional Cartons-WUO_ERR'!A163, ":"))))</f>
        <v/>
      </c>
    </row>
    <row r="164">
      <c r="A164" s="39">
        <f>IF('Additional Cartons'!B164 = "", "", IF('Additional Cartons-WUO_ERR'!A164 = "", "Validated", HYPERLINK("#" &amp; ADDRESS(164, 'Additional Cartons-WUO_TRK'!A164),_xlfn.TEXTAFTER('Additional Cartons-WUO_ERR'!A164, ":"))))</f>
        <v/>
      </c>
    </row>
    <row r="165">
      <c r="A165" s="39">
        <f>IF('Additional Cartons'!B165 = "", "", IF('Additional Cartons-WUO_ERR'!A165 = "", "Validated", HYPERLINK("#" &amp; ADDRESS(165, 'Additional Cartons-WUO_TRK'!A165),_xlfn.TEXTAFTER('Additional Cartons-WUO_ERR'!A165, ":"))))</f>
        <v/>
      </c>
    </row>
    <row r="166">
      <c r="A166" s="39">
        <f>IF('Additional Cartons'!B166 = "", "", IF('Additional Cartons-WUO_ERR'!A166 = "", "Validated", HYPERLINK("#" &amp; ADDRESS(166, 'Additional Cartons-WUO_TRK'!A166),_xlfn.TEXTAFTER('Additional Cartons-WUO_ERR'!A166, ":"))))</f>
        <v/>
      </c>
    </row>
    <row r="167">
      <c r="A167" s="39">
        <f>IF('Additional Cartons'!B167 = "", "", IF('Additional Cartons-WUO_ERR'!A167 = "", "Validated", HYPERLINK("#" &amp; ADDRESS(167, 'Additional Cartons-WUO_TRK'!A167),_xlfn.TEXTAFTER('Additional Cartons-WUO_ERR'!A167, ":"))))</f>
        <v/>
      </c>
    </row>
    <row r="168">
      <c r="A168" s="39">
        <f>IF('Additional Cartons'!B168 = "", "", IF('Additional Cartons-WUO_ERR'!A168 = "", "Validated", HYPERLINK("#" &amp; ADDRESS(168, 'Additional Cartons-WUO_TRK'!A168),_xlfn.TEXTAFTER('Additional Cartons-WUO_ERR'!A168, ":"))))</f>
        <v/>
      </c>
    </row>
    <row r="169">
      <c r="A169" s="39">
        <f>IF('Additional Cartons'!B169 = "", "", IF('Additional Cartons-WUO_ERR'!A169 = "", "Validated", HYPERLINK("#" &amp; ADDRESS(169, 'Additional Cartons-WUO_TRK'!A169),_xlfn.TEXTAFTER('Additional Cartons-WUO_ERR'!A169, ":"))))</f>
        <v/>
      </c>
    </row>
    <row r="170">
      <c r="A170" s="39">
        <f>IF('Additional Cartons'!B170 = "", "", IF('Additional Cartons-WUO_ERR'!A170 = "", "Validated", HYPERLINK("#" &amp; ADDRESS(170, 'Additional Cartons-WUO_TRK'!A170),_xlfn.TEXTAFTER('Additional Cartons-WUO_ERR'!A170, ":"))))</f>
        <v/>
      </c>
    </row>
    <row r="171">
      <c r="A171" s="39">
        <f>IF('Additional Cartons'!B171 = "", "", IF('Additional Cartons-WUO_ERR'!A171 = "", "Validated", HYPERLINK("#" &amp; ADDRESS(171, 'Additional Cartons-WUO_TRK'!A171),_xlfn.TEXTAFTER('Additional Cartons-WUO_ERR'!A171, ":"))))</f>
        <v/>
      </c>
    </row>
    <row r="172">
      <c r="A172" s="39">
        <f>IF('Additional Cartons'!B172 = "", "", IF('Additional Cartons-WUO_ERR'!A172 = "", "Validated", HYPERLINK("#" &amp; ADDRESS(172, 'Additional Cartons-WUO_TRK'!A172),_xlfn.TEXTAFTER('Additional Cartons-WUO_ERR'!A172, ":"))))</f>
        <v/>
      </c>
    </row>
    <row r="173">
      <c r="A173" s="39">
        <f>IF('Additional Cartons'!B173 = "", "", IF('Additional Cartons-WUO_ERR'!A173 = "", "Validated", HYPERLINK("#" &amp; ADDRESS(173, 'Additional Cartons-WUO_TRK'!A173),_xlfn.TEXTAFTER('Additional Cartons-WUO_ERR'!A173, ":"))))</f>
        <v/>
      </c>
    </row>
    <row r="174">
      <c r="A174" s="39">
        <f>IF('Additional Cartons'!B174 = "", "", IF('Additional Cartons-WUO_ERR'!A174 = "", "Validated", HYPERLINK("#" &amp; ADDRESS(174, 'Additional Cartons-WUO_TRK'!A174),_xlfn.TEXTAFTER('Additional Cartons-WUO_ERR'!A174, ":"))))</f>
        <v/>
      </c>
    </row>
    <row r="175">
      <c r="A175" s="39">
        <f>IF('Additional Cartons'!B175 = "", "", IF('Additional Cartons-WUO_ERR'!A175 = "", "Validated", HYPERLINK("#" &amp; ADDRESS(175, 'Additional Cartons-WUO_TRK'!A175),_xlfn.TEXTAFTER('Additional Cartons-WUO_ERR'!A175, ":"))))</f>
        <v/>
      </c>
    </row>
    <row r="176">
      <c r="A176" s="39">
        <f>IF('Additional Cartons'!B176 = "", "", IF('Additional Cartons-WUO_ERR'!A176 = "", "Validated", HYPERLINK("#" &amp; ADDRESS(176, 'Additional Cartons-WUO_TRK'!A176),_xlfn.TEXTAFTER('Additional Cartons-WUO_ERR'!A176, ":"))))</f>
        <v/>
      </c>
    </row>
    <row r="177">
      <c r="A177" s="39">
        <f>IF('Additional Cartons'!B177 = "", "", IF('Additional Cartons-WUO_ERR'!A177 = "", "Validated", HYPERLINK("#" &amp; ADDRESS(177, 'Additional Cartons-WUO_TRK'!A177),_xlfn.TEXTAFTER('Additional Cartons-WUO_ERR'!A177, ":"))))</f>
        <v/>
      </c>
    </row>
    <row r="178">
      <c r="A178" s="39">
        <f>IF('Additional Cartons'!B178 = "", "", IF('Additional Cartons-WUO_ERR'!A178 = "", "Validated", HYPERLINK("#" &amp; ADDRESS(178, 'Additional Cartons-WUO_TRK'!A178),_xlfn.TEXTAFTER('Additional Cartons-WUO_ERR'!A178, ":"))))</f>
        <v/>
      </c>
    </row>
    <row r="179">
      <c r="A179" s="39">
        <f>IF('Additional Cartons'!B179 = "", "", IF('Additional Cartons-WUO_ERR'!A179 = "", "Validated", HYPERLINK("#" &amp; ADDRESS(179, 'Additional Cartons-WUO_TRK'!A179),_xlfn.TEXTAFTER('Additional Cartons-WUO_ERR'!A179, ":"))))</f>
        <v/>
      </c>
    </row>
    <row r="180">
      <c r="A180" s="39">
        <f>IF('Additional Cartons'!B180 = "", "", IF('Additional Cartons-WUO_ERR'!A180 = "", "Validated", HYPERLINK("#" &amp; ADDRESS(180, 'Additional Cartons-WUO_TRK'!A180),_xlfn.TEXTAFTER('Additional Cartons-WUO_ERR'!A180, ":"))))</f>
        <v/>
      </c>
    </row>
    <row r="181">
      <c r="A181" s="39">
        <f>IF('Additional Cartons'!B181 = "", "", IF('Additional Cartons-WUO_ERR'!A181 = "", "Validated", HYPERLINK("#" &amp; ADDRESS(181, 'Additional Cartons-WUO_TRK'!A181),_xlfn.TEXTAFTER('Additional Cartons-WUO_ERR'!A181, ":"))))</f>
        <v/>
      </c>
    </row>
    <row r="182">
      <c r="A182" s="39">
        <f>IF('Additional Cartons'!B182 = "", "", IF('Additional Cartons-WUO_ERR'!A182 = "", "Validated", HYPERLINK("#" &amp; ADDRESS(182, 'Additional Cartons-WUO_TRK'!A182),_xlfn.TEXTAFTER('Additional Cartons-WUO_ERR'!A182, ":"))))</f>
        <v/>
      </c>
    </row>
    <row r="183">
      <c r="A183" s="39">
        <f>IF('Additional Cartons'!B183 = "", "", IF('Additional Cartons-WUO_ERR'!A183 = "", "Validated", HYPERLINK("#" &amp; ADDRESS(183, 'Additional Cartons-WUO_TRK'!A183),_xlfn.TEXTAFTER('Additional Cartons-WUO_ERR'!A183, ":"))))</f>
        <v/>
      </c>
    </row>
    <row r="184">
      <c r="A184" s="39">
        <f>IF('Additional Cartons'!B184 = "", "", IF('Additional Cartons-WUO_ERR'!A184 = "", "Validated", HYPERLINK("#" &amp; ADDRESS(184, 'Additional Cartons-WUO_TRK'!A184),_xlfn.TEXTAFTER('Additional Cartons-WUO_ERR'!A184, ":"))))</f>
        <v/>
      </c>
    </row>
    <row r="185">
      <c r="A185" s="39">
        <f>IF('Additional Cartons'!B185 = "", "", IF('Additional Cartons-WUO_ERR'!A185 = "", "Validated", HYPERLINK("#" &amp; ADDRESS(185, 'Additional Cartons-WUO_TRK'!A185),_xlfn.TEXTAFTER('Additional Cartons-WUO_ERR'!A185, ":"))))</f>
        <v/>
      </c>
    </row>
    <row r="186">
      <c r="A186" s="39">
        <f>IF('Additional Cartons'!B186 = "", "", IF('Additional Cartons-WUO_ERR'!A186 = "", "Validated", HYPERLINK("#" &amp; ADDRESS(186, 'Additional Cartons-WUO_TRK'!A186),_xlfn.TEXTAFTER('Additional Cartons-WUO_ERR'!A186, ":"))))</f>
        <v/>
      </c>
    </row>
    <row r="187">
      <c r="A187" s="39">
        <f>IF('Additional Cartons'!B187 = "", "", IF('Additional Cartons-WUO_ERR'!A187 = "", "Validated", HYPERLINK("#" &amp; ADDRESS(187, 'Additional Cartons-WUO_TRK'!A187),_xlfn.TEXTAFTER('Additional Cartons-WUO_ERR'!A187, ":"))))</f>
        <v/>
      </c>
    </row>
    <row r="188">
      <c r="A188" s="39">
        <f>IF('Additional Cartons'!B188 = "", "", IF('Additional Cartons-WUO_ERR'!A188 = "", "Validated", HYPERLINK("#" &amp; ADDRESS(188, 'Additional Cartons-WUO_TRK'!A188),_xlfn.TEXTAFTER('Additional Cartons-WUO_ERR'!A188, ":"))))</f>
        <v/>
      </c>
    </row>
    <row r="189">
      <c r="A189" s="39">
        <f>IF('Additional Cartons'!B189 = "", "", IF('Additional Cartons-WUO_ERR'!A189 = "", "Validated", HYPERLINK("#" &amp; ADDRESS(189, 'Additional Cartons-WUO_TRK'!A189),_xlfn.TEXTAFTER('Additional Cartons-WUO_ERR'!A189, ":"))))</f>
        <v/>
      </c>
    </row>
    <row r="190">
      <c r="A190" s="39">
        <f>IF('Additional Cartons'!B190 = "", "", IF('Additional Cartons-WUO_ERR'!A190 = "", "Validated", HYPERLINK("#" &amp; ADDRESS(190, 'Additional Cartons-WUO_TRK'!A190),_xlfn.TEXTAFTER('Additional Cartons-WUO_ERR'!A190, ":"))))</f>
        <v/>
      </c>
    </row>
    <row r="191">
      <c r="A191" s="39">
        <f>IF('Additional Cartons'!B191 = "", "", IF('Additional Cartons-WUO_ERR'!A191 = "", "Validated", HYPERLINK("#" &amp; ADDRESS(191, 'Additional Cartons-WUO_TRK'!A191),_xlfn.TEXTAFTER('Additional Cartons-WUO_ERR'!A191, ":"))))</f>
        <v/>
      </c>
    </row>
    <row r="192">
      <c r="A192" s="39">
        <f>IF('Additional Cartons'!B192 = "", "", IF('Additional Cartons-WUO_ERR'!A192 = "", "Validated", HYPERLINK("#" &amp; ADDRESS(192, 'Additional Cartons-WUO_TRK'!A192),_xlfn.TEXTAFTER('Additional Cartons-WUO_ERR'!A192, ":"))))</f>
        <v/>
      </c>
    </row>
    <row r="193">
      <c r="A193" s="39">
        <f>IF('Additional Cartons'!B193 = "", "", IF('Additional Cartons-WUO_ERR'!A193 = "", "Validated", HYPERLINK("#" &amp; ADDRESS(193, 'Additional Cartons-WUO_TRK'!A193),_xlfn.TEXTAFTER('Additional Cartons-WUO_ERR'!A193, ":"))))</f>
        <v/>
      </c>
    </row>
    <row r="194">
      <c r="A194" s="39">
        <f>IF('Additional Cartons'!B194 = "", "", IF('Additional Cartons-WUO_ERR'!A194 = "", "Validated", HYPERLINK("#" &amp; ADDRESS(194, 'Additional Cartons-WUO_TRK'!A194),_xlfn.TEXTAFTER('Additional Cartons-WUO_ERR'!A194, ":"))))</f>
        <v/>
      </c>
    </row>
    <row r="195">
      <c r="A195" s="39">
        <f>IF('Additional Cartons'!B195 = "", "", IF('Additional Cartons-WUO_ERR'!A195 = "", "Validated", HYPERLINK("#" &amp; ADDRESS(195, 'Additional Cartons-WUO_TRK'!A195),_xlfn.TEXTAFTER('Additional Cartons-WUO_ERR'!A195, ":"))))</f>
        <v/>
      </c>
    </row>
    <row r="196">
      <c r="A196" s="39">
        <f>IF('Additional Cartons'!B196 = "", "", IF('Additional Cartons-WUO_ERR'!A196 = "", "Validated", HYPERLINK("#" &amp; ADDRESS(196, 'Additional Cartons-WUO_TRK'!A196),_xlfn.TEXTAFTER('Additional Cartons-WUO_ERR'!A196, ":"))))</f>
        <v/>
      </c>
    </row>
    <row r="197">
      <c r="A197" s="39">
        <f>IF('Additional Cartons'!B197 = "", "", IF('Additional Cartons-WUO_ERR'!A197 = "", "Validated", HYPERLINK("#" &amp; ADDRESS(197, 'Additional Cartons-WUO_TRK'!A197),_xlfn.TEXTAFTER('Additional Cartons-WUO_ERR'!A197, ":"))))</f>
        <v/>
      </c>
    </row>
    <row r="198">
      <c r="A198" s="39">
        <f>IF('Additional Cartons'!B198 = "", "", IF('Additional Cartons-WUO_ERR'!A198 = "", "Validated", HYPERLINK("#" &amp; ADDRESS(198, 'Additional Cartons-WUO_TRK'!A198),_xlfn.TEXTAFTER('Additional Cartons-WUO_ERR'!A198, ":"))))</f>
        <v/>
      </c>
    </row>
    <row r="199">
      <c r="A199" s="39">
        <f>IF('Additional Cartons'!B199 = "", "", IF('Additional Cartons-WUO_ERR'!A199 = "", "Validated", HYPERLINK("#" &amp; ADDRESS(199, 'Additional Cartons-WUO_TRK'!A199),_xlfn.TEXTAFTER('Additional Cartons-WUO_ERR'!A199, ":"))))</f>
        <v/>
      </c>
    </row>
    <row r="200">
      <c r="A200" s="39">
        <f>IF('Additional Cartons'!B200 = "", "", IF('Additional Cartons-WUO_ERR'!A200 = "", "Validated", HYPERLINK("#" &amp; ADDRESS(200, 'Additional Cartons-WUO_TRK'!A200),_xlfn.TEXTAFTER('Additional Cartons-WUO_ERR'!A200, ":"))))</f>
        <v/>
      </c>
    </row>
    <row r="201">
      <c r="A201" s="39">
        <f>IF('Additional Cartons'!B201 = "", "", IF('Additional Cartons-WUO_ERR'!A201 = "", "Validated", HYPERLINK("#" &amp; ADDRESS(201, 'Additional Cartons-WUO_TRK'!A201),_xlfn.TEXTAFTER('Additional Cartons-WUO_ERR'!A201, ":"))))</f>
        <v/>
      </c>
    </row>
    <row r="202">
      <c r="A202" s="39">
        <f>IF('Additional Cartons'!B202 = "", "", IF('Additional Cartons-WUO_ERR'!A202 = "", "Validated", HYPERLINK("#" &amp; ADDRESS(202, 'Additional Cartons-WUO_TRK'!A202),_xlfn.TEXTAFTER('Additional Cartons-WUO_ERR'!A202, ":"))))</f>
        <v/>
      </c>
    </row>
    <row r="203">
      <c r="A203" s="39">
        <f>IF('Additional Cartons'!B203 = "", "", IF('Additional Cartons-WUO_ERR'!A203 = "", "Validated", HYPERLINK("#" &amp; ADDRESS(203, 'Additional Cartons-WUO_TRK'!A203),_xlfn.TEXTAFTER('Additional Cartons-WUO_ERR'!A203, ":"))))</f>
        <v/>
      </c>
    </row>
    <row r="204">
      <c r="A204" s="39">
        <f>IF('Additional Cartons'!B204 = "", "", IF('Additional Cartons-WUO_ERR'!A204 = "", "Validated", HYPERLINK("#" &amp; ADDRESS(204, 'Additional Cartons-WUO_TRK'!A204),_xlfn.TEXTAFTER('Additional Cartons-WUO_ERR'!A204, ":"))))</f>
        <v/>
      </c>
    </row>
    <row r="205">
      <c r="A205" s="39">
        <f>IF('Additional Cartons'!B205 = "", "", IF('Additional Cartons-WUO_ERR'!A205 = "", "Validated", HYPERLINK("#" &amp; ADDRESS(205, 'Additional Cartons-WUO_TRK'!A205),_xlfn.TEXTAFTER('Additional Cartons-WUO_ERR'!A205, ":"))))</f>
        <v/>
      </c>
    </row>
    <row r="206">
      <c r="A206" s="39">
        <f>IF('Additional Cartons'!B206 = "", "", IF('Additional Cartons-WUO_ERR'!A206 = "", "Validated", HYPERLINK("#" &amp; ADDRESS(206, 'Additional Cartons-WUO_TRK'!A206),_xlfn.TEXTAFTER('Additional Cartons-WUO_ERR'!A206, ":"))))</f>
        <v/>
      </c>
    </row>
    <row r="207">
      <c r="A207" s="39">
        <f>IF('Additional Cartons'!B207 = "", "", IF('Additional Cartons-WUO_ERR'!A207 = "", "Validated", HYPERLINK("#" &amp; ADDRESS(207, 'Additional Cartons-WUO_TRK'!A207),_xlfn.TEXTAFTER('Additional Cartons-WUO_ERR'!A207, ":"))))</f>
        <v/>
      </c>
    </row>
    <row r="208">
      <c r="A208" s="39">
        <f>IF('Additional Cartons'!B208 = "", "", IF('Additional Cartons-WUO_ERR'!A208 = "", "Validated", HYPERLINK("#" &amp; ADDRESS(208, 'Additional Cartons-WUO_TRK'!A208),_xlfn.TEXTAFTER('Additional Cartons-WUO_ERR'!A208, ":"))))</f>
        <v/>
      </c>
    </row>
    <row r="209">
      <c r="A209" s="39">
        <f>IF('Additional Cartons'!B209 = "", "", IF('Additional Cartons-WUO_ERR'!A209 = "", "Validated", HYPERLINK("#" &amp; ADDRESS(209, 'Additional Cartons-WUO_TRK'!A209),_xlfn.TEXTAFTER('Additional Cartons-WUO_ERR'!A209, ":"))))</f>
        <v/>
      </c>
    </row>
    <row r="210">
      <c r="A210" s="39">
        <f>IF('Additional Cartons'!B210 = "", "", IF('Additional Cartons-WUO_ERR'!A210 = "", "Validated", HYPERLINK("#" &amp; ADDRESS(210, 'Additional Cartons-WUO_TRK'!A210),_xlfn.TEXTAFTER('Additional Cartons-WUO_ERR'!A210, ":"))))</f>
        <v/>
      </c>
    </row>
    <row r="211">
      <c r="A211" s="39">
        <f>IF('Additional Cartons'!B211 = "", "", IF('Additional Cartons-WUO_ERR'!A211 = "", "Validated", HYPERLINK("#" &amp; ADDRESS(211, 'Additional Cartons-WUO_TRK'!A211),_xlfn.TEXTAFTER('Additional Cartons-WUO_ERR'!A211, ":"))))</f>
        <v/>
      </c>
    </row>
    <row r="212">
      <c r="A212" s="39">
        <f>IF('Additional Cartons'!B212 = "", "", IF('Additional Cartons-WUO_ERR'!A212 = "", "Validated", HYPERLINK("#" &amp; ADDRESS(212, 'Additional Cartons-WUO_TRK'!A212),_xlfn.TEXTAFTER('Additional Cartons-WUO_ERR'!A212, ":"))))</f>
        <v/>
      </c>
    </row>
    <row r="213">
      <c r="A213" s="39">
        <f>IF('Additional Cartons'!B213 = "", "", IF('Additional Cartons-WUO_ERR'!A213 = "", "Validated", HYPERLINK("#" &amp; ADDRESS(213, 'Additional Cartons-WUO_TRK'!A213),_xlfn.TEXTAFTER('Additional Cartons-WUO_ERR'!A213, ":"))))</f>
        <v/>
      </c>
    </row>
    <row r="214">
      <c r="A214" s="39">
        <f>IF('Additional Cartons'!B214 = "", "", IF('Additional Cartons-WUO_ERR'!A214 = "", "Validated", HYPERLINK("#" &amp; ADDRESS(214, 'Additional Cartons-WUO_TRK'!A214),_xlfn.TEXTAFTER('Additional Cartons-WUO_ERR'!A214, ":"))))</f>
        <v/>
      </c>
    </row>
    <row r="215">
      <c r="A215" s="39">
        <f>IF('Additional Cartons'!B215 = "", "", IF('Additional Cartons-WUO_ERR'!A215 = "", "Validated", HYPERLINK("#" &amp; ADDRESS(215, 'Additional Cartons-WUO_TRK'!A215),_xlfn.TEXTAFTER('Additional Cartons-WUO_ERR'!A215, ":"))))</f>
        <v/>
      </c>
    </row>
    <row r="216">
      <c r="A216" s="39">
        <f>IF('Additional Cartons'!B216 = "", "", IF('Additional Cartons-WUO_ERR'!A216 = "", "Validated", HYPERLINK("#" &amp; ADDRESS(216, 'Additional Cartons-WUO_TRK'!A216),_xlfn.TEXTAFTER('Additional Cartons-WUO_ERR'!A216, ":"))))</f>
        <v/>
      </c>
    </row>
    <row r="217">
      <c r="A217" s="39">
        <f>IF('Additional Cartons'!B217 = "", "", IF('Additional Cartons-WUO_ERR'!A217 = "", "Validated", HYPERLINK("#" &amp; ADDRESS(217, 'Additional Cartons-WUO_TRK'!A217),_xlfn.TEXTAFTER('Additional Cartons-WUO_ERR'!A217, ":"))))</f>
        <v/>
      </c>
    </row>
    <row r="218">
      <c r="A218" s="39">
        <f>IF('Additional Cartons'!B218 = "", "", IF('Additional Cartons-WUO_ERR'!A218 = "", "Validated", HYPERLINK("#" &amp; ADDRESS(218, 'Additional Cartons-WUO_TRK'!A218),_xlfn.TEXTAFTER('Additional Cartons-WUO_ERR'!A218, ":"))))</f>
        <v/>
      </c>
    </row>
    <row r="219">
      <c r="A219" s="39">
        <f>IF('Additional Cartons'!B219 = "", "", IF('Additional Cartons-WUO_ERR'!A219 = "", "Validated", HYPERLINK("#" &amp; ADDRESS(219, 'Additional Cartons-WUO_TRK'!A219),_xlfn.TEXTAFTER('Additional Cartons-WUO_ERR'!A219, ":"))))</f>
        <v/>
      </c>
    </row>
    <row r="220">
      <c r="A220" s="39">
        <f>IF('Additional Cartons'!B220 = "", "", IF('Additional Cartons-WUO_ERR'!A220 = "", "Validated", HYPERLINK("#" &amp; ADDRESS(220, 'Additional Cartons-WUO_TRK'!A220),_xlfn.TEXTAFTER('Additional Cartons-WUO_ERR'!A220, ":"))))</f>
        <v/>
      </c>
    </row>
    <row r="221">
      <c r="A221" s="39">
        <f>IF('Additional Cartons'!B221 = "", "", IF('Additional Cartons-WUO_ERR'!A221 = "", "Validated", HYPERLINK("#" &amp; ADDRESS(221, 'Additional Cartons-WUO_TRK'!A221),_xlfn.TEXTAFTER('Additional Cartons-WUO_ERR'!A221, ":"))))</f>
        <v/>
      </c>
    </row>
    <row r="222">
      <c r="A222" s="39">
        <f>IF('Additional Cartons'!B222 = "", "", IF('Additional Cartons-WUO_ERR'!A222 = "", "Validated", HYPERLINK("#" &amp; ADDRESS(222, 'Additional Cartons-WUO_TRK'!A222),_xlfn.TEXTAFTER('Additional Cartons-WUO_ERR'!A222, ":"))))</f>
        <v/>
      </c>
    </row>
    <row r="223">
      <c r="A223" s="39">
        <f>IF('Additional Cartons'!B223 = "", "", IF('Additional Cartons-WUO_ERR'!A223 = "", "Validated", HYPERLINK("#" &amp; ADDRESS(223, 'Additional Cartons-WUO_TRK'!A223),_xlfn.TEXTAFTER('Additional Cartons-WUO_ERR'!A223, ":"))))</f>
        <v/>
      </c>
    </row>
    <row r="224">
      <c r="A224" s="39">
        <f>IF('Additional Cartons'!B224 = "", "", IF('Additional Cartons-WUO_ERR'!A224 = "", "Validated", HYPERLINK("#" &amp; ADDRESS(224, 'Additional Cartons-WUO_TRK'!A224),_xlfn.TEXTAFTER('Additional Cartons-WUO_ERR'!A224, ":"))))</f>
        <v/>
      </c>
    </row>
    <row r="225">
      <c r="A225" s="39">
        <f>IF('Additional Cartons'!B225 = "", "", IF('Additional Cartons-WUO_ERR'!A225 = "", "Validated", HYPERLINK("#" &amp; ADDRESS(225, 'Additional Cartons-WUO_TRK'!A225),_xlfn.TEXTAFTER('Additional Cartons-WUO_ERR'!A225, ":"))))</f>
        <v/>
      </c>
    </row>
    <row r="226">
      <c r="A226" s="39">
        <f>IF('Additional Cartons'!B226 = "", "", IF('Additional Cartons-WUO_ERR'!A226 = "", "Validated", HYPERLINK("#" &amp; ADDRESS(226, 'Additional Cartons-WUO_TRK'!A226),_xlfn.TEXTAFTER('Additional Cartons-WUO_ERR'!A226, ":"))))</f>
        <v/>
      </c>
    </row>
    <row r="227">
      <c r="A227" s="39">
        <f>IF('Additional Cartons'!B227 = "", "", IF('Additional Cartons-WUO_ERR'!A227 = "", "Validated", HYPERLINK("#" &amp; ADDRESS(227, 'Additional Cartons-WUO_TRK'!A227),_xlfn.TEXTAFTER('Additional Cartons-WUO_ERR'!A227, ":"))))</f>
        <v/>
      </c>
    </row>
    <row r="228">
      <c r="A228" s="39">
        <f>IF('Additional Cartons'!B228 = "", "", IF('Additional Cartons-WUO_ERR'!A228 = "", "Validated", HYPERLINK("#" &amp; ADDRESS(228, 'Additional Cartons-WUO_TRK'!A228),_xlfn.TEXTAFTER('Additional Cartons-WUO_ERR'!A228, ":"))))</f>
        <v/>
      </c>
    </row>
    <row r="229">
      <c r="A229" s="39">
        <f>IF('Additional Cartons'!B229 = "", "", IF('Additional Cartons-WUO_ERR'!A229 = "", "Validated", HYPERLINK("#" &amp; ADDRESS(229, 'Additional Cartons-WUO_TRK'!A229),_xlfn.TEXTAFTER('Additional Cartons-WUO_ERR'!A229, ":"))))</f>
        <v/>
      </c>
    </row>
    <row r="230">
      <c r="A230" s="39">
        <f>IF('Additional Cartons'!B230 = "", "", IF('Additional Cartons-WUO_ERR'!A230 = "", "Validated", HYPERLINK("#" &amp; ADDRESS(230, 'Additional Cartons-WUO_TRK'!A230),_xlfn.TEXTAFTER('Additional Cartons-WUO_ERR'!A230, ":"))))</f>
        <v/>
      </c>
    </row>
    <row r="231">
      <c r="A231" s="39">
        <f>IF('Additional Cartons'!B231 = "", "", IF('Additional Cartons-WUO_ERR'!A231 = "", "Validated", HYPERLINK("#" &amp; ADDRESS(231, 'Additional Cartons-WUO_TRK'!A231),_xlfn.TEXTAFTER('Additional Cartons-WUO_ERR'!A231, ":"))))</f>
        <v/>
      </c>
    </row>
    <row r="232">
      <c r="A232" s="39">
        <f>IF('Additional Cartons'!B232 = "", "", IF('Additional Cartons-WUO_ERR'!A232 = "", "Validated", HYPERLINK("#" &amp; ADDRESS(232, 'Additional Cartons-WUO_TRK'!A232),_xlfn.TEXTAFTER('Additional Cartons-WUO_ERR'!A232, ":"))))</f>
        <v/>
      </c>
    </row>
    <row r="233">
      <c r="A233" s="39">
        <f>IF('Additional Cartons'!B233 = "", "", IF('Additional Cartons-WUO_ERR'!A233 = "", "Validated", HYPERLINK("#" &amp; ADDRESS(233, 'Additional Cartons-WUO_TRK'!A233),_xlfn.TEXTAFTER('Additional Cartons-WUO_ERR'!A233, ":"))))</f>
        <v/>
      </c>
    </row>
    <row r="234">
      <c r="A234" s="39">
        <f>IF('Additional Cartons'!B234 = "", "", IF('Additional Cartons-WUO_ERR'!A234 = "", "Validated", HYPERLINK("#" &amp; ADDRESS(234, 'Additional Cartons-WUO_TRK'!A234),_xlfn.TEXTAFTER('Additional Cartons-WUO_ERR'!A234, ":"))))</f>
        <v/>
      </c>
    </row>
    <row r="235">
      <c r="A235" s="39">
        <f>IF('Additional Cartons'!B235 = "", "", IF('Additional Cartons-WUO_ERR'!A235 = "", "Validated", HYPERLINK("#" &amp; ADDRESS(235, 'Additional Cartons-WUO_TRK'!A235),_xlfn.TEXTAFTER('Additional Cartons-WUO_ERR'!A235, ":"))))</f>
        <v/>
      </c>
    </row>
    <row r="236">
      <c r="A236" s="39">
        <f>IF('Additional Cartons'!B236 = "", "", IF('Additional Cartons-WUO_ERR'!A236 = "", "Validated", HYPERLINK("#" &amp; ADDRESS(236, 'Additional Cartons-WUO_TRK'!A236),_xlfn.TEXTAFTER('Additional Cartons-WUO_ERR'!A236, ":"))))</f>
        <v/>
      </c>
    </row>
    <row r="237">
      <c r="A237" s="39">
        <f>IF('Additional Cartons'!B237 = "", "", IF('Additional Cartons-WUO_ERR'!A237 = "", "Validated", HYPERLINK("#" &amp; ADDRESS(237, 'Additional Cartons-WUO_TRK'!A237),_xlfn.TEXTAFTER('Additional Cartons-WUO_ERR'!A237, ":"))))</f>
        <v/>
      </c>
    </row>
    <row r="238">
      <c r="A238" s="39">
        <f>IF('Additional Cartons'!B238 = "", "", IF('Additional Cartons-WUO_ERR'!A238 = "", "Validated", HYPERLINK("#" &amp; ADDRESS(238, 'Additional Cartons-WUO_TRK'!A238),_xlfn.TEXTAFTER('Additional Cartons-WUO_ERR'!A238, ":"))))</f>
        <v/>
      </c>
    </row>
    <row r="239">
      <c r="A239" s="39">
        <f>IF('Additional Cartons'!B239 = "", "", IF('Additional Cartons-WUO_ERR'!A239 = "", "Validated", HYPERLINK("#" &amp; ADDRESS(239, 'Additional Cartons-WUO_TRK'!A239),_xlfn.TEXTAFTER('Additional Cartons-WUO_ERR'!A239, ":"))))</f>
        <v/>
      </c>
    </row>
    <row r="240">
      <c r="A240" s="39">
        <f>IF('Additional Cartons'!B240 = "", "", IF('Additional Cartons-WUO_ERR'!A240 = "", "Validated", HYPERLINK("#" &amp; ADDRESS(240, 'Additional Cartons-WUO_TRK'!A240),_xlfn.TEXTAFTER('Additional Cartons-WUO_ERR'!A240, ":"))))</f>
        <v/>
      </c>
    </row>
    <row r="241">
      <c r="A241" s="39">
        <f>IF('Additional Cartons'!B241 = "", "", IF('Additional Cartons-WUO_ERR'!A241 = "", "Validated", HYPERLINK("#" &amp; ADDRESS(241, 'Additional Cartons-WUO_TRK'!A241),_xlfn.TEXTAFTER('Additional Cartons-WUO_ERR'!A241, ":"))))</f>
        <v/>
      </c>
    </row>
    <row r="242">
      <c r="A242" s="39">
        <f>IF('Additional Cartons'!B242 = "", "", IF('Additional Cartons-WUO_ERR'!A242 = "", "Validated", HYPERLINK("#" &amp; ADDRESS(242, 'Additional Cartons-WUO_TRK'!A242),_xlfn.TEXTAFTER('Additional Cartons-WUO_ERR'!A242, ":"))))</f>
        <v/>
      </c>
    </row>
    <row r="243">
      <c r="A243" s="39">
        <f>IF('Additional Cartons'!B243 = "", "", IF('Additional Cartons-WUO_ERR'!A243 = "", "Validated", HYPERLINK("#" &amp; ADDRESS(243, 'Additional Cartons-WUO_TRK'!A243),_xlfn.TEXTAFTER('Additional Cartons-WUO_ERR'!A243, ":"))))</f>
        <v/>
      </c>
    </row>
    <row r="244">
      <c r="A244" s="39">
        <f>IF('Additional Cartons'!B244 = "", "", IF('Additional Cartons-WUO_ERR'!A244 = "", "Validated", HYPERLINK("#" &amp; ADDRESS(244, 'Additional Cartons-WUO_TRK'!A244),_xlfn.TEXTAFTER('Additional Cartons-WUO_ERR'!A244, ":"))))</f>
        <v/>
      </c>
    </row>
    <row r="245">
      <c r="A245" s="39">
        <f>IF('Additional Cartons'!B245 = "", "", IF('Additional Cartons-WUO_ERR'!A245 = "", "Validated", HYPERLINK("#" &amp; ADDRESS(245, 'Additional Cartons-WUO_TRK'!A245),_xlfn.TEXTAFTER('Additional Cartons-WUO_ERR'!A245, ":"))))</f>
        <v/>
      </c>
    </row>
    <row r="246">
      <c r="A246" s="39">
        <f>IF('Additional Cartons'!B246 = "", "", IF('Additional Cartons-WUO_ERR'!A246 = "", "Validated", HYPERLINK("#" &amp; ADDRESS(246, 'Additional Cartons-WUO_TRK'!A246),_xlfn.TEXTAFTER('Additional Cartons-WUO_ERR'!A246, ":"))))</f>
        <v/>
      </c>
    </row>
    <row r="247">
      <c r="A247" s="39">
        <f>IF('Additional Cartons'!B247 = "", "", IF('Additional Cartons-WUO_ERR'!A247 = "", "Validated", HYPERLINK("#" &amp; ADDRESS(247, 'Additional Cartons-WUO_TRK'!A247),_xlfn.TEXTAFTER('Additional Cartons-WUO_ERR'!A247, ":"))))</f>
        <v/>
      </c>
    </row>
    <row r="248">
      <c r="A248" s="39">
        <f>IF('Additional Cartons'!B248 = "", "", IF('Additional Cartons-WUO_ERR'!A248 = "", "Validated", HYPERLINK("#" &amp; ADDRESS(248, 'Additional Cartons-WUO_TRK'!A248),_xlfn.TEXTAFTER('Additional Cartons-WUO_ERR'!A248, ":"))))</f>
        <v/>
      </c>
    </row>
    <row r="249">
      <c r="A249" s="39">
        <f>IF('Additional Cartons'!B249 = "", "", IF('Additional Cartons-WUO_ERR'!A249 = "", "Validated", HYPERLINK("#" &amp; ADDRESS(249, 'Additional Cartons-WUO_TRK'!A249),_xlfn.TEXTAFTER('Additional Cartons-WUO_ERR'!A249, ":"))))</f>
        <v/>
      </c>
    </row>
    <row r="250">
      <c r="A250" s="39">
        <f>IF('Additional Cartons'!B250 = "", "", IF('Additional Cartons-WUO_ERR'!A250 = "", "Validated", HYPERLINK("#" &amp; ADDRESS(250, 'Additional Cartons-WUO_TRK'!A250),_xlfn.TEXTAFTER('Additional Cartons-WUO_ERR'!A250, ":"))))</f>
        <v/>
      </c>
    </row>
    <row r="251">
      <c r="A251" s="39">
        <f>IF('Additional Cartons'!B251 = "", "", IF('Additional Cartons-WUO_ERR'!A251 = "", "Validated", HYPERLINK("#" &amp; ADDRESS(251, 'Additional Cartons-WUO_TRK'!A251),_xlfn.TEXTAFTER('Additional Cartons-WUO_ERR'!A251, ":"))))</f>
        <v/>
      </c>
    </row>
    <row r="252">
      <c r="A252" s="39">
        <f>IF('Additional Cartons'!B252 = "", "", IF('Additional Cartons-WUO_ERR'!A252 = "", "Validated", HYPERLINK("#" &amp; ADDRESS(252, 'Additional Cartons-WUO_TRK'!A252),_xlfn.TEXTAFTER('Additional Cartons-WUO_ERR'!A252, ":"))))</f>
        <v/>
      </c>
    </row>
    <row r="253">
      <c r="A253" s="39">
        <f>IF('Additional Cartons'!B253 = "", "", IF('Additional Cartons-WUO_ERR'!A253 = "", "Validated", HYPERLINK("#" &amp; ADDRESS(253, 'Additional Cartons-WUO_TRK'!A253),_xlfn.TEXTAFTER('Additional Cartons-WUO_ERR'!A253, ":"))))</f>
        <v/>
      </c>
    </row>
    <row r="254">
      <c r="A254" s="39">
        <f>IF('Additional Cartons'!B254 = "", "", IF('Additional Cartons-WUO_ERR'!A254 = "", "Validated", HYPERLINK("#" &amp; ADDRESS(254, 'Additional Cartons-WUO_TRK'!A254),_xlfn.TEXTAFTER('Additional Cartons-WUO_ERR'!A254, ":"))))</f>
        <v/>
      </c>
    </row>
    <row r="255">
      <c r="A255" s="39">
        <f>IF('Additional Cartons'!B255 = "", "", IF('Additional Cartons-WUO_ERR'!A255 = "", "Validated", HYPERLINK("#" &amp; ADDRESS(255, 'Additional Cartons-WUO_TRK'!A255),_xlfn.TEXTAFTER('Additional Cartons-WUO_ERR'!A255, ":"))))</f>
        <v/>
      </c>
    </row>
    <row r="256">
      <c r="A256" s="39">
        <f>IF('Additional Cartons'!B256 = "", "", IF('Additional Cartons-WUO_ERR'!A256 = "", "Validated", HYPERLINK("#" &amp; ADDRESS(256, 'Additional Cartons-WUO_TRK'!A256),_xlfn.TEXTAFTER('Additional Cartons-WUO_ERR'!A256, ":"))))</f>
        <v/>
      </c>
    </row>
    <row r="257">
      <c r="A257" s="39">
        <f>IF('Additional Cartons'!B257 = "", "", IF('Additional Cartons-WUO_ERR'!A257 = "", "Validated", HYPERLINK("#" &amp; ADDRESS(257, 'Additional Cartons-WUO_TRK'!A257),_xlfn.TEXTAFTER('Additional Cartons-WUO_ERR'!A257, ":"))))</f>
        <v/>
      </c>
    </row>
    <row r="258">
      <c r="A258" s="39">
        <f>IF('Additional Cartons'!B258 = "", "", IF('Additional Cartons-WUO_ERR'!A258 = "", "Validated", HYPERLINK("#" &amp; ADDRESS(258, 'Additional Cartons-WUO_TRK'!A258),_xlfn.TEXTAFTER('Additional Cartons-WUO_ERR'!A258, ":"))))</f>
        <v/>
      </c>
    </row>
    <row r="259">
      <c r="A259" s="39">
        <f>IF('Additional Cartons'!B259 = "", "", IF('Additional Cartons-WUO_ERR'!A259 = "", "Validated", HYPERLINK("#" &amp; ADDRESS(259, 'Additional Cartons-WUO_TRK'!A259),_xlfn.TEXTAFTER('Additional Cartons-WUO_ERR'!A259, ":"))))</f>
        <v/>
      </c>
    </row>
    <row r="260">
      <c r="A260" s="39">
        <f>IF('Additional Cartons'!B260 = "", "", IF('Additional Cartons-WUO_ERR'!A260 = "", "Validated", HYPERLINK("#" &amp; ADDRESS(260, 'Additional Cartons-WUO_TRK'!A260),_xlfn.TEXTAFTER('Additional Cartons-WUO_ERR'!A260, ":"))))</f>
        <v/>
      </c>
    </row>
    <row r="261">
      <c r="A261" s="39">
        <f>IF('Additional Cartons'!B261 = "", "", IF('Additional Cartons-WUO_ERR'!A261 = "", "Validated", HYPERLINK("#" &amp; ADDRESS(261, 'Additional Cartons-WUO_TRK'!A261),_xlfn.TEXTAFTER('Additional Cartons-WUO_ERR'!A261, ":"))))</f>
        <v/>
      </c>
    </row>
    <row r="262">
      <c r="A262" s="39">
        <f>IF('Additional Cartons'!B262 = "", "", IF('Additional Cartons-WUO_ERR'!A262 = "", "Validated", HYPERLINK("#" &amp; ADDRESS(262, 'Additional Cartons-WUO_TRK'!A262),_xlfn.TEXTAFTER('Additional Cartons-WUO_ERR'!A262, ":"))))</f>
        <v/>
      </c>
    </row>
    <row r="263">
      <c r="A263" s="39">
        <f>IF('Additional Cartons'!B263 = "", "", IF('Additional Cartons-WUO_ERR'!A263 = "", "Validated", HYPERLINK("#" &amp; ADDRESS(263, 'Additional Cartons-WUO_TRK'!A263),_xlfn.TEXTAFTER('Additional Cartons-WUO_ERR'!A263, ":"))))</f>
        <v/>
      </c>
    </row>
    <row r="264">
      <c r="A264" s="39">
        <f>IF('Additional Cartons'!B264 = "", "", IF('Additional Cartons-WUO_ERR'!A264 = "", "Validated", HYPERLINK("#" &amp; ADDRESS(264, 'Additional Cartons-WUO_TRK'!A264),_xlfn.TEXTAFTER('Additional Cartons-WUO_ERR'!A264, ":"))))</f>
        <v/>
      </c>
    </row>
    <row r="265">
      <c r="A265" s="39">
        <f>IF('Additional Cartons'!B265 = "", "", IF('Additional Cartons-WUO_ERR'!A265 = "", "Validated", HYPERLINK("#" &amp; ADDRESS(265, 'Additional Cartons-WUO_TRK'!A265),_xlfn.TEXTAFTER('Additional Cartons-WUO_ERR'!A265, ":"))))</f>
        <v/>
      </c>
    </row>
    <row r="266">
      <c r="A266" s="39">
        <f>IF('Additional Cartons'!B266 = "", "", IF('Additional Cartons-WUO_ERR'!A266 = "", "Validated", HYPERLINK("#" &amp; ADDRESS(266, 'Additional Cartons-WUO_TRK'!A266),_xlfn.TEXTAFTER('Additional Cartons-WUO_ERR'!A266, ":"))))</f>
        <v/>
      </c>
    </row>
    <row r="267">
      <c r="A267" s="39">
        <f>IF('Additional Cartons'!B267 = "", "", IF('Additional Cartons-WUO_ERR'!A267 = "", "Validated", HYPERLINK("#" &amp; ADDRESS(267, 'Additional Cartons-WUO_TRK'!A267),_xlfn.TEXTAFTER('Additional Cartons-WUO_ERR'!A267, ":"))))</f>
        <v/>
      </c>
    </row>
    <row r="268">
      <c r="A268" s="39">
        <f>IF('Additional Cartons'!B268 = "", "", IF('Additional Cartons-WUO_ERR'!A268 = "", "Validated", HYPERLINK("#" &amp; ADDRESS(268, 'Additional Cartons-WUO_TRK'!A268),_xlfn.TEXTAFTER('Additional Cartons-WUO_ERR'!A268, ":"))))</f>
        <v/>
      </c>
    </row>
    <row r="269">
      <c r="A269" s="39">
        <f>IF('Additional Cartons'!B269 = "", "", IF('Additional Cartons-WUO_ERR'!A269 = "", "Validated", HYPERLINK("#" &amp; ADDRESS(269, 'Additional Cartons-WUO_TRK'!A269),_xlfn.TEXTAFTER('Additional Cartons-WUO_ERR'!A269, ":"))))</f>
        <v/>
      </c>
    </row>
    <row r="270">
      <c r="A270" s="39">
        <f>IF('Additional Cartons'!B270 = "", "", IF('Additional Cartons-WUO_ERR'!A270 = "", "Validated", HYPERLINK("#" &amp; ADDRESS(270, 'Additional Cartons-WUO_TRK'!A270),_xlfn.TEXTAFTER('Additional Cartons-WUO_ERR'!A270, ":"))))</f>
        <v/>
      </c>
    </row>
    <row r="271">
      <c r="A271" s="39">
        <f>IF('Additional Cartons'!B271 = "", "", IF('Additional Cartons-WUO_ERR'!A271 = "", "Validated", HYPERLINK("#" &amp; ADDRESS(271, 'Additional Cartons-WUO_TRK'!A271),_xlfn.TEXTAFTER('Additional Cartons-WUO_ERR'!A271, ":"))))</f>
        <v/>
      </c>
    </row>
    <row r="272">
      <c r="A272" s="39">
        <f>IF('Additional Cartons'!B272 = "", "", IF('Additional Cartons-WUO_ERR'!A272 = "", "Validated", HYPERLINK("#" &amp; ADDRESS(272, 'Additional Cartons-WUO_TRK'!A272),_xlfn.TEXTAFTER('Additional Cartons-WUO_ERR'!A272, ":"))))</f>
        <v/>
      </c>
    </row>
    <row r="273">
      <c r="A273" s="39">
        <f>IF('Additional Cartons'!B273 = "", "", IF('Additional Cartons-WUO_ERR'!A273 = "", "Validated", HYPERLINK("#" &amp; ADDRESS(273, 'Additional Cartons-WUO_TRK'!A273),_xlfn.TEXTAFTER('Additional Cartons-WUO_ERR'!A273, ":"))))</f>
        <v/>
      </c>
    </row>
    <row r="274">
      <c r="A274" s="39">
        <f>IF('Additional Cartons'!B274 = "", "", IF('Additional Cartons-WUO_ERR'!A274 = "", "Validated", HYPERLINK("#" &amp; ADDRESS(274, 'Additional Cartons-WUO_TRK'!A274),_xlfn.TEXTAFTER('Additional Cartons-WUO_ERR'!A274, ":"))))</f>
        <v/>
      </c>
    </row>
    <row r="275">
      <c r="A275" s="39">
        <f>IF('Additional Cartons'!B275 = "", "", IF('Additional Cartons-WUO_ERR'!A275 = "", "Validated", HYPERLINK("#" &amp; ADDRESS(275, 'Additional Cartons-WUO_TRK'!A275),_xlfn.TEXTAFTER('Additional Cartons-WUO_ERR'!A275, ":"))))</f>
        <v/>
      </c>
    </row>
    <row r="276">
      <c r="A276" s="39">
        <f>IF('Additional Cartons'!B276 = "", "", IF('Additional Cartons-WUO_ERR'!A276 = "", "Validated", HYPERLINK("#" &amp; ADDRESS(276, 'Additional Cartons-WUO_TRK'!A276),_xlfn.TEXTAFTER('Additional Cartons-WUO_ERR'!A276, ":"))))</f>
        <v/>
      </c>
    </row>
    <row r="277">
      <c r="A277" s="39">
        <f>IF('Additional Cartons'!B277 = "", "", IF('Additional Cartons-WUO_ERR'!A277 = "", "Validated", HYPERLINK("#" &amp; ADDRESS(277, 'Additional Cartons-WUO_TRK'!A277),_xlfn.TEXTAFTER('Additional Cartons-WUO_ERR'!A277, ":"))))</f>
        <v/>
      </c>
    </row>
    <row r="278">
      <c r="A278" s="39">
        <f>IF('Additional Cartons'!B278 = "", "", IF('Additional Cartons-WUO_ERR'!A278 = "", "Validated", HYPERLINK("#" &amp; ADDRESS(278, 'Additional Cartons-WUO_TRK'!A278),_xlfn.TEXTAFTER('Additional Cartons-WUO_ERR'!A278, ":"))))</f>
        <v/>
      </c>
    </row>
    <row r="279">
      <c r="A279" s="39">
        <f>IF('Additional Cartons'!B279 = "", "", IF('Additional Cartons-WUO_ERR'!A279 = "", "Validated", HYPERLINK("#" &amp; ADDRESS(279, 'Additional Cartons-WUO_TRK'!A279),_xlfn.TEXTAFTER('Additional Cartons-WUO_ERR'!A279, ":"))))</f>
        <v/>
      </c>
    </row>
    <row r="280">
      <c r="A280" s="39">
        <f>IF('Additional Cartons'!B280 = "", "", IF('Additional Cartons-WUO_ERR'!A280 = "", "Validated", HYPERLINK("#" &amp; ADDRESS(280, 'Additional Cartons-WUO_TRK'!A280),_xlfn.TEXTAFTER('Additional Cartons-WUO_ERR'!A280, ":"))))</f>
        <v/>
      </c>
    </row>
    <row r="281">
      <c r="A281" s="39">
        <f>IF('Additional Cartons'!B281 = "", "", IF('Additional Cartons-WUO_ERR'!A281 = "", "Validated", HYPERLINK("#" &amp; ADDRESS(281, 'Additional Cartons-WUO_TRK'!A281),_xlfn.TEXTAFTER('Additional Cartons-WUO_ERR'!A281, ":"))))</f>
        <v/>
      </c>
    </row>
    <row r="282">
      <c r="A282" s="39">
        <f>IF('Additional Cartons'!B282 = "", "", IF('Additional Cartons-WUO_ERR'!A282 = "", "Validated", HYPERLINK("#" &amp; ADDRESS(282, 'Additional Cartons-WUO_TRK'!A282),_xlfn.TEXTAFTER('Additional Cartons-WUO_ERR'!A282, ":"))))</f>
        <v/>
      </c>
    </row>
    <row r="283">
      <c r="A283" s="39">
        <f>IF('Additional Cartons'!B283 = "", "", IF('Additional Cartons-WUO_ERR'!A283 = "", "Validated", HYPERLINK("#" &amp; ADDRESS(283, 'Additional Cartons-WUO_TRK'!A283),_xlfn.TEXTAFTER('Additional Cartons-WUO_ERR'!A283, ":"))))</f>
        <v/>
      </c>
    </row>
    <row r="284">
      <c r="A284" s="39">
        <f>IF('Additional Cartons'!B284 = "", "", IF('Additional Cartons-WUO_ERR'!A284 = "", "Validated", HYPERLINK("#" &amp; ADDRESS(284, 'Additional Cartons-WUO_TRK'!A284),_xlfn.TEXTAFTER('Additional Cartons-WUO_ERR'!A284, ":"))))</f>
        <v/>
      </c>
    </row>
    <row r="285">
      <c r="A285" s="39">
        <f>IF('Additional Cartons'!B285 = "", "", IF('Additional Cartons-WUO_ERR'!A285 = "", "Validated", HYPERLINK("#" &amp; ADDRESS(285, 'Additional Cartons-WUO_TRK'!A285),_xlfn.TEXTAFTER('Additional Cartons-WUO_ERR'!A285, ":"))))</f>
        <v/>
      </c>
    </row>
    <row r="286">
      <c r="A286" s="39">
        <f>IF('Additional Cartons'!B286 = "", "", IF('Additional Cartons-WUO_ERR'!A286 = "", "Validated", HYPERLINK("#" &amp; ADDRESS(286, 'Additional Cartons-WUO_TRK'!A286),_xlfn.TEXTAFTER('Additional Cartons-WUO_ERR'!A286, ":"))))</f>
        <v/>
      </c>
    </row>
    <row r="287">
      <c r="A287" s="39">
        <f>IF('Additional Cartons'!B287 = "", "", IF('Additional Cartons-WUO_ERR'!A287 = "", "Validated", HYPERLINK("#" &amp; ADDRESS(287, 'Additional Cartons-WUO_TRK'!A287),_xlfn.TEXTAFTER('Additional Cartons-WUO_ERR'!A287, ":"))))</f>
        <v/>
      </c>
    </row>
    <row r="288">
      <c r="A288" s="39">
        <f>IF('Additional Cartons'!B288 = "", "", IF('Additional Cartons-WUO_ERR'!A288 = "", "Validated", HYPERLINK("#" &amp; ADDRESS(288, 'Additional Cartons-WUO_TRK'!A288),_xlfn.TEXTAFTER('Additional Cartons-WUO_ERR'!A288, ":"))))</f>
        <v/>
      </c>
    </row>
    <row r="289">
      <c r="A289" s="39">
        <f>IF('Additional Cartons'!B289 = "", "", IF('Additional Cartons-WUO_ERR'!A289 = "", "Validated", HYPERLINK("#" &amp; ADDRESS(289, 'Additional Cartons-WUO_TRK'!A289),_xlfn.TEXTAFTER('Additional Cartons-WUO_ERR'!A289, ":"))))</f>
        <v/>
      </c>
    </row>
    <row r="290">
      <c r="A290" s="39">
        <f>IF('Additional Cartons'!B290 = "", "", IF('Additional Cartons-WUO_ERR'!A290 = "", "Validated", HYPERLINK("#" &amp; ADDRESS(290, 'Additional Cartons-WUO_TRK'!A290),_xlfn.TEXTAFTER('Additional Cartons-WUO_ERR'!A290, ":"))))</f>
        <v/>
      </c>
    </row>
    <row r="291">
      <c r="A291" s="39">
        <f>IF('Additional Cartons'!B291 = "", "", IF('Additional Cartons-WUO_ERR'!A291 = "", "Validated", HYPERLINK("#" &amp; ADDRESS(291, 'Additional Cartons-WUO_TRK'!A291),_xlfn.TEXTAFTER('Additional Cartons-WUO_ERR'!A291, ":"))))</f>
        <v/>
      </c>
    </row>
    <row r="292">
      <c r="A292" s="39">
        <f>IF('Additional Cartons'!B292 = "", "", IF('Additional Cartons-WUO_ERR'!A292 = "", "Validated", HYPERLINK("#" &amp; ADDRESS(292, 'Additional Cartons-WUO_TRK'!A292),_xlfn.TEXTAFTER('Additional Cartons-WUO_ERR'!A292, ":"))))</f>
        <v/>
      </c>
    </row>
    <row r="293">
      <c r="A293" s="39">
        <f>IF('Additional Cartons'!B293 = "", "", IF('Additional Cartons-WUO_ERR'!A293 = "", "Validated", HYPERLINK("#" &amp; ADDRESS(293, 'Additional Cartons-WUO_TRK'!A293),_xlfn.TEXTAFTER('Additional Cartons-WUO_ERR'!A293, ":"))))</f>
        <v/>
      </c>
    </row>
    <row r="294">
      <c r="A294" s="39">
        <f>IF('Additional Cartons'!B294 = "", "", IF('Additional Cartons-WUO_ERR'!A294 = "", "Validated", HYPERLINK("#" &amp; ADDRESS(294, 'Additional Cartons-WUO_TRK'!A294),_xlfn.TEXTAFTER('Additional Cartons-WUO_ERR'!A294, ":"))))</f>
        <v/>
      </c>
    </row>
    <row r="295">
      <c r="A295" s="39">
        <f>IF('Additional Cartons'!B295 = "", "", IF('Additional Cartons-WUO_ERR'!A295 = "", "Validated", HYPERLINK("#" &amp; ADDRESS(295, 'Additional Cartons-WUO_TRK'!A295),_xlfn.TEXTAFTER('Additional Cartons-WUO_ERR'!A295, ":"))))</f>
        <v/>
      </c>
    </row>
    <row r="296">
      <c r="A296" s="39">
        <f>IF('Additional Cartons'!B296 = "", "", IF('Additional Cartons-WUO_ERR'!A296 = "", "Validated", HYPERLINK("#" &amp; ADDRESS(296, 'Additional Cartons-WUO_TRK'!A296),_xlfn.TEXTAFTER('Additional Cartons-WUO_ERR'!A296, ":"))))</f>
        <v/>
      </c>
    </row>
    <row r="297">
      <c r="A297" s="39">
        <f>IF('Additional Cartons'!B297 = "", "", IF('Additional Cartons-WUO_ERR'!A297 = "", "Validated", HYPERLINK("#" &amp; ADDRESS(297, 'Additional Cartons-WUO_TRK'!A297),_xlfn.TEXTAFTER('Additional Cartons-WUO_ERR'!A297, ":"))))</f>
        <v/>
      </c>
    </row>
    <row r="298">
      <c r="A298" s="39">
        <f>IF('Additional Cartons'!B298 = "", "", IF('Additional Cartons-WUO_ERR'!A298 = "", "Validated", HYPERLINK("#" &amp; ADDRESS(298, 'Additional Cartons-WUO_TRK'!A298),_xlfn.TEXTAFTER('Additional Cartons-WUO_ERR'!A298, ":"))))</f>
        <v/>
      </c>
    </row>
    <row r="299">
      <c r="A299" s="39">
        <f>IF('Additional Cartons'!B299 = "", "", IF('Additional Cartons-WUO_ERR'!A299 = "", "Validated", HYPERLINK("#" &amp; ADDRESS(299, 'Additional Cartons-WUO_TRK'!A299),_xlfn.TEXTAFTER('Additional Cartons-WUO_ERR'!A299, ":"))))</f>
        <v/>
      </c>
    </row>
    <row r="300">
      <c r="A300" s="39">
        <f>IF('Additional Cartons'!B300 = "", "", IF('Additional Cartons-WUO_ERR'!A300 = "", "Validated", HYPERLINK("#" &amp; ADDRESS(300, 'Additional Cartons-WUO_TRK'!A300),_xlfn.TEXTAFTER('Additional Cartons-WUO_ERR'!A300, ":"))))</f>
        <v/>
      </c>
    </row>
    <row r="301">
      <c r="A301" s="39">
        <f>IF('Additional Cartons'!B301 = "", "", IF('Additional Cartons-WUO_ERR'!A301 = "", "Validated", HYPERLINK("#" &amp; ADDRESS(301, 'Additional Cartons-WUO_TRK'!A301),_xlfn.TEXTAFTER('Additional Cartons-WUO_ERR'!A301, ":"))))</f>
        <v/>
      </c>
    </row>
    <row r="302">
      <c r="A302" s="39">
        <f>IF('Additional Cartons'!B302 = "", "", IF('Additional Cartons-WUO_ERR'!A302 = "", "Validated", HYPERLINK("#" &amp; ADDRESS(302, 'Additional Cartons-WUO_TRK'!A302),_xlfn.TEXTAFTER('Additional Cartons-WUO_ERR'!A302, ":"))))</f>
        <v/>
      </c>
    </row>
    <row r="303">
      <c r="A303" s="39">
        <f>IF('Additional Cartons'!B303 = "", "", IF('Additional Cartons-WUO_ERR'!A303 = "", "Validated", HYPERLINK("#" &amp; ADDRESS(303, 'Additional Cartons-WUO_TRK'!A303),_xlfn.TEXTAFTER('Additional Cartons-WUO_ERR'!A303, ":"))))</f>
        <v/>
      </c>
    </row>
    <row r="304">
      <c r="A304" s="39">
        <f>IF('Additional Cartons'!B304 = "", "", IF('Additional Cartons-WUO_ERR'!A304 = "", "Validated", HYPERLINK("#" &amp; ADDRESS(304, 'Additional Cartons-WUO_TRK'!A304),_xlfn.TEXTAFTER('Additional Cartons-WUO_ERR'!A304, ":"))))</f>
        <v/>
      </c>
    </row>
    <row r="305">
      <c r="A305" s="39">
        <f>IF('Additional Cartons'!B305 = "", "", IF('Additional Cartons-WUO_ERR'!A305 = "", "Validated", HYPERLINK("#" &amp; ADDRESS(305, 'Additional Cartons-WUO_TRK'!A305),_xlfn.TEXTAFTER('Additional Cartons-WUO_ERR'!A305, ":"))))</f>
        <v/>
      </c>
    </row>
    <row r="306">
      <c r="A306" s="39">
        <f>IF('Additional Cartons'!B306 = "", "", IF('Additional Cartons-WUO_ERR'!A306 = "", "Validated", HYPERLINK("#" &amp; ADDRESS(306, 'Additional Cartons-WUO_TRK'!A306),_xlfn.TEXTAFTER('Additional Cartons-WUO_ERR'!A306, ":"))))</f>
        <v/>
      </c>
    </row>
    <row r="307">
      <c r="A307" s="39">
        <f>IF('Additional Cartons'!B307 = "", "", IF('Additional Cartons-WUO_ERR'!A307 = "", "Validated", HYPERLINK("#" &amp; ADDRESS(307, 'Additional Cartons-WUO_TRK'!A307),_xlfn.TEXTAFTER('Additional Cartons-WUO_ERR'!A307, ":"))))</f>
        <v/>
      </c>
    </row>
    <row r="308">
      <c r="A308" s="39">
        <f>IF('Additional Cartons'!B308 = "", "", IF('Additional Cartons-WUO_ERR'!A308 = "", "Validated", HYPERLINK("#" &amp; ADDRESS(308, 'Additional Cartons-WUO_TRK'!A308),_xlfn.TEXTAFTER('Additional Cartons-WUO_ERR'!A308, ":"))))</f>
        <v/>
      </c>
    </row>
    <row r="309">
      <c r="A309" s="39">
        <f>IF('Additional Cartons'!B309 = "", "", IF('Additional Cartons-WUO_ERR'!A309 = "", "Validated", HYPERLINK("#" &amp; ADDRESS(309, 'Additional Cartons-WUO_TRK'!A309),_xlfn.TEXTAFTER('Additional Cartons-WUO_ERR'!A309, ":"))))</f>
        <v/>
      </c>
    </row>
    <row r="310">
      <c r="A310" s="39">
        <f>IF('Additional Cartons'!B310 = "", "", IF('Additional Cartons-WUO_ERR'!A310 = "", "Validated", HYPERLINK("#" &amp; ADDRESS(310, 'Additional Cartons-WUO_TRK'!A310),_xlfn.TEXTAFTER('Additional Cartons-WUO_ERR'!A310, ":"))))</f>
        <v/>
      </c>
    </row>
    <row r="311">
      <c r="A311" s="39">
        <f>IF('Additional Cartons'!B311 = "", "", IF('Additional Cartons-WUO_ERR'!A311 = "", "Validated", HYPERLINK("#" &amp; ADDRESS(311, 'Additional Cartons-WUO_TRK'!A311),_xlfn.TEXTAFTER('Additional Cartons-WUO_ERR'!A311, ":"))))</f>
        <v/>
      </c>
    </row>
    <row r="312">
      <c r="A312" s="39">
        <f>IF('Additional Cartons'!B312 = "", "", IF('Additional Cartons-WUO_ERR'!A312 = "", "Validated", HYPERLINK("#" &amp; ADDRESS(312, 'Additional Cartons-WUO_TRK'!A312),_xlfn.TEXTAFTER('Additional Cartons-WUO_ERR'!A312, ":"))))</f>
        <v/>
      </c>
    </row>
    <row r="313">
      <c r="A313" s="39">
        <f>IF('Additional Cartons'!B313 = "", "", IF('Additional Cartons-WUO_ERR'!A313 = "", "Validated", HYPERLINK("#" &amp; ADDRESS(313, 'Additional Cartons-WUO_TRK'!A313),_xlfn.TEXTAFTER('Additional Cartons-WUO_ERR'!A313, ":"))))</f>
        <v/>
      </c>
    </row>
    <row r="314">
      <c r="A314" s="39">
        <f>IF('Additional Cartons'!B314 = "", "", IF('Additional Cartons-WUO_ERR'!A314 = "", "Validated", HYPERLINK("#" &amp; ADDRESS(314, 'Additional Cartons-WUO_TRK'!A314),_xlfn.TEXTAFTER('Additional Cartons-WUO_ERR'!A314, ":"))))</f>
        <v/>
      </c>
    </row>
    <row r="315">
      <c r="A315" s="39">
        <f>IF('Additional Cartons'!B315 = "", "", IF('Additional Cartons-WUO_ERR'!A315 = "", "Validated", HYPERLINK("#" &amp; ADDRESS(315, 'Additional Cartons-WUO_TRK'!A315),_xlfn.TEXTAFTER('Additional Cartons-WUO_ERR'!A315, ":"))))</f>
        <v/>
      </c>
    </row>
    <row r="316">
      <c r="A316" s="39">
        <f>IF('Additional Cartons'!B316 = "", "", IF('Additional Cartons-WUO_ERR'!A316 = "", "Validated", HYPERLINK("#" &amp; ADDRESS(316, 'Additional Cartons-WUO_TRK'!A316),_xlfn.TEXTAFTER('Additional Cartons-WUO_ERR'!A316, ":"))))</f>
        <v/>
      </c>
    </row>
    <row r="317">
      <c r="A317" s="39">
        <f>IF('Additional Cartons'!B317 = "", "", IF('Additional Cartons-WUO_ERR'!A317 = "", "Validated", HYPERLINK("#" &amp; ADDRESS(317, 'Additional Cartons-WUO_TRK'!A317),_xlfn.TEXTAFTER('Additional Cartons-WUO_ERR'!A317, ":"))))</f>
        <v/>
      </c>
    </row>
    <row r="318">
      <c r="A318" s="39">
        <f>IF('Additional Cartons'!B318 = "", "", IF('Additional Cartons-WUO_ERR'!A318 = "", "Validated", HYPERLINK("#" &amp; ADDRESS(318, 'Additional Cartons-WUO_TRK'!A318),_xlfn.TEXTAFTER('Additional Cartons-WUO_ERR'!A318, ":"))))</f>
        <v/>
      </c>
    </row>
    <row r="319">
      <c r="A319" s="39">
        <f>IF('Additional Cartons'!B319 = "", "", IF('Additional Cartons-WUO_ERR'!A319 = "", "Validated", HYPERLINK("#" &amp; ADDRESS(319, 'Additional Cartons-WUO_TRK'!A319),_xlfn.TEXTAFTER('Additional Cartons-WUO_ERR'!A319, ":"))))</f>
        <v/>
      </c>
    </row>
    <row r="320">
      <c r="A320" s="39">
        <f>IF('Additional Cartons'!B320 = "", "", IF('Additional Cartons-WUO_ERR'!A320 = "", "Validated", HYPERLINK("#" &amp; ADDRESS(320, 'Additional Cartons-WUO_TRK'!A320),_xlfn.TEXTAFTER('Additional Cartons-WUO_ERR'!A320, ":"))))</f>
        <v/>
      </c>
    </row>
    <row r="321">
      <c r="A321" s="39">
        <f>IF('Additional Cartons'!B321 = "", "", IF('Additional Cartons-WUO_ERR'!A321 = "", "Validated", HYPERLINK("#" &amp; ADDRESS(321, 'Additional Cartons-WUO_TRK'!A321),_xlfn.TEXTAFTER('Additional Cartons-WUO_ERR'!A321, ":"))))</f>
        <v/>
      </c>
    </row>
    <row r="322">
      <c r="A322" s="39">
        <f>IF('Additional Cartons'!B322 = "", "", IF('Additional Cartons-WUO_ERR'!A322 = "", "Validated", HYPERLINK("#" &amp; ADDRESS(322, 'Additional Cartons-WUO_TRK'!A322),_xlfn.TEXTAFTER('Additional Cartons-WUO_ERR'!A322, ":"))))</f>
        <v/>
      </c>
    </row>
    <row r="323">
      <c r="A323" s="39">
        <f>IF('Additional Cartons'!B323 = "", "", IF('Additional Cartons-WUO_ERR'!A323 = "", "Validated", HYPERLINK("#" &amp; ADDRESS(323, 'Additional Cartons-WUO_TRK'!A323),_xlfn.TEXTAFTER('Additional Cartons-WUO_ERR'!A323, ":"))))</f>
        <v/>
      </c>
    </row>
    <row r="324">
      <c r="A324" s="39">
        <f>IF('Additional Cartons'!B324 = "", "", IF('Additional Cartons-WUO_ERR'!A324 = "", "Validated", HYPERLINK("#" &amp; ADDRESS(324, 'Additional Cartons-WUO_TRK'!A324),_xlfn.TEXTAFTER('Additional Cartons-WUO_ERR'!A324, ":"))))</f>
        <v/>
      </c>
    </row>
    <row r="325">
      <c r="A325" s="39">
        <f>IF('Additional Cartons'!B325 = "", "", IF('Additional Cartons-WUO_ERR'!A325 = "", "Validated", HYPERLINK("#" &amp; ADDRESS(325, 'Additional Cartons-WUO_TRK'!A325),_xlfn.TEXTAFTER('Additional Cartons-WUO_ERR'!A325, ":"))))</f>
        <v/>
      </c>
    </row>
    <row r="326">
      <c r="A326" s="39">
        <f>IF('Additional Cartons'!B326 = "", "", IF('Additional Cartons-WUO_ERR'!A326 = "", "Validated", HYPERLINK("#" &amp; ADDRESS(326, 'Additional Cartons-WUO_TRK'!A326),_xlfn.TEXTAFTER('Additional Cartons-WUO_ERR'!A326, ":"))))</f>
        <v/>
      </c>
    </row>
    <row r="327">
      <c r="A327" s="39">
        <f>IF('Additional Cartons'!B327 = "", "", IF('Additional Cartons-WUO_ERR'!A327 = "", "Validated", HYPERLINK("#" &amp; ADDRESS(327, 'Additional Cartons-WUO_TRK'!A327),_xlfn.TEXTAFTER('Additional Cartons-WUO_ERR'!A327, ":"))))</f>
        <v/>
      </c>
    </row>
    <row r="328">
      <c r="A328" s="39">
        <f>IF('Additional Cartons'!B328 = "", "", IF('Additional Cartons-WUO_ERR'!A328 = "", "Validated", HYPERLINK("#" &amp; ADDRESS(328, 'Additional Cartons-WUO_TRK'!A328),_xlfn.TEXTAFTER('Additional Cartons-WUO_ERR'!A328, ":"))))</f>
        <v/>
      </c>
    </row>
    <row r="329">
      <c r="A329" s="39">
        <f>IF('Additional Cartons'!B329 = "", "", IF('Additional Cartons-WUO_ERR'!A329 = "", "Validated", HYPERLINK("#" &amp; ADDRESS(329, 'Additional Cartons-WUO_TRK'!A329),_xlfn.TEXTAFTER('Additional Cartons-WUO_ERR'!A329, ":"))))</f>
        <v/>
      </c>
    </row>
    <row r="330">
      <c r="A330" s="39">
        <f>IF('Additional Cartons'!B330 = "", "", IF('Additional Cartons-WUO_ERR'!A330 = "", "Validated", HYPERLINK("#" &amp; ADDRESS(330, 'Additional Cartons-WUO_TRK'!A330),_xlfn.TEXTAFTER('Additional Cartons-WUO_ERR'!A330, ":"))))</f>
        <v/>
      </c>
    </row>
    <row r="331">
      <c r="A331" s="39">
        <f>IF('Additional Cartons'!B331 = "", "", IF('Additional Cartons-WUO_ERR'!A331 = "", "Validated", HYPERLINK("#" &amp; ADDRESS(331, 'Additional Cartons-WUO_TRK'!A331),_xlfn.TEXTAFTER('Additional Cartons-WUO_ERR'!A331, ":"))))</f>
        <v/>
      </c>
    </row>
    <row r="332">
      <c r="A332" s="39">
        <f>IF('Additional Cartons'!B332 = "", "", IF('Additional Cartons-WUO_ERR'!A332 = "", "Validated", HYPERLINK("#" &amp; ADDRESS(332, 'Additional Cartons-WUO_TRK'!A332),_xlfn.TEXTAFTER('Additional Cartons-WUO_ERR'!A332, ":"))))</f>
        <v/>
      </c>
    </row>
    <row r="333">
      <c r="A333" s="39">
        <f>IF('Additional Cartons'!B333 = "", "", IF('Additional Cartons-WUO_ERR'!A333 = "", "Validated", HYPERLINK("#" &amp; ADDRESS(333, 'Additional Cartons-WUO_TRK'!A333),_xlfn.TEXTAFTER('Additional Cartons-WUO_ERR'!A333, ":"))))</f>
        <v/>
      </c>
    </row>
    <row r="334">
      <c r="A334" s="39">
        <f>IF('Additional Cartons'!B334 = "", "", IF('Additional Cartons-WUO_ERR'!A334 = "", "Validated", HYPERLINK("#" &amp; ADDRESS(334, 'Additional Cartons-WUO_TRK'!A334),_xlfn.TEXTAFTER('Additional Cartons-WUO_ERR'!A334, ":"))))</f>
        <v/>
      </c>
    </row>
    <row r="335">
      <c r="A335" s="39">
        <f>IF('Additional Cartons'!B335 = "", "", IF('Additional Cartons-WUO_ERR'!A335 = "", "Validated", HYPERLINK("#" &amp; ADDRESS(335, 'Additional Cartons-WUO_TRK'!A335),_xlfn.TEXTAFTER('Additional Cartons-WUO_ERR'!A335, ":"))))</f>
        <v/>
      </c>
    </row>
    <row r="336">
      <c r="A336" s="39">
        <f>IF('Additional Cartons'!B336 = "", "", IF('Additional Cartons-WUO_ERR'!A336 = "", "Validated", HYPERLINK("#" &amp; ADDRESS(336, 'Additional Cartons-WUO_TRK'!A336),_xlfn.TEXTAFTER('Additional Cartons-WUO_ERR'!A336, ":"))))</f>
        <v/>
      </c>
    </row>
    <row r="337">
      <c r="A337" s="39">
        <f>IF('Additional Cartons'!B337 = "", "", IF('Additional Cartons-WUO_ERR'!A337 = "", "Validated", HYPERLINK("#" &amp; ADDRESS(337, 'Additional Cartons-WUO_TRK'!A337),_xlfn.TEXTAFTER('Additional Cartons-WUO_ERR'!A337, ":"))))</f>
        <v/>
      </c>
    </row>
    <row r="338">
      <c r="A338" s="39">
        <f>IF('Additional Cartons'!B338 = "", "", IF('Additional Cartons-WUO_ERR'!A338 = "", "Validated", HYPERLINK("#" &amp; ADDRESS(338, 'Additional Cartons-WUO_TRK'!A338),_xlfn.TEXTAFTER('Additional Cartons-WUO_ERR'!A338, ":"))))</f>
        <v/>
      </c>
    </row>
    <row r="339">
      <c r="A339" s="39">
        <f>IF('Additional Cartons'!B339 = "", "", IF('Additional Cartons-WUO_ERR'!A339 = "", "Validated", HYPERLINK("#" &amp; ADDRESS(339, 'Additional Cartons-WUO_TRK'!A339),_xlfn.TEXTAFTER('Additional Cartons-WUO_ERR'!A339, ":"))))</f>
        <v/>
      </c>
    </row>
    <row r="340">
      <c r="A340" s="39">
        <f>IF('Additional Cartons'!B340 = "", "", IF('Additional Cartons-WUO_ERR'!A340 = "", "Validated", HYPERLINK("#" &amp; ADDRESS(340, 'Additional Cartons-WUO_TRK'!A340),_xlfn.TEXTAFTER('Additional Cartons-WUO_ERR'!A340, ":"))))</f>
        <v/>
      </c>
    </row>
    <row r="341">
      <c r="A341" s="39">
        <f>IF('Additional Cartons'!B341 = "", "", IF('Additional Cartons-WUO_ERR'!A341 = "", "Validated", HYPERLINK("#" &amp; ADDRESS(341, 'Additional Cartons-WUO_TRK'!A341),_xlfn.TEXTAFTER('Additional Cartons-WUO_ERR'!A341, ":"))))</f>
        <v/>
      </c>
    </row>
    <row r="342">
      <c r="A342" s="39">
        <f>IF('Additional Cartons'!B342 = "", "", IF('Additional Cartons-WUO_ERR'!A342 = "", "Validated", HYPERLINK("#" &amp; ADDRESS(342, 'Additional Cartons-WUO_TRK'!A342),_xlfn.TEXTAFTER('Additional Cartons-WUO_ERR'!A342, ":"))))</f>
        <v/>
      </c>
    </row>
    <row r="343">
      <c r="A343" s="39">
        <f>IF('Additional Cartons'!B343 = "", "", IF('Additional Cartons-WUO_ERR'!A343 = "", "Validated", HYPERLINK("#" &amp; ADDRESS(343, 'Additional Cartons-WUO_TRK'!A343),_xlfn.TEXTAFTER('Additional Cartons-WUO_ERR'!A343, ":"))))</f>
        <v/>
      </c>
    </row>
    <row r="344">
      <c r="A344" s="39">
        <f>IF('Additional Cartons'!B344 = "", "", IF('Additional Cartons-WUO_ERR'!A344 = "", "Validated", HYPERLINK("#" &amp; ADDRESS(344, 'Additional Cartons-WUO_TRK'!A344),_xlfn.TEXTAFTER('Additional Cartons-WUO_ERR'!A344, ":"))))</f>
        <v/>
      </c>
    </row>
    <row r="345">
      <c r="A345" s="39">
        <f>IF('Additional Cartons'!B345 = "", "", IF('Additional Cartons-WUO_ERR'!A345 = "", "Validated", HYPERLINK("#" &amp; ADDRESS(345, 'Additional Cartons-WUO_TRK'!A345),_xlfn.TEXTAFTER('Additional Cartons-WUO_ERR'!A345, ":"))))</f>
        <v/>
      </c>
    </row>
    <row r="346">
      <c r="A346" s="39">
        <f>IF('Additional Cartons'!B346 = "", "", IF('Additional Cartons-WUO_ERR'!A346 = "", "Validated", HYPERLINK("#" &amp; ADDRESS(346, 'Additional Cartons-WUO_TRK'!A346),_xlfn.TEXTAFTER('Additional Cartons-WUO_ERR'!A346, ":"))))</f>
        <v/>
      </c>
    </row>
    <row r="347">
      <c r="A347" s="39">
        <f>IF('Additional Cartons'!B347 = "", "", IF('Additional Cartons-WUO_ERR'!A347 = "", "Validated", HYPERLINK("#" &amp; ADDRESS(347, 'Additional Cartons-WUO_TRK'!A347),_xlfn.TEXTAFTER('Additional Cartons-WUO_ERR'!A347, ":"))))</f>
        <v/>
      </c>
    </row>
    <row r="348">
      <c r="A348" s="39">
        <f>IF('Additional Cartons'!B348 = "", "", IF('Additional Cartons-WUO_ERR'!A348 = "", "Validated", HYPERLINK("#" &amp; ADDRESS(348, 'Additional Cartons-WUO_TRK'!A348),_xlfn.TEXTAFTER('Additional Cartons-WUO_ERR'!A348, ":"))))</f>
        <v/>
      </c>
    </row>
    <row r="349">
      <c r="A349" s="39">
        <f>IF('Additional Cartons'!B349 = "", "", IF('Additional Cartons-WUO_ERR'!A349 = "", "Validated", HYPERLINK("#" &amp; ADDRESS(349, 'Additional Cartons-WUO_TRK'!A349),_xlfn.TEXTAFTER('Additional Cartons-WUO_ERR'!A349, ":"))))</f>
        <v/>
      </c>
    </row>
    <row r="350">
      <c r="A350" s="39">
        <f>IF('Additional Cartons'!B350 = "", "", IF('Additional Cartons-WUO_ERR'!A350 = "", "Validated", HYPERLINK("#" &amp; ADDRESS(350, 'Additional Cartons-WUO_TRK'!A350),_xlfn.TEXTAFTER('Additional Cartons-WUO_ERR'!A350, ":"))))</f>
        <v/>
      </c>
    </row>
    <row r="351">
      <c r="A351" s="39">
        <f>IF('Additional Cartons'!B351 = "", "", IF('Additional Cartons-WUO_ERR'!A351 = "", "Validated", HYPERLINK("#" &amp; ADDRESS(351, 'Additional Cartons-WUO_TRK'!A351),_xlfn.TEXTAFTER('Additional Cartons-WUO_ERR'!A351, ":"))))</f>
        <v/>
      </c>
    </row>
    <row r="352">
      <c r="A352" s="39">
        <f>IF('Additional Cartons'!B352 = "", "", IF('Additional Cartons-WUO_ERR'!A352 = "", "Validated", HYPERLINK("#" &amp; ADDRESS(352, 'Additional Cartons-WUO_TRK'!A352),_xlfn.TEXTAFTER('Additional Cartons-WUO_ERR'!A352, ":"))))</f>
        <v/>
      </c>
    </row>
    <row r="353">
      <c r="A353" s="39">
        <f>IF('Additional Cartons'!B353 = "", "", IF('Additional Cartons-WUO_ERR'!A353 = "", "Validated", HYPERLINK("#" &amp; ADDRESS(353, 'Additional Cartons-WUO_TRK'!A353),_xlfn.TEXTAFTER('Additional Cartons-WUO_ERR'!A353, ":"))))</f>
        <v/>
      </c>
    </row>
    <row r="354">
      <c r="A354" s="39">
        <f>IF('Additional Cartons'!B354 = "", "", IF('Additional Cartons-WUO_ERR'!A354 = "", "Validated", HYPERLINK("#" &amp; ADDRESS(354, 'Additional Cartons-WUO_TRK'!A354),_xlfn.TEXTAFTER('Additional Cartons-WUO_ERR'!A354, ":"))))</f>
        <v/>
      </c>
    </row>
    <row r="355">
      <c r="A355" s="39">
        <f>IF('Additional Cartons'!B355 = "", "", IF('Additional Cartons-WUO_ERR'!A355 = "", "Validated", HYPERLINK("#" &amp; ADDRESS(355, 'Additional Cartons-WUO_TRK'!A355),_xlfn.TEXTAFTER('Additional Cartons-WUO_ERR'!A355, ":"))))</f>
        <v/>
      </c>
    </row>
    <row r="356">
      <c r="A356" s="39">
        <f>IF('Additional Cartons'!B356 = "", "", IF('Additional Cartons-WUO_ERR'!A356 = "", "Validated", HYPERLINK("#" &amp; ADDRESS(356, 'Additional Cartons-WUO_TRK'!A356),_xlfn.TEXTAFTER('Additional Cartons-WUO_ERR'!A356, ":"))))</f>
        <v/>
      </c>
    </row>
    <row r="357">
      <c r="A357" s="39">
        <f>IF('Additional Cartons'!B357 = "", "", IF('Additional Cartons-WUO_ERR'!A357 = "", "Validated", HYPERLINK("#" &amp; ADDRESS(357, 'Additional Cartons-WUO_TRK'!A357),_xlfn.TEXTAFTER('Additional Cartons-WUO_ERR'!A357, ":"))))</f>
        <v/>
      </c>
    </row>
    <row r="358">
      <c r="A358" s="39">
        <f>IF('Additional Cartons'!B358 = "", "", IF('Additional Cartons-WUO_ERR'!A358 = "", "Validated", HYPERLINK("#" &amp; ADDRESS(358, 'Additional Cartons-WUO_TRK'!A358),_xlfn.TEXTAFTER('Additional Cartons-WUO_ERR'!A358, ":"))))</f>
        <v/>
      </c>
    </row>
    <row r="359">
      <c r="A359" s="39">
        <f>IF('Additional Cartons'!B359 = "", "", IF('Additional Cartons-WUO_ERR'!A359 = "", "Validated", HYPERLINK("#" &amp; ADDRESS(359, 'Additional Cartons-WUO_TRK'!A359),_xlfn.TEXTAFTER('Additional Cartons-WUO_ERR'!A359, ":"))))</f>
        <v/>
      </c>
    </row>
    <row r="360">
      <c r="A360" s="39">
        <f>IF('Additional Cartons'!B360 = "", "", IF('Additional Cartons-WUO_ERR'!A360 = "", "Validated", HYPERLINK("#" &amp; ADDRESS(360, 'Additional Cartons-WUO_TRK'!A360),_xlfn.TEXTAFTER('Additional Cartons-WUO_ERR'!A360, ":"))))</f>
        <v/>
      </c>
    </row>
    <row r="361">
      <c r="A361" s="39">
        <f>IF('Additional Cartons'!B361 = "", "", IF('Additional Cartons-WUO_ERR'!A361 = "", "Validated", HYPERLINK("#" &amp; ADDRESS(361, 'Additional Cartons-WUO_TRK'!A361),_xlfn.TEXTAFTER('Additional Cartons-WUO_ERR'!A361, ":"))))</f>
        <v/>
      </c>
    </row>
    <row r="362">
      <c r="A362" s="39">
        <f>IF('Additional Cartons'!B362 = "", "", IF('Additional Cartons-WUO_ERR'!A362 = "", "Validated", HYPERLINK("#" &amp; ADDRESS(362, 'Additional Cartons-WUO_TRK'!A362),_xlfn.TEXTAFTER('Additional Cartons-WUO_ERR'!A362, ":"))))</f>
        <v/>
      </c>
    </row>
    <row r="363">
      <c r="A363" s="39">
        <f>IF('Additional Cartons'!B363 = "", "", IF('Additional Cartons-WUO_ERR'!A363 = "", "Validated", HYPERLINK("#" &amp; ADDRESS(363, 'Additional Cartons-WUO_TRK'!A363),_xlfn.TEXTAFTER('Additional Cartons-WUO_ERR'!A363, ":"))))</f>
        <v/>
      </c>
    </row>
    <row r="364">
      <c r="A364" s="39">
        <f>IF('Additional Cartons'!B364 = "", "", IF('Additional Cartons-WUO_ERR'!A364 = "", "Validated", HYPERLINK("#" &amp; ADDRESS(364, 'Additional Cartons-WUO_TRK'!A364),_xlfn.TEXTAFTER('Additional Cartons-WUO_ERR'!A364, ":"))))</f>
        <v/>
      </c>
    </row>
    <row r="365">
      <c r="A365" s="39">
        <f>IF('Additional Cartons'!B365 = "", "", IF('Additional Cartons-WUO_ERR'!A365 = "", "Validated", HYPERLINK("#" &amp; ADDRESS(365, 'Additional Cartons-WUO_TRK'!A365),_xlfn.TEXTAFTER('Additional Cartons-WUO_ERR'!A365, ":"))))</f>
        <v/>
      </c>
    </row>
    <row r="366">
      <c r="A366" s="39">
        <f>IF('Additional Cartons'!B366 = "", "", IF('Additional Cartons-WUO_ERR'!A366 = "", "Validated", HYPERLINK("#" &amp; ADDRESS(366, 'Additional Cartons-WUO_TRK'!A366),_xlfn.TEXTAFTER('Additional Cartons-WUO_ERR'!A366, ":"))))</f>
        <v/>
      </c>
    </row>
    <row r="367">
      <c r="A367" s="39">
        <f>IF('Additional Cartons'!B367 = "", "", IF('Additional Cartons-WUO_ERR'!A367 = "", "Validated", HYPERLINK("#" &amp; ADDRESS(367, 'Additional Cartons-WUO_TRK'!A367),_xlfn.TEXTAFTER('Additional Cartons-WUO_ERR'!A367, ":"))))</f>
        <v/>
      </c>
    </row>
    <row r="368">
      <c r="A368" s="39">
        <f>IF('Additional Cartons'!B368 = "", "", IF('Additional Cartons-WUO_ERR'!A368 = "", "Validated", HYPERLINK("#" &amp; ADDRESS(368, 'Additional Cartons-WUO_TRK'!A368),_xlfn.TEXTAFTER('Additional Cartons-WUO_ERR'!A368, ":"))))</f>
        <v/>
      </c>
    </row>
    <row r="369">
      <c r="A369" s="39">
        <f>IF('Additional Cartons'!B369 = "", "", IF('Additional Cartons-WUO_ERR'!A369 = "", "Validated", HYPERLINK("#" &amp; ADDRESS(369, 'Additional Cartons-WUO_TRK'!A369),_xlfn.TEXTAFTER('Additional Cartons-WUO_ERR'!A369, ":"))))</f>
        <v/>
      </c>
    </row>
    <row r="370">
      <c r="A370" s="39">
        <f>IF('Additional Cartons'!B370 = "", "", IF('Additional Cartons-WUO_ERR'!A370 = "", "Validated", HYPERLINK("#" &amp; ADDRESS(370, 'Additional Cartons-WUO_TRK'!A370),_xlfn.TEXTAFTER('Additional Cartons-WUO_ERR'!A370, ":"))))</f>
        <v/>
      </c>
    </row>
    <row r="371">
      <c r="A371" s="39">
        <f>IF('Additional Cartons'!B371 = "", "", IF('Additional Cartons-WUO_ERR'!A371 = "", "Validated", HYPERLINK("#" &amp; ADDRESS(371, 'Additional Cartons-WUO_TRK'!A371),_xlfn.TEXTAFTER('Additional Cartons-WUO_ERR'!A371, ":"))))</f>
        <v/>
      </c>
    </row>
    <row r="372">
      <c r="A372" s="39">
        <f>IF('Additional Cartons'!B372 = "", "", IF('Additional Cartons-WUO_ERR'!A372 = "", "Validated", HYPERLINK("#" &amp; ADDRESS(372, 'Additional Cartons-WUO_TRK'!A372),_xlfn.TEXTAFTER('Additional Cartons-WUO_ERR'!A372, ":"))))</f>
        <v/>
      </c>
    </row>
    <row r="373">
      <c r="A373" s="39">
        <f>IF('Additional Cartons'!B373 = "", "", IF('Additional Cartons-WUO_ERR'!A373 = "", "Validated", HYPERLINK("#" &amp; ADDRESS(373, 'Additional Cartons-WUO_TRK'!A373),_xlfn.TEXTAFTER('Additional Cartons-WUO_ERR'!A373, ":"))))</f>
        <v/>
      </c>
    </row>
    <row r="374">
      <c r="A374" s="39">
        <f>IF('Additional Cartons'!B374 = "", "", IF('Additional Cartons-WUO_ERR'!A374 = "", "Validated", HYPERLINK("#" &amp; ADDRESS(374, 'Additional Cartons-WUO_TRK'!A374),_xlfn.TEXTAFTER('Additional Cartons-WUO_ERR'!A374, ":"))))</f>
        <v/>
      </c>
    </row>
    <row r="375">
      <c r="A375" s="39">
        <f>IF('Additional Cartons'!B375 = "", "", IF('Additional Cartons-WUO_ERR'!A375 = "", "Validated", HYPERLINK("#" &amp; ADDRESS(375, 'Additional Cartons-WUO_TRK'!A375),_xlfn.TEXTAFTER('Additional Cartons-WUO_ERR'!A375, ":"))))</f>
        <v/>
      </c>
    </row>
    <row r="376">
      <c r="A376" s="39">
        <f>IF('Additional Cartons'!B376 = "", "", IF('Additional Cartons-WUO_ERR'!A376 = "", "Validated", HYPERLINK("#" &amp; ADDRESS(376, 'Additional Cartons-WUO_TRK'!A376),_xlfn.TEXTAFTER('Additional Cartons-WUO_ERR'!A376, ":"))))</f>
        <v/>
      </c>
    </row>
    <row r="377">
      <c r="A377" s="39">
        <f>IF('Additional Cartons'!B377 = "", "", IF('Additional Cartons-WUO_ERR'!A377 = "", "Validated", HYPERLINK("#" &amp; ADDRESS(377, 'Additional Cartons-WUO_TRK'!A377),_xlfn.TEXTAFTER('Additional Cartons-WUO_ERR'!A377, ":"))))</f>
        <v/>
      </c>
    </row>
    <row r="378">
      <c r="A378" s="39">
        <f>IF('Additional Cartons'!B378 = "", "", IF('Additional Cartons-WUO_ERR'!A378 = "", "Validated", HYPERLINK("#" &amp; ADDRESS(378, 'Additional Cartons-WUO_TRK'!A378),_xlfn.TEXTAFTER('Additional Cartons-WUO_ERR'!A378, ":"))))</f>
        <v/>
      </c>
    </row>
    <row r="379">
      <c r="A379" s="39">
        <f>IF('Additional Cartons'!B379 = "", "", IF('Additional Cartons-WUO_ERR'!A379 = "", "Validated", HYPERLINK("#" &amp; ADDRESS(379, 'Additional Cartons-WUO_TRK'!A379),_xlfn.TEXTAFTER('Additional Cartons-WUO_ERR'!A379, ":"))))</f>
        <v/>
      </c>
    </row>
    <row r="380">
      <c r="A380" s="39">
        <f>IF('Additional Cartons'!B380 = "", "", IF('Additional Cartons-WUO_ERR'!A380 = "", "Validated", HYPERLINK("#" &amp; ADDRESS(380, 'Additional Cartons-WUO_TRK'!A380),_xlfn.TEXTAFTER('Additional Cartons-WUO_ERR'!A380, ":"))))</f>
        <v/>
      </c>
    </row>
    <row r="381">
      <c r="A381" s="39">
        <f>IF('Additional Cartons'!B381 = "", "", IF('Additional Cartons-WUO_ERR'!A381 = "", "Validated", HYPERLINK("#" &amp; ADDRESS(381, 'Additional Cartons-WUO_TRK'!A381),_xlfn.TEXTAFTER('Additional Cartons-WUO_ERR'!A381, ":"))))</f>
        <v/>
      </c>
    </row>
    <row r="382">
      <c r="A382" s="39">
        <f>IF('Additional Cartons'!B382 = "", "", IF('Additional Cartons-WUO_ERR'!A382 = "", "Validated", HYPERLINK("#" &amp; ADDRESS(382, 'Additional Cartons-WUO_TRK'!A382),_xlfn.TEXTAFTER('Additional Cartons-WUO_ERR'!A382, ":"))))</f>
        <v/>
      </c>
    </row>
    <row r="383">
      <c r="A383" s="39">
        <f>IF('Additional Cartons'!B383 = "", "", IF('Additional Cartons-WUO_ERR'!A383 = "", "Validated", HYPERLINK("#" &amp; ADDRESS(383, 'Additional Cartons-WUO_TRK'!A383),_xlfn.TEXTAFTER('Additional Cartons-WUO_ERR'!A383, ":"))))</f>
        <v/>
      </c>
    </row>
    <row r="384">
      <c r="A384" s="39">
        <f>IF('Additional Cartons'!B384 = "", "", IF('Additional Cartons-WUO_ERR'!A384 = "", "Validated", HYPERLINK("#" &amp; ADDRESS(384, 'Additional Cartons-WUO_TRK'!A384),_xlfn.TEXTAFTER('Additional Cartons-WUO_ERR'!A384, ":"))))</f>
        <v/>
      </c>
    </row>
    <row r="385">
      <c r="A385" s="39">
        <f>IF('Additional Cartons'!B385 = "", "", IF('Additional Cartons-WUO_ERR'!A385 = "", "Validated", HYPERLINK("#" &amp; ADDRESS(385, 'Additional Cartons-WUO_TRK'!A385),_xlfn.TEXTAFTER('Additional Cartons-WUO_ERR'!A385, ":"))))</f>
        <v/>
      </c>
    </row>
    <row r="386">
      <c r="A386" s="39">
        <f>IF('Additional Cartons'!B386 = "", "", IF('Additional Cartons-WUO_ERR'!A386 = "", "Validated", HYPERLINK("#" &amp; ADDRESS(386, 'Additional Cartons-WUO_TRK'!A386),_xlfn.TEXTAFTER('Additional Cartons-WUO_ERR'!A386, ":"))))</f>
        <v/>
      </c>
    </row>
    <row r="387">
      <c r="A387" s="39">
        <f>IF('Additional Cartons'!B387 = "", "", IF('Additional Cartons-WUO_ERR'!A387 = "", "Validated", HYPERLINK("#" &amp; ADDRESS(387, 'Additional Cartons-WUO_TRK'!A387),_xlfn.TEXTAFTER('Additional Cartons-WUO_ERR'!A387, ":"))))</f>
        <v/>
      </c>
    </row>
    <row r="388">
      <c r="A388" s="39">
        <f>IF('Additional Cartons'!B388 = "", "", IF('Additional Cartons-WUO_ERR'!A388 = "", "Validated", HYPERLINK("#" &amp; ADDRESS(388, 'Additional Cartons-WUO_TRK'!A388),_xlfn.TEXTAFTER('Additional Cartons-WUO_ERR'!A388, ":"))))</f>
        <v/>
      </c>
    </row>
    <row r="389">
      <c r="A389" s="39">
        <f>IF('Additional Cartons'!B389 = "", "", IF('Additional Cartons-WUO_ERR'!A389 = "", "Validated", HYPERLINK("#" &amp; ADDRESS(389, 'Additional Cartons-WUO_TRK'!A389),_xlfn.TEXTAFTER('Additional Cartons-WUO_ERR'!A389, ":"))))</f>
        <v/>
      </c>
    </row>
    <row r="390">
      <c r="A390" s="39">
        <f>IF('Additional Cartons'!B390 = "", "", IF('Additional Cartons-WUO_ERR'!A390 = "", "Validated", HYPERLINK("#" &amp; ADDRESS(390, 'Additional Cartons-WUO_TRK'!A390),_xlfn.TEXTAFTER('Additional Cartons-WUO_ERR'!A390, ":"))))</f>
        <v/>
      </c>
    </row>
    <row r="391">
      <c r="A391" s="39">
        <f>IF('Additional Cartons'!B391 = "", "", IF('Additional Cartons-WUO_ERR'!A391 = "", "Validated", HYPERLINK("#" &amp; ADDRESS(391, 'Additional Cartons-WUO_TRK'!A391),_xlfn.TEXTAFTER('Additional Cartons-WUO_ERR'!A391, ":"))))</f>
        <v/>
      </c>
    </row>
    <row r="392">
      <c r="A392" s="39">
        <f>IF('Additional Cartons'!B392 = "", "", IF('Additional Cartons-WUO_ERR'!A392 = "", "Validated", HYPERLINK("#" &amp; ADDRESS(392, 'Additional Cartons-WUO_TRK'!A392),_xlfn.TEXTAFTER('Additional Cartons-WUO_ERR'!A392, ":"))))</f>
        <v/>
      </c>
    </row>
    <row r="393">
      <c r="A393" s="39">
        <f>IF('Additional Cartons'!B393 = "", "", IF('Additional Cartons-WUO_ERR'!A393 = "", "Validated", HYPERLINK("#" &amp; ADDRESS(393, 'Additional Cartons-WUO_TRK'!A393),_xlfn.TEXTAFTER('Additional Cartons-WUO_ERR'!A393, ":"))))</f>
        <v/>
      </c>
    </row>
    <row r="394">
      <c r="A394" s="39">
        <f>IF('Additional Cartons'!B394 = "", "", IF('Additional Cartons-WUO_ERR'!A394 = "", "Validated", HYPERLINK("#" &amp; ADDRESS(394, 'Additional Cartons-WUO_TRK'!A394),_xlfn.TEXTAFTER('Additional Cartons-WUO_ERR'!A394, ":"))))</f>
        <v/>
      </c>
    </row>
    <row r="395">
      <c r="A395" s="39">
        <f>IF('Additional Cartons'!B395 = "", "", IF('Additional Cartons-WUO_ERR'!A395 = "", "Validated", HYPERLINK("#" &amp; ADDRESS(395, 'Additional Cartons-WUO_TRK'!A395),_xlfn.TEXTAFTER('Additional Cartons-WUO_ERR'!A395, ":"))))</f>
        <v/>
      </c>
    </row>
    <row r="396">
      <c r="A396" s="39">
        <f>IF('Additional Cartons'!B396 = "", "", IF('Additional Cartons-WUO_ERR'!A396 = "", "Validated", HYPERLINK("#" &amp; ADDRESS(396, 'Additional Cartons-WUO_TRK'!A396),_xlfn.TEXTAFTER('Additional Cartons-WUO_ERR'!A396, ":"))))</f>
        <v/>
      </c>
    </row>
    <row r="397">
      <c r="A397" s="39">
        <f>IF('Additional Cartons'!B397 = "", "", IF('Additional Cartons-WUO_ERR'!A397 = "", "Validated", HYPERLINK("#" &amp; ADDRESS(397, 'Additional Cartons-WUO_TRK'!A397),_xlfn.TEXTAFTER('Additional Cartons-WUO_ERR'!A397, ":"))))</f>
        <v/>
      </c>
    </row>
    <row r="398">
      <c r="A398" s="39">
        <f>IF('Additional Cartons'!B398 = "", "", IF('Additional Cartons-WUO_ERR'!A398 = "", "Validated", HYPERLINK("#" &amp; ADDRESS(398, 'Additional Cartons-WUO_TRK'!A398),_xlfn.TEXTAFTER('Additional Cartons-WUO_ERR'!A398, ":"))))</f>
        <v/>
      </c>
    </row>
    <row r="399">
      <c r="A399" s="39">
        <f>IF('Additional Cartons'!B399 = "", "", IF('Additional Cartons-WUO_ERR'!A399 = "", "Validated", HYPERLINK("#" &amp; ADDRESS(399, 'Additional Cartons-WUO_TRK'!A399),_xlfn.TEXTAFTER('Additional Cartons-WUO_ERR'!A399, ":"))))</f>
        <v/>
      </c>
    </row>
    <row r="400">
      <c r="A400" s="39">
        <f>IF('Additional Cartons'!B400 = "", "", IF('Additional Cartons-WUO_ERR'!A400 = "", "Validated", HYPERLINK("#" &amp; ADDRESS(400, 'Additional Cartons-WUO_TRK'!A400),_xlfn.TEXTAFTER('Additional Cartons-WUO_ERR'!A400, ":"))))</f>
        <v/>
      </c>
    </row>
    <row r="401">
      <c r="A401" s="39">
        <f>IF('Additional Cartons'!B401 = "", "", IF('Additional Cartons-WUO_ERR'!A401 = "", "Validated", HYPERLINK("#" &amp; ADDRESS(401, 'Additional Cartons-WUO_TRK'!A401),_xlfn.TEXTAFTER('Additional Cartons-WUO_ERR'!A401, ":"))))</f>
        <v/>
      </c>
    </row>
    <row r="402">
      <c r="A402" s="39">
        <f>IF('Additional Cartons'!B402 = "", "", IF('Additional Cartons-WUO_ERR'!A402 = "", "Validated", HYPERLINK("#" &amp; ADDRESS(402, 'Additional Cartons-WUO_TRK'!A402),_xlfn.TEXTAFTER('Additional Cartons-WUO_ERR'!A402, ":"))))</f>
        <v/>
      </c>
    </row>
    <row r="403">
      <c r="A403" s="39">
        <f>IF('Additional Cartons'!B403 = "", "", IF('Additional Cartons-WUO_ERR'!A403 = "", "Validated", HYPERLINK("#" &amp; ADDRESS(403, 'Additional Cartons-WUO_TRK'!A403),_xlfn.TEXTAFTER('Additional Cartons-WUO_ERR'!A403, ":"))))</f>
        <v/>
      </c>
    </row>
    <row r="404">
      <c r="A404" s="39">
        <f>IF('Additional Cartons'!B404 = "", "", IF('Additional Cartons-WUO_ERR'!A404 = "", "Validated", HYPERLINK("#" &amp; ADDRESS(404, 'Additional Cartons-WUO_TRK'!A404),_xlfn.TEXTAFTER('Additional Cartons-WUO_ERR'!A404, ":"))))</f>
        <v/>
      </c>
    </row>
    <row r="405">
      <c r="A405" s="39">
        <f>IF('Additional Cartons'!B405 = "", "", IF('Additional Cartons-WUO_ERR'!A405 = "", "Validated", HYPERLINK("#" &amp; ADDRESS(405, 'Additional Cartons-WUO_TRK'!A405),_xlfn.TEXTAFTER('Additional Cartons-WUO_ERR'!A405, ":"))))</f>
        <v/>
      </c>
    </row>
    <row r="406">
      <c r="A406" s="39">
        <f>IF('Additional Cartons'!B406 = "", "", IF('Additional Cartons-WUO_ERR'!A406 = "", "Validated", HYPERLINK("#" &amp; ADDRESS(406, 'Additional Cartons-WUO_TRK'!A406),_xlfn.TEXTAFTER('Additional Cartons-WUO_ERR'!A406, ":"))))</f>
        <v/>
      </c>
    </row>
    <row r="407">
      <c r="A407" s="39">
        <f>IF('Additional Cartons'!B407 = "", "", IF('Additional Cartons-WUO_ERR'!A407 = "", "Validated", HYPERLINK("#" &amp; ADDRESS(407, 'Additional Cartons-WUO_TRK'!A407),_xlfn.TEXTAFTER('Additional Cartons-WUO_ERR'!A407, ":"))))</f>
        <v/>
      </c>
    </row>
    <row r="408">
      <c r="A408" s="39">
        <f>IF('Additional Cartons'!B408 = "", "", IF('Additional Cartons-WUO_ERR'!A408 = "", "Validated", HYPERLINK("#" &amp; ADDRESS(408, 'Additional Cartons-WUO_TRK'!A408),_xlfn.TEXTAFTER('Additional Cartons-WUO_ERR'!A408, ":"))))</f>
        <v/>
      </c>
    </row>
    <row r="409">
      <c r="A409" s="39">
        <f>IF('Additional Cartons'!B409 = "", "", IF('Additional Cartons-WUO_ERR'!A409 = "", "Validated", HYPERLINK("#" &amp; ADDRESS(409, 'Additional Cartons-WUO_TRK'!A409),_xlfn.TEXTAFTER('Additional Cartons-WUO_ERR'!A409, ":"))))</f>
        <v/>
      </c>
    </row>
    <row r="410">
      <c r="A410" s="39">
        <f>IF('Additional Cartons'!B410 = "", "", IF('Additional Cartons-WUO_ERR'!A410 = "", "Validated", HYPERLINK("#" &amp; ADDRESS(410, 'Additional Cartons-WUO_TRK'!A410),_xlfn.TEXTAFTER('Additional Cartons-WUO_ERR'!A410, ":"))))</f>
        <v/>
      </c>
    </row>
    <row r="411">
      <c r="A411" s="39">
        <f>IF('Additional Cartons'!B411 = "", "", IF('Additional Cartons-WUO_ERR'!A411 = "", "Validated", HYPERLINK("#" &amp; ADDRESS(411, 'Additional Cartons-WUO_TRK'!A411),_xlfn.TEXTAFTER('Additional Cartons-WUO_ERR'!A411, ":"))))</f>
        <v/>
      </c>
    </row>
    <row r="412">
      <c r="A412" s="39">
        <f>IF('Additional Cartons'!B412 = "", "", IF('Additional Cartons-WUO_ERR'!A412 = "", "Validated", HYPERLINK("#" &amp; ADDRESS(412, 'Additional Cartons-WUO_TRK'!A412),_xlfn.TEXTAFTER('Additional Cartons-WUO_ERR'!A412, ":"))))</f>
        <v/>
      </c>
    </row>
    <row r="413">
      <c r="A413" s="39">
        <f>IF('Additional Cartons'!B413 = "", "", IF('Additional Cartons-WUO_ERR'!A413 = "", "Validated", HYPERLINK("#" &amp; ADDRESS(413, 'Additional Cartons-WUO_TRK'!A413),_xlfn.TEXTAFTER('Additional Cartons-WUO_ERR'!A413, ":"))))</f>
        <v/>
      </c>
    </row>
    <row r="414">
      <c r="A414" s="39">
        <f>IF('Additional Cartons'!B414 = "", "", IF('Additional Cartons-WUO_ERR'!A414 = "", "Validated", HYPERLINK("#" &amp; ADDRESS(414, 'Additional Cartons-WUO_TRK'!A414),_xlfn.TEXTAFTER('Additional Cartons-WUO_ERR'!A414, ":"))))</f>
        <v/>
      </c>
    </row>
    <row r="415">
      <c r="A415" s="39">
        <f>IF('Additional Cartons'!B415 = "", "", IF('Additional Cartons-WUO_ERR'!A415 = "", "Validated", HYPERLINK("#" &amp; ADDRESS(415, 'Additional Cartons-WUO_TRK'!A415),_xlfn.TEXTAFTER('Additional Cartons-WUO_ERR'!A415, ":"))))</f>
        <v/>
      </c>
    </row>
    <row r="416">
      <c r="A416" s="39">
        <f>IF('Additional Cartons'!B416 = "", "", IF('Additional Cartons-WUO_ERR'!A416 = "", "Validated", HYPERLINK("#" &amp; ADDRESS(416, 'Additional Cartons-WUO_TRK'!A416),_xlfn.TEXTAFTER('Additional Cartons-WUO_ERR'!A416, ":"))))</f>
        <v/>
      </c>
    </row>
    <row r="417">
      <c r="A417" s="39">
        <f>IF('Additional Cartons'!B417 = "", "", IF('Additional Cartons-WUO_ERR'!A417 = "", "Validated", HYPERLINK("#" &amp; ADDRESS(417, 'Additional Cartons-WUO_TRK'!A417),_xlfn.TEXTAFTER('Additional Cartons-WUO_ERR'!A417, ":"))))</f>
        <v/>
      </c>
    </row>
    <row r="418">
      <c r="A418" s="39">
        <f>IF('Additional Cartons'!B418 = "", "", IF('Additional Cartons-WUO_ERR'!A418 = "", "Validated", HYPERLINK("#" &amp; ADDRESS(418, 'Additional Cartons-WUO_TRK'!A418),_xlfn.TEXTAFTER('Additional Cartons-WUO_ERR'!A418, ":"))))</f>
        <v/>
      </c>
    </row>
    <row r="419">
      <c r="A419" s="39">
        <f>IF('Additional Cartons'!B419 = "", "", IF('Additional Cartons-WUO_ERR'!A419 = "", "Validated", HYPERLINK("#" &amp; ADDRESS(419, 'Additional Cartons-WUO_TRK'!A419),_xlfn.TEXTAFTER('Additional Cartons-WUO_ERR'!A419, ":"))))</f>
        <v/>
      </c>
    </row>
    <row r="420">
      <c r="A420" s="39">
        <f>IF('Additional Cartons'!B420 = "", "", IF('Additional Cartons-WUO_ERR'!A420 = "", "Validated", HYPERLINK("#" &amp; ADDRESS(420, 'Additional Cartons-WUO_TRK'!A420),_xlfn.TEXTAFTER('Additional Cartons-WUO_ERR'!A420, ":"))))</f>
        <v/>
      </c>
    </row>
    <row r="421">
      <c r="A421" s="39">
        <f>IF('Additional Cartons'!B421 = "", "", IF('Additional Cartons-WUO_ERR'!A421 = "", "Validated", HYPERLINK("#" &amp; ADDRESS(421, 'Additional Cartons-WUO_TRK'!A421),_xlfn.TEXTAFTER('Additional Cartons-WUO_ERR'!A421, ":"))))</f>
        <v/>
      </c>
    </row>
    <row r="422">
      <c r="A422" s="39">
        <f>IF('Additional Cartons'!B422 = "", "", IF('Additional Cartons-WUO_ERR'!A422 = "", "Validated", HYPERLINK("#" &amp; ADDRESS(422, 'Additional Cartons-WUO_TRK'!A422),_xlfn.TEXTAFTER('Additional Cartons-WUO_ERR'!A422, ":"))))</f>
        <v/>
      </c>
    </row>
    <row r="423">
      <c r="A423" s="39">
        <f>IF('Additional Cartons'!B423 = "", "", IF('Additional Cartons-WUO_ERR'!A423 = "", "Validated", HYPERLINK("#" &amp; ADDRESS(423, 'Additional Cartons-WUO_TRK'!A423),_xlfn.TEXTAFTER('Additional Cartons-WUO_ERR'!A423, ":"))))</f>
        <v/>
      </c>
    </row>
    <row r="424">
      <c r="A424" s="39">
        <f>IF('Additional Cartons'!B424 = "", "", IF('Additional Cartons-WUO_ERR'!A424 = "", "Validated", HYPERLINK("#" &amp; ADDRESS(424, 'Additional Cartons-WUO_TRK'!A424),_xlfn.TEXTAFTER('Additional Cartons-WUO_ERR'!A424, ":"))))</f>
        <v/>
      </c>
    </row>
    <row r="425">
      <c r="A425" s="39">
        <f>IF('Additional Cartons'!B425 = "", "", IF('Additional Cartons-WUO_ERR'!A425 = "", "Validated", HYPERLINK("#" &amp; ADDRESS(425, 'Additional Cartons-WUO_TRK'!A425),_xlfn.TEXTAFTER('Additional Cartons-WUO_ERR'!A425, ":"))))</f>
        <v/>
      </c>
    </row>
    <row r="426">
      <c r="A426" s="39">
        <f>IF('Additional Cartons'!B426 = "", "", IF('Additional Cartons-WUO_ERR'!A426 = "", "Validated", HYPERLINK("#" &amp; ADDRESS(426, 'Additional Cartons-WUO_TRK'!A426),_xlfn.TEXTAFTER('Additional Cartons-WUO_ERR'!A426, ":"))))</f>
        <v/>
      </c>
    </row>
    <row r="427">
      <c r="A427" s="39">
        <f>IF('Additional Cartons'!B427 = "", "", IF('Additional Cartons-WUO_ERR'!A427 = "", "Validated", HYPERLINK("#" &amp; ADDRESS(427, 'Additional Cartons-WUO_TRK'!A427),_xlfn.TEXTAFTER('Additional Cartons-WUO_ERR'!A427, ":"))))</f>
        <v/>
      </c>
    </row>
    <row r="428">
      <c r="A428" s="39">
        <f>IF('Additional Cartons'!B428 = "", "", IF('Additional Cartons-WUO_ERR'!A428 = "", "Validated", HYPERLINK("#" &amp; ADDRESS(428, 'Additional Cartons-WUO_TRK'!A428),_xlfn.TEXTAFTER('Additional Cartons-WUO_ERR'!A428, ":"))))</f>
        <v/>
      </c>
    </row>
    <row r="429">
      <c r="A429" s="39">
        <f>IF('Additional Cartons'!B429 = "", "", IF('Additional Cartons-WUO_ERR'!A429 = "", "Validated", HYPERLINK("#" &amp; ADDRESS(429, 'Additional Cartons-WUO_TRK'!A429),_xlfn.TEXTAFTER('Additional Cartons-WUO_ERR'!A429, ":"))))</f>
        <v/>
      </c>
    </row>
    <row r="430">
      <c r="A430" s="39">
        <f>IF('Additional Cartons'!B430 = "", "", IF('Additional Cartons-WUO_ERR'!A430 = "", "Validated", HYPERLINK("#" &amp; ADDRESS(430, 'Additional Cartons-WUO_TRK'!A430),_xlfn.TEXTAFTER('Additional Cartons-WUO_ERR'!A430, ":"))))</f>
        <v/>
      </c>
    </row>
    <row r="431">
      <c r="A431" s="39">
        <f>IF('Additional Cartons'!B431 = "", "", IF('Additional Cartons-WUO_ERR'!A431 = "", "Validated", HYPERLINK("#" &amp; ADDRESS(431, 'Additional Cartons-WUO_TRK'!A431),_xlfn.TEXTAFTER('Additional Cartons-WUO_ERR'!A431, ":"))))</f>
        <v/>
      </c>
    </row>
    <row r="432">
      <c r="A432" s="39">
        <f>IF('Additional Cartons'!B432 = "", "", IF('Additional Cartons-WUO_ERR'!A432 = "", "Validated", HYPERLINK("#" &amp; ADDRESS(432, 'Additional Cartons-WUO_TRK'!A432),_xlfn.TEXTAFTER('Additional Cartons-WUO_ERR'!A432, ":"))))</f>
        <v/>
      </c>
    </row>
    <row r="433">
      <c r="A433" s="39">
        <f>IF('Additional Cartons'!B433 = "", "", IF('Additional Cartons-WUO_ERR'!A433 = "", "Validated", HYPERLINK("#" &amp; ADDRESS(433, 'Additional Cartons-WUO_TRK'!A433),_xlfn.TEXTAFTER('Additional Cartons-WUO_ERR'!A433, ":"))))</f>
        <v/>
      </c>
    </row>
    <row r="434">
      <c r="A434" s="39">
        <f>IF('Additional Cartons'!B434 = "", "", IF('Additional Cartons-WUO_ERR'!A434 = "", "Validated", HYPERLINK("#" &amp; ADDRESS(434, 'Additional Cartons-WUO_TRK'!A434),_xlfn.TEXTAFTER('Additional Cartons-WUO_ERR'!A434, ":"))))</f>
        <v/>
      </c>
    </row>
    <row r="435">
      <c r="A435" s="39">
        <f>IF('Additional Cartons'!B435 = "", "", IF('Additional Cartons-WUO_ERR'!A435 = "", "Validated", HYPERLINK("#" &amp; ADDRESS(435, 'Additional Cartons-WUO_TRK'!A435),_xlfn.TEXTAFTER('Additional Cartons-WUO_ERR'!A435, ":"))))</f>
        <v/>
      </c>
    </row>
    <row r="436">
      <c r="A436" s="39">
        <f>IF('Additional Cartons'!B436 = "", "", IF('Additional Cartons-WUO_ERR'!A436 = "", "Validated", HYPERLINK("#" &amp; ADDRESS(436, 'Additional Cartons-WUO_TRK'!A436),_xlfn.TEXTAFTER('Additional Cartons-WUO_ERR'!A436, ":"))))</f>
        <v/>
      </c>
    </row>
    <row r="437">
      <c r="A437" s="39">
        <f>IF('Additional Cartons'!B437 = "", "", IF('Additional Cartons-WUO_ERR'!A437 = "", "Validated", HYPERLINK("#" &amp; ADDRESS(437, 'Additional Cartons-WUO_TRK'!A437),_xlfn.TEXTAFTER('Additional Cartons-WUO_ERR'!A437, ":"))))</f>
        <v/>
      </c>
    </row>
    <row r="438">
      <c r="A438" s="39">
        <f>IF('Additional Cartons'!B438 = "", "", IF('Additional Cartons-WUO_ERR'!A438 = "", "Validated", HYPERLINK("#" &amp; ADDRESS(438, 'Additional Cartons-WUO_TRK'!A438),_xlfn.TEXTAFTER('Additional Cartons-WUO_ERR'!A438, ":"))))</f>
        <v/>
      </c>
    </row>
    <row r="439">
      <c r="A439" s="39">
        <f>IF('Additional Cartons'!B439 = "", "", IF('Additional Cartons-WUO_ERR'!A439 = "", "Validated", HYPERLINK("#" &amp; ADDRESS(439, 'Additional Cartons-WUO_TRK'!A439),_xlfn.TEXTAFTER('Additional Cartons-WUO_ERR'!A439, ":"))))</f>
        <v/>
      </c>
    </row>
    <row r="440">
      <c r="A440" s="39">
        <f>IF('Additional Cartons'!B440 = "", "", IF('Additional Cartons-WUO_ERR'!A440 = "", "Validated", HYPERLINK("#" &amp; ADDRESS(440, 'Additional Cartons-WUO_TRK'!A440),_xlfn.TEXTAFTER('Additional Cartons-WUO_ERR'!A440, ":"))))</f>
        <v/>
      </c>
    </row>
    <row r="441">
      <c r="A441" s="39">
        <f>IF('Additional Cartons'!B441 = "", "", IF('Additional Cartons-WUO_ERR'!A441 = "", "Validated", HYPERLINK("#" &amp; ADDRESS(441, 'Additional Cartons-WUO_TRK'!A441),_xlfn.TEXTAFTER('Additional Cartons-WUO_ERR'!A441, ":"))))</f>
        <v/>
      </c>
    </row>
    <row r="442">
      <c r="A442" s="39">
        <f>IF('Additional Cartons'!B442 = "", "", IF('Additional Cartons-WUO_ERR'!A442 = "", "Validated", HYPERLINK("#" &amp; ADDRESS(442, 'Additional Cartons-WUO_TRK'!A442),_xlfn.TEXTAFTER('Additional Cartons-WUO_ERR'!A442, ":"))))</f>
        <v/>
      </c>
    </row>
    <row r="443">
      <c r="A443" s="39">
        <f>IF('Additional Cartons'!B443 = "", "", IF('Additional Cartons-WUO_ERR'!A443 = "", "Validated", HYPERLINK("#" &amp; ADDRESS(443, 'Additional Cartons-WUO_TRK'!A443),_xlfn.TEXTAFTER('Additional Cartons-WUO_ERR'!A443, ":"))))</f>
        <v/>
      </c>
    </row>
    <row r="444">
      <c r="A444" s="39">
        <f>IF('Additional Cartons'!B444 = "", "", IF('Additional Cartons-WUO_ERR'!A444 = "", "Validated", HYPERLINK("#" &amp; ADDRESS(444, 'Additional Cartons-WUO_TRK'!A444),_xlfn.TEXTAFTER('Additional Cartons-WUO_ERR'!A444, ":"))))</f>
        <v/>
      </c>
    </row>
    <row r="445">
      <c r="A445" s="39">
        <f>IF('Additional Cartons'!B445 = "", "", IF('Additional Cartons-WUO_ERR'!A445 = "", "Validated", HYPERLINK("#" &amp; ADDRESS(445, 'Additional Cartons-WUO_TRK'!A445),_xlfn.TEXTAFTER('Additional Cartons-WUO_ERR'!A445, ":"))))</f>
        <v/>
      </c>
    </row>
    <row r="446">
      <c r="A446" s="39">
        <f>IF('Additional Cartons'!B446 = "", "", IF('Additional Cartons-WUO_ERR'!A446 = "", "Validated", HYPERLINK("#" &amp; ADDRESS(446, 'Additional Cartons-WUO_TRK'!A446),_xlfn.TEXTAFTER('Additional Cartons-WUO_ERR'!A446, ":"))))</f>
        <v/>
      </c>
    </row>
    <row r="447">
      <c r="A447" s="39">
        <f>IF('Additional Cartons'!B447 = "", "", IF('Additional Cartons-WUO_ERR'!A447 = "", "Validated", HYPERLINK("#" &amp; ADDRESS(447, 'Additional Cartons-WUO_TRK'!A447),_xlfn.TEXTAFTER('Additional Cartons-WUO_ERR'!A447, ":"))))</f>
        <v/>
      </c>
    </row>
    <row r="448">
      <c r="A448" s="39">
        <f>IF('Additional Cartons'!B448 = "", "", IF('Additional Cartons-WUO_ERR'!A448 = "", "Validated", HYPERLINK("#" &amp; ADDRESS(448, 'Additional Cartons-WUO_TRK'!A448),_xlfn.TEXTAFTER('Additional Cartons-WUO_ERR'!A448, ":"))))</f>
        <v/>
      </c>
    </row>
    <row r="449">
      <c r="A449" s="39">
        <f>IF('Additional Cartons'!B449 = "", "", IF('Additional Cartons-WUO_ERR'!A449 = "", "Validated", HYPERLINK("#" &amp; ADDRESS(449, 'Additional Cartons-WUO_TRK'!A449),_xlfn.TEXTAFTER('Additional Cartons-WUO_ERR'!A449, ":"))))</f>
        <v/>
      </c>
    </row>
    <row r="450">
      <c r="A450" s="39">
        <f>IF('Additional Cartons'!B450 = "", "", IF('Additional Cartons-WUO_ERR'!A450 = "", "Validated", HYPERLINK("#" &amp; ADDRESS(450, 'Additional Cartons-WUO_TRK'!A450),_xlfn.TEXTAFTER('Additional Cartons-WUO_ERR'!A450, ":"))))</f>
        <v/>
      </c>
    </row>
    <row r="451">
      <c r="A451" s="39">
        <f>IF('Additional Cartons'!B451 = "", "", IF('Additional Cartons-WUO_ERR'!A451 = "", "Validated", HYPERLINK("#" &amp; ADDRESS(451, 'Additional Cartons-WUO_TRK'!A451),_xlfn.TEXTAFTER('Additional Cartons-WUO_ERR'!A451, ":"))))</f>
        <v/>
      </c>
    </row>
    <row r="452">
      <c r="A452" s="39">
        <f>IF('Additional Cartons'!B452 = "", "", IF('Additional Cartons-WUO_ERR'!A452 = "", "Validated", HYPERLINK("#" &amp; ADDRESS(452, 'Additional Cartons-WUO_TRK'!A452),_xlfn.TEXTAFTER('Additional Cartons-WUO_ERR'!A452, ":"))))</f>
        <v/>
      </c>
    </row>
    <row r="453">
      <c r="A453" s="39">
        <f>IF('Additional Cartons'!B453 = "", "", IF('Additional Cartons-WUO_ERR'!A453 = "", "Validated", HYPERLINK("#" &amp; ADDRESS(453, 'Additional Cartons-WUO_TRK'!A453),_xlfn.TEXTAFTER('Additional Cartons-WUO_ERR'!A453, ":"))))</f>
        <v/>
      </c>
    </row>
    <row r="454">
      <c r="A454" s="39">
        <f>IF('Additional Cartons'!B454 = "", "", IF('Additional Cartons-WUO_ERR'!A454 = "", "Validated", HYPERLINK("#" &amp; ADDRESS(454, 'Additional Cartons-WUO_TRK'!A454),_xlfn.TEXTAFTER('Additional Cartons-WUO_ERR'!A454, ":"))))</f>
        <v/>
      </c>
    </row>
    <row r="455">
      <c r="A455" s="39">
        <f>IF('Additional Cartons'!B455 = "", "", IF('Additional Cartons-WUO_ERR'!A455 = "", "Validated", HYPERLINK("#" &amp; ADDRESS(455, 'Additional Cartons-WUO_TRK'!A455),_xlfn.TEXTAFTER('Additional Cartons-WUO_ERR'!A455, ":"))))</f>
        <v/>
      </c>
    </row>
    <row r="456">
      <c r="A456" s="39">
        <f>IF('Additional Cartons'!B456 = "", "", IF('Additional Cartons-WUO_ERR'!A456 = "", "Validated", HYPERLINK("#" &amp; ADDRESS(456, 'Additional Cartons-WUO_TRK'!A456),_xlfn.TEXTAFTER('Additional Cartons-WUO_ERR'!A456, ":"))))</f>
        <v/>
      </c>
    </row>
    <row r="457">
      <c r="A457" s="39">
        <f>IF('Additional Cartons'!B457 = "", "", IF('Additional Cartons-WUO_ERR'!A457 = "", "Validated", HYPERLINK("#" &amp; ADDRESS(457, 'Additional Cartons-WUO_TRK'!A457),_xlfn.TEXTAFTER('Additional Cartons-WUO_ERR'!A457, ":"))))</f>
        <v/>
      </c>
    </row>
    <row r="458">
      <c r="A458" s="39">
        <f>IF('Additional Cartons'!B458 = "", "", IF('Additional Cartons-WUO_ERR'!A458 = "", "Validated", HYPERLINK("#" &amp; ADDRESS(458, 'Additional Cartons-WUO_TRK'!A458),_xlfn.TEXTAFTER('Additional Cartons-WUO_ERR'!A458, ":"))))</f>
        <v/>
      </c>
    </row>
    <row r="459">
      <c r="A459" s="39">
        <f>IF('Additional Cartons'!B459 = "", "", IF('Additional Cartons-WUO_ERR'!A459 = "", "Validated", HYPERLINK("#" &amp; ADDRESS(459, 'Additional Cartons-WUO_TRK'!A459),_xlfn.TEXTAFTER('Additional Cartons-WUO_ERR'!A459, ":"))))</f>
        <v/>
      </c>
    </row>
    <row r="460">
      <c r="A460" s="39">
        <f>IF('Additional Cartons'!B460 = "", "", IF('Additional Cartons-WUO_ERR'!A460 = "", "Validated", HYPERLINK("#" &amp; ADDRESS(460, 'Additional Cartons-WUO_TRK'!A460),_xlfn.TEXTAFTER('Additional Cartons-WUO_ERR'!A460, ":"))))</f>
        <v/>
      </c>
    </row>
    <row r="461">
      <c r="A461" s="39">
        <f>IF('Additional Cartons'!B461 = "", "", IF('Additional Cartons-WUO_ERR'!A461 = "", "Validated", HYPERLINK("#" &amp; ADDRESS(461, 'Additional Cartons-WUO_TRK'!A461),_xlfn.TEXTAFTER('Additional Cartons-WUO_ERR'!A461, ":"))))</f>
        <v/>
      </c>
    </row>
    <row r="462">
      <c r="A462" s="39">
        <f>IF('Additional Cartons'!B462 = "", "", IF('Additional Cartons-WUO_ERR'!A462 = "", "Validated", HYPERLINK("#" &amp; ADDRESS(462, 'Additional Cartons-WUO_TRK'!A462),_xlfn.TEXTAFTER('Additional Cartons-WUO_ERR'!A462, ":"))))</f>
        <v/>
      </c>
    </row>
    <row r="463">
      <c r="A463" s="39">
        <f>IF('Additional Cartons'!B463 = "", "", IF('Additional Cartons-WUO_ERR'!A463 = "", "Validated", HYPERLINK("#" &amp; ADDRESS(463, 'Additional Cartons-WUO_TRK'!A463),_xlfn.TEXTAFTER('Additional Cartons-WUO_ERR'!A463, ":"))))</f>
        <v/>
      </c>
    </row>
    <row r="464">
      <c r="A464" s="39">
        <f>IF('Additional Cartons'!B464 = "", "", IF('Additional Cartons-WUO_ERR'!A464 = "", "Validated", HYPERLINK("#" &amp; ADDRESS(464, 'Additional Cartons-WUO_TRK'!A464),_xlfn.TEXTAFTER('Additional Cartons-WUO_ERR'!A464, ":"))))</f>
        <v/>
      </c>
    </row>
    <row r="465">
      <c r="A465" s="39">
        <f>IF('Additional Cartons'!B465 = "", "", IF('Additional Cartons-WUO_ERR'!A465 = "", "Validated", HYPERLINK("#" &amp; ADDRESS(465, 'Additional Cartons-WUO_TRK'!A465),_xlfn.TEXTAFTER('Additional Cartons-WUO_ERR'!A465, ":"))))</f>
        <v/>
      </c>
    </row>
    <row r="466">
      <c r="A466" s="39">
        <f>IF('Additional Cartons'!B466 = "", "", IF('Additional Cartons-WUO_ERR'!A466 = "", "Validated", HYPERLINK("#" &amp; ADDRESS(466, 'Additional Cartons-WUO_TRK'!A466),_xlfn.TEXTAFTER('Additional Cartons-WUO_ERR'!A466, ":"))))</f>
        <v/>
      </c>
    </row>
    <row r="467">
      <c r="A467" s="39">
        <f>IF('Additional Cartons'!B467 = "", "", IF('Additional Cartons-WUO_ERR'!A467 = "", "Validated", HYPERLINK("#" &amp; ADDRESS(467, 'Additional Cartons-WUO_TRK'!A467),_xlfn.TEXTAFTER('Additional Cartons-WUO_ERR'!A467, ":"))))</f>
        <v/>
      </c>
    </row>
    <row r="468">
      <c r="A468" s="39">
        <f>IF('Additional Cartons'!B468 = "", "", IF('Additional Cartons-WUO_ERR'!A468 = "", "Validated", HYPERLINK("#" &amp; ADDRESS(468, 'Additional Cartons-WUO_TRK'!A468),_xlfn.TEXTAFTER('Additional Cartons-WUO_ERR'!A468, ":"))))</f>
        <v/>
      </c>
    </row>
    <row r="469">
      <c r="A469" s="39">
        <f>IF('Additional Cartons'!B469 = "", "", IF('Additional Cartons-WUO_ERR'!A469 = "", "Validated", HYPERLINK("#" &amp; ADDRESS(469, 'Additional Cartons-WUO_TRK'!A469),_xlfn.TEXTAFTER('Additional Cartons-WUO_ERR'!A469, ":"))))</f>
        <v/>
      </c>
    </row>
    <row r="470">
      <c r="A470" s="39">
        <f>IF('Additional Cartons'!B470 = "", "", IF('Additional Cartons-WUO_ERR'!A470 = "", "Validated", HYPERLINK("#" &amp; ADDRESS(470, 'Additional Cartons-WUO_TRK'!A470),_xlfn.TEXTAFTER('Additional Cartons-WUO_ERR'!A470, ":"))))</f>
        <v/>
      </c>
    </row>
    <row r="471">
      <c r="A471" s="39">
        <f>IF('Additional Cartons'!B471 = "", "", IF('Additional Cartons-WUO_ERR'!A471 = "", "Validated", HYPERLINK("#" &amp; ADDRESS(471, 'Additional Cartons-WUO_TRK'!A471),_xlfn.TEXTAFTER('Additional Cartons-WUO_ERR'!A471, ":"))))</f>
        <v/>
      </c>
    </row>
    <row r="472">
      <c r="A472" s="39">
        <f>IF('Additional Cartons'!B472 = "", "", IF('Additional Cartons-WUO_ERR'!A472 = "", "Validated", HYPERLINK("#" &amp; ADDRESS(472, 'Additional Cartons-WUO_TRK'!A472),_xlfn.TEXTAFTER('Additional Cartons-WUO_ERR'!A472, ":"))))</f>
        <v/>
      </c>
    </row>
    <row r="473">
      <c r="A473" s="39">
        <f>IF('Additional Cartons'!B473 = "", "", IF('Additional Cartons-WUO_ERR'!A473 = "", "Validated", HYPERLINK("#" &amp; ADDRESS(473, 'Additional Cartons-WUO_TRK'!A473),_xlfn.TEXTAFTER('Additional Cartons-WUO_ERR'!A473, ":"))))</f>
        <v/>
      </c>
    </row>
    <row r="474">
      <c r="A474" s="39">
        <f>IF('Additional Cartons'!B474 = "", "", IF('Additional Cartons-WUO_ERR'!A474 = "", "Validated", HYPERLINK("#" &amp; ADDRESS(474, 'Additional Cartons-WUO_TRK'!A474),_xlfn.TEXTAFTER('Additional Cartons-WUO_ERR'!A474, ":"))))</f>
        <v/>
      </c>
    </row>
    <row r="475">
      <c r="A475" s="39">
        <f>IF('Additional Cartons'!B475 = "", "", IF('Additional Cartons-WUO_ERR'!A475 = "", "Validated", HYPERLINK("#" &amp; ADDRESS(475, 'Additional Cartons-WUO_TRK'!A475),_xlfn.TEXTAFTER('Additional Cartons-WUO_ERR'!A475, ":"))))</f>
        <v/>
      </c>
    </row>
    <row r="476">
      <c r="A476" s="39">
        <f>IF('Additional Cartons'!B476 = "", "", IF('Additional Cartons-WUO_ERR'!A476 = "", "Validated", HYPERLINK("#" &amp; ADDRESS(476, 'Additional Cartons-WUO_TRK'!A476),_xlfn.TEXTAFTER('Additional Cartons-WUO_ERR'!A476, ":"))))</f>
        <v/>
      </c>
    </row>
    <row r="477">
      <c r="A477" s="39">
        <f>IF('Additional Cartons'!B477 = "", "", IF('Additional Cartons-WUO_ERR'!A477 = "", "Validated", HYPERLINK("#" &amp; ADDRESS(477, 'Additional Cartons-WUO_TRK'!A477),_xlfn.TEXTAFTER('Additional Cartons-WUO_ERR'!A477, ":"))))</f>
        <v/>
      </c>
    </row>
    <row r="478">
      <c r="A478" s="39">
        <f>IF('Additional Cartons'!B478 = "", "", IF('Additional Cartons-WUO_ERR'!A478 = "", "Validated", HYPERLINK("#" &amp; ADDRESS(478, 'Additional Cartons-WUO_TRK'!A478),_xlfn.TEXTAFTER('Additional Cartons-WUO_ERR'!A478, ":"))))</f>
        <v/>
      </c>
    </row>
    <row r="479">
      <c r="A479" s="39">
        <f>IF('Additional Cartons'!B479 = "", "", IF('Additional Cartons-WUO_ERR'!A479 = "", "Validated", HYPERLINK("#" &amp; ADDRESS(479, 'Additional Cartons-WUO_TRK'!A479),_xlfn.TEXTAFTER('Additional Cartons-WUO_ERR'!A479, ":"))))</f>
        <v/>
      </c>
    </row>
    <row r="480">
      <c r="A480" s="39">
        <f>IF('Additional Cartons'!B480 = "", "", IF('Additional Cartons-WUO_ERR'!A480 = "", "Validated", HYPERLINK("#" &amp; ADDRESS(480, 'Additional Cartons-WUO_TRK'!A480),_xlfn.TEXTAFTER('Additional Cartons-WUO_ERR'!A480, ":"))))</f>
        <v/>
      </c>
    </row>
    <row r="481">
      <c r="A481" s="39">
        <f>IF('Additional Cartons'!B481 = "", "", IF('Additional Cartons-WUO_ERR'!A481 = "", "Validated", HYPERLINK("#" &amp; ADDRESS(481, 'Additional Cartons-WUO_TRK'!A481),_xlfn.TEXTAFTER('Additional Cartons-WUO_ERR'!A481, ":"))))</f>
        <v/>
      </c>
    </row>
    <row r="482">
      <c r="A482" s="39">
        <f>IF('Additional Cartons'!B482 = "", "", IF('Additional Cartons-WUO_ERR'!A482 = "", "Validated", HYPERLINK("#" &amp; ADDRESS(482, 'Additional Cartons-WUO_TRK'!A482),_xlfn.TEXTAFTER('Additional Cartons-WUO_ERR'!A482, ":"))))</f>
        <v/>
      </c>
    </row>
    <row r="483">
      <c r="A483" s="39">
        <f>IF('Additional Cartons'!B483 = "", "", IF('Additional Cartons-WUO_ERR'!A483 = "", "Validated", HYPERLINK("#" &amp; ADDRESS(483, 'Additional Cartons-WUO_TRK'!A483),_xlfn.TEXTAFTER('Additional Cartons-WUO_ERR'!A483, ":"))))</f>
        <v/>
      </c>
    </row>
    <row r="484">
      <c r="A484" s="39">
        <f>IF('Additional Cartons'!B484 = "", "", IF('Additional Cartons-WUO_ERR'!A484 = "", "Validated", HYPERLINK("#" &amp; ADDRESS(484, 'Additional Cartons-WUO_TRK'!A484),_xlfn.TEXTAFTER('Additional Cartons-WUO_ERR'!A484, ":"))))</f>
        <v/>
      </c>
    </row>
    <row r="485">
      <c r="A485" s="39">
        <f>IF('Additional Cartons'!B485 = "", "", IF('Additional Cartons-WUO_ERR'!A485 = "", "Validated", HYPERLINK("#" &amp; ADDRESS(485, 'Additional Cartons-WUO_TRK'!A485),_xlfn.TEXTAFTER('Additional Cartons-WUO_ERR'!A485, ":"))))</f>
        <v/>
      </c>
    </row>
    <row r="486">
      <c r="A486" s="39">
        <f>IF('Additional Cartons'!B486 = "", "", IF('Additional Cartons-WUO_ERR'!A486 = "", "Validated", HYPERLINK("#" &amp; ADDRESS(486, 'Additional Cartons-WUO_TRK'!A486),_xlfn.TEXTAFTER('Additional Cartons-WUO_ERR'!A486, ":"))))</f>
        <v/>
      </c>
    </row>
    <row r="487">
      <c r="A487" s="39">
        <f>IF('Additional Cartons'!B487 = "", "", IF('Additional Cartons-WUO_ERR'!A487 = "", "Validated", HYPERLINK("#" &amp; ADDRESS(487, 'Additional Cartons-WUO_TRK'!A487),_xlfn.TEXTAFTER('Additional Cartons-WUO_ERR'!A487, ":"))))</f>
        <v/>
      </c>
    </row>
    <row r="488">
      <c r="A488" s="39">
        <f>IF('Additional Cartons'!B488 = "", "", IF('Additional Cartons-WUO_ERR'!A488 = "", "Validated", HYPERLINK("#" &amp; ADDRESS(488, 'Additional Cartons-WUO_TRK'!A488),_xlfn.TEXTAFTER('Additional Cartons-WUO_ERR'!A488, ":"))))</f>
        <v/>
      </c>
    </row>
    <row r="489">
      <c r="A489" s="39">
        <f>IF('Additional Cartons'!B489 = "", "", IF('Additional Cartons-WUO_ERR'!A489 = "", "Validated", HYPERLINK("#" &amp; ADDRESS(489, 'Additional Cartons-WUO_TRK'!A489),_xlfn.TEXTAFTER('Additional Cartons-WUO_ERR'!A489, ":"))))</f>
        <v/>
      </c>
    </row>
    <row r="490">
      <c r="A490" s="39">
        <f>IF('Additional Cartons'!B490 = "", "", IF('Additional Cartons-WUO_ERR'!A490 = "", "Validated", HYPERLINK("#" &amp; ADDRESS(490, 'Additional Cartons-WUO_TRK'!A490),_xlfn.TEXTAFTER('Additional Cartons-WUO_ERR'!A490, ":"))))</f>
        <v/>
      </c>
    </row>
    <row r="491">
      <c r="A491" s="39">
        <f>IF('Additional Cartons'!B491 = "", "", IF('Additional Cartons-WUO_ERR'!A491 = "", "Validated", HYPERLINK("#" &amp; ADDRESS(491, 'Additional Cartons-WUO_TRK'!A491),_xlfn.TEXTAFTER('Additional Cartons-WUO_ERR'!A491, ":"))))</f>
        <v/>
      </c>
    </row>
    <row r="492">
      <c r="A492" s="39">
        <f>IF('Additional Cartons'!B492 = "", "", IF('Additional Cartons-WUO_ERR'!A492 = "", "Validated", HYPERLINK("#" &amp; ADDRESS(492, 'Additional Cartons-WUO_TRK'!A492),_xlfn.TEXTAFTER('Additional Cartons-WUO_ERR'!A492, ":"))))</f>
        <v/>
      </c>
    </row>
    <row r="493">
      <c r="A493" s="39">
        <f>IF('Additional Cartons'!B493 = "", "", IF('Additional Cartons-WUO_ERR'!A493 = "", "Validated", HYPERLINK("#" &amp; ADDRESS(493, 'Additional Cartons-WUO_TRK'!A493),_xlfn.TEXTAFTER('Additional Cartons-WUO_ERR'!A493, ":"))))</f>
        <v/>
      </c>
    </row>
    <row r="494">
      <c r="A494" s="39">
        <f>IF('Additional Cartons'!B494 = "", "", IF('Additional Cartons-WUO_ERR'!A494 = "", "Validated", HYPERLINK("#" &amp; ADDRESS(494, 'Additional Cartons-WUO_TRK'!A494),_xlfn.TEXTAFTER('Additional Cartons-WUO_ERR'!A494, ":"))))</f>
        <v/>
      </c>
    </row>
    <row r="495">
      <c r="A495" s="39">
        <f>IF('Additional Cartons'!B495 = "", "", IF('Additional Cartons-WUO_ERR'!A495 = "", "Validated", HYPERLINK("#" &amp; ADDRESS(495, 'Additional Cartons-WUO_TRK'!A495),_xlfn.TEXTAFTER('Additional Cartons-WUO_ERR'!A495, ":"))))</f>
        <v/>
      </c>
    </row>
    <row r="496">
      <c r="A496" s="39">
        <f>IF('Additional Cartons'!B496 = "", "", IF('Additional Cartons-WUO_ERR'!A496 = "", "Validated", HYPERLINK("#" &amp; ADDRESS(496, 'Additional Cartons-WUO_TRK'!A496),_xlfn.TEXTAFTER('Additional Cartons-WUO_ERR'!A496, ":"))))</f>
        <v/>
      </c>
    </row>
    <row r="497">
      <c r="A497" s="39">
        <f>IF('Additional Cartons'!B497 = "", "", IF('Additional Cartons-WUO_ERR'!A497 = "", "Validated", HYPERLINK("#" &amp; ADDRESS(497, 'Additional Cartons-WUO_TRK'!A497),_xlfn.TEXTAFTER('Additional Cartons-WUO_ERR'!A497, ":"))))</f>
        <v/>
      </c>
    </row>
    <row r="498">
      <c r="A498" s="39">
        <f>IF('Additional Cartons'!B498 = "", "", IF('Additional Cartons-WUO_ERR'!A498 = "", "Validated", HYPERLINK("#" &amp; ADDRESS(498, 'Additional Cartons-WUO_TRK'!A498),_xlfn.TEXTAFTER('Additional Cartons-WUO_ERR'!A498, ":"))))</f>
        <v/>
      </c>
    </row>
    <row r="499">
      <c r="A499" s="39">
        <f>IF('Additional Cartons'!B499 = "", "", IF('Additional Cartons-WUO_ERR'!A499 = "", "Validated", HYPERLINK("#" &amp; ADDRESS(499, 'Additional Cartons-WUO_TRK'!A499),_xlfn.TEXTAFTER('Additional Cartons-WUO_ERR'!A499, ":"))))</f>
        <v/>
      </c>
    </row>
    <row r="500">
      <c r="A500" s="39">
        <f>IF('Additional Cartons'!B500 = "", "", IF('Additional Cartons-WUO_ERR'!A500 = "", "Validated", HYPERLINK("#" &amp; ADDRESS(500, 'Additional Cartons-WUO_TRK'!A500),_xlfn.TEXTAFTER('Additional Cartons-WUO_ERR'!A500, ":"))))</f>
        <v/>
      </c>
    </row>
    <row r="501">
      <c r="A501" s="39">
        <f>IF('Additional Cartons'!B501 = "", "", IF('Additional Cartons-WUO_ERR'!A501 = "", "Validated", HYPERLINK("#" &amp; ADDRESS(501, 'Additional Cartons-WUO_TRK'!A501),_xlfn.TEXTAFTER('Additional Cartons-WUO_ERR'!A501, ":"))))</f>
        <v/>
      </c>
    </row>
    <row r="502">
      <c r="A502" s="39">
        <f>IF('Additional Cartons'!B502 = "", "", IF('Additional Cartons-WUO_ERR'!A502 = "", "Validated", HYPERLINK("#" &amp; ADDRESS(502, 'Additional Cartons-WUO_TRK'!A502),_xlfn.TEXTAFTER('Additional Cartons-WUO_ERR'!A502, ":"))))</f>
        <v/>
      </c>
    </row>
    <row r="503">
      <c r="A503" s="39">
        <f>IF('Additional Cartons'!B503 = "", "", IF('Additional Cartons-WUO_ERR'!A503 = "", "Validated", HYPERLINK("#" &amp; ADDRESS(503, 'Additional Cartons-WUO_TRK'!A503),_xlfn.TEXTAFTER('Additional Cartons-WUO_ERR'!A503, ":"))))</f>
        <v/>
      </c>
    </row>
    <row r="504">
      <c r="A504" s="39">
        <f>IF('Additional Cartons'!B504 = "", "", IF('Additional Cartons-WUO_ERR'!A504 = "", "Validated", HYPERLINK("#" &amp; ADDRESS(504, 'Additional Cartons-WUO_TRK'!A504),_xlfn.TEXTAFTER('Additional Cartons-WUO_ERR'!A504, ":"))))</f>
        <v/>
      </c>
    </row>
    <row r="505">
      <c r="A505" s="39">
        <f>IF('Additional Cartons'!B505 = "", "", IF('Additional Cartons-WUO_ERR'!A505 = "", "Validated", HYPERLINK("#" &amp; ADDRESS(505, 'Additional Cartons-WUO_TRK'!A505),_xlfn.TEXTAFTER('Additional Cartons-WUO_ERR'!A505, ":"))))</f>
        <v/>
      </c>
    </row>
    <row r="506">
      <c r="A506" s="39">
        <f>IF('Additional Cartons'!B506 = "", "", IF('Additional Cartons-WUO_ERR'!A506 = "", "Validated", HYPERLINK("#" &amp; ADDRESS(506, 'Additional Cartons-WUO_TRK'!A506),_xlfn.TEXTAFTER('Additional Cartons-WUO_ERR'!A506, ":"))))</f>
        <v/>
      </c>
    </row>
    <row r="507">
      <c r="A507" s="39">
        <f>IF('Additional Cartons'!B507 = "", "", IF('Additional Cartons-WUO_ERR'!A507 = "", "Validated", HYPERLINK("#" &amp; ADDRESS(507, 'Additional Cartons-WUO_TRK'!A507),_xlfn.TEXTAFTER('Additional Cartons-WUO_ERR'!A507, ":"))))</f>
        <v/>
      </c>
    </row>
  </sheetData>
  <sheetProtection selectLockedCells="0" selectUnlockedCells="0" sheet="1" objects="1" insertRows="1" insertHyperlinks="1" autoFilter="1" scenarios="1" formatColumns="0" deleteColumns="1" insertColumns="1" pivotTables="1" deleteRows="1" formatCells="1" formatRows="0" sort="1" password="E718"/>
  <mergeCells count="1">
    <mergeCell ref="C2:F2"/>
  </mergeCells>
  <conditionalFormatting sqref="A7:A507">
    <cfRule type="expression" priority="5" dxfId="4">
      <formula>A7="Validated"</formula>
    </cfRule>
    <cfRule type="expression" priority="6" dxfId="5">
      <formula>OR(COUNTIF('Additional Cartons-WUO_TRK'!B7:G7,"Error"),COUNTIF('Additional Cartons-WUO_TRK'!B7:G7,"Required"))</formula>
    </cfRule>
    <cfRule type="expression" priority="7" dxfId="6">
      <formula>COUNTIF('Additional Cartons-WUO_TRK'!B7:G7,"Warning")</formula>
    </cfRule>
  </conditionalFormatting>
  <conditionalFormatting sqref="B7:G507">
    <cfRule type="expression" priority="1" dxfId="0">
      <formula>'Additional Cartons-WUO_TRK'!B7="Error"</formula>
    </cfRule>
    <cfRule type="expression" priority="2" dxfId="1">
      <formula>'Additional Cartons-WUO_TRK'!B7="Required"</formula>
    </cfRule>
    <cfRule type="expression" priority="3" dxfId="2">
      <formula>'Additional Cartons-WUO_TRK'!B7="Warning"</formula>
    </cfRule>
    <cfRule type="expression" priority="4" dxfId="3">
      <formula>'Additional Cartons-WUO_TRK'!B7="Disabled"</formula>
    </cfRule>
  </conditionalFormatting>
  <dataValidations count="4">
    <dataValidation sqref="C7:C250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D7:D250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E7:E250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F7:F250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style="22" min="2" max="2"/>
    <col width="18.7109375" customWidth="1" style="22" min="3" max="4"/>
    <col width="17.7109375" customWidth="1" style="22" min="5" max="6"/>
  </cols>
  <sheetData>
    <row r="1" hidden="1">
      <c r="B1" s="22" t="inlineStr">
        <is>
          <t>core::supplierPartNumber</t>
        </is>
      </c>
      <c r="C1" s="22" t="inlineStr">
        <is>
          <t>shippingAndFulfillment::weight</t>
        </is>
      </c>
      <c r="D1" s="22" t="inlineStr">
        <is>
          <t>shippingAndFulfillment::height</t>
        </is>
      </c>
      <c r="E1" s="22" t="inlineStr">
        <is>
          <t>shippingAndFulfillment::width</t>
        </is>
      </c>
      <c r="F1" s="22" t="inlineStr">
        <is>
          <t>shippingAndFulfillment::depth</t>
        </is>
      </c>
    </row>
    <row r="3">
      <c r="B3" s="32" t="inlineStr">
        <is>
          <t>Required</t>
        </is>
      </c>
      <c r="C3" s="32" t="inlineStr">
        <is>
          <t>Conditional</t>
        </is>
      </c>
      <c r="D3" s="32" t="inlineStr">
        <is>
          <t>Conditional</t>
        </is>
      </c>
      <c r="E3" s="32" t="inlineStr">
        <is>
          <t>Conditional</t>
        </is>
      </c>
      <c r="F3" s="32"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[Pounds] Enter in the shipping weight (i.e. 45.5) of the packaging used for the product.  If the product ships in more than one box, this measurement is per box.</t>
        </is>
      </c>
      <c r="D5" s="35" t="inlineStr">
        <is>
          <t>[Inches] Enter in the shipping height (i.e. 45.5) of the packaging used for the product.  If the product ships in more than one box, this measurement is per box.</t>
        </is>
      </c>
      <c r="E5" s="35" t="inlineStr">
        <is>
          <t>[Inches] Enter in the shipping width (i.e. 45.5) of the packaging used for the product.  If the product ships in more than one box, this measurement is per box.</t>
        </is>
      </c>
      <c r="F5" s="35" t="inlineStr">
        <is>
          <t>[Inches] Enter in the shipping depth (i.e. 45.5) of the packaging used for the product.  If the product ships in more than one box, this measurement is per box.</t>
        </is>
      </c>
    </row>
    <row r="6" ht="50" customHeight="1">
      <c r="B6" s="35" t="inlineStr">
        <is>
          <t>Text</t>
        </is>
      </c>
      <c r="C6" s="35" t="inlineStr">
        <is>
          <t>Number</t>
        </is>
      </c>
      <c r="D6" s="35" t="inlineStr">
        <is>
          <t>Number</t>
        </is>
      </c>
      <c r="E6" s="35" t="inlineStr">
        <is>
          <t>Number</t>
        </is>
      </c>
      <c r="F6" s="35" t="inlineStr">
        <is>
          <t>Number</t>
        </is>
      </c>
    </row>
    <row r="7">
      <c r="A7">
        <f t="array" ref="A7">_xlfn.BYROW(B7:G507, _xlfn.LAMBDA(_xlpm.r, _xlfn.LET(_xlpm.high_priority, IFERROR(INDEX(_xlpm.r, MATCH(TRUE, (_xlpm.r &lt;&gt; "") * ((LEFT(_xlpm.r, 2) = "1:") + (LEFT(_xlpm.r, 2) = "3:")) &gt; 0, 0)), ""), IF(_xlpm.high_priority &lt;&gt; "", _xlpm.high_priority, IFERROR(INDEX(_xlpm.r, MATCH(TRUE, (_xlpm.r &lt;&gt; "") * (LEFT(_xlpm.r, 2) = "4:") &gt; 0, 0)), "")))))</f>
        <v/>
      </c>
      <c r="B7" s="22">
        <f t="array" ref="B7">_xlfn.MAP('Additional Cartons'!B7:B507, 'Additional Cartons'!B7:B507,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s="22">
        <f t="array" ref="C7">_xlfn.MAP('Additional Cartons'!B7:B507, 'Additional Cartons'!C7:C507, 'Additional Cartons'!D7:D507, 'Additional Cartons'!E7:E507, 'Additional Cartons'!F7:F507,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C$3="Required"), "3:Carton Weight - Value is required", ""), IF(LEN(_xlpm.check3) &gt; 0, _xlpm.check3, _xlfn.LET(_xlpm.check4, IF(OR(_xlpm.dep1 &lt;&gt; "", _xlpm.dep2 &lt;&gt; "", _xlpm.dep3 &lt;&gt; ""), IF(_xlpm.val = "", "3:Shipping weight is required", ""), ""), IF(LEN(_xlpm.check4) &gt; 0, _xlpm.check4, IF(AND(_xlpm.dep3 = "", _xlpm.dep1 = "", _xlpm.dep2 = ""), IF(_xlpm.val = "", "3:Shipping weight is required", ""), ""))))))))))))</f>
        <v/>
      </c>
      <c r="D7" s="22">
        <f t="array" ref="D7">_xlfn.MAP('Additional Cartons'!B7:B507, 'Additional Cartons'!D7:D507, 'Additional Cartons'!C7:C507, 'Additional Cartons'!E7:E507, 'Additional Cartons'!F7:F507,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D$3="Required"), "3:Carton Height - Value is required", ""), IF(LEN(_xlpm.check3) &gt; 0, _xlpm.check3, _xlfn.LET(_xlpm.check4, IF(OR(_xlpm.dep1 &lt;&gt; "", _xlpm.dep2 &lt;&gt; "", _xlpm.dep3 &lt;&gt; ""), IF(_xlpm.val = "", "3:Carton height is required", ""), ""), IF(LEN(_xlpm.check4) &gt; 0, _xlpm.check4, IF(AND(_xlpm.dep1 = "", _xlpm.dep3 = "", _xlpm.dep2 = ""), IF(_xlpm.val = "", "3:Carton height is required", ""), ""))))))))))))</f>
        <v/>
      </c>
      <c r="E7" s="22">
        <f t="array" ref="E7">_xlfn.MAP('Additional Cartons'!B7:B507, 'Additional Cartons'!E7:E507, 'Additional Cartons'!C7:C507, 'Additional Cartons'!D7:D507, 'Additional Cartons'!F7:F507,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E$3="Required"), "3:Carton Width - Value is required", ""), IF(LEN(_xlpm.check3) &gt; 0, _xlpm.check3, _xlfn.LET(_xlpm.check4, IF(OR(_xlpm.dep1 &lt;&gt; "", _xlpm.dep2 &lt;&gt; "", _xlpm.dep3 &lt;&gt; ""), IF(_xlpm.val = "", "3:Carton width is required", ""), ""), IF(LEN(_xlpm.check4) &gt; 0, _xlpm.check4, IF(AND(_xlpm.dep1 = "", _xlpm.dep2 = "", _xlpm.dep3 = ""), IF(_xlpm.val = "", "3:Carton width is required", ""), ""))))))))))))</f>
        <v/>
      </c>
      <c r="F7" s="22">
        <f t="array" ref="F7">_xlfn.MAP('Additional Cartons'!B7:B507, 'Additional Cartons'!F7:F507, 'Additional Cartons'!C7:C507, 'Additional Cartons'!D7:D507, 'Additional Cartons'!E7:E507,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F$3="Required"), "3:Carton Depth - Value is required", ""), IF(LEN(_xlpm.check3) &gt; 0, _xlpm.check3, _xlfn.LET(_xlpm.check4, IF(OR(_xlpm.dep1 &lt;&gt; "", _xlpm.dep2 &lt;&gt; "", _xlpm.dep3 &lt;&gt; ""), IF(_xlpm.val = "", "3:Carton depth is required", ""), ""), IF(LEN(_xlpm.check4) &gt; 0, _xlpm.check4, IF(AND(_xlpm.dep1 = "", _xlpm.dep2 = "", _xlpm.dep3 = ""), IF(_xlpm.val = "", "3:Carton depth is required", ""), ""))))))))))))</f>
        <v/>
      </c>
    </row>
  </sheetData>
  <sheetProtection selectLockedCells="0" selectUnlockedCells="0" sheet="1" objects="1" insertRows="1" insertHyperlinks="1" autoFilter="1" scenarios="1" formatColumns="1" deleteColumns="1" insertColumns="1" pivotTables="1" deleteRows="1" formatCells="1" formatRows="1" sort="1" password="D0E6"/>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style="22" min="2" max="2"/>
    <col width="18.7109375" customWidth="1" style="22" min="3" max="4"/>
    <col width="17.7109375" customWidth="1" style="22" min="5" max="6"/>
  </cols>
  <sheetData>
    <row r="1" hidden="1">
      <c r="B1" s="22" t="inlineStr">
        <is>
          <t>core::supplierPartNumber</t>
        </is>
      </c>
      <c r="C1" s="22" t="inlineStr">
        <is>
          <t>shippingAndFulfillment::weight</t>
        </is>
      </c>
      <c r="D1" s="22" t="inlineStr">
        <is>
          <t>shippingAndFulfillment::height</t>
        </is>
      </c>
      <c r="E1" s="22" t="inlineStr">
        <is>
          <t>shippingAndFulfillment::width</t>
        </is>
      </c>
      <c r="F1" s="22" t="inlineStr">
        <is>
          <t>shippingAndFulfillment::depth</t>
        </is>
      </c>
    </row>
    <row r="3">
      <c r="B3" s="32" t="inlineStr">
        <is>
          <t>Required</t>
        </is>
      </c>
      <c r="C3" s="32" t="inlineStr">
        <is>
          <t>Conditional</t>
        </is>
      </c>
      <c r="D3" s="32" t="inlineStr">
        <is>
          <t>Conditional</t>
        </is>
      </c>
      <c r="E3" s="32" t="inlineStr">
        <is>
          <t>Conditional</t>
        </is>
      </c>
      <c r="F3" s="32"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[Pounds] Enter in the shipping weight (i.e. 45.5) of the packaging used for the product.  If the product ships in more than one box, this measurement is per box.</t>
        </is>
      </c>
      <c r="D5" s="35" t="inlineStr">
        <is>
          <t>[Inches] Enter in the shipping height (i.e. 45.5) of the packaging used for the product.  If the product ships in more than one box, this measurement is per box.</t>
        </is>
      </c>
      <c r="E5" s="35" t="inlineStr">
        <is>
          <t>[Inches] Enter in the shipping width (i.e. 45.5) of the packaging used for the product.  If the product ships in more than one box, this measurement is per box.</t>
        </is>
      </c>
      <c r="F5" s="35" t="inlineStr">
        <is>
          <t>[Inches] Enter in the shipping depth (i.e. 45.5) of the packaging used for the product.  If the product ships in more than one box, this measurement is per box.</t>
        </is>
      </c>
    </row>
    <row r="6" ht="50" customHeight="1">
      <c r="B6" s="35" t="inlineStr">
        <is>
          <t>Text</t>
        </is>
      </c>
      <c r="C6" s="35" t="inlineStr">
        <is>
          <t>Number</t>
        </is>
      </c>
      <c r="D6" s="35" t="inlineStr">
        <is>
          <t>Number</t>
        </is>
      </c>
      <c r="E6" s="35" t="inlineStr">
        <is>
          <t>Number</t>
        </is>
      </c>
      <c r="F6" s="35" t="inlineStr">
        <is>
          <t>Number</t>
        </is>
      </c>
    </row>
    <row r="7">
      <c r="A7">
        <f t="array" ref="A7">_xlfn.BYROW(B7:G507, _xlfn.LAMBDA(_xlpm.r, _xlfn.LET(_xlpm.high_priority_idx, IFERROR(MATCH(TRUE, (_xlpm.r = "Error") + (_xlpm.r = "Required") &gt; 0, 0), 0), IF(_xlpm.high_priority_idx &gt; 0, _xlpm.high_priority_idx + 1, IFERROR(MATCH(1, (_xlpm.r = "Warning") * 1, 0) + 1, "")))))</f>
        <v/>
      </c>
      <c r="B7" s="22">
        <f t="array" ref="B7">_xlfn.MAP('Additional Cartons'!B7:B507, 'Additional Cartons'!B7:B507, 'Additional Cartons-WUO_ERR'!B7:B507, _xlfn.LAMBDA(_xlpm.part, _xlpm.val, _xlpm.error, IF(_xlpm.part = "", "", IF(LEN(_xlpm.error), _xlfn.SWITCH(IFERROR(_xlfn.TEXTBEFORE(_xlpm.error,":"), ""), "1", "Error", "2", "Disabled", "3", "Required", "4", "Warning", "Valid"), "Valid"))))</f>
        <v/>
      </c>
      <c r="C7" s="22">
        <f t="array" ref="C7">_xlfn.MAP('Additional Cartons'!B7:B507, 'Additional Cartons'!C7:C507, 'Additional Cartons-WUO_ERR'!C7:C507, _xlfn.LAMBDA(_xlpm.part, _xlpm.val, _xlpm.error, IF(_xlpm.part = "", "", IF(LEN(_xlpm.error), _xlfn.SWITCH(IFERROR(_xlfn.TEXTBEFORE(_xlpm.error,":"), ""), "1", "Error", "2", "Disabled", "3", "Required", "4", "Warning", "Valid"), "Valid"))))</f>
        <v/>
      </c>
      <c r="D7" s="22">
        <f t="array" ref="D7">_xlfn.MAP('Additional Cartons'!B7:B507, 'Additional Cartons'!D7:D507, 'Additional Cartons-WUO_ERR'!D7:D507, _xlfn.LAMBDA(_xlpm.part, _xlpm.val, _xlpm.error, IF(_xlpm.part = "", "", IF(LEN(_xlpm.error), _xlfn.SWITCH(IFERROR(_xlfn.TEXTBEFORE(_xlpm.error,":"), ""), "1", "Error", "2", "Disabled", "3", "Required", "4", "Warning", "Valid"), "Valid"))))</f>
        <v/>
      </c>
      <c r="E7" s="22">
        <f t="array" ref="E7">_xlfn.MAP('Additional Cartons'!B7:B507, 'Additional Cartons'!E7:E507, 'Additional Cartons-WUO_ERR'!E7:E507, _xlfn.LAMBDA(_xlpm.part, _xlpm.val, _xlpm.error, IF(_xlpm.part = "", "", IF(LEN(_xlpm.error), _xlfn.SWITCH(IFERROR(_xlfn.TEXTBEFORE(_xlpm.error,":"), ""), "1", "Error", "2", "Disabled", "3", "Required", "4", "Warning", "Valid"), "Valid"))))</f>
        <v/>
      </c>
      <c r="F7" s="22">
        <f t="array" ref="F7">_xlfn.MAP('Additional Cartons'!B7:B507, 'Additional Cartons'!F7:F507, 'Additional Cartons-WUO_ERR'!F7:F507,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BAE7"/>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Z507"/>
  <sheetViews>
    <sheetView workbookViewId="0">
      <selection activeCell="A1" sqref="A1"/>
    </sheetView>
  </sheetViews>
  <sheetFormatPr baseColWidth="8" defaultRowHeight="15"/>
  <cols>
    <col width="35.7109375" customWidth="1" min="1" max="1"/>
    <col width="25.7109375" customWidth="1" style="22" min="2" max="2"/>
    <col width="13.7109375" customWidth="1" style="22" min="3" max="4"/>
    <col hidden="1" min="26" max="26"/>
  </cols>
  <sheetData>
    <row r="1" hidden="1">
      <c r="B1" s="22" t="inlineStr">
        <is>
          <t>core::supplierPartNumber</t>
        </is>
      </c>
      <c r="C1" s="22" t="inlineStr">
        <is>
          <t>propSixtyFive::chemicalId</t>
        </is>
      </c>
      <c r="D1" s="22" t="inlineStr">
        <is>
          <t>propSixtyFive::toxicity</t>
        </is>
      </c>
    </row>
    <row r="2">
      <c r="B2" s="23" t="inlineStr">
        <is>
          <t>Basic Information</t>
        </is>
      </c>
      <c r="C2" s="29" t="inlineStr">
        <is>
          <t>Compliance</t>
        </is>
      </c>
      <c r="D2" s="42" t="n"/>
    </row>
    <row r="3">
      <c r="B3" s="32" t="inlineStr">
        <is>
          <t>Required</t>
        </is>
      </c>
      <c r="C3" s="32" t="inlineStr">
        <is>
          <t>Conditional</t>
        </is>
      </c>
      <c r="D3" s="32" t="inlineStr">
        <is>
          <t>Conditional</t>
        </is>
      </c>
    </row>
    <row r="4" ht="50" customHeight="1">
      <c r="A4" s="19" t="inlineStr">
        <is>
          <t>Errors</t>
        </is>
      </c>
      <c r="B4" s="19" t="inlineStr">
        <is>
          <t>Supplier Part Number</t>
        </is>
      </c>
      <c r="C4" s="19" t="inlineStr">
        <is>
          <t>Chemical</t>
        </is>
      </c>
      <c r="D4" s="19" t="inlineStr">
        <is>
          <t>Toxicity</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Select the chemical that requires the Prop65 warning.</t>
        </is>
      </c>
      <c r="D5" s="35" t="inlineStr">
        <is>
          <t>Select the toxicity that can result from the selected chemical.</t>
        </is>
      </c>
    </row>
    <row r="6" ht="50" customHeight="1">
      <c r="A6" s="35" t="inlineStr">
        <is>
          <t>Read-Only</t>
        </is>
      </c>
      <c r="B6" s="35" t="inlineStr">
        <is>
          <t>Text</t>
        </is>
      </c>
      <c r="C6" s="36" t="inlineStr">
        <is>
          <t>Select</t>
        </is>
      </c>
      <c r="D6" s="36" t="inlineStr">
        <is>
          <t>Please choose one or more from the following, using a semicolon (;) to separate each value: Cancer; Developmental</t>
        </is>
      </c>
    </row>
    <row r="7">
      <c r="A7" s="39">
        <f>IF('Additional Chemicals'!B7 = "", "", IF('Additional Chemicals-WUO_ERR'!A7 = "", "Validated", HYPERLINK("#" &amp; ADDRESS(7, 'Additional Chemicals-WUO_TRK'!A7),_xlfn.TEXTAFTER('Additional Chemicals-WUO_ERR'!A7, ":"))))</f>
        <v/>
      </c>
      <c r="Z7">
        <f t="array" ref="Z7">IF(B7:B507="", "", IFERROR(_xlfn.XLOOKUP(B7:B507, _xlfn.VSTACK('3 - Carts &amp; Stands'!B7:B507, '6 - TV Stands &amp; Enterta'!B7:B507, '10 - Office Chairs'!B7:B507, '13 - Dressers &amp; Chests'!B7:B507, '12 - Beds'!B7:B507), _xlfn.VSTACK('3 - Carts &amp; Stands'!G7:G507, '6 - TV Stands &amp; Enterta'!G7:G507, '10 - Office Chairs'!G7:G507, '13 - Dressers &amp; Chests'!G7:G507, '12 - Beds'!G7:G507)), ""))</f>
        <v/>
      </c>
    </row>
    <row r="8">
      <c r="A8" s="39">
        <f>IF('Additional Chemicals'!B8 = "", "", IF('Additional Chemicals-WUO_ERR'!A8 = "", "Validated", HYPERLINK("#" &amp; ADDRESS(8, 'Additional Chemicals-WUO_TRK'!A8),_xlfn.TEXTAFTER('Additional Chemicals-WUO_ERR'!A8, ":"))))</f>
        <v/>
      </c>
    </row>
    <row r="9">
      <c r="A9" s="39">
        <f>IF('Additional Chemicals'!B9 = "", "", IF('Additional Chemicals-WUO_ERR'!A9 = "", "Validated", HYPERLINK("#" &amp; ADDRESS(9, 'Additional Chemicals-WUO_TRK'!A9),_xlfn.TEXTAFTER('Additional Chemicals-WUO_ERR'!A9, ":"))))</f>
        <v/>
      </c>
    </row>
    <row r="10">
      <c r="A10" s="39">
        <f>IF('Additional Chemicals'!B10 = "", "", IF('Additional Chemicals-WUO_ERR'!A10 = "", "Validated", HYPERLINK("#" &amp; ADDRESS(10, 'Additional Chemicals-WUO_TRK'!A10),_xlfn.TEXTAFTER('Additional Chemicals-WUO_ERR'!A10, ":"))))</f>
        <v/>
      </c>
    </row>
    <row r="11">
      <c r="A11" s="39">
        <f>IF('Additional Chemicals'!B11 = "", "", IF('Additional Chemicals-WUO_ERR'!A11 = "", "Validated", HYPERLINK("#" &amp; ADDRESS(11, 'Additional Chemicals-WUO_TRK'!A11),_xlfn.TEXTAFTER('Additional Chemicals-WUO_ERR'!A11, ":"))))</f>
        <v/>
      </c>
    </row>
    <row r="12">
      <c r="A12" s="39">
        <f>IF('Additional Chemicals'!B12 = "", "", IF('Additional Chemicals-WUO_ERR'!A12 = "", "Validated", HYPERLINK("#" &amp; ADDRESS(12, 'Additional Chemicals-WUO_TRK'!A12),_xlfn.TEXTAFTER('Additional Chemicals-WUO_ERR'!A12, ":"))))</f>
        <v/>
      </c>
    </row>
    <row r="13">
      <c r="A13" s="39">
        <f>IF('Additional Chemicals'!B13 = "", "", IF('Additional Chemicals-WUO_ERR'!A13 = "", "Validated", HYPERLINK("#" &amp; ADDRESS(13, 'Additional Chemicals-WUO_TRK'!A13),_xlfn.TEXTAFTER('Additional Chemicals-WUO_ERR'!A13, ":"))))</f>
        <v/>
      </c>
    </row>
    <row r="14">
      <c r="A14" s="39">
        <f>IF('Additional Chemicals'!B14 = "", "", IF('Additional Chemicals-WUO_ERR'!A14 = "", "Validated", HYPERLINK("#" &amp; ADDRESS(14, 'Additional Chemicals-WUO_TRK'!A14),_xlfn.TEXTAFTER('Additional Chemicals-WUO_ERR'!A14, ":"))))</f>
        <v/>
      </c>
    </row>
    <row r="15">
      <c r="A15" s="39">
        <f>IF('Additional Chemicals'!B15 = "", "", IF('Additional Chemicals-WUO_ERR'!A15 = "", "Validated", HYPERLINK("#" &amp; ADDRESS(15, 'Additional Chemicals-WUO_TRK'!A15),_xlfn.TEXTAFTER('Additional Chemicals-WUO_ERR'!A15, ":"))))</f>
        <v/>
      </c>
    </row>
    <row r="16">
      <c r="A16" s="39">
        <f>IF('Additional Chemicals'!B16 = "", "", IF('Additional Chemicals-WUO_ERR'!A16 = "", "Validated", HYPERLINK("#" &amp; ADDRESS(16, 'Additional Chemicals-WUO_TRK'!A16),_xlfn.TEXTAFTER('Additional Chemicals-WUO_ERR'!A16, ":"))))</f>
        <v/>
      </c>
    </row>
    <row r="17">
      <c r="A17" s="39">
        <f>IF('Additional Chemicals'!B17 = "", "", IF('Additional Chemicals-WUO_ERR'!A17 = "", "Validated", HYPERLINK("#" &amp; ADDRESS(17, 'Additional Chemicals-WUO_TRK'!A17),_xlfn.TEXTAFTER('Additional Chemicals-WUO_ERR'!A17, ":"))))</f>
        <v/>
      </c>
    </row>
    <row r="18">
      <c r="A18" s="39">
        <f>IF('Additional Chemicals'!B18 = "", "", IF('Additional Chemicals-WUO_ERR'!A18 = "", "Validated", HYPERLINK("#" &amp; ADDRESS(18, 'Additional Chemicals-WUO_TRK'!A18),_xlfn.TEXTAFTER('Additional Chemicals-WUO_ERR'!A18, ":"))))</f>
        <v/>
      </c>
    </row>
    <row r="19">
      <c r="A19" s="39">
        <f>IF('Additional Chemicals'!B19 = "", "", IF('Additional Chemicals-WUO_ERR'!A19 = "", "Validated", HYPERLINK("#" &amp; ADDRESS(19, 'Additional Chemicals-WUO_TRK'!A19),_xlfn.TEXTAFTER('Additional Chemicals-WUO_ERR'!A19, ":"))))</f>
        <v/>
      </c>
    </row>
    <row r="20">
      <c r="A20" s="39">
        <f>IF('Additional Chemicals'!B20 = "", "", IF('Additional Chemicals-WUO_ERR'!A20 = "", "Validated", HYPERLINK("#" &amp; ADDRESS(20, 'Additional Chemicals-WUO_TRK'!A20),_xlfn.TEXTAFTER('Additional Chemicals-WUO_ERR'!A20, ":"))))</f>
        <v/>
      </c>
    </row>
    <row r="21">
      <c r="A21" s="39">
        <f>IF('Additional Chemicals'!B21 = "", "", IF('Additional Chemicals-WUO_ERR'!A21 = "", "Validated", HYPERLINK("#" &amp; ADDRESS(21, 'Additional Chemicals-WUO_TRK'!A21),_xlfn.TEXTAFTER('Additional Chemicals-WUO_ERR'!A21, ":"))))</f>
        <v/>
      </c>
    </row>
    <row r="22">
      <c r="A22" s="39">
        <f>IF('Additional Chemicals'!B22 = "", "", IF('Additional Chemicals-WUO_ERR'!A22 = "", "Validated", HYPERLINK("#" &amp; ADDRESS(22, 'Additional Chemicals-WUO_TRK'!A22),_xlfn.TEXTAFTER('Additional Chemicals-WUO_ERR'!A22, ":"))))</f>
        <v/>
      </c>
    </row>
    <row r="23">
      <c r="A23" s="39">
        <f>IF('Additional Chemicals'!B23 = "", "", IF('Additional Chemicals-WUO_ERR'!A23 = "", "Validated", HYPERLINK("#" &amp; ADDRESS(23, 'Additional Chemicals-WUO_TRK'!A23),_xlfn.TEXTAFTER('Additional Chemicals-WUO_ERR'!A23, ":"))))</f>
        <v/>
      </c>
    </row>
    <row r="24">
      <c r="A24" s="39">
        <f>IF('Additional Chemicals'!B24 = "", "", IF('Additional Chemicals-WUO_ERR'!A24 = "", "Validated", HYPERLINK("#" &amp; ADDRESS(24, 'Additional Chemicals-WUO_TRK'!A24),_xlfn.TEXTAFTER('Additional Chemicals-WUO_ERR'!A24, ":"))))</f>
        <v/>
      </c>
    </row>
    <row r="25">
      <c r="A25" s="39">
        <f>IF('Additional Chemicals'!B25 = "", "", IF('Additional Chemicals-WUO_ERR'!A25 = "", "Validated", HYPERLINK("#" &amp; ADDRESS(25, 'Additional Chemicals-WUO_TRK'!A25),_xlfn.TEXTAFTER('Additional Chemicals-WUO_ERR'!A25, ":"))))</f>
        <v/>
      </c>
    </row>
    <row r="26">
      <c r="A26" s="39">
        <f>IF('Additional Chemicals'!B26 = "", "", IF('Additional Chemicals-WUO_ERR'!A26 = "", "Validated", HYPERLINK("#" &amp; ADDRESS(26, 'Additional Chemicals-WUO_TRK'!A26),_xlfn.TEXTAFTER('Additional Chemicals-WUO_ERR'!A26, ":"))))</f>
        <v/>
      </c>
    </row>
    <row r="27">
      <c r="A27" s="39">
        <f>IF('Additional Chemicals'!B27 = "", "", IF('Additional Chemicals-WUO_ERR'!A27 = "", "Validated", HYPERLINK("#" &amp; ADDRESS(27, 'Additional Chemicals-WUO_TRK'!A27),_xlfn.TEXTAFTER('Additional Chemicals-WUO_ERR'!A27, ":"))))</f>
        <v/>
      </c>
    </row>
    <row r="28">
      <c r="A28" s="39">
        <f>IF('Additional Chemicals'!B28 = "", "", IF('Additional Chemicals-WUO_ERR'!A28 = "", "Validated", HYPERLINK("#" &amp; ADDRESS(28, 'Additional Chemicals-WUO_TRK'!A28),_xlfn.TEXTAFTER('Additional Chemicals-WUO_ERR'!A28, ":"))))</f>
        <v/>
      </c>
    </row>
    <row r="29">
      <c r="A29" s="39">
        <f>IF('Additional Chemicals'!B29 = "", "", IF('Additional Chemicals-WUO_ERR'!A29 = "", "Validated", HYPERLINK("#" &amp; ADDRESS(29, 'Additional Chemicals-WUO_TRK'!A29),_xlfn.TEXTAFTER('Additional Chemicals-WUO_ERR'!A29, ":"))))</f>
        <v/>
      </c>
    </row>
    <row r="30">
      <c r="A30" s="39">
        <f>IF('Additional Chemicals'!B30 = "", "", IF('Additional Chemicals-WUO_ERR'!A30 = "", "Validated", HYPERLINK("#" &amp; ADDRESS(30, 'Additional Chemicals-WUO_TRK'!A30),_xlfn.TEXTAFTER('Additional Chemicals-WUO_ERR'!A30, ":"))))</f>
        <v/>
      </c>
    </row>
    <row r="31">
      <c r="A31" s="39">
        <f>IF('Additional Chemicals'!B31 = "", "", IF('Additional Chemicals-WUO_ERR'!A31 = "", "Validated", HYPERLINK("#" &amp; ADDRESS(31, 'Additional Chemicals-WUO_TRK'!A31),_xlfn.TEXTAFTER('Additional Chemicals-WUO_ERR'!A31, ":"))))</f>
        <v/>
      </c>
    </row>
    <row r="32">
      <c r="A32" s="39">
        <f>IF('Additional Chemicals'!B32 = "", "", IF('Additional Chemicals-WUO_ERR'!A32 = "", "Validated", HYPERLINK("#" &amp; ADDRESS(32, 'Additional Chemicals-WUO_TRK'!A32),_xlfn.TEXTAFTER('Additional Chemicals-WUO_ERR'!A32, ":"))))</f>
        <v/>
      </c>
    </row>
    <row r="33">
      <c r="A33" s="39">
        <f>IF('Additional Chemicals'!B33 = "", "", IF('Additional Chemicals-WUO_ERR'!A33 = "", "Validated", HYPERLINK("#" &amp; ADDRESS(33, 'Additional Chemicals-WUO_TRK'!A33),_xlfn.TEXTAFTER('Additional Chemicals-WUO_ERR'!A33, ":"))))</f>
        <v/>
      </c>
    </row>
    <row r="34">
      <c r="A34" s="39">
        <f>IF('Additional Chemicals'!B34 = "", "", IF('Additional Chemicals-WUO_ERR'!A34 = "", "Validated", HYPERLINK("#" &amp; ADDRESS(34, 'Additional Chemicals-WUO_TRK'!A34),_xlfn.TEXTAFTER('Additional Chemicals-WUO_ERR'!A34, ":"))))</f>
        <v/>
      </c>
    </row>
    <row r="35">
      <c r="A35" s="39">
        <f>IF('Additional Chemicals'!B35 = "", "", IF('Additional Chemicals-WUO_ERR'!A35 = "", "Validated", HYPERLINK("#" &amp; ADDRESS(35, 'Additional Chemicals-WUO_TRK'!A35),_xlfn.TEXTAFTER('Additional Chemicals-WUO_ERR'!A35, ":"))))</f>
        <v/>
      </c>
    </row>
    <row r="36">
      <c r="A36" s="39">
        <f>IF('Additional Chemicals'!B36 = "", "", IF('Additional Chemicals-WUO_ERR'!A36 = "", "Validated", HYPERLINK("#" &amp; ADDRESS(36, 'Additional Chemicals-WUO_TRK'!A36),_xlfn.TEXTAFTER('Additional Chemicals-WUO_ERR'!A36, ":"))))</f>
        <v/>
      </c>
    </row>
    <row r="37">
      <c r="A37" s="39">
        <f>IF('Additional Chemicals'!B37 = "", "", IF('Additional Chemicals-WUO_ERR'!A37 = "", "Validated", HYPERLINK("#" &amp; ADDRESS(37, 'Additional Chemicals-WUO_TRK'!A37),_xlfn.TEXTAFTER('Additional Chemicals-WUO_ERR'!A37, ":"))))</f>
        <v/>
      </c>
    </row>
    <row r="38">
      <c r="A38" s="39">
        <f>IF('Additional Chemicals'!B38 = "", "", IF('Additional Chemicals-WUO_ERR'!A38 = "", "Validated", HYPERLINK("#" &amp; ADDRESS(38, 'Additional Chemicals-WUO_TRK'!A38),_xlfn.TEXTAFTER('Additional Chemicals-WUO_ERR'!A38, ":"))))</f>
        <v/>
      </c>
    </row>
    <row r="39">
      <c r="A39" s="39">
        <f>IF('Additional Chemicals'!B39 = "", "", IF('Additional Chemicals-WUO_ERR'!A39 = "", "Validated", HYPERLINK("#" &amp; ADDRESS(39, 'Additional Chemicals-WUO_TRK'!A39),_xlfn.TEXTAFTER('Additional Chemicals-WUO_ERR'!A39, ":"))))</f>
        <v/>
      </c>
    </row>
    <row r="40">
      <c r="A40" s="39">
        <f>IF('Additional Chemicals'!B40 = "", "", IF('Additional Chemicals-WUO_ERR'!A40 = "", "Validated", HYPERLINK("#" &amp; ADDRESS(40, 'Additional Chemicals-WUO_TRK'!A40),_xlfn.TEXTAFTER('Additional Chemicals-WUO_ERR'!A40, ":"))))</f>
        <v/>
      </c>
    </row>
    <row r="41">
      <c r="A41" s="39">
        <f>IF('Additional Chemicals'!B41 = "", "", IF('Additional Chemicals-WUO_ERR'!A41 = "", "Validated", HYPERLINK("#" &amp; ADDRESS(41, 'Additional Chemicals-WUO_TRK'!A41),_xlfn.TEXTAFTER('Additional Chemicals-WUO_ERR'!A41, ":"))))</f>
        <v/>
      </c>
    </row>
    <row r="42">
      <c r="A42" s="39">
        <f>IF('Additional Chemicals'!B42 = "", "", IF('Additional Chemicals-WUO_ERR'!A42 = "", "Validated", HYPERLINK("#" &amp; ADDRESS(42, 'Additional Chemicals-WUO_TRK'!A42),_xlfn.TEXTAFTER('Additional Chemicals-WUO_ERR'!A42, ":"))))</f>
        <v/>
      </c>
    </row>
    <row r="43">
      <c r="A43" s="39">
        <f>IF('Additional Chemicals'!B43 = "", "", IF('Additional Chemicals-WUO_ERR'!A43 = "", "Validated", HYPERLINK("#" &amp; ADDRESS(43, 'Additional Chemicals-WUO_TRK'!A43),_xlfn.TEXTAFTER('Additional Chemicals-WUO_ERR'!A43, ":"))))</f>
        <v/>
      </c>
    </row>
    <row r="44">
      <c r="A44" s="39">
        <f>IF('Additional Chemicals'!B44 = "", "", IF('Additional Chemicals-WUO_ERR'!A44 = "", "Validated", HYPERLINK("#" &amp; ADDRESS(44, 'Additional Chemicals-WUO_TRK'!A44),_xlfn.TEXTAFTER('Additional Chemicals-WUO_ERR'!A44, ":"))))</f>
        <v/>
      </c>
    </row>
    <row r="45">
      <c r="A45" s="39">
        <f>IF('Additional Chemicals'!B45 = "", "", IF('Additional Chemicals-WUO_ERR'!A45 = "", "Validated", HYPERLINK("#" &amp; ADDRESS(45, 'Additional Chemicals-WUO_TRK'!A45),_xlfn.TEXTAFTER('Additional Chemicals-WUO_ERR'!A45, ":"))))</f>
        <v/>
      </c>
    </row>
    <row r="46">
      <c r="A46" s="39">
        <f>IF('Additional Chemicals'!B46 = "", "", IF('Additional Chemicals-WUO_ERR'!A46 = "", "Validated", HYPERLINK("#" &amp; ADDRESS(46, 'Additional Chemicals-WUO_TRK'!A46),_xlfn.TEXTAFTER('Additional Chemicals-WUO_ERR'!A46, ":"))))</f>
        <v/>
      </c>
    </row>
    <row r="47">
      <c r="A47" s="39">
        <f>IF('Additional Chemicals'!B47 = "", "", IF('Additional Chemicals-WUO_ERR'!A47 = "", "Validated", HYPERLINK("#" &amp; ADDRESS(47, 'Additional Chemicals-WUO_TRK'!A47),_xlfn.TEXTAFTER('Additional Chemicals-WUO_ERR'!A47, ":"))))</f>
        <v/>
      </c>
    </row>
    <row r="48">
      <c r="A48" s="39">
        <f>IF('Additional Chemicals'!B48 = "", "", IF('Additional Chemicals-WUO_ERR'!A48 = "", "Validated", HYPERLINK("#" &amp; ADDRESS(48, 'Additional Chemicals-WUO_TRK'!A48),_xlfn.TEXTAFTER('Additional Chemicals-WUO_ERR'!A48, ":"))))</f>
        <v/>
      </c>
    </row>
    <row r="49">
      <c r="A49" s="39">
        <f>IF('Additional Chemicals'!B49 = "", "", IF('Additional Chemicals-WUO_ERR'!A49 = "", "Validated", HYPERLINK("#" &amp; ADDRESS(49, 'Additional Chemicals-WUO_TRK'!A49),_xlfn.TEXTAFTER('Additional Chemicals-WUO_ERR'!A49, ":"))))</f>
        <v/>
      </c>
    </row>
    <row r="50">
      <c r="A50" s="39">
        <f>IF('Additional Chemicals'!B50 = "", "", IF('Additional Chemicals-WUO_ERR'!A50 = "", "Validated", HYPERLINK("#" &amp; ADDRESS(50, 'Additional Chemicals-WUO_TRK'!A50),_xlfn.TEXTAFTER('Additional Chemicals-WUO_ERR'!A50, ":"))))</f>
        <v/>
      </c>
    </row>
    <row r="51">
      <c r="A51" s="39">
        <f>IF('Additional Chemicals'!B51 = "", "", IF('Additional Chemicals-WUO_ERR'!A51 = "", "Validated", HYPERLINK("#" &amp; ADDRESS(51, 'Additional Chemicals-WUO_TRK'!A51),_xlfn.TEXTAFTER('Additional Chemicals-WUO_ERR'!A51, ":"))))</f>
        <v/>
      </c>
    </row>
    <row r="52">
      <c r="A52" s="39">
        <f>IF('Additional Chemicals'!B52 = "", "", IF('Additional Chemicals-WUO_ERR'!A52 = "", "Validated", HYPERLINK("#" &amp; ADDRESS(52, 'Additional Chemicals-WUO_TRK'!A52),_xlfn.TEXTAFTER('Additional Chemicals-WUO_ERR'!A52, ":"))))</f>
        <v/>
      </c>
    </row>
    <row r="53">
      <c r="A53" s="39">
        <f>IF('Additional Chemicals'!B53 = "", "", IF('Additional Chemicals-WUO_ERR'!A53 = "", "Validated", HYPERLINK("#" &amp; ADDRESS(53, 'Additional Chemicals-WUO_TRK'!A53),_xlfn.TEXTAFTER('Additional Chemicals-WUO_ERR'!A53, ":"))))</f>
        <v/>
      </c>
    </row>
    <row r="54">
      <c r="A54" s="39">
        <f>IF('Additional Chemicals'!B54 = "", "", IF('Additional Chemicals-WUO_ERR'!A54 = "", "Validated", HYPERLINK("#" &amp; ADDRESS(54, 'Additional Chemicals-WUO_TRK'!A54),_xlfn.TEXTAFTER('Additional Chemicals-WUO_ERR'!A54, ":"))))</f>
        <v/>
      </c>
    </row>
    <row r="55">
      <c r="A55" s="39">
        <f>IF('Additional Chemicals'!B55 = "", "", IF('Additional Chemicals-WUO_ERR'!A55 = "", "Validated", HYPERLINK("#" &amp; ADDRESS(55, 'Additional Chemicals-WUO_TRK'!A55),_xlfn.TEXTAFTER('Additional Chemicals-WUO_ERR'!A55, ":"))))</f>
        <v/>
      </c>
    </row>
    <row r="56">
      <c r="A56" s="39">
        <f>IF('Additional Chemicals'!B56 = "", "", IF('Additional Chemicals-WUO_ERR'!A56 = "", "Validated", HYPERLINK("#" &amp; ADDRESS(56, 'Additional Chemicals-WUO_TRK'!A56),_xlfn.TEXTAFTER('Additional Chemicals-WUO_ERR'!A56, ":"))))</f>
        <v/>
      </c>
    </row>
    <row r="57">
      <c r="A57" s="39">
        <f>IF('Additional Chemicals'!B57 = "", "", IF('Additional Chemicals-WUO_ERR'!A57 = "", "Validated", HYPERLINK("#" &amp; ADDRESS(57, 'Additional Chemicals-WUO_TRK'!A57),_xlfn.TEXTAFTER('Additional Chemicals-WUO_ERR'!A57, ":"))))</f>
        <v/>
      </c>
    </row>
    <row r="58">
      <c r="A58" s="39">
        <f>IF('Additional Chemicals'!B58 = "", "", IF('Additional Chemicals-WUO_ERR'!A58 = "", "Validated", HYPERLINK("#" &amp; ADDRESS(58, 'Additional Chemicals-WUO_TRK'!A58),_xlfn.TEXTAFTER('Additional Chemicals-WUO_ERR'!A58, ":"))))</f>
        <v/>
      </c>
    </row>
    <row r="59">
      <c r="A59" s="39">
        <f>IF('Additional Chemicals'!B59 = "", "", IF('Additional Chemicals-WUO_ERR'!A59 = "", "Validated", HYPERLINK("#" &amp; ADDRESS(59, 'Additional Chemicals-WUO_TRK'!A59),_xlfn.TEXTAFTER('Additional Chemicals-WUO_ERR'!A59, ":"))))</f>
        <v/>
      </c>
    </row>
    <row r="60">
      <c r="A60" s="39">
        <f>IF('Additional Chemicals'!B60 = "", "", IF('Additional Chemicals-WUO_ERR'!A60 = "", "Validated", HYPERLINK("#" &amp; ADDRESS(60, 'Additional Chemicals-WUO_TRK'!A60),_xlfn.TEXTAFTER('Additional Chemicals-WUO_ERR'!A60, ":"))))</f>
        <v/>
      </c>
    </row>
    <row r="61">
      <c r="A61" s="39">
        <f>IF('Additional Chemicals'!B61 = "", "", IF('Additional Chemicals-WUO_ERR'!A61 = "", "Validated", HYPERLINK("#" &amp; ADDRESS(61, 'Additional Chemicals-WUO_TRK'!A61),_xlfn.TEXTAFTER('Additional Chemicals-WUO_ERR'!A61, ":"))))</f>
        <v/>
      </c>
    </row>
    <row r="62">
      <c r="A62" s="39">
        <f>IF('Additional Chemicals'!B62 = "", "", IF('Additional Chemicals-WUO_ERR'!A62 = "", "Validated", HYPERLINK("#" &amp; ADDRESS(62, 'Additional Chemicals-WUO_TRK'!A62),_xlfn.TEXTAFTER('Additional Chemicals-WUO_ERR'!A62, ":"))))</f>
        <v/>
      </c>
    </row>
    <row r="63">
      <c r="A63" s="39">
        <f>IF('Additional Chemicals'!B63 = "", "", IF('Additional Chemicals-WUO_ERR'!A63 = "", "Validated", HYPERLINK("#" &amp; ADDRESS(63, 'Additional Chemicals-WUO_TRK'!A63),_xlfn.TEXTAFTER('Additional Chemicals-WUO_ERR'!A63, ":"))))</f>
        <v/>
      </c>
    </row>
    <row r="64">
      <c r="A64" s="39">
        <f>IF('Additional Chemicals'!B64 = "", "", IF('Additional Chemicals-WUO_ERR'!A64 = "", "Validated", HYPERLINK("#" &amp; ADDRESS(64, 'Additional Chemicals-WUO_TRK'!A64),_xlfn.TEXTAFTER('Additional Chemicals-WUO_ERR'!A64, ":"))))</f>
        <v/>
      </c>
    </row>
    <row r="65">
      <c r="A65" s="39">
        <f>IF('Additional Chemicals'!B65 = "", "", IF('Additional Chemicals-WUO_ERR'!A65 = "", "Validated", HYPERLINK("#" &amp; ADDRESS(65, 'Additional Chemicals-WUO_TRK'!A65),_xlfn.TEXTAFTER('Additional Chemicals-WUO_ERR'!A65, ":"))))</f>
        <v/>
      </c>
    </row>
    <row r="66">
      <c r="A66" s="39">
        <f>IF('Additional Chemicals'!B66 = "", "", IF('Additional Chemicals-WUO_ERR'!A66 = "", "Validated", HYPERLINK("#" &amp; ADDRESS(66, 'Additional Chemicals-WUO_TRK'!A66),_xlfn.TEXTAFTER('Additional Chemicals-WUO_ERR'!A66, ":"))))</f>
        <v/>
      </c>
    </row>
    <row r="67">
      <c r="A67" s="39">
        <f>IF('Additional Chemicals'!B67 = "", "", IF('Additional Chemicals-WUO_ERR'!A67 = "", "Validated", HYPERLINK("#" &amp; ADDRESS(67, 'Additional Chemicals-WUO_TRK'!A67),_xlfn.TEXTAFTER('Additional Chemicals-WUO_ERR'!A67, ":"))))</f>
        <v/>
      </c>
    </row>
    <row r="68">
      <c r="A68" s="39">
        <f>IF('Additional Chemicals'!B68 = "", "", IF('Additional Chemicals-WUO_ERR'!A68 = "", "Validated", HYPERLINK("#" &amp; ADDRESS(68, 'Additional Chemicals-WUO_TRK'!A68),_xlfn.TEXTAFTER('Additional Chemicals-WUO_ERR'!A68, ":"))))</f>
        <v/>
      </c>
    </row>
    <row r="69">
      <c r="A69" s="39">
        <f>IF('Additional Chemicals'!B69 = "", "", IF('Additional Chemicals-WUO_ERR'!A69 = "", "Validated", HYPERLINK("#" &amp; ADDRESS(69, 'Additional Chemicals-WUO_TRK'!A69),_xlfn.TEXTAFTER('Additional Chemicals-WUO_ERR'!A69, ":"))))</f>
        <v/>
      </c>
    </row>
    <row r="70">
      <c r="A70" s="39">
        <f>IF('Additional Chemicals'!B70 = "", "", IF('Additional Chemicals-WUO_ERR'!A70 = "", "Validated", HYPERLINK("#" &amp; ADDRESS(70, 'Additional Chemicals-WUO_TRK'!A70),_xlfn.TEXTAFTER('Additional Chemicals-WUO_ERR'!A70, ":"))))</f>
        <v/>
      </c>
    </row>
    <row r="71">
      <c r="A71" s="39">
        <f>IF('Additional Chemicals'!B71 = "", "", IF('Additional Chemicals-WUO_ERR'!A71 = "", "Validated", HYPERLINK("#" &amp; ADDRESS(71, 'Additional Chemicals-WUO_TRK'!A71),_xlfn.TEXTAFTER('Additional Chemicals-WUO_ERR'!A71, ":"))))</f>
        <v/>
      </c>
    </row>
    <row r="72">
      <c r="A72" s="39">
        <f>IF('Additional Chemicals'!B72 = "", "", IF('Additional Chemicals-WUO_ERR'!A72 = "", "Validated", HYPERLINK("#" &amp; ADDRESS(72, 'Additional Chemicals-WUO_TRK'!A72),_xlfn.TEXTAFTER('Additional Chemicals-WUO_ERR'!A72, ":"))))</f>
        <v/>
      </c>
    </row>
    <row r="73">
      <c r="A73" s="39">
        <f>IF('Additional Chemicals'!B73 = "", "", IF('Additional Chemicals-WUO_ERR'!A73 = "", "Validated", HYPERLINK("#" &amp; ADDRESS(73, 'Additional Chemicals-WUO_TRK'!A73),_xlfn.TEXTAFTER('Additional Chemicals-WUO_ERR'!A73, ":"))))</f>
        <v/>
      </c>
    </row>
    <row r="74">
      <c r="A74" s="39">
        <f>IF('Additional Chemicals'!B74 = "", "", IF('Additional Chemicals-WUO_ERR'!A74 = "", "Validated", HYPERLINK("#" &amp; ADDRESS(74, 'Additional Chemicals-WUO_TRK'!A74),_xlfn.TEXTAFTER('Additional Chemicals-WUO_ERR'!A74, ":"))))</f>
        <v/>
      </c>
    </row>
    <row r="75">
      <c r="A75" s="39">
        <f>IF('Additional Chemicals'!B75 = "", "", IF('Additional Chemicals-WUO_ERR'!A75 = "", "Validated", HYPERLINK("#" &amp; ADDRESS(75, 'Additional Chemicals-WUO_TRK'!A75),_xlfn.TEXTAFTER('Additional Chemicals-WUO_ERR'!A75, ":"))))</f>
        <v/>
      </c>
    </row>
    <row r="76">
      <c r="A76" s="39">
        <f>IF('Additional Chemicals'!B76 = "", "", IF('Additional Chemicals-WUO_ERR'!A76 = "", "Validated", HYPERLINK("#" &amp; ADDRESS(76, 'Additional Chemicals-WUO_TRK'!A76),_xlfn.TEXTAFTER('Additional Chemicals-WUO_ERR'!A76, ":"))))</f>
        <v/>
      </c>
    </row>
    <row r="77">
      <c r="A77" s="39">
        <f>IF('Additional Chemicals'!B77 = "", "", IF('Additional Chemicals-WUO_ERR'!A77 = "", "Validated", HYPERLINK("#" &amp; ADDRESS(77, 'Additional Chemicals-WUO_TRK'!A77),_xlfn.TEXTAFTER('Additional Chemicals-WUO_ERR'!A77, ":"))))</f>
        <v/>
      </c>
    </row>
    <row r="78">
      <c r="A78" s="39">
        <f>IF('Additional Chemicals'!B78 = "", "", IF('Additional Chemicals-WUO_ERR'!A78 = "", "Validated", HYPERLINK("#" &amp; ADDRESS(78, 'Additional Chemicals-WUO_TRK'!A78),_xlfn.TEXTAFTER('Additional Chemicals-WUO_ERR'!A78, ":"))))</f>
        <v/>
      </c>
    </row>
    <row r="79">
      <c r="A79" s="39">
        <f>IF('Additional Chemicals'!B79 = "", "", IF('Additional Chemicals-WUO_ERR'!A79 = "", "Validated", HYPERLINK("#" &amp; ADDRESS(79, 'Additional Chemicals-WUO_TRK'!A79),_xlfn.TEXTAFTER('Additional Chemicals-WUO_ERR'!A79, ":"))))</f>
        <v/>
      </c>
    </row>
    <row r="80">
      <c r="A80" s="39">
        <f>IF('Additional Chemicals'!B80 = "", "", IF('Additional Chemicals-WUO_ERR'!A80 = "", "Validated", HYPERLINK("#" &amp; ADDRESS(80, 'Additional Chemicals-WUO_TRK'!A80),_xlfn.TEXTAFTER('Additional Chemicals-WUO_ERR'!A80, ":"))))</f>
        <v/>
      </c>
    </row>
    <row r="81">
      <c r="A81" s="39">
        <f>IF('Additional Chemicals'!B81 = "", "", IF('Additional Chemicals-WUO_ERR'!A81 = "", "Validated", HYPERLINK("#" &amp; ADDRESS(81, 'Additional Chemicals-WUO_TRK'!A81),_xlfn.TEXTAFTER('Additional Chemicals-WUO_ERR'!A81, ":"))))</f>
        <v/>
      </c>
    </row>
    <row r="82">
      <c r="A82" s="39">
        <f>IF('Additional Chemicals'!B82 = "", "", IF('Additional Chemicals-WUO_ERR'!A82 = "", "Validated", HYPERLINK("#" &amp; ADDRESS(82, 'Additional Chemicals-WUO_TRK'!A82),_xlfn.TEXTAFTER('Additional Chemicals-WUO_ERR'!A82, ":"))))</f>
        <v/>
      </c>
    </row>
    <row r="83">
      <c r="A83" s="39">
        <f>IF('Additional Chemicals'!B83 = "", "", IF('Additional Chemicals-WUO_ERR'!A83 = "", "Validated", HYPERLINK("#" &amp; ADDRESS(83, 'Additional Chemicals-WUO_TRK'!A83),_xlfn.TEXTAFTER('Additional Chemicals-WUO_ERR'!A83, ":"))))</f>
        <v/>
      </c>
    </row>
    <row r="84">
      <c r="A84" s="39">
        <f>IF('Additional Chemicals'!B84 = "", "", IF('Additional Chemicals-WUO_ERR'!A84 = "", "Validated", HYPERLINK("#" &amp; ADDRESS(84, 'Additional Chemicals-WUO_TRK'!A84),_xlfn.TEXTAFTER('Additional Chemicals-WUO_ERR'!A84, ":"))))</f>
        <v/>
      </c>
    </row>
    <row r="85">
      <c r="A85" s="39">
        <f>IF('Additional Chemicals'!B85 = "", "", IF('Additional Chemicals-WUO_ERR'!A85 = "", "Validated", HYPERLINK("#" &amp; ADDRESS(85, 'Additional Chemicals-WUO_TRK'!A85),_xlfn.TEXTAFTER('Additional Chemicals-WUO_ERR'!A85, ":"))))</f>
        <v/>
      </c>
    </row>
    <row r="86">
      <c r="A86" s="39">
        <f>IF('Additional Chemicals'!B86 = "", "", IF('Additional Chemicals-WUO_ERR'!A86 = "", "Validated", HYPERLINK("#" &amp; ADDRESS(86, 'Additional Chemicals-WUO_TRK'!A86),_xlfn.TEXTAFTER('Additional Chemicals-WUO_ERR'!A86, ":"))))</f>
        <v/>
      </c>
    </row>
    <row r="87">
      <c r="A87" s="39">
        <f>IF('Additional Chemicals'!B87 = "", "", IF('Additional Chemicals-WUO_ERR'!A87 = "", "Validated", HYPERLINK("#" &amp; ADDRESS(87, 'Additional Chemicals-WUO_TRK'!A87),_xlfn.TEXTAFTER('Additional Chemicals-WUO_ERR'!A87, ":"))))</f>
        <v/>
      </c>
    </row>
    <row r="88">
      <c r="A88" s="39">
        <f>IF('Additional Chemicals'!B88 = "", "", IF('Additional Chemicals-WUO_ERR'!A88 = "", "Validated", HYPERLINK("#" &amp; ADDRESS(88, 'Additional Chemicals-WUO_TRK'!A88),_xlfn.TEXTAFTER('Additional Chemicals-WUO_ERR'!A88, ":"))))</f>
        <v/>
      </c>
    </row>
    <row r="89">
      <c r="A89" s="39">
        <f>IF('Additional Chemicals'!B89 = "", "", IF('Additional Chemicals-WUO_ERR'!A89 = "", "Validated", HYPERLINK("#" &amp; ADDRESS(89, 'Additional Chemicals-WUO_TRK'!A89),_xlfn.TEXTAFTER('Additional Chemicals-WUO_ERR'!A89, ":"))))</f>
        <v/>
      </c>
    </row>
    <row r="90">
      <c r="A90" s="39">
        <f>IF('Additional Chemicals'!B90 = "", "", IF('Additional Chemicals-WUO_ERR'!A90 = "", "Validated", HYPERLINK("#" &amp; ADDRESS(90, 'Additional Chemicals-WUO_TRK'!A90),_xlfn.TEXTAFTER('Additional Chemicals-WUO_ERR'!A90, ":"))))</f>
        <v/>
      </c>
    </row>
    <row r="91">
      <c r="A91" s="39">
        <f>IF('Additional Chemicals'!B91 = "", "", IF('Additional Chemicals-WUO_ERR'!A91 = "", "Validated", HYPERLINK("#" &amp; ADDRESS(91, 'Additional Chemicals-WUO_TRK'!A91),_xlfn.TEXTAFTER('Additional Chemicals-WUO_ERR'!A91, ":"))))</f>
        <v/>
      </c>
    </row>
    <row r="92">
      <c r="A92" s="39">
        <f>IF('Additional Chemicals'!B92 = "", "", IF('Additional Chemicals-WUO_ERR'!A92 = "", "Validated", HYPERLINK("#" &amp; ADDRESS(92, 'Additional Chemicals-WUO_TRK'!A92),_xlfn.TEXTAFTER('Additional Chemicals-WUO_ERR'!A92, ":"))))</f>
        <v/>
      </c>
    </row>
    <row r="93">
      <c r="A93" s="39">
        <f>IF('Additional Chemicals'!B93 = "", "", IF('Additional Chemicals-WUO_ERR'!A93 = "", "Validated", HYPERLINK("#" &amp; ADDRESS(93, 'Additional Chemicals-WUO_TRK'!A93),_xlfn.TEXTAFTER('Additional Chemicals-WUO_ERR'!A93, ":"))))</f>
        <v/>
      </c>
    </row>
    <row r="94">
      <c r="A94" s="39">
        <f>IF('Additional Chemicals'!B94 = "", "", IF('Additional Chemicals-WUO_ERR'!A94 = "", "Validated", HYPERLINK("#" &amp; ADDRESS(94, 'Additional Chemicals-WUO_TRK'!A94),_xlfn.TEXTAFTER('Additional Chemicals-WUO_ERR'!A94, ":"))))</f>
        <v/>
      </c>
    </row>
    <row r="95">
      <c r="A95" s="39">
        <f>IF('Additional Chemicals'!B95 = "", "", IF('Additional Chemicals-WUO_ERR'!A95 = "", "Validated", HYPERLINK("#" &amp; ADDRESS(95, 'Additional Chemicals-WUO_TRK'!A95),_xlfn.TEXTAFTER('Additional Chemicals-WUO_ERR'!A95, ":"))))</f>
        <v/>
      </c>
    </row>
    <row r="96">
      <c r="A96" s="39">
        <f>IF('Additional Chemicals'!B96 = "", "", IF('Additional Chemicals-WUO_ERR'!A96 = "", "Validated", HYPERLINK("#" &amp; ADDRESS(96, 'Additional Chemicals-WUO_TRK'!A96),_xlfn.TEXTAFTER('Additional Chemicals-WUO_ERR'!A96, ":"))))</f>
        <v/>
      </c>
    </row>
    <row r="97">
      <c r="A97" s="39">
        <f>IF('Additional Chemicals'!B97 = "", "", IF('Additional Chemicals-WUO_ERR'!A97 = "", "Validated", HYPERLINK("#" &amp; ADDRESS(97, 'Additional Chemicals-WUO_TRK'!A97),_xlfn.TEXTAFTER('Additional Chemicals-WUO_ERR'!A97, ":"))))</f>
        <v/>
      </c>
    </row>
    <row r="98">
      <c r="A98" s="39">
        <f>IF('Additional Chemicals'!B98 = "", "", IF('Additional Chemicals-WUO_ERR'!A98 = "", "Validated", HYPERLINK("#" &amp; ADDRESS(98, 'Additional Chemicals-WUO_TRK'!A98),_xlfn.TEXTAFTER('Additional Chemicals-WUO_ERR'!A98, ":"))))</f>
        <v/>
      </c>
    </row>
    <row r="99">
      <c r="A99" s="39">
        <f>IF('Additional Chemicals'!B99 = "", "", IF('Additional Chemicals-WUO_ERR'!A99 = "", "Validated", HYPERLINK("#" &amp; ADDRESS(99, 'Additional Chemicals-WUO_TRK'!A99),_xlfn.TEXTAFTER('Additional Chemicals-WUO_ERR'!A99, ":"))))</f>
        <v/>
      </c>
    </row>
    <row r="100">
      <c r="A100" s="39">
        <f>IF('Additional Chemicals'!B100 = "", "", IF('Additional Chemicals-WUO_ERR'!A100 = "", "Validated", HYPERLINK("#" &amp; ADDRESS(100, 'Additional Chemicals-WUO_TRK'!A100),_xlfn.TEXTAFTER('Additional Chemicals-WUO_ERR'!A100, ":"))))</f>
        <v/>
      </c>
    </row>
    <row r="101">
      <c r="A101" s="39">
        <f>IF('Additional Chemicals'!B101 = "", "", IF('Additional Chemicals-WUO_ERR'!A101 = "", "Validated", HYPERLINK("#" &amp; ADDRESS(101, 'Additional Chemicals-WUO_TRK'!A101),_xlfn.TEXTAFTER('Additional Chemicals-WUO_ERR'!A101, ":"))))</f>
        <v/>
      </c>
    </row>
    <row r="102">
      <c r="A102" s="39">
        <f>IF('Additional Chemicals'!B102 = "", "", IF('Additional Chemicals-WUO_ERR'!A102 = "", "Validated", HYPERLINK("#" &amp; ADDRESS(102, 'Additional Chemicals-WUO_TRK'!A102),_xlfn.TEXTAFTER('Additional Chemicals-WUO_ERR'!A102, ":"))))</f>
        <v/>
      </c>
    </row>
    <row r="103">
      <c r="A103" s="39">
        <f>IF('Additional Chemicals'!B103 = "", "", IF('Additional Chemicals-WUO_ERR'!A103 = "", "Validated", HYPERLINK("#" &amp; ADDRESS(103, 'Additional Chemicals-WUO_TRK'!A103),_xlfn.TEXTAFTER('Additional Chemicals-WUO_ERR'!A103, ":"))))</f>
        <v/>
      </c>
    </row>
    <row r="104">
      <c r="A104" s="39">
        <f>IF('Additional Chemicals'!B104 = "", "", IF('Additional Chemicals-WUO_ERR'!A104 = "", "Validated", HYPERLINK("#" &amp; ADDRESS(104, 'Additional Chemicals-WUO_TRK'!A104),_xlfn.TEXTAFTER('Additional Chemicals-WUO_ERR'!A104, ":"))))</f>
        <v/>
      </c>
    </row>
    <row r="105">
      <c r="A105" s="39">
        <f>IF('Additional Chemicals'!B105 = "", "", IF('Additional Chemicals-WUO_ERR'!A105 = "", "Validated", HYPERLINK("#" &amp; ADDRESS(105, 'Additional Chemicals-WUO_TRK'!A105),_xlfn.TEXTAFTER('Additional Chemicals-WUO_ERR'!A105, ":"))))</f>
        <v/>
      </c>
    </row>
    <row r="106">
      <c r="A106" s="39">
        <f>IF('Additional Chemicals'!B106 = "", "", IF('Additional Chemicals-WUO_ERR'!A106 = "", "Validated", HYPERLINK("#" &amp; ADDRESS(106, 'Additional Chemicals-WUO_TRK'!A106),_xlfn.TEXTAFTER('Additional Chemicals-WUO_ERR'!A106, ":"))))</f>
        <v/>
      </c>
    </row>
    <row r="107">
      <c r="A107" s="39">
        <f>IF('Additional Chemicals'!B107 = "", "", IF('Additional Chemicals-WUO_ERR'!A107 = "", "Validated", HYPERLINK("#" &amp; ADDRESS(107, 'Additional Chemicals-WUO_TRK'!A107),_xlfn.TEXTAFTER('Additional Chemicals-WUO_ERR'!A107, ":"))))</f>
        <v/>
      </c>
    </row>
    <row r="108">
      <c r="A108" s="39">
        <f>IF('Additional Chemicals'!B108 = "", "", IF('Additional Chemicals-WUO_ERR'!A108 = "", "Validated", HYPERLINK("#" &amp; ADDRESS(108, 'Additional Chemicals-WUO_TRK'!A108),_xlfn.TEXTAFTER('Additional Chemicals-WUO_ERR'!A108, ":"))))</f>
        <v/>
      </c>
    </row>
    <row r="109">
      <c r="A109" s="39">
        <f>IF('Additional Chemicals'!B109 = "", "", IF('Additional Chemicals-WUO_ERR'!A109 = "", "Validated", HYPERLINK("#" &amp; ADDRESS(109, 'Additional Chemicals-WUO_TRK'!A109),_xlfn.TEXTAFTER('Additional Chemicals-WUO_ERR'!A109, ":"))))</f>
        <v/>
      </c>
    </row>
    <row r="110">
      <c r="A110" s="39">
        <f>IF('Additional Chemicals'!B110 = "", "", IF('Additional Chemicals-WUO_ERR'!A110 = "", "Validated", HYPERLINK("#" &amp; ADDRESS(110, 'Additional Chemicals-WUO_TRK'!A110),_xlfn.TEXTAFTER('Additional Chemicals-WUO_ERR'!A110, ":"))))</f>
        <v/>
      </c>
    </row>
    <row r="111">
      <c r="A111" s="39">
        <f>IF('Additional Chemicals'!B111 = "", "", IF('Additional Chemicals-WUO_ERR'!A111 = "", "Validated", HYPERLINK("#" &amp; ADDRESS(111, 'Additional Chemicals-WUO_TRK'!A111),_xlfn.TEXTAFTER('Additional Chemicals-WUO_ERR'!A111, ":"))))</f>
        <v/>
      </c>
    </row>
    <row r="112">
      <c r="A112" s="39">
        <f>IF('Additional Chemicals'!B112 = "", "", IF('Additional Chemicals-WUO_ERR'!A112 = "", "Validated", HYPERLINK("#" &amp; ADDRESS(112, 'Additional Chemicals-WUO_TRK'!A112),_xlfn.TEXTAFTER('Additional Chemicals-WUO_ERR'!A112, ":"))))</f>
        <v/>
      </c>
    </row>
    <row r="113">
      <c r="A113" s="39">
        <f>IF('Additional Chemicals'!B113 = "", "", IF('Additional Chemicals-WUO_ERR'!A113 = "", "Validated", HYPERLINK("#" &amp; ADDRESS(113, 'Additional Chemicals-WUO_TRK'!A113),_xlfn.TEXTAFTER('Additional Chemicals-WUO_ERR'!A113, ":"))))</f>
        <v/>
      </c>
    </row>
    <row r="114">
      <c r="A114" s="39">
        <f>IF('Additional Chemicals'!B114 = "", "", IF('Additional Chemicals-WUO_ERR'!A114 = "", "Validated", HYPERLINK("#" &amp; ADDRESS(114, 'Additional Chemicals-WUO_TRK'!A114),_xlfn.TEXTAFTER('Additional Chemicals-WUO_ERR'!A114, ":"))))</f>
        <v/>
      </c>
    </row>
    <row r="115">
      <c r="A115" s="39">
        <f>IF('Additional Chemicals'!B115 = "", "", IF('Additional Chemicals-WUO_ERR'!A115 = "", "Validated", HYPERLINK("#" &amp; ADDRESS(115, 'Additional Chemicals-WUO_TRK'!A115),_xlfn.TEXTAFTER('Additional Chemicals-WUO_ERR'!A115, ":"))))</f>
        <v/>
      </c>
    </row>
    <row r="116">
      <c r="A116" s="39">
        <f>IF('Additional Chemicals'!B116 = "", "", IF('Additional Chemicals-WUO_ERR'!A116 = "", "Validated", HYPERLINK("#" &amp; ADDRESS(116, 'Additional Chemicals-WUO_TRK'!A116),_xlfn.TEXTAFTER('Additional Chemicals-WUO_ERR'!A116, ":"))))</f>
        <v/>
      </c>
    </row>
    <row r="117">
      <c r="A117" s="39">
        <f>IF('Additional Chemicals'!B117 = "", "", IF('Additional Chemicals-WUO_ERR'!A117 = "", "Validated", HYPERLINK("#" &amp; ADDRESS(117, 'Additional Chemicals-WUO_TRK'!A117),_xlfn.TEXTAFTER('Additional Chemicals-WUO_ERR'!A117, ":"))))</f>
        <v/>
      </c>
    </row>
    <row r="118">
      <c r="A118" s="39">
        <f>IF('Additional Chemicals'!B118 = "", "", IF('Additional Chemicals-WUO_ERR'!A118 = "", "Validated", HYPERLINK("#" &amp; ADDRESS(118, 'Additional Chemicals-WUO_TRK'!A118),_xlfn.TEXTAFTER('Additional Chemicals-WUO_ERR'!A118, ":"))))</f>
        <v/>
      </c>
    </row>
    <row r="119">
      <c r="A119" s="39">
        <f>IF('Additional Chemicals'!B119 = "", "", IF('Additional Chemicals-WUO_ERR'!A119 = "", "Validated", HYPERLINK("#" &amp; ADDRESS(119, 'Additional Chemicals-WUO_TRK'!A119),_xlfn.TEXTAFTER('Additional Chemicals-WUO_ERR'!A119, ":"))))</f>
        <v/>
      </c>
    </row>
    <row r="120">
      <c r="A120" s="39">
        <f>IF('Additional Chemicals'!B120 = "", "", IF('Additional Chemicals-WUO_ERR'!A120 = "", "Validated", HYPERLINK("#" &amp; ADDRESS(120, 'Additional Chemicals-WUO_TRK'!A120),_xlfn.TEXTAFTER('Additional Chemicals-WUO_ERR'!A120, ":"))))</f>
        <v/>
      </c>
    </row>
    <row r="121">
      <c r="A121" s="39">
        <f>IF('Additional Chemicals'!B121 = "", "", IF('Additional Chemicals-WUO_ERR'!A121 = "", "Validated", HYPERLINK("#" &amp; ADDRESS(121, 'Additional Chemicals-WUO_TRK'!A121),_xlfn.TEXTAFTER('Additional Chemicals-WUO_ERR'!A121, ":"))))</f>
        <v/>
      </c>
    </row>
    <row r="122">
      <c r="A122" s="39">
        <f>IF('Additional Chemicals'!B122 = "", "", IF('Additional Chemicals-WUO_ERR'!A122 = "", "Validated", HYPERLINK("#" &amp; ADDRESS(122, 'Additional Chemicals-WUO_TRK'!A122),_xlfn.TEXTAFTER('Additional Chemicals-WUO_ERR'!A122, ":"))))</f>
        <v/>
      </c>
    </row>
    <row r="123">
      <c r="A123" s="39">
        <f>IF('Additional Chemicals'!B123 = "", "", IF('Additional Chemicals-WUO_ERR'!A123 = "", "Validated", HYPERLINK("#" &amp; ADDRESS(123, 'Additional Chemicals-WUO_TRK'!A123),_xlfn.TEXTAFTER('Additional Chemicals-WUO_ERR'!A123, ":"))))</f>
        <v/>
      </c>
    </row>
    <row r="124">
      <c r="A124" s="39">
        <f>IF('Additional Chemicals'!B124 = "", "", IF('Additional Chemicals-WUO_ERR'!A124 = "", "Validated", HYPERLINK("#" &amp; ADDRESS(124, 'Additional Chemicals-WUO_TRK'!A124),_xlfn.TEXTAFTER('Additional Chemicals-WUO_ERR'!A124, ":"))))</f>
        <v/>
      </c>
    </row>
    <row r="125">
      <c r="A125" s="39">
        <f>IF('Additional Chemicals'!B125 = "", "", IF('Additional Chemicals-WUO_ERR'!A125 = "", "Validated", HYPERLINK("#" &amp; ADDRESS(125, 'Additional Chemicals-WUO_TRK'!A125),_xlfn.TEXTAFTER('Additional Chemicals-WUO_ERR'!A125, ":"))))</f>
        <v/>
      </c>
    </row>
    <row r="126">
      <c r="A126" s="39">
        <f>IF('Additional Chemicals'!B126 = "", "", IF('Additional Chemicals-WUO_ERR'!A126 = "", "Validated", HYPERLINK("#" &amp; ADDRESS(126, 'Additional Chemicals-WUO_TRK'!A126),_xlfn.TEXTAFTER('Additional Chemicals-WUO_ERR'!A126, ":"))))</f>
        <v/>
      </c>
    </row>
    <row r="127">
      <c r="A127" s="39">
        <f>IF('Additional Chemicals'!B127 = "", "", IF('Additional Chemicals-WUO_ERR'!A127 = "", "Validated", HYPERLINK("#" &amp; ADDRESS(127, 'Additional Chemicals-WUO_TRK'!A127),_xlfn.TEXTAFTER('Additional Chemicals-WUO_ERR'!A127, ":"))))</f>
        <v/>
      </c>
    </row>
    <row r="128">
      <c r="A128" s="39">
        <f>IF('Additional Chemicals'!B128 = "", "", IF('Additional Chemicals-WUO_ERR'!A128 = "", "Validated", HYPERLINK("#" &amp; ADDRESS(128, 'Additional Chemicals-WUO_TRK'!A128),_xlfn.TEXTAFTER('Additional Chemicals-WUO_ERR'!A128, ":"))))</f>
        <v/>
      </c>
    </row>
    <row r="129">
      <c r="A129" s="39">
        <f>IF('Additional Chemicals'!B129 = "", "", IF('Additional Chemicals-WUO_ERR'!A129 = "", "Validated", HYPERLINK("#" &amp; ADDRESS(129, 'Additional Chemicals-WUO_TRK'!A129),_xlfn.TEXTAFTER('Additional Chemicals-WUO_ERR'!A129, ":"))))</f>
        <v/>
      </c>
    </row>
    <row r="130">
      <c r="A130" s="39">
        <f>IF('Additional Chemicals'!B130 = "", "", IF('Additional Chemicals-WUO_ERR'!A130 = "", "Validated", HYPERLINK("#" &amp; ADDRESS(130, 'Additional Chemicals-WUO_TRK'!A130),_xlfn.TEXTAFTER('Additional Chemicals-WUO_ERR'!A130, ":"))))</f>
        <v/>
      </c>
    </row>
    <row r="131">
      <c r="A131" s="39">
        <f>IF('Additional Chemicals'!B131 = "", "", IF('Additional Chemicals-WUO_ERR'!A131 = "", "Validated", HYPERLINK("#" &amp; ADDRESS(131, 'Additional Chemicals-WUO_TRK'!A131),_xlfn.TEXTAFTER('Additional Chemicals-WUO_ERR'!A131, ":"))))</f>
        <v/>
      </c>
    </row>
    <row r="132">
      <c r="A132" s="39">
        <f>IF('Additional Chemicals'!B132 = "", "", IF('Additional Chemicals-WUO_ERR'!A132 = "", "Validated", HYPERLINK("#" &amp; ADDRESS(132, 'Additional Chemicals-WUO_TRK'!A132),_xlfn.TEXTAFTER('Additional Chemicals-WUO_ERR'!A132, ":"))))</f>
        <v/>
      </c>
    </row>
    <row r="133">
      <c r="A133" s="39">
        <f>IF('Additional Chemicals'!B133 = "", "", IF('Additional Chemicals-WUO_ERR'!A133 = "", "Validated", HYPERLINK("#" &amp; ADDRESS(133, 'Additional Chemicals-WUO_TRK'!A133),_xlfn.TEXTAFTER('Additional Chemicals-WUO_ERR'!A133, ":"))))</f>
        <v/>
      </c>
    </row>
    <row r="134">
      <c r="A134" s="39">
        <f>IF('Additional Chemicals'!B134 = "", "", IF('Additional Chemicals-WUO_ERR'!A134 = "", "Validated", HYPERLINK("#" &amp; ADDRESS(134, 'Additional Chemicals-WUO_TRK'!A134),_xlfn.TEXTAFTER('Additional Chemicals-WUO_ERR'!A134, ":"))))</f>
        <v/>
      </c>
    </row>
    <row r="135">
      <c r="A135" s="39">
        <f>IF('Additional Chemicals'!B135 = "", "", IF('Additional Chemicals-WUO_ERR'!A135 = "", "Validated", HYPERLINK("#" &amp; ADDRESS(135, 'Additional Chemicals-WUO_TRK'!A135),_xlfn.TEXTAFTER('Additional Chemicals-WUO_ERR'!A135, ":"))))</f>
        <v/>
      </c>
    </row>
    <row r="136">
      <c r="A136" s="39">
        <f>IF('Additional Chemicals'!B136 = "", "", IF('Additional Chemicals-WUO_ERR'!A136 = "", "Validated", HYPERLINK("#" &amp; ADDRESS(136, 'Additional Chemicals-WUO_TRK'!A136),_xlfn.TEXTAFTER('Additional Chemicals-WUO_ERR'!A136, ":"))))</f>
        <v/>
      </c>
    </row>
    <row r="137">
      <c r="A137" s="39">
        <f>IF('Additional Chemicals'!B137 = "", "", IF('Additional Chemicals-WUO_ERR'!A137 = "", "Validated", HYPERLINK("#" &amp; ADDRESS(137, 'Additional Chemicals-WUO_TRK'!A137),_xlfn.TEXTAFTER('Additional Chemicals-WUO_ERR'!A137, ":"))))</f>
        <v/>
      </c>
    </row>
    <row r="138">
      <c r="A138" s="39">
        <f>IF('Additional Chemicals'!B138 = "", "", IF('Additional Chemicals-WUO_ERR'!A138 = "", "Validated", HYPERLINK("#" &amp; ADDRESS(138, 'Additional Chemicals-WUO_TRK'!A138),_xlfn.TEXTAFTER('Additional Chemicals-WUO_ERR'!A138, ":"))))</f>
        <v/>
      </c>
    </row>
    <row r="139">
      <c r="A139" s="39">
        <f>IF('Additional Chemicals'!B139 = "", "", IF('Additional Chemicals-WUO_ERR'!A139 = "", "Validated", HYPERLINK("#" &amp; ADDRESS(139, 'Additional Chemicals-WUO_TRK'!A139),_xlfn.TEXTAFTER('Additional Chemicals-WUO_ERR'!A139, ":"))))</f>
        <v/>
      </c>
    </row>
    <row r="140">
      <c r="A140" s="39">
        <f>IF('Additional Chemicals'!B140 = "", "", IF('Additional Chemicals-WUO_ERR'!A140 = "", "Validated", HYPERLINK("#" &amp; ADDRESS(140, 'Additional Chemicals-WUO_TRK'!A140),_xlfn.TEXTAFTER('Additional Chemicals-WUO_ERR'!A140, ":"))))</f>
        <v/>
      </c>
    </row>
    <row r="141">
      <c r="A141" s="39">
        <f>IF('Additional Chemicals'!B141 = "", "", IF('Additional Chemicals-WUO_ERR'!A141 = "", "Validated", HYPERLINK("#" &amp; ADDRESS(141, 'Additional Chemicals-WUO_TRK'!A141),_xlfn.TEXTAFTER('Additional Chemicals-WUO_ERR'!A141, ":"))))</f>
        <v/>
      </c>
    </row>
    <row r="142">
      <c r="A142" s="39">
        <f>IF('Additional Chemicals'!B142 = "", "", IF('Additional Chemicals-WUO_ERR'!A142 = "", "Validated", HYPERLINK("#" &amp; ADDRESS(142, 'Additional Chemicals-WUO_TRK'!A142),_xlfn.TEXTAFTER('Additional Chemicals-WUO_ERR'!A142, ":"))))</f>
        <v/>
      </c>
    </row>
    <row r="143">
      <c r="A143" s="39">
        <f>IF('Additional Chemicals'!B143 = "", "", IF('Additional Chemicals-WUO_ERR'!A143 = "", "Validated", HYPERLINK("#" &amp; ADDRESS(143, 'Additional Chemicals-WUO_TRK'!A143),_xlfn.TEXTAFTER('Additional Chemicals-WUO_ERR'!A143, ":"))))</f>
        <v/>
      </c>
    </row>
    <row r="144">
      <c r="A144" s="39">
        <f>IF('Additional Chemicals'!B144 = "", "", IF('Additional Chemicals-WUO_ERR'!A144 = "", "Validated", HYPERLINK("#" &amp; ADDRESS(144, 'Additional Chemicals-WUO_TRK'!A144),_xlfn.TEXTAFTER('Additional Chemicals-WUO_ERR'!A144, ":"))))</f>
        <v/>
      </c>
    </row>
    <row r="145">
      <c r="A145" s="39">
        <f>IF('Additional Chemicals'!B145 = "", "", IF('Additional Chemicals-WUO_ERR'!A145 = "", "Validated", HYPERLINK("#" &amp; ADDRESS(145, 'Additional Chemicals-WUO_TRK'!A145),_xlfn.TEXTAFTER('Additional Chemicals-WUO_ERR'!A145, ":"))))</f>
        <v/>
      </c>
    </row>
    <row r="146">
      <c r="A146" s="39">
        <f>IF('Additional Chemicals'!B146 = "", "", IF('Additional Chemicals-WUO_ERR'!A146 = "", "Validated", HYPERLINK("#" &amp; ADDRESS(146, 'Additional Chemicals-WUO_TRK'!A146),_xlfn.TEXTAFTER('Additional Chemicals-WUO_ERR'!A146, ":"))))</f>
        <v/>
      </c>
    </row>
    <row r="147">
      <c r="A147" s="39">
        <f>IF('Additional Chemicals'!B147 = "", "", IF('Additional Chemicals-WUO_ERR'!A147 = "", "Validated", HYPERLINK("#" &amp; ADDRESS(147, 'Additional Chemicals-WUO_TRK'!A147),_xlfn.TEXTAFTER('Additional Chemicals-WUO_ERR'!A147, ":"))))</f>
        <v/>
      </c>
    </row>
    <row r="148">
      <c r="A148" s="39">
        <f>IF('Additional Chemicals'!B148 = "", "", IF('Additional Chemicals-WUO_ERR'!A148 = "", "Validated", HYPERLINK("#" &amp; ADDRESS(148, 'Additional Chemicals-WUO_TRK'!A148),_xlfn.TEXTAFTER('Additional Chemicals-WUO_ERR'!A148, ":"))))</f>
        <v/>
      </c>
    </row>
    <row r="149">
      <c r="A149" s="39">
        <f>IF('Additional Chemicals'!B149 = "", "", IF('Additional Chemicals-WUO_ERR'!A149 = "", "Validated", HYPERLINK("#" &amp; ADDRESS(149, 'Additional Chemicals-WUO_TRK'!A149),_xlfn.TEXTAFTER('Additional Chemicals-WUO_ERR'!A149, ":"))))</f>
        <v/>
      </c>
    </row>
    <row r="150">
      <c r="A150" s="39">
        <f>IF('Additional Chemicals'!B150 = "", "", IF('Additional Chemicals-WUO_ERR'!A150 = "", "Validated", HYPERLINK("#" &amp; ADDRESS(150, 'Additional Chemicals-WUO_TRK'!A150),_xlfn.TEXTAFTER('Additional Chemicals-WUO_ERR'!A150, ":"))))</f>
        <v/>
      </c>
    </row>
    <row r="151">
      <c r="A151" s="39">
        <f>IF('Additional Chemicals'!B151 = "", "", IF('Additional Chemicals-WUO_ERR'!A151 = "", "Validated", HYPERLINK("#" &amp; ADDRESS(151, 'Additional Chemicals-WUO_TRK'!A151),_xlfn.TEXTAFTER('Additional Chemicals-WUO_ERR'!A151, ":"))))</f>
        <v/>
      </c>
    </row>
    <row r="152">
      <c r="A152" s="39">
        <f>IF('Additional Chemicals'!B152 = "", "", IF('Additional Chemicals-WUO_ERR'!A152 = "", "Validated", HYPERLINK("#" &amp; ADDRESS(152, 'Additional Chemicals-WUO_TRK'!A152),_xlfn.TEXTAFTER('Additional Chemicals-WUO_ERR'!A152, ":"))))</f>
        <v/>
      </c>
    </row>
    <row r="153">
      <c r="A153" s="39">
        <f>IF('Additional Chemicals'!B153 = "", "", IF('Additional Chemicals-WUO_ERR'!A153 = "", "Validated", HYPERLINK("#" &amp; ADDRESS(153, 'Additional Chemicals-WUO_TRK'!A153),_xlfn.TEXTAFTER('Additional Chemicals-WUO_ERR'!A153, ":"))))</f>
        <v/>
      </c>
    </row>
    <row r="154">
      <c r="A154" s="39">
        <f>IF('Additional Chemicals'!B154 = "", "", IF('Additional Chemicals-WUO_ERR'!A154 = "", "Validated", HYPERLINK("#" &amp; ADDRESS(154, 'Additional Chemicals-WUO_TRK'!A154),_xlfn.TEXTAFTER('Additional Chemicals-WUO_ERR'!A154, ":"))))</f>
        <v/>
      </c>
    </row>
    <row r="155">
      <c r="A155" s="39">
        <f>IF('Additional Chemicals'!B155 = "", "", IF('Additional Chemicals-WUO_ERR'!A155 = "", "Validated", HYPERLINK("#" &amp; ADDRESS(155, 'Additional Chemicals-WUO_TRK'!A155),_xlfn.TEXTAFTER('Additional Chemicals-WUO_ERR'!A155, ":"))))</f>
        <v/>
      </c>
    </row>
    <row r="156">
      <c r="A156" s="39">
        <f>IF('Additional Chemicals'!B156 = "", "", IF('Additional Chemicals-WUO_ERR'!A156 = "", "Validated", HYPERLINK("#" &amp; ADDRESS(156, 'Additional Chemicals-WUO_TRK'!A156),_xlfn.TEXTAFTER('Additional Chemicals-WUO_ERR'!A156, ":"))))</f>
        <v/>
      </c>
    </row>
    <row r="157">
      <c r="A157" s="39">
        <f>IF('Additional Chemicals'!B157 = "", "", IF('Additional Chemicals-WUO_ERR'!A157 = "", "Validated", HYPERLINK("#" &amp; ADDRESS(157, 'Additional Chemicals-WUO_TRK'!A157),_xlfn.TEXTAFTER('Additional Chemicals-WUO_ERR'!A157, ":"))))</f>
        <v/>
      </c>
    </row>
    <row r="158">
      <c r="A158" s="39">
        <f>IF('Additional Chemicals'!B158 = "", "", IF('Additional Chemicals-WUO_ERR'!A158 = "", "Validated", HYPERLINK("#" &amp; ADDRESS(158, 'Additional Chemicals-WUO_TRK'!A158),_xlfn.TEXTAFTER('Additional Chemicals-WUO_ERR'!A158, ":"))))</f>
        <v/>
      </c>
    </row>
    <row r="159">
      <c r="A159" s="39">
        <f>IF('Additional Chemicals'!B159 = "", "", IF('Additional Chemicals-WUO_ERR'!A159 = "", "Validated", HYPERLINK("#" &amp; ADDRESS(159, 'Additional Chemicals-WUO_TRK'!A159),_xlfn.TEXTAFTER('Additional Chemicals-WUO_ERR'!A159, ":"))))</f>
        <v/>
      </c>
    </row>
    <row r="160">
      <c r="A160" s="39">
        <f>IF('Additional Chemicals'!B160 = "", "", IF('Additional Chemicals-WUO_ERR'!A160 = "", "Validated", HYPERLINK("#" &amp; ADDRESS(160, 'Additional Chemicals-WUO_TRK'!A160),_xlfn.TEXTAFTER('Additional Chemicals-WUO_ERR'!A160, ":"))))</f>
        <v/>
      </c>
    </row>
    <row r="161">
      <c r="A161" s="39">
        <f>IF('Additional Chemicals'!B161 = "", "", IF('Additional Chemicals-WUO_ERR'!A161 = "", "Validated", HYPERLINK("#" &amp; ADDRESS(161, 'Additional Chemicals-WUO_TRK'!A161),_xlfn.TEXTAFTER('Additional Chemicals-WUO_ERR'!A161, ":"))))</f>
        <v/>
      </c>
    </row>
    <row r="162">
      <c r="A162" s="39">
        <f>IF('Additional Chemicals'!B162 = "", "", IF('Additional Chemicals-WUO_ERR'!A162 = "", "Validated", HYPERLINK("#" &amp; ADDRESS(162, 'Additional Chemicals-WUO_TRK'!A162),_xlfn.TEXTAFTER('Additional Chemicals-WUO_ERR'!A162, ":"))))</f>
        <v/>
      </c>
    </row>
    <row r="163">
      <c r="A163" s="39">
        <f>IF('Additional Chemicals'!B163 = "", "", IF('Additional Chemicals-WUO_ERR'!A163 = "", "Validated", HYPERLINK("#" &amp; ADDRESS(163, 'Additional Chemicals-WUO_TRK'!A163),_xlfn.TEXTAFTER('Additional Chemicals-WUO_ERR'!A163, ":"))))</f>
        <v/>
      </c>
    </row>
    <row r="164">
      <c r="A164" s="39">
        <f>IF('Additional Chemicals'!B164 = "", "", IF('Additional Chemicals-WUO_ERR'!A164 = "", "Validated", HYPERLINK("#" &amp; ADDRESS(164, 'Additional Chemicals-WUO_TRK'!A164),_xlfn.TEXTAFTER('Additional Chemicals-WUO_ERR'!A164, ":"))))</f>
        <v/>
      </c>
    </row>
    <row r="165">
      <c r="A165" s="39">
        <f>IF('Additional Chemicals'!B165 = "", "", IF('Additional Chemicals-WUO_ERR'!A165 = "", "Validated", HYPERLINK("#" &amp; ADDRESS(165, 'Additional Chemicals-WUO_TRK'!A165),_xlfn.TEXTAFTER('Additional Chemicals-WUO_ERR'!A165, ":"))))</f>
        <v/>
      </c>
    </row>
    <row r="166">
      <c r="A166" s="39">
        <f>IF('Additional Chemicals'!B166 = "", "", IF('Additional Chemicals-WUO_ERR'!A166 = "", "Validated", HYPERLINK("#" &amp; ADDRESS(166, 'Additional Chemicals-WUO_TRK'!A166),_xlfn.TEXTAFTER('Additional Chemicals-WUO_ERR'!A166, ":"))))</f>
        <v/>
      </c>
    </row>
    <row r="167">
      <c r="A167" s="39">
        <f>IF('Additional Chemicals'!B167 = "", "", IF('Additional Chemicals-WUO_ERR'!A167 = "", "Validated", HYPERLINK("#" &amp; ADDRESS(167, 'Additional Chemicals-WUO_TRK'!A167),_xlfn.TEXTAFTER('Additional Chemicals-WUO_ERR'!A167, ":"))))</f>
        <v/>
      </c>
    </row>
    <row r="168">
      <c r="A168" s="39">
        <f>IF('Additional Chemicals'!B168 = "", "", IF('Additional Chemicals-WUO_ERR'!A168 = "", "Validated", HYPERLINK("#" &amp; ADDRESS(168, 'Additional Chemicals-WUO_TRK'!A168),_xlfn.TEXTAFTER('Additional Chemicals-WUO_ERR'!A168, ":"))))</f>
        <v/>
      </c>
    </row>
    <row r="169">
      <c r="A169" s="39">
        <f>IF('Additional Chemicals'!B169 = "", "", IF('Additional Chemicals-WUO_ERR'!A169 = "", "Validated", HYPERLINK("#" &amp; ADDRESS(169, 'Additional Chemicals-WUO_TRK'!A169),_xlfn.TEXTAFTER('Additional Chemicals-WUO_ERR'!A169, ":"))))</f>
        <v/>
      </c>
    </row>
    <row r="170">
      <c r="A170" s="39">
        <f>IF('Additional Chemicals'!B170 = "", "", IF('Additional Chemicals-WUO_ERR'!A170 = "", "Validated", HYPERLINK("#" &amp; ADDRESS(170, 'Additional Chemicals-WUO_TRK'!A170),_xlfn.TEXTAFTER('Additional Chemicals-WUO_ERR'!A170, ":"))))</f>
        <v/>
      </c>
    </row>
    <row r="171">
      <c r="A171" s="39">
        <f>IF('Additional Chemicals'!B171 = "", "", IF('Additional Chemicals-WUO_ERR'!A171 = "", "Validated", HYPERLINK("#" &amp; ADDRESS(171, 'Additional Chemicals-WUO_TRK'!A171),_xlfn.TEXTAFTER('Additional Chemicals-WUO_ERR'!A171, ":"))))</f>
        <v/>
      </c>
    </row>
    <row r="172">
      <c r="A172" s="39">
        <f>IF('Additional Chemicals'!B172 = "", "", IF('Additional Chemicals-WUO_ERR'!A172 = "", "Validated", HYPERLINK("#" &amp; ADDRESS(172, 'Additional Chemicals-WUO_TRK'!A172),_xlfn.TEXTAFTER('Additional Chemicals-WUO_ERR'!A172, ":"))))</f>
        <v/>
      </c>
    </row>
    <row r="173">
      <c r="A173" s="39">
        <f>IF('Additional Chemicals'!B173 = "", "", IF('Additional Chemicals-WUO_ERR'!A173 = "", "Validated", HYPERLINK("#" &amp; ADDRESS(173, 'Additional Chemicals-WUO_TRK'!A173),_xlfn.TEXTAFTER('Additional Chemicals-WUO_ERR'!A173, ":"))))</f>
        <v/>
      </c>
    </row>
    <row r="174">
      <c r="A174" s="39">
        <f>IF('Additional Chemicals'!B174 = "", "", IF('Additional Chemicals-WUO_ERR'!A174 = "", "Validated", HYPERLINK("#" &amp; ADDRESS(174, 'Additional Chemicals-WUO_TRK'!A174),_xlfn.TEXTAFTER('Additional Chemicals-WUO_ERR'!A174, ":"))))</f>
        <v/>
      </c>
    </row>
    <row r="175">
      <c r="A175" s="39">
        <f>IF('Additional Chemicals'!B175 = "", "", IF('Additional Chemicals-WUO_ERR'!A175 = "", "Validated", HYPERLINK("#" &amp; ADDRESS(175, 'Additional Chemicals-WUO_TRK'!A175),_xlfn.TEXTAFTER('Additional Chemicals-WUO_ERR'!A175, ":"))))</f>
        <v/>
      </c>
    </row>
    <row r="176">
      <c r="A176" s="39">
        <f>IF('Additional Chemicals'!B176 = "", "", IF('Additional Chemicals-WUO_ERR'!A176 = "", "Validated", HYPERLINK("#" &amp; ADDRESS(176, 'Additional Chemicals-WUO_TRK'!A176),_xlfn.TEXTAFTER('Additional Chemicals-WUO_ERR'!A176, ":"))))</f>
        <v/>
      </c>
    </row>
    <row r="177">
      <c r="A177" s="39">
        <f>IF('Additional Chemicals'!B177 = "", "", IF('Additional Chemicals-WUO_ERR'!A177 = "", "Validated", HYPERLINK("#" &amp; ADDRESS(177, 'Additional Chemicals-WUO_TRK'!A177),_xlfn.TEXTAFTER('Additional Chemicals-WUO_ERR'!A177, ":"))))</f>
        <v/>
      </c>
    </row>
    <row r="178">
      <c r="A178" s="39">
        <f>IF('Additional Chemicals'!B178 = "", "", IF('Additional Chemicals-WUO_ERR'!A178 = "", "Validated", HYPERLINK("#" &amp; ADDRESS(178, 'Additional Chemicals-WUO_TRK'!A178),_xlfn.TEXTAFTER('Additional Chemicals-WUO_ERR'!A178, ":"))))</f>
        <v/>
      </c>
    </row>
    <row r="179">
      <c r="A179" s="39">
        <f>IF('Additional Chemicals'!B179 = "", "", IF('Additional Chemicals-WUO_ERR'!A179 = "", "Validated", HYPERLINK("#" &amp; ADDRESS(179, 'Additional Chemicals-WUO_TRK'!A179),_xlfn.TEXTAFTER('Additional Chemicals-WUO_ERR'!A179, ":"))))</f>
        <v/>
      </c>
    </row>
    <row r="180">
      <c r="A180" s="39">
        <f>IF('Additional Chemicals'!B180 = "", "", IF('Additional Chemicals-WUO_ERR'!A180 = "", "Validated", HYPERLINK("#" &amp; ADDRESS(180, 'Additional Chemicals-WUO_TRK'!A180),_xlfn.TEXTAFTER('Additional Chemicals-WUO_ERR'!A180, ":"))))</f>
        <v/>
      </c>
    </row>
    <row r="181">
      <c r="A181" s="39">
        <f>IF('Additional Chemicals'!B181 = "", "", IF('Additional Chemicals-WUO_ERR'!A181 = "", "Validated", HYPERLINK("#" &amp; ADDRESS(181, 'Additional Chemicals-WUO_TRK'!A181),_xlfn.TEXTAFTER('Additional Chemicals-WUO_ERR'!A181, ":"))))</f>
        <v/>
      </c>
    </row>
    <row r="182">
      <c r="A182" s="39">
        <f>IF('Additional Chemicals'!B182 = "", "", IF('Additional Chemicals-WUO_ERR'!A182 = "", "Validated", HYPERLINK("#" &amp; ADDRESS(182, 'Additional Chemicals-WUO_TRK'!A182),_xlfn.TEXTAFTER('Additional Chemicals-WUO_ERR'!A182, ":"))))</f>
        <v/>
      </c>
    </row>
    <row r="183">
      <c r="A183" s="39">
        <f>IF('Additional Chemicals'!B183 = "", "", IF('Additional Chemicals-WUO_ERR'!A183 = "", "Validated", HYPERLINK("#" &amp; ADDRESS(183, 'Additional Chemicals-WUO_TRK'!A183),_xlfn.TEXTAFTER('Additional Chemicals-WUO_ERR'!A183, ":"))))</f>
        <v/>
      </c>
    </row>
    <row r="184">
      <c r="A184" s="39">
        <f>IF('Additional Chemicals'!B184 = "", "", IF('Additional Chemicals-WUO_ERR'!A184 = "", "Validated", HYPERLINK("#" &amp; ADDRESS(184, 'Additional Chemicals-WUO_TRK'!A184),_xlfn.TEXTAFTER('Additional Chemicals-WUO_ERR'!A184, ":"))))</f>
        <v/>
      </c>
    </row>
    <row r="185">
      <c r="A185" s="39">
        <f>IF('Additional Chemicals'!B185 = "", "", IF('Additional Chemicals-WUO_ERR'!A185 = "", "Validated", HYPERLINK("#" &amp; ADDRESS(185, 'Additional Chemicals-WUO_TRK'!A185),_xlfn.TEXTAFTER('Additional Chemicals-WUO_ERR'!A185, ":"))))</f>
        <v/>
      </c>
    </row>
    <row r="186">
      <c r="A186" s="39">
        <f>IF('Additional Chemicals'!B186 = "", "", IF('Additional Chemicals-WUO_ERR'!A186 = "", "Validated", HYPERLINK("#" &amp; ADDRESS(186, 'Additional Chemicals-WUO_TRK'!A186),_xlfn.TEXTAFTER('Additional Chemicals-WUO_ERR'!A186, ":"))))</f>
        <v/>
      </c>
    </row>
    <row r="187">
      <c r="A187" s="39">
        <f>IF('Additional Chemicals'!B187 = "", "", IF('Additional Chemicals-WUO_ERR'!A187 = "", "Validated", HYPERLINK("#" &amp; ADDRESS(187, 'Additional Chemicals-WUO_TRK'!A187),_xlfn.TEXTAFTER('Additional Chemicals-WUO_ERR'!A187, ":"))))</f>
        <v/>
      </c>
    </row>
    <row r="188">
      <c r="A188" s="39">
        <f>IF('Additional Chemicals'!B188 = "", "", IF('Additional Chemicals-WUO_ERR'!A188 = "", "Validated", HYPERLINK("#" &amp; ADDRESS(188, 'Additional Chemicals-WUO_TRK'!A188),_xlfn.TEXTAFTER('Additional Chemicals-WUO_ERR'!A188, ":"))))</f>
        <v/>
      </c>
    </row>
    <row r="189">
      <c r="A189" s="39">
        <f>IF('Additional Chemicals'!B189 = "", "", IF('Additional Chemicals-WUO_ERR'!A189 = "", "Validated", HYPERLINK("#" &amp; ADDRESS(189, 'Additional Chemicals-WUO_TRK'!A189),_xlfn.TEXTAFTER('Additional Chemicals-WUO_ERR'!A189, ":"))))</f>
        <v/>
      </c>
    </row>
    <row r="190">
      <c r="A190" s="39">
        <f>IF('Additional Chemicals'!B190 = "", "", IF('Additional Chemicals-WUO_ERR'!A190 = "", "Validated", HYPERLINK("#" &amp; ADDRESS(190, 'Additional Chemicals-WUO_TRK'!A190),_xlfn.TEXTAFTER('Additional Chemicals-WUO_ERR'!A190, ":"))))</f>
        <v/>
      </c>
    </row>
    <row r="191">
      <c r="A191" s="39">
        <f>IF('Additional Chemicals'!B191 = "", "", IF('Additional Chemicals-WUO_ERR'!A191 = "", "Validated", HYPERLINK("#" &amp; ADDRESS(191, 'Additional Chemicals-WUO_TRK'!A191),_xlfn.TEXTAFTER('Additional Chemicals-WUO_ERR'!A191, ":"))))</f>
        <v/>
      </c>
    </row>
    <row r="192">
      <c r="A192" s="39">
        <f>IF('Additional Chemicals'!B192 = "", "", IF('Additional Chemicals-WUO_ERR'!A192 = "", "Validated", HYPERLINK("#" &amp; ADDRESS(192, 'Additional Chemicals-WUO_TRK'!A192),_xlfn.TEXTAFTER('Additional Chemicals-WUO_ERR'!A192, ":"))))</f>
        <v/>
      </c>
    </row>
    <row r="193">
      <c r="A193" s="39">
        <f>IF('Additional Chemicals'!B193 = "", "", IF('Additional Chemicals-WUO_ERR'!A193 = "", "Validated", HYPERLINK("#" &amp; ADDRESS(193, 'Additional Chemicals-WUO_TRK'!A193),_xlfn.TEXTAFTER('Additional Chemicals-WUO_ERR'!A193, ":"))))</f>
        <v/>
      </c>
    </row>
    <row r="194">
      <c r="A194" s="39">
        <f>IF('Additional Chemicals'!B194 = "", "", IF('Additional Chemicals-WUO_ERR'!A194 = "", "Validated", HYPERLINK("#" &amp; ADDRESS(194, 'Additional Chemicals-WUO_TRK'!A194),_xlfn.TEXTAFTER('Additional Chemicals-WUO_ERR'!A194, ":"))))</f>
        <v/>
      </c>
    </row>
    <row r="195">
      <c r="A195" s="39">
        <f>IF('Additional Chemicals'!B195 = "", "", IF('Additional Chemicals-WUO_ERR'!A195 = "", "Validated", HYPERLINK("#" &amp; ADDRESS(195, 'Additional Chemicals-WUO_TRK'!A195),_xlfn.TEXTAFTER('Additional Chemicals-WUO_ERR'!A195, ":"))))</f>
        <v/>
      </c>
    </row>
    <row r="196">
      <c r="A196" s="39">
        <f>IF('Additional Chemicals'!B196 = "", "", IF('Additional Chemicals-WUO_ERR'!A196 = "", "Validated", HYPERLINK("#" &amp; ADDRESS(196, 'Additional Chemicals-WUO_TRK'!A196),_xlfn.TEXTAFTER('Additional Chemicals-WUO_ERR'!A196, ":"))))</f>
        <v/>
      </c>
    </row>
    <row r="197">
      <c r="A197" s="39">
        <f>IF('Additional Chemicals'!B197 = "", "", IF('Additional Chemicals-WUO_ERR'!A197 = "", "Validated", HYPERLINK("#" &amp; ADDRESS(197, 'Additional Chemicals-WUO_TRK'!A197),_xlfn.TEXTAFTER('Additional Chemicals-WUO_ERR'!A197, ":"))))</f>
        <v/>
      </c>
    </row>
    <row r="198">
      <c r="A198" s="39">
        <f>IF('Additional Chemicals'!B198 = "", "", IF('Additional Chemicals-WUO_ERR'!A198 = "", "Validated", HYPERLINK("#" &amp; ADDRESS(198, 'Additional Chemicals-WUO_TRK'!A198),_xlfn.TEXTAFTER('Additional Chemicals-WUO_ERR'!A198, ":"))))</f>
        <v/>
      </c>
    </row>
    <row r="199">
      <c r="A199" s="39">
        <f>IF('Additional Chemicals'!B199 = "", "", IF('Additional Chemicals-WUO_ERR'!A199 = "", "Validated", HYPERLINK("#" &amp; ADDRESS(199, 'Additional Chemicals-WUO_TRK'!A199),_xlfn.TEXTAFTER('Additional Chemicals-WUO_ERR'!A199, ":"))))</f>
        <v/>
      </c>
    </row>
    <row r="200">
      <c r="A200" s="39">
        <f>IF('Additional Chemicals'!B200 = "", "", IF('Additional Chemicals-WUO_ERR'!A200 = "", "Validated", HYPERLINK("#" &amp; ADDRESS(200, 'Additional Chemicals-WUO_TRK'!A200),_xlfn.TEXTAFTER('Additional Chemicals-WUO_ERR'!A200, ":"))))</f>
        <v/>
      </c>
    </row>
    <row r="201">
      <c r="A201" s="39">
        <f>IF('Additional Chemicals'!B201 = "", "", IF('Additional Chemicals-WUO_ERR'!A201 = "", "Validated", HYPERLINK("#" &amp; ADDRESS(201, 'Additional Chemicals-WUO_TRK'!A201),_xlfn.TEXTAFTER('Additional Chemicals-WUO_ERR'!A201, ":"))))</f>
        <v/>
      </c>
    </row>
    <row r="202">
      <c r="A202" s="39">
        <f>IF('Additional Chemicals'!B202 = "", "", IF('Additional Chemicals-WUO_ERR'!A202 = "", "Validated", HYPERLINK("#" &amp; ADDRESS(202, 'Additional Chemicals-WUO_TRK'!A202),_xlfn.TEXTAFTER('Additional Chemicals-WUO_ERR'!A202, ":"))))</f>
        <v/>
      </c>
    </row>
    <row r="203">
      <c r="A203" s="39">
        <f>IF('Additional Chemicals'!B203 = "", "", IF('Additional Chemicals-WUO_ERR'!A203 = "", "Validated", HYPERLINK("#" &amp; ADDRESS(203, 'Additional Chemicals-WUO_TRK'!A203),_xlfn.TEXTAFTER('Additional Chemicals-WUO_ERR'!A203, ":"))))</f>
        <v/>
      </c>
    </row>
    <row r="204">
      <c r="A204" s="39">
        <f>IF('Additional Chemicals'!B204 = "", "", IF('Additional Chemicals-WUO_ERR'!A204 = "", "Validated", HYPERLINK("#" &amp; ADDRESS(204, 'Additional Chemicals-WUO_TRK'!A204),_xlfn.TEXTAFTER('Additional Chemicals-WUO_ERR'!A204, ":"))))</f>
        <v/>
      </c>
    </row>
    <row r="205">
      <c r="A205" s="39">
        <f>IF('Additional Chemicals'!B205 = "", "", IF('Additional Chemicals-WUO_ERR'!A205 = "", "Validated", HYPERLINK("#" &amp; ADDRESS(205, 'Additional Chemicals-WUO_TRK'!A205),_xlfn.TEXTAFTER('Additional Chemicals-WUO_ERR'!A205, ":"))))</f>
        <v/>
      </c>
    </row>
    <row r="206">
      <c r="A206" s="39">
        <f>IF('Additional Chemicals'!B206 = "", "", IF('Additional Chemicals-WUO_ERR'!A206 = "", "Validated", HYPERLINK("#" &amp; ADDRESS(206, 'Additional Chemicals-WUO_TRK'!A206),_xlfn.TEXTAFTER('Additional Chemicals-WUO_ERR'!A206, ":"))))</f>
        <v/>
      </c>
    </row>
    <row r="207">
      <c r="A207" s="39">
        <f>IF('Additional Chemicals'!B207 = "", "", IF('Additional Chemicals-WUO_ERR'!A207 = "", "Validated", HYPERLINK("#" &amp; ADDRESS(207, 'Additional Chemicals-WUO_TRK'!A207),_xlfn.TEXTAFTER('Additional Chemicals-WUO_ERR'!A207, ":"))))</f>
        <v/>
      </c>
    </row>
    <row r="208">
      <c r="A208" s="39">
        <f>IF('Additional Chemicals'!B208 = "", "", IF('Additional Chemicals-WUO_ERR'!A208 = "", "Validated", HYPERLINK("#" &amp; ADDRESS(208, 'Additional Chemicals-WUO_TRK'!A208),_xlfn.TEXTAFTER('Additional Chemicals-WUO_ERR'!A208, ":"))))</f>
        <v/>
      </c>
    </row>
    <row r="209">
      <c r="A209" s="39">
        <f>IF('Additional Chemicals'!B209 = "", "", IF('Additional Chemicals-WUO_ERR'!A209 = "", "Validated", HYPERLINK("#" &amp; ADDRESS(209, 'Additional Chemicals-WUO_TRK'!A209),_xlfn.TEXTAFTER('Additional Chemicals-WUO_ERR'!A209, ":"))))</f>
        <v/>
      </c>
    </row>
    <row r="210">
      <c r="A210" s="39">
        <f>IF('Additional Chemicals'!B210 = "", "", IF('Additional Chemicals-WUO_ERR'!A210 = "", "Validated", HYPERLINK("#" &amp; ADDRESS(210, 'Additional Chemicals-WUO_TRK'!A210),_xlfn.TEXTAFTER('Additional Chemicals-WUO_ERR'!A210, ":"))))</f>
        <v/>
      </c>
    </row>
    <row r="211">
      <c r="A211" s="39">
        <f>IF('Additional Chemicals'!B211 = "", "", IF('Additional Chemicals-WUO_ERR'!A211 = "", "Validated", HYPERLINK("#" &amp; ADDRESS(211, 'Additional Chemicals-WUO_TRK'!A211),_xlfn.TEXTAFTER('Additional Chemicals-WUO_ERR'!A211, ":"))))</f>
        <v/>
      </c>
    </row>
    <row r="212">
      <c r="A212" s="39">
        <f>IF('Additional Chemicals'!B212 = "", "", IF('Additional Chemicals-WUO_ERR'!A212 = "", "Validated", HYPERLINK("#" &amp; ADDRESS(212, 'Additional Chemicals-WUO_TRK'!A212),_xlfn.TEXTAFTER('Additional Chemicals-WUO_ERR'!A212, ":"))))</f>
        <v/>
      </c>
    </row>
    <row r="213">
      <c r="A213" s="39">
        <f>IF('Additional Chemicals'!B213 = "", "", IF('Additional Chemicals-WUO_ERR'!A213 = "", "Validated", HYPERLINK("#" &amp; ADDRESS(213, 'Additional Chemicals-WUO_TRK'!A213),_xlfn.TEXTAFTER('Additional Chemicals-WUO_ERR'!A213, ":"))))</f>
        <v/>
      </c>
    </row>
    <row r="214">
      <c r="A214" s="39">
        <f>IF('Additional Chemicals'!B214 = "", "", IF('Additional Chemicals-WUO_ERR'!A214 = "", "Validated", HYPERLINK("#" &amp; ADDRESS(214, 'Additional Chemicals-WUO_TRK'!A214),_xlfn.TEXTAFTER('Additional Chemicals-WUO_ERR'!A214, ":"))))</f>
        <v/>
      </c>
    </row>
    <row r="215">
      <c r="A215" s="39">
        <f>IF('Additional Chemicals'!B215 = "", "", IF('Additional Chemicals-WUO_ERR'!A215 = "", "Validated", HYPERLINK("#" &amp; ADDRESS(215, 'Additional Chemicals-WUO_TRK'!A215),_xlfn.TEXTAFTER('Additional Chemicals-WUO_ERR'!A215, ":"))))</f>
        <v/>
      </c>
    </row>
    <row r="216">
      <c r="A216" s="39">
        <f>IF('Additional Chemicals'!B216 = "", "", IF('Additional Chemicals-WUO_ERR'!A216 = "", "Validated", HYPERLINK("#" &amp; ADDRESS(216, 'Additional Chemicals-WUO_TRK'!A216),_xlfn.TEXTAFTER('Additional Chemicals-WUO_ERR'!A216, ":"))))</f>
        <v/>
      </c>
    </row>
    <row r="217">
      <c r="A217" s="39">
        <f>IF('Additional Chemicals'!B217 = "", "", IF('Additional Chemicals-WUO_ERR'!A217 = "", "Validated", HYPERLINK("#" &amp; ADDRESS(217, 'Additional Chemicals-WUO_TRK'!A217),_xlfn.TEXTAFTER('Additional Chemicals-WUO_ERR'!A217, ":"))))</f>
        <v/>
      </c>
    </row>
    <row r="218">
      <c r="A218" s="39">
        <f>IF('Additional Chemicals'!B218 = "", "", IF('Additional Chemicals-WUO_ERR'!A218 = "", "Validated", HYPERLINK("#" &amp; ADDRESS(218, 'Additional Chemicals-WUO_TRK'!A218),_xlfn.TEXTAFTER('Additional Chemicals-WUO_ERR'!A218, ":"))))</f>
        <v/>
      </c>
    </row>
    <row r="219">
      <c r="A219" s="39">
        <f>IF('Additional Chemicals'!B219 = "", "", IF('Additional Chemicals-WUO_ERR'!A219 = "", "Validated", HYPERLINK("#" &amp; ADDRESS(219, 'Additional Chemicals-WUO_TRK'!A219),_xlfn.TEXTAFTER('Additional Chemicals-WUO_ERR'!A219, ":"))))</f>
        <v/>
      </c>
    </row>
    <row r="220">
      <c r="A220" s="39">
        <f>IF('Additional Chemicals'!B220 = "", "", IF('Additional Chemicals-WUO_ERR'!A220 = "", "Validated", HYPERLINK("#" &amp; ADDRESS(220, 'Additional Chemicals-WUO_TRK'!A220),_xlfn.TEXTAFTER('Additional Chemicals-WUO_ERR'!A220, ":"))))</f>
        <v/>
      </c>
    </row>
    <row r="221">
      <c r="A221" s="39">
        <f>IF('Additional Chemicals'!B221 = "", "", IF('Additional Chemicals-WUO_ERR'!A221 = "", "Validated", HYPERLINK("#" &amp; ADDRESS(221, 'Additional Chemicals-WUO_TRK'!A221),_xlfn.TEXTAFTER('Additional Chemicals-WUO_ERR'!A221, ":"))))</f>
        <v/>
      </c>
    </row>
    <row r="222">
      <c r="A222" s="39">
        <f>IF('Additional Chemicals'!B222 = "", "", IF('Additional Chemicals-WUO_ERR'!A222 = "", "Validated", HYPERLINK("#" &amp; ADDRESS(222, 'Additional Chemicals-WUO_TRK'!A222),_xlfn.TEXTAFTER('Additional Chemicals-WUO_ERR'!A222, ":"))))</f>
        <v/>
      </c>
    </row>
    <row r="223">
      <c r="A223" s="39">
        <f>IF('Additional Chemicals'!B223 = "", "", IF('Additional Chemicals-WUO_ERR'!A223 = "", "Validated", HYPERLINK("#" &amp; ADDRESS(223, 'Additional Chemicals-WUO_TRK'!A223),_xlfn.TEXTAFTER('Additional Chemicals-WUO_ERR'!A223, ":"))))</f>
        <v/>
      </c>
    </row>
    <row r="224">
      <c r="A224" s="39">
        <f>IF('Additional Chemicals'!B224 = "", "", IF('Additional Chemicals-WUO_ERR'!A224 = "", "Validated", HYPERLINK("#" &amp; ADDRESS(224, 'Additional Chemicals-WUO_TRK'!A224),_xlfn.TEXTAFTER('Additional Chemicals-WUO_ERR'!A224, ":"))))</f>
        <v/>
      </c>
    </row>
    <row r="225">
      <c r="A225" s="39">
        <f>IF('Additional Chemicals'!B225 = "", "", IF('Additional Chemicals-WUO_ERR'!A225 = "", "Validated", HYPERLINK("#" &amp; ADDRESS(225, 'Additional Chemicals-WUO_TRK'!A225),_xlfn.TEXTAFTER('Additional Chemicals-WUO_ERR'!A225, ":"))))</f>
        <v/>
      </c>
    </row>
    <row r="226">
      <c r="A226" s="39">
        <f>IF('Additional Chemicals'!B226 = "", "", IF('Additional Chemicals-WUO_ERR'!A226 = "", "Validated", HYPERLINK("#" &amp; ADDRESS(226, 'Additional Chemicals-WUO_TRK'!A226),_xlfn.TEXTAFTER('Additional Chemicals-WUO_ERR'!A226, ":"))))</f>
        <v/>
      </c>
    </row>
    <row r="227">
      <c r="A227" s="39">
        <f>IF('Additional Chemicals'!B227 = "", "", IF('Additional Chemicals-WUO_ERR'!A227 = "", "Validated", HYPERLINK("#" &amp; ADDRESS(227, 'Additional Chemicals-WUO_TRK'!A227),_xlfn.TEXTAFTER('Additional Chemicals-WUO_ERR'!A227, ":"))))</f>
        <v/>
      </c>
    </row>
    <row r="228">
      <c r="A228" s="39">
        <f>IF('Additional Chemicals'!B228 = "", "", IF('Additional Chemicals-WUO_ERR'!A228 = "", "Validated", HYPERLINK("#" &amp; ADDRESS(228, 'Additional Chemicals-WUO_TRK'!A228),_xlfn.TEXTAFTER('Additional Chemicals-WUO_ERR'!A228, ":"))))</f>
        <v/>
      </c>
    </row>
    <row r="229">
      <c r="A229" s="39">
        <f>IF('Additional Chemicals'!B229 = "", "", IF('Additional Chemicals-WUO_ERR'!A229 = "", "Validated", HYPERLINK("#" &amp; ADDRESS(229, 'Additional Chemicals-WUO_TRK'!A229),_xlfn.TEXTAFTER('Additional Chemicals-WUO_ERR'!A229, ":"))))</f>
        <v/>
      </c>
    </row>
    <row r="230">
      <c r="A230" s="39">
        <f>IF('Additional Chemicals'!B230 = "", "", IF('Additional Chemicals-WUO_ERR'!A230 = "", "Validated", HYPERLINK("#" &amp; ADDRESS(230, 'Additional Chemicals-WUO_TRK'!A230),_xlfn.TEXTAFTER('Additional Chemicals-WUO_ERR'!A230, ":"))))</f>
        <v/>
      </c>
    </row>
    <row r="231">
      <c r="A231" s="39">
        <f>IF('Additional Chemicals'!B231 = "", "", IF('Additional Chemicals-WUO_ERR'!A231 = "", "Validated", HYPERLINK("#" &amp; ADDRESS(231, 'Additional Chemicals-WUO_TRK'!A231),_xlfn.TEXTAFTER('Additional Chemicals-WUO_ERR'!A231, ":"))))</f>
        <v/>
      </c>
    </row>
    <row r="232">
      <c r="A232" s="39">
        <f>IF('Additional Chemicals'!B232 = "", "", IF('Additional Chemicals-WUO_ERR'!A232 = "", "Validated", HYPERLINK("#" &amp; ADDRESS(232, 'Additional Chemicals-WUO_TRK'!A232),_xlfn.TEXTAFTER('Additional Chemicals-WUO_ERR'!A232, ":"))))</f>
        <v/>
      </c>
    </row>
    <row r="233">
      <c r="A233" s="39">
        <f>IF('Additional Chemicals'!B233 = "", "", IF('Additional Chemicals-WUO_ERR'!A233 = "", "Validated", HYPERLINK("#" &amp; ADDRESS(233, 'Additional Chemicals-WUO_TRK'!A233),_xlfn.TEXTAFTER('Additional Chemicals-WUO_ERR'!A233, ":"))))</f>
        <v/>
      </c>
    </row>
    <row r="234">
      <c r="A234" s="39">
        <f>IF('Additional Chemicals'!B234 = "", "", IF('Additional Chemicals-WUO_ERR'!A234 = "", "Validated", HYPERLINK("#" &amp; ADDRESS(234, 'Additional Chemicals-WUO_TRK'!A234),_xlfn.TEXTAFTER('Additional Chemicals-WUO_ERR'!A234, ":"))))</f>
        <v/>
      </c>
    </row>
    <row r="235">
      <c r="A235" s="39">
        <f>IF('Additional Chemicals'!B235 = "", "", IF('Additional Chemicals-WUO_ERR'!A235 = "", "Validated", HYPERLINK("#" &amp; ADDRESS(235, 'Additional Chemicals-WUO_TRK'!A235),_xlfn.TEXTAFTER('Additional Chemicals-WUO_ERR'!A235, ":"))))</f>
        <v/>
      </c>
    </row>
    <row r="236">
      <c r="A236" s="39">
        <f>IF('Additional Chemicals'!B236 = "", "", IF('Additional Chemicals-WUO_ERR'!A236 = "", "Validated", HYPERLINK("#" &amp; ADDRESS(236, 'Additional Chemicals-WUO_TRK'!A236),_xlfn.TEXTAFTER('Additional Chemicals-WUO_ERR'!A236, ":"))))</f>
        <v/>
      </c>
    </row>
    <row r="237">
      <c r="A237" s="39">
        <f>IF('Additional Chemicals'!B237 = "", "", IF('Additional Chemicals-WUO_ERR'!A237 = "", "Validated", HYPERLINK("#" &amp; ADDRESS(237, 'Additional Chemicals-WUO_TRK'!A237),_xlfn.TEXTAFTER('Additional Chemicals-WUO_ERR'!A237, ":"))))</f>
        <v/>
      </c>
    </row>
    <row r="238">
      <c r="A238" s="39">
        <f>IF('Additional Chemicals'!B238 = "", "", IF('Additional Chemicals-WUO_ERR'!A238 = "", "Validated", HYPERLINK("#" &amp; ADDRESS(238, 'Additional Chemicals-WUO_TRK'!A238),_xlfn.TEXTAFTER('Additional Chemicals-WUO_ERR'!A238, ":"))))</f>
        <v/>
      </c>
    </row>
    <row r="239">
      <c r="A239" s="39">
        <f>IF('Additional Chemicals'!B239 = "", "", IF('Additional Chemicals-WUO_ERR'!A239 = "", "Validated", HYPERLINK("#" &amp; ADDRESS(239, 'Additional Chemicals-WUO_TRK'!A239),_xlfn.TEXTAFTER('Additional Chemicals-WUO_ERR'!A239, ":"))))</f>
        <v/>
      </c>
    </row>
    <row r="240">
      <c r="A240" s="39">
        <f>IF('Additional Chemicals'!B240 = "", "", IF('Additional Chemicals-WUO_ERR'!A240 = "", "Validated", HYPERLINK("#" &amp; ADDRESS(240, 'Additional Chemicals-WUO_TRK'!A240),_xlfn.TEXTAFTER('Additional Chemicals-WUO_ERR'!A240, ":"))))</f>
        <v/>
      </c>
    </row>
    <row r="241">
      <c r="A241" s="39">
        <f>IF('Additional Chemicals'!B241 = "", "", IF('Additional Chemicals-WUO_ERR'!A241 = "", "Validated", HYPERLINK("#" &amp; ADDRESS(241, 'Additional Chemicals-WUO_TRK'!A241),_xlfn.TEXTAFTER('Additional Chemicals-WUO_ERR'!A241, ":"))))</f>
        <v/>
      </c>
    </row>
    <row r="242">
      <c r="A242" s="39">
        <f>IF('Additional Chemicals'!B242 = "", "", IF('Additional Chemicals-WUO_ERR'!A242 = "", "Validated", HYPERLINK("#" &amp; ADDRESS(242, 'Additional Chemicals-WUO_TRK'!A242),_xlfn.TEXTAFTER('Additional Chemicals-WUO_ERR'!A242, ":"))))</f>
        <v/>
      </c>
    </row>
    <row r="243">
      <c r="A243" s="39">
        <f>IF('Additional Chemicals'!B243 = "", "", IF('Additional Chemicals-WUO_ERR'!A243 = "", "Validated", HYPERLINK("#" &amp; ADDRESS(243, 'Additional Chemicals-WUO_TRK'!A243),_xlfn.TEXTAFTER('Additional Chemicals-WUO_ERR'!A243, ":"))))</f>
        <v/>
      </c>
    </row>
    <row r="244">
      <c r="A244" s="39">
        <f>IF('Additional Chemicals'!B244 = "", "", IF('Additional Chemicals-WUO_ERR'!A244 = "", "Validated", HYPERLINK("#" &amp; ADDRESS(244, 'Additional Chemicals-WUO_TRK'!A244),_xlfn.TEXTAFTER('Additional Chemicals-WUO_ERR'!A244, ":"))))</f>
        <v/>
      </c>
    </row>
    <row r="245">
      <c r="A245" s="39">
        <f>IF('Additional Chemicals'!B245 = "", "", IF('Additional Chemicals-WUO_ERR'!A245 = "", "Validated", HYPERLINK("#" &amp; ADDRESS(245, 'Additional Chemicals-WUO_TRK'!A245),_xlfn.TEXTAFTER('Additional Chemicals-WUO_ERR'!A245, ":"))))</f>
        <v/>
      </c>
    </row>
    <row r="246">
      <c r="A246" s="39">
        <f>IF('Additional Chemicals'!B246 = "", "", IF('Additional Chemicals-WUO_ERR'!A246 = "", "Validated", HYPERLINK("#" &amp; ADDRESS(246, 'Additional Chemicals-WUO_TRK'!A246),_xlfn.TEXTAFTER('Additional Chemicals-WUO_ERR'!A246, ":"))))</f>
        <v/>
      </c>
    </row>
    <row r="247">
      <c r="A247" s="39">
        <f>IF('Additional Chemicals'!B247 = "", "", IF('Additional Chemicals-WUO_ERR'!A247 = "", "Validated", HYPERLINK("#" &amp; ADDRESS(247, 'Additional Chemicals-WUO_TRK'!A247),_xlfn.TEXTAFTER('Additional Chemicals-WUO_ERR'!A247, ":"))))</f>
        <v/>
      </c>
    </row>
    <row r="248">
      <c r="A248" s="39">
        <f>IF('Additional Chemicals'!B248 = "", "", IF('Additional Chemicals-WUO_ERR'!A248 = "", "Validated", HYPERLINK("#" &amp; ADDRESS(248, 'Additional Chemicals-WUO_TRK'!A248),_xlfn.TEXTAFTER('Additional Chemicals-WUO_ERR'!A248, ":"))))</f>
        <v/>
      </c>
    </row>
    <row r="249">
      <c r="A249" s="39">
        <f>IF('Additional Chemicals'!B249 = "", "", IF('Additional Chemicals-WUO_ERR'!A249 = "", "Validated", HYPERLINK("#" &amp; ADDRESS(249, 'Additional Chemicals-WUO_TRK'!A249),_xlfn.TEXTAFTER('Additional Chemicals-WUO_ERR'!A249, ":"))))</f>
        <v/>
      </c>
    </row>
    <row r="250">
      <c r="A250" s="39">
        <f>IF('Additional Chemicals'!B250 = "", "", IF('Additional Chemicals-WUO_ERR'!A250 = "", "Validated", HYPERLINK("#" &amp; ADDRESS(250, 'Additional Chemicals-WUO_TRK'!A250),_xlfn.TEXTAFTER('Additional Chemicals-WUO_ERR'!A250, ":"))))</f>
        <v/>
      </c>
    </row>
    <row r="251">
      <c r="A251" s="39">
        <f>IF('Additional Chemicals'!B251 = "", "", IF('Additional Chemicals-WUO_ERR'!A251 = "", "Validated", HYPERLINK("#" &amp; ADDRESS(251, 'Additional Chemicals-WUO_TRK'!A251),_xlfn.TEXTAFTER('Additional Chemicals-WUO_ERR'!A251, ":"))))</f>
        <v/>
      </c>
    </row>
    <row r="252">
      <c r="A252" s="39">
        <f>IF('Additional Chemicals'!B252 = "", "", IF('Additional Chemicals-WUO_ERR'!A252 = "", "Validated", HYPERLINK("#" &amp; ADDRESS(252, 'Additional Chemicals-WUO_TRK'!A252),_xlfn.TEXTAFTER('Additional Chemicals-WUO_ERR'!A252, ":"))))</f>
        <v/>
      </c>
    </row>
    <row r="253">
      <c r="A253" s="39">
        <f>IF('Additional Chemicals'!B253 = "", "", IF('Additional Chemicals-WUO_ERR'!A253 = "", "Validated", HYPERLINK("#" &amp; ADDRESS(253, 'Additional Chemicals-WUO_TRK'!A253),_xlfn.TEXTAFTER('Additional Chemicals-WUO_ERR'!A253, ":"))))</f>
        <v/>
      </c>
    </row>
    <row r="254">
      <c r="A254" s="39">
        <f>IF('Additional Chemicals'!B254 = "", "", IF('Additional Chemicals-WUO_ERR'!A254 = "", "Validated", HYPERLINK("#" &amp; ADDRESS(254, 'Additional Chemicals-WUO_TRK'!A254),_xlfn.TEXTAFTER('Additional Chemicals-WUO_ERR'!A254, ":"))))</f>
        <v/>
      </c>
    </row>
    <row r="255">
      <c r="A255" s="39">
        <f>IF('Additional Chemicals'!B255 = "", "", IF('Additional Chemicals-WUO_ERR'!A255 = "", "Validated", HYPERLINK("#" &amp; ADDRESS(255, 'Additional Chemicals-WUO_TRK'!A255),_xlfn.TEXTAFTER('Additional Chemicals-WUO_ERR'!A255, ":"))))</f>
        <v/>
      </c>
    </row>
    <row r="256">
      <c r="A256" s="39">
        <f>IF('Additional Chemicals'!B256 = "", "", IF('Additional Chemicals-WUO_ERR'!A256 = "", "Validated", HYPERLINK("#" &amp; ADDRESS(256, 'Additional Chemicals-WUO_TRK'!A256),_xlfn.TEXTAFTER('Additional Chemicals-WUO_ERR'!A256, ":"))))</f>
        <v/>
      </c>
    </row>
    <row r="257">
      <c r="A257" s="39">
        <f>IF('Additional Chemicals'!B257 = "", "", IF('Additional Chemicals-WUO_ERR'!A257 = "", "Validated", HYPERLINK("#" &amp; ADDRESS(257, 'Additional Chemicals-WUO_TRK'!A257),_xlfn.TEXTAFTER('Additional Chemicals-WUO_ERR'!A257, ":"))))</f>
        <v/>
      </c>
    </row>
    <row r="258">
      <c r="A258" s="39">
        <f>IF('Additional Chemicals'!B258 = "", "", IF('Additional Chemicals-WUO_ERR'!A258 = "", "Validated", HYPERLINK("#" &amp; ADDRESS(258, 'Additional Chemicals-WUO_TRK'!A258),_xlfn.TEXTAFTER('Additional Chemicals-WUO_ERR'!A258, ":"))))</f>
        <v/>
      </c>
    </row>
    <row r="259">
      <c r="A259" s="39">
        <f>IF('Additional Chemicals'!B259 = "", "", IF('Additional Chemicals-WUO_ERR'!A259 = "", "Validated", HYPERLINK("#" &amp; ADDRESS(259, 'Additional Chemicals-WUO_TRK'!A259),_xlfn.TEXTAFTER('Additional Chemicals-WUO_ERR'!A259, ":"))))</f>
        <v/>
      </c>
    </row>
    <row r="260">
      <c r="A260" s="39">
        <f>IF('Additional Chemicals'!B260 = "", "", IF('Additional Chemicals-WUO_ERR'!A260 = "", "Validated", HYPERLINK("#" &amp; ADDRESS(260, 'Additional Chemicals-WUO_TRK'!A260),_xlfn.TEXTAFTER('Additional Chemicals-WUO_ERR'!A260, ":"))))</f>
        <v/>
      </c>
    </row>
    <row r="261">
      <c r="A261" s="39">
        <f>IF('Additional Chemicals'!B261 = "", "", IF('Additional Chemicals-WUO_ERR'!A261 = "", "Validated", HYPERLINK("#" &amp; ADDRESS(261, 'Additional Chemicals-WUO_TRK'!A261),_xlfn.TEXTAFTER('Additional Chemicals-WUO_ERR'!A261, ":"))))</f>
        <v/>
      </c>
    </row>
    <row r="262">
      <c r="A262" s="39">
        <f>IF('Additional Chemicals'!B262 = "", "", IF('Additional Chemicals-WUO_ERR'!A262 = "", "Validated", HYPERLINK("#" &amp; ADDRESS(262, 'Additional Chemicals-WUO_TRK'!A262),_xlfn.TEXTAFTER('Additional Chemicals-WUO_ERR'!A262, ":"))))</f>
        <v/>
      </c>
    </row>
    <row r="263">
      <c r="A263" s="39">
        <f>IF('Additional Chemicals'!B263 = "", "", IF('Additional Chemicals-WUO_ERR'!A263 = "", "Validated", HYPERLINK("#" &amp; ADDRESS(263, 'Additional Chemicals-WUO_TRK'!A263),_xlfn.TEXTAFTER('Additional Chemicals-WUO_ERR'!A263, ":"))))</f>
        <v/>
      </c>
    </row>
    <row r="264">
      <c r="A264" s="39">
        <f>IF('Additional Chemicals'!B264 = "", "", IF('Additional Chemicals-WUO_ERR'!A264 = "", "Validated", HYPERLINK("#" &amp; ADDRESS(264, 'Additional Chemicals-WUO_TRK'!A264),_xlfn.TEXTAFTER('Additional Chemicals-WUO_ERR'!A264, ":"))))</f>
        <v/>
      </c>
    </row>
    <row r="265">
      <c r="A265" s="39">
        <f>IF('Additional Chemicals'!B265 = "", "", IF('Additional Chemicals-WUO_ERR'!A265 = "", "Validated", HYPERLINK("#" &amp; ADDRESS(265, 'Additional Chemicals-WUO_TRK'!A265),_xlfn.TEXTAFTER('Additional Chemicals-WUO_ERR'!A265, ":"))))</f>
        <v/>
      </c>
    </row>
    <row r="266">
      <c r="A266" s="39">
        <f>IF('Additional Chemicals'!B266 = "", "", IF('Additional Chemicals-WUO_ERR'!A266 = "", "Validated", HYPERLINK("#" &amp; ADDRESS(266, 'Additional Chemicals-WUO_TRK'!A266),_xlfn.TEXTAFTER('Additional Chemicals-WUO_ERR'!A266, ":"))))</f>
        <v/>
      </c>
    </row>
    <row r="267">
      <c r="A267" s="39">
        <f>IF('Additional Chemicals'!B267 = "", "", IF('Additional Chemicals-WUO_ERR'!A267 = "", "Validated", HYPERLINK("#" &amp; ADDRESS(267, 'Additional Chemicals-WUO_TRK'!A267),_xlfn.TEXTAFTER('Additional Chemicals-WUO_ERR'!A267, ":"))))</f>
        <v/>
      </c>
    </row>
    <row r="268">
      <c r="A268" s="39">
        <f>IF('Additional Chemicals'!B268 = "", "", IF('Additional Chemicals-WUO_ERR'!A268 = "", "Validated", HYPERLINK("#" &amp; ADDRESS(268, 'Additional Chemicals-WUO_TRK'!A268),_xlfn.TEXTAFTER('Additional Chemicals-WUO_ERR'!A268, ":"))))</f>
        <v/>
      </c>
    </row>
    <row r="269">
      <c r="A269" s="39">
        <f>IF('Additional Chemicals'!B269 = "", "", IF('Additional Chemicals-WUO_ERR'!A269 = "", "Validated", HYPERLINK("#" &amp; ADDRESS(269, 'Additional Chemicals-WUO_TRK'!A269),_xlfn.TEXTAFTER('Additional Chemicals-WUO_ERR'!A269, ":"))))</f>
        <v/>
      </c>
    </row>
    <row r="270">
      <c r="A270" s="39">
        <f>IF('Additional Chemicals'!B270 = "", "", IF('Additional Chemicals-WUO_ERR'!A270 = "", "Validated", HYPERLINK("#" &amp; ADDRESS(270, 'Additional Chemicals-WUO_TRK'!A270),_xlfn.TEXTAFTER('Additional Chemicals-WUO_ERR'!A270, ":"))))</f>
        <v/>
      </c>
    </row>
    <row r="271">
      <c r="A271" s="39">
        <f>IF('Additional Chemicals'!B271 = "", "", IF('Additional Chemicals-WUO_ERR'!A271 = "", "Validated", HYPERLINK("#" &amp; ADDRESS(271, 'Additional Chemicals-WUO_TRK'!A271),_xlfn.TEXTAFTER('Additional Chemicals-WUO_ERR'!A271, ":"))))</f>
        <v/>
      </c>
    </row>
    <row r="272">
      <c r="A272" s="39">
        <f>IF('Additional Chemicals'!B272 = "", "", IF('Additional Chemicals-WUO_ERR'!A272 = "", "Validated", HYPERLINK("#" &amp; ADDRESS(272, 'Additional Chemicals-WUO_TRK'!A272),_xlfn.TEXTAFTER('Additional Chemicals-WUO_ERR'!A272, ":"))))</f>
        <v/>
      </c>
    </row>
    <row r="273">
      <c r="A273" s="39">
        <f>IF('Additional Chemicals'!B273 = "", "", IF('Additional Chemicals-WUO_ERR'!A273 = "", "Validated", HYPERLINK("#" &amp; ADDRESS(273, 'Additional Chemicals-WUO_TRK'!A273),_xlfn.TEXTAFTER('Additional Chemicals-WUO_ERR'!A273, ":"))))</f>
        <v/>
      </c>
    </row>
    <row r="274">
      <c r="A274" s="39">
        <f>IF('Additional Chemicals'!B274 = "", "", IF('Additional Chemicals-WUO_ERR'!A274 = "", "Validated", HYPERLINK("#" &amp; ADDRESS(274, 'Additional Chemicals-WUO_TRK'!A274),_xlfn.TEXTAFTER('Additional Chemicals-WUO_ERR'!A274, ":"))))</f>
        <v/>
      </c>
    </row>
    <row r="275">
      <c r="A275" s="39">
        <f>IF('Additional Chemicals'!B275 = "", "", IF('Additional Chemicals-WUO_ERR'!A275 = "", "Validated", HYPERLINK("#" &amp; ADDRESS(275, 'Additional Chemicals-WUO_TRK'!A275),_xlfn.TEXTAFTER('Additional Chemicals-WUO_ERR'!A275, ":"))))</f>
        <v/>
      </c>
    </row>
    <row r="276">
      <c r="A276" s="39">
        <f>IF('Additional Chemicals'!B276 = "", "", IF('Additional Chemicals-WUO_ERR'!A276 = "", "Validated", HYPERLINK("#" &amp; ADDRESS(276, 'Additional Chemicals-WUO_TRK'!A276),_xlfn.TEXTAFTER('Additional Chemicals-WUO_ERR'!A276, ":"))))</f>
        <v/>
      </c>
    </row>
    <row r="277">
      <c r="A277" s="39">
        <f>IF('Additional Chemicals'!B277 = "", "", IF('Additional Chemicals-WUO_ERR'!A277 = "", "Validated", HYPERLINK("#" &amp; ADDRESS(277, 'Additional Chemicals-WUO_TRK'!A277),_xlfn.TEXTAFTER('Additional Chemicals-WUO_ERR'!A277, ":"))))</f>
        <v/>
      </c>
    </row>
    <row r="278">
      <c r="A278" s="39">
        <f>IF('Additional Chemicals'!B278 = "", "", IF('Additional Chemicals-WUO_ERR'!A278 = "", "Validated", HYPERLINK("#" &amp; ADDRESS(278, 'Additional Chemicals-WUO_TRK'!A278),_xlfn.TEXTAFTER('Additional Chemicals-WUO_ERR'!A278, ":"))))</f>
        <v/>
      </c>
    </row>
    <row r="279">
      <c r="A279" s="39">
        <f>IF('Additional Chemicals'!B279 = "", "", IF('Additional Chemicals-WUO_ERR'!A279 = "", "Validated", HYPERLINK("#" &amp; ADDRESS(279, 'Additional Chemicals-WUO_TRK'!A279),_xlfn.TEXTAFTER('Additional Chemicals-WUO_ERR'!A279, ":"))))</f>
        <v/>
      </c>
    </row>
    <row r="280">
      <c r="A280" s="39">
        <f>IF('Additional Chemicals'!B280 = "", "", IF('Additional Chemicals-WUO_ERR'!A280 = "", "Validated", HYPERLINK("#" &amp; ADDRESS(280, 'Additional Chemicals-WUO_TRK'!A280),_xlfn.TEXTAFTER('Additional Chemicals-WUO_ERR'!A280, ":"))))</f>
        <v/>
      </c>
    </row>
    <row r="281">
      <c r="A281" s="39">
        <f>IF('Additional Chemicals'!B281 = "", "", IF('Additional Chemicals-WUO_ERR'!A281 = "", "Validated", HYPERLINK("#" &amp; ADDRESS(281, 'Additional Chemicals-WUO_TRK'!A281),_xlfn.TEXTAFTER('Additional Chemicals-WUO_ERR'!A281, ":"))))</f>
        <v/>
      </c>
    </row>
    <row r="282">
      <c r="A282" s="39">
        <f>IF('Additional Chemicals'!B282 = "", "", IF('Additional Chemicals-WUO_ERR'!A282 = "", "Validated", HYPERLINK("#" &amp; ADDRESS(282, 'Additional Chemicals-WUO_TRK'!A282),_xlfn.TEXTAFTER('Additional Chemicals-WUO_ERR'!A282, ":"))))</f>
        <v/>
      </c>
    </row>
    <row r="283">
      <c r="A283" s="39">
        <f>IF('Additional Chemicals'!B283 = "", "", IF('Additional Chemicals-WUO_ERR'!A283 = "", "Validated", HYPERLINK("#" &amp; ADDRESS(283, 'Additional Chemicals-WUO_TRK'!A283),_xlfn.TEXTAFTER('Additional Chemicals-WUO_ERR'!A283, ":"))))</f>
        <v/>
      </c>
    </row>
    <row r="284">
      <c r="A284" s="39">
        <f>IF('Additional Chemicals'!B284 = "", "", IF('Additional Chemicals-WUO_ERR'!A284 = "", "Validated", HYPERLINK("#" &amp; ADDRESS(284, 'Additional Chemicals-WUO_TRK'!A284),_xlfn.TEXTAFTER('Additional Chemicals-WUO_ERR'!A284, ":"))))</f>
        <v/>
      </c>
    </row>
    <row r="285">
      <c r="A285" s="39">
        <f>IF('Additional Chemicals'!B285 = "", "", IF('Additional Chemicals-WUO_ERR'!A285 = "", "Validated", HYPERLINK("#" &amp; ADDRESS(285, 'Additional Chemicals-WUO_TRK'!A285),_xlfn.TEXTAFTER('Additional Chemicals-WUO_ERR'!A285, ":"))))</f>
        <v/>
      </c>
    </row>
    <row r="286">
      <c r="A286" s="39">
        <f>IF('Additional Chemicals'!B286 = "", "", IF('Additional Chemicals-WUO_ERR'!A286 = "", "Validated", HYPERLINK("#" &amp; ADDRESS(286, 'Additional Chemicals-WUO_TRK'!A286),_xlfn.TEXTAFTER('Additional Chemicals-WUO_ERR'!A286, ":"))))</f>
        <v/>
      </c>
    </row>
    <row r="287">
      <c r="A287" s="39">
        <f>IF('Additional Chemicals'!B287 = "", "", IF('Additional Chemicals-WUO_ERR'!A287 = "", "Validated", HYPERLINK("#" &amp; ADDRESS(287, 'Additional Chemicals-WUO_TRK'!A287),_xlfn.TEXTAFTER('Additional Chemicals-WUO_ERR'!A287, ":"))))</f>
        <v/>
      </c>
    </row>
    <row r="288">
      <c r="A288" s="39">
        <f>IF('Additional Chemicals'!B288 = "", "", IF('Additional Chemicals-WUO_ERR'!A288 = "", "Validated", HYPERLINK("#" &amp; ADDRESS(288, 'Additional Chemicals-WUO_TRK'!A288),_xlfn.TEXTAFTER('Additional Chemicals-WUO_ERR'!A288, ":"))))</f>
        <v/>
      </c>
    </row>
    <row r="289">
      <c r="A289" s="39">
        <f>IF('Additional Chemicals'!B289 = "", "", IF('Additional Chemicals-WUO_ERR'!A289 = "", "Validated", HYPERLINK("#" &amp; ADDRESS(289, 'Additional Chemicals-WUO_TRK'!A289),_xlfn.TEXTAFTER('Additional Chemicals-WUO_ERR'!A289, ":"))))</f>
        <v/>
      </c>
    </row>
    <row r="290">
      <c r="A290" s="39">
        <f>IF('Additional Chemicals'!B290 = "", "", IF('Additional Chemicals-WUO_ERR'!A290 = "", "Validated", HYPERLINK("#" &amp; ADDRESS(290, 'Additional Chemicals-WUO_TRK'!A290),_xlfn.TEXTAFTER('Additional Chemicals-WUO_ERR'!A290, ":"))))</f>
        <v/>
      </c>
    </row>
    <row r="291">
      <c r="A291" s="39">
        <f>IF('Additional Chemicals'!B291 = "", "", IF('Additional Chemicals-WUO_ERR'!A291 = "", "Validated", HYPERLINK("#" &amp; ADDRESS(291, 'Additional Chemicals-WUO_TRK'!A291),_xlfn.TEXTAFTER('Additional Chemicals-WUO_ERR'!A291, ":"))))</f>
        <v/>
      </c>
    </row>
    <row r="292">
      <c r="A292" s="39">
        <f>IF('Additional Chemicals'!B292 = "", "", IF('Additional Chemicals-WUO_ERR'!A292 = "", "Validated", HYPERLINK("#" &amp; ADDRESS(292, 'Additional Chemicals-WUO_TRK'!A292),_xlfn.TEXTAFTER('Additional Chemicals-WUO_ERR'!A292, ":"))))</f>
        <v/>
      </c>
    </row>
    <row r="293">
      <c r="A293" s="39">
        <f>IF('Additional Chemicals'!B293 = "", "", IF('Additional Chemicals-WUO_ERR'!A293 = "", "Validated", HYPERLINK("#" &amp; ADDRESS(293, 'Additional Chemicals-WUO_TRK'!A293),_xlfn.TEXTAFTER('Additional Chemicals-WUO_ERR'!A293, ":"))))</f>
        <v/>
      </c>
    </row>
    <row r="294">
      <c r="A294" s="39">
        <f>IF('Additional Chemicals'!B294 = "", "", IF('Additional Chemicals-WUO_ERR'!A294 = "", "Validated", HYPERLINK("#" &amp; ADDRESS(294, 'Additional Chemicals-WUO_TRK'!A294),_xlfn.TEXTAFTER('Additional Chemicals-WUO_ERR'!A294, ":"))))</f>
        <v/>
      </c>
    </row>
    <row r="295">
      <c r="A295" s="39">
        <f>IF('Additional Chemicals'!B295 = "", "", IF('Additional Chemicals-WUO_ERR'!A295 = "", "Validated", HYPERLINK("#" &amp; ADDRESS(295, 'Additional Chemicals-WUO_TRK'!A295),_xlfn.TEXTAFTER('Additional Chemicals-WUO_ERR'!A295, ":"))))</f>
        <v/>
      </c>
    </row>
    <row r="296">
      <c r="A296" s="39">
        <f>IF('Additional Chemicals'!B296 = "", "", IF('Additional Chemicals-WUO_ERR'!A296 = "", "Validated", HYPERLINK("#" &amp; ADDRESS(296, 'Additional Chemicals-WUO_TRK'!A296),_xlfn.TEXTAFTER('Additional Chemicals-WUO_ERR'!A296, ":"))))</f>
        <v/>
      </c>
    </row>
    <row r="297">
      <c r="A297" s="39">
        <f>IF('Additional Chemicals'!B297 = "", "", IF('Additional Chemicals-WUO_ERR'!A297 = "", "Validated", HYPERLINK("#" &amp; ADDRESS(297, 'Additional Chemicals-WUO_TRK'!A297),_xlfn.TEXTAFTER('Additional Chemicals-WUO_ERR'!A297, ":"))))</f>
        <v/>
      </c>
    </row>
    <row r="298">
      <c r="A298" s="39">
        <f>IF('Additional Chemicals'!B298 = "", "", IF('Additional Chemicals-WUO_ERR'!A298 = "", "Validated", HYPERLINK("#" &amp; ADDRESS(298, 'Additional Chemicals-WUO_TRK'!A298),_xlfn.TEXTAFTER('Additional Chemicals-WUO_ERR'!A298, ":"))))</f>
        <v/>
      </c>
    </row>
    <row r="299">
      <c r="A299" s="39">
        <f>IF('Additional Chemicals'!B299 = "", "", IF('Additional Chemicals-WUO_ERR'!A299 = "", "Validated", HYPERLINK("#" &amp; ADDRESS(299, 'Additional Chemicals-WUO_TRK'!A299),_xlfn.TEXTAFTER('Additional Chemicals-WUO_ERR'!A299, ":"))))</f>
        <v/>
      </c>
    </row>
    <row r="300">
      <c r="A300" s="39">
        <f>IF('Additional Chemicals'!B300 = "", "", IF('Additional Chemicals-WUO_ERR'!A300 = "", "Validated", HYPERLINK("#" &amp; ADDRESS(300, 'Additional Chemicals-WUO_TRK'!A300),_xlfn.TEXTAFTER('Additional Chemicals-WUO_ERR'!A300, ":"))))</f>
        <v/>
      </c>
    </row>
    <row r="301">
      <c r="A301" s="39">
        <f>IF('Additional Chemicals'!B301 = "", "", IF('Additional Chemicals-WUO_ERR'!A301 = "", "Validated", HYPERLINK("#" &amp; ADDRESS(301, 'Additional Chemicals-WUO_TRK'!A301),_xlfn.TEXTAFTER('Additional Chemicals-WUO_ERR'!A301, ":"))))</f>
        <v/>
      </c>
    </row>
    <row r="302">
      <c r="A302" s="39">
        <f>IF('Additional Chemicals'!B302 = "", "", IF('Additional Chemicals-WUO_ERR'!A302 = "", "Validated", HYPERLINK("#" &amp; ADDRESS(302, 'Additional Chemicals-WUO_TRK'!A302),_xlfn.TEXTAFTER('Additional Chemicals-WUO_ERR'!A302, ":"))))</f>
        <v/>
      </c>
    </row>
    <row r="303">
      <c r="A303" s="39">
        <f>IF('Additional Chemicals'!B303 = "", "", IF('Additional Chemicals-WUO_ERR'!A303 = "", "Validated", HYPERLINK("#" &amp; ADDRESS(303, 'Additional Chemicals-WUO_TRK'!A303),_xlfn.TEXTAFTER('Additional Chemicals-WUO_ERR'!A303, ":"))))</f>
        <v/>
      </c>
    </row>
    <row r="304">
      <c r="A304" s="39">
        <f>IF('Additional Chemicals'!B304 = "", "", IF('Additional Chemicals-WUO_ERR'!A304 = "", "Validated", HYPERLINK("#" &amp; ADDRESS(304, 'Additional Chemicals-WUO_TRK'!A304),_xlfn.TEXTAFTER('Additional Chemicals-WUO_ERR'!A304, ":"))))</f>
        <v/>
      </c>
    </row>
    <row r="305">
      <c r="A305" s="39">
        <f>IF('Additional Chemicals'!B305 = "", "", IF('Additional Chemicals-WUO_ERR'!A305 = "", "Validated", HYPERLINK("#" &amp; ADDRESS(305, 'Additional Chemicals-WUO_TRK'!A305),_xlfn.TEXTAFTER('Additional Chemicals-WUO_ERR'!A305, ":"))))</f>
        <v/>
      </c>
    </row>
    <row r="306">
      <c r="A306" s="39">
        <f>IF('Additional Chemicals'!B306 = "", "", IF('Additional Chemicals-WUO_ERR'!A306 = "", "Validated", HYPERLINK("#" &amp; ADDRESS(306, 'Additional Chemicals-WUO_TRK'!A306),_xlfn.TEXTAFTER('Additional Chemicals-WUO_ERR'!A306, ":"))))</f>
        <v/>
      </c>
    </row>
    <row r="307">
      <c r="A307" s="39">
        <f>IF('Additional Chemicals'!B307 = "", "", IF('Additional Chemicals-WUO_ERR'!A307 = "", "Validated", HYPERLINK("#" &amp; ADDRESS(307, 'Additional Chemicals-WUO_TRK'!A307),_xlfn.TEXTAFTER('Additional Chemicals-WUO_ERR'!A307, ":"))))</f>
        <v/>
      </c>
    </row>
    <row r="308">
      <c r="A308" s="39">
        <f>IF('Additional Chemicals'!B308 = "", "", IF('Additional Chemicals-WUO_ERR'!A308 = "", "Validated", HYPERLINK("#" &amp; ADDRESS(308, 'Additional Chemicals-WUO_TRK'!A308),_xlfn.TEXTAFTER('Additional Chemicals-WUO_ERR'!A308, ":"))))</f>
        <v/>
      </c>
    </row>
    <row r="309">
      <c r="A309" s="39">
        <f>IF('Additional Chemicals'!B309 = "", "", IF('Additional Chemicals-WUO_ERR'!A309 = "", "Validated", HYPERLINK("#" &amp; ADDRESS(309, 'Additional Chemicals-WUO_TRK'!A309),_xlfn.TEXTAFTER('Additional Chemicals-WUO_ERR'!A309, ":"))))</f>
        <v/>
      </c>
    </row>
    <row r="310">
      <c r="A310" s="39">
        <f>IF('Additional Chemicals'!B310 = "", "", IF('Additional Chemicals-WUO_ERR'!A310 = "", "Validated", HYPERLINK("#" &amp; ADDRESS(310, 'Additional Chemicals-WUO_TRK'!A310),_xlfn.TEXTAFTER('Additional Chemicals-WUO_ERR'!A310, ":"))))</f>
        <v/>
      </c>
    </row>
    <row r="311">
      <c r="A311" s="39">
        <f>IF('Additional Chemicals'!B311 = "", "", IF('Additional Chemicals-WUO_ERR'!A311 = "", "Validated", HYPERLINK("#" &amp; ADDRESS(311, 'Additional Chemicals-WUO_TRK'!A311),_xlfn.TEXTAFTER('Additional Chemicals-WUO_ERR'!A311, ":"))))</f>
        <v/>
      </c>
    </row>
    <row r="312">
      <c r="A312" s="39">
        <f>IF('Additional Chemicals'!B312 = "", "", IF('Additional Chemicals-WUO_ERR'!A312 = "", "Validated", HYPERLINK("#" &amp; ADDRESS(312, 'Additional Chemicals-WUO_TRK'!A312),_xlfn.TEXTAFTER('Additional Chemicals-WUO_ERR'!A312, ":"))))</f>
        <v/>
      </c>
    </row>
    <row r="313">
      <c r="A313" s="39">
        <f>IF('Additional Chemicals'!B313 = "", "", IF('Additional Chemicals-WUO_ERR'!A313 = "", "Validated", HYPERLINK("#" &amp; ADDRESS(313, 'Additional Chemicals-WUO_TRK'!A313),_xlfn.TEXTAFTER('Additional Chemicals-WUO_ERR'!A313, ":"))))</f>
        <v/>
      </c>
    </row>
    <row r="314">
      <c r="A314" s="39">
        <f>IF('Additional Chemicals'!B314 = "", "", IF('Additional Chemicals-WUO_ERR'!A314 = "", "Validated", HYPERLINK("#" &amp; ADDRESS(314, 'Additional Chemicals-WUO_TRK'!A314),_xlfn.TEXTAFTER('Additional Chemicals-WUO_ERR'!A314, ":"))))</f>
        <v/>
      </c>
    </row>
    <row r="315">
      <c r="A315" s="39">
        <f>IF('Additional Chemicals'!B315 = "", "", IF('Additional Chemicals-WUO_ERR'!A315 = "", "Validated", HYPERLINK("#" &amp; ADDRESS(315, 'Additional Chemicals-WUO_TRK'!A315),_xlfn.TEXTAFTER('Additional Chemicals-WUO_ERR'!A315, ":"))))</f>
        <v/>
      </c>
    </row>
    <row r="316">
      <c r="A316" s="39">
        <f>IF('Additional Chemicals'!B316 = "", "", IF('Additional Chemicals-WUO_ERR'!A316 = "", "Validated", HYPERLINK("#" &amp; ADDRESS(316, 'Additional Chemicals-WUO_TRK'!A316),_xlfn.TEXTAFTER('Additional Chemicals-WUO_ERR'!A316, ":"))))</f>
        <v/>
      </c>
    </row>
    <row r="317">
      <c r="A317" s="39">
        <f>IF('Additional Chemicals'!B317 = "", "", IF('Additional Chemicals-WUO_ERR'!A317 = "", "Validated", HYPERLINK("#" &amp; ADDRESS(317, 'Additional Chemicals-WUO_TRK'!A317),_xlfn.TEXTAFTER('Additional Chemicals-WUO_ERR'!A317, ":"))))</f>
        <v/>
      </c>
    </row>
    <row r="318">
      <c r="A318" s="39">
        <f>IF('Additional Chemicals'!B318 = "", "", IF('Additional Chemicals-WUO_ERR'!A318 = "", "Validated", HYPERLINK("#" &amp; ADDRESS(318, 'Additional Chemicals-WUO_TRK'!A318),_xlfn.TEXTAFTER('Additional Chemicals-WUO_ERR'!A318, ":"))))</f>
        <v/>
      </c>
    </row>
    <row r="319">
      <c r="A319" s="39">
        <f>IF('Additional Chemicals'!B319 = "", "", IF('Additional Chemicals-WUO_ERR'!A319 = "", "Validated", HYPERLINK("#" &amp; ADDRESS(319, 'Additional Chemicals-WUO_TRK'!A319),_xlfn.TEXTAFTER('Additional Chemicals-WUO_ERR'!A319, ":"))))</f>
        <v/>
      </c>
    </row>
    <row r="320">
      <c r="A320" s="39">
        <f>IF('Additional Chemicals'!B320 = "", "", IF('Additional Chemicals-WUO_ERR'!A320 = "", "Validated", HYPERLINK("#" &amp; ADDRESS(320, 'Additional Chemicals-WUO_TRK'!A320),_xlfn.TEXTAFTER('Additional Chemicals-WUO_ERR'!A320, ":"))))</f>
        <v/>
      </c>
    </row>
    <row r="321">
      <c r="A321" s="39">
        <f>IF('Additional Chemicals'!B321 = "", "", IF('Additional Chemicals-WUO_ERR'!A321 = "", "Validated", HYPERLINK("#" &amp; ADDRESS(321, 'Additional Chemicals-WUO_TRK'!A321),_xlfn.TEXTAFTER('Additional Chemicals-WUO_ERR'!A321, ":"))))</f>
        <v/>
      </c>
    </row>
    <row r="322">
      <c r="A322" s="39">
        <f>IF('Additional Chemicals'!B322 = "", "", IF('Additional Chemicals-WUO_ERR'!A322 = "", "Validated", HYPERLINK("#" &amp; ADDRESS(322, 'Additional Chemicals-WUO_TRK'!A322),_xlfn.TEXTAFTER('Additional Chemicals-WUO_ERR'!A322, ":"))))</f>
        <v/>
      </c>
    </row>
    <row r="323">
      <c r="A323" s="39">
        <f>IF('Additional Chemicals'!B323 = "", "", IF('Additional Chemicals-WUO_ERR'!A323 = "", "Validated", HYPERLINK("#" &amp; ADDRESS(323, 'Additional Chemicals-WUO_TRK'!A323),_xlfn.TEXTAFTER('Additional Chemicals-WUO_ERR'!A323, ":"))))</f>
        <v/>
      </c>
    </row>
    <row r="324">
      <c r="A324" s="39">
        <f>IF('Additional Chemicals'!B324 = "", "", IF('Additional Chemicals-WUO_ERR'!A324 = "", "Validated", HYPERLINK("#" &amp; ADDRESS(324, 'Additional Chemicals-WUO_TRK'!A324),_xlfn.TEXTAFTER('Additional Chemicals-WUO_ERR'!A324, ":"))))</f>
        <v/>
      </c>
    </row>
    <row r="325">
      <c r="A325" s="39">
        <f>IF('Additional Chemicals'!B325 = "", "", IF('Additional Chemicals-WUO_ERR'!A325 = "", "Validated", HYPERLINK("#" &amp; ADDRESS(325, 'Additional Chemicals-WUO_TRK'!A325),_xlfn.TEXTAFTER('Additional Chemicals-WUO_ERR'!A325, ":"))))</f>
        <v/>
      </c>
    </row>
    <row r="326">
      <c r="A326" s="39">
        <f>IF('Additional Chemicals'!B326 = "", "", IF('Additional Chemicals-WUO_ERR'!A326 = "", "Validated", HYPERLINK("#" &amp; ADDRESS(326, 'Additional Chemicals-WUO_TRK'!A326),_xlfn.TEXTAFTER('Additional Chemicals-WUO_ERR'!A326, ":"))))</f>
        <v/>
      </c>
    </row>
    <row r="327">
      <c r="A327" s="39">
        <f>IF('Additional Chemicals'!B327 = "", "", IF('Additional Chemicals-WUO_ERR'!A327 = "", "Validated", HYPERLINK("#" &amp; ADDRESS(327, 'Additional Chemicals-WUO_TRK'!A327),_xlfn.TEXTAFTER('Additional Chemicals-WUO_ERR'!A327, ":"))))</f>
        <v/>
      </c>
    </row>
    <row r="328">
      <c r="A328" s="39">
        <f>IF('Additional Chemicals'!B328 = "", "", IF('Additional Chemicals-WUO_ERR'!A328 = "", "Validated", HYPERLINK("#" &amp; ADDRESS(328, 'Additional Chemicals-WUO_TRK'!A328),_xlfn.TEXTAFTER('Additional Chemicals-WUO_ERR'!A328, ":"))))</f>
        <v/>
      </c>
    </row>
    <row r="329">
      <c r="A329" s="39">
        <f>IF('Additional Chemicals'!B329 = "", "", IF('Additional Chemicals-WUO_ERR'!A329 = "", "Validated", HYPERLINK("#" &amp; ADDRESS(329, 'Additional Chemicals-WUO_TRK'!A329),_xlfn.TEXTAFTER('Additional Chemicals-WUO_ERR'!A329, ":"))))</f>
        <v/>
      </c>
    </row>
    <row r="330">
      <c r="A330" s="39">
        <f>IF('Additional Chemicals'!B330 = "", "", IF('Additional Chemicals-WUO_ERR'!A330 = "", "Validated", HYPERLINK("#" &amp; ADDRESS(330, 'Additional Chemicals-WUO_TRK'!A330),_xlfn.TEXTAFTER('Additional Chemicals-WUO_ERR'!A330, ":"))))</f>
        <v/>
      </c>
    </row>
    <row r="331">
      <c r="A331" s="39">
        <f>IF('Additional Chemicals'!B331 = "", "", IF('Additional Chemicals-WUO_ERR'!A331 = "", "Validated", HYPERLINK("#" &amp; ADDRESS(331, 'Additional Chemicals-WUO_TRK'!A331),_xlfn.TEXTAFTER('Additional Chemicals-WUO_ERR'!A331, ":"))))</f>
        <v/>
      </c>
    </row>
    <row r="332">
      <c r="A332" s="39">
        <f>IF('Additional Chemicals'!B332 = "", "", IF('Additional Chemicals-WUO_ERR'!A332 = "", "Validated", HYPERLINK("#" &amp; ADDRESS(332, 'Additional Chemicals-WUO_TRK'!A332),_xlfn.TEXTAFTER('Additional Chemicals-WUO_ERR'!A332, ":"))))</f>
        <v/>
      </c>
    </row>
    <row r="333">
      <c r="A333" s="39">
        <f>IF('Additional Chemicals'!B333 = "", "", IF('Additional Chemicals-WUO_ERR'!A333 = "", "Validated", HYPERLINK("#" &amp; ADDRESS(333, 'Additional Chemicals-WUO_TRK'!A333),_xlfn.TEXTAFTER('Additional Chemicals-WUO_ERR'!A333, ":"))))</f>
        <v/>
      </c>
    </row>
    <row r="334">
      <c r="A334" s="39">
        <f>IF('Additional Chemicals'!B334 = "", "", IF('Additional Chemicals-WUO_ERR'!A334 = "", "Validated", HYPERLINK("#" &amp; ADDRESS(334, 'Additional Chemicals-WUO_TRK'!A334),_xlfn.TEXTAFTER('Additional Chemicals-WUO_ERR'!A334, ":"))))</f>
        <v/>
      </c>
    </row>
    <row r="335">
      <c r="A335" s="39">
        <f>IF('Additional Chemicals'!B335 = "", "", IF('Additional Chemicals-WUO_ERR'!A335 = "", "Validated", HYPERLINK("#" &amp; ADDRESS(335, 'Additional Chemicals-WUO_TRK'!A335),_xlfn.TEXTAFTER('Additional Chemicals-WUO_ERR'!A335, ":"))))</f>
        <v/>
      </c>
    </row>
    <row r="336">
      <c r="A336" s="39">
        <f>IF('Additional Chemicals'!B336 = "", "", IF('Additional Chemicals-WUO_ERR'!A336 = "", "Validated", HYPERLINK("#" &amp; ADDRESS(336, 'Additional Chemicals-WUO_TRK'!A336),_xlfn.TEXTAFTER('Additional Chemicals-WUO_ERR'!A336, ":"))))</f>
        <v/>
      </c>
    </row>
    <row r="337">
      <c r="A337" s="39">
        <f>IF('Additional Chemicals'!B337 = "", "", IF('Additional Chemicals-WUO_ERR'!A337 = "", "Validated", HYPERLINK("#" &amp; ADDRESS(337, 'Additional Chemicals-WUO_TRK'!A337),_xlfn.TEXTAFTER('Additional Chemicals-WUO_ERR'!A337, ":"))))</f>
        <v/>
      </c>
    </row>
    <row r="338">
      <c r="A338" s="39">
        <f>IF('Additional Chemicals'!B338 = "", "", IF('Additional Chemicals-WUO_ERR'!A338 = "", "Validated", HYPERLINK("#" &amp; ADDRESS(338, 'Additional Chemicals-WUO_TRK'!A338),_xlfn.TEXTAFTER('Additional Chemicals-WUO_ERR'!A338, ":"))))</f>
        <v/>
      </c>
    </row>
    <row r="339">
      <c r="A339" s="39">
        <f>IF('Additional Chemicals'!B339 = "", "", IF('Additional Chemicals-WUO_ERR'!A339 = "", "Validated", HYPERLINK("#" &amp; ADDRESS(339, 'Additional Chemicals-WUO_TRK'!A339),_xlfn.TEXTAFTER('Additional Chemicals-WUO_ERR'!A339, ":"))))</f>
        <v/>
      </c>
    </row>
    <row r="340">
      <c r="A340" s="39">
        <f>IF('Additional Chemicals'!B340 = "", "", IF('Additional Chemicals-WUO_ERR'!A340 = "", "Validated", HYPERLINK("#" &amp; ADDRESS(340, 'Additional Chemicals-WUO_TRK'!A340),_xlfn.TEXTAFTER('Additional Chemicals-WUO_ERR'!A340, ":"))))</f>
        <v/>
      </c>
    </row>
    <row r="341">
      <c r="A341" s="39">
        <f>IF('Additional Chemicals'!B341 = "", "", IF('Additional Chemicals-WUO_ERR'!A341 = "", "Validated", HYPERLINK("#" &amp; ADDRESS(341, 'Additional Chemicals-WUO_TRK'!A341),_xlfn.TEXTAFTER('Additional Chemicals-WUO_ERR'!A341, ":"))))</f>
        <v/>
      </c>
    </row>
    <row r="342">
      <c r="A342" s="39">
        <f>IF('Additional Chemicals'!B342 = "", "", IF('Additional Chemicals-WUO_ERR'!A342 = "", "Validated", HYPERLINK("#" &amp; ADDRESS(342, 'Additional Chemicals-WUO_TRK'!A342),_xlfn.TEXTAFTER('Additional Chemicals-WUO_ERR'!A342, ":"))))</f>
        <v/>
      </c>
    </row>
    <row r="343">
      <c r="A343" s="39">
        <f>IF('Additional Chemicals'!B343 = "", "", IF('Additional Chemicals-WUO_ERR'!A343 = "", "Validated", HYPERLINK("#" &amp; ADDRESS(343, 'Additional Chemicals-WUO_TRK'!A343),_xlfn.TEXTAFTER('Additional Chemicals-WUO_ERR'!A343, ":"))))</f>
        <v/>
      </c>
    </row>
    <row r="344">
      <c r="A344" s="39">
        <f>IF('Additional Chemicals'!B344 = "", "", IF('Additional Chemicals-WUO_ERR'!A344 = "", "Validated", HYPERLINK("#" &amp; ADDRESS(344, 'Additional Chemicals-WUO_TRK'!A344),_xlfn.TEXTAFTER('Additional Chemicals-WUO_ERR'!A344, ":"))))</f>
        <v/>
      </c>
    </row>
    <row r="345">
      <c r="A345" s="39">
        <f>IF('Additional Chemicals'!B345 = "", "", IF('Additional Chemicals-WUO_ERR'!A345 = "", "Validated", HYPERLINK("#" &amp; ADDRESS(345, 'Additional Chemicals-WUO_TRK'!A345),_xlfn.TEXTAFTER('Additional Chemicals-WUO_ERR'!A345, ":"))))</f>
        <v/>
      </c>
    </row>
    <row r="346">
      <c r="A346" s="39">
        <f>IF('Additional Chemicals'!B346 = "", "", IF('Additional Chemicals-WUO_ERR'!A346 = "", "Validated", HYPERLINK("#" &amp; ADDRESS(346, 'Additional Chemicals-WUO_TRK'!A346),_xlfn.TEXTAFTER('Additional Chemicals-WUO_ERR'!A346, ":"))))</f>
        <v/>
      </c>
    </row>
    <row r="347">
      <c r="A347" s="39">
        <f>IF('Additional Chemicals'!B347 = "", "", IF('Additional Chemicals-WUO_ERR'!A347 = "", "Validated", HYPERLINK("#" &amp; ADDRESS(347, 'Additional Chemicals-WUO_TRK'!A347),_xlfn.TEXTAFTER('Additional Chemicals-WUO_ERR'!A347, ":"))))</f>
        <v/>
      </c>
    </row>
    <row r="348">
      <c r="A348" s="39">
        <f>IF('Additional Chemicals'!B348 = "", "", IF('Additional Chemicals-WUO_ERR'!A348 = "", "Validated", HYPERLINK("#" &amp; ADDRESS(348, 'Additional Chemicals-WUO_TRK'!A348),_xlfn.TEXTAFTER('Additional Chemicals-WUO_ERR'!A348, ":"))))</f>
        <v/>
      </c>
    </row>
    <row r="349">
      <c r="A349" s="39">
        <f>IF('Additional Chemicals'!B349 = "", "", IF('Additional Chemicals-WUO_ERR'!A349 = "", "Validated", HYPERLINK("#" &amp; ADDRESS(349, 'Additional Chemicals-WUO_TRK'!A349),_xlfn.TEXTAFTER('Additional Chemicals-WUO_ERR'!A349, ":"))))</f>
        <v/>
      </c>
    </row>
    <row r="350">
      <c r="A350" s="39">
        <f>IF('Additional Chemicals'!B350 = "", "", IF('Additional Chemicals-WUO_ERR'!A350 = "", "Validated", HYPERLINK("#" &amp; ADDRESS(350, 'Additional Chemicals-WUO_TRK'!A350),_xlfn.TEXTAFTER('Additional Chemicals-WUO_ERR'!A350, ":"))))</f>
        <v/>
      </c>
    </row>
    <row r="351">
      <c r="A351" s="39">
        <f>IF('Additional Chemicals'!B351 = "", "", IF('Additional Chemicals-WUO_ERR'!A351 = "", "Validated", HYPERLINK("#" &amp; ADDRESS(351, 'Additional Chemicals-WUO_TRK'!A351),_xlfn.TEXTAFTER('Additional Chemicals-WUO_ERR'!A351, ":"))))</f>
        <v/>
      </c>
    </row>
    <row r="352">
      <c r="A352" s="39">
        <f>IF('Additional Chemicals'!B352 = "", "", IF('Additional Chemicals-WUO_ERR'!A352 = "", "Validated", HYPERLINK("#" &amp; ADDRESS(352, 'Additional Chemicals-WUO_TRK'!A352),_xlfn.TEXTAFTER('Additional Chemicals-WUO_ERR'!A352, ":"))))</f>
        <v/>
      </c>
    </row>
    <row r="353">
      <c r="A353" s="39">
        <f>IF('Additional Chemicals'!B353 = "", "", IF('Additional Chemicals-WUO_ERR'!A353 = "", "Validated", HYPERLINK("#" &amp; ADDRESS(353, 'Additional Chemicals-WUO_TRK'!A353),_xlfn.TEXTAFTER('Additional Chemicals-WUO_ERR'!A353, ":"))))</f>
        <v/>
      </c>
    </row>
    <row r="354">
      <c r="A354" s="39">
        <f>IF('Additional Chemicals'!B354 = "", "", IF('Additional Chemicals-WUO_ERR'!A354 = "", "Validated", HYPERLINK("#" &amp; ADDRESS(354, 'Additional Chemicals-WUO_TRK'!A354),_xlfn.TEXTAFTER('Additional Chemicals-WUO_ERR'!A354, ":"))))</f>
        <v/>
      </c>
    </row>
    <row r="355">
      <c r="A355" s="39">
        <f>IF('Additional Chemicals'!B355 = "", "", IF('Additional Chemicals-WUO_ERR'!A355 = "", "Validated", HYPERLINK("#" &amp; ADDRESS(355, 'Additional Chemicals-WUO_TRK'!A355),_xlfn.TEXTAFTER('Additional Chemicals-WUO_ERR'!A355, ":"))))</f>
        <v/>
      </c>
    </row>
    <row r="356">
      <c r="A356" s="39">
        <f>IF('Additional Chemicals'!B356 = "", "", IF('Additional Chemicals-WUO_ERR'!A356 = "", "Validated", HYPERLINK("#" &amp; ADDRESS(356, 'Additional Chemicals-WUO_TRK'!A356),_xlfn.TEXTAFTER('Additional Chemicals-WUO_ERR'!A356, ":"))))</f>
        <v/>
      </c>
    </row>
    <row r="357">
      <c r="A357" s="39">
        <f>IF('Additional Chemicals'!B357 = "", "", IF('Additional Chemicals-WUO_ERR'!A357 = "", "Validated", HYPERLINK("#" &amp; ADDRESS(357, 'Additional Chemicals-WUO_TRK'!A357),_xlfn.TEXTAFTER('Additional Chemicals-WUO_ERR'!A357, ":"))))</f>
        <v/>
      </c>
    </row>
    <row r="358">
      <c r="A358" s="39">
        <f>IF('Additional Chemicals'!B358 = "", "", IF('Additional Chemicals-WUO_ERR'!A358 = "", "Validated", HYPERLINK("#" &amp; ADDRESS(358, 'Additional Chemicals-WUO_TRK'!A358),_xlfn.TEXTAFTER('Additional Chemicals-WUO_ERR'!A358, ":"))))</f>
        <v/>
      </c>
    </row>
    <row r="359">
      <c r="A359" s="39">
        <f>IF('Additional Chemicals'!B359 = "", "", IF('Additional Chemicals-WUO_ERR'!A359 = "", "Validated", HYPERLINK("#" &amp; ADDRESS(359, 'Additional Chemicals-WUO_TRK'!A359),_xlfn.TEXTAFTER('Additional Chemicals-WUO_ERR'!A359, ":"))))</f>
        <v/>
      </c>
    </row>
    <row r="360">
      <c r="A360" s="39">
        <f>IF('Additional Chemicals'!B360 = "", "", IF('Additional Chemicals-WUO_ERR'!A360 = "", "Validated", HYPERLINK("#" &amp; ADDRESS(360, 'Additional Chemicals-WUO_TRK'!A360),_xlfn.TEXTAFTER('Additional Chemicals-WUO_ERR'!A360, ":"))))</f>
        <v/>
      </c>
    </row>
    <row r="361">
      <c r="A361" s="39">
        <f>IF('Additional Chemicals'!B361 = "", "", IF('Additional Chemicals-WUO_ERR'!A361 = "", "Validated", HYPERLINK("#" &amp; ADDRESS(361, 'Additional Chemicals-WUO_TRK'!A361),_xlfn.TEXTAFTER('Additional Chemicals-WUO_ERR'!A361, ":"))))</f>
        <v/>
      </c>
    </row>
    <row r="362">
      <c r="A362" s="39">
        <f>IF('Additional Chemicals'!B362 = "", "", IF('Additional Chemicals-WUO_ERR'!A362 = "", "Validated", HYPERLINK("#" &amp; ADDRESS(362, 'Additional Chemicals-WUO_TRK'!A362),_xlfn.TEXTAFTER('Additional Chemicals-WUO_ERR'!A362, ":"))))</f>
        <v/>
      </c>
    </row>
    <row r="363">
      <c r="A363" s="39">
        <f>IF('Additional Chemicals'!B363 = "", "", IF('Additional Chemicals-WUO_ERR'!A363 = "", "Validated", HYPERLINK("#" &amp; ADDRESS(363, 'Additional Chemicals-WUO_TRK'!A363),_xlfn.TEXTAFTER('Additional Chemicals-WUO_ERR'!A363, ":"))))</f>
        <v/>
      </c>
    </row>
    <row r="364">
      <c r="A364" s="39">
        <f>IF('Additional Chemicals'!B364 = "", "", IF('Additional Chemicals-WUO_ERR'!A364 = "", "Validated", HYPERLINK("#" &amp; ADDRESS(364, 'Additional Chemicals-WUO_TRK'!A364),_xlfn.TEXTAFTER('Additional Chemicals-WUO_ERR'!A364, ":"))))</f>
        <v/>
      </c>
    </row>
    <row r="365">
      <c r="A365" s="39">
        <f>IF('Additional Chemicals'!B365 = "", "", IF('Additional Chemicals-WUO_ERR'!A365 = "", "Validated", HYPERLINK("#" &amp; ADDRESS(365, 'Additional Chemicals-WUO_TRK'!A365),_xlfn.TEXTAFTER('Additional Chemicals-WUO_ERR'!A365, ":"))))</f>
        <v/>
      </c>
    </row>
    <row r="366">
      <c r="A366" s="39">
        <f>IF('Additional Chemicals'!B366 = "", "", IF('Additional Chemicals-WUO_ERR'!A366 = "", "Validated", HYPERLINK("#" &amp; ADDRESS(366, 'Additional Chemicals-WUO_TRK'!A366),_xlfn.TEXTAFTER('Additional Chemicals-WUO_ERR'!A366, ":"))))</f>
        <v/>
      </c>
    </row>
    <row r="367">
      <c r="A367" s="39">
        <f>IF('Additional Chemicals'!B367 = "", "", IF('Additional Chemicals-WUO_ERR'!A367 = "", "Validated", HYPERLINK("#" &amp; ADDRESS(367, 'Additional Chemicals-WUO_TRK'!A367),_xlfn.TEXTAFTER('Additional Chemicals-WUO_ERR'!A367, ":"))))</f>
        <v/>
      </c>
    </row>
    <row r="368">
      <c r="A368" s="39">
        <f>IF('Additional Chemicals'!B368 = "", "", IF('Additional Chemicals-WUO_ERR'!A368 = "", "Validated", HYPERLINK("#" &amp; ADDRESS(368, 'Additional Chemicals-WUO_TRK'!A368),_xlfn.TEXTAFTER('Additional Chemicals-WUO_ERR'!A368, ":"))))</f>
        <v/>
      </c>
    </row>
    <row r="369">
      <c r="A369" s="39">
        <f>IF('Additional Chemicals'!B369 = "", "", IF('Additional Chemicals-WUO_ERR'!A369 = "", "Validated", HYPERLINK("#" &amp; ADDRESS(369, 'Additional Chemicals-WUO_TRK'!A369),_xlfn.TEXTAFTER('Additional Chemicals-WUO_ERR'!A369, ":"))))</f>
        <v/>
      </c>
    </row>
    <row r="370">
      <c r="A370" s="39">
        <f>IF('Additional Chemicals'!B370 = "", "", IF('Additional Chemicals-WUO_ERR'!A370 = "", "Validated", HYPERLINK("#" &amp; ADDRESS(370, 'Additional Chemicals-WUO_TRK'!A370),_xlfn.TEXTAFTER('Additional Chemicals-WUO_ERR'!A370, ":"))))</f>
        <v/>
      </c>
    </row>
    <row r="371">
      <c r="A371" s="39">
        <f>IF('Additional Chemicals'!B371 = "", "", IF('Additional Chemicals-WUO_ERR'!A371 = "", "Validated", HYPERLINK("#" &amp; ADDRESS(371, 'Additional Chemicals-WUO_TRK'!A371),_xlfn.TEXTAFTER('Additional Chemicals-WUO_ERR'!A371, ":"))))</f>
        <v/>
      </c>
    </row>
    <row r="372">
      <c r="A372" s="39">
        <f>IF('Additional Chemicals'!B372 = "", "", IF('Additional Chemicals-WUO_ERR'!A372 = "", "Validated", HYPERLINK("#" &amp; ADDRESS(372, 'Additional Chemicals-WUO_TRK'!A372),_xlfn.TEXTAFTER('Additional Chemicals-WUO_ERR'!A372, ":"))))</f>
        <v/>
      </c>
    </row>
    <row r="373">
      <c r="A373" s="39">
        <f>IF('Additional Chemicals'!B373 = "", "", IF('Additional Chemicals-WUO_ERR'!A373 = "", "Validated", HYPERLINK("#" &amp; ADDRESS(373, 'Additional Chemicals-WUO_TRK'!A373),_xlfn.TEXTAFTER('Additional Chemicals-WUO_ERR'!A373, ":"))))</f>
        <v/>
      </c>
    </row>
    <row r="374">
      <c r="A374" s="39">
        <f>IF('Additional Chemicals'!B374 = "", "", IF('Additional Chemicals-WUO_ERR'!A374 = "", "Validated", HYPERLINK("#" &amp; ADDRESS(374, 'Additional Chemicals-WUO_TRK'!A374),_xlfn.TEXTAFTER('Additional Chemicals-WUO_ERR'!A374, ":"))))</f>
        <v/>
      </c>
    </row>
    <row r="375">
      <c r="A375" s="39">
        <f>IF('Additional Chemicals'!B375 = "", "", IF('Additional Chemicals-WUO_ERR'!A375 = "", "Validated", HYPERLINK("#" &amp; ADDRESS(375, 'Additional Chemicals-WUO_TRK'!A375),_xlfn.TEXTAFTER('Additional Chemicals-WUO_ERR'!A375, ":"))))</f>
        <v/>
      </c>
    </row>
    <row r="376">
      <c r="A376" s="39">
        <f>IF('Additional Chemicals'!B376 = "", "", IF('Additional Chemicals-WUO_ERR'!A376 = "", "Validated", HYPERLINK("#" &amp; ADDRESS(376, 'Additional Chemicals-WUO_TRK'!A376),_xlfn.TEXTAFTER('Additional Chemicals-WUO_ERR'!A376, ":"))))</f>
        <v/>
      </c>
    </row>
    <row r="377">
      <c r="A377" s="39">
        <f>IF('Additional Chemicals'!B377 = "", "", IF('Additional Chemicals-WUO_ERR'!A377 = "", "Validated", HYPERLINK("#" &amp; ADDRESS(377, 'Additional Chemicals-WUO_TRK'!A377),_xlfn.TEXTAFTER('Additional Chemicals-WUO_ERR'!A377, ":"))))</f>
        <v/>
      </c>
    </row>
    <row r="378">
      <c r="A378" s="39">
        <f>IF('Additional Chemicals'!B378 = "", "", IF('Additional Chemicals-WUO_ERR'!A378 = "", "Validated", HYPERLINK("#" &amp; ADDRESS(378, 'Additional Chemicals-WUO_TRK'!A378),_xlfn.TEXTAFTER('Additional Chemicals-WUO_ERR'!A378, ":"))))</f>
        <v/>
      </c>
    </row>
    <row r="379">
      <c r="A379" s="39">
        <f>IF('Additional Chemicals'!B379 = "", "", IF('Additional Chemicals-WUO_ERR'!A379 = "", "Validated", HYPERLINK("#" &amp; ADDRESS(379, 'Additional Chemicals-WUO_TRK'!A379),_xlfn.TEXTAFTER('Additional Chemicals-WUO_ERR'!A379, ":"))))</f>
        <v/>
      </c>
    </row>
    <row r="380">
      <c r="A380" s="39">
        <f>IF('Additional Chemicals'!B380 = "", "", IF('Additional Chemicals-WUO_ERR'!A380 = "", "Validated", HYPERLINK("#" &amp; ADDRESS(380, 'Additional Chemicals-WUO_TRK'!A380),_xlfn.TEXTAFTER('Additional Chemicals-WUO_ERR'!A380, ":"))))</f>
        <v/>
      </c>
    </row>
    <row r="381">
      <c r="A381" s="39">
        <f>IF('Additional Chemicals'!B381 = "", "", IF('Additional Chemicals-WUO_ERR'!A381 = "", "Validated", HYPERLINK("#" &amp; ADDRESS(381, 'Additional Chemicals-WUO_TRK'!A381),_xlfn.TEXTAFTER('Additional Chemicals-WUO_ERR'!A381, ":"))))</f>
        <v/>
      </c>
    </row>
    <row r="382">
      <c r="A382" s="39">
        <f>IF('Additional Chemicals'!B382 = "", "", IF('Additional Chemicals-WUO_ERR'!A382 = "", "Validated", HYPERLINK("#" &amp; ADDRESS(382, 'Additional Chemicals-WUO_TRK'!A382),_xlfn.TEXTAFTER('Additional Chemicals-WUO_ERR'!A382, ":"))))</f>
        <v/>
      </c>
    </row>
    <row r="383">
      <c r="A383" s="39">
        <f>IF('Additional Chemicals'!B383 = "", "", IF('Additional Chemicals-WUO_ERR'!A383 = "", "Validated", HYPERLINK("#" &amp; ADDRESS(383, 'Additional Chemicals-WUO_TRK'!A383),_xlfn.TEXTAFTER('Additional Chemicals-WUO_ERR'!A383, ":"))))</f>
        <v/>
      </c>
    </row>
    <row r="384">
      <c r="A384" s="39">
        <f>IF('Additional Chemicals'!B384 = "", "", IF('Additional Chemicals-WUO_ERR'!A384 = "", "Validated", HYPERLINK("#" &amp; ADDRESS(384, 'Additional Chemicals-WUO_TRK'!A384),_xlfn.TEXTAFTER('Additional Chemicals-WUO_ERR'!A384, ":"))))</f>
        <v/>
      </c>
    </row>
    <row r="385">
      <c r="A385" s="39">
        <f>IF('Additional Chemicals'!B385 = "", "", IF('Additional Chemicals-WUO_ERR'!A385 = "", "Validated", HYPERLINK("#" &amp; ADDRESS(385, 'Additional Chemicals-WUO_TRK'!A385),_xlfn.TEXTAFTER('Additional Chemicals-WUO_ERR'!A385, ":"))))</f>
        <v/>
      </c>
    </row>
    <row r="386">
      <c r="A386" s="39">
        <f>IF('Additional Chemicals'!B386 = "", "", IF('Additional Chemicals-WUO_ERR'!A386 = "", "Validated", HYPERLINK("#" &amp; ADDRESS(386, 'Additional Chemicals-WUO_TRK'!A386),_xlfn.TEXTAFTER('Additional Chemicals-WUO_ERR'!A386, ":"))))</f>
        <v/>
      </c>
    </row>
    <row r="387">
      <c r="A387" s="39">
        <f>IF('Additional Chemicals'!B387 = "", "", IF('Additional Chemicals-WUO_ERR'!A387 = "", "Validated", HYPERLINK("#" &amp; ADDRESS(387, 'Additional Chemicals-WUO_TRK'!A387),_xlfn.TEXTAFTER('Additional Chemicals-WUO_ERR'!A387, ":"))))</f>
        <v/>
      </c>
    </row>
    <row r="388">
      <c r="A388" s="39">
        <f>IF('Additional Chemicals'!B388 = "", "", IF('Additional Chemicals-WUO_ERR'!A388 = "", "Validated", HYPERLINK("#" &amp; ADDRESS(388, 'Additional Chemicals-WUO_TRK'!A388),_xlfn.TEXTAFTER('Additional Chemicals-WUO_ERR'!A388, ":"))))</f>
        <v/>
      </c>
    </row>
    <row r="389">
      <c r="A389" s="39">
        <f>IF('Additional Chemicals'!B389 = "", "", IF('Additional Chemicals-WUO_ERR'!A389 = "", "Validated", HYPERLINK("#" &amp; ADDRESS(389, 'Additional Chemicals-WUO_TRK'!A389),_xlfn.TEXTAFTER('Additional Chemicals-WUO_ERR'!A389, ":"))))</f>
        <v/>
      </c>
    </row>
    <row r="390">
      <c r="A390" s="39">
        <f>IF('Additional Chemicals'!B390 = "", "", IF('Additional Chemicals-WUO_ERR'!A390 = "", "Validated", HYPERLINK("#" &amp; ADDRESS(390, 'Additional Chemicals-WUO_TRK'!A390),_xlfn.TEXTAFTER('Additional Chemicals-WUO_ERR'!A390, ":"))))</f>
        <v/>
      </c>
    </row>
    <row r="391">
      <c r="A391" s="39">
        <f>IF('Additional Chemicals'!B391 = "", "", IF('Additional Chemicals-WUO_ERR'!A391 = "", "Validated", HYPERLINK("#" &amp; ADDRESS(391, 'Additional Chemicals-WUO_TRK'!A391),_xlfn.TEXTAFTER('Additional Chemicals-WUO_ERR'!A391, ":"))))</f>
        <v/>
      </c>
    </row>
    <row r="392">
      <c r="A392" s="39">
        <f>IF('Additional Chemicals'!B392 = "", "", IF('Additional Chemicals-WUO_ERR'!A392 = "", "Validated", HYPERLINK("#" &amp; ADDRESS(392, 'Additional Chemicals-WUO_TRK'!A392),_xlfn.TEXTAFTER('Additional Chemicals-WUO_ERR'!A392, ":"))))</f>
        <v/>
      </c>
    </row>
    <row r="393">
      <c r="A393" s="39">
        <f>IF('Additional Chemicals'!B393 = "", "", IF('Additional Chemicals-WUO_ERR'!A393 = "", "Validated", HYPERLINK("#" &amp; ADDRESS(393, 'Additional Chemicals-WUO_TRK'!A393),_xlfn.TEXTAFTER('Additional Chemicals-WUO_ERR'!A393, ":"))))</f>
        <v/>
      </c>
    </row>
    <row r="394">
      <c r="A394" s="39">
        <f>IF('Additional Chemicals'!B394 = "", "", IF('Additional Chemicals-WUO_ERR'!A394 = "", "Validated", HYPERLINK("#" &amp; ADDRESS(394, 'Additional Chemicals-WUO_TRK'!A394),_xlfn.TEXTAFTER('Additional Chemicals-WUO_ERR'!A394, ":"))))</f>
        <v/>
      </c>
    </row>
    <row r="395">
      <c r="A395" s="39">
        <f>IF('Additional Chemicals'!B395 = "", "", IF('Additional Chemicals-WUO_ERR'!A395 = "", "Validated", HYPERLINK("#" &amp; ADDRESS(395, 'Additional Chemicals-WUO_TRK'!A395),_xlfn.TEXTAFTER('Additional Chemicals-WUO_ERR'!A395, ":"))))</f>
        <v/>
      </c>
    </row>
    <row r="396">
      <c r="A396" s="39">
        <f>IF('Additional Chemicals'!B396 = "", "", IF('Additional Chemicals-WUO_ERR'!A396 = "", "Validated", HYPERLINK("#" &amp; ADDRESS(396, 'Additional Chemicals-WUO_TRK'!A396),_xlfn.TEXTAFTER('Additional Chemicals-WUO_ERR'!A396, ":"))))</f>
        <v/>
      </c>
    </row>
    <row r="397">
      <c r="A397" s="39">
        <f>IF('Additional Chemicals'!B397 = "", "", IF('Additional Chemicals-WUO_ERR'!A397 = "", "Validated", HYPERLINK("#" &amp; ADDRESS(397, 'Additional Chemicals-WUO_TRK'!A397),_xlfn.TEXTAFTER('Additional Chemicals-WUO_ERR'!A397, ":"))))</f>
        <v/>
      </c>
    </row>
    <row r="398">
      <c r="A398" s="39">
        <f>IF('Additional Chemicals'!B398 = "", "", IF('Additional Chemicals-WUO_ERR'!A398 = "", "Validated", HYPERLINK("#" &amp; ADDRESS(398, 'Additional Chemicals-WUO_TRK'!A398),_xlfn.TEXTAFTER('Additional Chemicals-WUO_ERR'!A398, ":"))))</f>
        <v/>
      </c>
    </row>
    <row r="399">
      <c r="A399" s="39">
        <f>IF('Additional Chemicals'!B399 = "", "", IF('Additional Chemicals-WUO_ERR'!A399 = "", "Validated", HYPERLINK("#" &amp; ADDRESS(399, 'Additional Chemicals-WUO_TRK'!A399),_xlfn.TEXTAFTER('Additional Chemicals-WUO_ERR'!A399, ":"))))</f>
        <v/>
      </c>
    </row>
    <row r="400">
      <c r="A400" s="39">
        <f>IF('Additional Chemicals'!B400 = "", "", IF('Additional Chemicals-WUO_ERR'!A400 = "", "Validated", HYPERLINK("#" &amp; ADDRESS(400, 'Additional Chemicals-WUO_TRK'!A400),_xlfn.TEXTAFTER('Additional Chemicals-WUO_ERR'!A400, ":"))))</f>
        <v/>
      </c>
    </row>
    <row r="401">
      <c r="A401" s="39">
        <f>IF('Additional Chemicals'!B401 = "", "", IF('Additional Chemicals-WUO_ERR'!A401 = "", "Validated", HYPERLINK("#" &amp; ADDRESS(401, 'Additional Chemicals-WUO_TRK'!A401),_xlfn.TEXTAFTER('Additional Chemicals-WUO_ERR'!A401, ":"))))</f>
        <v/>
      </c>
    </row>
    <row r="402">
      <c r="A402" s="39">
        <f>IF('Additional Chemicals'!B402 = "", "", IF('Additional Chemicals-WUO_ERR'!A402 = "", "Validated", HYPERLINK("#" &amp; ADDRESS(402, 'Additional Chemicals-WUO_TRK'!A402),_xlfn.TEXTAFTER('Additional Chemicals-WUO_ERR'!A402, ":"))))</f>
        <v/>
      </c>
    </row>
    <row r="403">
      <c r="A403" s="39">
        <f>IF('Additional Chemicals'!B403 = "", "", IF('Additional Chemicals-WUO_ERR'!A403 = "", "Validated", HYPERLINK("#" &amp; ADDRESS(403, 'Additional Chemicals-WUO_TRK'!A403),_xlfn.TEXTAFTER('Additional Chemicals-WUO_ERR'!A403, ":"))))</f>
        <v/>
      </c>
    </row>
    <row r="404">
      <c r="A404" s="39">
        <f>IF('Additional Chemicals'!B404 = "", "", IF('Additional Chemicals-WUO_ERR'!A404 = "", "Validated", HYPERLINK("#" &amp; ADDRESS(404, 'Additional Chemicals-WUO_TRK'!A404),_xlfn.TEXTAFTER('Additional Chemicals-WUO_ERR'!A404, ":"))))</f>
        <v/>
      </c>
    </row>
    <row r="405">
      <c r="A405" s="39">
        <f>IF('Additional Chemicals'!B405 = "", "", IF('Additional Chemicals-WUO_ERR'!A405 = "", "Validated", HYPERLINK("#" &amp; ADDRESS(405, 'Additional Chemicals-WUO_TRK'!A405),_xlfn.TEXTAFTER('Additional Chemicals-WUO_ERR'!A405, ":"))))</f>
        <v/>
      </c>
    </row>
    <row r="406">
      <c r="A406" s="39">
        <f>IF('Additional Chemicals'!B406 = "", "", IF('Additional Chemicals-WUO_ERR'!A406 = "", "Validated", HYPERLINK("#" &amp; ADDRESS(406, 'Additional Chemicals-WUO_TRK'!A406),_xlfn.TEXTAFTER('Additional Chemicals-WUO_ERR'!A406, ":"))))</f>
        <v/>
      </c>
    </row>
    <row r="407">
      <c r="A407" s="39">
        <f>IF('Additional Chemicals'!B407 = "", "", IF('Additional Chemicals-WUO_ERR'!A407 = "", "Validated", HYPERLINK("#" &amp; ADDRESS(407, 'Additional Chemicals-WUO_TRK'!A407),_xlfn.TEXTAFTER('Additional Chemicals-WUO_ERR'!A407, ":"))))</f>
        <v/>
      </c>
    </row>
    <row r="408">
      <c r="A408" s="39">
        <f>IF('Additional Chemicals'!B408 = "", "", IF('Additional Chemicals-WUO_ERR'!A408 = "", "Validated", HYPERLINK("#" &amp; ADDRESS(408, 'Additional Chemicals-WUO_TRK'!A408),_xlfn.TEXTAFTER('Additional Chemicals-WUO_ERR'!A408, ":"))))</f>
        <v/>
      </c>
    </row>
    <row r="409">
      <c r="A409" s="39">
        <f>IF('Additional Chemicals'!B409 = "", "", IF('Additional Chemicals-WUO_ERR'!A409 = "", "Validated", HYPERLINK("#" &amp; ADDRESS(409, 'Additional Chemicals-WUO_TRK'!A409),_xlfn.TEXTAFTER('Additional Chemicals-WUO_ERR'!A409, ":"))))</f>
        <v/>
      </c>
    </row>
    <row r="410">
      <c r="A410" s="39">
        <f>IF('Additional Chemicals'!B410 = "", "", IF('Additional Chemicals-WUO_ERR'!A410 = "", "Validated", HYPERLINK("#" &amp; ADDRESS(410, 'Additional Chemicals-WUO_TRK'!A410),_xlfn.TEXTAFTER('Additional Chemicals-WUO_ERR'!A410, ":"))))</f>
        <v/>
      </c>
    </row>
    <row r="411">
      <c r="A411" s="39">
        <f>IF('Additional Chemicals'!B411 = "", "", IF('Additional Chemicals-WUO_ERR'!A411 = "", "Validated", HYPERLINK("#" &amp; ADDRESS(411, 'Additional Chemicals-WUO_TRK'!A411),_xlfn.TEXTAFTER('Additional Chemicals-WUO_ERR'!A411, ":"))))</f>
        <v/>
      </c>
    </row>
    <row r="412">
      <c r="A412" s="39">
        <f>IF('Additional Chemicals'!B412 = "", "", IF('Additional Chemicals-WUO_ERR'!A412 = "", "Validated", HYPERLINK("#" &amp; ADDRESS(412, 'Additional Chemicals-WUO_TRK'!A412),_xlfn.TEXTAFTER('Additional Chemicals-WUO_ERR'!A412, ":"))))</f>
        <v/>
      </c>
    </row>
    <row r="413">
      <c r="A413" s="39">
        <f>IF('Additional Chemicals'!B413 = "", "", IF('Additional Chemicals-WUO_ERR'!A413 = "", "Validated", HYPERLINK("#" &amp; ADDRESS(413, 'Additional Chemicals-WUO_TRK'!A413),_xlfn.TEXTAFTER('Additional Chemicals-WUO_ERR'!A413, ":"))))</f>
        <v/>
      </c>
    </row>
    <row r="414">
      <c r="A414" s="39">
        <f>IF('Additional Chemicals'!B414 = "", "", IF('Additional Chemicals-WUO_ERR'!A414 = "", "Validated", HYPERLINK("#" &amp; ADDRESS(414, 'Additional Chemicals-WUO_TRK'!A414),_xlfn.TEXTAFTER('Additional Chemicals-WUO_ERR'!A414, ":"))))</f>
        <v/>
      </c>
    </row>
    <row r="415">
      <c r="A415" s="39">
        <f>IF('Additional Chemicals'!B415 = "", "", IF('Additional Chemicals-WUO_ERR'!A415 = "", "Validated", HYPERLINK("#" &amp; ADDRESS(415, 'Additional Chemicals-WUO_TRK'!A415),_xlfn.TEXTAFTER('Additional Chemicals-WUO_ERR'!A415, ":"))))</f>
        <v/>
      </c>
    </row>
    <row r="416">
      <c r="A416" s="39">
        <f>IF('Additional Chemicals'!B416 = "", "", IF('Additional Chemicals-WUO_ERR'!A416 = "", "Validated", HYPERLINK("#" &amp; ADDRESS(416, 'Additional Chemicals-WUO_TRK'!A416),_xlfn.TEXTAFTER('Additional Chemicals-WUO_ERR'!A416, ":"))))</f>
        <v/>
      </c>
    </row>
    <row r="417">
      <c r="A417" s="39">
        <f>IF('Additional Chemicals'!B417 = "", "", IF('Additional Chemicals-WUO_ERR'!A417 = "", "Validated", HYPERLINK("#" &amp; ADDRESS(417, 'Additional Chemicals-WUO_TRK'!A417),_xlfn.TEXTAFTER('Additional Chemicals-WUO_ERR'!A417, ":"))))</f>
        <v/>
      </c>
    </row>
    <row r="418">
      <c r="A418" s="39">
        <f>IF('Additional Chemicals'!B418 = "", "", IF('Additional Chemicals-WUO_ERR'!A418 = "", "Validated", HYPERLINK("#" &amp; ADDRESS(418, 'Additional Chemicals-WUO_TRK'!A418),_xlfn.TEXTAFTER('Additional Chemicals-WUO_ERR'!A418, ":"))))</f>
        <v/>
      </c>
    </row>
    <row r="419">
      <c r="A419" s="39">
        <f>IF('Additional Chemicals'!B419 = "", "", IF('Additional Chemicals-WUO_ERR'!A419 = "", "Validated", HYPERLINK("#" &amp; ADDRESS(419, 'Additional Chemicals-WUO_TRK'!A419),_xlfn.TEXTAFTER('Additional Chemicals-WUO_ERR'!A419, ":"))))</f>
        <v/>
      </c>
    </row>
    <row r="420">
      <c r="A420" s="39">
        <f>IF('Additional Chemicals'!B420 = "", "", IF('Additional Chemicals-WUO_ERR'!A420 = "", "Validated", HYPERLINK("#" &amp; ADDRESS(420, 'Additional Chemicals-WUO_TRK'!A420),_xlfn.TEXTAFTER('Additional Chemicals-WUO_ERR'!A420, ":"))))</f>
        <v/>
      </c>
    </row>
    <row r="421">
      <c r="A421" s="39">
        <f>IF('Additional Chemicals'!B421 = "", "", IF('Additional Chemicals-WUO_ERR'!A421 = "", "Validated", HYPERLINK("#" &amp; ADDRESS(421, 'Additional Chemicals-WUO_TRK'!A421),_xlfn.TEXTAFTER('Additional Chemicals-WUO_ERR'!A421, ":"))))</f>
        <v/>
      </c>
    </row>
    <row r="422">
      <c r="A422" s="39">
        <f>IF('Additional Chemicals'!B422 = "", "", IF('Additional Chemicals-WUO_ERR'!A422 = "", "Validated", HYPERLINK("#" &amp; ADDRESS(422, 'Additional Chemicals-WUO_TRK'!A422),_xlfn.TEXTAFTER('Additional Chemicals-WUO_ERR'!A422, ":"))))</f>
        <v/>
      </c>
    </row>
    <row r="423">
      <c r="A423" s="39">
        <f>IF('Additional Chemicals'!B423 = "", "", IF('Additional Chemicals-WUO_ERR'!A423 = "", "Validated", HYPERLINK("#" &amp; ADDRESS(423, 'Additional Chemicals-WUO_TRK'!A423),_xlfn.TEXTAFTER('Additional Chemicals-WUO_ERR'!A423, ":"))))</f>
        <v/>
      </c>
    </row>
    <row r="424">
      <c r="A424" s="39">
        <f>IF('Additional Chemicals'!B424 = "", "", IF('Additional Chemicals-WUO_ERR'!A424 = "", "Validated", HYPERLINK("#" &amp; ADDRESS(424, 'Additional Chemicals-WUO_TRK'!A424),_xlfn.TEXTAFTER('Additional Chemicals-WUO_ERR'!A424, ":"))))</f>
        <v/>
      </c>
    </row>
    <row r="425">
      <c r="A425" s="39">
        <f>IF('Additional Chemicals'!B425 = "", "", IF('Additional Chemicals-WUO_ERR'!A425 = "", "Validated", HYPERLINK("#" &amp; ADDRESS(425, 'Additional Chemicals-WUO_TRK'!A425),_xlfn.TEXTAFTER('Additional Chemicals-WUO_ERR'!A425, ":"))))</f>
        <v/>
      </c>
    </row>
    <row r="426">
      <c r="A426" s="39">
        <f>IF('Additional Chemicals'!B426 = "", "", IF('Additional Chemicals-WUO_ERR'!A426 = "", "Validated", HYPERLINK("#" &amp; ADDRESS(426, 'Additional Chemicals-WUO_TRK'!A426),_xlfn.TEXTAFTER('Additional Chemicals-WUO_ERR'!A426, ":"))))</f>
        <v/>
      </c>
    </row>
    <row r="427">
      <c r="A427" s="39">
        <f>IF('Additional Chemicals'!B427 = "", "", IF('Additional Chemicals-WUO_ERR'!A427 = "", "Validated", HYPERLINK("#" &amp; ADDRESS(427, 'Additional Chemicals-WUO_TRK'!A427),_xlfn.TEXTAFTER('Additional Chemicals-WUO_ERR'!A427, ":"))))</f>
        <v/>
      </c>
    </row>
    <row r="428">
      <c r="A428" s="39">
        <f>IF('Additional Chemicals'!B428 = "", "", IF('Additional Chemicals-WUO_ERR'!A428 = "", "Validated", HYPERLINK("#" &amp; ADDRESS(428, 'Additional Chemicals-WUO_TRK'!A428),_xlfn.TEXTAFTER('Additional Chemicals-WUO_ERR'!A428, ":"))))</f>
        <v/>
      </c>
    </row>
    <row r="429">
      <c r="A429" s="39">
        <f>IF('Additional Chemicals'!B429 = "", "", IF('Additional Chemicals-WUO_ERR'!A429 = "", "Validated", HYPERLINK("#" &amp; ADDRESS(429, 'Additional Chemicals-WUO_TRK'!A429),_xlfn.TEXTAFTER('Additional Chemicals-WUO_ERR'!A429, ":"))))</f>
        <v/>
      </c>
    </row>
    <row r="430">
      <c r="A430" s="39">
        <f>IF('Additional Chemicals'!B430 = "", "", IF('Additional Chemicals-WUO_ERR'!A430 = "", "Validated", HYPERLINK("#" &amp; ADDRESS(430, 'Additional Chemicals-WUO_TRK'!A430),_xlfn.TEXTAFTER('Additional Chemicals-WUO_ERR'!A430, ":"))))</f>
        <v/>
      </c>
    </row>
    <row r="431">
      <c r="A431" s="39">
        <f>IF('Additional Chemicals'!B431 = "", "", IF('Additional Chemicals-WUO_ERR'!A431 = "", "Validated", HYPERLINK("#" &amp; ADDRESS(431, 'Additional Chemicals-WUO_TRK'!A431),_xlfn.TEXTAFTER('Additional Chemicals-WUO_ERR'!A431, ":"))))</f>
        <v/>
      </c>
    </row>
    <row r="432">
      <c r="A432" s="39">
        <f>IF('Additional Chemicals'!B432 = "", "", IF('Additional Chemicals-WUO_ERR'!A432 = "", "Validated", HYPERLINK("#" &amp; ADDRESS(432, 'Additional Chemicals-WUO_TRK'!A432),_xlfn.TEXTAFTER('Additional Chemicals-WUO_ERR'!A432, ":"))))</f>
        <v/>
      </c>
    </row>
    <row r="433">
      <c r="A433" s="39">
        <f>IF('Additional Chemicals'!B433 = "", "", IF('Additional Chemicals-WUO_ERR'!A433 = "", "Validated", HYPERLINK("#" &amp; ADDRESS(433, 'Additional Chemicals-WUO_TRK'!A433),_xlfn.TEXTAFTER('Additional Chemicals-WUO_ERR'!A433, ":"))))</f>
        <v/>
      </c>
    </row>
    <row r="434">
      <c r="A434" s="39">
        <f>IF('Additional Chemicals'!B434 = "", "", IF('Additional Chemicals-WUO_ERR'!A434 = "", "Validated", HYPERLINK("#" &amp; ADDRESS(434, 'Additional Chemicals-WUO_TRK'!A434),_xlfn.TEXTAFTER('Additional Chemicals-WUO_ERR'!A434, ":"))))</f>
        <v/>
      </c>
    </row>
    <row r="435">
      <c r="A435" s="39">
        <f>IF('Additional Chemicals'!B435 = "", "", IF('Additional Chemicals-WUO_ERR'!A435 = "", "Validated", HYPERLINK("#" &amp; ADDRESS(435, 'Additional Chemicals-WUO_TRK'!A435),_xlfn.TEXTAFTER('Additional Chemicals-WUO_ERR'!A435, ":"))))</f>
        <v/>
      </c>
    </row>
    <row r="436">
      <c r="A436" s="39">
        <f>IF('Additional Chemicals'!B436 = "", "", IF('Additional Chemicals-WUO_ERR'!A436 = "", "Validated", HYPERLINK("#" &amp; ADDRESS(436, 'Additional Chemicals-WUO_TRK'!A436),_xlfn.TEXTAFTER('Additional Chemicals-WUO_ERR'!A436, ":"))))</f>
        <v/>
      </c>
    </row>
    <row r="437">
      <c r="A437" s="39">
        <f>IF('Additional Chemicals'!B437 = "", "", IF('Additional Chemicals-WUO_ERR'!A437 = "", "Validated", HYPERLINK("#" &amp; ADDRESS(437, 'Additional Chemicals-WUO_TRK'!A437),_xlfn.TEXTAFTER('Additional Chemicals-WUO_ERR'!A437, ":"))))</f>
        <v/>
      </c>
    </row>
    <row r="438">
      <c r="A438" s="39">
        <f>IF('Additional Chemicals'!B438 = "", "", IF('Additional Chemicals-WUO_ERR'!A438 = "", "Validated", HYPERLINK("#" &amp; ADDRESS(438, 'Additional Chemicals-WUO_TRK'!A438),_xlfn.TEXTAFTER('Additional Chemicals-WUO_ERR'!A438, ":"))))</f>
        <v/>
      </c>
    </row>
    <row r="439">
      <c r="A439" s="39">
        <f>IF('Additional Chemicals'!B439 = "", "", IF('Additional Chemicals-WUO_ERR'!A439 = "", "Validated", HYPERLINK("#" &amp; ADDRESS(439, 'Additional Chemicals-WUO_TRK'!A439),_xlfn.TEXTAFTER('Additional Chemicals-WUO_ERR'!A439, ":"))))</f>
        <v/>
      </c>
    </row>
    <row r="440">
      <c r="A440" s="39">
        <f>IF('Additional Chemicals'!B440 = "", "", IF('Additional Chemicals-WUO_ERR'!A440 = "", "Validated", HYPERLINK("#" &amp; ADDRESS(440, 'Additional Chemicals-WUO_TRK'!A440),_xlfn.TEXTAFTER('Additional Chemicals-WUO_ERR'!A440, ":"))))</f>
        <v/>
      </c>
    </row>
    <row r="441">
      <c r="A441" s="39">
        <f>IF('Additional Chemicals'!B441 = "", "", IF('Additional Chemicals-WUO_ERR'!A441 = "", "Validated", HYPERLINK("#" &amp; ADDRESS(441, 'Additional Chemicals-WUO_TRK'!A441),_xlfn.TEXTAFTER('Additional Chemicals-WUO_ERR'!A441, ":"))))</f>
        <v/>
      </c>
    </row>
    <row r="442">
      <c r="A442" s="39">
        <f>IF('Additional Chemicals'!B442 = "", "", IF('Additional Chemicals-WUO_ERR'!A442 = "", "Validated", HYPERLINK("#" &amp; ADDRESS(442, 'Additional Chemicals-WUO_TRK'!A442),_xlfn.TEXTAFTER('Additional Chemicals-WUO_ERR'!A442, ":"))))</f>
        <v/>
      </c>
    </row>
    <row r="443">
      <c r="A443" s="39">
        <f>IF('Additional Chemicals'!B443 = "", "", IF('Additional Chemicals-WUO_ERR'!A443 = "", "Validated", HYPERLINK("#" &amp; ADDRESS(443, 'Additional Chemicals-WUO_TRK'!A443),_xlfn.TEXTAFTER('Additional Chemicals-WUO_ERR'!A443, ":"))))</f>
        <v/>
      </c>
    </row>
    <row r="444">
      <c r="A444" s="39">
        <f>IF('Additional Chemicals'!B444 = "", "", IF('Additional Chemicals-WUO_ERR'!A444 = "", "Validated", HYPERLINK("#" &amp; ADDRESS(444, 'Additional Chemicals-WUO_TRK'!A444),_xlfn.TEXTAFTER('Additional Chemicals-WUO_ERR'!A444, ":"))))</f>
        <v/>
      </c>
    </row>
    <row r="445">
      <c r="A445" s="39">
        <f>IF('Additional Chemicals'!B445 = "", "", IF('Additional Chemicals-WUO_ERR'!A445 = "", "Validated", HYPERLINK("#" &amp; ADDRESS(445, 'Additional Chemicals-WUO_TRK'!A445),_xlfn.TEXTAFTER('Additional Chemicals-WUO_ERR'!A445, ":"))))</f>
        <v/>
      </c>
    </row>
    <row r="446">
      <c r="A446" s="39">
        <f>IF('Additional Chemicals'!B446 = "", "", IF('Additional Chemicals-WUO_ERR'!A446 = "", "Validated", HYPERLINK("#" &amp; ADDRESS(446, 'Additional Chemicals-WUO_TRK'!A446),_xlfn.TEXTAFTER('Additional Chemicals-WUO_ERR'!A446, ":"))))</f>
        <v/>
      </c>
    </row>
    <row r="447">
      <c r="A447" s="39">
        <f>IF('Additional Chemicals'!B447 = "", "", IF('Additional Chemicals-WUO_ERR'!A447 = "", "Validated", HYPERLINK("#" &amp; ADDRESS(447, 'Additional Chemicals-WUO_TRK'!A447),_xlfn.TEXTAFTER('Additional Chemicals-WUO_ERR'!A447, ":"))))</f>
        <v/>
      </c>
    </row>
    <row r="448">
      <c r="A448" s="39">
        <f>IF('Additional Chemicals'!B448 = "", "", IF('Additional Chemicals-WUO_ERR'!A448 = "", "Validated", HYPERLINK("#" &amp; ADDRESS(448, 'Additional Chemicals-WUO_TRK'!A448),_xlfn.TEXTAFTER('Additional Chemicals-WUO_ERR'!A448, ":"))))</f>
        <v/>
      </c>
    </row>
    <row r="449">
      <c r="A449" s="39">
        <f>IF('Additional Chemicals'!B449 = "", "", IF('Additional Chemicals-WUO_ERR'!A449 = "", "Validated", HYPERLINK("#" &amp; ADDRESS(449, 'Additional Chemicals-WUO_TRK'!A449),_xlfn.TEXTAFTER('Additional Chemicals-WUO_ERR'!A449, ":"))))</f>
        <v/>
      </c>
    </row>
    <row r="450">
      <c r="A450" s="39">
        <f>IF('Additional Chemicals'!B450 = "", "", IF('Additional Chemicals-WUO_ERR'!A450 = "", "Validated", HYPERLINK("#" &amp; ADDRESS(450, 'Additional Chemicals-WUO_TRK'!A450),_xlfn.TEXTAFTER('Additional Chemicals-WUO_ERR'!A450, ":"))))</f>
        <v/>
      </c>
    </row>
    <row r="451">
      <c r="A451" s="39">
        <f>IF('Additional Chemicals'!B451 = "", "", IF('Additional Chemicals-WUO_ERR'!A451 = "", "Validated", HYPERLINK("#" &amp; ADDRESS(451, 'Additional Chemicals-WUO_TRK'!A451),_xlfn.TEXTAFTER('Additional Chemicals-WUO_ERR'!A451, ":"))))</f>
        <v/>
      </c>
    </row>
    <row r="452">
      <c r="A452" s="39">
        <f>IF('Additional Chemicals'!B452 = "", "", IF('Additional Chemicals-WUO_ERR'!A452 = "", "Validated", HYPERLINK("#" &amp; ADDRESS(452, 'Additional Chemicals-WUO_TRK'!A452),_xlfn.TEXTAFTER('Additional Chemicals-WUO_ERR'!A452, ":"))))</f>
        <v/>
      </c>
    </row>
    <row r="453">
      <c r="A453" s="39">
        <f>IF('Additional Chemicals'!B453 = "", "", IF('Additional Chemicals-WUO_ERR'!A453 = "", "Validated", HYPERLINK("#" &amp; ADDRESS(453, 'Additional Chemicals-WUO_TRK'!A453),_xlfn.TEXTAFTER('Additional Chemicals-WUO_ERR'!A453, ":"))))</f>
        <v/>
      </c>
    </row>
    <row r="454">
      <c r="A454" s="39">
        <f>IF('Additional Chemicals'!B454 = "", "", IF('Additional Chemicals-WUO_ERR'!A454 = "", "Validated", HYPERLINK("#" &amp; ADDRESS(454, 'Additional Chemicals-WUO_TRK'!A454),_xlfn.TEXTAFTER('Additional Chemicals-WUO_ERR'!A454, ":"))))</f>
        <v/>
      </c>
    </row>
    <row r="455">
      <c r="A455" s="39">
        <f>IF('Additional Chemicals'!B455 = "", "", IF('Additional Chemicals-WUO_ERR'!A455 = "", "Validated", HYPERLINK("#" &amp; ADDRESS(455, 'Additional Chemicals-WUO_TRK'!A455),_xlfn.TEXTAFTER('Additional Chemicals-WUO_ERR'!A455, ":"))))</f>
        <v/>
      </c>
    </row>
    <row r="456">
      <c r="A456" s="39">
        <f>IF('Additional Chemicals'!B456 = "", "", IF('Additional Chemicals-WUO_ERR'!A456 = "", "Validated", HYPERLINK("#" &amp; ADDRESS(456, 'Additional Chemicals-WUO_TRK'!A456),_xlfn.TEXTAFTER('Additional Chemicals-WUO_ERR'!A456, ":"))))</f>
        <v/>
      </c>
    </row>
    <row r="457">
      <c r="A457" s="39">
        <f>IF('Additional Chemicals'!B457 = "", "", IF('Additional Chemicals-WUO_ERR'!A457 = "", "Validated", HYPERLINK("#" &amp; ADDRESS(457, 'Additional Chemicals-WUO_TRK'!A457),_xlfn.TEXTAFTER('Additional Chemicals-WUO_ERR'!A457, ":"))))</f>
        <v/>
      </c>
    </row>
    <row r="458">
      <c r="A458" s="39">
        <f>IF('Additional Chemicals'!B458 = "", "", IF('Additional Chemicals-WUO_ERR'!A458 = "", "Validated", HYPERLINK("#" &amp; ADDRESS(458, 'Additional Chemicals-WUO_TRK'!A458),_xlfn.TEXTAFTER('Additional Chemicals-WUO_ERR'!A458, ":"))))</f>
        <v/>
      </c>
    </row>
    <row r="459">
      <c r="A459" s="39">
        <f>IF('Additional Chemicals'!B459 = "", "", IF('Additional Chemicals-WUO_ERR'!A459 = "", "Validated", HYPERLINK("#" &amp; ADDRESS(459, 'Additional Chemicals-WUO_TRK'!A459),_xlfn.TEXTAFTER('Additional Chemicals-WUO_ERR'!A459, ":"))))</f>
        <v/>
      </c>
    </row>
    <row r="460">
      <c r="A460" s="39">
        <f>IF('Additional Chemicals'!B460 = "", "", IF('Additional Chemicals-WUO_ERR'!A460 = "", "Validated", HYPERLINK("#" &amp; ADDRESS(460, 'Additional Chemicals-WUO_TRK'!A460),_xlfn.TEXTAFTER('Additional Chemicals-WUO_ERR'!A460, ":"))))</f>
        <v/>
      </c>
    </row>
    <row r="461">
      <c r="A461" s="39">
        <f>IF('Additional Chemicals'!B461 = "", "", IF('Additional Chemicals-WUO_ERR'!A461 = "", "Validated", HYPERLINK("#" &amp; ADDRESS(461, 'Additional Chemicals-WUO_TRK'!A461),_xlfn.TEXTAFTER('Additional Chemicals-WUO_ERR'!A461, ":"))))</f>
        <v/>
      </c>
    </row>
    <row r="462">
      <c r="A462" s="39">
        <f>IF('Additional Chemicals'!B462 = "", "", IF('Additional Chemicals-WUO_ERR'!A462 = "", "Validated", HYPERLINK("#" &amp; ADDRESS(462, 'Additional Chemicals-WUO_TRK'!A462),_xlfn.TEXTAFTER('Additional Chemicals-WUO_ERR'!A462, ":"))))</f>
        <v/>
      </c>
    </row>
    <row r="463">
      <c r="A463" s="39">
        <f>IF('Additional Chemicals'!B463 = "", "", IF('Additional Chemicals-WUO_ERR'!A463 = "", "Validated", HYPERLINK("#" &amp; ADDRESS(463, 'Additional Chemicals-WUO_TRK'!A463),_xlfn.TEXTAFTER('Additional Chemicals-WUO_ERR'!A463, ":"))))</f>
        <v/>
      </c>
    </row>
    <row r="464">
      <c r="A464" s="39">
        <f>IF('Additional Chemicals'!B464 = "", "", IF('Additional Chemicals-WUO_ERR'!A464 = "", "Validated", HYPERLINK("#" &amp; ADDRESS(464, 'Additional Chemicals-WUO_TRK'!A464),_xlfn.TEXTAFTER('Additional Chemicals-WUO_ERR'!A464, ":"))))</f>
        <v/>
      </c>
    </row>
    <row r="465">
      <c r="A465" s="39">
        <f>IF('Additional Chemicals'!B465 = "", "", IF('Additional Chemicals-WUO_ERR'!A465 = "", "Validated", HYPERLINK("#" &amp; ADDRESS(465, 'Additional Chemicals-WUO_TRK'!A465),_xlfn.TEXTAFTER('Additional Chemicals-WUO_ERR'!A465, ":"))))</f>
        <v/>
      </c>
    </row>
    <row r="466">
      <c r="A466" s="39">
        <f>IF('Additional Chemicals'!B466 = "", "", IF('Additional Chemicals-WUO_ERR'!A466 = "", "Validated", HYPERLINK("#" &amp; ADDRESS(466, 'Additional Chemicals-WUO_TRK'!A466),_xlfn.TEXTAFTER('Additional Chemicals-WUO_ERR'!A466, ":"))))</f>
        <v/>
      </c>
    </row>
    <row r="467">
      <c r="A467" s="39">
        <f>IF('Additional Chemicals'!B467 = "", "", IF('Additional Chemicals-WUO_ERR'!A467 = "", "Validated", HYPERLINK("#" &amp; ADDRESS(467, 'Additional Chemicals-WUO_TRK'!A467),_xlfn.TEXTAFTER('Additional Chemicals-WUO_ERR'!A467, ":"))))</f>
        <v/>
      </c>
    </row>
    <row r="468">
      <c r="A468" s="39">
        <f>IF('Additional Chemicals'!B468 = "", "", IF('Additional Chemicals-WUO_ERR'!A468 = "", "Validated", HYPERLINK("#" &amp; ADDRESS(468, 'Additional Chemicals-WUO_TRK'!A468),_xlfn.TEXTAFTER('Additional Chemicals-WUO_ERR'!A468, ":"))))</f>
        <v/>
      </c>
    </row>
    <row r="469">
      <c r="A469" s="39">
        <f>IF('Additional Chemicals'!B469 = "", "", IF('Additional Chemicals-WUO_ERR'!A469 = "", "Validated", HYPERLINK("#" &amp; ADDRESS(469, 'Additional Chemicals-WUO_TRK'!A469),_xlfn.TEXTAFTER('Additional Chemicals-WUO_ERR'!A469, ":"))))</f>
        <v/>
      </c>
    </row>
    <row r="470">
      <c r="A470" s="39">
        <f>IF('Additional Chemicals'!B470 = "", "", IF('Additional Chemicals-WUO_ERR'!A470 = "", "Validated", HYPERLINK("#" &amp; ADDRESS(470, 'Additional Chemicals-WUO_TRK'!A470),_xlfn.TEXTAFTER('Additional Chemicals-WUO_ERR'!A470, ":"))))</f>
        <v/>
      </c>
    </row>
    <row r="471">
      <c r="A471" s="39">
        <f>IF('Additional Chemicals'!B471 = "", "", IF('Additional Chemicals-WUO_ERR'!A471 = "", "Validated", HYPERLINK("#" &amp; ADDRESS(471, 'Additional Chemicals-WUO_TRK'!A471),_xlfn.TEXTAFTER('Additional Chemicals-WUO_ERR'!A471, ":"))))</f>
        <v/>
      </c>
    </row>
    <row r="472">
      <c r="A472" s="39">
        <f>IF('Additional Chemicals'!B472 = "", "", IF('Additional Chemicals-WUO_ERR'!A472 = "", "Validated", HYPERLINK("#" &amp; ADDRESS(472, 'Additional Chemicals-WUO_TRK'!A472),_xlfn.TEXTAFTER('Additional Chemicals-WUO_ERR'!A472, ":"))))</f>
        <v/>
      </c>
    </row>
    <row r="473">
      <c r="A473" s="39">
        <f>IF('Additional Chemicals'!B473 = "", "", IF('Additional Chemicals-WUO_ERR'!A473 = "", "Validated", HYPERLINK("#" &amp; ADDRESS(473, 'Additional Chemicals-WUO_TRK'!A473),_xlfn.TEXTAFTER('Additional Chemicals-WUO_ERR'!A473, ":"))))</f>
        <v/>
      </c>
    </row>
    <row r="474">
      <c r="A474" s="39">
        <f>IF('Additional Chemicals'!B474 = "", "", IF('Additional Chemicals-WUO_ERR'!A474 = "", "Validated", HYPERLINK("#" &amp; ADDRESS(474, 'Additional Chemicals-WUO_TRK'!A474),_xlfn.TEXTAFTER('Additional Chemicals-WUO_ERR'!A474, ":"))))</f>
        <v/>
      </c>
    </row>
    <row r="475">
      <c r="A475" s="39">
        <f>IF('Additional Chemicals'!B475 = "", "", IF('Additional Chemicals-WUO_ERR'!A475 = "", "Validated", HYPERLINK("#" &amp; ADDRESS(475, 'Additional Chemicals-WUO_TRK'!A475),_xlfn.TEXTAFTER('Additional Chemicals-WUO_ERR'!A475, ":"))))</f>
        <v/>
      </c>
    </row>
    <row r="476">
      <c r="A476" s="39">
        <f>IF('Additional Chemicals'!B476 = "", "", IF('Additional Chemicals-WUO_ERR'!A476 = "", "Validated", HYPERLINK("#" &amp; ADDRESS(476, 'Additional Chemicals-WUO_TRK'!A476),_xlfn.TEXTAFTER('Additional Chemicals-WUO_ERR'!A476, ":"))))</f>
        <v/>
      </c>
    </row>
    <row r="477">
      <c r="A477" s="39">
        <f>IF('Additional Chemicals'!B477 = "", "", IF('Additional Chemicals-WUO_ERR'!A477 = "", "Validated", HYPERLINK("#" &amp; ADDRESS(477, 'Additional Chemicals-WUO_TRK'!A477),_xlfn.TEXTAFTER('Additional Chemicals-WUO_ERR'!A477, ":"))))</f>
        <v/>
      </c>
    </row>
    <row r="478">
      <c r="A478" s="39">
        <f>IF('Additional Chemicals'!B478 = "", "", IF('Additional Chemicals-WUO_ERR'!A478 = "", "Validated", HYPERLINK("#" &amp; ADDRESS(478, 'Additional Chemicals-WUO_TRK'!A478),_xlfn.TEXTAFTER('Additional Chemicals-WUO_ERR'!A478, ":"))))</f>
        <v/>
      </c>
    </row>
    <row r="479">
      <c r="A479" s="39">
        <f>IF('Additional Chemicals'!B479 = "", "", IF('Additional Chemicals-WUO_ERR'!A479 = "", "Validated", HYPERLINK("#" &amp; ADDRESS(479, 'Additional Chemicals-WUO_TRK'!A479),_xlfn.TEXTAFTER('Additional Chemicals-WUO_ERR'!A479, ":"))))</f>
        <v/>
      </c>
    </row>
    <row r="480">
      <c r="A480" s="39">
        <f>IF('Additional Chemicals'!B480 = "", "", IF('Additional Chemicals-WUO_ERR'!A480 = "", "Validated", HYPERLINK("#" &amp; ADDRESS(480, 'Additional Chemicals-WUO_TRK'!A480),_xlfn.TEXTAFTER('Additional Chemicals-WUO_ERR'!A480, ":"))))</f>
        <v/>
      </c>
    </row>
    <row r="481">
      <c r="A481" s="39">
        <f>IF('Additional Chemicals'!B481 = "", "", IF('Additional Chemicals-WUO_ERR'!A481 = "", "Validated", HYPERLINK("#" &amp; ADDRESS(481, 'Additional Chemicals-WUO_TRK'!A481),_xlfn.TEXTAFTER('Additional Chemicals-WUO_ERR'!A481, ":"))))</f>
        <v/>
      </c>
    </row>
    <row r="482">
      <c r="A482" s="39">
        <f>IF('Additional Chemicals'!B482 = "", "", IF('Additional Chemicals-WUO_ERR'!A482 = "", "Validated", HYPERLINK("#" &amp; ADDRESS(482, 'Additional Chemicals-WUO_TRK'!A482),_xlfn.TEXTAFTER('Additional Chemicals-WUO_ERR'!A482, ":"))))</f>
        <v/>
      </c>
    </row>
    <row r="483">
      <c r="A483" s="39">
        <f>IF('Additional Chemicals'!B483 = "", "", IF('Additional Chemicals-WUO_ERR'!A483 = "", "Validated", HYPERLINK("#" &amp; ADDRESS(483, 'Additional Chemicals-WUO_TRK'!A483),_xlfn.TEXTAFTER('Additional Chemicals-WUO_ERR'!A483, ":"))))</f>
        <v/>
      </c>
    </row>
    <row r="484">
      <c r="A484" s="39">
        <f>IF('Additional Chemicals'!B484 = "", "", IF('Additional Chemicals-WUO_ERR'!A484 = "", "Validated", HYPERLINK("#" &amp; ADDRESS(484, 'Additional Chemicals-WUO_TRK'!A484),_xlfn.TEXTAFTER('Additional Chemicals-WUO_ERR'!A484, ":"))))</f>
        <v/>
      </c>
    </row>
    <row r="485">
      <c r="A485" s="39">
        <f>IF('Additional Chemicals'!B485 = "", "", IF('Additional Chemicals-WUO_ERR'!A485 = "", "Validated", HYPERLINK("#" &amp; ADDRESS(485, 'Additional Chemicals-WUO_TRK'!A485),_xlfn.TEXTAFTER('Additional Chemicals-WUO_ERR'!A485, ":"))))</f>
        <v/>
      </c>
    </row>
    <row r="486">
      <c r="A486" s="39">
        <f>IF('Additional Chemicals'!B486 = "", "", IF('Additional Chemicals-WUO_ERR'!A486 = "", "Validated", HYPERLINK("#" &amp; ADDRESS(486, 'Additional Chemicals-WUO_TRK'!A486),_xlfn.TEXTAFTER('Additional Chemicals-WUO_ERR'!A486, ":"))))</f>
        <v/>
      </c>
    </row>
    <row r="487">
      <c r="A487" s="39">
        <f>IF('Additional Chemicals'!B487 = "", "", IF('Additional Chemicals-WUO_ERR'!A487 = "", "Validated", HYPERLINK("#" &amp; ADDRESS(487, 'Additional Chemicals-WUO_TRK'!A487),_xlfn.TEXTAFTER('Additional Chemicals-WUO_ERR'!A487, ":"))))</f>
        <v/>
      </c>
    </row>
    <row r="488">
      <c r="A488" s="39">
        <f>IF('Additional Chemicals'!B488 = "", "", IF('Additional Chemicals-WUO_ERR'!A488 = "", "Validated", HYPERLINK("#" &amp; ADDRESS(488, 'Additional Chemicals-WUO_TRK'!A488),_xlfn.TEXTAFTER('Additional Chemicals-WUO_ERR'!A488, ":"))))</f>
        <v/>
      </c>
    </row>
    <row r="489">
      <c r="A489" s="39">
        <f>IF('Additional Chemicals'!B489 = "", "", IF('Additional Chemicals-WUO_ERR'!A489 = "", "Validated", HYPERLINK("#" &amp; ADDRESS(489, 'Additional Chemicals-WUO_TRK'!A489),_xlfn.TEXTAFTER('Additional Chemicals-WUO_ERR'!A489, ":"))))</f>
        <v/>
      </c>
    </row>
    <row r="490">
      <c r="A490" s="39">
        <f>IF('Additional Chemicals'!B490 = "", "", IF('Additional Chemicals-WUO_ERR'!A490 = "", "Validated", HYPERLINK("#" &amp; ADDRESS(490, 'Additional Chemicals-WUO_TRK'!A490),_xlfn.TEXTAFTER('Additional Chemicals-WUO_ERR'!A490, ":"))))</f>
        <v/>
      </c>
    </row>
    <row r="491">
      <c r="A491" s="39">
        <f>IF('Additional Chemicals'!B491 = "", "", IF('Additional Chemicals-WUO_ERR'!A491 = "", "Validated", HYPERLINK("#" &amp; ADDRESS(491, 'Additional Chemicals-WUO_TRK'!A491),_xlfn.TEXTAFTER('Additional Chemicals-WUO_ERR'!A491, ":"))))</f>
        <v/>
      </c>
    </row>
    <row r="492">
      <c r="A492" s="39">
        <f>IF('Additional Chemicals'!B492 = "", "", IF('Additional Chemicals-WUO_ERR'!A492 = "", "Validated", HYPERLINK("#" &amp; ADDRESS(492, 'Additional Chemicals-WUO_TRK'!A492),_xlfn.TEXTAFTER('Additional Chemicals-WUO_ERR'!A492, ":"))))</f>
        <v/>
      </c>
    </row>
    <row r="493">
      <c r="A493" s="39">
        <f>IF('Additional Chemicals'!B493 = "", "", IF('Additional Chemicals-WUO_ERR'!A493 = "", "Validated", HYPERLINK("#" &amp; ADDRESS(493, 'Additional Chemicals-WUO_TRK'!A493),_xlfn.TEXTAFTER('Additional Chemicals-WUO_ERR'!A493, ":"))))</f>
        <v/>
      </c>
    </row>
    <row r="494">
      <c r="A494" s="39">
        <f>IF('Additional Chemicals'!B494 = "", "", IF('Additional Chemicals-WUO_ERR'!A494 = "", "Validated", HYPERLINK("#" &amp; ADDRESS(494, 'Additional Chemicals-WUO_TRK'!A494),_xlfn.TEXTAFTER('Additional Chemicals-WUO_ERR'!A494, ":"))))</f>
        <v/>
      </c>
    </row>
    <row r="495">
      <c r="A495" s="39">
        <f>IF('Additional Chemicals'!B495 = "", "", IF('Additional Chemicals-WUO_ERR'!A495 = "", "Validated", HYPERLINK("#" &amp; ADDRESS(495, 'Additional Chemicals-WUO_TRK'!A495),_xlfn.TEXTAFTER('Additional Chemicals-WUO_ERR'!A495, ":"))))</f>
        <v/>
      </c>
    </row>
    <row r="496">
      <c r="A496" s="39">
        <f>IF('Additional Chemicals'!B496 = "", "", IF('Additional Chemicals-WUO_ERR'!A496 = "", "Validated", HYPERLINK("#" &amp; ADDRESS(496, 'Additional Chemicals-WUO_TRK'!A496),_xlfn.TEXTAFTER('Additional Chemicals-WUO_ERR'!A496, ":"))))</f>
        <v/>
      </c>
    </row>
    <row r="497">
      <c r="A497" s="39">
        <f>IF('Additional Chemicals'!B497 = "", "", IF('Additional Chemicals-WUO_ERR'!A497 = "", "Validated", HYPERLINK("#" &amp; ADDRESS(497, 'Additional Chemicals-WUO_TRK'!A497),_xlfn.TEXTAFTER('Additional Chemicals-WUO_ERR'!A497, ":"))))</f>
        <v/>
      </c>
    </row>
    <row r="498">
      <c r="A498" s="39">
        <f>IF('Additional Chemicals'!B498 = "", "", IF('Additional Chemicals-WUO_ERR'!A498 = "", "Validated", HYPERLINK("#" &amp; ADDRESS(498, 'Additional Chemicals-WUO_TRK'!A498),_xlfn.TEXTAFTER('Additional Chemicals-WUO_ERR'!A498, ":"))))</f>
        <v/>
      </c>
    </row>
    <row r="499">
      <c r="A499" s="39">
        <f>IF('Additional Chemicals'!B499 = "", "", IF('Additional Chemicals-WUO_ERR'!A499 = "", "Validated", HYPERLINK("#" &amp; ADDRESS(499, 'Additional Chemicals-WUO_TRK'!A499),_xlfn.TEXTAFTER('Additional Chemicals-WUO_ERR'!A499, ":"))))</f>
        <v/>
      </c>
    </row>
    <row r="500">
      <c r="A500" s="39">
        <f>IF('Additional Chemicals'!B500 = "", "", IF('Additional Chemicals-WUO_ERR'!A500 = "", "Validated", HYPERLINK("#" &amp; ADDRESS(500, 'Additional Chemicals-WUO_TRK'!A500),_xlfn.TEXTAFTER('Additional Chemicals-WUO_ERR'!A500, ":"))))</f>
        <v/>
      </c>
    </row>
    <row r="501">
      <c r="A501" s="39">
        <f>IF('Additional Chemicals'!B501 = "", "", IF('Additional Chemicals-WUO_ERR'!A501 = "", "Validated", HYPERLINK("#" &amp; ADDRESS(501, 'Additional Chemicals-WUO_TRK'!A501),_xlfn.TEXTAFTER('Additional Chemicals-WUO_ERR'!A501, ":"))))</f>
        <v/>
      </c>
    </row>
    <row r="502">
      <c r="A502" s="39">
        <f>IF('Additional Chemicals'!B502 = "", "", IF('Additional Chemicals-WUO_ERR'!A502 = "", "Validated", HYPERLINK("#" &amp; ADDRESS(502, 'Additional Chemicals-WUO_TRK'!A502),_xlfn.TEXTAFTER('Additional Chemicals-WUO_ERR'!A502, ":"))))</f>
        <v/>
      </c>
    </row>
    <row r="503">
      <c r="A503" s="39">
        <f>IF('Additional Chemicals'!B503 = "", "", IF('Additional Chemicals-WUO_ERR'!A503 = "", "Validated", HYPERLINK("#" &amp; ADDRESS(503, 'Additional Chemicals-WUO_TRK'!A503),_xlfn.TEXTAFTER('Additional Chemicals-WUO_ERR'!A503, ":"))))</f>
        <v/>
      </c>
    </row>
    <row r="504">
      <c r="A504" s="39">
        <f>IF('Additional Chemicals'!B504 = "", "", IF('Additional Chemicals-WUO_ERR'!A504 = "", "Validated", HYPERLINK("#" &amp; ADDRESS(504, 'Additional Chemicals-WUO_TRK'!A504),_xlfn.TEXTAFTER('Additional Chemicals-WUO_ERR'!A504, ":"))))</f>
        <v/>
      </c>
    </row>
    <row r="505">
      <c r="A505" s="39">
        <f>IF('Additional Chemicals'!B505 = "", "", IF('Additional Chemicals-WUO_ERR'!A505 = "", "Validated", HYPERLINK("#" &amp; ADDRESS(505, 'Additional Chemicals-WUO_TRK'!A505),_xlfn.TEXTAFTER('Additional Chemicals-WUO_ERR'!A505, ":"))))</f>
        <v/>
      </c>
    </row>
    <row r="506">
      <c r="A506" s="39">
        <f>IF('Additional Chemicals'!B506 = "", "", IF('Additional Chemicals-WUO_ERR'!A506 = "", "Validated", HYPERLINK("#" &amp; ADDRESS(506, 'Additional Chemicals-WUO_TRK'!A506),_xlfn.TEXTAFTER('Additional Chemicals-WUO_ERR'!A506, ":"))))</f>
        <v/>
      </c>
    </row>
    <row r="507">
      <c r="A507" s="39">
        <f>IF('Additional Chemicals'!B507 = "", "", IF('Additional Chemicals-WUO_ERR'!A507 = "", "Validated", HYPERLINK("#" &amp; ADDRESS(507, 'Additional Chemicals-WUO_TRK'!A507),_xlfn.TEXTAFTER('Additional Chemicals-WUO_ERR'!A507, ":"))))</f>
        <v/>
      </c>
    </row>
  </sheetData>
  <sheetProtection selectLockedCells="0" selectUnlockedCells="0" sheet="1" objects="1" insertRows="1" insertHyperlinks="1" autoFilter="1" scenarios="1" formatColumns="0" deleteColumns="1" insertColumns="1" pivotTables="1" deleteRows="1" formatCells="1" formatRows="0" sort="1" password="8F06"/>
  <mergeCells count="1">
    <mergeCell ref="C2:D2"/>
  </mergeCells>
  <conditionalFormatting sqref="A7:A507">
    <cfRule type="expression" priority="5" dxfId="4">
      <formula>A7="Validated"</formula>
    </cfRule>
    <cfRule type="expression" priority="6" dxfId="5">
      <formula>OR(COUNTIF('Additional Chemicals-WUO_TRK'!B7:E7,"Error"),COUNTIF('Additional Chemicals-WUO_TRK'!B7:E7,"Required"))</formula>
    </cfRule>
    <cfRule type="expression" priority="7" dxfId="6">
      <formula>COUNTIF('Additional Chemicals-WUO_TRK'!B7:E7,"Warning")</formula>
    </cfRule>
  </conditionalFormatting>
  <conditionalFormatting sqref="B7:E507">
    <cfRule type="expression" priority="1" dxfId="0">
      <formula>'Additional Chemicals-WUO_TRK'!B7="Error"</formula>
    </cfRule>
    <cfRule type="expression" priority="2" dxfId="1">
      <formula>'Additional Chemicals-WUO_TRK'!B7="Required"</formula>
    </cfRule>
    <cfRule type="expression" priority="3" dxfId="2">
      <formula>'Additional Chemicals-WUO_TRK'!B7="Warning"</formula>
    </cfRule>
    <cfRule type="expression" priority="4" dxfId="3">
      <formula>'Additional Chemicals-WUO_TRK'!B7="Disabled"</formula>
    </cfRule>
  </conditionalFormatting>
  <dataValidations count="1">
    <dataValidation sqref="C7:C2500" showDropDown="0" showInputMessage="1" showErrorMessage="1" allowBlank="1" errorTitle="Invalid Chemical" error="The value provided is not a valid Chemical." promptTitle="Chemical" prompt="Please select a valid Chemical" type="list">
      <formula1>'WAYFAIR_USE_ONLY'!$AT$7:$AT908</formula1>
    </dataValidation>
  </dataValidations>
  <hyperlinks>
    <hyperlink ref="C6" location="'Valid Values'!L1" display="Select"/>
    <hyperlink ref="D6" location="'Valid Values'!M1" display="Please choose one or more from the following, using a semicolon (;) to separate each value: Cancer; Developmental"/>
  </hyperlink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style="22" min="2" max="2"/>
    <col width="13.7109375" customWidth="1" style="22" min="3" max="4"/>
  </cols>
  <sheetData>
    <row r="1" hidden="1">
      <c r="B1" s="22" t="inlineStr">
        <is>
          <t>core::supplierPartNumber</t>
        </is>
      </c>
      <c r="C1" s="22" t="inlineStr">
        <is>
          <t>propSixtyFive::chemicalId</t>
        </is>
      </c>
      <c r="D1" s="22" t="inlineStr">
        <is>
          <t>propSixtyFive::toxicity</t>
        </is>
      </c>
    </row>
    <row r="3">
      <c r="B3" s="32" t="inlineStr">
        <is>
          <t>Required</t>
        </is>
      </c>
      <c r="C3" s="32" t="inlineStr">
        <is>
          <t>Conditional</t>
        </is>
      </c>
      <c r="D3" s="32" t="inlineStr">
        <is>
          <t>Conditional</t>
        </is>
      </c>
    </row>
    <row r="4" ht="50" customHeight="1">
      <c r="B4" s="19" t="inlineStr">
        <is>
          <t>Supplier Part Number</t>
        </is>
      </c>
      <c r="C4" s="19" t="inlineStr">
        <is>
          <t>Chemical</t>
        </is>
      </c>
      <c r="D4" s="19" t="inlineStr">
        <is>
          <t>Toxicity</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Select the chemical that requires the Prop65 warning.</t>
        </is>
      </c>
      <c r="D5" s="35" t="inlineStr">
        <is>
          <t>Select the toxicity that can result from the selected chemical.</t>
        </is>
      </c>
    </row>
    <row r="6" ht="50" customHeight="1">
      <c r="B6" s="35" t="inlineStr">
        <is>
          <t>Text</t>
        </is>
      </c>
      <c r="C6" s="36" t="inlineStr">
        <is>
          <t>Select</t>
        </is>
      </c>
      <c r="D6" s="36" t="inlineStr">
        <is>
          <t>Please choose one or more from the following, using a semicolon (;) to separate each value: Cancer; Developmental</t>
        </is>
      </c>
    </row>
    <row r="7">
      <c r="A7">
        <f t="array" ref="A7">_xlfn.BYROW(B7:E507, _xlfn.LAMBDA(_xlpm.r, _xlfn.LET(_xlpm.high_priority, IFERROR(INDEX(_xlpm.r, MATCH(TRUE, (_xlpm.r &lt;&gt; "") * ((LEFT(_xlpm.r, 2) = "1:") + (LEFT(_xlpm.r, 2) = "3:")) &gt; 0, 0)), ""), IF(_xlpm.high_priority &lt;&gt; "", _xlpm.high_priority, IFERROR(INDEX(_xlpm.r, MATCH(TRUE, (_xlpm.r &lt;&gt; "") * (LEFT(_xlpm.r, 2) = "4:") &gt; 0, 0)), "")))))</f>
        <v/>
      </c>
      <c r="B7" s="22">
        <f t="array" ref="B7">_xlfn.MAP('Additional Chemicals'!B7:B507, 'Additional Chemicals'!B7:B507,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s="22">
        <f t="array" ref="C7">_xlfn.MAP('Additional Chemicals'!B7:B507, 'Additional Chemicals'!C7:C507, 'Additional Chemicals'!D7:D507, _xlfn.LAMBDA(_xlpm.part, _xlpm.val, _xlpm.dep1, IF(_xlpm.part = "", "", _xlfn.LET(_xlpm.check1, IF(AND(_xlpm.val = "", C$3="Required"), "3:Chemical - Value is required", ""), IF(LEN(_xlpm.check1) &gt; 0, _xlpm.check1, IF(_xlpm.dep1 &lt;&gt; "", IF(_xlpm.val = "", "3:Please provide a chemical", ""), ""))))))</f>
        <v/>
      </c>
      <c r="D7" s="22">
        <f t="array" ref="D7">_xlfn.MAP('Additional Chemicals'!B7:B507, 'Additional Chemicals'!D7:D507, 'Additional Chemicals'!C7:C507, _xlfn.LAMBDA(_xlpm.part, _xlpm.val, _xlpm.dep1,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D$3="Required"), "3:Toxicity - Value is required", ""), IF(LEN(_xlpm.check2) &gt; 0, _xlpm.check2, IF(_xlpm.dep1 &lt;&gt; "", IF(_xlpm.val = "", "3:Please select a toxicity from the provided dropdown", ""), ""))))))))</f>
        <v/>
      </c>
    </row>
  </sheetData>
  <sheetProtection selectLockedCells="0" selectUnlockedCells="0" sheet="1" objects="1" insertRows="1" insertHyperlinks="1" autoFilter="1" scenarios="1" formatColumns="1" deleteColumns="1" insertColumns="1" pivotTables="1" deleteRows="1" formatCells="1" formatRows="1" sort="1" password="D0D7"/>
  <hyperlinks>
    <hyperlink ref="C6" location="'Valid Values'!L1" display="Select"/>
    <hyperlink ref="D6" location="'Valid Values'!M1" display="Please choose one or more from the following, using a semicolon (;) to separate each value: Cancer; Developmental"/>
  </hyperlink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style="22" min="2" max="2"/>
    <col width="13.7109375" customWidth="1" style="22" min="3" max="4"/>
  </cols>
  <sheetData>
    <row r="1" hidden="1">
      <c r="B1" s="22" t="inlineStr">
        <is>
          <t>core::supplierPartNumber</t>
        </is>
      </c>
      <c r="C1" s="22" t="inlineStr">
        <is>
          <t>propSixtyFive::chemicalId</t>
        </is>
      </c>
      <c r="D1" s="22" t="inlineStr">
        <is>
          <t>propSixtyFive::toxicity</t>
        </is>
      </c>
    </row>
    <row r="3">
      <c r="B3" s="32" t="inlineStr">
        <is>
          <t>Required</t>
        </is>
      </c>
      <c r="C3" s="32" t="inlineStr">
        <is>
          <t>Conditional</t>
        </is>
      </c>
      <c r="D3" s="32" t="inlineStr">
        <is>
          <t>Conditional</t>
        </is>
      </c>
    </row>
    <row r="4" ht="50" customHeight="1">
      <c r="B4" s="19" t="inlineStr">
        <is>
          <t>Supplier Part Number</t>
        </is>
      </c>
      <c r="C4" s="19" t="inlineStr">
        <is>
          <t>Chemical</t>
        </is>
      </c>
      <c r="D4" s="19" t="inlineStr">
        <is>
          <t>Toxicity</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Select the chemical that requires the Prop65 warning.</t>
        </is>
      </c>
      <c r="D5" s="35" t="inlineStr">
        <is>
          <t>Select the toxicity that can result from the selected chemical.</t>
        </is>
      </c>
    </row>
    <row r="6" ht="50" customHeight="1">
      <c r="B6" s="35" t="inlineStr">
        <is>
          <t>Text</t>
        </is>
      </c>
      <c r="C6" s="36" t="inlineStr">
        <is>
          <t>Select</t>
        </is>
      </c>
      <c r="D6" s="36" t="inlineStr">
        <is>
          <t>Please choose one or more from the following, using a semicolon (;) to separate each value: Cancer; Developmental</t>
        </is>
      </c>
    </row>
    <row r="7">
      <c r="A7">
        <f t="array" ref="A7">_xlfn.BYROW(B7:E507, _xlfn.LAMBDA(_xlpm.r, _xlfn.LET(_xlpm.high_priority_idx, IFERROR(MATCH(TRUE, (_xlpm.r = "Error") + (_xlpm.r = "Required") &gt; 0, 0), 0), IF(_xlpm.high_priority_idx &gt; 0, _xlpm.high_priority_idx + 1, IFERROR(MATCH(1, (_xlpm.r = "Warning") * 1, 0) + 1, "")))))</f>
        <v/>
      </c>
      <c r="B7" s="22">
        <f t="array" ref="B7">_xlfn.MAP('Additional Chemicals'!B7:B507, 'Additional Chemicals'!B7:B507, 'Additional Chemicals-WUO_ERR'!B7:B507, _xlfn.LAMBDA(_xlpm.part, _xlpm.val, _xlpm.error, IF(_xlpm.part = "", "", IF(LEN(_xlpm.error), _xlfn.SWITCH(IFERROR(_xlfn.TEXTBEFORE(_xlpm.error,":"), ""), "1", "Error", "2", "Disabled", "3", "Required", "4", "Warning", "Valid"), "Valid"))))</f>
        <v/>
      </c>
      <c r="C7" s="22">
        <f t="array" ref="C7">_xlfn.MAP('Additional Chemicals'!B7:B507, 'Additional Chemicals'!C7:C507, 'Additional Chemicals-WUO_ERR'!C7:C507, _xlfn.LAMBDA(_xlpm.part, _xlpm.val, _xlpm.error, IF(_xlpm.part = "", "", IF(LEN(_xlpm.error), _xlfn.SWITCH(IFERROR(_xlfn.TEXTBEFORE(_xlpm.error,":"), ""), "1", "Error", "2", "Disabled", "3", "Required", "4", "Warning", "Valid"), "Valid"))))</f>
        <v/>
      </c>
      <c r="D7" s="22">
        <f t="array" ref="D7">_xlfn.MAP('Additional Chemicals'!B7:B507, 'Additional Chemicals'!D7:D507, 'Additional Chemicals-WUO_ERR'!D7:D507,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F8D0"/>
  <hyperlinks>
    <hyperlink ref="C6" location="'Valid Values'!L1" display="Select"/>
    <hyperlink ref="D6" location="'Valid Values'!M1" display="Please choose one or more from the following, using a semicolon (;) to separate each value: Cancer; Developmental"/>
  </hyperlink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Z507"/>
  <sheetViews>
    <sheetView workbookViewId="0">
      <selection activeCell="A1" sqref="A1"/>
    </sheetView>
  </sheetViews>
  <sheetFormatPr baseColWidth="8" defaultRowHeight="15"/>
  <cols>
    <col width="35.7109375" customWidth="1" min="1" max="1"/>
    <col width="25.7109375" customWidth="1" style="22" min="2" max="2"/>
    <col width="27.7109375" customWidth="1" style="22" min="3" max="3"/>
    <col hidden="1" min="26" max="26"/>
  </cols>
  <sheetData>
    <row r="1" hidden="1">
      <c r="B1" s="22" t="inlineStr">
        <is>
          <t>core::supplierPartNumber</t>
        </is>
      </c>
      <c r="C1" s="22" t="inlineStr">
        <is>
          <t>media::imageValue</t>
        </is>
      </c>
    </row>
    <row r="2">
      <c r="B2" s="23" t="inlineStr">
        <is>
          <t>Basic Information</t>
        </is>
      </c>
      <c r="C2" s="30" t="inlineStr">
        <is>
          <t>Media</t>
        </is>
      </c>
    </row>
    <row r="3">
      <c r="B3" s="32" t="inlineStr">
        <is>
          <t>Required</t>
        </is>
      </c>
      <c r="C3" s="32" t="inlineStr">
        <is>
          <t>Additional</t>
        </is>
      </c>
    </row>
    <row r="4" ht="50" customHeight="1">
      <c r="A4" s="19" t="inlineStr">
        <is>
          <t>Errors</t>
        </is>
      </c>
      <c r="B4" s="19" t="inlineStr">
        <is>
          <t>Supplier Part Number</t>
        </is>
      </c>
      <c r="C4" s="19" t="inlineStr">
        <is>
          <t>Image File Name or URL</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A6" s="35" t="inlineStr">
        <is>
          <t>Read-Only</t>
        </is>
      </c>
      <c r="B6" s="35" t="inlineStr">
        <is>
          <t>Text</t>
        </is>
      </c>
      <c r="C6" s="35" t="inlineStr">
        <is>
          <t>Text</t>
        </is>
      </c>
    </row>
    <row r="7">
      <c r="A7" s="39">
        <f>IF('Additional Images'!B7 = "", "", IF('Additional Images-WUO_ERR'!A7 = "", "Validated", HYPERLINK("#" &amp; ADDRESS(7, 'Additional Images-WUO_TRK'!A7),_xlfn.TEXTAFTER('Additional Images-WUO_ERR'!A7, ":"))))</f>
        <v/>
      </c>
      <c r="Z7">
        <f t="array" ref="Z7">IF(B7:B507="", "", IFERROR(_xlfn.XLOOKUP(B7:B507, _xlfn.VSTACK('3 - Carts &amp; Stands'!B7:B507, '6 - TV Stands &amp; Enterta'!B7:B507, '10 - Office Chairs'!B7:B507, '13 - Dressers &amp; Chests'!B7:B507, '12 - Beds'!B7:B507), _xlfn.VSTACK('3 - Carts &amp; Stands'!G7:G507, '6 - TV Stands &amp; Enterta'!G7:G507, '10 - Office Chairs'!G7:G507, '13 - Dressers &amp; Chests'!G7:G507, '12 - Beds'!G7:G507)), ""))</f>
        <v/>
      </c>
    </row>
    <row r="8">
      <c r="A8" s="39">
        <f>IF('Additional Images'!B8 = "", "", IF('Additional Images-WUO_ERR'!A8 = "", "Validated", HYPERLINK("#" &amp; ADDRESS(8, 'Additional Images-WUO_TRK'!A8),_xlfn.TEXTAFTER('Additional Images-WUO_ERR'!A8, ":"))))</f>
        <v/>
      </c>
    </row>
    <row r="9">
      <c r="A9" s="39">
        <f>IF('Additional Images'!B9 = "", "", IF('Additional Images-WUO_ERR'!A9 = "", "Validated", HYPERLINK("#" &amp; ADDRESS(9, 'Additional Images-WUO_TRK'!A9),_xlfn.TEXTAFTER('Additional Images-WUO_ERR'!A9, ":"))))</f>
        <v/>
      </c>
    </row>
    <row r="10">
      <c r="A10" s="39">
        <f>IF('Additional Images'!B10 = "", "", IF('Additional Images-WUO_ERR'!A10 = "", "Validated", HYPERLINK("#" &amp; ADDRESS(10, 'Additional Images-WUO_TRK'!A10),_xlfn.TEXTAFTER('Additional Images-WUO_ERR'!A10, ":"))))</f>
        <v/>
      </c>
    </row>
    <row r="11">
      <c r="A11" s="39">
        <f>IF('Additional Images'!B11 = "", "", IF('Additional Images-WUO_ERR'!A11 = "", "Validated", HYPERLINK("#" &amp; ADDRESS(11, 'Additional Images-WUO_TRK'!A11),_xlfn.TEXTAFTER('Additional Images-WUO_ERR'!A11, ":"))))</f>
        <v/>
      </c>
    </row>
    <row r="12">
      <c r="A12" s="39">
        <f>IF('Additional Images'!B12 = "", "", IF('Additional Images-WUO_ERR'!A12 = "", "Validated", HYPERLINK("#" &amp; ADDRESS(12, 'Additional Images-WUO_TRK'!A12),_xlfn.TEXTAFTER('Additional Images-WUO_ERR'!A12, ":"))))</f>
        <v/>
      </c>
    </row>
    <row r="13">
      <c r="A13" s="39">
        <f>IF('Additional Images'!B13 = "", "", IF('Additional Images-WUO_ERR'!A13 = "", "Validated", HYPERLINK("#" &amp; ADDRESS(13, 'Additional Images-WUO_TRK'!A13),_xlfn.TEXTAFTER('Additional Images-WUO_ERR'!A13, ":"))))</f>
        <v/>
      </c>
    </row>
    <row r="14">
      <c r="A14" s="39">
        <f>IF('Additional Images'!B14 = "", "", IF('Additional Images-WUO_ERR'!A14 = "", "Validated", HYPERLINK("#" &amp; ADDRESS(14, 'Additional Images-WUO_TRK'!A14),_xlfn.TEXTAFTER('Additional Images-WUO_ERR'!A14, ":"))))</f>
        <v/>
      </c>
    </row>
    <row r="15">
      <c r="A15" s="39">
        <f>IF('Additional Images'!B15 = "", "", IF('Additional Images-WUO_ERR'!A15 = "", "Validated", HYPERLINK("#" &amp; ADDRESS(15, 'Additional Images-WUO_TRK'!A15),_xlfn.TEXTAFTER('Additional Images-WUO_ERR'!A15, ":"))))</f>
        <v/>
      </c>
    </row>
    <row r="16">
      <c r="A16" s="39">
        <f>IF('Additional Images'!B16 = "", "", IF('Additional Images-WUO_ERR'!A16 = "", "Validated", HYPERLINK("#" &amp; ADDRESS(16, 'Additional Images-WUO_TRK'!A16),_xlfn.TEXTAFTER('Additional Images-WUO_ERR'!A16, ":"))))</f>
        <v/>
      </c>
    </row>
    <row r="17">
      <c r="A17" s="39">
        <f>IF('Additional Images'!B17 = "", "", IF('Additional Images-WUO_ERR'!A17 = "", "Validated", HYPERLINK("#" &amp; ADDRESS(17, 'Additional Images-WUO_TRK'!A17),_xlfn.TEXTAFTER('Additional Images-WUO_ERR'!A17, ":"))))</f>
        <v/>
      </c>
    </row>
    <row r="18">
      <c r="A18" s="39">
        <f>IF('Additional Images'!B18 = "", "", IF('Additional Images-WUO_ERR'!A18 = "", "Validated", HYPERLINK("#" &amp; ADDRESS(18, 'Additional Images-WUO_TRK'!A18),_xlfn.TEXTAFTER('Additional Images-WUO_ERR'!A18, ":"))))</f>
        <v/>
      </c>
    </row>
    <row r="19">
      <c r="A19" s="39">
        <f>IF('Additional Images'!B19 = "", "", IF('Additional Images-WUO_ERR'!A19 = "", "Validated", HYPERLINK("#" &amp; ADDRESS(19, 'Additional Images-WUO_TRK'!A19),_xlfn.TEXTAFTER('Additional Images-WUO_ERR'!A19, ":"))))</f>
        <v/>
      </c>
    </row>
    <row r="20">
      <c r="A20" s="39">
        <f>IF('Additional Images'!B20 = "", "", IF('Additional Images-WUO_ERR'!A20 = "", "Validated", HYPERLINK("#" &amp; ADDRESS(20, 'Additional Images-WUO_TRK'!A20),_xlfn.TEXTAFTER('Additional Images-WUO_ERR'!A20, ":"))))</f>
        <v/>
      </c>
    </row>
    <row r="21">
      <c r="A21" s="39">
        <f>IF('Additional Images'!B21 = "", "", IF('Additional Images-WUO_ERR'!A21 = "", "Validated", HYPERLINK("#" &amp; ADDRESS(21, 'Additional Images-WUO_TRK'!A21),_xlfn.TEXTAFTER('Additional Images-WUO_ERR'!A21, ":"))))</f>
        <v/>
      </c>
    </row>
    <row r="22">
      <c r="A22" s="39">
        <f>IF('Additional Images'!B22 = "", "", IF('Additional Images-WUO_ERR'!A22 = "", "Validated", HYPERLINK("#" &amp; ADDRESS(22, 'Additional Images-WUO_TRK'!A22),_xlfn.TEXTAFTER('Additional Images-WUO_ERR'!A22, ":"))))</f>
        <v/>
      </c>
    </row>
    <row r="23">
      <c r="A23" s="39">
        <f>IF('Additional Images'!B23 = "", "", IF('Additional Images-WUO_ERR'!A23 = "", "Validated", HYPERLINK("#" &amp; ADDRESS(23, 'Additional Images-WUO_TRK'!A23),_xlfn.TEXTAFTER('Additional Images-WUO_ERR'!A23, ":"))))</f>
        <v/>
      </c>
    </row>
    <row r="24">
      <c r="A24" s="39">
        <f>IF('Additional Images'!B24 = "", "", IF('Additional Images-WUO_ERR'!A24 = "", "Validated", HYPERLINK("#" &amp; ADDRESS(24, 'Additional Images-WUO_TRK'!A24),_xlfn.TEXTAFTER('Additional Images-WUO_ERR'!A24, ":"))))</f>
        <v/>
      </c>
    </row>
    <row r="25">
      <c r="A25" s="39">
        <f>IF('Additional Images'!B25 = "", "", IF('Additional Images-WUO_ERR'!A25 = "", "Validated", HYPERLINK("#" &amp; ADDRESS(25, 'Additional Images-WUO_TRK'!A25),_xlfn.TEXTAFTER('Additional Images-WUO_ERR'!A25, ":"))))</f>
        <v/>
      </c>
    </row>
    <row r="26">
      <c r="A26" s="39">
        <f>IF('Additional Images'!B26 = "", "", IF('Additional Images-WUO_ERR'!A26 = "", "Validated", HYPERLINK("#" &amp; ADDRESS(26, 'Additional Images-WUO_TRK'!A26),_xlfn.TEXTAFTER('Additional Images-WUO_ERR'!A26, ":"))))</f>
        <v/>
      </c>
    </row>
    <row r="27">
      <c r="A27" s="39">
        <f>IF('Additional Images'!B27 = "", "", IF('Additional Images-WUO_ERR'!A27 = "", "Validated", HYPERLINK("#" &amp; ADDRESS(27, 'Additional Images-WUO_TRK'!A27),_xlfn.TEXTAFTER('Additional Images-WUO_ERR'!A27, ":"))))</f>
        <v/>
      </c>
    </row>
    <row r="28">
      <c r="A28" s="39">
        <f>IF('Additional Images'!B28 = "", "", IF('Additional Images-WUO_ERR'!A28 = "", "Validated", HYPERLINK("#" &amp; ADDRESS(28, 'Additional Images-WUO_TRK'!A28),_xlfn.TEXTAFTER('Additional Images-WUO_ERR'!A28, ":"))))</f>
        <v/>
      </c>
    </row>
    <row r="29">
      <c r="A29" s="39">
        <f>IF('Additional Images'!B29 = "", "", IF('Additional Images-WUO_ERR'!A29 = "", "Validated", HYPERLINK("#" &amp; ADDRESS(29, 'Additional Images-WUO_TRK'!A29),_xlfn.TEXTAFTER('Additional Images-WUO_ERR'!A29, ":"))))</f>
        <v/>
      </c>
    </row>
    <row r="30">
      <c r="A30" s="39">
        <f>IF('Additional Images'!B30 = "", "", IF('Additional Images-WUO_ERR'!A30 = "", "Validated", HYPERLINK("#" &amp; ADDRESS(30, 'Additional Images-WUO_TRK'!A30),_xlfn.TEXTAFTER('Additional Images-WUO_ERR'!A30, ":"))))</f>
        <v/>
      </c>
    </row>
    <row r="31">
      <c r="A31" s="39">
        <f>IF('Additional Images'!B31 = "", "", IF('Additional Images-WUO_ERR'!A31 = "", "Validated", HYPERLINK("#" &amp; ADDRESS(31, 'Additional Images-WUO_TRK'!A31),_xlfn.TEXTAFTER('Additional Images-WUO_ERR'!A31, ":"))))</f>
        <v/>
      </c>
    </row>
    <row r="32">
      <c r="A32" s="39">
        <f>IF('Additional Images'!B32 = "", "", IF('Additional Images-WUO_ERR'!A32 = "", "Validated", HYPERLINK("#" &amp; ADDRESS(32, 'Additional Images-WUO_TRK'!A32),_xlfn.TEXTAFTER('Additional Images-WUO_ERR'!A32, ":"))))</f>
        <v/>
      </c>
    </row>
    <row r="33">
      <c r="A33" s="39">
        <f>IF('Additional Images'!B33 = "", "", IF('Additional Images-WUO_ERR'!A33 = "", "Validated", HYPERLINK("#" &amp; ADDRESS(33, 'Additional Images-WUO_TRK'!A33),_xlfn.TEXTAFTER('Additional Images-WUO_ERR'!A33, ":"))))</f>
        <v/>
      </c>
    </row>
    <row r="34">
      <c r="A34" s="39">
        <f>IF('Additional Images'!B34 = "", "", IF('Additional Images-WUO_ERR'!A34 = "", "Validated", HYPERLINK("#" &amp; ADDRESS(34, 'Additional Images-WUO_TRK'!A34),_xlfn.TEXTAFTER('Additional Images-WUO_ERR'!A34, ":"))))</f>
        <v/>
      </c>
    </row>
    <row r="35">
      <c r="A35" s="39">
        <f>IF('Additional Images'!B35 = "", "", IF('Additional Images-WUO_ERR'!A35 = "", "Validated", HYPERLINK("#" &amp; ADDRESS(35, 'Additional Images-WUO_TRK'!A35),_xlfn.TEXTAFTER('Additional Images-WUO_ERR'!A35, ":"))))</f>
        <v/>
      </c>
    </row>
    <row r="36">
      <c r="A36" s="39">
        <f>IF('Additional Images'!B36 = "", "", IF('Additional Images-WUO_ERR'!A36 = "", "Validated", HYPERLINK("#" &amp; ADDRESS(36, 'Additional Images-WUO_TRK'!A36),_xlfn.TEXTAFTER('Additional Images-WUO_ERR'!A36, ":"))))</f>
        <v/>
      </c>
    </row>
    <row r="37">
      <c r="A37" s="39">
        <f>IF('Additional Images'!B37 = "", "", IF('Additional Images-WUO_ERR'!A37 = "", "Validated", HYPERLINK("#" &amp; ADDRESS(37, 'Additional Images-WUO_TRK'!A37),_xlfn.TEXTAFTER('Additional Images-WUO_ERR'!A37, ":"))))</f>
        <v/>
      </c>
    </row>
    <row r="38">
      <c r="A38" s="39">
        <f>IF('Additional Images'!B38 = "", "", IF('Additional Images-WUO_ERR'!A38 = "", "Validated", HYPERLINK("#" &amp; ADDRESS(38, 'Additional Images-WUO_TRK'!A38),_xlfn.TEXTAFTER('Additional Images-WUO_ERR'!A38, ":"))))</f>
        <v/>
      </c>
    </row>
    <row r="39">
      <c r="A39" s="39">
        <f>IF('Additional Images'!B39 = "", "", IF('Additional Images-WUO_ERR'!A39 = "", "Validated", HYPERLINK("#" &amp; ADDRESS(39, 'Additional Images-WUO_TRK'!A39),_xlfn.TEXTAFTER('Additional Images-WUO_ERR'!A39, ":"))))</f>
        <v/>
      </c>
    </row>
    <row r="40">
      <c r="A40" s="39">
        <f>IF('Additional Images'!B40 = "", "", IF('Additional Images-WUO_ERR'!A40 = "", "Validated", HYPERLINK("#" &amp; ADDRESS(40, 'Additional Images-WUO_TRK'!A40),_xlfn.TEXTAFTER('Additional Images-WUO_ERR'!A40, ":"))))</f>
        <v/>
      </c>
    </row>
    <row r="41">
      <c r="A41" s="39">
        <f>IF('Additional Images'!B41 = "", "", IF('Additional Images-WUO_ERR'!A41 = "", "Validated", HYPERLINK("#" &amp; ADDRESS(41, 'Additional Images-WUO_TRK'!A41),_xlfn.TEXTAFTER('Additional Images-WUO_ERR'!A41, ":"))))</f>
        <v/>
      </c>
    </row>
    <row r="42">
      <c r="A42" s="39">
        <f>IF('Additional Images'!B42 = "", "", IF('Additional Images-WUO_ERR'!A42 = "", "Validated", HYPERLINK("#" &amp; ADDRESS(42, 'Additional Images-WUO_TRK'!A42),_xlfn.TEXTAFTER('Additional Images-WUO_ERR'!A42, ":"))))</f>
        <v/>
      </c>
    </row>
    <row r="43">
      <c r="A43" s="39">
        <f>IF('Additional Images'!B43 = "", "", IF('Additional Images-WUO_ERR'!A43 = "", "Validated", HYPERLINK("#" &amp; ADDRESS(43, 'Additional Images-WUO_TRK'!A43),_xlfn.TEXTAFTER('Additional Images-WUO_ERR'!A43, ":"))))</f>
        <v/>
      </c>
    </row>
    <row r="44">
      <c r="A44" s="39">
        <f>IF('Additional Images'!B44 = "", "", IF('Additional Images-WUO_ERR'!A44 = "", "Validated", HYPERLINK("#" &amp; ADDRESS(44, 'Additional Images-WUO_TRK'!A44),_xlfn.TEXTAFTER('Additional Images-WUO_ERR'!A44, ":"))))</f>
        <v/>
      </c>
    </row>
    <row r="45">
      <c r="A45" s="39">
        <f>IF('Additional Images'!B45 = "", "", IF('Additional Images-WUO_ERR'!A45 = "", "Validated", HYPERLINK("#" &amp; ADDRESS(45, 'Additional Images-WUO_TRK'!A45),_xlfn.TEXTAFTER('Additional Images-WUO_ERR'!A45, ":"))))</f>
        <v/>
      </c>
    </row>
    <row r="46">
      <c r="A46" s="39">
        <f>IF('Additional Images'!B46 = "", "", IF('Additional Images-WUO_ERR'!A46 = "", "Validated", HYPERLINK("#" &amp; ADDRESS(46, 'Additional Images-WUO_TRK'!A46),_xlfn.TEXTAFTER('Additional Images-WUO_ERR'!A46, ":"))))</f>
        <v/>
      </c>
    </row>
    <row r="47">
      <c r="A47" s="39">
        <f>IF('Additional Images'!B47 = "", "", IF('Additional Images-WUO_ERR'!A47 = "", "Validated", HYPERLINK("#" &amp; ADDRESS(47, 'Additional Images-WUO_TRK'!A47),_xlfn.TEXTAFTER('Additional Images-WUO_ERR'!A47, ":"))))</f>
        <v/>
      </c>
    </row>
    <row r="48">
      <c r="A48" s="39">
        <f>IF('Additional Images'!B48 = "", "", IF('Additional Images-WUO_ERR'!A48 = "", "Validated", HYPERLINK("#" &amp; ADDRESS(48, 'Additional Images-WUO_TRK'!A48),_xlfn.TEXTAFTER('Additional Images-WUO_ERR'!A48, ":"))))</f>
        <v/>
      </c>
    </row>
    <row r="49">
      <c r="A49" s="39">
        <f>IF('Additional Images'!B49 = "", "", IF('Additional Images-WUO_ERR'!A49 = "", "Validated", HYPERLINK("#" &amp; ADDRESS(49, 'Additional Images-WUO_TRK'!A49),_xlfn.TEXTAFTER('Additional Images-WUO_ERR'!A49, ":"))))</f>
        <v/>
      </c>
    </row>
    <row r="50">
      <c r="A50" s="39">
        <f>IF('Additional Images'!B50 = "", "", IF('Additional Images-WUO_ERR'!A50 = "", "Validated", HYPERLINK("#" &amp; ADDRESS(50, 'Additional Images-WUO_TRK'!A50),_xlfn.TEXTAFTER('Additional Images-WUO_ERR'!A50, ":"))))</f>
        <v/>
      </c>
    </row>
    <row r="51">
      <c r="A51" s="39">
        <f>IF('Additional Images'!B51 = "", "", IF('Additional Images-WUO_ERR'!A51 = "", "Validated", HYPERLINK("#" &amp; ADDRESS(51, 'Additional Images-WUO_TRK'!A51),_xlfn.TEXTAFTER('Additional Images-WUO_ERR'!A51, ":"))))</f>
        <v/>
      </c>
    </row>
    <row r="52">
      <c r="A52" s="39">
        <f>IF('Additional Images'!B52 = "", "", IF('Additional Images-WUO_ERR'!A52 = "", "Validated", HYPERLINK("#" &amp; ADDRESS(52, 'Additional Images-WUO_TRK'!A52),_xlfn.TEXTAFTER('Additional Images-WUO_ERR'!A52, ":"))))</f>
        <v/>
      </c>
    </row>
    <row r="53">
      <c r="A53" s="39">
        <f>IF('Additional Images'!B53 = "", "", IF('Additional Images-WUO_ERR'!A53 = "", "Validated", HYPERLINK("#" &amp; ADDRESS(53, 'Additional Images-WUO_TRK'!A53),_xlfn.TEXTAFTER('Additional Images-WUO_ERR'!A53, ":"))))</f>
        <v/>
      </c>
    </row>
    <row r="54">
      <c r="A54" s="39">
        <f>IF('Additional Images'!B54 = "", "", IF('Additional Images-WUO_ERR'!A54 = "", "Validated", HYPERLINK("#" &amp; ADDRESS(54, 'Additional Images-WUO_TRK'!A54),_xlfn.TEXTAFTER('Additional Images-WUO_ERR'!A54, ":"))))</f>
        <v/>
      </c>
    </row>
    <row r="55">
      <c r="A55" s="39">
        <f>IF('Additional Images'!B55 = "", "", IF('Additional Images-WUO_ERR'!A55 = "", "Validated", HYPERLINK("#" &amp; ADDRESS(55, 'Additional Images-WUO_TRK'!A55),_xlfn.TEXTAFTER('Additional Images-WUO_ERR'!A55, ":"))))</f>
        <v/>
      </c>
    </row>
    <row r="56">
      <c r="A56" s="39">
        <f>IF('Additional Images'!B56 = "", "", IF('Additional Images-WUO_ERR'!A56 = "", "Validated", HYPERLINK("#" &amp; ADDRESS(56, 'Additional Images-WUO_TRK'!A56),_xlfn.TEXTAFTER('Additional Images-WUO_ERR'!A56, ":"))))</f>
        <v/>
      </c>
    </row>
    <row r="57">
      <c r="A57" s="39">
        <f>IF('Additional Images'!B57 = "", "", IF('Additional Images-WUO_ERR'!A57 = "", "Validated", HYPERLINK("#" &amp; ADDRESS(57, 'Additional Images-WUO_TRK'!A57),_xlfn.TEXTAFTER('Additional Images-WUO_ERR'!A57, ":"))))</f>
        <v/>
      </c>
    </row>
    <row r="58">
      <c r="A58" s="39">
        <f>IF('Additional Images'!B58 = "", "", IF('Additional Images-WUO_ERR'!A58 = "", "Validated", HYPERLINK("#" &amp; ADDRESS(58, 'Additional Images-WUO_TRK'!A58),_xlfn.TEXTAFTER('Additional Images-WUO_ERR'!A58, ":"))))</f>
        <v/>
      </c>
    </row>
    <row r="59">
      <c r="A59" s="39">
        <f>IF('Additional Images'!B59 = "", "", IF('Additional Images-WUO_ERR'!A59 = "", "Validated", HYPERLINK("#" &amp; ADDRESS(59, 'Additional Images-WUO_TRK'!A59),_xlfn.TEXTAFTER('Additional Images-WUO_ERR'!A59, ":"))))</f>
        <v/>
      </c>
    </row>
    <row r="60">
      <c r="A60" s="39">
        <f>IF('Additional Images'!B60 = "", "", IF('Additional Images-WUO_ERR'!A60 = "", "Validated", HYPERLINK("#" &amp; ADDRESS(60, 'Additional Images-WUO_TRK'!A60),_xlfn.TEXTAFTER('Additional Images-WUO_ERR'!A60, ":"))))</f>
        <v/>
      </c>
    </row>
    <row r="61">
      <c r="A61" s="39">
        <f>IF('Additional Images'!B61 = "", "", IF('Additional Images-WUO_ERR'!A61 = "", "Validated", HYPERLINK("#" &amp; ADDRESS(61, 'Additional Images-WUO_TRK'!A61),_xlfn.TEXTAFTER('Additional Images-WUO_ERR'!A61, ":"))))</f>
        <v/>
      </c>
    </row>
    <row r="62">
      <c r="A62" s="39">
        <f>IF('Additional Images'!B62 = "", "", IF('Additional Images-WUO_ERR'!A62 = "", "Validated", HYPERLINK("#" &amp; ADDRESS(62, 'Additional Images-WUO_TRK'!A62),_xlfn.TEXTAFTER('Additional Images-WUO_ERR'!A62, ":"))))</f>
        <v/>
      </c>
    </row>
    <row r="63">
      <c r="A63" s="39">
        <f>IF('Additional Images'!B63 = "", "", IF('Additional Images-WUO_ERR'!A63 = "", "Validated", HYPERLINK("#" &amp; ADDRESS(63, 'Additional Images-WUO_TRK'!A63),_xlfn.TEXTAFTER('Additional Images-WUO_ERR'!A63, ":"))))</f>
        <v/>
      </c>
    </row>
    <row r="64">
      <c r="A64" s="39">
        <f>IF('Additional Images'!B64 = "", "", IF('Additional Images-WUO_ERR'!A64 = "", "Validated", HYPERLINK("#" &amp; ADDRESS(64, 'Additional Images-WUO_TRK'!A64),_xlfn.TEXTAFTER('Additional Images-WUO_ERR'!A64, ":"))))</f>
        <v/>
      </c>
    </row>
    <row r="65">
      <c r="A65" s="39">
        <f>IF('Additional Images'!B65 = "", "", IF('Additional Images-WUO_ERR'!A65 = "", "Validated", HYPERLINK("#" &amp; ADDRESS(65, 'Additional Images-WUO_TRK'!A65),_xlfn.TEXTAFTER('Additional Images-WUO_ERR'!A65, ":"))))</f>
        <v/>
      </c>
    </row>
    <row r="66">
      <c r="A66" s="39">
        <f>IF('Additional Images'!B66 = "", "", IF('Additional Images-WUO_ERR'!A66 = "", "Validated", HYPERLINK("#" &amp; ADDRESS(66, 'Additional Images-WUO_TRK'!A66),_xlfn.TEXTAFTER('Additional Images-WUO_ERR'!A66, ":"))))</f>
        <v/>
      </c>
    </row>
    <row r="67">
      <c r="A67" s="39">
        <f>IF('Additional Images'!B67 = "", "", IF('Additional Images-WUO_ERR'!A67 = "", "Validated", HYPERLINK("#" &amp; ADDRESS(67, 'Additional Images-WUO_TRK'!A67),_xlfn.TEXTAFTER('Additional Images-WUO_ERR'!A67, ":"))))</f>
        <v/>
      </c>
    </row>
    <row r="68">
      <c r="A68" s="39">
        <f>IF('Additional Images'!B68 = "", "", IF('Additional Images-WUO_ERR'!A68 = "", "Validated", HYPERLINK("#" &amp; ADDRESS(68, 'Additional Images-WUO_TRK'!A68),_xlfn.TEXTAFTER('Additional Images-WUO_ERR'!A68, ":"))))</f>
        <v/>
      </c>
    </row>
    <row r="69">
      <c r="A69" s="39">
        <f>IF('Additional Images'!B69 = "", "", IF('Additional Images-WUO_ERR'!A69 = "", "Validated", HYPERLINK("#" &amp; ADDRESS(69, 'Additional Images-WUO_TRK'!A69),_xlfn.TEXTAFTER('Additional Images-WUO_ERR'!A69, ":"))))</f>
        <v/>
      </c>
    </row>
    <row r="70">
      <c r="A70" s="39">
        <f>IF('Additional Images'!B70 = "", "", IF('Additional Images-WUO_ERR'!A70 = "", "Validated", HYPERLINK("#" &amp; ADDRESS(70, 'Additional Images-WUO_TRK'!A70),_xlfn.TEXTAFTER('Additional Images-WUO_ERR'!A70, ":"))))</f>
        <v/>
      </c>
    </row>
    <row r="71">
      <c r="A71" s="39">
        <f>IF('Additional Images'!B71 = "", "", IF('Additional Images-WUO_ERR'!A71 = "", "Validated", HYPERLINK("#" &amp; ADDRESS(71, 'Additional Images-WUO_TRK'!A71),_xlfn.TEXTAFTER('Additional Images-WUO_ERR'!A71, ":"))))</f>
        <v/>
      </c>
    </row>
    <row r="72">
      <c r="A72" s="39">
        <f>IF('Additional Images'!B72 = "", "", IF('Additional Images-WUO_ERR'!A72 = "", "Validated", HYPERLINK("#" &amp; ADDRESS(72, 'Additional Images-WUO_TRK'!A72),_xlfn.TEXTAFTER('Additional Images-WUO_ERR'!A72, ":"))))</f>
        <v/>
      </c>
    </row>
    <row r="73">
      <c r="A73" s="39">
        <f>IF('Additional Images'!B73 = "", "", IF('Additional Images-WUO_ERR'!A73 = "", "Validated", HYPERLINK("#" &amp; ADDRESS(73, 'Additional Images-WUO_TRK'!A73),_xlfn.TEXTAFTER('Additional Images-WUO_ERR'!A73, ":"))))</f>
        <v/>
      </c>
    </row>
    <row r="74">
      <c r="A74" s="39">
        <f>IF('Additional Images'!B74 = "", "", IF('Additional Images-WUO_ERR'!A74 = "", "Validated", HYPERLINK("#" &amp; ADDRESS(74, 'Additional Images-WUO_TRK'!A74),_xlfn.TEXTAFTER('Additional Images-WUO_ERR'!A74, ":"))))</f>
        <v/>
      </c>
    </row>
    <row r="75">
      <c r="A75" s="39">
        <f>IF('Additional Images'!B75 = "", "", IF('Additional Images-WUO_ERR'!A75 = "", "Validated", HYPERLINK("#" &amp; ADDRESS(75, 'Additional Images-WUO_TRK'!A75),_xlfn.TEXTAFTER('Additional Images-WUO_ERR'!A75, ":"))))</f>
        <v/>
      </c>
    </row>
    <row r="76">
      <c r="A76" s="39">
        <f>IF('Additional Images'!B76 = "", "", IF('Additional Images-WUO_ERR'!A76 = "", "Validated", HYPERLINK("#" &amp; ADDRESS(76, 'Additional Images-WUO_TRK'!A76),_xlfn.TEXTAFTER('Additional Images-WUO_ERR'!A76, ":"))))</f>
        <v/>
      </c>
    </row>
    <row r="77">
      <c r="A77" s="39">
        <f>IF('Additional Images'!B77 = "", "", IF('Additional Images-WUO_ERR'!A77 = "", "Validated", HYPERLINK("#" &amp; ADDRESS(77, 'Additional Images-WUO_TRK'!A77),_xlfn.TEXTAFTER('Additional Images-WUO_ERR'!A77, ":"))))</f>
        <v/>
      </c>
    </row>
    <row r="78">
      <c r="A78" s="39">
        <f>IF('Additional Images'!B78 = "", "", IF('Additional Images-WUO_ERR'!A78 = "", "Validated", HYPERLINK("#" &amp; ADDRESS(78, 'Additional Images-WUO_TRK'!A78),_xlfn.TEXTAFTER('Additional Images-WUO_ERR'!A78, ":"))))</f>
        <v/>
      </c>
    </row>
    <row r="79">
      <c r="A79" s="39">
        <f>IF('Additional Images'!B79 = "", "", IF('Additional Images-WUO_ERR'!A79 = "", "Validated", HYPERLINK("#" &amp; ADDRESS(79, 'Additional Images-WUO_TRK'!A79),_xlfn.TEXTAFTER('Additional Images-WUO_ERR'!A79, ":"))))</f>
        <v/>
      </c>
    </row>
    <row r="80">
      <c r="A80" s="39">
        <f>IF('Additional Images'!B80 = "", "", IF('Additional Images-WUO_ERR'!A80 = "", "Validated", HYPERLINK("#" &amp; ADDRESS(80, 'Additional Images-WUO_TRK'!A80),_xlfn.TEXTAFTER('Additional Images-WUO_ERR'!A80, ":"))))</f>
        <v/>
      </c>
    </row>
    <row r="81">
      <c r="A81" s="39">
        <f>IF('Additional Images'!B81 = "", "", IF('Additional Images-WUO_ERR'!A81 = "", "Validated", HYPERLINK("#" &amp; ADDRESS(81, 'Additional Images-WUO_TRK'!A81),_xlfn.TEXTAFTER('Additional Images-WUO_ERR'!A81, ":"))))</f>
        <v/>
      </c>
    </row>
    <row r="82">
      <c r="A82" s="39">
        <f>IF('Additional Images'!B82 = "", "", IF('Additional Images-WUO_ERR'!A82 = "", "Validated", HYPERLINK("#" &amp; ADDRESS(82, 'Additional Images-WUO_TRK'!A82),_xlfn.TEXTAFTER('Additional Images-WUO_ERR'!A82, ":"))))</f>
        <v/>
      </c>
    </row>
    <row r="83">
      <c r="A83" s="39">
        <f>IF('Additional Images'!B83 = "", "", IF('Additional Images-WUO_ERR'!A83 = "", "Validated", HYPERLINK("#" &amp; ADDRESS(83, 'Additional Images-WUO_TRK'!A83),_xlfn.TEXTAFTER('Additional Images-WUO_ERR'!A83, ":"))))</f>
        <v/>
      </c>
    </row>
    <row r="84">
      <c r="A84" s="39">
        <f>IF('Additional Images'!B84 = "", "", IF('Additional Images-WUO_ERR'!A84 = "", "Validated", HYPERLINK("#" &amp; ADDRESS(84, 'Additional Images-WUO_TRK'!A84),_xlfn.TEXTAFTER('Additional Images-WUO_ERR'!A84, ":"))))</f>
        <v/>
      </c>
    </row>
    <row r="85">
      <c r="A85" s="39">
        <f>IF('Additional Images'!B85 = "", "", IF('Additional Images-WUO_ERR'!A85 = "", "Validated", HYPERLINK("#" &amp; ADDRESS(85, 'Additional Images-WUO_TRK'!A85),_xlfn.TEXTAFTER('Additional Images-WUO_ERR'!A85, ":"))))</f>
        <v/>
      </c>
    </row>
    <row r="86">
      <c r="A86" s="39">
        <f>IF('Additional Images'!B86 = "", "", IF('Additional Images-WUO_ERR'!A86 = "", "Validated", HYPERLINK("#" &amp; ADDRESS(86, 'Additional Images-WUO_TRK'!A86),_xlfn.TEXTAFTER('Additional Images-WUO_ERR'!A86, ":"))))</f>
        <v/>
      </c>
    </row>
    <row r="87">
      <c r="A87" s="39">
        <f>IF('Additional Images'!B87 = "", "", IF('Additional Images-WUO_ERR'!A87 = "", "Validated", HYPERLINK("#" &amp; ADDRESS(87, 'Additional Images-WUO_TRK'!A87),_xlfn.TEXTAFTER('Additional Images-WUO_ERR'!A87, ":"))))</f>
        <v/>
      </c>
    </row>
    <row r="88">
      <c r="A88" s="39">
        <f>IF('Additional Images'!B88 = "", "", IF('Additional Images-WUO_ERR'!A88 = "", "Validated", HYPERLINK("#" &amp; ADDRESS(88, 'Additional Images-WUO_TRK'!A88),_xlfn.TEXTAFTER('Additional Images-WUO_ERR'!A88, ":"))))</f>
        <v/>
      </c>
    </row>
    <row r="89">
      <c r="A89" s="39">
        <f>IF('Additional Images'!B89 = "", "", IF('Additional Images-WUO_ERR'!A89 = "", "Validated", HYPERLINK("#" &amp; ADDRESS(89, 'Additional Images-WUO_TRK'!A89),_xlfn.TEXTAFTER('Additional Images-WUO_ERR'!A89, ":"))))</f>
        <v/>
      </c>
    </row>
    <row r="90">
      <c r="A90" s="39">
        <f>IF('Additional Images'!B90 = "", "", IF('Additional Images-WUO_ERR'!A90 = "", "Validated", HYPERLINK("#" &amp; ADDRESS(90, 'Additional Images-WUO_TRK'!A90),_xlfn.TEXTAFTER('Additional Images-WUO_ERR'!A90, ":"))))</f>
        <v/>
      </c>
    </row>
    <row r="91">
      <c r="A91" s="39">
        <f>IF('Additional Images'!B91 = "", "", IF('Additional Images-WUO_ERR'!A91 = "", "Validated", HYPERLINK("#" &amp; ADDRESS(91, 'Additional Images-WUO_TRK'!A91),_xlfn.TEXTAFTER('Additional Images-WUO_ERR'!A91, ":"))))</f>
        <v/>
      </c>
    </row>
    <row r="92">
      <c r="A92" s="39">
        <f>IF('Additional Images'!B92 = "", "", IF('Additional Images-WUO_ERR'!A92 = "", "Validated", HYPERLINK("#" &amp; ADDRESS(92, 'Additional Images-WUO_TRK'!A92),_xlfn.TEXTAFTER('Additional Images-WUO_ERR'!A92, ":"))))</f>
        <v/>
      </c>
    </row>
    <row r="93">
      <c r="A93" s="39">
        <f>IF('Additional Images'!B93 = "", "", IF('Additional Images-WUO_ERR'!A93 = "", "Validated", HYPERLINK("#" &amp; ADDRESS(93, 'Additional Images-WUO_TRK'!A93),_xlfn.TEXTAFTER('Additional Images-WUO_ERR'!A93, ":"))))</f>
        <v/>
      </c>
    </row>
    <row r="94">
      <c r="A94" s="39">
        <f>IF('Additional Images'!B94 = "", "", IF('Additional Images-WUO_ERR'!A94 = "", "Validated", HYPERLINK("#" &amp; ADDRESS(94, 'Additional Images-WUO_TRK'!A94),_xlfn.TEXTAFTER('Additional Images-WUO_ERR'!A94, ":"))))</f>
        <v/>
      </c>
    </row>
    <row r="95">
      <c r="A95" s="39">
        <f>IF('Additional Images'!B95 = "", "", IF('Additional Images-WUO_ERR'!A95 = "", "Validated", HYPERLINK("#" &amp; ADDRESS(95, 'Additional Images-WUO_TRK'!A95),_xlfn.TEXTAFTER('Additional Images-WUO_ERR'!A95, ":"))))</f>
        <v/>
      </c>
    </row>
    <row r="96">
      <c r="A96" s="39">
        <f>IF('Additional Images'!B96 = "", "", IF('Additional Images-WUO_ERR'!A96 = "", "Validated", HYPERLINK("#" &amp; ADDRESS(96, 'Additional Images-WUO_TRK'!A96),_xlfn.TEXTAFTER('Additional Images-WUO_ERR'!A96, ":"))))</f>
        <v/>
      </c>
    </row>
    <row r="97">
      <c r="A97" s="39">
        <f>IF('Additional Images'!B97 = "", "", IF('Additional Images-WUO_ERR'!A97 = "", "Validated", HYPERLINK("#" &amp; ADDRESS(97, 'Additional Images-WUO_TRK'!A97),_xlfn.TEXTAFTER('Additional Images-WUO_ERR'!A97, ":"))))</f>
        <v/>
      </c>
    </row>
    <row r="98">
      <c r="A98" s="39">
        <f>IF('Additional Images'!B98 = "", "", IF('Additional Images-WUO_ERR'!A98 = "", "Validated", HYPERLINK("#" &amp; ADDRESS(98, 'Additional Images-WUO_TRK'!A98),_xlfn.TEXTAFTER('Additional Images-WUO_ERR'!A98, ":"))))</f>
        <v/>
      </c>
    </row>
    <row r="99">
      <c r="A99" s="39">
        <f>IF('Additional Images'!B99 = "", "", IF('Additional Images-WUO_ERR'!A99 = "", "Validated", HYPERLINK("#" &amp; ADDRESS(99, 'Additional Images-WUO_TRK'!A99),_xlfn.TEXTAFTER('Additional Images-WUO_ERR'!A99, ":"))))</f>
        <v/>
      </c>
    </row>
    <row r="100">
      <c r="A100" s="39">
        <f>IF('Additional Images'!B100 = "", "", IF('Additional Images-WUO_ERR'!A100 = "", "Validated", HYPERLINK("#" &amp; ADDRESS(100, 'Additional Images-WUO_TRK'!A100),_xlfn.TEXTAFTER('Additional Images-WUO_ERR'!A100, ":"))))</f>
        <v/>
      </c>
    </row>
    <row r="101">
      <c r="A101" s="39">
        <f>IF('Additional Images'!B101 = "", "", IF('Additional Images-WUO_ERR'!A101 = "", "Validated", HYPERLINK("#" &amp; ADDRESS(101, 'Additional Images-WUO_TRK'!A101),_xlfn.TEXTAFTER('Additional Images-WUO_ERR'!A101, ":"))))</f>
        <v/>
      </c>
    </row>
    <row r="102">
      <c r="A102" s="39">
        <f>IF('Additional Images'!B102 = "", "", IF('Additional Images-WUO_ERR'!A102 = "", "Validated", HYPERLINK("#" &amp; ADDRESS(102, 'Additional Images-WUO_TRK'!A102),_xlfn.TEXTAFTER('Additional Images-WUO_ERR'!A102, ":"))))</f>
        <v/>
      </c>
    </row>
    <row r="103">
      <c r="A103" s="39">
        <f>IF('Additional Images'!B103 = "", "", IF('Additional Images-WUO_ERR'!A103 = "", "Validated", HYPERLINK("#" &amp; ADDRESS(103, 'Additional Images-WUO_TRK'!A103),_xlfn.TEXTAFTER('Additional Images-WUO_ERR'!A103, ":"))))</f>
        <v/>
      </c>
    </row>
    <row r="104">
      <c r="A104" s="39">
        <f>IF('Additional Images'!B104 = "", "", IF('Additional Images-WUO_ERR'!A104 = "", "Validated", HYPERLINK("#" &amp; ADDRESS(104, 'Additional Images-WUO_TRK'!A104),_xlfn.TEXTAFTER('Additional Images-WUO_ERR'!A104, ":"))))</f>
        <v/>
      </c>
    </row>
    <row r="105">
      <c r="A105" s="39">
        <f>IF('Additional Images'!B105 = "", "", IF('Additional Images-WUO_ERR'!A105 = "", "Validated", HYPERLINK("#" &amp; ADDRESS(105, 'Additional Images-WUO_TRK'!A105),_xlfn.TEXTAFTER('Additional Images-WUO_ERR'!A105, ":"))))</f>
        <v/>
      </c>
    </row>
    <row r="106">
      <c r="A106" s="39">
        <f>IF('Additional Images'!B106 = "", "", IF('Additional Images-WUO_ERR'!A106 = "", "Validated", HYPERLINK("#" &amp; ADDRESS(106, 'Additional Images-WUO_TRK'!A106),_xlfn.TEXTAFTER('Additional Images-WUO_ERR'!A106, ":"))))</f>
        <v/>
      </c>
    </row>
    <row r="107">
      <c r="A107" s="39">
        <f>IF('Additional Images'!B107 = "", "", IF('Additional Images-WUO_ERR'!A107 = "", "Validated", HYPERLINK("#" &amp; ADDRESS(107, 'Additional Images-WUO_TRK'!A107),_xlfn.TEXTAFTER('Additional Images-WUO_ERR'!A107, ":"))))</f>
        <v/>
      </c>
    </row>
    <row r="108">
      <c r="A108" s="39">
        <f>IF('Additional Images'!B108 = "", "", IF('Additional Images-WUO_ERR'!A108 = "", "Validated", HYPERLINK("#" &amp; ADDRESS(108, 'Additional Images-WUO_TRK'!A108),_xlfn.TEXTAFTER('Additional Images-WUO_ERR'!A108, ":"))))</f>
        <v/>
      </c>
    </row>
    <row r="109">
      <c r="A109" s="39">
        <f>IF('Additional Images'!B109 = "", "", IF('Additional Images-WUO_ERR'!A109 = "", "Validated", HYPERLINK("#" &amp; ADDRESS(109, 'Additional Images-WUO_TRK'!A109),_xlfn.TEXTAFTER('Additional Images-WUO_ERR'!A109, ":"))))</f>
        <v/>
      </c>
    </row>
    <row r="110">
      <c r="A110" s="39">
        <f>IF('Additional Images'!B110 = "", "", IF('Additional Images-WUO_ERR'!A110 = "", "Validated", HYPERLINK("#" &amp; ADDRESS(110, 'Additional Images-WUO_TRK'!A110),_xlfn.TEXTAFTER('Additional Images-WUO_ERR'!A110, ":"))))</f>
        <v/>
      </c>
    </row>
    <row r="111">
      <c r="A111" s="39">
        <f>IF('Additional Images'!B111 = "", "", IF('Additional Images-WUO_ERR'!A111 = "", "Validated", HYPERLINK("#" &amp; ADDRESS(111, 'Additional Images-WUO_TRK'!A111),_xlfn.TEXTAFTER('Additional Images-WUO_ERR'!A111, ":"))))</f>
        <v/>
      </c>
    </row>
    <row r="112">
      <c r="A112" s="39">
        <f>IF('Additional Images'!B112 = "", "", IF('Additional Images-WUO_ERR'!A112 = "", "Validated", HYPERLINK("#" &amp; ADDRESS(112, 'Additional Images-WUO_TRK'!A112),_xlfn.TEXTAFTER('Additional Images-WUO_ERR'!A112, ":"))))</f>
        <v/>
      </c>
    </row>
    <row r="113">
      <c r="A113" s="39">
        <f>IF('Additional Images'!B113 = "", "", IF('Additional Images-WUO_ERR'!A113 = "", "Validated", HYPERLINK("#" &amp; ADDRESS(113, 'Additional Images-WUO_TRK'!A113),_xlfn.TEXTAFTER('Additional Images-WUO_ERR'!A113, ":"))))</f>
        <v/>
      </c>
    </row>
    <row r="114">
      <c r="A114" s="39">
        <f>IF('Additional Images'!B114 = "", "", IF('Additional Images-WUO_ERR'!A114 = "", "Validated", HYPERLINK("#" &amp; ADDRESS(114, 'Additional Images-WUO_TRK'!A114),_xlfn.TEXTAFTER('Additional Images-WUO_ERR'!A114, ":"))))</f>
        <v/>
      </c>
    </row>
    <row r="115">
      <c r="A115" s="39">
        <f>IF('Additional Images'!B115 = "", "", IF('Additional Images-WUO_ERR'!A115 = "", "Validated", HYPERLINK("#" &amp; ADDRESS(115, 'Additional Images-WUO_TRK'!A115),_xlfn.TEXTAFTER('Additional Images-WUO_ERR'!A115, ":"))))</f>
        <v/>
      </c>
    </row>
    <row r="116">
      <c r="A116" s="39">
        <f>IF('Additional Images'!B116 = "", "", IF('Additional Images-WUO_ERR'!A116 = "", "Validated", HYPERLINK("#" &amp; ADDRESS(116, 'Additional Images-WUO_TRK'!A116),_xlfn.TEXTAFTER('Additional Images-WUO_ERR'!A116, ":"))))</f>
        <v/>
      </c>
    </row>
    <row r="117">
      <c r="A117" s="39">
        <f>IF('Additional Images'!B117 = "", "", IF('Additional Images-WUO_ERR'!A117 = "", "Validated", HYPERLINK("#" &amp; ADDRESS(117, 'Additional Images-WUO_TRK'!A117),_xlfn.TEXTAFTER('Additional Images-WUO_ERR'!A117, ":"))))</f>
        <v/>
      </c>
    </row>
    <row r="118">
      <c r="A118" s="39">
        <f>IF('Additional Images'!B118 = "", "", IF('Additional Images-WUO_ERR'!A118 = "", "Validated", HYPERLINK("#" &amp; ADDRESS(118, 'Additional Images-WUO_TRK'!A118),_xlfn.TEXTAFTER('Additional Images-WUO_ERR'!A118, ":"))))</f>
        <v/>
      </c>
    </row>
    <row r="119">
      <c r="A119" s="39">
        <f>IF('Additional Images'!B119 = "", "", IF('Additional Images-WUO_ERR'!A119 = "", "Validated", HYPERLINK("#" &amp; ADDRESS(119, 'Additional Images-WUO_TRK'!A119),_xlfn.TEXTAFTER('Additional Images-WUO_ERR'!A119, ":"))))</f>
        <v/>
      </c>
    </row>
    <row r="120">
      <c r="A120" s="39">
        <f>IF('Additional Images'!B120 = "", "", IF('Additional Images-WUO_ERR'!A120 = "", "Validated", HYPERLINK("#" &amp; ADDRESS(120, 'Additional Images-WUO_TRK'!A120),_xlfn.TEXTAFTER('Additional Images-WUO_ERR'!A120, ":"))))</f>
        <v/>
      </c>
    </row>
    <row r="121">
      <c r="A121" s="39">
        <f>IF('Additional Images'!B121 = "", "", IF('Additional Images-WUO_ERR'!A121 = "", "Validated", HYPERLINK("#" &amp; ADDRESS(121, 'Additional Images-WUO_TRK'!A121),_xlfn.TEXTAFTER('Additional Images-WUO_ERR'!A121, ":"))))</f>
        <v/>
      </c>
    </row>
    <row r="122">
      <c r="A122" s="39">
        <f>IF('Additional Images'!B122 = "", "", IF('Additional Images-WUO_ERR'!A122 = "", "Validated", HYPERLINK("#" &amp; ADDRESS(122, 'Additional Images-WUO_TRK'!A122),_xlfn.TEXTAFTER('Additional Images-WUO_ERR'!A122, ":"))))</f>
        <v/>
      </c>
    </row>
    <row r="123">
      <c r="A123" s="39">
        <f>IF('Additional Images'!B123 = "", "", IF('Additional Images-WUO_ERR'!A123 = "", "Validated", HYPERLINK("#" &amp; ADDRESS(123, 'Additional Images-WUO_TRK'!A123),_xlfn.TEXTAFTER('Additional Images-WUO_ERR'!A123, ":"))))</f>
        <v/>
      </c>
    </row>
    <row r="124">
      <c r="A124" s="39">
        <f>IF('Additional Images'!B124 = "", "", IF('Additional Images-WUO_ERR'!A124 = "", "Validated", HYPERLINK("#" &amp; ADDRESS(124, 'Additional Images-WUO_TRK'!A124),_xlfn.TEXTAFTER('Additional Images-WUO_ERR'!A124, ":"))))</f>
        <v/>
      </c>
    </row>
    <row r="125">
      <c r="A125" s="39">
        <f>IF('Additional Images'!B125 = "", "", IF('Additional Images-WUO_ERR'!A125 = "", "Validated", HYPERLINK("#" &amp; ADDRESS(125, 'Additional Images-WUO_TRK'!A125),_xlfn.TEXTAFTER('Additional Images-WUO_ERR'!A125, ":"))))</f>
        <v/>
      </c>
    </row>
    <row r="126">
      <c r="A126" s="39">
        <f>IF('Additional Images'!B126 = "", "", IF('Additional Images-WUO_ERR'!A126 = "", "Validated", HYPERLINK("#" &amp; ADDRESS(126, 'Additional Images-WUO_TRK'!A126),_xlfn.TEXTAFTER('Additional Images-WUO_ERR'!A126, ":"))))</f>
        <v/>
      </c>
    </row>
    <row r="127">
      <c r="A127" s="39">
        <f>IF('Additional Images'!B127 = "", "", IF('Additional Images-WUO_ERR'!A127 = "", "Validated", HYPERLINK("#" &amp; ADDRESS(127, 'Additional Images-WUO_TRK'!A127),_xlfn.TEXTAFTER('Additional Images-WUO_ERR'!A127, ":"))))</f>
        <v/>
      </c>
    </row>
    <row r="128">
      <c r="A128" s="39">
        <f>IF('Additional Images'!B128 = "", "", IF('Additional Images-WUO_ERR'!A128 = "", "Validated", HYPERLINK("#" &amp; ADDRESS(128, 'Additional Images-WUO_TRK'!A128),_xlfn.TEXTAFTER('Additional Images-WUO_ERR'!A128, ":"))))</f>
        <v/>
      </c>
    </row>
    <row r="129">
      <c r="A129" s="39">
        <f>IF('Additional Images'!B129 = "", "", IF('Additional Images-WUO_ERR'!A129 = "", "Validated", HYPERLINK("#" &amp; ADDRESS(129, 'Additional Images-WUO_TRK'!A129),_xlfn.TEXTAFTER('Additional Images-WUO_ERR'!A129, ":"))))</f>
        <v/>
      </c>
    </row>
    <row r="130">
      <c r="A130" s="39">
        <f>IF('Additional Images'!B130 = "", "", IF('Additional Images-WUO_ERR'!A130 = "", "Validated", HYPERLINK("#" &amp; ADDRESS(130, 'Additional Images-WUO_TRK'!A130),_xlfn.TEXTAFTER('Additional Images-WUO_ERR'!A130, ":"))))</f>
        <v/>
      </c>
    </row>
    <row r="131">
      <c r="A131" s="39">
        <f>IF('Additional Images'!B131 = "", "", IF('Additional Images-WUO_ERR'!A131 = "", "Validated", HYPERLINK("#" &amp; ADDRESS(131, 'Additional Images-WUO_TRK'!A131),_xlfn.TEXTAFTER('Additional Images-WUO_ERR'!A131, ":"))))</f>
        <v/>
      </c>
    </row>
    <row r="132">
      <c r="A132" s="39">
        <f>IF('Additional Images'!B132 = "", "", IF('Additional Images-WUO_ERR'!A132 = "", "Validated", HYPERLINK("#" &amp; ADDRESS(132, 'Additional Images-WUO_TRK'!A132),_xlfn.TEXTAFTER('Additional Images-WUO_ERR'!A132, ":"))))</f>
        <v/>
      </c>
    </row>
    <row r="133">
      <c r="A133" s="39">
        <f>IF('Additional Images'!B133 = "", "", IF('Additional Images-WUO_ERR'!A133 = "", "Validated", HYPERLINK("#" &amp; ADDRESS(133, 'Additional Images-WUO_TRK'!A133),_xlfn.TEXTAFTER('Additional Images-WUO_ERR'!A133, ":"))))</f>
        <v/>
      </c>
    </row>
    <row r="134">
      <c r="A134" s="39">
        <f>IF('Additional Images'!B134 = "", "", IF('Additional Images-WUO_ERR'!A134 = "", "Validated", HYPERLINK("#" &amp; ADDRESS(134, 'Additional Images-WUO_TRK'!A134),_xlfn.TEXTAFTER('Additional Images-WUO_ERR'!A134, ":"))))</f>
        <v/>
      </c>
    </row>
    <row r="135">
      <c r="A135" s="39">
        <f>IF('Additional Images'!B135 = "", "", IF('Additional Images-WUO_ERR'!A135 = "", "Validated", HYPERLINK("#" &amp; ADDRESS(135, 'Additional Images-WUO_TRK'!A135),_xlfn.TEXTAFTER('Additional Images-WUO_ERR'!A135, ":"))))</f>
        <v/>
      </c>
    </row>
    <row r="136">
      <c r="A136" s="39">
        <f>IF('Additional Images'!B136 = "", "", IF('Additional Images-WUO_ERR'!A136 = "", "Validated", HYPERLINK("#" &amp; ADDRESS(136, 'Additional Images-WUO_TRK'!A136),_xlfn.TEXTAFTER('Additional Images-WUO_ERR'!A136, ":"))))</f>
        <v/>
      </c>
    </row>
    <row r="137">
      <c r="A137" s="39">
        <f>IF('Additional Images'!B137 = "", "", IF('Additional Images-WUO_ERR'!A137 = "", "Validated", HYPERLINK("#" &amp; ADDRESS(137, 'Additional Images-WUO_TRK'!A137),_xlfn.TEXTAFTER('Additional Images-WUO_ERR'!A137, ":"))))</f>
        <v/>
      </c>
    </row>
    <row r="138">
      <c r="A138" s="39">
        <f>IF('Additional Images'!B138 = "", "", IF('Additional Images-WUO_ERR'!A138 = "", "Validated", HYPERLINK("#" &amp; ADDRESS(138, 'Additional Images-WUO_TRK'!A138),_xlfn.TEXTAFTER('Additional Images-WUO_ERR'!A138, ":"))))</f>
        <v/>
      </c>
    </row>
    <row r="139">
      <c r="A139" s="39">
        <f>IF('Additional Images'!B139 = "", "", IF('Additional Images-WUO_ERR'!A139 = "", "Validated", HYPERLINK("#" &amp; ADDRESS(139, 'Additional Images-WUO_TRK'!A139),_xlfn.TEXTAFTER('Additional Images-WUO_ERR'!A139, ":"))))</f>
        <v/>
      </c>
    </row>
    <row r="140">
      <c r="A140" s="39">
        <f>IF('Additional Images'!B140 = "", "", IF('Additional Images-WUO_ERR'!A140 = "", "Validated", HYPERLINK("#" &amp; ADDRESS(140, 'Additional Images-WUO_TRK'!A140),_xlfn.TEXTAFTER('Additional Images-WUO_ERR'!A140, ":"))))</f>
        <v/>
      </c>
    </row>
    <row r="141">
      <c r="A141" s="39">
        <f>IF('Additional Images'!B141 = "", "", IF('Additional Images-WUO_ERR'!A141 = "", "Validated", HYPERLINK("#" &amp; ADDRESS(141, 'Additional Images-WUO_TRK'!A141),_xlfn.TEXTAFTER('Additional Images-WUO_ERR'!A141, ":"))))</f>
        <v/>
      </c>
    </row>
    <row r="142">
      <c r="A142" s="39">
        <f>IF('Additional Images'!B142 = "", "", IF('Additional Images-WUO_ERR'!A142 = "", "Validated", HYPERLINK("#" &amp; ADDRESS(142, 'Additional Images-WUO_TRK'!A142),_xlfn.TEXTAFTER('Additional Images-WUO_ERR'!A142, ":"))))</f>
        <v/>
      </c>
    </row>
    <row r="143">
      <c r="A143" s="39">
        <f>IF('Additional Images'!B143 = "", "", IF('Additional Images-WUO_ERR'!A143 = "", "Validated", HYPERLINK("#" &amp; ADDRESS(143, 'Additional Images-WUO_TRK'!A143),_xlfn.TEXTAFTER('Additional Images-WUO_ERR'!A143, ":"))))</f>
        <v/>
      </c>
    </row>
    <row r="144">
      <c r="A144" s="39">
        <f>IF('Additional Images'!B144 = "", "", IF('Additional Images-WUO_ERR'!A144 = "", "Validated", HYPERLINK("#" &amp; ADDRESS(144, 'Additional Images-WUO_TRK'!A144),_xlfn.TEXTAFTER('Additional Images-WUO_ERR'!A144, ":"))))</f>
        <v/>
      </c>
    </row>
    <row r="145">
      <c r="A145" s="39">
        <f>IF('Additional Images'!B145 = "", "", IF('Additional Images-WUO_ERR'!A145 = "", "Validated", HYPERLINK("#" &amp; ADDRESS(145, 'Additional Images-WUO_TRK'!A145),_xlfn.TEXTAFTER('Additional Images-WUO_ERR'!A145, ":"))))</f>
        <v/>
      </c>
    </row>
    <row r="146">
      <c r="A146" s="39">
        <f>IF('Additional Images'!B146 = "", "", IF('Additional Images-WUO_ERR'!A146 = "", "Validated", HYPERLINK("#" &amp; ADDRESS(146, 'Additional Images-WUO_TRK'!A146),_xlfn.TEXTAFTER('Additional Images-WUO_ERR'!A146, ":"))))</f>
        <v/>
      </c>
    </row>
    <row r="147">
      <c r="A147" s="39">
        <f>IF('Additional Images'!B147 = "", "", IF('Additional Images-WUO_ERR'!A147 = "", "Validated", HYPERLINK("#" &amp; ADDRESS(147, 'Additional Images-WUO_TRK'!A147),_xlfn.TEXTAFTER('Additional Images-WUO_ERR'!A147, ":"))))</f>
        <v/>
      </c>
    </row>
    <row r="148">
      <c r="A148" s="39">
        <f>IF('Additional Images'!B148 = "", "", IF('Additional Images-WUO_ERR'!A148 = "", "Validated", HYPERLINK("#" &amp; ADDRESS(148, 'Additional Images-WUO_TRK'!A148),_xlfn.TEXTAFTER('Additional Images-WUO_ERR'!A148, ":"))))</f>
        <v/>
      </c>
    </row>
    <row r="149">
      <c r="A149" s="39">
        <f>IF('Additional Images'!B149 = "", "", IF('Additional Images-WUO_ERR'!A149 = "", "Validated", HYPERLINK("#" &amp; ADDRESS(149, 'Additional Images-WUO_TRK'!A149),_xlfn.TEXTAFTER('Additional Images-WUO_ERR'!A149, ":"))))</f>
        <v/>
      </c>
    </row>
    <row r="150">
      <c r="A150" s="39">
        <f>IF('Additional Images'!B150 = "", "", IF('Additional Images-WUO_ERR'!A150 = "", "Validated", HYPERLINK("#" &amp; ADDRESS(150, 'Additional Images-WUO_TRK'!A150),_xlfn.TEXTAFTER('Additional Images-WUO_ERR'!A150, ":"))))</f>
        <v/>
      </c>
    </row>
    <row r="151">
      <c r="A151" s="39">
        <f>IF('Additional Images'!B151 = "", "", IF('Additional Images-WUO_ERR'!A151 = "", "Validated", HYPERLINK("#" &amp; ADDRESS(151, 'Additional Images-WUO_TRK'!A151),_xlfn.TEXTAFTER('Additional Images-WUO_ERR'!A151, ":"))))</f>
        <v/>
      </c>
    </row>
    <row r="152">
      <c r="A152" s="39">
        <f>IF('Additional Images'!B152 = "", "", IF('Additional Images-WUO_ERR'!A152 = "", "Validated", HYPERLINK("#" &amp; ADDRESS(152, 'Additional Images-WUO_TRK'!A152),_xlfn.TEXTAFTER('Additional Images-WUO_ERR'!A152, ":"))))</f>
        <v/>
      </c>
    </row>
    <row r="153">
      <c r="A153" s="39">
        <f>IF('Additional Images'!B153 = "", "", IF('Additional Images-WUO_ERR'!A153 = "", "Validated", HYPERLINK("#" &amp; ADDRESS(153, 'Additional Images-WUO_TRK'!A153),_xlfn.TEXTAFTER('Additional Images-WUO_ERR'!A153, ":"))))</f>
        <v/>
      </c>
    </row>
    <row r="154">
      <c r="A154" s="39">
        <f>IF('Additional Images'!B154 = "", "", IF('Additional Images-WUO_ERR'!A154 = "", "Validated", HYPERLINK("#" &amp; ADDRESS(154, 'Additional Images-WUO_TRK'!A154),_xlfn.TEXTAFTER('Additional Images-WUO_ERR'!A154, ":"))))</f>
        <v/>
      </c>
    </row>
    <row r="155">
      <c r="A155" s="39">
        <f>IF('Additional Images'!B155 = "", "", IF('Additional Images-WUO_ERR'!A155 = "", "Validated", HYPERLINK("#" &amp; ADDRESS(155, 'Additional Images-WUO_TRK'!A155),_xlfn.TEXTAFTER('Additional Images-WUO_ERR'!A155, ":"))))</f>
        <v/>
      </c>
    </row>
    <row r="156">
      <c r="A156" s="39">
        <f>IF('Additional Images'!B156 = "", "", IF('Additional Images-WUO_ERR'!A156 = "", "Validated", HYPERLINK("#" &amp; ADDRESS(156, 'Additional Images-WUO_TRK'!A156),_xlfn.TEXTAFTER('Additional Images-WUO_ERR'!A156, ":"))))</f>
        <v/>
      </c>
    </row>
    <row r="157">
      <c r="A157" s="39">
        <f>IF('Additional Images'!B157 = "", "", IF('Additional Images-WUO_ERR'!A157 = "", "Validated", HYPERLINK("#" &amp; ADDRESS(157, 'Additional Images-WUO_TRK'!A157),_xlfn.TEXTAFTER('Additional Images-WUO_ERR'!A157, ":"))))</f>
        <v/>
      </c>
    </row>
    <row r="158">
      <c r="A158" s="39">
        <f>IF('Additional Images'!B158 = "", "", IF('Additional Images-WUO_ERR'!A158 = "", "Validated", HYPERLINK("#" &amp; ADDRESS(158, 'Additional Images-WUO_TRK'!A158),_xlfn.TEXTAFTER('Additional Images-WUO_ERR'!A158, ":"))))</f>
        <v/>
      </c>
    </row>
    <row r="159">
      <c r="A159" s="39">
        <f>IF('Additional Images'!B159 = "", "", IF('Additional Images-WUO_ERR'!A159 = "", "Validated", HYPERLINK("#" &amp; ADDRESS(159, 'Additional Images-WUO_TRK'!A159),_xlfn.TEXTAFTER('Additional Images-WUO_ERR'!A159, ":"))))</f>
        <v/>
      </c>
    </row>
    <row r="160">
      <c r="A160" s="39">
        <f>IF('Additional Images'!B160 = "", "", IF('Additional Images-WUO_ERR'!A160 = "", "Validated", HYPERLINK("#" &amp; ADDRESS(160, 'Additional Images-WUO_TRK'!A160),_xlfn.TEXTAFTER('Additional Images-WUO_ERR'!A160, ":"))))</f>
        <v/>
      </c>
    </row>
    <row r="161">
      <c r="A161" s="39">
        <f>IF('Additional Images'!B161 = "", "", IF('Additional Images-WUO_ERR'!A161 = "", "Validated", HYPERLINK("#" &amp; ADDRESS(161, 'Additional Images-WUO_TRK'!A161),_xlfn.TEXTAFTER('Additional Images-WUO_ERR'!A161, ":"))))</f>
        <v/>
      </c>
    </row>
    <row r="162">
      <c r="A162" s="39">
        <f>IF('Additional Images'!B162 = "", "", IF('Additional Images-WUO_ERR'!A162 = "", "Validated", HYPERLINK("#" &amp; ADDRESS(162, 'Additional Images-WUO_TRK'!A162),_xlfn.TEXTAFTER('Additional Images-WUO_ERR'!A162, ":"))))</f>
        <v/>
      </c>
    </row>
    <row r="163">
      <c r="A163" s="39">
        <f>IF('Additional Images'!B163 = "", "", IF('Additional Images-WUO_ERR'!A163 = "", "Validated", HYPERLINK("#" &amp; ADDRESS(163, 'Additional Images-WUO_TRK'!A163),_xlfn.TEXTAFTER('Additional Images-WUO_ERR'!A163, ":"))))</f>
        <v/>
      </c>
    </row>
    <row r="164">
      <c r="A164" s="39">
        <f>IF('Additional Images'!B164 = "", "", IF('Additional Images-WUO_ERR'!A164 = "", "Validated", HYPERLINK("#" &amp; ADDRESS(164, 'Additional Images-WUO_TRK'!A164),_xlfn.TEXTAFTER('Additional Images-WUO_ERR'!A164, ":"))))</f>
        <v/>
      </c>
    </row>
    <row r="165">
      <c r="A165" s="39">
        <f>IF('Additional Images'!B165 = "", "", IF('Additional Images-WUO_ERR'!A165 = "", "Validated", HYPERLINK("#" &amp; ADDRESS(165, 'Additional Images-WUO_TRK'!A165),_xlfn.TEXTAFTER('Additional Images-WUO_ERR'!A165, ":"))))</f>
        <v/>
      </c>
    </row>
    <row r="166">
      <c r="A166" s="39">
        <f>IF('Additional Images'!B166 = "", "", IF('Additional Images-WUO_ERR'!A166 = "", "Validated", HYPERLINK("#" &amp; ADDRESS(166, 'Additional Images-WUO_TRK'!A166),_xlfn.TEXTAFTER('Additional Images-WUO_ERR'!A166, ":"))))</f>
        <v/>
      </c>
    </row>
    <row r="167">
      <c r="A167" s="39">
        <f>IF('Additional Images'!B167 = "", "", IF('Additional Images-WUO_ERR'!A167 = "", "Validated", HYPERLINK("#" &amp; ADDRESS(167, 'Additional Images-WUO_TRK'!A167),_xlfn.TEXTAFTER('Additional Images-WUO_ERR'!A167, ":"))))</f>
        <v/>
      </c>
    </row>
    <row r="168">
      <c r="A168" s="39">
        <f>IF('Additional Images'!B168 = "", "", IF('Additional Images-WUO_ERR'!A168 = "", "Validated", HYPERLINK("#" &amp; ADDRESS(168, 'Additional Images-WUO_TRK'!A168),_xlfn.TEXTAFTER('Additional Images-WUO_ERR'!A168, ":"))))</f>
        <v/>
      </c>
    </row>
    <row r="169">
      <c r="A169" s="39">
        <f>IF('Additional Images'!B169 = "", "", IF('Additional Images-WUO_ERR'!A169 = "", "Validated", HYPERLINK("#" &amp; ADDRESS(169, 'Additional Images-WUO_TRK'!A169),_xlfn.TEXTAFTER('Additional Images-WUO_ERR'!A169, ":"))))</f>
        <v/>
      </c>
    </row>
    <row r="170">
      <c r="A170" s="39">
        <f>IF('Additional Images'!B170 = "", "", IF('Additional Images-WUO_ERR'!A170 = "", "Validated", HYPERLINK("#" &amp; ADDRESS(170, 'Additional Images-WUO_TRK'!A170),_xlfn.TEXTAFTER('Additional Images-WUO_ERR'!A170, ":"))))</f>
        <v/>
      </c>
    </row>
    <row r="171">
      <c r="A171" s="39">
        <f>IF('Additional Images'!B171 = "", "", IF('Additional Images-WUO_ERR'!A171 = "", "Validated", HYPERLINK("#" &amp; ADDRESS(171, 'Additional Images-WUO_TRK'!A171),_xlfn.TEXTAFTER('Additional Images-WUO_ERR'!A171, ":"))))</f>
        <v/>
      </c>
    </row>
    <row r="172">
      <c r="A172" s="39">
        <f>IF('Additional Images'!B172 = "", "", IF('Additional Images-WUO_ERR'!A172 = "", "Validated", HYPERLINK("#" &amp; ADDRESS(172, 'Additional Images-WUO_TRK'!A172),_xlfn.TEXTAFTER('Additional Images-WUO_ERR'!A172, ":"))))</f>
        <v/>
      </c>
    </row>
    <row r="173">
      <c r="A173" s="39">
        <f>IF('Additional Images'!B173 = "", "", IF('Additional Images-WUO_ERR'!A173 = "", "Validated", HYPERLINK("#" &amp; ADDRESS(173, 'Additional Images-WUO_TRK'!A173),_xlfn.TEXTAFTER('Additional Images-WUO_ERR'!A173, ":"))))</f>
        <v/>
      </c>
    </row>
    <row r="174">
      <c r="A174" s="39">
        <f>IF('Additional Images'!B174 = "", "", IF('Additional Images-WUO_ERR'!A174 = "", "Validated", HYPERLINK("#" &amp; ADDRESS(174, 'Additional Images-WUO_TRK'!A174),_xlfn.TEXTAFTER('Additional Images-WUO_ERR'!A174, ":"))))</f>
        <v/>
      </c>
    </row>
    <row r="175">
      <c r="A175" s="39">
        <f>IF('Additional Images'!B175 = "", "", IF('Additional Images-WUO_ERR'!A175 = "", "Validated", HYPERLINK("#" &amp; ADDRESS(175, 'Additional Images-WUO_TRK'!A175),_xlfn.TEXTAFTER('Additional Images-WUO_ERR'!A175, ":"))))</f>
        <v/>
      </c>
    </row>
    <row r="176">
      <c r="A176" s="39">
        <f>IF('Additional Images'!B176 = "", "", IF('Additional Images-WUO_ERR'!A176 = "", "Validated", HYPERLINK("#" &amp; ADDRESS(176, 'Additional Images-WUO_TRK'!A176),_xlfn.TEXTAFTER('Additional Images-WUO_ERR'!A176, ":"))))</f>
        <v/>
      </c>
    </row>
    <row r="177">
      <c r="A177" s="39">
        <f>IF('Additional Images'!B177 = "", "", IF('Additional Images-WUO_ERR'!A177 = "", "Validated", HYPERLINK("#" &amp; ADDRESS(177, 'Additional Images-WUO_TRK'!A177),_xlfn.TEXTAFTER('Additional Images-WUO_ERR'!A177, ":"))))</f>
        <v/>
      </c>
    </row>
    <row r="178">
      <c r="A178" s="39">
        <f>IF('Additional Images'!B178 = "", "", IF('Additional Images-WUO_ERR'!A178 = "", "Validated", HYPERLINK("#" &amp; ADDRESS(178, 'Additional Images-WUO_TRK'!A178),_xlfn.TEXTAFTER('Additional Images-WUO_ERR'!A178, ":"))))</f>
        <v/>
      </c>
    </row>
    <row r="179">
      <c r="A179" s="39">
        <f>IF('Additional Images'!B179 = "", "", IF('Additional Images-WUO_ERR'!A179 = "", "Validated", HYPERLINK("#" &amp; ADDRESS(179, 'Additional Images-WUO_TRK'!A179),_xlfn.TEXTAFTER('Additional Images-WUO_ERR'!A179, ":"))))</f>
        <v/>
      </c>
    </row>
    <row r="180">
      <c r="A180" s="39">
        <f>IF('Additional Images'!B180 = "", "", IF('Additional Images-WUO_ERR'!A180 = "", "Validated", HYPERLINK("#" &amp; ADDRESS(180, 'Additional Images-WUO_TRK'!A180),_xlfn.TEXTAFTER('Additional Images-WUO_ERR'!A180, ":"))))</f>
        <v/>
      </c>
    </row>
    <row r="181">
      <c r="A181" s="39">
        <f>IF('Additional Images'!B181 = "", "", IF('Additional Images-WUO_ERR'!A181 = "", "Validated", HYPERLINK("#" &amp; ADDRESS(181, 'Additional Images-WUO_TRK'!A181),_xlfn.TEXTAFTER('Additional Images-WUO_ERR'!A181, ":"))))</f>
        <v/>
      </c>
    </row>
    <row r="182">
      <c r="A182" s="39">
        <f>IF('Additional Images'!B182 = "", "", IF('Additional Images-WUO_ERR'!A182 = "", "Validated", HYPERLINK("#" &amp; ADDRESS(182, 'Additional Images-WUO_TRK'!A182),_xlfn.TEXTAFTER('Additional Images-WUO_ERR'!A182, ":"))))</f>
        <v/>
      </c>
    </row>
    <row r="183">
      <c r="A183" s="39">
        <f>IF('Additional Images'!B183 = "", "", IF('Additional Images-WUO_ERR'!A183 = "", "Validated", HYPERLINK("#" &amp; ADDRESS(183, 'Additional Images-WUO_TRK'!A183),_xlfn.TEXTAFTER('Additional Images-WUO_ERR'!A183, ":"))))</f>
        <v/>
      </c>
    </row>
    <row r="184">
      <c r="A184" s="39">
        <f>IF('Additional Images'!B184 = "", "", IF('Additional Images-WUO_ERR'!A184 = "", "Validated", HYPERLINK("#" &amp; ADDRESS(184, 'Additional Images-WUO_TRK'!A184),_xlfn.TEXTAFTER('Additional Images-WUO_ERR'!A184, ":"))))</f>
        <v/>
      </c>
    </row>
    <row r="185">
      <c r="A185" s="39">
        <f>IF('Additional Images'!B185 = "", "", IF('Additional Images-WUO_ERR'!A185 = "", "Validated", HYPERLINK("#" &amp; ADDRESS(185, 'Additional Images-WUO_TRK'!A185),_xlfn.TEXTAFTER('Additional Images-WUO_ERR'!A185, ":"))))</f>
        <v/>
      </c>
    </row>
    <row r="186">
      <c r="A186" s="39">
        <f>IF('Additional Images'!B186 = "", "", IF('Additional Images-WUO_ERR'!A186 = "", "Validated", HYPERLINK("#" &amp; ADDRESS(186, 'Additional Images-WUO_TRK'!A186),_xlfn.TEXTAFTER('Additional Images-WUO_ERR'!A186, ":"))))</f>
        <v/>
      </c>
    </row>
    <row r="187">
      <c r="A187" s="39">
        <f>IF('Additional Images'!B187 = "", "", IF('Additional Images-WUO_ERR'!A187 = "", "Validated", HYPERLINK("#" &amp; ADDRESS(187, 'Additional Images-WUO_TRK'!A187),_xlfn.TEXTAFTER('Additional Images-WUO_ERR'!A187, ":"))))</f>
        <v/>
      </c>
    </row>
    <row r="188">
      <c r="A188" s="39">
        <f>IF('Additional Images'!B188 = "", "", IF('Additional Images-WUO_ERR'!A188 = "", "Validated", HYPERLINK("#" &amp; ADDRESS(188, 'Additional Images-WUO_TRK'!A188),_xlfn.TEXTAFTER('Additional Images-WUO_ERR'!A188, ":"))))</f>
        <v/>
      </c>
    </row>
    <row r="189">
      <c r="A189" s="39">
        <f>IF('Additional Images'!B189 = "", "", IF('Additional Images-WUO_ERR'!A189 = "", "Validated", HYPERLINK("#" &amp; ADDRESS(189, 'Additional Images-WUO_TRK'!A189),_xlfn.TEXTAFTER('Additional Images-WUO_ERR'!A189, ":"))))</f>
        <v/>
      </c>
    </row>
    <row r="190">
      <c r="A190" s="39">
        <f>IF('Additional Images'!B190 = "", "", IF('Additional Images-WUO_ERR'!A190 = "", "Validated", HYPERLINK("#" &amp; ADDRESS(190, 'Additional Images-WUO_TRK'!A190),_xlfn.TEXTAFTER('Additional Images-WUO_ERR'!A190, ":"))))</f>
        <v/>
      </c>
    </row>
    <row r="191">
      <c r="A191" s="39">
        <f>IF('Additional Images'!B191 = "", "", IF('Additional Images-WUO_ERR'!A191 = "", "Validated", HYPERLINK("#" &amp; ADDRESS(191, 'Additional Images-WUO_TRK'!A191),_xlfn.TEXTAFTER('Additional Images-WUO_ERR'!A191, ":"))))</f>
        <v/>
      </c>
    </row>
    <row r="192">
      <c r="A192" s="39">
        <f>IF('Additional Images'!B192 = "", "", IF('Additional Images-WUO_ERR'!A192 = "", "Validated", HYPERLINK("#" &amp; ADDRESS(192, 'Additional Images-WUO_TRK'!A192),_xlfn.TEXTAFTER('Additional Images-WUO_ERR'!A192, ":"))))</f>
        <v/>
      </c>
    </row>
    <row r="193">
      <c r="A193" s="39">
        <f>IF('Additional Images'!B193 = "", "", IF('Additional Images-WUO_ERR'!A193 = "", "Validated", HYPERLINK("#" &amp; ADDRESS(193, 'Additional Images-WUO_TRK'!A193),_xlfn.TEXTAFTER('Additional Images-WUO_ERR'!A193, ":"))))</f>
        <v/>
      </c>
    </row>
    <row r="194">
      <c r="A194" s="39">
        <f>IF('Additional Images'!B194 = "", "", IF('Additional Images-WUO_ERR'!A194 = "", "Validated", HYPERLINK("#" &amp; ADDRESS(194, 'Additional Images-WUO_TRK'!A194),_xlfn.TEXTAFTER('Additional Images-WUO_ERR'!A194, ":"))))</f>
        <v/>
      </c>
    </row>
    <row r="195">
      <c r="A195" s="39">
        <f>IF('Additional Images'!B195 = "", "", IF('Additional Images-WUO_ERR'!A195 = "", "Validated", HYPERLINK("#" &amp; ADDRESS(195, 'Additional Images-WUO_TRK'!A195),_xlfn.TEXTAFTER('Additional Images-WUO_ERR'!A195, ":"))))</f>
        <v/>
      </c>
    </row>
    <row r="196">
      <c r="A196" s="39">
        <f>IF('Additional Images'!B196 = "", "", IF('Additional Images-WUO_ERR'!A196 = "", "Validated", HYPERLINK("#" &amp; ADDRESS(196, 'Additional Images-WUO_TRK'!A196),_xlfn.TEXTAFTER('Additional Images-WUO_ERR'!A196, ":"))))</f>
        <v/>
      </c>
    </row>
    <row r="197">
      <c r="A197" s="39">
        <f>IF('Additional Images'!B197 = "", "", IF('Additional Images-WUO_ERR'!A197 = "", "Validated", HYPERLINK("#" &amp; ADDRESS(197, 'Additional Images-WUO_TRK'!A197),_xlfn.TEXTAFTER('Additional Images-WUO_ERR'!A197, ":"))))</f>
        <v/>
      </c>
    </row>
    <row r="198">
      <c r="A198" s="39">
        <f>IF('Additional Images'!B198 = "", "", IF('Additional Images-WUO_ERR'!A198 = "", "Validated", HYPERLINK("#" &amp; ADDRESS(198, 'Additional Images-WUO_TRK'!A198),_xlfn.TEXTAFTER('Additional Images-WUO_ERR'!A198, ":"))))</f>
        <v/>
      </c>
    </row>
    <row r="199">
      <c r="A199" s="39">
        <f>IF('Additional Images'!B199 = "", "", IF('Additional Images-WUO_ERR'!A199 = "", "Validated", HYPERLINK("#" &amp; ADDRESS(199, 'Additional Images-WUO_TRK'!A199),_xlfn.TEXTAFTER('Additional Images-WUO_ERR'!A199, ":"))))</f>
        <v/>
      </c>
    </row>
    <row r="200">
      <c r="A200" s="39">
        <f>IF('Additional Images'!B200 = "", "", IF('Additional Images-WUO_ERR'!A200 = "", "Validated", HYPERLINK("#" &amp; ADDRESS(200, 'Additional Images-WUO_TRK'!A200),_xlfn.TEXTAFTER('Additional Images-WUO_ERR'!A200, ":"))))</f>
        <v/>
      </c>
    </row>
    <row r="201">
      <c r="A201" s="39">
        <f>IF('Additional Images'!B201 = "", "", IF('Additional Images-WUO_ERR'!A201 = "", "Validated", HYPERLINK("#" &amp; ADDRESS(201, 'Additional Images-WUO_TRK'!A201),_xlfn.TEXTAFTER('Additional Images-WUO_ERR'!A201, ":"))))</f>
        <v/>
      </c>
    </row>
    <row r="202">
      <c r="A202" s="39">
        <f>IF('Additional Images'!B202 = "", "", IF('Additional Images-WUO_ERR'!A202 = "", "Validated", HYPERLINK("#" &amp; ADDRESS(202, 'Additional Images-WUO_TRK'!A202),_xlfn.TEXTAFTER('Additional Images-WUO_ERR'!A202, ":"))))</f>
        <v/>
      </c>
    </row>
    <row r="203">
      <c r="A203" s="39">
        <f>IF('Additional Images'!B203 = "", "", IF('Additional Images-WUO_ERR'!A203 = "", "Validated", HYPERLINK("#" &amp; ADDRESS(203, 'Additional Images-WUO_TRK'!A203),_xlfn.TEXTAFTER('Additional Images-WUO_ERR'!A203, ":"))))</f>
        <v/>
      </c>
    </row>
    <row r="204">
      <c r="A204" s="39">
        <f>IF('Additional Images'!B204 = "", "", IF('Additional Images-WUO_ERR'!A204 = "", "Validated", HYPERLINK("#" &amp; ADDRESS(204, 'Additional Images-WUO_TRK'!A204),_xlfn.TEXTAFTER('Additional Images-WUO_ERR'!A204, ":"))))</f>
        <v/>
      </c>
    </row>
    <row r="205">
      <c r="A205" s="39">
        <f>IF('Additional Images'!B205 = "", "", IF('Additional Images-WUO_ERR'!A205 = "", "Validated", HYPERLINK("#" &amp; ADDRESS(205, 'Additional Images-WUO_TRK'!A205),_xlfn.TEXTAFTER('Additional Images-WUO_ERR'!A205, ":"))))</f>
        <v/>
      </c>
    </row>
    <row r="206">
      <c r="A206" s="39">
        <f>IF('Additional Images'!B206 = "", "", IF('Additional Images-WUO_ERR'!A206 = "", "Validated", HYPERLINK("#" &amp; ADDRESS(206, 'Additional Images-WUO_TRK'!A206),_xlfn.TEXTAFTER('Additional Images-WUO_ERR'!A206, ":"))))</f>
        <v/>
      </c>
    </row>
    <row r="207">
      <c r="A207" s="39">
        <f>IF('Additional Images'!B207 = "", "", IF('Additional Images-WUO_ERR'!A207 = "", "Validated", HYPERLINK("#" &amp; ADDRESS(207, 'Additional Images-WUO_TRK'!A207),_xlfn.TEXTAFTER('Additional Images-WUO_ERR'!A207, ":"))))</f>
        <v/>
      </c>
    </row>
    <row r="208">
      <c r="A208" s="39">
        <f>IF('Additional Images'!B208 = "", "", IF('Additional Images-WUO_ERR'!A208 = "", "Validated", HYPERLINK("#" &amp; ADDRESS(208, 'Additional Images-WUO_TRK'!A208),_xlfn.TEXTAFTER('Additional Images-WUO_ERR'!A208, ":"))))</f>
        <v/>
      </c>
    </row>
    <row r="209">
      <c r="A209" s="39">
        <f>IF('Additional Images'!B209 = "", "", IF('Additional Images-WUO_ERR'!A209 = "", "Validated", HYPERLINK("#" &amp; ADDRESS(209, 'Additional Images-WUO_TRK'!A209),_xlfn.TEXTAFTER('Additional Images-WUO_ERR'!A209, ":"))))</f>
        <v/>
      </c>
    </row>
    <row r="210">
      <c r="A210" s="39">
        <f>IF('Additional Images'!B210 = "", "", IF('Additional Images-WUO_ERR'!A210 = "", "Validated", HYPERLINK("#" &amp; ADDRESS(210, 'Additional Images-WUO_TRK'!A210),_xlfn.TEXTAFTER('Additional Images-WUO_ERR'!A210, ":"))))</f>
        <v/>
      </c>
    </row>
    <row r="211">
      <c r="A211" s="39">
        <f>IF('Additional Images'!B211 = "", "", IF('Additional Images-WUO_ERR'!A211 = "", "Validated", HYPERLINK("#" &amp; ADDRESS(211, 'Additional Images-WUO_TRK'!A211),_xlfn.TEXTAFTER('Additional Images-WUO_ERR'!A211, ":"))))</f>
        <v/>
      </c>
    </row>
    <row r="212">
      <c r="A212" s="39">
        <f>IF('Additional Images'!B212 = "", "", IF('Additional Images-WUO_ERR'!A212 = "", "Validated", HYPERLINK("#" &amp; ADDRESS(212, 'Additional Images-WUO_TRK'!A212),_xlfn.TEXTAFTER('Additional Images-WUO_ERR'!A212, ":"))))</f>
        <v/>
      </c>
    </row>
    <row r="213">
      <c r="A213" s="39">
        <f>IF('Additional Images'!B213 = "", "", IF('Additional Images-WUO_ERR'!A213 = "", "Validated", HYPERLINK("#" &amp; ADDRESS(213, 'Additional Images-WUO_TRK'!A213),_xlfn.TEXTAFTER('Additional Images-WUO_ERR'!A213, ":"))))</f>
        <v/>
      </c>
    </row>
    <row r="214">
      <c r="A214" s="39">
        <f>IF('Additional Images'!B214 = "", "", IF('Additional Images-WUO_ERR'!A214 = "", "Validated", HYPERLINK("#" &amp; ADDRESS(214, 'Additional Images-WUO_TRK'!A214),_xlfn.TEXTAFTER('Additional Images-WUO_ERR'!A214, ":"))))</f>
        <v/>
      </c>
    </row>
    <row r="215">
      <c r="A215" s="39">
        <f>IF('Additional Images'!B215 = "", "", IF('Additional Images-WUO_ERR'!A215 = "", "Validated", HYPERLINK("#" &amp; ADDRESS(215, 'Additional Images-WUO_TRK'!A215),_xlfn.TEXTAFTER('Additional Images-WUO_ERR'!A215, ":"))))</f>
        <v/>
      </c>
    </row>
    <row r="216">
      <c r="A216" s="39">
        <f>IF('Additional Images'!B216 = "", "", IF('Additional Images-WUO_ERR'!A216 = "", "Validated", HYPERLINK("#" &amp; ADDRESS(216, 'Additional Images-WUO_TRK'!A216),_xlfn.TEXTAFTER('Additional Images-WUO_ERR'!A216, ":"))))</f>
        <v/>
      </c>
    </row>
    <row r="217">
      <c r="A217" s="39">
        <f>IF('Additional Images'!B217 = "", "", IF('Additional Images-WUO_ERR'!A217 = "", "Validated", HYPERLINK("#" &amp; ADDRESS(217, 'Additional Images-WUO_TRK'!A217),_xlfn.TEXTAFTER('Additional Images-WUO_ERR'!A217, ":"))))</f>
        <v/>
      </c>
    </row>
    <row r="218">
      <c r="A218" s="39">
        <f>IF('Additional Images'!B218 = "", "", IF('Additional Images-WUO_ERR'!A218 = "", "Validated", HYPERLINK("#" &amp; ADDRESS(218, 'Additional Images-WUO_TRK'!A218),_xlfn.TEXTAFTER('Additional Images-WUO_ERR'!A218, ":"))))</f>
        <v/>
      </c>
    </row>
    <row r="219">
      <c r="A219" s="39">
        <f>IF('Additional Images'!B219 = "", "", IF('Additional Images-WUO_ERR'!A219 = "", "Validated", HYPERLINK("#" &amp; ADDRESS(219, 'Additional Images-WUO_TRK'!A219),_xlfn.TEXTAFTER('Additional Images-WUO_ERR'!A219, ":"))))</f>
        <v/>
      </c>
    </row>
    <row r="220">
      <c r="A220" s="39">
        <f>IF('Additional Images'!B220 = "", "", IF('Additional Images-WUO_ERR'!A220 = "", "Validated", HYPERLINK("#" &amp; ADDRESS(220, 'Additional Images-WUO_TRK'!A220),_xlfn.TEXTAFTER('Additional Images-WUO_ERR'!A220, ":"))))</f>
        <v/>
      </c>
    </row>
    <row r="221">
      <c r="A221" s="39">
        <f>IF('Additional Images'!B221 = "", "", IF('Additional Images-WUO_ERR'!A221 = "", "Validated", HYPERLINK("#" &amp; ADDRESS(221, 'Additional Images-WUO_TRK'!A221),_xlfn.TEXTAFTER('Additional Images-WUO_ERR'!A221, ":"))))</f>
        <v/>
      </c>
    </row>
    <row r="222">
      <c r="A222" s="39">
        <f>IF('Additional Images'!B222 = "", "", IF('Additional Images-WUO_ERR'!A222 = "", "Validated", HYPERLINK("#" &amp; ADDRESS(222, 'Additional Images-WUO_TRK'!A222),_xlfn.TEXTAFTER('Additional Images-WUO_ERR'!A222, ":"))))</f>
        <v/>
      </c>
    </row>
    <row r="223">
      <c r="A223" s="39">
        <f>IF('Additional Images'!B223 = "", "", IF('Additional Images-WUO_ERR'!A223 = "", "Validated", HYPERLINK("#" &amp; ADDRESS(223, 'Additional Images-WUO_TRK'!A223),_xlfn.TEXTAFTER('Additional Images-WUO_ERR'!A223, ":"))))</f>
        <v/>
      </c>
    </row>
    <row r="224">
      <c r="A224" s="39">
        <f>IF('Additional Images'!B224 = "", "", IF('Additional Images-WUO_ERR'!A224 = "", "Validated", HYPERLINK("#" &amp; ADDRESS(224, 'Additional Images-WUO_TRK'!A224),_xlfn.TEXTAFTER('Additional Images-WUO_ERR'!A224, ":"))))</f>
        <v/>
      </c>
    </row>
    <row r="225">
      <c r="A225" s="39">
        <f>IF('Additional Images'!B225 = "", "", IF('Additional Images-WUO_ERR'!A225 = "", "Validated", HYPERLINK("#" &amp; ADDRESS(225, 'Additional Images-WUO_TRK'!A225),_xlfn.TEXTAFTER('Additional Images-WUO_ERR'!A225, ":"))))</f>
        <v/>
      </c>
    </row>
    <row r="226">
      <c r="A226" s="39">
        <f>IF('Additional Images'!B226 = "", "", IF('Additional Images-WUO_ERR'!A226 = "", "Validated", HYPERLINK("#" &amp; ADDRESS(226, 'Additional Images-WUO_TRK'!A226),_xlfn.TEXTAFTER('Additional Images-WUO_ERR'!A226, ":"))))</f>
        <v/>
      </c>
    </row>
    <row r="227">
      <c r="A227" s="39">
        <f>IF('Additional Images'!B227 = "", "", IF('Additional Images-WUO_ERR'!A227 = "", "Validated", HYPERLINK("#" &amp; ADDRESS(227, 'Additional Images-WUO_TRK'!A227),_xlfn.TEXTAFTER('Additional Images-WUO_ERR'!A227, ":"))))</f>
        <v/>
      </c>
    </row>
    <row r="228">
      <c r="A228" s="39">
        <f>IF('Additional Images'!B228 = "", "", IF('Additional Images-WUO_ERR'!A228 = "", "Validated", HYPERLINK("#" &amp; ADDRESS(228, 'Additional Images-WUO_TRK'!A228),_xlfn.TEXTAFTER('Additional Images-WUO_ERR'!A228, ":"))))</f>
        <v/>
      </c>
    </row>
    <row r="229">
      <c r="A229" s="39">
        <f>IF('Additional Images'!B229 = "", "", IF('Additional Images-WUO_ERR'!A229 = "", "Validated", HYPERLINK("#" &amp; ADDRESS(229, 'Additional Images-WUO_TRK'!A229),_xlfn.TEXTAFTER('Additional Images-WUO_ERR'!A229, ":"))))</f>
        <v/>
      </c>
    </row>
    <row r="230">
      <c r="A230" s="39">
        <f>IF('Additional Images'!B230 = "", "", IF('Additional Images-WUO_ERR'!A230 = "", "Validated", HYPERLINK("#" &amp; ADDRESS(230, 'Additional Images-WUO_TRK'!A230),_xlfn.TEXTAFTER('Additional Images-WUO_ERR'!A230, ":"))))</f>
        <v/>
      </c>
    </row>
    <row r="231">
      <c r="A231" s="39">
        <f>IF('Additional Images'!B231 = "", "", IF('Additional Images-WUO_ERR'!A231 = "", "Validated", HYPERLINK("#" &amp; ADDRESS(231, 'Additional Images-WUO_TRK'!A231),_xlfn.TEXTAFTER('Additional Images-WUO_ERR'!A231, ":"))))</f>
        <v/>
      </c>
    </row>
    <row r="232">
      <c r="A232" s="39">
        <f>IF('Additional Images'!B232 = "", "", IF('Additional Images-WUO_ERR'!A232 = "", "Validated", HYPERLINK("#" &amp; ADDRESS(232, 'Additional Images-WUO_TRK'!A232),_xlfn.TEXTAFTER('Additional Images-WUO_ERR'!A232, ":"))))</f>
        <v/>
      </c>
    </row>
    <row r="233">
      <c r="A233" s="39">
        <f>IF('Additional Images'!B233 = "", "", IF('Additional Images-WUO_ERR'!A233 = "", "Validated", HYPERLINK("#" &amp; ADDRESS(233, 'Additional Images-WUO_TRK'!A233),_xlfn.TEXTAFTER('Additional Images-WUO_ERR'!A233, ":"))))</f>
        <v/>
      </c>
    </row>
    <row r="234">
      <c r="A234" s="39">
        <f>IF('Additional Images'!B234 = "", "", IF('Additional Images-WUO_ERR'!A234 = "", "Validated", HYPERLINK("#" &amp; ADDRESS(234, 'Additional Images-WUO_TRK'!A234),_xlfn.TEXTAFTER('Additional Images-WUO_ERR'!A234, ":"))))</f>
        <v/>
      </c>
    </row>
    <row r="235">
      <c r="A235" s="39">
        <f>IF('Additional Images'!B235 = "", "", IF('Additional Images-WUO_ERR'!A235 = "", "Validated", HYPERLINK("#" &amp; ADDRESS(235, 'Additional Images-WUO_TRK'!A235),_xlfn.TEXTAFTER('Additional Images-WUO_ERR'!A235, ":"))))</f>
        <v/>
      </c>
    </row>
    <row r="236">
      <c r="A236" s="39">
        <f>IF('Additional Images'!B236 = "", "", IF('Additional Images-WUO_ERR'!A236 = "", "Validated", HYPERLINK("#" &amp; ADDRESS(236, 'Additional Images-WUO_TRK'!A236),_xlfn.TEXTAFTER('Additional Images-WUO_ERR'!A236, ":"))))</f>
        <v/>
      </c>
    </row>
    <row r="237">
      <c r="A237" s="39">
        <f>IF('Additional Images'!B237 = "", "", IF('Additional Images-WUO_ERR'!A237 = "", "Validated", HYPERLINK("#" &amp; ADDRESS(237, 'Additional Images-WUO_TRK'!A237),_xlfn.TEXTAFTER('Additional Images-WUO_ERR'!A237, ":"))))</f>
        <v/>
      </c>
    </row>
    <row r="238">
      <c r="A238" s="39">
        <f>IF('Additional Images'!B238 = "", "", IF('Additional Images-WUO_ERR'!A238 = "", "Validated", HYPERLINK("#" &amp; ADDRESS(238, 'Additional Images-WUO_TRK'!A238),_xlfn.TEXTAFTER('Additional Images-WUO_ERR'!A238, ":"))))</f>
        <v/>
      </c>
    </row>
    <row r="239">
      <c r="A239" s="39">
        <f>IF('Additional Images'!B239 = "", "", IF('Additional Images-WUO_ERR'!A239 = "", "Validated", HYPERLINK("#" &amp; ADDRESS(239, 'Additional Images-WUO_TRK'!A239),_xlfn.TEXTAFTER('Additional Images-WUO_ERR'!A239, ":"))))</f>
        <v/>
      </c>
    </row>
    <row r="240">
      <c r="A240" s="39">
        <f>IF('Additional Images'!B240 = "", "", IF('Additional Images-WUO_ERR'!A240 = "", "Validated", HYPERLINK("#" &amp; ADDRESS(240, 'Additional Images-WUO_TRK'!A240),_xlfn.TEXTAFTER('Additional Images-WUO_ERR'!A240, ":"))))</f>
        <v/>
      </c>
    </row>
    <row r="241">
      <c r="A241" s="39">
        <f>IF('Additional Images'!B241 = "", "", IF('Additional Images-WUO_ERR'!A241 = "", "Validated", HYPERLINK("#" &amp; ADDRESS(241, 'Additional Images-WUO_TRK'!A241),_xlfn.TEXTAFTER('Additional Images-WUO_ERR'!A241, ":"))))</f>
        <v/>
      </c>
    </row>
    <row r="242">
      <c r="A242" s="39">
        <f>IF('Additional Images'!B242 = "", "", IF('Additional Images-WUO_ERR'!A242 = "", "Validated", HYPERLINK("#" &amp; ADDRESS(242, 'Additional Images-WUO_TRK'!A242),_xlfn.TEXTAFTER('Additional Images-WUO_ERR'!A242, ":"))))</f>
        <v/>
      </c>
    </row>
    <row r="243">
      <c r="A243" s="39">
        <f>IF('Additional Images'!B243 = "", "", IF('Additional Images-WUO_ERR'!A243 = "", "Validated", HYPERLINK("#" &amp; ADDRESS(243, 'Additional Images-WUO_TRK'!A243),_xlfn.TEXTAFTER('Additional Images-WUO_ERR'!A243, ":"))))</f>
        <v/>
      </c>
    </row>
    <row r="244">
      <c r="A244" s="39">
        <f>IF('Additional Images'!B244 = "", "", IF('Additional Images-WUO_ERR'!A244 = "", "Validated", HYPERLINK("#" &amp; ADDRESS(244, 'Additional Images-WUO_TRK'!A244),_xlfn.TEXTAFTER('Additional Images-WUO_ERR'!A244, ":"))))</f>
        <v/>
      </c>
    </row>
    <row r="245">
      <c r="A245" s="39">
        <f>IF('Additional Images'!B245 = "", "", IF('Additional Images-WUO_ERR'!A245 = "", "Validated", HYPERLINK("#" &amp; ADDRESS(245, 'Additional Images-WUO_TRK'!A245),_xlfn.TEXTAFTER('Additional Images-WUO_ERR'!A245, ":"))))</f>
        <v/>
      </c>
    </row>
    <row r="246">
      <c r="A246" s="39">
        <f>IF('Additional Images'!B246 = "", "", IF('Additional Images-WUO_ERR'!A246 = "", "Validated", HYPERLINK("#" &amp; ADDRESS(246, 'Additional Images-WUO_TRK'!A246),_xlfn.TEXTAFTER('Additional Images-WUO_ERR'!A246, ":"))))</f>
        <v/>
      </c>
    </row>
    <row r="247">
      <c r="A247" s="39">
        <f>IF('Additional Images'!B247 = "", "", IF('Additional Images-WUO_ERR'!A247 = "", "Validated", HYPERLINK("#" &amp; ADDRESS(247, 'Additional Images-WUO_TRK'!A247),_xlfn.TEXTAFTER('Additional Images-WUO_ERR'!A247, ":"))))</f>
        <v/>
      </c>
    </row>
    <row r="248">
      <c r="A248" s="39">
        <f>IF('Additional Images'!B248 = "", "", IF('Additional Images-WUO_ERR'!A248 = "", "Validated", HYPERLINK("#" &amp; ADDRESS(248, 'Additional Images-WUO_TRK'!A248),_xlfn.TEXTAFTER('Additional Images-WUO_ERR'!A248, ":"))))</f>
        <v/>
      </c>
    </row>
    <row r="249">
      <c r="A249" s="39">
        <f>IF('Additional Images'!B249 = "", "", IF('Additional Images-WUO_ERR'!A249 = "", "Validated", HYPERLINK("#" &amp; ADDRESS(249, 'Additional Images-WUO_TRK'!A249),_xlfn.TEXTAFTER('Additional Images-WUO_ERR'!A249, ":"))))</f>
        <v/>
      </c>
    </row>
    <row r="250">
      <c r="A250" s="39">
        <f>IF('Additional Images'!B250 = "", "", IF('Additional Images-WUO_ERR'!A250 = "", "Validated", HYPERLINK("#" &amp; ADDRESS(250, 'Additional Images-WUO_TRK'!A250),_xlfn.TEXTAFTER('Additional Images-WUO_ERR'!A250, ":"))))</f>
        <v/>
      </c>
    </row>
    <row r="251">
      <c r="A251" s="39">
        <f>IF('Additional Images'!B251 = "", "", IF('Additional Images-WUO_ERR'!A251 = "", "Validated", HYPERLINK("#" &amp; ADDRESS(251, 'Additional Images-WUO_TRK'!A251),_xlfn.TEXTAFTER('Additional Images-WUO_ERR'!A251, ":"))))</f>
        <v/>
      </c>
    </row>
    <row r="252">
      <c r="A252" s="39">
        <f>IF('Additional Images'!B252 = "", "", IF('Additional Images-WUO_ERR'!A252 = "", "Validated", HYPERLINK("#" &amp; ADDRESS(252, 'Additional Images-WUO_TRK'!A252),_xlfn.TEXTAFTER('Additional Images-WUO_ERR'!A252, ":"))))</f>
        <v/>
      </c>
    </row>
    <row r="253">
      <c r="A253" s="39">
        <f>IF('Additional Images'!B253 = "", "", IF('Additional Images-WUO_ERR'!A253 = "", "Validated", HYPERLINK("#" &amp; ADDRESS(253, 'Additional Images-WUO_TRK'!A253),_xlfn.TEXTAFTER('Additional Images-WUO_ERR'!A253, ":"))))</f>
        <v/>
      </c>
    </row>
    <row r="254">
      <c r="A254" s="39">
        <f>IF('Additional Images'!B254 = "", "", IF('Additional Images-WUO_ERR'!A254 = "", "Validated", HYPERLINK("#" &amp; ADDRESS(254, 'Additional Images-WUO_TRK'!A254),_xlfn.TEXTAFTER('Additional Images-WUO_ERR'!A254, ":"))))</f>
        <v/>
      </c>
    </row>
    <row r="255">
      <c r="A255" s="39">
        <f>IF('Additional Images'!B255 = "", "", IF('Additional Images-WUO_ERR'!A255 = "", "Validated", HYPERLINK("#" &amp; ADDRESS(255, 'Additional Images-WUO_TRK'!A255),_xlfn.TEXTAFTER('Additional Images-WUO_ERR'!A255, ":"))))</f>
        <v/>
      </c>
    </row>
    <row r="256">
      <c r="A256" s="39">
        <f>IF('Additional Images'!B256 = "", "", IF('Additional Images-WUO_ERR'!A256 = "", "Validated", HYPERLINK("#" &amp; ADDRESS(256, 'Additional Images-WUO_TRK'!A256),_xlfn.TEXTAFTER('Additional Images-WUO_ERR'!A256, ":"))))</f>
        <v/>
      </c>
    </row>
    <row r="257">
      <c r="A257" s="39">
        <f>IF('Additional Images'!B257 = "", "", IF('Additional Images-WUO_ERR'!A257 = "", "Validated", HYPERLINK("#" &amp; ADDRESS(257, 'Additional Images-WUO_TRK'!A257),_xlfn.TEXTAFTER('Additional Images-WUO_ERR'!A257, ":"))))</f>
        <v/>
      </c>
    </row>
    <row r="258">
      <c r="A258" s="39">
        <f>IF('Additional Images'!B258 = "", "", IF('Additional Images-WUO_ERR'!A258 = "", "Validated", HYPERLINK("#" &amp; ADDRESS(258, 'Additional Images-WUO_TRK'!A258),_xlfn.TEXTAFTER('Additional Images-WUO_ERR'!A258, ":"))))</f>
        <v/>
      </c>
    </row>
    <row r="259">
      <c r="A259" s="39">
        <f>IF('Additional Images'!B259 = "", "", IF('Additional Images-WUO_ERR'!A259 = "", "Validated", HYPERLINK("#" &amp; ADDRESS(259, 'Additional Images-WUO_TRK'!A259),_xlfn.TEXTAFTER('Additional Images-WUO_ERR'!A259, ":"))))</f>
        <v/>
      </c>
    </row>
    <row r="260">
      <c r="A260" s="39">
        <f>IF('Additional Images'!B260 = "", "", IF('Additional Images-WUO_ERR'!A260 = "", "Validated", HYPERLINK("#" &amp; ADDRESS(260, 'Additional Images-WUO_TRK'!A260),_xlfn.TEXTAFTER('Additional Images-WUO_ERR'!A260, ":"))))</f>
        <v/>
      </c>
    </row>
    <row r="261">
      <c r="A261" s="39">
        <f>IF('Additional Images'!B261 = "", "", IF('Additional Images-WUO_ERR'!A261 = "", "Validated", HYPERLINK("#" &amp; ADDRESS(261, 'Additional Images-WUO_TRK'!A261),_xlfn.TEXTAFTER('Additional Images-WUO_ERR'!A261, ":"))))</f>
        <v/>
      </c>
    </row>
    <row r="262">
      <c r="A262" s="39">
        <f>IF('Additional Images'!B262 = "", "", IF('Additional Images-WUO_ERR'!A262 = "", "Validated", HYPERLINK("#" &amp; ADDRESS(262, 'Additional Images-WUO_TRK'!A262),_xlfn.TEXTAFTER('Additional Images-WUO_ERR'!A262, ":"))))</f>
        <v/>
      </c>
    </row>
    <row r="263">
      <c r="A263" s="39">
        <f>IF('Additional Images'!B263 = "", "", IF('Additional Images-WUO_ERR'!A263 = "", "Validated", HYPERLINK("#" &amp; ADDRESS(263, 'Additional Images-WUO_TRK'!A263),_xlfn.TEXTAFTER('Additional Images-WUO_ERR'!A263, ":"))))</f>
        <v/>
      </c>
    </row>
    <row r="264">
      <c r="A264" s="39">
        <f>IF('Additional Images'!B264 = "", "", IF('Additional Images-WUO_ERR'!A264 = "", "Validated", HYPERLINK("#" &amp; ADDRESS(264, 'Additional Images-WUO_TRK'!A264),_xlfn.TEXTAFTER('Additional Images-WUO_ERR'!A264, ":"))))</f>
        <v/>
      </c>
    </row>
    <row r="265">
      <c r="A265" s="39">
        <f>IF('Additional Images'!B265 = "", "", IF('Additional Images-WUO_ERR'!A265 = "", "Validated", HYPERLINK("#" &amp; ADDRESS(265, 'Additional Images-WUO_TRK'!A265),_xlfn.TEXTAFTER('Additional Images-WUO_ERR'!A265, ":"))))</f>
        <v/>
      </c>
    </row>
    <row r="266">
      <c r="A266" s="39">
        <f>IF('Additional Images'!B266 = "", "", IF('Additional Images-WUO_ERR'!A266 = "", "Validated", HYPERLINK("#" &amp; ADDRESS(266, 'Additional Images-WUO_TRK'!A266),_xlfn.TEXTAFTER('Additional Images-WUO_ERR'!A266, ":"))))</f>
        <v/>
      </c>
    </row>
    <row r="267">
      <c r="A267" s="39">
        <f>IF('Additional Images'!B267 = "", "", IF('Additional Images-WUO_ERR'!A267 = "", "Validated", HYPERLINK("#" &amp; ADDRESS(267, 'Additional Images-WUO_TRK'!A267),_xlfn.TEXTAFTER('Additional Images-WUO_ERR'!A267, ":"))))</f>
        <v/>
      </c>
    </row>
    <row r="268">
      <c r="A268" s="39">
        <f>IF('Additional Images'!B268 = "", "", IF('Additional Images-WUO_ERR'!A268 = "", "Validated", HYPERLINK("#" &amp; ADDRESS(268, 'Additional Images-WUO_TRK'!A268),_xlfn.TEXTAFTER('Additional Images-WUO_ERR'!A268, ":"))))</f>
        <v/>
      </c>
    </row>
    <row r="269">
      <c r="A269" s="39">
        <f>IF('Additional Images'!B269 = "", "", IF('Additional Images-WUO_ERR'!A269 = "", "Validated", HYPERLINK("#" &amp; ADDRESS(269, 'Additional Images-WUO_TRK'!A269),_xlfn.TEXTAFTER('Additional Images-WUO_ERR'!A269, ":"))))</f>
        <v/>
      </c>
    </row>
    <row r="270">
      <c r="A270" s="39">
        <f>IF('Additional Images'!B270 = "", "", IF('Additional Images-WUO_ERR'!A270 = "", "Validated", HYPERLINK("#" &amp; ADDRESS(270, 'Additional Images-WUO_TRK'!A270),_xlfn.TEXTAFTER('Additional Images-WUO_ERR'!A270, ":"))))</f>
        <v/>
      </c>
    </row>
    <row r="271">
      <c r="A271" s="39">
        <f>IF('Additional Images'!B271 = "", "", IF('Additional Images-WUO_ERR'!A271 = "", "Validated", HYPERLINK("#" &amp; ADDRESS(271, 'Additional Images-WUO_TRK'!A271),_xlfn.TEXTAFTER('Additional Images-WUO_ERR'!A271, ":"))))</f>
        <v/>
      </c>
    </row>
    <row r="272">
      <c r="A272" s="39">
        <f>IF('Additional Images'!B272 = "", "", IF('Additional Images-WUO_ERR'!A272 = "", "Validated", HYPERLINK("#" &amp; ADDRESS(272, 'Additional Images-WUO_TRK'!A272),_xlfn.TEXTAFTER('Additional Images-WUO_ERR'!A272, ":"))))</f>
        <v/>
      </c>
    </row>
    <row r="273">
      <c r="A273" s="39">
        <f>IF('Additional Images'!B273 = "", "", IF('Additional Images-WUO_ERR'!A273 = "", "Validated", HYPERLINK("#" &amp; ADDRESS(273, 'Additional Images-WUO_TRK'!A273),_xlfn.TEXTAFTER('Additional Images-WUO_ERR'!A273, ":"))))</f>
        <v/>
      </c>
    </row>
    <row r="274">
      <c r="A274" s="39">
        <f>IF('Additional Images'!B274 = "", "", IF('Additional Images-WUO_ERR'!A274 = "", "Validated", HYPERLINK("#" &amp; ADDRESS(274, 'Additional Images-WUO_TRK'!A274),_xlfn.TEXTAFTER('Additional Images-WUO_ERR'!A274, ":"))))</f>
        <v/>
      </c>
    </row>
    <row r="275">
      <c r="A275" s="39">
        <f>IF('Additional Images'!B275 = "", "", IF('Additional Images-WUO_ERR'!A275 = "", "Validated", HYPERLINK("#" &amp; ADDRESS(275, 'Additional Images-WUO_TRK'!A275),_xlfn.TEXTAFTER('Additional Images-WUO_ERR'!A275, ":"))))</f>
        <v/>
      </c>
    </row>
    <row r="276">
      <c r="A276" s="39">
        <f>IF('Additional Images'!B276 = "", "", IF('Additional Images-WUO_ERR'!A276 = "", "Validated", HYPERLINK("#" &amp; ADDRESS(276, 'Additional Images-WUO_TRK'!A276),_xlfn.TEXTAFTER('Additional Images-WUO_ERR'!A276, ":"))))</f>
        <v/>
      </c>
    </row>
    <row r="277">
      <c r="A277" s="39">
        <f>IF('Additional Images'!B277 = "", "", IF('Additional Images-WUO_ERR'!A277 = "", "Validated", HYPERLINK("#" &amp; ADDRESS(277, 'Additional Images-WUO_TRK'!A277),_xlfn.TEXTAFTER('Additional Images-WUO_ERR'!A277, ":"))))</f>
        <v/>
      </c>
    </row>
    <row r="278">
      <c r="A278" s="39">
        <f>IF('Additional Images'!B278 = "", "", IF('Additional Images-WUO_ERR'!A278 = "", "Validated", HYPERLINK("#" &amp; ADDRESS(278, 'Additional Images-WUO_TRK'!A278),_xlfn.TEXTAFTER('Additional Images-WUO_ERR'!A278, ":"))))</f>
        <v/>
      </c>
    </row>
    <row r="279">
      <c r="A279" s="39">
        <f>IF('Additional Images'!B279 = "", "", IF('Additional Images-WUO_ERR'!A279 = "", "Validated", HYPERLINK("#" &amp; ADDRESS(279, 'Additional Images-WUO_TRK'!A279),_xlfn.TEXTAFTER('Additional Images-WUO_ERR'!A279, ":"))))</f>
        <v/>
      </c>
    </row>
    <row r="280">
      <c r="A280" s="39">
        <f>IF('Additional Images'!B280 = "", "", IF('Additional Images-WUO_ERR'!A280 = "", "Validated", HYPERLINK("#" &amp; ADDRESS(280, 'Additional Images-WUO_TRK'!A280),_xlfn.TEXTAFTER('Additional Images-WUO_ERR'!A280, ":"))))</f>
        <v/>
      </c>
    </row>
    <row r="281">
      <c r="A281" s="39">
        <f>IF('Additional Images'!B281 = "", "", IF('Additional Images-WUO_ERR'!A281 = "", "Validated", HYPERLINK("#" &amp; ADDRESS(281, 'Additional Images-WUO_TRK'!A281),_xlfn.TEXTAFTER('Additional Images-WUO_ERR'!A281, ":"))))</f>
        <v/>
      </c>
    </row>
    <row r="282">
      <c r="A282" s="39">
        <f>IF('Additional Images'!B282 = "", "", IF('Additional Images-WUO_ERR'!A282 = "", "Validated", HYPERLINK("#" &amp; ADDRESS(282, 'Additional Images-WUO_TRK'!A282),_xlfn.TEXTAFTER('Additional Images-WUO_ERR'!A282, ":"))))</f>
        <v/>
      </c>
    </row>
    <row r="283">
      <c r="A283" s="39">
        <f>IF('Additional Images'!B283 = "", "", IF('Additional Images-WUO_ERR'!A283 = "", "Validated", HYPERLINK("#" &amp; ADDRESS(283, 'Additional Images-WUO_TRK'!A283),_xlfn.TEXTAFTER('Additional Images-WUO_ERR'!A283, ":"))))</f>
        <v/>
      </c>
    </row>
    <row r="284">
      <c r="A284" s="39">
        <f>IF('Additional Images'!B284 = "", "", IF('Additional Images-WUO_ERR'!A284 = "", "Validated", HYPERLINK("#" &amp; ADDRESS(284, 'Additional Images-WUO_TRK'!A284),_xlfn.TEXTAFTER('Additional Images-WUO_ERR'!A284, ":"))))</f>
        <v/>
      </c>
    </row>
    <row r="285">
      <c r="A285" s="39">
        <f>IF('Additional Images'!B285 = "", "", IF('Additional Images-WUO_ERR'!A285 = "", "Validated", HYPERLINK("#" &amp; ADDRESS(285, 'Additional Images-WUO_TRK'!A285),_xlfn.TEXTAFTER('Additional Images-WUO_ERR'!A285, ":"))))</f>
        <v/>
      </c>
    </row>
    <row r="286">
      <c r="A286" s="39">
        <f>IF('Additional Images'!B286 = "", "", IF('Additional Images-WUO_ERR'!A286 = "", "Validated", HYPERLINK("#" &amp; ADDRESS(286, 'Additional Images-WUO_TRK'!A286),_xlfn.TEXTAFTER('Additional Images-WUO_ERR'!A286, ":"))))</f>
        <v/>
      </c>
    </row>
    <row r="287">
      <c r="A287" s="39">
        <f>IF('Additional Images'!B287 = "", "", IF('Additional Images-WUO_ERR'!A287 = "", "Validated", HYPERLINK("#" &amp; ADDRESS(287, 'Additional Images-WUO_TRK'!A287),_xlfn.TEXTAFTER('Additional Images-WUO_ERR'!A287, ":"))))</f>
        <v/>
      </c>
    </row>
    <row r="288">
      <c r="A288" s="39">
        <f>IF('Additional Images'!B288 = "", "", IF('Additional Images-WUO_ERR'!A288 = "", "Validated", HYPERLINK("#" &amp; ADDRESS(288, 'Additional Images-WUO_TRK'!A288),_xlfn.TEXTAFTER('Additional Images-WUO_ERR'!A288, ":"))))</f>
        <v/>
      </c>
    </row>
    <row r="289">
      <c r="A289" s="39">
        <f>IF('Additional Images'!B289 = "", "", IF('Additional Images-WUO_ERR'!A289 = "", "Validated", HYPERLINK("#" &amp; ADDRESS(289, 'Additional Images-WUO_TRK'!A289),_xlfn.TEXTAFTER('Additional Images-WUO_ERR'!A289, ":"))))</f>
        <v/>
      </c>
    </row>
    <row r="290">
      <c r="A290" s="39">
        <f>IF('Additional Images'!B290 = "", "", IF('Additional Images-WUO_ERR'!A290 = "", "Validated", HYPERLINK("#" &amp; ADDRESS(290, 'Additional Images-WUO_TRK'!A290),_xlfn.TEXTAFTER('Additional Images-WUO_ERR'!A290, ":"))))</f>
        <v/>
      </c>
    </row>
    <row r="291">
      <c r="A291" s="39">
        <f>IF('Additional Images'!B291 = "", "", IF('Additional Images-WUO_ERR'!A291 = "", "Validated", HYPERLINK("#" &amp; ADDRESS(291, 'Additional Images-WUO_TRK'!A291),_xlfn.TEXTAFTER('Additional Images-WUO_ERR'!A291, ":"))))</f>
        <v/>
      </c>
    </row>
    <row r="292">
      <c r="A292" s="39">
        <f>IF('Additional Images'!B292 = "", "", IF('Additional Images-WUO_ERR'!A292 = "", "Validated", HYPERLINK("#" &amp; ADDRESS(292, 'Additional Images-WUO_TRK'!A292),_xlfn.TEXTAFTER('Additional Images-WUO_ERR'!A292, ":"))))</f>
        <v/>
      </c>
    </row>
    <row r="293">
      <c r="A293" s="39">
        <f>IF('Additional Images'!B293 = "", "", IF('Additional Images-WUO_ERR'!A293 = "", "Validated", HYPERLINK("#" &amp; ADDRESS(293, 'Additional Images-WUO_TRK'!A293),_xlfn.TEXTAFTER('Additional Images-WUO_ERR'!A293, ":"))))</f>
        <v/>
      </c>
    </row>
    <row r="294">
      <c r="A294" s="39">
        <f>IF('Additional Images'!B294 = "", "", IF('Additional Images-WUO_ERR'!A294 = "", "Validated", HYPERLINK("#" &amp; ADDRESS(294, 'Additional Images-WUO_TRK'!A294),_xlfn.TEXTAFTER('Additional Images-WUO_ERR'!A294, ":"))))</f>
        <v/>
      </c>
    </row>
    <row r="295">
      <c r="A295" s="39">
        <f>IF('Additional Images'!B295 = "", "", IF('Additional Images-WUO_ERR'!A295 = "", "Validated", HYPERLINK("#" &amp; ADDRESS(295, 'Additional Images-WUO_TRK'!A295),_xlfn.TEXTAFTER('Additional Images-WUO_ERR'!A295, ":"))))</f>
        <v/>
      </c>
    </row>
    <row r="296">
      <c r="A296" s="39">
        <f>IF('Additional Images'!B296 = "", "", IF('Additional Images-WUO_ERR'!A296 = "", "Validated", HYPERLINK("#" &amp; ADDRESS(296, 'Additional Images-WUO_TRK'!A296),_xlfn.TEXTAFTER('Additional Images-WUO_ERR'!A296, ":"))))</f>
        <v/>
      </c>
    </row>
    <row r="297">
      <c r="A297" s="39">
        <f>IF('Additional Images'!B297 = "", "", IF('Additional Images-WUO_ERR'!A297 = "", "Validated", HYPERLINK("#" &amp; ADDRESS(297, 'Additional Images-WUO_TRK'!A297),_xlfn.TEXTAFTER('Additional Images-WUO_ERR'!A297, ":"))))</f>
        <v/>
      </c>
    </row>
    <row r="298">
      <c r="A298" s="39">
        <f>IF('Additional Images'!B298 = "", "", IF('Additional Images-WUO_ERR'!A298 = "", "Validated", HYPERLINK("#" &amp; ADDRESS(298, 'Additional Images-WUO_TRK'!A298),_xlfn.TEXTAFTER('Additional Images-WUO_ERR'!A298, ":"))))</f>
        <v/>
      </c>
    </row>
    <row r="299">
      <c r="A299" s="39">
        <f>IF('Additional Images'!B299 = "", "", IF('Additional Images-WUO_ERR'!A299 = "", "Validated", HYPERLINK("#" &amp; ADDRESS(299, 'Additional Images-WUO_TRK'!A299),_xlfn.TEXTAFTER('Additional Images-WUO_ERR'!A299, ":"))))</f>
        <v/>
      </c>
    </row>
    <row r="300">
      <c r="A300" s="39">
        <f>IF('Additional Images'!B300 = "", "", IF('Additional Images-WUO_ERR'!A300 = "", "Validated", HYPERLINK("#" &amp; ADDRESS(300, 'Additional Images-WUO_TRK'!A300),_xlfn.TEXTAFTER('Additional Images-WUO_ERR'!A300, ":"))))</f>
        <v/>
      </c>
    </row>
    <row r="301">
      <c r="A301" s="39">
        <f>IF('Additional Images'!B301 = "", "", IF('Additional Images-WUO_ERR'!A301 = "", "Validated", HYPERLINK("#" &amp; ADDRESS(301, 'Additional Images-WUO_TRK'!A301),_xlfn.TEXTAFTER('Additional Images-WUO_ERR'!A301, ":"))))</f>
        <v/>
      </c>
    </row>
    <row r="302">
      <c r="A302" s="39">
        <f>IF('Additional Images'!B302 = "", "", IF('Additional Images-WUO_ERR'!A302 = "", "Validated", HYPERLINK("#" &amp; ADDRESS(302, 'Additional Images-WUO_TRK'!A302),_xlfn.TEXTAFTER('Additional Images-WUO_ERR'!A302, ":"))))</f>
        <v/>
      </c>
    </row>
    <row r="303">
      <c r="A303" s="39">
        <f>IF('Additional Images'!B303 = "", "", IF('Additional Images-WUO_ERR'!A303 = "", "Validated", HYPERLINK("#" &amp; ADDRESS(303, 'Additional Images-WUO_TRK'!A303),_xlfn.TEXTAFTER('Additional Images-WUO_ERR'!A303, ":"))))</f>
        <v/>
      </c>
    </row>
    <row r="304">
      <c r="A304" s="39">
        <f>IF('Additional Images'!B304 = "", "", IF('Additional Images-WUO_ERR'!A304 = "", "Validated", HYPERLINK("#" &amp; ADDRESS(304, 'Additional Images-WUO_TRK'!A304),_xlfn.TEXTAFTER('Additional Images-WUO_ERR'!A304, ":"))))</f>
        <v/>
      </c>
    </row>
    <row r="305">
      <c r="A305" s="39">
        <f>IF('Additional Images'!B305 = "", "", IF('Additional Images-WUO_ERR'!A305 = "", "Validated", HYPERLINK("#" &amp; ADDRESS(305, 'Additional Images-WUO_TRK'!A305),_xlfn.TEXTAFTER('Additional Images-WUO_ERR'!A305, ":"))))</f>
        <v/>
      </c>
    </row>
    <row r="306">
      <c r="A306" s="39">
        <f>IF('Additional Images'!B306 = "", "", IF('Additional Images-WUO_ERR'!A306 = "", "Validated", HYPERLINK("#" &amp; ADDRESS(306, 'Additional Images-WUO_TRK'!A306),_xlfn.TEXTAFTER('Additional Images-WUO_ERR'!A306, ":"))))</f>
        <v/>
      </c>
    </row>
    <row r="307">
      <c r="A307" s="39">
        <f>IF('Additional Images'!B307 = "", "", IF('Additional Images-WUO_ERR'!A307 = "", "Validated", HYPERLINK("#" &amp; ADDRESS(307, 'Additional Images-WUO_TRK'!A307),_xlfn.TEXTAFTER('Additional Images-WUO_ERR'!A307, ":"))))</f>
        <v/>
      </c>
    </row>
    <row r="308">
      <c r="A308" s="39">
        <f>IF('Additional Images'!B308 = "", "", IF('Additional Images-WUO_ERR'!A308 = "", "Validated", HYPERLINK("#" &amp; ADDRESS(308, 'Additional Images-WUO_TRK'!A308),_xlfn.TEXTAFTER('Additional Images-WUO_ERR'!A308, ":"))))</f>
        <v/>
      </c>
    </row>
    <row r="309">
      <c r="A309" s="39">
        <f>IF('Additional Images'!B309 = "", "", IF('Additional Images-WUO_ERR'!A309 = "", "Validated", HYPERLINK("#" &amp; ADDRESS(309, 'Additional Images-WUO_TRK'!A309),_xlfn.TEXTAFTER('Additional Images-WUO_ERR'!A309, ":"))))</f>
        <v/>
      </c>
    </row>
    <row r="310">
      <c r="A310" s="39">
        <f>IF('Additional Images'!B310 = "", "", IF('Additional Images-WUO_ERR'!A310 = "", "Validated", HYPERLINK("#" &amp; ADDRESS(310, 'Additional Images-WUO_TRK'!A310),_xlfn.TEXTAFTER('Additional Images-WUO_ERR'!A310, ":"))))</f>
        <v/>
      </c>
    </row>
    <row r="311">
      <c r="A311" s="39">
        <f>IF('Additional Images'!B311 = "", "", IF('Additional Images-WUO_ERR'!A311 = "", "Validated", HYPERLINK("#" &amp; ADDRESS(311, 'Additional Images-WUO_TRK'!A311),_xlfn.TEXTAFTER('Additional Images-WUO_ERR'!A311, ":"))))</f>
        <v/>
      </c>
    </row>
    <row r="312">
      <c r="A312" s="39">
        <f>IF('Additional Images'!B312 = "", "", IF('Additional Images-WUO_ERR'!A312 = "", "Validated", HYPERLINK("#" &amp; ADDRESS(312, 'Additional Images-WUO_TRK'!A312),_xlfn.TEXTAFTER('Additional Images-WUO_ERR'!A312, ":"))))</f>
        <v/>
      </c>
    </row>
    <row r="313">
      <c r="A313" s="39">
        <f>IF('Additional Images'!B313 = "", "", IF('Additional Images-WUO_ERR'!A313 = "", "Validated", HYPERLINK("#" &amp; ADDRESS(313, 'Additional Images-WUO_TRK'!A313),_xlfn.TEXTAFTER('Additional Images-WUO_ERR'!A313, ":"))))</f>
        <v/>
      </c>
    </row>
    <row r="314">
      <c r="A314" s="39">
        <f>IF('Additional Images'!B314 = "", "", IF('Additional Images-WUO_ERR'!A314 = "", "Validated", HYPERLINK("#" &amp; ADDRESS(314, 'Additional Images-WUO_TRK'!A314),_xlfn.TEXTAFTER('Additional Images-WUO_ERR'!A314, ":"))))</f>
        <v/>
      </c>
    </row>
    <row r="315">
      <c r="A315" s="39">
        <f>IF('Additional Images'!B315 = "", "", IF('Additional Images-WUO_ERR'!A315 = "", "Validated", HYPERLINK("#" &amp; ADDRESS(315, 'Additional Images-WUO_TRK'!A315),_xlfn.TEXTAFTER('Additional Images-WUO_ERR'!A315, ":"))))</f>
        <v/>
      </c>
    </row>
    <row r="316">
      <c r="A316" s="39">
        <f>IF('Additional Images'!B316 = "", "", IF('Additional Images-WUO_ERR'!A316 = "", "Validated", HYPERLINK("#" &amp; ADDRESS(316, 'Additional Images-WUO_TRK'!A316),_xlfn.TEXTAFTER('Additional Images-WUO_ERR'!A316, ":"))))</f>
        <v/>
      </c>
    </row>
    <row r="317">
      <c r="A317" s="39">
        <f>IF('Additional Images'!B317 = "", "", IF('Additional Images-WUO_ERR'!A317 = "", "Validated", HYPERLINK("#" &amp; ADDRESS(317, 'Additional Images-WUO_TRK'!A317),_xlfn.TEXTAFTER('Additional Images-WUO_ERR'!A317, ":"))))</f>
        <v/>
      </c>
    </row>
    <row r="318">
      <c r="A318" s="39">
        <f>IF('Additional Images'!B318 = "", "", IF('Additional Images-WUO_ERR'!A318 = "", "Validated", HYPERLINK("#" &amp; ADDRESS(318, 'Additional Images-WUO_TRK'!A318),_xlfn.TEXTAFTER('Additional Images-WUO_ERR'!A318, ":"))))</f>
        <v/>
      </c>
    </row>
    <row r="319">
      <c r="A319" s="39">
        <f>IF('Additional Images'!B319 = "", "", IF('Additional Images-WUO_ERR'!A319 = "", "Validated", HYPERLINK("#" &amp; ADDRESS(319, 'Additional Images-WUO_TRK'!A319),_xlfn.TEXTAFTER('Additional Images-WUO_ERR'!A319, ":"))))</f>
        <v/>
      </c>
    </row>
    <row r="320">
      <c r="A320" s="39">
        <f>IF('Additional Images'!B320 = "", "", IF('Additional Images-WUO_ERR'!A320 = "", "Validated", HYPERLINK("#" &amp; ADDRESS(320, 'Additional Images-WUO_TRK'!A320),_xlfn.TEXTAFTER('Additional Images-WUO_ERR'!A320, ":"))))</f>
        <v/>
      </c>
    </row>
    <row r="321">
      <c r="A321" s="39">
        <f>IF('Additional Images'!B321 = "", "", IF('Additional Images-WUO_ERR'!A321 = "", "Validated", HYPERLINK("#" &amp; ADDRESS(321, 'Additional Images-WUO_TRK'!A321),_xlfn.TEXTAFTER('Additional Images-WUO_ERR'!A321, ":"))))</f>
        <v/>
      </c>
    </row>
    <row r="322">
      <c r="A322" s="39">
        <f>IF('Additional Images'!B322 = "", "", IF('Additional Images-WUO_ERR'!A322 = "", "Validated", HYPERLINK("#" &amp; ADDRESS(322, 'Additional Images-WUO_TRK'!A322),_xlfn.TEXTAFTER('Additional Images-WUO_ERR'!A322, ":"))))</f>
        <v/>
      </c>
    </row>
    <row r="323">
      <c r="A323" s="39">
        <f>IF('Additional Images'!B323 = "", "", IF('Additional Images-WUO_ERR'!A323 = "", "Validated", HYPERLINK("#" &amp; ADDRESS(323, 'Additional Images-WUO_TRK'!A323),_xlfn.TEXTAFTER('Additional Images-WUO_ERR'!A323, ":"))))</f>
        <v/>
      </c>
    </row>
    <row r="324">
      <c r="A324" s="39">
        <f>IF('Additional Images'!B324 = "", "", IF('Additional Images-WUO_ERR'!A324 = "", "Validated", HYPERLINK("#" &amp; ADDRESS(324, 'Additional Images-WUO_TRK'!A324),_xlfn.TEXTAFTER('Additional Images-WUO_ERR'!A324, ":"))))</f>
        <v/>
      </c>
    </row>
    <row r="325">
      <c r="A325" s="39">
        <f>IF('Additional Images'!B325 = "", "", IF('Additional Images-WUO_ERR'!A325 = "", "Validated", HYPERLINK("#" &amp; ADDRESS(325, 'Additional Images-WUO_TRK'!A325),_xlfn.TEXTAFTER('Additional Images-WUO_ERR'!A325, ":"))))</f>
        <v/>
      </c>
    </row>
    <row r="326">
      <c r="A326" s="39">
        <f>IF('Additional Images'!B326 = "", "", IF('Additional Images-WUO_ERR'!A326 = "", "Validated", HYPERLINK("#" &amp; ADDRESS(326, 'Additional Images-WUO_TRK'!A326),_xlfn.TEXTAFTER('Additional Images-WUO_ERR'!A326, ":"))))</f>
        <v/>
      </c>
    </row>
    <row r="327">
      <c r="A327" s="39">
        <f>IF('Additional Images'!B327 = "", "", IF('Additional Images-WUO_ERR'!A327 = "", "Validated", HYPERLINK("#" &amp; ADDRESS(327, 'Additional Images-WUO_TRK'!A327),_xlfn.TEXTAFTER('Additional Images-WUO_ERR'!A327, ":"))))</f>
        <v/>
      </c>
    </row>
    <row r="328">
      <c r="A328" s="39">
        <f>IF('Additional Images'!B328 = "", "", IF('Additional Images-WUO_ERR'!A328 = "", "Validated", HYPERLINK("#" &amp; ADDRESS(328, 'Additional Images-WUO_TRK'!A328),_xlfn.TEXTAFTER('Additional Images-WUO_ERR'!A328, ":"))))</f>
        <v/>
      </c>
    </row>
    <row r="329">
      <c r="A329" s="39">
        <f>IF('Additional Images'!B329 = "", "", IF('Additional Images-WUO_ERR'!A329 = "", "Validated", HYPERLINK("#" &amp; ADDRESS(329, 'Additional Images-WUO_TRK'!A329),_xlfn.TEXTAFTER('Additional Images-WUO_ERR'!A329, ":"))))</f>
        <v/>
      </c>
    </row>
    <row r="330">
      <c r="A330" s="39">
        <f>IF('Additional Images'!B330 = "", "", IF('Additional Images-WUO_ERR'!A330 = "", "Validated", HYPERLINK("#" &amp; ADDRESS(330, 'Additional Images-WUO_TRK'!A330),_xlfn.TEXTAFTER('Additional Images-WUO_ERR'!A330, ":"))))</f>
        <v/>
      </c>
    </row>
    <row r="331">
      <c r="A331" s="39">
        <f>IF('Additional Images'!B331 = "", "", IF('Additional Images-WUO_ERR'!A331 = "", "Validated", HYPERLINK("#" &amp; ADDRESS(331, 'Additional Images-WUO_TRK'!A331),_xlfn.TEXTAFTER('Additional Images-WUO_ERR'!A331, ":"))))</f>
        <v/>
      </c>
    </row>
    <row r="332">
      <c r="A332" s="39">
        <f>IF('Additional Images'!B332 = "", "", IF('Additional Images-WUO_ERR'!A332 = "", "Validated", HYPERLINK("#" &amp; ADDRESS(332, 'Additional Images-WUO_TRK'!A332),_xlfn.TEXTAFTER('Additional Images-WUO_ERR'!A332, ":"))))</f>
        <v/>
      </c>
    </row>
    <row r="333">
      <c r="A333" s="39">
        <f>IF('Additional Images'!B333 = "", "", IF('Additional Images-WUO_ERR'!A333 = "", "Validated", HYPERLINK("#" &amp; ADDRESS(333, 'Additional Images-WUO_TRK'!A333),_xlfn.TEXTAFTER('Additional Images-WUO_ERR'!A333, ":"))))</f>
        <v/>
      </c>
    </row>
    <row r="334">
      <c r="A334" s="39">
        <f>IF('Additional Images'!B334 = "", "", IF('Additional Images-WUO_ERR'!A334 = "", "Validated", HYPERLINK("#" &amp; ADDRESS(334, 'Additional Images-WUO_TRK'!A334),_xlfn.TEXTAFTER('Additional Images-WUO_ERR'!A334, ":"))))</f>
        <v/>
      </c>
    </row>
    <row r="335">
      <c r="A335" s="39">
        <f>IF('Additional Images'!B335 = "", "", IF('Additional Images-WUO_ERR'!A335 = "", "Validated", HYPERLINK("#" &amp; ADDRESS(335, 'Additional Images-WUO_TRK'!A335),_xlfn.TEXTAFTER('Additional Images-WUO_ERR'!A335, ":"))))</f>
        <v/>
      </c>
    </row>
    <row r="336">
      <c r="A336" s="39">
        <f>IF('Additional Images'!B336 = "", "", IF('Additional Images-WUO_ERR'!A336 = "", "Validated", HYPERLINK("#" &amp; ADDRESS(336, 'Additional Images-WUO_TRK'!A336),_xlfn.TEXTAFTER('Additional Images-WUO_ERR'!A336, ":"))))</f>
        <v/>
      </c>
    </row>
    <row r="337">
      <c r="A337" s="39">
        <f>IF('Additional Images'!B337 = "", "", IF('Additional Images-WUO_ERR'!A337 = "", "Validated", HYPERLINK("#" &amp; ADDRESS(337, 'Additional Images-WUO_TRK'!A337),_xlfn.TEXTAFTER('Additional Images-WUO_ERR'!A337, ":"))))</f>
        <v/>
      </c>
    </row>
    <row r="338">
      <c r="A338" s="39">
        <f>IF('Additional Images'!B338 = "", "", IF('Additional Images-WUO_ERR'!A338 = "", "Validated", HYPERLINK("#" &amp; ADDRESS(338, 'Additional Images-WUO_TRK'!A338),_xlfn.TEXTAFTER('Additional Images-WUO_ERR'!A338, ":"))))</f>
        <v/>
      </c>
    </row>
    <row r="339">
      <c r="A339" s="39">
        <f>IF('Additional Images'!B339 = "", "", IF('Additional Images-WUO_ERR'!A339 = "", "Validated", HYPERLINK("#" &amp; ADDRESS(339, 'Additional Images-WUO_TRK'!A339),_xlfn.TEXTAFTER('Additional Images-WUO_ERR'!A339, ":"))))</f>
        <v/>
      </c>
    </row>
    <row r="340">
      <c r="A340" s="39">
        <f>IF('Additional Images'!B340 = "", "", IF('Additional Images-WUO_ERR'!A340 = "", "Validated", HYPERLINK("#" &amp; ADDRESS(340, 'Additional Images-WUO_TRK'!A340),_xlfn.TEXTAFTER('Additional Images-WUO_ERR'!A340, ":"))))</f>
        <v/>
      </c>
    </row>
    <row r="341">
      <c r="A341" s="39">
        <f>IF('Additional Images'!B341 = "", "", IF('Additional Images-WUO_ERR'!A341 = "", "Validated", HYPERLINK("#" &amp; ADDRESS(341, 'Additional Images-WUO_TRK'!A341),_xlfn.TEXTAFTER('Additional Images-WUO_ERR'!A341, ":"))))</f>
        <v/>
      </c>
    </row>
    <row r="342">
      <c r="A342" s="39">
        <f>IF('Additional Images'!B342 = "", "", IF('Additional Images-WUO_ERR'!A342 = "", "Validated", HYPERLINK("#" &amp; ADDRESS(342, 'Additional Images-WUO_TRK'!A342),_xlfn.TEXTAFTER('Additional Images-WUO_ERR'!A342, ":"))))</f>
        <v/>
      </c>
    </row>
    <row r="343">
      <c r="A343" s="39">
        <f>IF('Additional Images'!B343 = "", "", IF('Additional Images-WUO_ERR'!A343 = "", "Validated", HYPERLINK("#" &amp; ADDRESS(343, 'Additional Images-WUO_TRK'!A343),_xlfn.TEXTAFTER('Additional Images-WUO_ERR'!A343, ":"))))</f>
        <v/>
      </c>
    </row>
    <row r="344">
      <c r="A344" s="39">
        <f>IF('Additional Images'!B344 = "", "", IF('Additional Images-WUO_ERR'!A344 = "", "Validated", HYPERLINK("#" &amp; ADDRESS(344, 'Additional Images-WUO_TRK'!A344),_xlfn.TEXTAFTER('Additional Images-WUO_ERR'!A344, ":"))))</f>
        <v/>
      </c>
    </row>
    <row r="345">
      <c r="A345" s="39">
        <f>IF('Additional Images'!B345 = "", "", IF('Additional Images-WUO_ERR'!A345 = "", "Validated", HYPERLINK("#" &amp; ADDRESS(345, 'Additional Images-WUO_TRK'!A345),_xlfn.TEXTAFTER('Additional Images-WUO_ERR'!A345, ":"))))</f>
        <v/>
      </c>
    </row>
    <row r="346">
      <c r="A346" s="39">
        <f>IF('Additional Images'!B346 = "", "", IF('Additional Images-WUO_ERR'!A346 = "", "Validated", HYPERLINK("#" &amp; ADDRESS(346, 'Additional Images-WUO_TRK'!A346),_xlfn.TEXTAFTER('Additional Images-WUO_ERR'!A346, ":"))))</f>
        <v/>
      </c>
    </row>
    <row r="347">
      <c r="A347" s="39">
        <f>IF('Additional Images'!B347 = "", "", IF('Additional Images-WUO_ERR'!A347 = "", "Validated", HYPERLINK("#" &amp; ADDRESS(347, 'Additional Images-WUO_TRK'!A347),_xlfn.TEXTAFTER('Additional Images-WUO_ERR'!A347, ":"))))</f>
        <v/>
      </c>
    </row>
    <row r="348">
      <c r="A348" s="39">
        <f>IF('Additional Images'!B348 = "", "", IF('Additional Images-WUO_ERR'!A348 = "", "Validated", HYPERLINK("#" &amp; ADDRESS(348, 'Additional Images-WUO_TRK'!A348),_xlfn.TEXTAFTER('Additional Images-WUO_ERR'!A348, ":"))))</f>
        <v/>
      </c>
    </row>
    <row r="349">
      <c r="A349" s="39">
        <f>IF('Additional Images'!B349 = "", "", IF('Additional Images-WUO_ERR'!A349 = "", "Validated", HYPERLINK("#" &amp; ADDRESS(349, 'Additional Images-WUO_TRK'!A349),_xlfn.TEXTAFTER('Additional Images-WUO_ERR'!A349, ":"))))</f>
        <v/>
      </c>
    </row>
    <row r="350">
      <c r="A350" s="39">
        <f>IF('Additional Images'!B350 = "", "", IF('Additional Images-WUO_ERR'!A350 = "", "Validated", HYPERLINK("#" &amp; ADDRESS(350, 'Additional Images-WUO_TRK'!A350),_xlfn.TEXTAFTER('Additional Images-WUO_ERR'!A350, ":"))))</f>
        <v/>
      </c>
    </row>
    <row r="351">
      <c r="A351" s="39">
        <f>IF('Additional Images'!B351 = "", "", IF('Additional Images-WUO_ERR'!A351 = "", "Validated", HYPERLINK("#" &amp; ADDRESS(351, 'Additional Images-WUO_TRK'!A351),_xlfn.TEXTAFTER('Additional Images-WUO_ERR'!A351, ":"))))</f>
        <v/>
      </c>
    </row>
    <row r="352">
      <c r="A352" s="39">
        <f>IF('Additional Images'!B352 = "", "", IF('Additional Images-WUO_ERR'!A352 = "", "Validated", HYPERLINK("#" &amp; ADDRESS(352, 'Additional Images-WUO_TRK'!A352),_xlfn.TEXTAFTER('Additional Images-WUO_ERR'!A352, ":"))))</f>
        <v/>
      </c>
    </row>
    <row r="353">
      <c r="A353" s="39">
        <f>IF('Additional Images'!B353 = "", "", IF('Additional Images-WUO_ERR'!A353 = "", "Validated", HYPERLINK("#" &amp; ADDRESS(353, 'Additional Images-WUO_TRK'!A353),_xlfn.TEXTAFTER('Additional Images-WUO_ERR'!A353, ":"))))</f>
        <v/>
      </c>
    </row>
    <row r="354">
      <c r="A354" s="39">
        <f>IF('Additional Images'!B354 = "", "", IF('Additional Images-WUO_ERR'!A354 = "", "Validated", HYPERLINK("#" &amp; ADDRESS(354, 'Additional Images-WUO_TRK'!A354),_xlfn.TEXTAFTER('Additional Images-WUO_ERR'!A354, ":"))))</f>
        <v/>
      </c>
    </row>
    <row r="355">
      <c r="A355" s="39">
        <f>IF('Additional Images'!B355 = "", "", IF('Additional Images-WUO_ERR'!A355 = "", "Validated", HYPERLINK("#" &amp; ADDRESS(355, 'Additional Images-WUO_TRK'!A355),_xlfn.TEXTAFTER('Additional Images-WUO_ERR'!A355, ":"))))</f>
        <v/>
      </c>
    </row>
    <row r="356">
      <c r="A356" s="39">
        <f>IF('Additional Images'!B356 = "", "", IF('Additional Images-WUO_ERR'!A356 = "", "Validated", HYPERLINK("#" &amp; ADDRESS(356, 'Additional Images-WUO_TRK'!A356),_xlfn.TEXTAFTER('Additional Images-WUO_ERR'!A356, ":"))))</f>
        <v/>
      </c>
    </row>
    <row r="357">
      <c r="A357" s="39">
        <f>IF('Additional Images'!B357 = "", "", IF('Additional Images-WUO_ERR'!A357 = "", "Validated", HYPERLINK("#" &amp; ADDRESS(357, 'Additional Images-WUO_TRK'!A357),_xlfn.TEXTAFTER('Additional Images-WUO_ERR'!A357, ":"))))</f>
        <v/>
      </c>
    </row>
    <row r="358">
      <c r="A358" s="39">
        <f>IF('Additional Images'!B358 = "", "", IF('Additional Images-WUO_ERR'!A358 = "", "Validated", HYPERLINK("#" &amp; ADDRESS(358, 'Additional Images-WUO_TRK'!A358),_xlfn.TEXTAFTER('Additional Images-WUO_ERR'!A358, ":"))))</f>
        <v/>
      </c>
    </row>
    <row r="359">
      <c r="A359" s="39">
        <f>IF('Additional Images'!B359 = "", "", IF('Additional Images-WUO_ERR'!A359 = "", "Validated", HYPERLINK("#" &amp; ADDRESS(359, 'Additional Images-WUO_TRK'!A359),_xlfn.TEXTAFTER('Additional Images-WUO_ERR'!A359, ":"))))</f>
        <v/>
      </c>
    </row>
    <row r="360">
      <c r="A360" s="39">
        <f>IF('Additional Images'!B360 = "", "", IF('Additional Images-WUO_ERR'!A360 = "", "Validated", HYPERLINK("#" &amp; ADDRESS(360, 'Additional Images-WUO_TRK'!A360),_xlfn.TEXTAFTER('Additional Images-WUO_ERR'!A360, ":"))))</f>
        <v/>
      </c>
    </row>
    <row r="361">
      <c r="A361" s="39">
        <f>IF('Additional Images'!B361 = "", "", IF('Additional Images-WUO_ERR'!A361 = "", "Validated", HYPERLINK("#" &amp; ADDRESS(361, 'Additional Images-WUO_TRK'!A361),_xlfn.TEXTAFTER('Additional Images-WUO_ERR'!A361, ":"))))</f>
        <v/>
      </c>
    </row>
    <row r="362">
      <c r="A362" s="39">
        <f>IF('Additional Images'!B362 = "", "", IF('Additional Images-WUO_ERR'!A362 = "", "Validated", HYPERLINK("#" &amp; ADDRESS(362, 'Additional Images-WUO_TRK'!A362),_xlfn.TEXTAFTER('Additional Images-WUO_ERR'!A362, ":"))))</f>
        <v/>
      </c>
    </row>
    <row r="363">
      <c r="A363" s="39">
        <f>IF('Additional Images'!B363 = "", "", IF('Additional Images-WUO_ERR'!A363 = "", "Validated", HYPERLINK("#" &amp; ADDRESS(363, 'Additional Images-WUO_TRK'!A363),_xlfn.TEXTAFTER('Additional Images-WUO_ERR'!A363, ":"))))</f>
        <v/>
      </c>
    </row>
    <row r="364">
      <c r="A364" s="39">
        <f>IF('Additional Images'!B364 = "", "", IF('Additional Images-WUO_ERR'!A364 = "", "Validated", HYPERLINK("#" &amp; ADDRESS(364, 'Additional Images-WUO_TRK'!A364),_xlfn.TEXTAFTER('Additional Images-WUO_ERR'!A364, ":"))))</f>
        <v/>
      </c>
    </row>
    <row r="365">
      <c r="A365" s="39">
        <f>IF('Additional Images'!B365 = "", "", IF('Additional Images-WUO_ERR'!A365 = "", "Validated", HYPERLINK("#" &amp; ADDRESS(365, 'Additional Images-WUO_TRK'!A365),_xlfn.TEXTAFTER('Additional Images-WUO_ERR'!A365, ":"))))</f>
        <v/>
      </c>
    </row>
    <row r="366">
      <c r="A366" s="39">
        <f>IF('Additional Images'!B366 = "", "", IF('Additional Images-WUO_ERR'!A366 = "", "Validated", HYPERLINK("#" &amp; ADDRESS(366, 'Additional Images-WUO_TRK'!A366),_xlfn.TEXTAFTER('Additional Images-WUO_ERR'!A366, ":"))))</f>
        <v/>
      </c>
    </row>
    <row r="367">
      <c r="A367" s="39">
        <f>IF('Additional Images'!B367 = "", "", IF('Additional Images-WUO_ERR'!A367 = "", "Validated", HYPERLINK("#" &amp; ADDRESS(367, 'Additional Images-WUO_TRK'!A367),_xlfn.TEXTAFTER('Additional Images-WUO_ERR'!A367, ":"))))</f>
        <v/>
      </c>
    </row>
    <row r="368">
      <c r="A368" s="39">
        <f>IF('Additional Images'!B368 = "", "", IF('Additional Images-WUO_ERR'!A368 = "", "Validated", HYPERLINK("#" &amp; ADDRESS(368, 'Additional Images-WUO_TRK'!A368),_xlfn.TEXTAFTER('Additional Images-WUO_ERR'!A368, ":"))))</f>
        <v/>
      </c>
    </row>
    <row r="369">
      <c r="A369" s="39">
        <f>IF('Additional Images'!B369 = "", "", IF('Additional Images-WUO_ERR'!A369 = "", "Validated", HYPERLINK("#" &amp; ADDRESS(369, 'Additional Images-WUO_TRK'!A369),_xlfn.TEXTAFTER('Additional Images-WUO_ERR'!A369, ":"))))</f>
        <v/>
      </c>
    </row>
    <row r="370">
      <c r="A370" s="39">
        <f>IF('Additional Images'!B370 = "", "", IF('Additional Images-WUO_ERR'!A370 = "", "Validated", HYPERLINK("#" &amp; ADDRESS(370, 'Additional Images-WUO_TRK'!A370),_xlfn.TEXTAFTER('Additional Images-WUO_ERR'!A370, ":"))))</f>
        <v/>
      </c>
    </row>
    <row r="371">
      <c r="A371" s="39">
        <f>IF('Additional Images'!B371 = "", "", IF('Additional Images-WUO_ERR'!A371 = "", "Validated", HYPERLINK("#" &amp; ADDRESS(371, 'Additional Images-WUO_TRK'!A371),_xlfn.TEXTAFTER('Additional Images-WUO_ERR'!A371, ":"))))</f>
        <v/>
      </c>
    </row>
    <row r="372">
      <c r="A372" s="39">
        <f>IF('Additional Images'!B372 = "", "", IF('Additional Images-WUO_ERR'!A372 = "", "Validated", HYPERLINK("#" &amp; ADDRESS(372, 'Additional Images-WUO_TRK'!A372),_xlfn.TEXTAFTER('Additional Images-WUO_ERR'!A372, ":"))))</f>
        <v/>
      </c>
    </row>
    <row r="373">
      <c r="A373" s="39">
        <f>IF('Additional Images'!B373 = "", "", IF('Additional Images-WUO_ERR'!A373 = "", "Validated", HYPERLINK("#" &amp; ADDRESS(373, 'Additional Images-WUO_TRK'!A373),_xlfn.TEXTAFTER('Additional Images-WUO_ERR'!A373, ":"))))</f>
        <v/>
      </c>
    </row>
    <row r="374">
      <c r="A374" s="39">
        <f>IF('Additional Images'!B374 = "", "", IF('Additional Images-WUO_ERR'!A374 = "", "Validated", HYPERLINK("#" &amp; ADDRESS(374, 'Additional Images-WUO_TRK'!A374),_xlfn.TEXTAFTER('Additional Images-WUO_ERR'!A374, ":"))))</f>
        <v/>
      </c>
    </row>
    <row r="375">
      <c r="A375" s="39">
        <f>IF('Additional Images'!B375 = "", "", IF('Additional Images-WUO_ERR'!A375 = "", "Validated", HYPERLINK("#" &amp; ADDRESS(375, 'Additional Images-WUO_TRK'!A375),_xlfn.TEXTAFTER('Additional Images-WUO_ERR'!A375, ":"))))</f>
        <v/>
      </c>
    </row>
    <row r="376">
      <c r="A376" s="39">
        <f>IF('Additional Images'!B376 = "", "", IF('Additional Images-WUO_ERR'!A376 = "", "Validated", HYPERLINK("#" &amp; ADDRESS(376, 'Additional Images-WUO_TRK'!A376),_xlfn.TEXTAFTER('Additional Images-WUO_ERR'!A376, ":"))))</f>
        <v/>
      </c>
    </row>
    <row r="377">
      <c r="A377" s="39">
        <f>IF('Additional Images'!B377 = "", "", IF('Additional Images-WUO_ERR'!A377 = "", "Validated", HYPERLINK("#" &amp; ADDRESS(377, 'Additional Images-WUO_TRK'!A377),_xlfn.TEXTAFTER('Additional Images-WUO_ERR'!A377, ":"))))</f>
        <v/>
      </c>
    </row>
    <row r="378">
      <c r="A378" s="39">
        <f>IF('Additional Images'!B378 = "", "", IF('Additional Images-WUO_ERR'!A378 = "", "Validated", HYPERLINK("#" &amp; ADDRESS(378, 'Additional Images-WUO_TRK'!A378),_xlfn.TEXTAFTER('Additional Images-WUO_ERR'!A378, ":"))))</f>
        <v/>
      </c>
    </row>
    <row r="379">
      <c r="A379" s="39">
        <f>IF('Additional Images'!B379 = "", "", IF('Additional Images-WUO_ERR'!A379 = "", "Validated", HYPERLINK("#" &amp; ADDRESS(379, 'Additional Images-WUO_TRK'!A379),_xlfn.TEXTAFTER('Additional Images-WUO_ERR'!A379, ":"))))</f>
        <v/>
      </c>
    </row>
    <row r="380">
      <c r="A380" s="39">
        <f>IF('Additional Images'!B380 = "", "", IF('Additional Images-WUO_ERR'!A380 = "", "Validated", HYPERLINK("#" &amp; ADDRESS(380, 'Additional Images-WUO_TRK'!A380),_xlfn.TEXTAFTER('Additional Images-WUO_ERR'!A380, ":"))))</f>
        <v/>
      </c>
    </row>
    <row r="381">
      <c r="A381" s="39">
        <f>IF('Additional Images'!B381 = "", "", IF('Additional Images-WUO_ERR'!A381 = "", "Validated", HYPERLINK("#" &amp; ADDRESS(381, 'Additional Images-WUO_TRK'!A381),_xlfn.TEXTAFTER('Additional Images-WUO_ERR'!A381, ":"))))</f>
        <v/>
      </c>
    </row>
    <row r="382">
      <c r="A382" s="39">
        <f>IF('Additional Images'!B382 = "", "", IF('Additional Images-WUO_ERR'!A382 = "", "Validated", HYPERLINK("#" &amp; ADDRESS(382, 'Additional Images-WUO_TRK'!A382),_xlfn.TEXTAFTER('Additional Images-WUO_ERR'!A382, ":"))))</f>
        <v/>
      </c>
    </row>
    <row r="383">
      <c r="A383" s="39">
        <f>IF('Additional Images'!B383 = "", "", IF('Additional Images-WUO_ERR'!A383 = "", "Validated", HYPERLINK("#" &amp; ADDRESS(383, 'Additional Images-WUO_TRK'!A383),_xlfn.TEXTAFTER('Additional Images-WUO_ERR'!A383, ":"))))</f>
        <v/>
      </c>
    </row>
    <row r="384">
      <c r="A384" s="39">
        <f>IF('Additional Images'!B384 = "", "", IF('Additional Images-WUO_ERR'!A384 = "", "Validated", HYPERLINK("#" &amp; ADDRESS(384, 'Additional Images-WUO_TRK'!A384),_xlfn.TEXTAFTER('Additional Images-WUO_ERR'!A384, ":"))))</f>
        <v/>
      </c>
    </row>
    <row r="385">
      <c r="A385" s="39">
        <f>IF('Additional Images'!B385 = "", "", IF('Additional Images-WUO_ERR'!A385 = "", "Validated", HYPERLINK("#" &amp; ADDRESS(385, 'Additional Images-WUO_TRK'!A385),_xlfn.TEXTAFTER('Additional Images-WUO_ERR'!A385, ":"))))</f>
        <v/>
      </c>
    </row>
    <row r="386">
      <c r="A386" s="39">
        <f>IF('Additional Images'!B386 = "", "", IF('Additional Images-WUO_ERR'!A386 = "", "Validated", HYPERLINK("#" &amp; ADDRESS(386, 'Additional Images-WUO_TRK'!A386),_xlfn.TEXTAFTER('Additional Images-WUO_ERR'!A386, ":"))))</f>
        <v/>
      </c>
    </row>
    <row r="387">
      <c r="A387" s="39">
        <f>IF('Additional Images'!B387 = "", "", IF('Additional Images-WUO_ERR'!A387 = "", "Validated", HYPERLINK("#" &amp; ADDRESS(387, 'Additional Images-WUO_TRK'!A387),_xlfn.TEXTAFTER('Additional Images-WUO_ERR'!A387, ":"))))</f>
        <v/>
      </c>
    </row>
    <row r="388">
      <c r="A388" s="39">
        <f>IF('Additional Images'!B388 = "", "", IF('Additional Images-WUO_ERR'!A388 = "", "Validated", HYPERLINK("#" &amp; ADDRESS(388, 'Additional Images-WUO_TRK'!A388),_xlfn.TEXTAFTER('Additional Images-WUO_ERR'!A388, ":"))))</f>
        <v/>
      </c>
    </row>
    <row r="389">
      <c r="A389" s="39">
        <f>IF('Additional Images'!B389 = "", "", IF('Additional Images-WUO_ERR'!A389 = "", "Validated", HYPERLINK("#" &amp; ADDRESS(389, 'Additional Images-WUO_TRK'!A389),_xlfn.TEXTAFTER('Additional Images-WUO_ERR'!A389, ":"))))</f>
        <v/>
      </c>
    </row>
    <row r="390">
      <c r="A390" s="39">
        <f>IF('Additional Images'!B390 = "", "", IF('Additional Images-WUO_ERR'!A390 = "", "Validated", HYPERLINK("#" &amp; ADDRESS(390, 'Additional Images-WUO_TRK'!A390),_xlfn.TEXTAFTER('Additional Images-WUO_ERR'!A390, ":"))))</f>
        <v/>
      </c>
    </row>
    <row r="391">
      <c r="A391" s="39">
        <f>IF('Additional Images'!B391 = "", "", IF('Additional Images-WUO_ERR'!A391 = "", "Validated", HYPERLINK("#" &amp; ADDRESS(391, 'Additional Images-WUO_TRK'!A391),_xlfn.TEXTAFTER('Additional Images-WUO_ERR'!A391, ":"))))</f>
        <v/>
      </c>
    </row>
    <row r="392">
      <c r="A392" s="39">
        <f>IF('Additional Images'!B392 = "", "", IF('Additional Images-WUO_ERR'!A392 = "", "Validated", HYPERLINK("#" &amp; ADDRESS(392, 'Additional Images-WUO_TRK'!A392),_xlfn.TEXTAFTER('Additional Images-WUO_ERR'!A392, ":"))))</f>
        <v/>
      </c>
    </row>
    <row r="393">
      <c r="A393" s="39">
        <f>IF('Additional Images'!B393 = "", "", IF('Additional Images-WUO_ERR'!A393 = "", "Validated", HYPERLINK("#" &amp; ADDRESS(393, 'Additional Images-WUO_TRK'!A393),_xlfn.TEXTAFTER('Additional Images-WUO_ERR'!A393, ":"))))</f>
        <v/>
      </c>
    </row>
    <row r="394">
      <c r="A394" s="39">
        <f>IF('Additional Images'!B394 = "", "", IF('Additional Images-WUO_ERR'!A394 = "", "Validated", HYPERLINK("#" &amp; ADDRESS(394, 'Additional Images-WUO_TRK'!A394),_xlfn.TEXTAFTER('Additional Images-WUO_ERR'!A394, ":"))))</f>
        <v/>
      </c>
    </row>
    <row r="395">
      <c r="A395" s="39">
        <f>IF('Additional Images'!B395 = "", "", IF('Additional Images-WUO_ERR'!A395 = "", "Validated", HYPERLINK("#" &amp; ADDRESS(395, 'Additional Images-WUO_TRK'!A395),_xlfn.TEXTAFTER('Additional Images-WUO_ERR'!A395, ":"))))</f>
        <v/>
      </c>
    </row>
    <row r="396">
      <c r="A396" s="39">
        <f>IF('Additional Images'!B396 = "", "", IF('Additional Images-WUO_ERR'!A396 = "", "Validated", HYPERLINK("#" &amp; ADDRESS(396, 'Additional Images-WUO_TRK'!A396),_xlfn.TEXTAFTER('Additional Images-WUO_ERR'!A396, ":"))))</f>
        <v/>
      </c>
    </row>
    <row r="397">
      <c r="A397" s="39">
        <f>IF('Additional Images'!B397 = "", "", IF('Additional Images-WUO_ERR'!A397 = "", "Validated", HYPERLINK("#" &amp; ADDRESS(397, 'Additional Images-WUO_TRK'!A397),_xlfn.TEXTAFTER('Additional Images-WUO_ERR'!A397, ":"))))</f>
        <v/>
      </c>
    </row>
    <row r="398">
      <c r="A398" s="39">
        <f>IF('Additional Images'!B398 = "", "", IF('Additional Images-WUO_ERR'!A398 = "", "Validated", HYPERLINK("#" &amp; ADDRESS(398, 'Additional Images-WUO_TRK'!A398),_xlfn.TEXTAFTER('Additional Images-WUO_ERR'!A398, ":"))))</f>
        <v/>
      </c>
    </row>
    <row r="399">
      <c r="A399" s="39">
        <f>IF('Additional Images'!B399 = "", "", IF('Additional Images-WUO_ERR'!A399 = "", "Validated", HYPERLINK("#" &amp; ADDRESS(399, 'Additional Images-WUO_TRK'!A399),_xlfn.TEXTAFTER('Additional Images-WUO_ERR'!A399, ":"))))</f>
        <v/>
      </c>
    </row>
    <row r="400">
      <c r="A400" s="39">
        <f>IF('Additional Images'!B400 = "", "", IF('Additional Images-WUO_ERR'!A400 = "", "Validated", HYPERLINK("#" &amp; ADDRESS(400, 'Additional Images-WUO_TRK'!A400),_xlfn.TEXTAFTER('Additional Images-WUO_ERR'!A400, ":"))))</f>
        <v/>
      </c>
    </row>
    <row r="401">
      <c r="A401" s="39">
        <f>IF('Additional Images'!B401 = "", "", IF('Additional Images-WUO_ERR'!A401 = "", "Validated", HYPERLINK("#" &amp; ADDRESS(401, 'Additional Images-WUO_TRK'!A401),_xlfn.TEXTAFTER('Additional Images-WUO_ERR'!A401, ":"))))</f>
        <v/>
      </c>
    </row>
    <row r="402">
      <c r="A402" s="39">
        <f>IF('Additional Images'!B402 = "", "", IF('Additional Images-WUO_ERR'!A402 = "", "Validated", HYPERLINK("#" &amp; ADDRESS(402, 'Additional Images-WUO_TRK'!A402),_xlfn.TEXTAFTER('Additional Images-WUO_ERR'!A402, ":"))))</f>
        <v/>
      </c>
    </row>
    <row r="403">
      <c r="A403" s="39">
        <f>IF('Additional Images'!B403 = "", "", IF('Additional Images-WUO_ERR'!A403 = "", "Validated", HYPERLINK("#" &amp; ADDRESS(403, 'Additional Images-WUO_TRK'!A403),_xlfn.TEXTAFTER('Additional Images-WUO_ERR'!A403, ":"))))</f>
        <v/>
      </c>
    </row>
    <row r="404">
      <c r="A404" s="39">
        <f>IF('Additional Images'!B404 = "", "", IF('Additional Images-WUO_ERR'!A404 = "", "Validated", HYPERLINK("#" &amp; ADDRESS(404, 'Additional Images-WUO_TRK'!A404),_xlfn.TEXTAFTER('Additional Images-WUO_ERR'!A404, ":"))))</f>
        <v/>
      </c>
    </row>
    <row r="405">
      <c r="A405" s="39">
        <f>IF('Additional Images'!B405 = "", "", IF('Additional Images-WUO_ERR'!A405 = "", "Validated", HYPERLINK("#" &amp; ADDRESS(405, 'Additional Images-WUO_TRK'!A405),_xlfn.TEXTAFTER('Additional Images-WUO_ERR'!A405, ":"))))</f>
        <v/>
      </c>
    </row>
    <row r="406">
      <c r="A406" s="39">
        <f>IF('Additional Images'!B406 = "", "", IF('Additional Images-WUO_ERR'!A406 = "", "Validated", HYPERLINK("#" &amp; ADDRESS(406, 'Additional Images-WUO_TRK'!A406),_xlfn.TEXTAFTER('Additional Images-WUO_ERR'!A406, ":"))))</f>
        <v/>
      </c>
    </row>
    <row r="407">
      <c r="A407" s="39">
        <f>IF('Additional Images'!B407 = "", "", IF('Additional Images-WUO_ERR'!A407 = "", "Validated", HYPERLINK("#" &amp; ADDRESS(407, 'Additional Images-WUO_TRK'!A407),_xlfn.TEXTAFTER('Additional Images-WUO_ERR'!A407, ":"))))</f>
        <v/>
      </c>
    </row>
    <row r="408">
      <c r="A408" s="39">
        <f>IF('Additional Images'!B408 = "", "", IF('Additional Images-WUO_ERR'!A408 = "", "Validated", HYPERLINK("#" &amp; ADDRESS(408, 'Additional Images-WUO_TRK'!A408),_xlfn.TEXTAFTER('Additional Images-WUO_ERR'!A408, ":"))))</f>
        <v/>
      </c>
    </row>
    <row r="409">
      <c r="A409" s="39">
        <f>IF('Additional Images'!B409 = "", "", IF('Additional Images-WUO_ERR'!A409 = "", "Validated", HYPERLINK("#" &amp; ADDRESS(409, 'Additional Images-WUO_TRK'!A409),_xlfn.TEXTAFTER('Additional Images-WUO_ERR'!A409, ":"))))</f>
        <v/>
      </c>
    </row>
    <row r="410">
      <c r="A410" s="39">
        <f>IF('Additional Images'!B410 = "", "", IF('Additional Images-WUO_ERR'!A410 = "", "Validated", HYPERLINK("#" &amp; ADDRESS(410, 'Additional Images-WUO_TRK'!A410),_xlfn.TEXTAFTER('Additional Images-WUO_ERR'!A410, ":"))))</f>
        <v/>
      </c>
    </row>
    <row r="411">
      <c r="A411" s="39">
        <f>IF('Additional Images'!B411 = "", "", IF('Additional Images-WUO_ERR'!A411 = "", "Validated", HYPERLINK("#" &amp; ADDRESS(411, 'Additional Images-WUO_TRK'!A411),_xlfn.TEXTAFTER('Additional Images-WUO_ERR'!A411, ":"))))</f>
        <v/>
      </c>
    </row>
    <row r="412">
      <c r="A412" s="39">
        <f>IF('Additional Images'!B412 = "", "", IF('Additional Images-WUO_ERR'!A412 = "", "Validated", HYPERLINK("#" &amp; ADDRESS(412, 'Additional Images-WUO_TRK'!A412),_xlfn.TEXTAFTER('Additional Images-WUO_ERR'!A412, ":"))))</f>
        <v/>
      </c>
    </row>
    <row r="413">
      <c r="A413" s="39">
        <f>IF('Additional Images'!B413 = "", "", IF('Additional Images-WUO_ERR'!A413 = "", "Validated", HYPERLINK("#" &amp; ADDRESS(413, 'Additional Images-WUO_TRK'!A413),_xlfn.TEXTAFTER('Additional Images-WUO_ERR'!A413, ":"))))</f>
        <v/>
      </c>
    </row>
    <row r="414">
      <c r="A414" s="39">
        <f>IF('Additional Images'!B414 = "", "", IF('Additional Images-WUO_ERR'!A414 = "", "Validated", HYPERLINK("#" &amp; ADDRESS(414, 'Additional Images-WUO_TRK'!A414),_xlfn.TEXTAFTER('Additional Images-WUO_ERR'!A414, ":"))))</f>
        <v/>
      </c>
    </row>
    <row r="415">
      <c r="A415" s="39">
        <f>IF('Additional Images'!B415 = "", "", IF('Additional Images-WUO_ERR'!A415 = "", "Validated", HYPERLINK("#" &amp; ADDRESS(415, 'Additional Images-WUO_TRK'!A415),_xlfn.TEXTAFTER('Additional Images-WUO_ERR'!A415, ":"))))</f>
        <v/>
      </c>
    </row>
    <row r="416">
      <c r="A416" s="39">
        <f>IF('Additional Images'!B416 = "", "", IF('Additional Images-WUO_ERR'!A416 = "", "Validated", HYPERLINK("#" &amp; ADDRESS(416, 'Additional Images-WUO_TRK'!A416),_xlfn.TEXTAFTER('Additional Images-WUO_ERR'!A416, ":"))))</f>
        <v/>
      </c>
    </row>
    <row r="417">
      <c r="A417" s="39">
        <f>IF('Additional Images'!B417 = "", "", IF('Additional Images-WUO_ERR'!A417 = "", "Validated", HYPERLINK("#" &amp; ADDRESS(417, 'Additional Images-WUO_TRK'!A417),_xlfn.TEXTAFTER('Additional Images-WUO_ERR'!A417, ":"))))</f>
        <v/>
      </c>
    </row>
    <row r="418">
      <c r="A418" s="39">
        <f>IF('Additional Images'!B418 = "", "", IF('Additional Images-WUO_ERR'!A418 = "", "Validated", HYPERLINK("#" &amp; ADDRESS(418, 'Additional Images-WUO_TRK'!A418),_xlfn.TEXTAFTER('Additional Images-WUO_ERR'!A418, ":"))))</f>
        <v/>
      </c>
    </row>
    <row r="419">
      <c r="A419" s="39">
        <f>IF('Additional Images'!B419 = "", "", IF('Additional Images-WUO_ERR'!A419 = "", "Validated", HYPERLINK("#" &amp; ADDRESS(419, 'Additional Images-WUO_TRK'!A419),_xlfn.TEXTAFTER('Additional Images-WUO_ERR'!A419, ":"))))</f>
        <v/>
      </c>
    </row>
    <row r="420">
      <c r="A420" s="39">
        <f>IF('Additional Images'!B420 = "", "", IF('Additional Images-WUO_ERR'!A420 = "", "Validated", HYPERLINK("#" &amp; ADDRESS(420, 'Additional Images-WUO_TRK'!A420),_xlfn.TEXTAFTER('Additional Images-WUO_ERR'!A420, ":"))))</f>
        <v/>
      </c>
    </row>
    <row r="421">
      <c r="A421" s="39">
        <f>IF('Additional Images'!B421 = "", "", IF('Additional Images-WUO_ERR'!A421 = "", "Validated", HYPERLINK("#" &amp; ADDRESS(421, 'Additional Images-WUO_TRK'!A421),_xlfn.TEXTAFTER('Additional Images-WUO_ERR'!A421, ":"))))</f>
        <v/>
      </c>
    </row>
    <row r="422">
      <c r="A422" s="39">
        <f>IF('Additional Images'!B422 = "", "", IF('Additional Images-WUO_ERR'!A422 = "", "Validated", HYPERLINK("#" &amp; ADDRESS(422, 'Additional Images-WUO_TRK'!A422),_xlfn.TEXTAFTER('Additional Images-WUO_ERR'!A422, ":"))))</f>
        <v/>
      </c>
    </row>
    <row r="423">
      <c r="A423" s="39">
        <f>IF('Additional Images'!B423 = "", "", IF('Additional Images-WUO_ERR'!A423 = "", "Validated", HYPERLINK("#" &amp; ADDRESS(423, 'Additional Images-WUO_TRK'!A423),_xlfn.TEXTAFTER('Additional Images-WUO_ERR'!A423, ":"))))</f>
        <v/>
      </c>
    </row>
    <row r="424">
      <c r="A424" s="39">
        <f>IF('Additional Images'!B424 = "", "", IF('Additional Images-WUO_ERR'!A424 = "", "Validated", HYPERLINK("#" &amp; ADDRESS(424, 'Additional Images-WUO_TRK'!A424),_xlfn.TEXTAFTER('Additional Images-WUO_ERR'!A424, ":"))))</f>
        <v/>
      </c>
    </row>
    <row r="425">
      <c r="A425" s="39">
        <f>IF('Additional Images'!B425 = "", "", IF('Additional Images-WUO_ERR'!A425 = "", "Validated", HYPERLINK("#" &amp; ADDRESS(425, 'Additional Images-WUO_TRK'!A425),_xlfn.TEXTAFTER('Additional Images-WUO_ERR'!A425, ":"))))</f>
        <v/>
      </c>
    </row>
    <row r="426">
      <c r="A426" s="39">
        <f>IF('Additional Images'!B426 = "", "", IF('Additional Images-WUO_ERR'!A426 = "", "Validated", HYPERLINK("#" &amp; ADDRESS(426, 'Additional Images-WUO_TRK'!A426),_xlfn.TEXTAFTER('Additional Images-WUO_ERR'!A426, ":"))))</f>
        <v/>
      </c>
    </row>
    <row r="427">
      <c r="A427" s="39">
        <f>IF('Additional Images'!B427 = "", "", IF('Additional Images-WUO_ERR'!A427 = "", "Validated", HYPERLINK("#" &amp; ADDRESS(427, 'Additional Images-WUO_TRK'!A427),_xlfn.TEXTAFTER('Additional Images-WUO_ERR'!A427, ":"))))</f>
        <v/>
      </c>
    </row>
    <row r="428">
      <c r="A428" s="39">
        <f>IF('Additional Images'!B428 = "", "", IF('Additional Images-WUO_ERR'!A428 = "", "Validated", HYPERLINK("#" &amp; ADDRESS(428, 'Additional Images-WUO_TRK'!A428),_xlfn.TEXTAFTER('Additional Images-WUO_ERR'!A428, ":"))))</f>
        <v/>
      </c>
    </row>
    <row r="429">
      <c r="A429" s="39">
        <f>IF('Additional Images'!B429 = "", "", IF('Additional Images-WUO_ERR'!A429 = "", "Validated", HYPERLINK("#" &amp; ADDRESS(429, 'Additional Images-WUO_TRK'!A429),_xlfn.TEXTAFTER('Additional Images-WUO_ERR'!A429, ":"))))</f>
        <v/>
      </c>
    </row>
    <row r="430">
      <c r="A430" s="39">
        <f>IF('Additional Images'!B430 = "", "", IF('Additional Images-WUO_ERR'!A430 = "", "Validated", HYPERLINK("#" &amp; ADDRESS(430, 'Additional Images-WUO_TRK'!A430),_xlfn.TEXTAFTER('Additional Images-WUO_ERR'!A430, ":"))))</f>
        <v/>
      </c>
    </row>
    <row r="431">
      <c r="A431" s="39">
        <f>IF('Additional Images'!B431 = "", "", IF('Additional Images-WUO_ERR'!A431 = "", "Validated", HYPERLINK("#" &amp; ADDRESS(431, 'Additional Images-WUO_TRK'!A431),_xlfn.TEXTAFTER('Additional Images-WUO_ERR'!A431, ":"))))</f>
        <v/>
      </c>
    </row>
    <row r="432">
      <c r="A432" s="39">
        <f>IF('Additional Images'!B432 = "", "", IF('Additional Images-WUO_ERR'!A432 = "", "Validated", HYPERLINK("#" &amp; ADDRESS(432, 'Additional Images-WUO_TRK'!A432),_xlfn.TEXTAFTER('Additional Images-WUO_ERR'!A432, ":"))))</f>
        <v/>
      </c>
    </row>
    <row r="433">
      <c r="A433" s="39">
        <f>IF('Additional Images'!B433 = "", "", IF('Additional Images-WUO_ERR'!A433 = "", "Validated", HYPERLINK("#" &amp; ADDRESS(433, 'Additional Images-WUO_TRK'!A433),_xlfn.TEXTAFTER('Additional Images-WUO_ERR'!A433, ":"))))</f>
        <v/>
      </c>
    </row>
    <row r="434">
      <c r="A434" s="39">
        <f>IF('Additional Images'!B434 = "", "", IF('Additional Images-WUO_ERR'!A434 = "", "Validated", HYPERLINK("#" &amp; ADDRESS(434, 'Additional Images-WUO_TRK'!A434),_xlfn.TEXTAFTER('Additional Images-WUO_ERR'!A434, ":"))))</f>
        <v/>
      </c>
    </row>
    <row r="435">
      <c r="A435" s="39">
        <f>IF('Additional Images'!B435 = "", "", IF('Additional Images-WUO_ERR'!A435 = "", "Validated", HYPERLINK("#" &amp; ADDRESS(435, 'Additional Images-WUO_TRK'!A435),_xlfn.TEXTAFTER('Additional Images-WUO_ERR'!A435, ":"))))</f>
        <v/>
      </c>
    </row>
    <row r="436">
      <c r="A436" s="39">
        <f>IF('Additional Images'!B436 = "", "", IF('Additional Images-WUO_ERR'!A436 = "", "Validated", HYPERLINK("#" &amp; ADDRESS(436, 'Additional Images-WUO_TRK'!A436),_xlfn.TEXTAFTER('Additional Images-WUO_ERR'!A436, ":"))))</f>
        <v/>
      </c>
    </row>
    <row r="437">
      <c r="A437" s="39">
        <f>IF('Additional Images'!B437 = "", "", IF('Additional Images-WUO_ERR'!A437 = "", "Validated", HYPERLINK("#" &amp; ADDRESS(437, 'Additional Images-WUO_TRK'!A437),_xlfn.TEXTAFTER('Additional Images-WUO_ERR'!A437, ":"))))</f>
        <v/>
      </c>
    </row>
    <row r="438">
      <c r="A438" s="39">
        <f>IF('Additional Images'!B438 = "", "", IF('Additional Images-WUO_ERR'!A438 = "", "Validated", HYPERLINK("#" &amp; ADDRESS(438, 'Additional Images-WUO_TRK'!A438),_xlfn.TEXTAFTER('Additional Images-WUO_ERR'!A438, ":"))))</f>
        <v/>
      </c>
    </row>
    <row r="439">
      <c r="A439" s="39">
        <f>IF('Additional Images'!B439 = "", "", IF('Additional Images-WUO_ERR'!A439 = "", "Validated", HYPERLINK("#" &amp; ADDRESS(439, 'Additional Images-WUO_TRK'!A439),_xlfn.TEXTAFTER('Additional Images-WUO_ERR'!A439, ":"))))</f>
        <v/>
      </c>
    </row>
    <row r="440">
      <c r="A440" s="39">
        <f>IF('Additional Images'!B440 = "", "", IF('Additional Images-WUO_ERR'!A440 = "", "Validated", HYPERLINK("#" &amp; ADDRESS(440, 'Additional Images-WUO_TRK'!A440),_xlfn.TEXTAFTER('Additional Images-WUO_ERR'!A440, ":"))))</f>
        <v/>
      </c>
    </row>
    <row r="441">
      <c r="A441" s="39">
        <f>IF('Additional Images'!B441 = "", "", IF('Additional Images-WUO_ERR'!A441 = "", "Validated", HYPERLINK("#" &amp; ADDRESS(441, 'Additional Images-WUO_TRK'!A441),_xlfn.TEXTAFTER('Additional Images-WUO_ERR'!A441, ":"))))</f>
        <v/>
      </c>
    </row>
    <row r="442">
      <c r="A442" s="39">
        <f>IF('Additional Images'!B442 = "", "", IF('Additional Images-WUO_ERR'!A442 = "", "Validated", HYPERLINK("#" &amp; ADDRESS(442, 'Additional Images-WUO_TRK'!A442),_xlfn.TEXTAFTER('Additional Images-WUO_ERR'!A442, ":"))))</f>
        <v/>
      </c>
    </row>
    <row r="443">
      <c r="A443" s="39">
        <f>IF('Additional Images'!B443 = "", "", IF('Additional Images-WUO_ERR'!A443 = "", "Validated", HYPERLINK("#" &amp; ADDRESS(443, 'Additional Images-WUO_TRK'!A443),_xlfn.TEXTAFTER('Additional Images-WUO_ERR'!A443, ":"))))</f>
        <v/>
      </c>
    </row>
    <row r="444">
      <c r="A444" s="39">
        <f>IF('Additional Images'!B444 = "", "", IF('Additional Images-WUO_ERR'!A444 = "", "Validated", HYPERLINK("#" &amp; ADDRESS(444, 'Additional Images-WUO_TRK'!A444),_xlfn.TEXTAFTER('Additional Images-WUO_ERR'!A444, ":"))))</f>
        <v/>
      </c>
    </row>
    <row r="445">
      <c r="A445" s="39">
        <f>IF('Additional Images'!B445 = "", "", IF('Additional Images-WUO_ERR'!A445 = "", "Validated", HYPERLINK("#" &amp; ADDRESS(445, 'Additional Images-WUO_TRK'!A445),_xlfn.TEXTAFTER('Additional Images-WUO_ERR'!A445, ":"))))</f>
        <v/>
      </c>
    </row>
    <row r="446">
      <c r="A446" s="39">
        <f>IF('Additional Images'!B446 = "", "", IF('Additional Images-WUO_ERR'!A446 = "", "Validated", HYPERLINK("#" &amp; ADDRESS(446, 'Additional Images-WUO_TRK'!A446),_xlfn.TEXTAFTER('Additional Images-WUO_ERR'!A446, ":"))))</f>
        <v/>
      </c>
    </row>
    <row r="447">
      <c r="A447" s="39">
        <f>IF('Additional Images'!B447 = "", "", IF('Additional Images-WUO_ERR'!A447 = "", "Validated", HYPERLINK("#" &amp; ADDRESS(447, 'Additional Images-WUO_TRK'!A447),_xlfn.TEXTAFTER('Additional Images-WUO_ERR'!A447, ":"))))</f>
        <v/>
      </c>
    </row>
    <row r="448">
      <c r="A448" s="39">
        <f>IF('Additional Images'!B448 = "", "", IF('Additional Images-WUO_ERR'!A448 = "", "Validated", HYPERLINK("#" &amp; ADDRESS(448, 'Additional Images-WUO_TRK'!A448),_xlfn.TEXTAFTER('Additional Images-WUO_ERR'!A448, ":"))))</f>
        <v/>
      </c>
    </row>
    <row r="449">
      <c r="A449" s="39">
        <f>IF('Additional Images'!B449 = "", "", IF('Additional Images-WUO_ERR'!A449 = "", "Validated", HYPERLINK("#" &amp; ADDRESS(449, 'Additional Images-WUO_TRK'!A449),_xlfn.TEXTAFTER('Additional Images-WUO_ERR'!A449, ":"))))</f>
        <v/>
      </c>
    </row>
    <row r="450">
      <c r="A450" s="39">
        <f>IF('Additional Images'!B450 = "", "", IF('Additional Images-WUO_ERR'!A450 = "", "Validated", HYPERLINK("#" &amp; ADDRESS(450, 'Additional Images-WUO_TRK'!A450),_xlfn.TEXTAFTER('Additional Images-WUO_ERR'!A450, ":"))))</f>
        <v/>
      </c>
    </row>
    <row r="451">
      <c r="A451" s="39">
        <f>IF('Additional Images'!B451 = "", "", IF('Additional Images-WUO_ERR'!A451 = "", "Validated", HYPERLINK("#" &amp; ADDRESS(451, 'Additional Images-WUO_TRK'!A451),_xlfn.TEXTAFTER('Additional Images-WUO_ERR'!A451, ":"))))</f>
        <v/>
      </c>
    </row>
    <row r="452">
      <c r="A452" s="39">
        <f>IF('Additional Images'!B452 = "", "", IF('Additional Images-WUO_ERR'!A452 = "", "Validated", HYPERLINK("#" &amp; ADDRESS(452, 'Additional Images-WUO_TRK'!A452),_xlfn.TEXTAFTER('Additional Images-WUO_ERR'!A452, ":"))))</f>
        <v/>
      </c>
    </row>
    <row r="453">
      <c r="A453" s="39">
        <f>IF('Additional Images'!B453 = "", "", IF('Additional Images-WUO_ERR'!A453 = "", "Validated", HYPERLINK("#" &amp; ADDRESS(453, 'Additional Images-WUO_TRK'!A453),_xlfn.TEXTAFTER('Additional Images-WUO_ERR'!A453, ":"))))</f>
        <v/>
      </c>
    </row>
    <row r="454">
      <c r="A454" s="39">
        <f>IF('Additional Images'!B454 = "", "", IF('Additional Images-WUO_ERR'!A454 = "", "Validated", HYPERLINK("#" &amp; ADDRESS(454, 'Additional Images-WUO_TRK'!A454),_xlfn.TEXTAFTER('Additional Images-WUO_ERR'!A454, ":"))))</f>
        <v/>
      </c>
    </row>
    <row r="455">
      <c r="A455" s="39">
        <f>IF('Additional Images'!B455 = "", "", IF('Additional Images-WUO_ERR'!A455 = "", "Validated", HYPERLINK("#" &amp; ADDRESS(455, 'Additional Images-WUO_TRK'!A455),_xlfn.TEXTAFTER('Additional Images-WUO_ERR'!A455, ":"))))</f>
        <v/>
      </c>
    </row>
    <row r="456">
      <c r="A456" s="39">
        <f>IF('Additional Images'!B456 = "", "", IF('Additional Images-WUO_ERR'!A456 = "", "Validated", HYPERLINK("#" &amp; ADDRESS(456, 'Additional Images-WUO_TRK'!A456),_xlfn.TEXTAFTER('Additional Images-WUO_ERR'!A456, ":"))))</f>
        <v/>
      </c>
    </row>
    <row r="457">
      <c r="A457" s="39">
        <f>IF('Additional Images'!B457 = "", "", IF('Additional Images-WUO_ERR'!A457 = "", "Validated", HYPERLINK("#" &amp; ADDRESS(457, 'Additional Images-WUO_TRK'!A457),_xlfn.TEXTAFTER('Additional Images-WUO_ERR'!A457, ":"))))</f>
        <v/>
      </c>
    </row>
    <row r="458">
      <c r="A458" s="39">
        <f>IF('Additional Images'!B458 = "", "", IF('Additional Images-WUO_ERR'!A458 = "", "Validated", HYPERLINK("#" &amp; ADDRESS(458, 'Additional Images-WUO_TRK'!A458),_xlfn.TEXTAFTER('Additional Images-WUO_ERR'!A458, ":"))))</f>
        <v/>
      </c>
    </row>
    <row r="459">
      <c r="A459" s="39">
        <f>IF('Additional Images'!B459 = "", "", IF('Additional Images-WUO_ERR'!A459 = "", "Validated", HYPERLINK("#" &amp; ADDRESS(459, 'Additional Images-WUO_TRK'!A459),_xlfn.TEXTAFTER('Additional Images-WUO_ERR'!A459, ":"))))</f>
        <v/>
      </c>
    </row>
    <row r="460">
      <c r="A460" s="39">
        <f>IF('Additional Images'!B460 = "", "", IF('Additional Images-WUO_ERR'!A460 = "", "Validated", HYPERLINK("#" &amp; ADDRESS(460, 'Additional Images-WUO_TRK'!A460),_xlfn.TEXTAFTER('Additional Images-WUO_ERR'!A460, ":"))))</f>
        <v/>
      </c>
    </row>
    <row r="461">
      <c r="A461" s="39">
        <f>IF('Additional Images'!B461 = "", "", IF('Additional Images-WUO_ERR'!A461 = "", "Validated", HYPERLINK("#" &amp; ADDRESS(461, 'Additional Images-WUO_TRK'!A461),_xlfn.TEXTAFTER('Additional Images-WUO_ERR'!A461, ":"))))</f>
        <v/>
      </c>
    </row>
    <row r="462">
      <c r="A462" s="39">
        <f>IF('Additional Images'!B462 = "", "", IF('Additional Images-WUO_ERR'!A462 = "", "Validated", HYPERLINK("#" &amp; ADDRESS(462, 'Additional Images-WUO_TRK'!A462),_xlfn.TEXTAFTER('Additional Images-WUO_ERR'!A462, ":"))))</f>
        <v/>
      </c>
    </row>
    <row r="463">
      <c r="A463" s="39">
        <f>IF('Additional Images'!B463 = "", "", IF('Additional Images-WUO_ERR'!A463 = "", "Validated", HYPERLINK("#" &amp; ADDRESS(463, 'Additional Images-WUO_TRK'!A463),_xlfn.TEXTAFTER('Additional Images-WUO_ERR'!A463, ":"))))</f>
        <v/>
      </c>
    </row>
    <row r="464">
      <c r="A464" s="39">
        <f>IF('Additional Images'!B464 = "", "", IF('Additional Images-WUO_ERR'!A464 = "", "Validated", HYPERLINK("#" &amp; ADDRESS(464, 'Additional Images-WUO_TRK'!A464),_xlfn.TEXTAFTER('Additional Images-WUO_ERR'!A464, ":"))))</f>
        <v/>
      </c>
    </row>
    <row r="465">
      <c r="A465" s="39">
        <f>IF('Additional Images'!B465 = "", "", IF('Additional Images-WUO_ERR'!A465 = "", "Validated", HYPERLINK("#" &amp; ADDRESS(465, 'Additional Images-WUO_TRK'!A465),_xlfn.TEXTAFTER('Additional Images-WUO_ERR'!A465, ":"))))</f>
        <v/>
      </c>
    </row>
    <row r="466">
      <c r="A466" s="39">
        <f>IF('Additional Images'!B466 = "", "", IF('Additional Images-WUO_ERR'!A466 = "", "Validated", HYPERLINK("#" &amp; ADDRESS(466, 'Additional Images-WUO_TRK'!A466),_xlfn.TEXTAFTER('Additional Images-WUO_ERR'!A466, ":"))))</f>
        <v/>
      </c>
    </row>
    <row r="467">
      <c r="A467" s="39">
        <f>IF('Additional Images'!B467 = "", "", IF('Additional Images-WUO_ERR'!A467 = "", "Validated", HYPERLINK("#" &amp; ADDRESS(467, 'Additional Images-WUO_TRK'!A467),_xlfn.TEXTAFTER('Additional Images-WUO_ERR'!A467, ":"))))</f>
        <v/>
      </c>
    </row>
    <row r="468">
      <c r="A468" s="39">
        <f>IF('Additional Images'!B468 = "", "", IF('Additional Images-WUO_ERR'!A468 = "", "Validated", HYPERLINK("#" &amp; ADDRESS(468, 'Additional Images-WUO_TRK'!A468),_xlfn.TEXTAFTER('Additional Images-WUO_ERR'!A468, ":"))))</f>
        <v/>
      </c>
    </row>
    <row r="469">
      <c r="A469" s="39">
        <f>IF('Additional Images'!B469 = "", "", IF('Additional Images-WUO_ERR'!A469 = "", "Validated", HYPERLINK("#" &amp; ADDRESS(469, 'Additional Images-WUO_TRK'!A469),_xlfn.TEXTAFTER('Additional Images-WUO_ERR'!A469, ":"))))</f>
        <v/>
      </c>
    </row>
    <row r="470">
      <c r="A470" s="39">
        <f>IF('Additional Images'!B470 = "", "", IF('Additional Images-WUO_ERR'!A470 = "", "Validated", HYPERLINK("#" &amp; ADDRESS(470, 'Additional Images-WUO_TRK'!A470),_xlfn.TEXTAFTER('Additional Images-WUO_ERR'!A470, ":"))))</f>
        <v/>
      </c>
    </row>
    <row r="471">
      <c r="A471" s="39">
        <f>IF('Additional Images'!B471 = "", "", IF('Additional Images-WUO_ERR'!A471 = "", "Validated", HYPERLINK("#" &amp; ADDRESS(471, 'Additional Images-WUO_TRK'!A471),_xlfn.TEXTAFTER('Additional Images-WUO_ERR'!A471, ":"))))</f>
        <v/>
      </c>
    </row>
    <row r="472">
      <c r="A472" s="39">
        <f>IF('Additional Images'!B472 = "", "", IF('Additional Images-WUO_ERR'!A472 = "", "Validated", HYPERLINK("#" &amp; ADDRESS(472, 'Additional Images-WUO_TRK'!A472),_xlfn.TEXTAFTER('Additional Images-WUO_ERR'!A472, ":"))))</f>
        <v/>
      </c>
    </row>
    <row r="473">
      <c r="A473" s="39">
        <f>IF('Additional Images'!B473 = "", "", IF('Additional Images-WUO_ERR'!A473 = "", "Validated", HYPERLINK("#" &amp; ADDRESS(473, 'Additional Images-WUO_TRK'!A473),_xlfn.TEXTAFTER('Additional Images-WUO_ERR'!A473, ":"))))</f>
        <v/>
      </c>
    </row>
    <row r="474">
      <c r="A474" s="39">
        <f>IF('Additional Images'!B474 = "", "", IF('Additional Images-WUO_ERR'!A474 = "", "Validated", HYPERLINK("#" &amp; ADDRESS(474, 'Additional Images-WUO_TRK'!A474),_xlfn.TEXTAFTER('Additional Images-WUO_ERR'!A474, ":"))))</f>
        <v/>
      </c>
    </row>
    <row r="475">
      <c r="A475" s="39">
        <f>IF('Additional Images'!B475 = "", "", IF('Additional Images-WUO_ERR'!A475 = "", "Validated", HYPERLINK("#" &amp; ADDRESS(475, 'Additional Images-WUO_TRK'!A475),_xlfn.TEXTAFTER('Additional Images-WUO_ERR'!A475, ":"))))</f>
        <v/>
      </c>
    </row>
    <row r="476">
      <c r="A476" s="39">
        <f>IF('Additional Images'!B476 = "", "", IF('Additional Images-WUO_ERR'!A476 = "", "Validated", HYPERLINK("#" &amp; ADDRESS(476, 'Additional Images-WUO_TRK'!A476),_xlfn.TEXTAFTER('Additional Images-WUO_ERR'!A476, ":"))))</f>
        <v/>
      </c>
    </row>
    <row r="477">
      <c r="A477" s="39">
        <f>IF('Additional Images'!B477 = "", "", IF('Additional Images-WUO_ERR'!A477 = "", "Validated", HYPERLINK("#" &amp; ADDRESS(477, 'Additional Images-WUO_TRK'!A477),_xlfn.TEXTAFTER('Additional Images-WUO_ERR'!A477, ":"))))</f>
        <v/>
      </c>
    </row>
    <row r="478">
      <c r="A478" s="39">
        <f>IF('Additional Images'!B478 = "", "", IF('Additional Images-WUO_ERR'!A478 = "", "Validated", HYPERLINK("#" &amp; ADDRESS(478, 'Additional Images-WUO_TRK'!A478),_xlfn.TEXTAFTER('Additional Images-WUO_ERR'!A478, ":"))))</f>
        <v/>
      </c>
    </row>
    <row r="479">
      <c r="A479" s="39">
        <f>IF('Additional Images'!B479 = "", "", IF('Additional Images-WUO_ERR'!A479 = "", "Validated", HYPERLINK("#" &amp; ADDRESS(479, 'Additional Images-WUO_TRK'!A479),_xlfn.TEXTAFTER('Additional Images-WUO_ERR'!A479, ":"))))</f>
        <v/>
      </c>
    </row>
    <row r="480">
      <c r="A480" s="39">
        <f>IF('Additional Images'!B480 = "", "", IF('Additional Images-WUO_ERR'!A480 = "", "Validated", HYPERLINK("#" &amp; ADDRESS(480, 'Additional Images-WUO_TRK'!A480),_xlfn.TEXTAFTER('Additional Images-WUO_ERR'!A480, ":"))))</f>
        <v/>
      </c>
    </row>
    <row r="481">
      <c r="A481" s="39">
        <f>IF('Additional Images'!B481 = "", "", IF('Additional Images-WUO_ERR'!A481 = "", "Validated", HYPERLINK("#" &amp; ADDRESS(481, 'Additional Images-WUO_TRK'!A481),_xlfn.TEXTAFTER('Additional Images-WUO_ERR'!A481, ":"))))</f>
        <v/>
      </c>
    </row>
    <row r="482">
      <c r="A482" s="39">
        <f>IF('Additional Images'!B482 = "", "", IF('Additional Images-WUO_ERR'!A482 = "", "Validated", HYPERLINK("#" &amp; ADDRESS(482, 'Additional Images-WUO_TRK'!A482),_xlfn.TEXTAFTER('Additional Images-WUO_ERR'!A482, ":"))))</f>
        <v/>
      </c>
    </row>
    <row r="483">
      <c r="A483" s="39">
        <f>IF('Additional Images'!B483 = "", "", IF('Additional Images-WUO_ERR'!A483 = "", "Validated", HYPERLINK("#" &amp; ADDRESS(483, 'Additional Images-WUO_TRK'!A483),_xlfn.TEXTAFTER('Additional Images-WUO_ERR'!A483, ":"))))</f>
        <v/>
      </c>
    </row>
    <row r="484">
      <c r="A484" s="39">
        <f>IF('Additional Images'!B484 = "", "", IF('Additional Images-WUO_ERR'!A484 = "", "Validated", HYPERLINK("#" &amp; ADDRESS(484, 'Additional Images-WUO_TRK'!A484),_xlfn.TEXTAFTER('Additional Images-WUO_ERR'!A484, ":"))))</f>
        <v/>
      </c>
    </row>
    <row r="485">
      <c r="A485" s="39">
        <f>IF('Additional Images'!B485 = "", "", IF('Additional Images-WUO_ERR'!A485 = "", "Validated", HYPERLINK("#" &amp; ADDRESS(485, 'Additional Images-WUO_TRK'!A485),_xlfn.TEXTAFTER('Additional Images-WUO_ERR'!A485, ":"))))</f>
        <v/>
      </c>
    </row>
    <row r="486">
      <c r="A486" s="39">
        <f>IF('Additional Images'!B486 = "", "", IF('Additional Images-WUO_ERR'!A486 = "", "Validated", HYPERLINK("#" &amp; ADDRESS(486, 'Additional Images-WUO_TRK'!A486),_xlfn.TEXTAFTER('Additional Images-WUO_ERR'!A486, ":"))))</f>
        <v/>
      </c>
    </row>
    <row r="487">
      <c r="A487" s="39">
        <f>IF('Additional Images'!B487 = "", "", IF('Additional Images-WUO_ERR'!A487 = "", "Validated", HYPERLINK("#" &amp; ADDRESS(487, 'Additional Images-WUO_TRK'!A487),_xlfn.TEXTAFTER('Additional Images-WUO_ERR'!A487, ":"))))</f>
        <v/>
      </c>
    </row>
    <row r="488">
      <c r="A488" s="39">
        <f>IF('Additional Images'!B488 = "", "", IF('Additional Images-WUO_ERR'!A488 = "", "Validated", HYPERLINK("#" &amp; ADDRESS(488, 'Additional Images-WUO_TRK'!A488),_xlfn.TEXTAFTER('Additional Images-WUO_ERR'!A488, ":"))))</f>
        <v/>
      </c>
    </row>
    <row r="489">
      <c r="A489" s="39">
        <f>IF('Additional Images'!B489 = "", "", IF('Additional Images-WUO_ERR'!A489 = "", "Validated", HYPERLINK("#" &amp; ADDRESS(489, 'Additional Images-WUO_TRK'!A489),_xlfn.TEXTAFTER('Additional Images-WUO_ERR'!A489, ":"))))</f>
        <v/>
      </c>
    </row>
    <row r="490">
      <c r="A490" s="39">
        <f>IF('Additional Images'!B490 = "", "", IF('Additional Images-WUO_ERR'!A490 = "", "Validated", HYPERLINK("#" &amp; ADDRESS(490, 'Additional Images-WUO_TRK'!A490),_xlfn.TEXTAFTER('Additional Images-WUO_ERR'!A490, ":"))))</f>
        <v/>
      </c>
    </row>
    <row r="491">
      <c r="A491" s="39">
        <f>IF('Additional Images'!B491 = "", "", IF('Additional Images-WUO_ERR'!A491 = "", "Validated", HYPERLINK("#" &amp; ADDRESS(491, 'Additional Images-WUO_TRK'!A491),_xlfn.TEXTAFTER('Additional Images-WUO_ERR'!A491, ":"))))</f>
        <v/>
      </c>
    </row>
    <row r="492">
      <c r="A492" s="39">
        <f>IF('Additional Images'!B492 = "", "", IF('Additional Images-WUO_ERR'!A492 = "", "Validated", HYPERLINK("#" &amp; ADDRESS(492, 'Additional Images-WUO_TRK'!A492),_xlfn.TEXTAFTER('Additional Images-WUO_ERR'!A492, ":"))))</f>
        <v/>
      </c>
    </row>
    <row r="493">
      <c r="A493" s="39">
        <f>IF('Additional Images'!B493 = "", "", IF('Additional Images-WUO_ERR'!A493 = "", "Validated", HYPERLINK("#" &amp; ADDRESS(493, 'Additional Images-WUO_TRK'!A493),_xlfn.TEXTAFTER('Additional Images-WUO_ERR'!A493, ":"))))</f>
        <v/>
      </c>
    </row>
    <row r="494">
      <c r="A494" s="39">
        <f>IF('Additional Images'!B494 = "", "", IF('Additional Images-WUO_ERR'!A494 = "", "Validated", HYPERLINK("#" &amp; ADDRESS(494, 'Additional Images-WUO_TRK'!A494),_xlfn.TEXTAFTER('Additional Images-WUO_ERR'!A494, ":"))))</f>
        <v/>
      </c>
    </row>
    <row r="495">
      <c r="A495" s="39">
        <f>IF('Additional Images'!B495 = "", "", IF('Additional Images-WUO_ERR'!A495 = "", "Validated", HYPERLINK("#" &amp; ADDRESS(495, 'Additional Images-WUO_TRK'!A495),_xlfn.TEXTAFTER('Additional Images-WUO_ERR'!A495, ":"))))</f>
        <v/>
      </c>
    </row>
    <row r="496">
      <c r="A496" s="39">
        <f>IF('Additional Images'!B496 = "", "", IF('Additional Images-WUO_ERR'!A496 = "", "Validated", HYPERLINK("#" &amp; ADDRESS(496, 'Additional Images-WUO_TRK'!A496),_xlfn.TEXTAFTER('Additional Images-WUO_ERR'!A496, ":"))))</f>
        <v/>
      </c>
    </row>
    <row r="497">
      <c r="A497" s="39">
        <f>IF('Additional Images'!B497 = "", "", IF('Additional Images-WUO_ERR'!A497 = "", "Validated", HYPERLINK("#" &amp; ADDRESS(497, 'Additional Images-WUO_TRK'!A497),_xlfn.TEXTAFTER('Additional Images-WUO_ERR'!A497, ":"))))</f>
        <v/>
      </c>
    </row>
    <row r="498">
      <c r="A498" s="39">
        <f>IF('Additional Images'!B498 = "", "", IF('Additional Images-WUO_ERR'!A498 = "", "Validated", HYPERLINK("#" &amp; ADDRESS(498, 'Additional Images-WUO_TRK'!A498),_xlfn.TEXTAFTER('Additional Images-WUO_ERR'!A498, ":"))))</f>
        <v/>
      </c>
    </row>
    <row r="499">
      <c r="A499" s="39">
        <f>IF('Additional Images'!B499 = "", "", IF('Additional Images-WUO_ERR'!A499 = "", "Validated", HYPERLINK("#" &amp; ADDRESS(499, 'Additional Images-WUO_TRK'!A499),_xlfn.TEXTAFTER('Additional Images-WUO_ERR'!A499, ":"))))</f>
        <v/>
      </c>
    </row>
    <row r="500">
      <c r="A500" s="39">
        <f>IF('Additional Images'!B500 = "", "", IF('Additional Images-WUO_ERR'!A500 = "", "Validated", HYPERLINK("#" &amp; ADDRESS(500, 'Additional Images-WUO_TRK'!A500),_xlfn.TEXTAFTER('Additional Images-WUO_ERR'!A500, ":"))))</f>
        <v/>
      </c>
    </row>
    <row r="501">
      <c r="A501" s="39">
        <f>IF('Additional Images'!B501 = "", "", IF('Additional Images-WUO_ERR'!A501 = "", "Validated", HYPERLINK("#" &amp; ADDRESS(501, 'Additional Images-WUO_TRK'!A501),_xlfn.TEXTAFTER('Additional Images-WUO_ERR'!A501, ":"))))</f>
        <v/>
      </c>
    </row>
    <row r="502">
      <c r="A502" s="39">
        <f>IF('Additional Images'!B502 = "", "", IF('Additional Images-WUO_ERR'!A502 = "", "Validated", HYPERLINK("#" &amp; ADDRESS(502, 'Additional Images-WUO_TRK'!A502),_xlfn.TEXTAFTER('Additional Images-WUO_ERR'!A502, ":"))))</f>
        <v/>
      </c>
    </row>
    <row r="503">
      <c r="A503" s="39">
        <f>IF('Additional Images'!B503 = "", "", IF('Additional Images-WUO_ERR'!A503 = "", "Validated", HYPERLINK("#" &amp; ADDRESS(503, 'Additional Images-WUO_TRK'!A503),_xlfn.TEXTAFTER('Additional Images-WUO_ERR'!A503, ":"))))</f>
        <v/>
      </c>
    </row>
    <row r="504">
      <c r="A504" s="39">
        <f>IF('Additional Images'!B504 = "", "", IF('Additional Images-WUO_ERR'!A504 = "", "Validated", HYPERLINK("#" &amp; ADDRESS(504, 'Additional Images-WUO_TRK'!A504),_xlfn.TEXTAFTER('Additional Images-WUO_ERR'!A504, ":"))))</f>
        <v/>
      </c>
    </row>
    <row r="505">
      <c r="A505" s="39">
        <f>IF('Additional Images'!B505 = "", "", IF('Additional Images-WUO_ERR'!A505 = "", "Validated", HYPERLINK("#" &amp; ADDRESS(505, 'Additional Images-WUO_TRK'!A505),_xlfn.TEXTAFTER('Additional Images-WUO_ERR'!A505, ":"))))</f>
        <v/>
      </c>
    </row>
    <row r="506">
      <c r="A506" s="39">
        <f>IF('Additional Images'!B506 = "", "", IF('Additional Images-WUO_ERR'!A506 = "", "Validated", HYPERLINK("#" &amp; ADDRESS(506, 'Additional Images-WUO_TRK'!A506),_xlfn.TEXTAFTER('Additional Images-WUO_ERR'!A506, ":"))))</f>
        <v/>
      </c>
    </row>
    <row r="507">
      <c r="A507" s="39">
        <f>IF('Additional Images'!B507 = "", "", IF('Additional Images-WUO_ERR'!A507 = "", "Validated", HYPERLINK("#" &amp; ADDRESS(507, 'Additional Images-WUO_TRK'!A507),_xlfn.TEXTAFTER('Additional Images-WUO_ERR'!A507, ":"))))</f>
        <v/>
      </c>
    </row>
  </sheetData>
  <sheetProtection selectLockedCells="0" selectUnlockedCells="0" sheet="1" objects="1" insertRows="1" insertHyperlinks="1" autoFilter="1" scenarios="1" formatColumns="0" deleteColumns="1" insertColumns="1" pivotTables="1" deleteRows="1" formatCells="1" formatRows="0" sort="1" password="84FB"/>
  <conditionalFormatting sqref="A7:A507">
    <cfRule type="expression" priority="5" dxfId="4">
      <formula>A7="Validated"</formula>
    </cfRule>
    <cfRule type="expression" priority="6" dxfId="5">
      <formula>OR(COUNTIF('Additional Images-WUO_TRK'!B7:D7,"Error"),COUNTIF('Additional Images-WUO_TRK'!B7:D7,"Required"))</formula>
    </cfRule>
    <cfRule type="expression" priority="7" dxfId="6">
      <formula>COUNTIF('Additional Images-WUO_TRK'!B7:D7,"Warning")</formula>
    </cfRule>
  </conditionalFormatting>
  <conditionalFormatting sqref="B7:D507">
    <cfRule type="expression" priority="1" dxfId="0">
      <formula>'Additional Images-WUO_TRK'!B7="Error"</formula>
    </cfRule>
    <cfRule type="expression" priority="2" dxfId="1">
      <formula>'Additional Images-WUO_TRK'!B7="Required"</formula>
    </cfRule>
    <cfRule type="expression" priority="3" dxfId="2">
      <formula>'Additional Images-WUO_TRK'!B7="Warning"</formula>
    </cfRule>
    <cfRule type="expression" priority="4" dxfId="3">
      <formula>'Additional Images-WUO_TRK'!B7="Disabled"</formula>
    </cfRule>
  </conditionalFormatting>
  <dataValidations count="1">
    <dataValidation sqref="C7:C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style="22" min="2" max="2"/>
    <col width="27.7109375" customWidth="1" style="22" min="3" max="3"/>
  </cols>
  <sheetData>
    <row r="1" hidden="1">
      <c r="B1" s="22" t="inlineStr">
        <is>
          <t>core::supplierPartNumber</t>
        </is>
      </c>
      <c r="C1" s="22" t="inlineStr">
        <is>
          <t>media::imageValue</t>
        </is>
      </c>
    </row>
    <row r="3">
      <c r="B3" s="32" t="inlineStr">
        <is>
          <t>Required</t>
        </is>
      </c>
      <c r="C3" s="32" t="inlineStr">
        <is>
          <t>Additional</t>
        </is>
      </c>
    </row>
    <row r="4" ht="50" customHeight="1">
      <c r="B4" s="19" t="inlineStr">
        <is>
          <t>Supplier Part Number</t>
        </is>
      </c>
      <c r="C4" s="19" t="inlineStr">
        <is>
          <t>Image File Name or URL</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5" t="inlineStr">
        <is>
          <t>Text</t>
        </is>
      </c>
      <c r="C6" s="35" t="inlineStr">
        <is>
          <t>Text</t>
        </is>
      </c>
    </row>
    <row r="7">
      <c r="A7">
        <f t="array" ref="A7">_xlfn.BYROW(B7:D507, _xlfn.LAMBDA(_xlpm.r, _xlfn.LET(_xlpm.high_priority, IFERROR(INDEX(_xlpm.r, MATCH(TRUE, (_xlpm.r &lt;&gt; "") * ((LEFT(_xlpm.r, 2) = "1:") + (LEFT(_xlpm.r, 2) = "3:")) &gt; 0, 0)), ""), IF(_xlpm.high_priority &lt;&gt; "", _xlpm.high_priority, IFERROR(INDEX(_xlpm.r, MATCH(TRUE, (_xlpm.r &lt;&gt; "") * (LEFT(_xlpm.r, 2) = "4:") &gt; 0, 0)), "")))))</f>
        <v/>
      </c>
      <c r="B7" s="22">
        <f t="array" ref="B7">_xlfn.MAP('Additional Images'!B7:B507, 'Additional Images'!B7:B507,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s="22">
        <f t="array" ref="C7">_xlfn.MAP('Additional Images'!B7:B507, 'Additional Images'!C7:C507, _xlfn.LAMBDA(_xlpm.part, _xlpm.val, IF(_xlpm.part = "", "", IF(AND(_xlpm.val = "", C$3="Required"), "3:Image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9F08"/>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style="22" min="2" max="2"/>
    <col width="27.7109375" customWidth="1" style="22" min="3" max="3"/>
  </cols>
  <sheetData>
    <row r="1" hidden="1">
      <c r="B1" s="22" t="inlineStr">
        <is>
          <t>core::supplierPartNumber</t>
        </is>
      </c>
      <c r="C1" s="22" t="inlineStr">
        <is>
          <t>media::imageValue</t>
        </is>
      </c>
    </row>
    <row r="3">
      <c r="B3" s="32" t="inlineStr">
        <is>
          <t>Required</t>
        </is>
      </c>
      <c r="C3" s="32" t="inlineStr">
        <is>
          <t>Additional</t>
        </is>
      </c>
    </row>
    <row r="4" ht="50" customHeight="1">
      <c r="B4" s="19" t="inlineStr">
        <is>
          <t>Supplier Part Number</t>
        </is>
      </c>
      <c r="C4" s="19" t="inlineStr">
        <is>
          <t>Image File Name or URL</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5" t="inlineStr">
        <is>
          <t>Text</t>
        </is>
      </c>
      <c r="C6" s="35" t="inlineStr">
        <is>
          <t>Text</t>
        </is>
      </c>
    </row>
    <row r="7">
      <c r="A7">
        <f t="array" ref="A7">_xlfn.BYROW(B7:D507, _xlfn.LAMBDA(_xlpm.r, _xlfn.LET(_xlpm.high_priority_idx, IFERROR(MATCH(TRUE, (_xlpm.r = "Error") + (_xlpm.r = "Required") &gt; 0, 0), 0), IF(_xlpm.high_priority_idx &gt; 0, _xlpm.high_priority_idx + 1, IFERROR(MATCH(1, (_xlpm.r = "Warning") * 1, 0) + 1, "")))))</f>
        <v/>
      </c>
      <c r="B7" s="22">
        <f t="array" ref="B7">_xlfn.MAP('Additional Images'!B7:B507, 'Additional Images'!B7:B507, 'Additional Images-WUO_ERR'!B7:B507, _xlfn.LAMBDA(_xlpm.part, _xlpm.val, _xlpm.error, IF(_xlpm.part = "", "", IF(LEN(_xlpm.error), _xlfn.SWITCH(IFERROR(_xlfn.TEXTBEFORE(_xlpm.error,":"), ""), "1", "Error", "2", "Disabled", "3", "Required", "4", "Warning", "Valid"), "Valid"))))</f>
        <v/>
      </c>
      <c r="C7" s="22">
        <f t="array" ref="C7">_xlfn.MAP('Additional Images'!B7:B507, 'Additional Images'!C7:C507, 'Additional Images-WUO_ERR'!C7:C507,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A08"/>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Z507"/>
  <sheetViews>
    <sheetView workbookViewId="0">
      <selection activeCell="A1" sqref="A1"/>
    </sheetView>
  </sheetViews>
  <sheetFormatPr baseColWidth="8" defaultRowHeight="15"/>
  <cols>
    <col width="35.7109375" customWidth="1" min="1" max="1"/>
    <col width="25.7109375" customWidth="1" style="22" min="2" max="2"/>
    <col width="27.7109375" customWidth="1" style="22" min="3" max="3"/>
    <col hidden="1" min="26" max="26"/>
  </cols>
  <sheetData>
    <row r="1" hidden="1">
      <c r="B1" s="22" t="inlineStr">
        <is>
          <t>core::supplierPartNumber</t>
        </is>
      </c>
      <c r="C1" s="22" t="inlineStr">
        <is>
          <t>media::videoValue</t>
        </is>
      </c>
    </row>
    <row r="2">
      <c r="B2" s="23" t="inlineStr">
        <is>
          <t>Basic Information</t>
        </is>
      </c>
      <c r="C2" s="30" t="inlineStr">
        <is>
          <t>Media</t>
        </is>
      </c>
    </row>
    <row r="3">
      <c r="B3" s="32" t="inlineStr">
        <is>
          <t>Required</t>
        </is>
      </c>
      <c r="C3" s="32" t="inlineStr">
        <is>
          <t>Additional</t>
        </is>
      </c>
    </row>
    <row r="4" ht="50" customHeight="1">
      <c r="A4" s="19" t="inlineStr">
        <is>
          <t>Errors</t>
        </is>
      </c>
      <c r="B4" s="19" t="inlineStr">
        <is>
          <t>Supplier Part Number</t>
        </is>
      </c>
      <c r="C4" s="19" t="inlineStr">
        <is>
          <t>Video File Name or URL</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Provide the video’s file name with extension for separate uploads or a direct public URL. Do not exceed 10 videos per product.</t>
        </is>
      </c>
    </row>
    <row r="6" ht="50" customHeight="1">
      <c r="A6" s="35" t="inlineStr">
        <is>
          <t>Read-Only</t>
        </is>
      </c>
      <c r="B6" s="35" t="inlineStr">
        <is>
          <t>Text</t>
        </is>
      </c>
      <c r="C6" s="35" t="inlineStr">
        <is>
          <t>Text</t>
        </is>
      </c>
    </row>
    <row r="7">
      <c r="A7" s="39">
        <f>IF('Additional Videos'!B7 = "", "", IF('Additional Videos-WUO_ERR'!A7 = "", "Validated", HYPERLINK("#" &amp; ADDRESS(7, 'Additional Videos-WUO_TRK'!A7),_xlfn.TEXTAFTER('Additional Videos-WUO_ERR'!A7, ":"))))</f>
        <v/>
      </c>
      <c r="Z7">
        <f t="array" ref="Z7">IF(B7:B507="", "", IFERROR(_xlfn.XLOOKUP(B7:B507, _xlfn.VSTACK('3 - Carts &amp; Stands'!B7:B507, '6 - TV Stands &amp; Enterta'!B7:B507, '10 - Office Chairs'!B7:B507, '13 - Dressers &amp; Chests'!B7:B507, '12 - Beds'!B7:B507), _xlfn.VSTACK('3 - Carts &amp; Stands'!G7:G507, '6 - TV Stands &amp; Enterta'!G7:G507, '10 - Office Chairs'!G7:G507, '13 - Dressers &amp; Chests'!G7:G507, '12 - Beds'!G7:G507)), ""))</f>
        <v/>
      </c>
    </row>
    <row r="8">
      <c r="A8" s="39">
        <f>IF('Additional Videos'!B8 = "", "", IF('Additional Videos-WUO_ERR'!A8 = "", "Validated", HYPERLINK("#" &amp; ADDRESS(8, 'Additional Videos-WUO_TRK'!A8),_xlfn.TEXTAFTER('Additional Videos-WUO_ERR'!A8, ":"))))</f>
        <v/>
      </c>
    </row>
    <row r="9">
      <c r="A9" s="39">
        <f>IF('Additional Videos'!B9 = "", "", IF('Additional Videos-WUO_ERR'!A9 = "", "Validated", HYPERLINK("#" &amp; ADDRESS(9, 'Additional Videos-WUO_TRK'!A9),_xlfn.TEXTAFTER('Additional Videos-WUO_ERR'!A9, ":"))))</f>
        <v/>
      </c>
    </row>
    <row r="10">
      <c r="A10" s="39">
        <f>IF('Additional Videos'!B10 = "", "", IF('Additional Videos-WUO_ERR'!A10 = "", "Validated", HYPERLINK("#" &amp; ADDRESS(10, 'Additional Videos-WUO_TRK'!A10),_xlfn.TEXTAFTER('Additional Videos-WUO_ERR'!A10, ":"))))</f>
        <v/>
      </c>
    </row>
    <row r="11">
      <c r="A11" s="39">
        <f>IF('Additional Videos'!B11 = "", "", IF('Additional Videos-WUO_ERR'!A11 = "", "Validated", HYPERLINK("#" &amp; ADDRESS(11, 'Additional Videos-WUO_TRK'!A11),_xlfn.TEXTAFTER('Additional Videos-WUO_ERR'!A11, ":"))))</f>
        <v/>
      </c>
    </row>
    <row r="12">
      <c r="A12" s="39">
        <f>IF('Additional Videos'!B12 = "", "", IF('Additional Videos-WUO_ERR'!A12 = "", "Validated", HYPERLINK("#" &amp; ADDRESS(12, 'Additional Videos-WUO_TRK'!A12),_xlfn.TEXTAFTER('Additional Videos-WUO_ERR'!A12, ":"))))</f>
        <v/>
      </c>
    </row>
    <row r="13">
      <c r="A13" s="39">
        <f>IF('Additional Videos'!B13 = "", "", IF('Additional Videos-WUO_ERR'!A13 = "", "Validated", HYPERLINK("#" &amp; ADDRESS(13, 'Additional Videos-WUO_TRK'!A13),_xlfn.TEXTAFTER('Additional Videos-WUO_ERR'!A13, ":"))))</f>
        <v/>
      </c>
    </row>
    <row r="14">
      <c r="A14" s="39">
        <f>IF('Additional Videos'!B14 = "", "", IF('Additional Videos-WUO_ERR'!A14 = "", "Validated", HYPERLINK("#" &amp; ADDRESS(14, 'Additional Videos-WUO_TRK'!A14),_xlfn.TEXTAFTER('Additional Videos-WUO_ERR'!A14, ":"))))</f>
        <v/>
      </c>
    </row>
    <row r="15">
      <c r="A15" s="39">
        <f>IF('Additional Videos'!B15 = "", "", IF('Additional Videos-WUO_ERR'!A15 = "", "Validated", HYPERLINK("#" &amp; ADDRESS(15, 'Additional Videos-WUO_TRK'!A15),_xlfn.TEXTAFTER('Additional Videos-WUO_ERR'!A15, ":"))))</f>
        <v/>
      </c>
    </row>
    <row r="16">
      <c r="A16" s="39">
        <f>IF('Additional Videos'!B16 = "", "", IF('Additional Videos-WUO_ERR'!A16 = "", "Validated", HYPERLINK("#" &amp; ADDRESS(16, 'Additional Videos-WUO_TRK'!A16),_xlfn.TEXTAFTER('Additional Videos-WUO_ERR'!A16, ":"))))</f>
        <v/>
      </c>
    </row>
    <row r="17">
      <c r="A17" s="39">
        <f>IF('Additional Videos'!B17 = "", "", IF('Additional Videos-WUO_ERR'!A17 = "", "Validated", HYPERLINK("#" &amp; ADDRESS(17, 'Additional Videos-WUO_TRK'!A17),_xlfn.TEXTAFTER('Additional Videos-WUO_ERR'!A17, ":"))))</f>
        <v/>
      </c>
    </row>
    <row r="18">
      <c r="A18" s="39">
        <f>IF('Additional Videos'!B18 = "", "", IF('Additional Videos-WUO_ERR'!A18 = "", "Validated", HYPERLINK("#" &amp; ADDRESS(18, 'Additional Videos-WUO_TRK'!A18),_xlfn.TEXTAFTER('Additional Videos-WUO_ERR'!A18, ":"))))</f>
        <v/>
      </c>
    </row>
    <row r="19">
      <c r="A19" s="39">
        <f>IF('Additional Videos'!B19 = "", "", IF('Additional Videos-WUO_ERR'!A19 = "", "Validated", HYPERLINK("#" &amp; ADDRESS(19, 'Additional Videos-WUO_TRK'!A19),_xlfn.TEXTAFTER('Additional Videos-WUO_ERR'!A19, ":"))))</f>
        <v/>
      </c>
    </row>
    <row r="20">
      <c r="A20" s="39">
        <f>IF('Additional Videos'!B20 = "", "", IF('Additional Videos-WUO_ERR'!A20 = "", "Validated", HYPERLINK("#" &amp; ADDRESS(20, 'Additional Videos-WUO_TRK'!A20),_xlfn.TEXTAFTER('Additional Videos-WUO_ERR'!A20, ":"))))</f>
        <v/>
      </c>
    </row>
    <row r="21">
      <c r="A21" s="39">
        <f>IF('Additional Videos'!B21 = "", "", IF('Additional Videos-WUO_ERR'!A21 = "", "Validated", HYPERLINK("#" &amp; ADDRESS(21, 'Additional Videos-WUO_TRK'!A21),_xlfn.TEXTAFTER('Additional Videos-WUO_ERR'!A21, ":"))))</f>
        <v/>
      </c>
    </row>
    <row r="22">
      <c r="A22" s="39">
        <f>IF('Additional Videos'!B22 = "", "", IF('Additional Videos-WUO_ERR'!A22 = "", "Validated", HYPERLINK("#" &amp; ADDRESS(22, 'Additional Videos-WUO_TRK'!A22),_xlfn.TEXTAFTER('Additional Videos-WUO_ERR'!A22, ":"))))</f>
        <v/>
      </c>
    </row>
    <row r="23">
      <c r="A23" s="39">
        <f>IF('Additional Videos'!B23 = "", "", IF('Additional Videos-WUO_ERR'!A23 = "", "Validated", HYPERLINK("#" &amp; ADDRESS(23, 'Additional Videos-WUO_TRK'!A23),_xlfn.TEXTAFTER('Additional Videos-WUO_ERR'!A23, ":"))))</f>
        <v/>
      </c>
    </row>
    <row r="24">
      <c r="A24" s="39">
        <f>IF('Additional Videos'!B24 = "", "", IF('Additional Videos-WUO_ERR'!A24 = "", "Validated", HYPERLINK("#" &amp; ADDRESS(24, 'Additional Videos-WUO_TRK'!A24),_xlfn.TEXTAFTER('Additional Videos-WUO_ERR'!A24, ":"))))</f>
        <v/>
      </c>
    </row>
    <row r="25">
      <c r="A25" s="39">
        <f>IF('Additional Videos'!B25 = "", "", IF('Additional Videos-WUO_ERR'!A25 = "", "Validated", HYPERLINK("#" &amp; ADDRESS(25, 'Additional Videos-WUO_TRK'!A25),_xlfn.TEXTAFTER('Additional Videos-WUO_ERR'!A25, ":"))))</f>
        <v/>
      </c>
    </row>
    <row r="26">
      <c r="A26" s="39">
        <f>IF('Additional Videos'!B26 = "", "", IF('Additional Videos-WUO_ERR'!A26 = "", "Validated", HYPERLINK("#" &amp; ADDRESS(26, 'Additional Videos-WUO_TRK'!A26),_xlfn.TEXTAFTER('Additional Videos-WUO_ERR'!A26, ":"))))</f>
        <v/>
      </c>
    </row>
    <row r="27">
      <c r="A27" s="39">
        <f>IF('Additional Videos'!B27 = "", "", IF('Additional Videos-WUO_ERR'!A27 = "", "Validated", HYPERLINK("#" &amp; ADDRESS(27, 'Additional Videos-WUO_TRK'!A27),_xlfn.TEXTAFTER('Additional Videos-WUO_ERR'!A27, ":"))))</f>
        <v/>
      </c>
    </row>
    <row r="28">
      <c r="A28" s="39">
        <f>IF('Additional Videos'!B28 = "", "", IF('Additional Videos-WUO_ERR'!A28 = "", "Validated", HYPERLINK("#" &amp; ADDRESS(28, 'Additional Videos-WUO_TRK'!A28),_xlfn.TEXTAFTER('Additional Videos-WUO_ERR'!A28, ":"))))</f>
        <v/>
      </c>
    </row>
    <row r="29">
      <c r="A29" s="39">
        <f>IF('Additional Videos'!B29 = "", "", IF('Additional Videos-WUO_ERR'!A29 = "", "Validated", HYPERLINK("#" &amp; ADDRESS(29, 'Additional Videos-WUO_TRK'!A29),_xlfn.TEXTAFTER('Additional Videos-WUO_ERR'!A29, ":"))))</f>
        <v/>
      </c>
    </row>
    <row r="30">
      <c r="A30" s="39">
        <f>IF('Additional Videos'!B30 = "", "", IF('Additional Videos-WUO_ERR'!A30 = "", "Validated", HYPERLINK("#" &amp; ADDRESS(30, 'Additional Videos-WUO_TRK'!A30),_xlfn.TEXTAFTER('Additional Videos-WUO_ERR'!A30, ":"))))</f>
        <v/>
      </c>
    </row>
    <row r="31">
      <c r="A31" s="39">
        <f>IF('Additional Videos'!B31 = "", "", IF('Additional Videos-WUO_ERR'!A31 = "", "Validated", HYPERLINK("#" &amp; ADDRESS(31, 'Additional Videos-WUO_TRK'!A31),_xlfn.TEXTAFTER('Additional Videos-WUO_ERR'!A31, ":"))))</f>
        <v/>
      </c>
    </row>
    <row r="32">
      <c r="A32" s="39">
        <f>IF('Additional Videos'!B32 = "", "", IF('Additional Videos-WUO_ERR'!A32 = "", "Validated", HYPERLINK("#" &amp; ADDRESS(32, 'Additional Videos-WUO_TRK'!A32),_xlfn.TEXTAFTER('Additional Videos-WUO_ERR'!A32, ":"))))</f>
        <v/>
      </c>
    </row>
    <row r="33">
      <c r="A33" s="39">
        <f>IF('Additional Videos'!B33 = "", "", IF('Additional Videos-WUO_ERR'!A33 = "", "Validated", HYPERLINK("#" &amp; ADDRESS(33, 'Additional Videos-WUO_TRK'!A33),_xlfn.TEXTAFTER('Additional Videos-WUO_ERR'!A33, ":"))))</f>
        <v/>
      </c>
    </row>
    <row r="34">
      <c r="A34" s="39">
        <f>IF('Additional Videos'!B34 = "", "", IF('Additional Videos-WUO_ERR'!A34 = "", "Validated", HYPERLINK("#" &amp; ADDRESS(34, 'Additional Videos-WUO_TRK'!A34),_xlfn.TEXTAFTER('Additional Videos-WUO_ERR'!A34, ":"))))</f>
        <v/>
      </c>
    </row>
    <row r="35">
      <c r="A35" s="39">
        <f>IF('Additional Videos'!B35 = "", "", IF('Additional Videos-WUO_ERR'!A35 = "", "Validated", HYPERLINK("#" &amp; ADDRESS(35, 'Additional Videos-WUO_TRK'!A35),_xlfn.TEXTAFTER('Additional Videos-WUO_ERR'!A35, ":"))))</f>
        <v/>
      </c>
    </row>
    <row r="36">
      <c r="A36" s="39">
        <f>IF('Additional Videos'!B36 = "", "", IF('Additional Videos-WUO_ERR'!A36 = "", "Validated", HYPERLINK("#" &amp; ADDRESS(36, 'Additional Videos-WUO_TRK'!A36),_xlfn.TEXTAFTER('Additional Videos-WUO_ERR'!A36, ":"))))</f>
        <v/>
      </c>
    </row>
    <row r="37">
      <c r="A37" s="39">
        <f>IF('Additional Videos'!B37 = "", "", IF('Additional Videos-WUO_ERR'!A37 = "", "Validated", HYPERLINK("#" &amp; ADDRESS(37, 'Additional Videos-WUO_TRK'!A37),_xlfn.TEXTAFTER('Additional Videos-WUO_ERR'!A37, ":"))))</f>
        <v/>
      </c>
    </row>
    <row r="38">
      <c r="A38" s="39">
        <f>IF('Additional Videos'!B38 = "", "", IF('Additional Videos-WUO_ERR'!A38 = "", "Validated", HYPERLINK("#" &amp; ADDRESS(38, 'Additional Videos-WUO_TRK'!A38),_xlfn.TEXTAFTER('Additional Videos-WUO_ERR'!A38, ":"))))</f>
        <v/>
      </c>
    </row>
    <row r="39">
      <c r="A39" s="39">
        <f>IF('Additional Videos'!B39 = "", "", IF('Additional Videos-WUO_ERR'!A39 = "", "Validated", HYPERLINK("#" &amp; ADDRESS(39, 'Additional Videos-WUO_TRK'!A39),_xlfn.TEXTAFTER('Additional Videos-WUO_ERR'!A39, ":"))))</f>
        <v/>
      </c>
    </row>
    <row r="40">
      <c r="A40" s="39">
        <f>IF('Additional Videos'!B40 = "", "", IF('Additional Videos-WUO_ERR'!A40 = "", "Validated", HYPERLINK("#" &amp; ADDRESS(40, 'Additional Videos-WUO_TRK'!A40),_xlfn.TEXTAFTER('Additional Videos-WUO_ERR'!A40, ":"))))</f>
        <v/>
      </c>
    </row>
    <row r="41">
      <c r="A41" s="39">
        <f>IF('Additional Videos'!B41 = "", "", IF('Additional Videos-WUO_ERR'!A41 = "", "Validated", HYPERLINK("#" &amp; ADDRESS(41, 'Additional Videos-WUO_TRK'!A41),_xlfn.TEXTAFTER('Additional Videos-WUO_ERR'!A41, ":"))))</f>
        <v/>
      </c>
    </row>
    <row r="42">
      <c r="A42" s="39">
        <f>IF('Additional Videos'!B42 = "", "", IF('Additional Videos-WUO_ERR'!A42 = "", "Validated", HYPERLINK("#" &amp; ADDRESS(42, 'Additional Videos-WUO_TRK'!A42),_xlfn.TEXTAFTER('Additional Videos-WUO_ERR'!A42, ":"))))</f>
        <v/>
      </c>
    </row>
    <row r="43">
      <c r="A43" s="39">
        <f>IF('Additional Videos'!B43 = "", "", IF('Additional Videos-WUO_ERR'!A43 = "", "Validated", HYPERLINK("#" &amp; ADDRESS(43, 'Additional Videos-WUO_TRK'!A43),_xlfn.TEXTAFTER('Additional Videos-WUO_ERR'!A43, ":"))))</f>
        <v/>
      </c>
    </row>
    <row r="44">
      <c r="A44" s="39">
        <f>IF('Additional Videos'!B44 = "", "", IF('Additional Videos-WUO_ERR'!A44 = "", "Validated", HYPERLINK("#" &amp; ADDRESS(44, 'Additional Videos-WUO_TRK'!A44),_xlfn.TEXTAFTER('Additional Videos-WUO_ERR'!A44, ":"))))</f>
        <v/>
      </c>
    </row>
    <row r="45">
      <c r="A45" s="39">
        <f>IF('Additional Videos'!B45 = "", "", IF('Additional Videos-WUO_ERR'!A45 = "", "Validated", HYPERLINK("#" &amp; ADDRESS(45, 'Additional Videos-WUO_TRK'!A45),_xlfn.TEXTAFTER('Additional Videos-WUO_ERR'!A45, ":"))))</f>
        <v/>
      </c>
    </row>
    <row r="46">
      <c r="A46" s="39">
        <f>IF('Additional Videos'!B46 = "", "", IF('Additional Videos-WUO_ERR'!A46 = "", "Validated", HYPERLINK("#" &amp; ADDRESS(46, 'Additional Videos-WUO_TRK'!A46),_xlfn.TEXTAFTER('Additional Videos-WUO_ERR'!A46, ":"))))</f>
        <v/>
      </c>
    </row>
    <row r="47">
      <c r="A47" s="39">
        <f>IF('Additional Videos'!B47 = "", "", IF('Additional Videos-WUO_ERR'!A47 = "", "Validated", HYPERLINK("#" &amp; ADDRESS(47, 'Additional Videos-WUO_TRK'!A47),_xlfn.TEXTAFTER('Additional Videos-WUO_ERR'!A47, ":"))))</f>
        <v/>
      </c>
    </row>
    <row r="48">
      <c r="A48" s="39">
        <f>IF('Additional Videos'!B48 = "", "", IF('Additional Videos-WUO_ERR'!A48 = "", "Validated", HYPERLINK("#" &amp; ADDRESS(48, 'Additional Videos-WUO_TRK'!A48),_xlfn.TEXTAFTER('Additional Videos-WUO_ERR'!A48, ":"))))</f>
        <v/>
      </c>
    </row>
    <row r="49">
      <c r="A49" s="39">
        <f>IF('Additional Videos'!B49 = "", "", IF('Additional Videos-WUO_ERR'!A49 = "", "Validated", HYPERLINK("#" &amp; ADDRESS(49, 'Additional Videos-WUO_TRK'!A49),_xlfn.TEXTAFTER('Additional Videos-WUO_ERR'!A49, ":"))))</f>
        <v/>
      </c>
    </row>
    <row r="50">
      <c r="A50" s="39">
        <f>IF('Additional Videos'!B50 = "", "", IF('Additional Videos-WUO_ERR'!A50 = "", "Validated", HYPERLINK("#" &amp; ADDRESS(50, 'Additional Videos-WUO_TRK'!A50),_xlfn.TEXTAFTER('Additional Videos-WUO_ERR'!A50, ":"))))</f>
        <v/>
      </c>
    </row>
    <row r="51">
      <c r="A51" s="39">
        <f>IF('Additional Videos'!B51 = "", "", IF('Additional Videos-WUO_ERR'!A51 = "", "Validated", HYPERLINK("#" &amp; ADDRESS(51, 'Additional Videos-WUO_TRK'!A51),_xlfn.TEXTAFTER('Additional Videos-WUO_ERR'!A51, ":"))))</f>
        <v/>
      </c>
    </row>
    <row r="52">
      <c r="A52" s="39">
        <f>IF('Additional Videos'!B52 = "", "", IF('Additional Videos-WUO_ERR'!A52 = "", "Validated", HYPERLINK("#" &amp; ADDRESS(52, 'Additional Videos-WUO_TRK'!A52),_xlfn.TEXTAFTER('Additional Videos-WUO_ERR'!A52, ":"))))</f>
        <v/>
      </c>
    </row>
    <row r="53">
      <c r="A53" s="39">
        <f>IF('Additional Videos'!B53 = "", "", IF('Additional Videos-WUO_ERR'!A53 = "", "Validated", HYPERLINK("#" &amp; ADDRESS(53, 'Additional Videos-WUO_TRK'!A53),_xlfn.TEXTAFTER('Additional Videos-WUO_ERR'!A53, ":"))))</f>
        <v/>
      </c>
    </row>
    <row r="54">
      <c r="A54" s="39">
        <f>IF('Additional Videos'!B54 = "", "", IF('Additional Videos-WUO_ERR'!A54 = "", "Validated", HYPERLINK("#" &amp; ADDRESS(54, 'Additional Videos-WUO_TRK'!A54),_xlfn.TEXTAFTER('Additional Videos-WUO_ERR'!A54, ":"))))</f>
        <v/>
      </c>
    </row>
    <row r="55">
      <c r="A55" s="39">
        <f>IF('Additional Videos'!B55 = "", "", IF('Additional Videos-WUO_ERR'!A55 = "", "Validated", HYPERLINK("#" &amp; ADDRESS(55, 'Additional Videos-WUO_TRK'!A55),_xlfn.TEXTAFTER('Additional Videos-WUO_ERR'!A55, ":"))))</f>
        <v/>
      </c>
    </row>
    <row r="56">
      <c r="A56" s="39">
        <f>IF('Additional Videos'!B56 = "", "", IF('Additional Videos-WUO_ERR'!A56 = "", "Validated", HYPERLINK("#" &amp; ADDRESS(56, 'Additional Videos-WUO_TRK'!A56),_xlfn.TEXTAFTER('Additional Videos-WUO_ERR'!A56, ":"))))</f>
        <v/>
      </c>
    </row>
    <row r="57">
      <c r="A57" s="39">
        <f>IF('Additional Videos'!B57 = "", "", IF('Additional Videos-WUO_ERR'!A57 = "", "Validated", HYPERLINK("#" &amp; ADDRESS(57, 'Additional Videos-WUO_TRK'!A57),_xlfn.TEXTAFTER('Additional Videos-WUO_ERR'!A57, ":"))))</f>
        <v/>
      </c>
    </row>
    <row r="58">
      <c r="A58" s="39">
        <f>IF('Additional Videos'!B58 = "", "", IF('Additional Videos-WUO_ERR'!A58 = "", "Validated", HYPERLINK("#" &amp; ADDRESS(58, 'Additional Videos-WUO_TRK'!A58),_xlfn.TEXTAFTER('Additional Videos-WUO_ERR'!A58, ":"))))</f>
        <v/>
      </c>
    </row>
    <row r="59">
      <c r="A59" s="39">
        <f>IF('Additional Videos'!B59 = "", "", IF('Additional Videos-WUO_ERR'!A59 = "", "Validated", HYPERLINK("#" &amp; ADDRESS(59, 'Additional Videos-WUO_TRK'!A59),_xlfn.TEXTAFTER('Additional Videos-WUO_ERR'!A59, ":"))))</f>
        <v/>
      </c>
    </row>
    <row r="60">
      <c r="A60" s="39">
        <f>IF('Additional Videos'!B60 = "", "", IF('Additional Videos-WUO_ERR'!A60 = "", "Validated", HYPERLINK("#" &amp; ADDRESS(60, 'Additional Videos-WUO_TRK'!A60),_xlfn.TEXTAFTER('Additional Videos-WUO_ERR'!A60, ":"))))</f>
        <v/>
      </c>
    </row>
    <row r="61">
      <c r="A61" s="39">
        <f>IF('Additional Videos'!B61 = "", "", IF('Additional Videos-WUO_ERR'!A61 = "", "Validated", HYPERLINK("#" &amp; ADDRESS(61, 'Additional Videos-WUO_TRK'!A61),_xlfn.TEXTAFTER('Additional Videos-WUO_ERR'!A61, ":"))))</f>
        <v/>
      </c>
    </row>
    <row r="62">
      <c r="A62" s="39">
        <f>IF('Additional Videos'!B62 = "", "", IF('Additional Videos-WUO_ERR'!A62 = "", "Validated", HYPERLINK("#" &amp; ADDRESS(62, 'Additional Videos-WUO_TRK'!A62),_xlfn.TEXTAFTER('Additional Videos-WUO_ERR'!A62, ":"))))</f>
        <v/>
      </c>
    </row>
    <row r="63">
      <c r="A63" s="39">
        <f>IF('Additional Videos'!B63 = "", "", IF('Additional Videos-WUO_ERR'!A63 = "", "Validated", HYPERLINK("#" &amp; ADDRESS(63, 'Additional Videos-WUO_TRK'!A63),_xlfn.TEXTAFTER('Additional Videos-WUO_ERR'!A63, ":"))))</f>
        <v/>
      </c>
    </row>
    <row r="64">
      <c r="A64" s="39">
        <f>IF('Additional Videos'!B64 = "", "", IF('Additional Videos-WUO_ERR'!A64 = "", "Validated", HYPERLINK("#" &amp; ADDRESS(64, 'Additional Videos-WUO_TRK'!A64),_xlfn.TEXTAFTER('Additional Videos-WUO_ERR'!A64, ":"))))</f>
        <v/>
      </c>
    </row>
    <row r="65">
      <c r="A65" s="39">
        <f>IF('Additional Videos'!B65 = "", "", IF('Additional Videos-WUO_ERR'!A65 = "", "Validated", HYPERLINK("#" &amp; ADDRESS(65, 'Additional Videos-WUO_TRK'!A65),_xlfn.TEXTAFTER('Additional Videos-WUO_ERR'!A65, ":"))))</f>
        <v/>
      </c>
    </row>
    <row r="66">
      <c r="A66" s="39">
        <f>IF('Additional Videos'!B66 = "", "", IF('Additional Videos-WUO_ERR'!A66 = "", "Validated", HYPERLINK("#" &amp; ADDRESS(66, 'Additional Videos-WUO_TRK'!A66),_xlfn.TEXTAFTER('Additional Videos-WUO_ERR'!A66, ":"))))</f>
        <v/>
      </c>
    </row>
    <row r="67">
      <c r="A67" s="39">
        <f>IF('Additional Videos'!B67 = "", "", IF('Additional Videos-WUO_ERR'!A67 = "", "Validated", HYPERLINK("#" &amp; ADDRESS(67, 'Additional Videos-WUO_TRK'!A67),_xlfn.TEXTAFTER('Additional Videos-WUO_ERR'!A67, ":"))))</f>
        <v/>
      </c>
    </row>
    <row r="68">
      <c r="A68" s="39">
        <f>IF('Additional Videos'!B68 = "", "", IF('Additional Videos-WUO_ERR'!A68 = "", "Validated", HYPERLINK("#" &amp; ADDRESS(68, 'Additional Videos-WUO_TRK'!A68),_xlfn.TEXTAFTER('Additional Videos-WUO_ERR'!A68, ":"))))</f>
        <v/>
      </c>
    </row>
    <row r="69">
      <c r="A69" s="39">
        <f>IF('Additional Videos'!B69 = "", "", IF('Additional Videos-WUO_ERR'!A69 = "", "Validated", HYPERLINK("#" &amp; ADDRESS(69, 'Additional Videos-WUO_TRK'!A69),_xlfn.TEXTAFTER('Additional Videos-WUO_ERR'!A69, ":"))))</f>
        <v/>
      </c>
    </row>
    <row r="70">
      <c r="A70" s="39">
        <f>IF('Additional Videos'!B70 = "", "", IF('Additional Videos-WUO_ERR'!A70 = "", "Validated", HYPERLINK("#" &amp; ADDRESS(70, 'Additional Videos-WUO_TRK'!A70),_xlfn.TEXTAFTER('Additional Videos-WUO_ERR'!A70, ":"))))</f>
        <v/>
      </c>
    </row>
    <row r="71">
      <c r="A71" s="39">
        <f>IF('Additional Videos'!B71 = "", "", IF('Additional Videos-WUO_ERR'!A71 = "", "Validated", HYPERLINK("#" &amp; ADDRESS(71, 'Additional Videos-WUO_TRK'!A71),_xlfn.TEXTAFTER('Additional Videos-WUO_ERR'!A71, ":"))))</f>
        <v/>
      </c>
    </row>
    <row r="72">
      <c r="A72" s="39">
        <f>IF('Additional Videos'!B72 = "", "", IF('Additional Videos-WUO_ERR'!A72 = "", "Validated", HYPERLINK("#" &amp; ADDRESS(72, 'Additional Videos-WUO_TRK'!A72),_xlfn.TEXTAFTER('Additional Videos-WUO_ERR'!A72, ":"))))</f>
        <v/>
      </c>
    </row>
    <row r="73">
      <c r="A73" s="39">
        <f>IF('Additional Videos'!B73 = "", "", IF('Additional Videos-WUO_ERR'!A73 = "", "Validated", HYPERLINK("#" &amp; ADDRESS(73, 'Additional Videos-WUO_TRK'!A73),_xlfn.TEXTAFTER('Additional Videos-WUO_ERR'!A73, ":"))))</f>
        <v/>
      </c>
    </row>
    <row r="74">
      <c r="A74" s="39">
        <f>IF('Additional Videos'!B74 = "", "", IF('Additional Videos-WUO_ERR'!A74 = "", "Validated", HYPERLINK("#" &amp; ADDRESS(74, 'Additional Videos-WUO_TRK'!A74),_xlfn.TEXTAFTER('Additional Videos-WUO_ERR'!A74, ":"))))</f>
        <v/>
      </c>
    </row>
    <row r="75">
      <c r="A75" s="39">
        <f>IF('Additional Videos'!B75 = "", "", IF('Additional Videos-WUO_ERR'!A75 = "", "Validated", HYPERLINK("#" &amp; ADDRESS(75, 'Additional Videos-WUO_TRK'!A75),_xlfn.TEXTAFTER('Additional Videos-WUO_ERR'!A75, ":"))))</f>
        <v/>
      </c>
    </row>
    <row r="76">
      <c r="A76" s="39">
        <f>IF('Additional Videos'!B76 = "", "", IF('Additional Videos-WUO_ERR'!A76 = "", "Validated", HYPERLINK("#" &amp; ADDRESS(76, 'Additional Videos-WUO_TRK'!A76),_xlfn.TEXTAFTER('Additional Videos-WUO_ERR'!A76, ":"))))</f>
        <v/>
      </c>
    </row>
    <row r="77">
      <c r="A77" s="39">
        <f>IF('Additional Videos'!B77 = "", "", IF('Additional Videos-WUO_ERR'!A77 = "", "Validated", HYPERLINK("#" &amp; ADDRESS(77, 'Additional Videos-WUO_TRK'!A77),_xlfn.TEXTAFTER('Additional Videos-WUO_ERR'!A77, ":"))))</f>
        <v/>
      </c>
    </row>
    <row r="78">
      <c r="A78" s="39">
        <f>IF('Additional Videos'!B78 = "", "", IF('Additional Videos-WUO_ERR'!A78 = "", "Validated", HYPERLINK("#" &amp; ADDRESS(78, 'Additional Videos-WUO_TRK'!A78),_xlfn.TEXTAFTER('Additional Videos-WUO_ERR'!A78, ":"))))</f>
        <v/>
      </c>
    </row>
    <row r="79">
      <c r="A79" s="39">
        <f>IF('Additional Videos'!B79 = "", "", IF('Additional Videos-WUO_ERR'!A79 = "", "Validated", HYPERLINK("#" &amp; ADDRESS(79, 'Additional Videos-WUO_TRK'!A79),_xlfn.TEXTAFTER('Additional Videos-WUO_ERR'!A79, ":"))))</f>
        <v/>
      </c>
    </row>
    <row r="80">
      <c r="A80" s="39">
        <f>IF('Additional Videos'!B80 = "", "", IF('Additional Videos-WUO_ERR'!A80 = "", "Validated", HYPERLINK("#" &amp; ADDRESS(80, 'Additional Videos-WUO_TRK'!A80),_xlfn.TEXTAFTER('Additional Videos-WUO_ERR'!A80, ":"))))</f>
        <v/>
      </c>
    </row>
    <row r="81">
      <c r="A81" s="39">
        <f>IF('Additional Videos'!B81 = "", "", IF('Additional Videos-WUO_ERR'!A81 = "", "Validated", HYPERLINK("#" &amp; ADDRESS(81, 'Additional Videos-WUO_TRK'!A81),_xlfn.TEXTAFTER('Additional Videos-WUO_ERR'!A81, ":"))))</f>
        <v/>
      </c>
    </row>
    <row r="82">
      <c r="A82" s="39">
        <f>IF('Additional Videos'!B82 = "", "", IF('Additional Videos-WUO_ERR'!A82 = "", "Validated", HYPERLINK("#" &amp; ADDRESS(82, 'Additional Videos-WUO_TRK'!A82),_xlfn.TEXTAFTER('Additional Videos-WUO_ERR'!A82, ":"))))</f>
        <v/>
      </c>
    </row>
    <row r="83">
      <c r="A83" s="39">
        <f>IF('Additional Videos'!B83 = "", "", IF('Additional Videos-WUO_ERR'!A83 = "", "Validated", HYPERLINK("#" &amp; ADDRESS(83, 'Additional Videos-WUO_TRK'!A83),_xlfn.TEXTAFTER('Additional Videos-WUO_ERR'!A83, ":"))))</f>
        <v/>
      </c>
    </row>
    <row r="84">
      <c r="A84" s="39">
        <f>IF('Additional Videos'!B84 = "", "", IF('Additional Videos-WUO_ERR'!A84 = "", "Validated", HYPERLINK("#" &amp; ADDRESS(84, 'Additional Videos-WUO_TRK'!A84),_xlfn.TEXTAFTER('Additional Videos-WUO_ERR'!A84, ":"))))</f>
        <v/>
      </c>
    </row>
    <row r="85">
      <c r="A85" s="39">
        <f>IF('Additional Videos'!B85 = "", "", IF('Additional Videos-WUO_ERR'!A85 = "", "Validated", HYPERLINK("#" &amp; ADDRESS(85, 'Additional Videos-WUO_TRK'!A85),_xlfn.TEXTAFTER('Additional Videos-WUO_ERR'!A85, ":"))))</f>
        <v/>
      </c>
    </row>
    <row r="86">
      <c r="A86" s="39">
        <f>IF('Additional Videos'!B86 = "", "", IF('Additional Videos-WUO_ERR'!A86 = "", "Validated", HYPERLINK("#" &amp; ADDRESS(86, 'Additional Videos-WUO_TRK'!A86),_xlfn.TEXTAFTER('Additional Videos-WUO_ERR'!A86, ":"))))</f>
        <v/>
      </c>
    </row>
    <row r="87">
      <c r="A87" s="39">
        <f>IF('Additional Videos'!B87 = "", "", IF('Additional Videos-WUO_ERR'!A87 = "", "Validated", HYPERLINK("#" &amp; ADDRESS(87, 'Additional Videos-WUO_TRK'!A87),_xlfn.TEXTAFTER('Additional Videos-WUO_ERR'!A87, ":"))))</f>
        <v/>
      </c>
    </row>
    <row r="88">
      <c r="A88" s="39">
        <f>IF('Additional Videos'!B88 = "", "", IF('Additional Videos-WUO_ERR'!A88 = "", "Validated", HYPERLINK("#" &amp; ADDRESS(88, 'Additional Videos-WUO_TRK'!A88),_xlfn.TEXTAFTER('Additional Videos-WUO_ERR'!A88, ":"))))</f>
        <v/>
      </c>
    </row>
    <row r="89">
      <c r="A89" s="39">
        <f>IF('Additional Videos'!B89 = "", "", IF('Additional Videos-WUO_ERR'!A89 = "", "Validated", HYPERLINK("#" &amp; ADDRESS(89, 'Additional Videos-WUO_TRK'!A89),_xlfn.TEXTAFTER('Additional Videos-WUO_ERR'!A89, ":"))))</f>
        <v/>
      </c>
    </row>
    <row r="90">
      <c r="A90" s="39">
        <f>IF('Additional Videos'!B90 = "", "", IF('Additional Videos-WUO_ERR'!A90 = "", "Validated", HYPERLINK("#" &amp; ADDRESS(90, 'Additional Videos-WUO_TRK'!A90),_xlfn.TEXTAFTER('Additional Videos-WUO_ERR'!A90, ":"))))</f>
        <v/>
      </c>
    </row>
    <row r="91">
      <c r="A91" s="39">
        <f>IF('Additional Videos'!B91 = "", "", IF('Additional Videos-WUO_ERR'!A91 = "", "Validated", HYPERLINK("#" &amp; ADDRESS(91, 'Additional Videos-WUO_TRK'!A91),_xlfn.TEXTAFTER('Additional Videos-WUO_ERR'!A91, ":"))))</f>
        <v/>
      </c>
    </row>
    <row r="92">
      <c r="A92" s="39">
        <f>IF('Additional Videos'!B92 = "", "", IF('Additional Videos-WUO_ERR'!A92 = "", "Validated", HYPERLINK("#" &amp; ADDRESS(92, 'Additional Videos-WUO_TRK'!A92),_xlfn.TEXTAFTER('Additional Videos-WUO_ERR'!A92, ":"))))</f>
        <v/>
      </c>
    </row>
    <row r="93">
      <c r="A93" s="39">
        <f>IF('Additional Videos'!B93 = "", "", IF('Additional Videos-WUO_ERR'!A93 = "", "Validated", HYPERLINK("#" &amp; ADDRESS(93, 'Additional Videos-WUO_TRK'!A93),_xlfn.TEXTAFTER('Additional Videos-WUO_ERR'!A93, ":"))))</f>
        <v/>
      </c>
    </row>
    <row r="94">
      <c r="A94" s="39">
        <f>IF('Additional Videos'!B94 = "", "", IF('Additional Videos-WUO_ERR'!A94 = "", "Validated", HYPERLINK("#" &amp; ADDRESS(94, 'Additional Videos-WUO_TRK'!A94),_xlfn.TEXTAFTER('Additional Videos-WUO_ERR'!A94, ":"))))</f>
        <v/>
      </c>
    </row>
    <row r="95">
      <c r="A95" s="39">
        <f>IF('Additional Videos'!B95 = "", "", IF('Additional Videos-WUO_ERR'!A95 = "", "Validated", HYPERLINK("#" &amp; ADDRESS(95, 'Additional Videos-WUO_TRK'!A95),_xlfn.TEXTAFTER('Additional Videos-WUO_ERR'!A95, ":"))))</f>
        <v/>
      </c>
    </row>
    <row r="96">
      <c r="A96" s="39">
        <f>IF('Additional Videos'!B96 = "", "", IF('Additional Videos-WUO_ERR'!A96 = "", "Validated", HYPERLINK("#" &amp; ADDRESS(96, 'Additional Videos-WUO_TRK'!A96),_xlfn.TEXTAFTER('Additional Videos-WUO_ERR'!A96, ":"))))</f>
        <v/>
      </c>
    </row>
    <row r="97">
      <c r="A97" s="39">
        <f>IF('Additional Videos'!B97 = "", "", IF('Additional Videos-WUO_ERR'!A97 = "", "Validated", HYPERLINK("#" &amp; ADDRESS(97, 'Additional Videos-WUO_TRK'!A97),_xlfn.TEXTAFTER('Additional Videos-WUO_ERR'!A97, ":"))))</f>
        <v/>
      </c>
    </row>
    <row r="98">
      <c r="A98" s="39">
        <f>IF('Additional Videos'!B98 = "", "", IF('Additional Videos-WUO_ERR'!A98 = "", "Validated", HYPERLINK("#" &amp; ADDRESS(98, 'Additional Videos-WUO_TRK'!A98),_xlfn.TEXTAFTER('Additional Videos-WUO_ERR'!A98, ":"))))</f>
        <v/>
      </c>
    </row>
    <row r="99">
      <c r="A99" s="39">
        <f>IF('Additional Videos'!B99 = "", "", IF('Additional Videos-WUO_ERR'!A99 = "", "Validated", HYPERLINK("#" &amp; ADDRESS(99, 'Additional Videos-WUO_TRK'!A99),_xlfn.TEXTAFTER('Additional Videos-WUO_ERR'!A99, ":"))))</f>
        <v/>
      </c>
    </row>
    <row r="100">
      <c r="A100" s="39">
        <f>IF('Additional Videos'!B100 = "", "", IF('Additional Videos-WUO_ERR'!A100 = "", "Validated", HYPERLINK("#" &amp; ADDRESS(100, 'Additional Videos-WUO_TRK'!A100),_xlfn.TEXTAFTER('Additional Videos-WUO_ERR'!A100, ":"))))</f>
        <v/>
      </c>
    </row>
    <row r="101">
      <c r="A101" s="39">
        <f>IF('Additional Videos'!B101 = "", "", IF('Additional Videos-WUO_ERR'!A101 = "", "Validated", HYPERLINK("#" &amp; ADDRESS(101, 'Additional Videos-WUO_TRK'!A101),_xlfn.TEXTAFTER('Additional Videos-WUO_ERR'!A101, ":"))))</f>
        <v/>
      </c>
    </row>
    <row r="102">
      <c r="A102" s="39">
        <f>IF('Additional Videos'!B102 = "", "", IF('Additional Videos-WUO_ERR'!A102 = "", "Validated", HYPERLINK("#" &amp; ADDRESS(102, 'Additional Videos-WUO_TRK'!A102),_xlfn.TEXTAFTER('Additional Videos-WUO_ERR'!A102, ":"))))</f>
        <v/>
      </c>
    </row>
    <row r="103">
      <c r="A103" s="39">
        <f>IF('Additional Videos'!B103 = "", "", IF('Additional Videos-WUO_ERR'!A103 = "", "Validated", HYPERLINK("#" &amp; ADDRESS(103, 'Additional Videos-WUO_TRK'!A103),_xlfn.TEXTAFTER('Additional Videos-WUO_ERR'!A103, ":"))))</f>
        <v/>
      </c>
    </row>
    <row r="104">
      <c r="A104" s="39">
        <f>IF('Additional Videos'!B104 = "", "", IF('Additional Videos-WUO_ERR'!A104 = "", "Validated", HYPERLINK("#" &amp; ADDRESS(104, 'Additional Videos-WUO_TRK'!A104),_xlfn.TEXTAFTER('Additional Videos-WUO_ERR'!A104, ":"))))</f>
        <v/>
      </c>
    </row>
    <row r="105">
      <c r="A105" s="39">
        <f>IF('Additional Videos'!B105 = "", "", IF('Additional Videos-WUO_ERR'!A105 = "", "Validated", HYPERLINK("#" &amp; ADDRESS(105, 'Additional Videos-WUO_TRK'!A105),_xlfn.TEXTAFTER('Additional Videos-WUO_ERR'!A105, ":"))))</f>
        <v/>
      </c>
    </row>
    <row r="106">
      <c r="A106" s="39">
        <f>IF('Additional Videos'!B106 = "", "", IF('Additional Videos-WUO_ERR'!A106 = "", "Validated", HYPERLINK("#" &amp; ADDRESS(106, 'Additional Videos-WUO_TRK'!A106),_xlfn.TEXTAFTER('Additional Videos-WUO_ERR'!A106, ":"))))</f>
        <v/>
      </c>
    </row>
    <row r="107">
      <c r="A107" s="39">
        <f>IF('Additional Videos'!B107 = "", "", IF('Additional Videos-WUO_ERR'!A107 = "", "Validated", HYPERLINK("#" &amp; ADDRESS(107, 'Additional Videos-WUO_TRK'!A107),_xlfn.TEXTAFTER('Additional Videos-WUO_ERR'!A107, ":"))))</f>
        <v/>
      </c>
    </row>
    <row r="108">
      <c r="A108" s="39">
        <f>IF('Additional Videos'!B108 = "", "", IF('Additional Videos-WUO_ERR'!A108 = "", "Validated", HYPERLINK("#" &amp; ADDRESS(108, 'Additional Videos-WUO_TRK'!A108),_xlfn.TEXTAFTER('Additional Videos-WUO_ERR'!A108, ":"))))</f>
        <v/>
      </c>
    </row>
    <row r="109">
      <c r="A109" s="39">
        <f>IF('Additional Videos'!B109 = "", "", IF('Additional Videos-WUO_ERR'!A109 = "", "Validated", HYPERLINK("#" &amp; ADDRESS(109, 'Additional Videos-WUO_TRK'!A109),_xlfn.TEXTAFTER('Additional Videos-WUO_ERR'!A109, ":"))))</f>
        <v/>
      </c>
    </row>
    <row r="110">
      <c r="A110" s="39">
        <f>IF('Additional Videos'!B110 = "", "", IF('Additional Videos-WUO_ERR'!A110 = "", "Validated", HYPERLINK("#" &amp; ADDRESS(110, 'Additional Videos-WUO_TRK'!A110),_xlfn.TEXTAFTER('Additional Videos-WUO_ERR'!A110, ":"))))</f>
        <v/>
      </c>
    </row>
    <row r="111">
      <c r="A111" s="39">
        <f>IF('Additional Videos'!B111 = "", "", IF('Additional Videos-WUO_ERR'!A111 = "", "Validated", HYPERLINK("#" &amp; ADDRESS(111, 'Additional Videos-WUO_TRK'!A111),_xlfn.TEXTAFTER('Additional Videos-WUO_ERR'!A111, ":"))))</f>
        <v/>
      </c>
    </row>
    <row r="112">
      <c r="A112" s="39">
        <f>IF('Additional Videos'!B112 = "", "", IF('Additional Videos-WUO_ERR'!A112 = "", "Validated", HYPERLINK("#" &amp; ADDRESS(112, 'Additional Videos-WUO_TRK'!A112),_xlfn.TEXTAFTER('Additional Videos-WUO_ERR'!A112, ":"))))</f>
        <v/>
      </c>
    </row>
    <row r="113">
      <c r="A113" s="39">
        <f>IF('Additional Videos'!B113 = "", "", IF('Additional Videos-WUO_ERR'!A113 = "", "Validated", HYPERLINK("#" &amp; ADDRESS(113, 'Additional Videos-WUO_TRK'!A113),_xlfn.TEXTAFTER('Additional Videos-WUO_ERR'!A113, ":"))))</f>
        <v/>
      </c>
    </row>
    <row r="114">
      <c r="A114" s="39">
        <f>IF('Additional Videos'!B114 = "", "", IF('Additional Videos-WUO_ERR'!A114 = "", "Validated", HYPERLINK("#" &amp; ADDRESS(114, 'Additional Videos-WUO_TRK'!A114),_xlfn.TEXTAFTER('Additional Videos-WUO_ERR'!A114, ":"))))</f>
        <v/>
      </c>
    </row>
    <row r="115">
      <c r="A115" s="39">
        <f>IF('Additional Videos'!B115 = "", "", IF('Additional Videos-WUO_ERR'!A115 = "", "Validated", HYPERLINK("#" &amp; ADDRESS(115, 'Additional Videos-WUO_TRK'!A115),_xlfn.TEXTAFTER('Additional Videos-WUO_ERR'!A115, ":"))))</f>
        <v/>
      </c>
    </row>
    <row r="116">
      <c r="A116" s="39">
        <f>IF('Additional Videos'!B116 = "", "", IF('Additional Videos-WUO_ERR'!A116 = "", "Validated", HYPERLINK("#" &amp; ADDRESS(116, 'Additional Videos-WUO_TRK'!A116),_xlfn.TEXTAFTER('Additional Videos-WUO_ERR'!A116, ":"))))</f>
        <v/>
      </c>
    </row>
    <row r="117">
      <c r="A117" s="39">
        <f>IF('Additional Videos'!B117 = "", "", IF('Additional Videos-WUO_ERR'!A117 = "", "Validated", HYPERLINK("#" &amp; ADDRESS(117, 'Additional Videos-WUO_TRK'!A117),_xlfn.TEXTAFTER('Additional Videos-WUO_ERR'!A117, ":"))))</f>
        <v/>
      </c>
    </row>
    <row r="118">
      <c r="A118" s="39">
        <f>IF('Additional Videos'!B118 = "", "", IF('Additional Videos-WUO_ERR'!A118 = "", "Validated", HYPERLINK("#" &amp; ADDRESS(118, 'Additional Videos-WUO_TRK'!A118),_xlfn.TEXTAFTER('Additional Videos-WUO_ERR'!A118, ":"))))</f>
        <v/>
      </c>
    </row>
    <row r="119">
      <c r="A119" s="39">
        <f>IF('Additional Videos'!B119 = "", "", IF('Additional Videos-WUO_ERR'!A119 = "", "Validated", HYPERLINK("#" &amp; ADDRESS(119, 'Additional Videos-WUO_TRK'!A119),_xlfn.TEXTAFTER('Additional Videos-WUO_ERR'!A119, ":"))))</f>
        <v/>
      </c>
    </row>
    <row r="120">
      <c r="A120" s="39">
        <f>IF('Additional Videos'!B120 = "", "", IF('Additional Videos-WUO_ERR'!A120 = "", "Validated", HYPERLINK("#" &amp; ADDRESS(120, 'Additional Videos-WUO_TRK'!A120),_xlfn.TEXTAFTER('Additional Videos-WUO_ERR'!A120, ":"))))</f>
        <v/>
      </c>
    </row>
    <row r="121">
      <c r="A121" s="39">
        <f>IF('Additional Videos'!B121 = "", "", IF('Additional Videos-WUO_ERR'!A121 = "", "Validated", HYPERLINK("#" &amp; ADDRESS(121, 'Additional Videos-WUO_TRK'!A121),_xlfn.TEXTAFTER('Additional Videos-WUO_ERR'!A121, ":"))))</f>
        <v/>
      </c>
    </row>
    <row r="122">
      <c r="A122" s="39">
        <f>IF('Additional Videos'!B122 = "", "", IF('Additional Videos-WUO_ERR'!A122 = "", "Validated", HYPERLINK("#" &amp; ADDRESS(122, 'Additional Videos-WUO_TRK'!A122),_xlfn.TEXTAFTER('Additional Videos-WUO_ERR'!A122, ":"))))</f>
        <v/>
      </c>
    </row>
    <row r="123">
      <c r="A123" s="39">
        <f>IF('Additional Videos'!B123 = "", "", IF('Additional Videos-WUO_ERR'!A123 = "", "Validated", HYPERLINK("#" &amp; ADDRESS(123, 'Additional Videos-WUO_TRK'!A123),_xlfn.TEXTAFTER('Additional Videos-WUO_ERR'!A123, ":"))))</f>
        <v/>
      </c>
    </row>
    <row r="124">
      <c r="A124" s="39">
        <f>IF('Additional Videos'!B124 = "", "", IF('Additional Videos-WUO_ERR'!A124 = "", "Validated", HYPERLINK("#" &amp; ADDRESS(124, 'Additional Videos-WUO_TRK'!A124),_xlfn.TEXTAFTER('Additional Videos-WUO_ERR'!A124, ":"))))</f>
        <v/>
      </c>
    </row>
    <row r="125">
      <c r="A125" s="39">
        <f>IF('Additional Videos'!B125 = "", "", IF('Additional Videos-WUO_ERR'!A125 = "", "Validated", HYPERLINK("#" &amp; ADDRESS(125, 'Additional Videos-WUO_TRK'!A125),_xlfn.TEXTAFTER('Additional Videos-WUO_ERR'!A125, ":"))))</f>
        <v/>
      </c>
    </row>
    <row r="126">
      <c r="A126" s="39">
        <f>IF('Additional Videos'!B126 = "", "", IF('Additional Videos-WUO_ERR'!A126 = "", "Validated", HYPERLINK("#" &amp; ADDRESS(126, 'Additional Videos-WUO_TRK'!A126),_xlfn.TEXTAFTER('Additional Videos-WUO_ERR'!A126, ":"))))</f>
        <v/>
      </c>
    </row>
    <row r="127">
      <c r="A127" s="39">
        <f>IF('Additional Videos'!B127 = "", "", IF('Additional Videos-WUO_ERR'!A127 = "", "Validated", HYPERLINK("#" &amp; ADDRESS(127, 'Additional Videos-WUO_TRK'!A127),_xlfn.TEXTAFTER('Additional Videos-WUO_ERR'!A127, ":"))))</f>
        <v/>
      </c>
    </row>
    <row r="128">
      <c r="A128" s="39">
        <f>IF('Additional Videos'!B128 = "", "", IF('Additional Videos-WUO_ERR'!A128 = "", "Validated", HYPERLINK("#" &amp; ADDRESS(128, 'Additional Videos-WUO_TRK'!A128),_xlfn.TEXTAFTER('Additional Videos-WUO_ERR'!A128, ":"))))</f>
        <v/>
      </c>
    </row>
    <row r="129">
      <c r="A129" s="39">
        <f>IF('Additional Videos'!B129 = "", "", IF('Additional Videos-WUO_ERR'!A129 = "", "Validated", HYPERLINK("#" &amp; ADDRESS(129, 'Additional Videos-WUO_TRK'!A129),_xlfn.TEXTAFTER('Additional Videos-WUO_ERR'!A129, ":"))))</f>
        <v/>
      </c>
    </row>
    <row r="130">
      <c r="A130" s="39">
        <f>IF('Additional Videos'!B130 = "", "", IF('Additional Videos-WUO_ERR'!A130 = "", "Validated", HYPERLINK("#" &amp; ADDRESS(130, 'Additional Videos-WUO_TRK'!A130),_xlfn.TEXTAFTER('Additional Videos-WUO_ERR'!A130, ":"))))</f>
        <v/>
      </c>
    </row>
    <row r="131">
      <c r="A131" s="39">
        <f>IF('Additional Videos'!B131 = "", "", IF('Additional Videos-WUO_ERR'!A131 = "", "Validated", HYPERLINK("#" &amp; ADDRESS(131, 'Additional Videos-WUO_TRK'!A131),_xlfn.TEXTAFTER('Additional Videos-WUO_ERR'!A131, ":"))))</f>
        <v/>
      </c>
    </row>
    <row r="132">
      <c r="A132" s="39">
        <f>IF('Additional Videos'!B132 = "", "", IF('Additional Videos-WUO_ERR'!A132 = "", "Validated", HYPERLINK("#" &amp; ADDRESS(132, 'Additional Videos-WUO_TRK'!A132),_xlfn.TEXTAFTER('Additional Videos-WUO_ERR'!A132, ":"))))</f>
        <v/>
      </c>
    </row>
    <row r="133">
      <c r="A133" s="39">
        <f>IF('Additional Videos'!B133 = "", "", IF('Additional Videos-WUO_ERR'!A133 = "", "Validated", HYPERLINK("#" &amp; ADDRESS(133, 'Additional Videos-WUO_TRK'!A133),_xlfn.TEXTAFTER('Additional Videos-WUO_ERR'!A133, ":"))))</f>
        <v/>
      </c>
    </row>
    <row r="134">
      <c r="A134" s="39">
        <f>IF('Additional Videos'!B134 = "", "", IF('Additional Videos-WUO_ERR'!A134 = "", "Validated", HYPERLINK("#" &amp; ADDRESS(134, 'Additional Videos-WUO_TRK'!A134),_xlfn.TEXTAFTER('Additional Videos-WUO_ERR'!A134, ":"))))</f>
        <v/>
      </c>
    </row>
    <row r="135">
      <c r="A135" s="39">
        <f>IF('Additional Videos'!B135 = "", "", IF('Additional Videos-WUO_ERR'!A135 = "", "Validated", HYPERLINK("#" &amp; ADDRESS(135, 'Additional Videos-WUO_TRK'!A135),_xlfn.TEXTAFTER('Additional Videos-WUO_ERR'!A135, ":"))))</f>
        <v/>
      </c>
    </row>
    <row r="136">
      <c r="A136" s="39">
        <f>IF('Additional Videos'!B136 = "", "", IF('Additional Videos-WUO_ERR'!A136 = "", "Validated", HYPERLINK("#" &amp; ADDRESS(136, 'Additional Videos-WUO_TRK'!A136),_xlfn.TEXTAFTER('Additional Videos-WUO_ERR'!A136, ":"))))</f>
        <v/>
      </c>
    </row>
    <row r="137">
      <c r="A137" s="39">
        <f>IF('Additional Videos'!B137 = "", "", IF('Additional Videos-WUO_ERR'!A137 = "", "Validated", HYPERLINK("#" &amp; ADDRESS(137, 'Additional Videos-WUO_TRK'!A137),_xlfn.TEXTAFTER('Additional Videos-WUO_ERR'!A137, ":"))))</f>
        <v/>
      </c>
    </row>
    <row r="138">
      <c r="A138" s="39">
        <f>IF('Additional Videos'!B138 = "", "", IF('Additional Videos-WUO_ERR'!A138 = "", "Validated", HYPERLINK("#" &amp; ADDRESS(138, 'Additional Videos-WUO_TRK'!A138),_xlfn.TEXTAFTER('Additional Videos-WUO_ERR'!A138, ":"))))</f>
        <v/>
      </c>
    </row>
    <row r="139">
      <c r="A139" s="39">
        <f>IF('Additional Videos'!B139 = "", "", IF('Additional Videos-WUO_ERR'!A139 = "", "Validated", HYPERLINK("#" &amp; ADDRESS(139, 'Additional Videos-WUO_TRK'!A139),_xlfn.TEXTAFTER('Additional Videos-WUO_ERR'!A139, ":"))))</f>
        <v/>
      </c>
    </row>
    <row r="140">
      <c r="A140" s="39">
        <f>IF('Additional Videos'!B140 = "", "", IF('Additional Videos-WUO_ERR'!A140 = "", "Validated", HYPERLINK("#" &amp; ADDRESS(140, 'Additional Videos-WUO_TRK'!A140),_xlfn.TEXTAFTER('Additional Videos-WUO_ERR'!A140, ":"))))</f>
        <v/>
      </c>
    </row>
    <row r="141">
      <c r="A141" s="39">
        <f>IF('Additional Videos'!B141 = "", "", IF('Additional Videos-WUO_ERR'!A141 = "", "Validated", HYPERLINK("#" &amp; ADDRESS(141, 'Additional Videos-WUO_TRK'!A141),_xlfn.TEXTAFTER('Additional Videos-WUO_ERR'!A141, ":"))))</f>
        <v/>
      </c>
    </row>
    <row r="142">
      <c r="A142" s="39">
        <f>IF('Additional Videos'!B142 = "", "", IF('Additional Videos-WUO_ERR'!A142 = "", "Validated", HYPERLINK("#" &amp; ADDRESS(142, 'Additional Videos-WUO_TRK'!A142),_xlfn.TEXTAFTER('Additional Videos-WUO_ERR'!A142, ":"))))</f>
        <v/>
      </c>
    </row>
    <row r="143">
      <c r="A143" s="39">
        <f>IF('Additional Videos'!B143 = "", "", IF('Additional Videos-WUO_ERR'!A143 = "", "Validated", HYPERLINK("#" &amp; ADDRESS(143, 'Additional Videos-WUO_TRK'!A143),_xlfn.TEXTAFTER('Additional Videos-WUO_ERR'!A143, ":"))))</f>
        <v/>
      </c>
    </row>
    <row r="144">
      <c r="A144" s="39">
        <f>IF('Additional Videos'!B144 = "", "", IF('Additional Videos-WUO_ERR'!A144 = "", "Validated", HYPERLINK("#" &amp; ADDRESS(144, 'Additional Videos-WUO_TRK'!A144),_xlfn.TEXTAFTER('Additional Videos-WUO_ERR'!A144, ":"))))</f>
        <v/>
      </c>
    </row>
    <row r="145">
      <c r="A145" s="39">
        <f>IF('Additional Videos'!B145 = "", "", IF('Additional Videos-WUO_ERR'!A145 = "", "Validated", HYPERLINK("#" &amp; ADDRESS(145, 'Additional Videos-WUO_TRK'!A145),_xlfn.TEXTAFTER('Additional Videos-WUO_ERR'!A145, ":"))))</f>
        <v/>
      </c>
    </row>
    <row r="146">
      <c r="A146" s="39">
        <f>IF('Additional Videos'!B146 = "", "", IF('Additional Videos-WUO_ERR'!A146 = "", "Validated", HYPERLINK("#" &amp; ADDRESS(146, 'Additional Videos-WUO_TRK'!A146),_xlfn.TEXTAFTER('Additional Videos-WUO_ERR'!A146, ":"))))</f>
        <v/>
      </c>
    </row>
    <row r="147">
      <c r="A147" s="39">
        <f>IF('Additional Videos'!B147 = "", "", IF('Additional Videos-WUO_ERR'!A147 = "", "Validated", HYPERLINK("#" &amp; ADDRESS(147, 'Additional Videos-WUO_TRK'!A147),_xlfn.TEXTAFTER('Additional Videos-WUO_ERR'!A147, ":"))))</f>
        <v/>
      </c>
    </row>
    <row r="148">
      <c r="A148" s="39">
        <f>IF('Additional Videos'!B148 = "", "", IF('Additional Videos-WUO_ERR'!A148 = "", "Validated", HYPERLINK("#" &amp; ADDRESS(148, 'Additional Videos-WUO_TRK'!A148),_xlfn.TEXTAFTER('Additional Videos-WUO_ERR'!A148, ":"))))</f>
        <v/>
      </c>
    </row>
    <row r="149">
      <c r="A149" s="39">
        <f>IF('Additional Videos'!B149 = "", "", IF('Additional Videos-WUO_ERR'!A149 = "", "Validated", HYPERLINK("#" &amp; ADDRESS(149, 'Additional Videos-WUO_TRK'!A149),_xlfn.TEXTAFTER('Additional Videos-WUO_ERR'!A149, ":"))))</f>
        <v/>
      </c>
    </row>
    <row r="150">
      <c r="A150" s="39">
        <f>IF('Additional Videos'!B150 = "", "", IF('Additional Videos-WUO_ERR'!A150 = "", "Validated", HYPERLINK("#" &amp; ADDRESS(150, 'Additional Videos-WUO_TRK'!A150),_xlfn.TEXTAFTER('Additional Videos-WUO_ERR'!A150, ":"))))</f>
        <v/>
      </c>
    </row>
    <row r="151">
      <c r="A151" s="39">
        <f>IF('Additional Videos'!B151 = "", "", IF('Additional Videos-WUO_ERR'!A151 = "", "Validated", HYPERLINK("#" &amp; ADDRESS(151, 'Additional Videos-WUO_TRK'!A151),_xlfn.TEXTAFTER('Additional Videos-WUO_ERR'!A151, ":"))))</f>
        <v/>
      </c>
    </row>
    <row r="152">
      <c r="A152" s="39">
        <f>IF('Additional Videos'!B152 = "", "", IF('Additional Videos-WUO_ERR'!A152 = "", "Validated", HYPERLINK("#" &amp; ADDRESS(152, 'Additional Videos-WUO_TRK'!A152),_xlfn.TEXTAFTER('Additional Videos-WUO_ERR'!A152, ":"))))</f>
        <v/>
      </c>
    </row>
    <row r="153">
      <c r="A153" s="39">
        <f>IF('Additional Videos'!B153 = "", "", IF('Additional Videos-WUO_ERR'!A153 = "", "Validated", HYPERLINK("#" &amp; ADDRESS(153, 'Additional Videos-WUO_TRK'!A153),_xlfn.TEXTAFTER('Additional Videos-WUO_ERR'!A153, ":"))))</f>
        <v/>
      </c>
    </row>
    <row r="154">
      <c r="A154" s="39">
        <f>IF('Additional Videos'!B154 = "", "", IF('Additional Videos-WUO_ERR'!A154 = "", "Validated", HYPERLINK("#" &amp; ADDRESS(154, 'Additional Videos-WUO_TRK'!A154),_xlfn.TEXTAFTER('Additional Videos-WUO_ERR'!A154, ":"))))</f>
        <v/>
      </c>
    </row>
    <row r="155">
      <c r="A155" s="39">
        <f>IF('Additional Videos'!B155 = "", "", IF('Additional Videos-WUO_ERR'!A155 = "", "Validated", HYPERLINK("#" &amp; ADDRESS(155, 'Additional Videos-WUO_TRK'!A155),_xlfn.TEXTAFTER('Additional Videos-WUO_ERR'!A155, ":"))))</f>
        <v/>
      </c>
    </row>
    <row r="156">
      <c r="A156" s="39">
        <f>IF('Additional Videos'!B156 = "", "", IF('Additional Videos-WUO_ERR'!A156 = "", "Validated", HYPERLINK("#" &amp; ADDRESS(156, 'Additional Videos-WUO_TRK'!A156),_xlfn.TEXTAFTER('Additional Videos-WUO_ERR'!A156, ":"))))</f>
        <v/>
      </c>
    </row>
    <row r="157">
      <c r="A157" s="39">
        <f>IF('Additional Videos'!B157 = "", "", IF('Additional Videos-WUO_ERR'!A157 = "", "Validated", HYPERLINK("#" &amp; ADDRESS(157, 'Additional Videos-WUO_TRK'!A157),_xlfn.TEXTAFTER('Additional Videos-WUO_ERR'!A157, ":"))))</f>
        <v/>
      </c>
    </row>
    <row r="158">
      <c r="A158" s="39">
        <f>IF('Additional Videos'!B158 = "", "", IF('Additional Videos-WUO_ERR'!A158 = "", "Validated", HYPERLINK("#" &amp; ADDRESS(158, 'Additional Videos-WUO_TRK'!A158),_xlfn.TEXTAFTER('Additional Videos-WUO_ERR'!A158, ":"))))</f>
        <v/>
      </c>
    </row>
    <row r="159">
      <c r="A159" s="39">
        <f>IF('Additional Videos'!B159 = "", "", IF('Additional Videos-WUO_ERR'!A159 = "", "Validated", HYPERLINK("#" &amp; ADDRESS(159, 'Additional Videos-WUO_TRK'!A159),_xlfn.TEXTAFTER('Additional Videos-WUO_ERR'!A159, ":"))))</f>
        <v/>
      </c>
    </row>
    <row r="160">
      <c r="A160" s="39">
        <f>IF('Additional Videos'!B160 = "", "", IF('Additional Videos-WUO_ERR'!A160 = "", "Validated", HYPERLINK("#" &amp; ADDRESS(160, 'Additional Videos-WUO_TRK'!A160),_xlfn.TEXTAFTER('Additional Videos-WUO_ERR'!A160, ":"))))</f>
        <v/>
      </c>
    </row>
    <row r="161">
      <c r="A161" s="39">
        <f>IF('Additional Videos'!B161 = "", "", IF('Additional Videos-WUO_ERR'!A161 = "", "Validated", HYPERLINK("#" &amp; ADDRESS(161, 'Additional Videos-WUO_TRK'!A161),_xlfn.TEXTAFTER('Additional Videos-WUO_ERR'!A161, ":"))))</f>
        <v/>
      </c>
    </row>
    <row r="162">
      <c r="A162" s="39">
        <f>IF('Additional Videos'!B162 = "", "", IF('Additional Videos-WUO_ERR'!A162 = "", "Validated", HYPERLINK("#" &amp; ADDRESS(162, 'Additional Videos-WUO_TRK'!A162),_xlfn.TEXTAFTER('Additional Videos-WUO_ERR'!A162, ":"))))</f>
        <v/>
      </c>
    </row>
    <row r="163">
      <c r="A163" s="39">
        <f>IF('Additional Videos'!B163 = "", "", IF('Additional Videos-WUO_ERR'!A163 = "", "Validated", HYPERLINK("#" &amp; ADDRESS(163, 'Additional Videos-WUO_TRK'!A163),_xlfn.TEXTAFTER('Additional Videos-WUO_ERR'!A163, ":"))))</f>
        <v/>
      </c>
    </row>
    <row r="164">
      <c r="A164" s="39">
        <f>IF('Additional Videos'!B164 = "", "", IF('Additional Videos-WUO_ERR'!A164 = "", "Validated", HYPERLINK("#" &amp; ADDRESS(164, 'Additional Videos-WUO_TRK'!A164),_xlfn.TEXTAFTER('Additional Videos-WUO_ERR'!A164, ":"))))</f>
        <v/>
      </c>
    </row>
    <row r="165">
      <c r="A165" s="39">
        <f>IF('Additional Videos'!B165 = "", "", IF('Additional Videos-WUO_ERR'!A165 = "", "Validated", HYPERLINK("#" &amp; ADDRESS(165, 'Additional Videos-WUO_TRK'!A165),_xlfn.TEXTAFTER('Additional Videos-WUO_ERR'!A165, ":"))))</f>
        <v/>
      </c>
    </row>
    <row r="166">
      <c r="A166" s="39">
        <f>IF('Additional Videos'!B166 = "", "", IF('Additional Videos-WUO_ERR'!A166 = "", "Validated", HYPERLINK("#" &amp; ADDRESS(166, 'Additional Videos-WUO_TRK'!A166),_xlfn.TEXTAFTER('Additional Videos-WUO_ERR'!A166, ":"))))</f>
        <v/>
      </c>
    </row>
    <row r="167">
      <c r="A167" s="39">
        <f>IF('Additional Videos'!B167 = "", "", IF('Additional Videos-WUO_ERR'!A167 = "", "Validated", HYPERLINK("#" &amp; ADDRESS(167, 'Additional Videos-WUO_TRK'!A167),_xlfn.TEXTAFTER('Additional Videos-WUO_ERR'!A167, ":"))))</f>
        <v/>
      </c>
    </row>
    <row r="168">
      <c r="A168" s="39">
        <f>IF('Additional Videos'!B168 = "", "", IF('Additional Videos-WUO_ERR'!A168 = "", "Validated", HYPERLINK("#" &amp; ADDRESS(168, 'Additional Videos-WUO_TRK'!A168),_xlfn.TEXTAFTER('Additional Videos-WUO_ERR'!A168, ":"))))</f>
        <v/>
      </c>
    </row>
    <row r="169">
      <c r="A169" s="39">
        <f>IF('Additional Videos'!B169 = "", "", IF('Additional Videos-WUO_ERR'!A169 = "", "Validated", HYPERLINK("#" &amp; ADDRESS(169, 'Additional Videos-WUO_TRK'!A169),_xlfn.TEXTAFTER('Additional Videos-WUO_ERR'!A169, ":"))))</f>
        <v/>
      </c>
    </row>
    <row r="170">
      <c r="A170" s="39">
        <f>IF('Additional Videos'!B170 = "", "", IF('Additional Videos-WUO_ERR'!A170 = "", "Validated", HYPERLINK("#" &amp; ADDRESS(170, 'Additional Videos-WUO_TRK'!A170),_xlfn.TEXTAFTER('Additional Videos-WUO_ERR'!A170, ":"))))</f>
        <v/>
      </c>
    </row>
    <row r="171">
      <c r="A171" s="39">
        <f>IF('Additional Videos'!B171 = "", "", IF('Additional Videos-WUO_ERR'!A171 = "", "Validated", HYPERLINK("#" &amp; ADDRESS(171, 'Additional Videos-WUO_TRK'!A171),_xlfn.TEXTAFTER('Additional Videos-WUO_ERR'!A171, ":"))))</f>
        <v/>
      </c>
    </row>
    <row r="172">
      <c r="A172" s="39">
        <f>IF('Additional Videos'!B172 = "", "", IF('Additional Videos-WUO_ERR'!A172 = "", "Validated", HYPERLINK("#" &amp; ADDRESS(172, 'Additional Videos-WUO_TRK'!A172),_xlfn.TEXTAFTER('Additional Videos-WUO_ERR'!A172, ":"))))</f>
        <v/>
      </c>
    </row>
    <row r="173">
      <c r="A173" s="39">
        <f>IF('Additional Videos'!B173 = "", "", IF('Additional Videos-WUO_ERR'!A173 = "", "Validated", HYPERLINK("#" &amp; ADDRESS(173, 'Additional Videos-WUO_TRK'!A173),_xlfn.TEXTAFTER('Additional Videos-WUO_ERR'!A173, ":"))))</f>
        <v/>
      </c>
    </row>
    <row r="174">
      <c r="A174" s="39">
        <f>IF('Additional Videos'!B174 = "", "", IF('Additional Videos-WUO_ERR'!A174 = "", "Validated", HYPERLINK("#" &amp; ADDRESS(174, 'Additional Videos-WUO_TRK'!A174),_xlfn.TEXTAFTER('Additional Videos-WUO_ERR'!A174, ":"))))</f>
        <v/>
      </c>
    </row>
    <row r="175">
      <c r="A175" s="39">
        <f>IF('Additional Videos'!B175 = "", "", IF('Additional Videos-WUO_ERR'!A175 = "", "Validated", HYPERLINK("#" &amp; ADDRESS(175, 'Additional Videos-WUO_TRK'!A175),_xlfn.TEXTAFTER('Additional Videos-WUO_ERR'!A175, ":"))))</f>
        <v/>
      </c>
    </row>
    <row r="176">
      <c r="A176" s="39">
        <f>IF('Additional Videos'!B176 = "", "", IF('Additional Videos-WUO_ERR'!A176 = "", "Validated", HYPERLINK("#" &amp; ADDRESS(176, 'Additional Videos-WUO_TRK'!A176),_xlfn.TEXTAFTER('Additional Videos-WUO_ERR'!A176, ":"))))</f>
        <v/>
      </c>
    </row>
    <row r="177">
      <c r="A177" s="39">
        <f>IF('Additional Videos'!B177 = "", "", IF('Additional Videos-WUO_ERR'!A177 = "", "Validated", HYPERLINK("#" &amp; ADDRESS(177, 'Additional Videos-WUO_TRK'!A177),_xlfn.TEXTAFTER('Additional Videos-WUO_ERR'!A177, ":"))))</f>
        <v/>
      </c>
    </row>
    <row r="178">
      <c r="A178" s="39">
        <f>IF('Additional Videos'!B178 = "", "", IF('Additional Videos-WUO_ERR'!A178 = "", "Validated", HYPERLINK("#" &amp; ADDRESS(178, 'Additional Videos-WUO_TRK'!A178),_xlfn.TEXTAFTER('Additional Videos-WUO_ERR'!A178, ":"))))</f>
        <v/>
      </c>
    </row>
    <row r="179">
      <c r="A179" s="39">
        <f>IF('Additional Videos'!B179 = "", "", IF('Additional Videos-WUO_ERR'!A179 = "", "Validated", HYPERLINK("#" &amp; ADDRESS(179, 'Additional Videos-WUO_TRK'!A179),_xlfn.TEXTAFTER('Additional Videos-WUO_ERR'!A179, ":"))))</f>
        <v/>
      </c>
    </row>
    <row r="180">
      <c r="A180" s="39">
        <f>IF('Additional Videos'!B180 = "", "", IF('Additional Videos-WUO_ERR'!A180 = "", "Validated", HYPERLINK("#" &amp; ADDRESS(180, 'Additional Videos-WUO_TRK'!A180),_xlfn.TEXTAFTER('Additional Videos-WUO_ERR'!A180, ":"))))</f>
        <v/>
      </c>
    </row>
    <row r="181">
      <c r="A181" s="39">
        <f>IF('Additional Videos'!B181 = "", "", IF('Additional Videos-WUO_ERR'!A181 = "", "Validated", HYPERLINK("#" &amp; ADDRESS(181, 'Additional Videos-WUO_TRK'!A181),_xlfn.TEXTAFTER('Additional Videos-WUO_ERR'!A181, ":"))))</f>
        <v/>
      </c>
    </row>
    <row r="182">
      <c r="A182" s="39">
        <f>IF('Additional Videos'!B182 = "", "", IF('Additional Videos-WUO_ERR'!A182 = "", "Validated", HYPERLINK("#" &amp; ADDRESS(182, 'Additional Videos-WUO_TRK'!A182),_xlfn.TEXTAFTER('Additional Videos-WUO_ERR'!A182, ":"))))</f>
        <v/>
      </c>
    </row>
    <row r="183">
      <c r="A183" s="39">
        <f>IF('Additional Videos'!B183 = "", "", IF('Additional Videos-WUO_ERR'!A183 = "", "Validated", HYPERLINK("#" &amp; ADDRESS(183, 'Additional Videos-WUO_TRK'!A183),_xlfn.TEXTAFTER('Additional Videos-WUO_ERR'!A183, ":"))))</f>
        <v/>
      </c>
    </row>
    <row r="184">
      <c r="A184" s="39">
        <f>IF('Additional Videos'!B184 = "", "", IF('Additional Videos-WUO_ERR'!A184 = "", "Validated", HYPERLINK("#" &amp; ADDRESS(184, 'Additional Videos-WUO_TRK'!A184),_xlfn.TEXTAFTER('Additional Videos-WUO_ERR'!A184, ":"))))</f>
        <v/>
      </c>
    </row>
    <row r="185">
      <c r="A185" s="39">
        <f>IF('Additional Videos'!B185 = "", "", IF('Additional Videos-WUO_ERR'!A185 = "", "Validated", HYPERLINK("#" &amp; ADDRESS(185, 'Additional Videos-WUO_TRK'!A185),_xlfn.TEXTAFTER('Additional Videos-WUO_ERR'!A185, ":"))))</f>
        <v/>
      </c>
    </row>
    <row r="186">
      <c r="A186" s="39">
        <f>IF('Additional Videos'!B186 = "", "", IF('Additional Videos-WUO_ERR'!A186 = "", "Validated", HYPERLINK("#" &amp; ADDRESS(186, 'Additional Videos-WUO_TRK'!A186),_xlfn.TEXTAFTER('Additional Videos-WUO_ERR'!A186, ":"))))</f>
        <v/>
      </c>
    </row>
    <row r="187">
      <c r="A187" s="39">
        <f>IF('Additional Videos'!B187 = "", "", IF('Additional Videos-WUO_ERR'!A187 = "", "Validated", HYPERLINK("#" &amp; ADDRESS(187, 'Additional Videos-WUO_TRK'!A187),_xlfn.TEXTAFTER('Additional Videos-WUO_ERR'!A187, ":"))))</f>
        <v/>
      </c>
    </row>
    <row r="188">
      <c r="A188" s="39">
        <f>IF('Additional Videos'!B188 = "", "", IF('Additional Videos-WUO_ERR'!A188 = "", "Validated", HYPERLINK("#" &amp; ADDRESS(188, 'Additional Videos-WUO_TRK'!A188),_xlfn.TEXTAFTER('Additional Videos-WUO_ERR'!A188, ":"))))</f>
        <v/>
      </c>
    </row>
    <row r="189">
      <c r="A189" s="39">
        <f>IF('Additional Videos'!B189 = "", "", IF('Additional Videos-WUO_ERR'!A189 = "", "Validated", HYPERLINK("#" &amp; ADDRESS(189, 'Additional Videos-WUO_TRK'!A189),_xlfn.TEXTAFTER('Additional Videos-WUO_ERR'!A189, ":"))))</f>
        <v/>
      </c>
    </row>
    <row r="190">
      <c r="A190" s="39">
        <f>IF('Additional Videos'!B190 = "", "", IF('Additional Videos-WUO_ERR'!A190 = "", "Validated", HYPERLINK("#" &amp; ADDRESS(190, 'Additional Videos-WUO_TRK'!A190),_xlfn.TEXTAFTER('Additional Videos-WUO_ERR'!A190, ":"))))</f>
        <v/>
      </c>
    </row>
    <row r="191">
      <c r="A191" s="39">
        <f>IF('Additional Videos'!B191 = "", "", IF('Additional Videos-WUO_ERR'!A191 = "", "Validated", HYPERLINK("#" &amp; ADDRESS(191, 'Additional Videos-WUO_TRK'!A191),_xlfn.TEXTAFTER('Additional Videos-WUO_ERR'!A191, ":"))))</f>
        <v/>
      </c>
    </row>
    <row r="192">
      <c r="A192" s="39">
        <f>IF('Additional Videos'!B192 = "", "", IF('Additional Videos-WUO_ERR'!A192 = "", "Validated", HYPERLINK("#" &amp; ADDRESS(192, 'Additional Videos-WUO_TRK'!A192),_xlfn.TEXTAFTER('Additional Videos-WUO_ERR'!A192, ":"))))</f>
        <v/>
      </c>
    </row>
    <row r="193">
      <c r="A193" s="39">
        <f>IF('Additional Videos'!B193 = "", "", IF('Additional Videos-WUO_ERR'!A193 = "", "Validated", HYPERLINK("#" &amp; ADDRESS(193, 'Additional Videos-WUO_TRK'!A193),_xlfn.TEXTAFTER('Additional Videos-WUO_ERR'!A193, ":"))))</f>
        <v/>
      </c>
    </row>
    <row r="194">
      <c r="A194" s="39">
        <f>IF('Additional Videos'!B194 = "", "", IF('Additional Videos-WUO_ERR'!A194 = "", "Validated", HYPERLINK("#" &amp; ADDRESS(194, 'Additional Videos-WUO_TRK'!A194),_xlfn.TEXTAFTER('Additional Videos-WUO_ERR'!A194, ":"))))</f>
        <v/>
      </c>
    </row>
    <row r="195">
      <c r="A195" s="39">
        <f>IF('Additional Videos'!B195 = "", "", IF('Additional Videos-WUO_ERR'!A195 = "", "Validated", HYPERLINK("#" &amp; ADDRESS(195, 'Additional Videos-WUO_TRK'!A195),_xlfn.TEXTAFTER('Additional Videos-WUO_ERR'!A195, ":"))))</f>
        <v/>
      </c>
    </row>
    <row r="196">
      <c r="A196" s="39">
        <f>IF('Additional Videos'!B196 = "", "", IF('Additional Videos-WUO_ERR'!A196 = "", "Validated", HYPERLINK("#" &amp; ADDRESS(196, 'Additional Videos-WUO_TRK'!A196),_xlfn.TEXTAFTER('Additional Videos-WUO_ERR'!A196, ":"))))</f>
        <v/>
      </c>
    </row>
    <row r="197">
      <c r="A197" s="39">
        <f>IF('Additional Videos'!B197 = "", "", IF('Additional Videos-WUO_ERR'!A197 = "", "Validated", HYPERLINK("#" &amp; ADDRESS(197, 'Additional Videos-WUO_TRK'!A197),_xlfn.TEXTAFTER('Additional Videos-WUO_ERR'!A197, ":"))))</f>
        <v/>
      </c>
    </row>
    <row r="198">
      <c r="A198" s="39">
        <f>IF('Additional Videos'!B198 = "", "", IF('Additional Videos-WUO_ERR'!A198 = "", "Validated", HYPERLINK("#" &amp; ADDRESS(198, 'Additional Videos-WUO_TRK'!A198),_xlfn.TEXTAFTER('Additional Videos-WUO_ERR'!A198, ":"))))</f>
        <v/>
      </c>
    </row>
    <row r="199">
      <c r="A199" s="39">
        <f>IF('Additional Videos'!B199 = "", "", IF('Additional Videos-WUO_ERR'!A199 = "", "Validated", HYPERLINK("#" &amp; ADDRESS(199, 'Additional Videos-WUO_TRK'!A199),_xlfn.TEXTAFTER('Additional Videos-WUO_ERR'!A199, ":"))))</f>
        <v/>
      </c>
    </row>
    <row r="200">
      <c r="A200" s="39">
        <f>IF('Additional Videos'!B200 = "", "", IF('Additional Videos-WUO_ERR'!A200 = "", "Validated", HYPERLINK("#" &amp; ADDRESS(200, 'Additional Videos-WUO_TRK'!A200),_xlfn.TEXTAFTER('Additional Videos-WUO_ERR'!A200, ":"))))</f>
        <v/>
      </c>
    </row>
    <row r="201">
      <c r="A201" s="39">
        <f>IF('Additional Videos'!B201 = "", "", IF('Additional Videos-WUO_ERR'!A201 = "", "Validated", HYPERLINK("#" &amp; ADDRESS(201, 'Additional Videos-WUO_TRK'!A201),_xlfn.TEXTAFTER('Additional Videos-WUO_ERR'!A201, ":"))))</f>
        <v/>
      </c>
    </row>
    <row r="202">
      <c r="A202" s="39">
        <f>IF('Additional Videos'!B202 = "", "", IF('Additional Videos-WUO_ERR'!A202 = "", "Validated", HYPERLINK("#" &amp; ADDRESS(202, 'Additional Videos-WUO_TRK'!A202),_xlfn.TEXTAFTER('Additional Videos-WUO_ERR'!A202, ":"))))</f>
        <v/>
      </c>
    </row>
    <row r="203">
      <c r="A203" s="39">
        <f>IF('Additional Videos'!B203 = "", "", IF('Additional Videos-WUO_ERR'!A203 = "", "Validated", HYPERLINK("#" &amp; ADDRESS(203, 'Additional Videos-WUO_TRK'!A203),_xlfn.TEXTAFTER('Additional Videos-WUO_ERR'!A203, ":"))))</f>
        <v/>
      </c>
    </row>
    <row r="204">
      <c r="A204" s="39">
        <f>IF('Additional Videos'!B204 = "", "", IF('Additional Videos-WUO_ERR'!A204 = "", "Validated", HYPERLINK("#" &amp; ADDRESS(204, 'Additional Videos-WUO_TRK'!A204),_xlfn.TEXTAFTER('Additional Videos-WUO_ERR'!A204, ":"))))</f>
        <v/>
      </c>
    </row>
    <row r="205">
      <c r="A205" s="39">
        <f>IF('Additional Videos'!B205 = "", "", IF('Additional Videos-WUO_ERR'!A205 = "", "Validated", HYPERLINK("#" &amp; ADDRESS(205, 'Additional Videos-WUO_TRK'!A205),_xlfn.TEXTAFTER('Additional Videos-WUO_ERR'!A205, ":"))))</f>
        <v/>
      </c>
    </row>
    <row r="206">
      <c r="A206" s="39">
        <f>IF('Additional Videos'!B206 = "", "", IF('Additional Videos-WUO_ERR'!A206 = "", "Validated", HYPERLINK("#" &amp; ADDRESS(206, 'Additional Videos-WUO_TRK'!A206),_xlfn.TEXTAFTER('Additional Videos-WUO_ERR'!A206, ":"))))</f>
        <v/>
      </c>
    </row>
    <row r="207">
      <c r="A207" s="39">
        <f>IF('Additional Videos'!B207 = "", "", IF('Additional Videos-WUO_ERR'!A207 = "", "Validated", HYPERLINK("#" &amp; ADDRESS(207, 'Additional Videos-WUO_TRK'!A207),_xlfn.TEXTAFTER('Additional Videos-WUO_ERR'!A207, ":"))))</f>
        <v/>
      </c>
    </row>
    <row r="208">
      <c r="A208" s="39">
        <f>IF('Additional Videos'!B208 = "", "", IF('Additional Videos-WUO_ERR'!A208 = "", "Validated", HYPERLINK("#" &amp; ADDRESS(208, 'Additional Videos-WUO_TRK'!A208),_xlfn.TEXTAFTER('Additional Videos-WUO_ERR'!A208, ":"))))</f>
        <v/>
      </c>
    </row>
    <row r="209">
      <c r="A209" s="39">
        <f>IF('Additional Videos'!B209 = "", "", IF('Additional Videos-WUO_ERR'!A209 = "", "Validated", HYPERLINK("#" &amp; ADDRESS(209, 'Additional Videos-WUO_TRK'!A209),_xlfn.TEXTAFTER('Additional Videos-WUO_ERR'!A209, ":"))))</f>
        <v/>
      </c>
    </row>
    <row r="210">
      <c r="A210" s="39">
        <f>IF('Additional Videos'!B210 = "", "", IF('Additional Videos-WUO_ERR'!A210 = "", "Validated", HYPERLINK("#" &amp; ADDRESS(210, 'Additional Videos-WUO_TRK'!A210),_xlfn.TEXTAFTER('Additional Videos-WUO_ERR'!A210, ":"))))</f>
        <v/>
      </c>
    </row>
    <row r="211">
      <c r="A211" s="39">
        <f>IF('Additional Videos'!B211 = "", "", IF('Additional Videos-WUO_ERR'!A211 = "", "Validated", HYPERLINK("#" &amp; ADDRESS(211, 'Additional Videos-WUO_TRK'!A211),_xlfn.TEXTAFTER('Additional Videos-WUO_ERR'!A211, ":"))))</f>
        <v/>
      </c>
    </row>
    <row r="212">
      <c r="A212" s="39">
        <f>IF('Additional Videos'!B212 = "", "", IF('Additional Videos-WUO_ERR'!A212 = "", "Validated", HYPERLINK("#" &amp; ADDRESS(212, 'Additional Videos-WUO_TRK'!A212),_xlfn.TEXTAFTER('Additional Videos-WUO_ERR'!A212, ":"))))</f>
        <v/>
      </c>
    </row>
    <row r="213">
      <c r="A213" s="39">
        <f>IF('Additional Videos'!B213 = "", "", IF('Additional Videos-WUO_ERR'!A213 = "", "Validated", HYPERLINK("#" &amp; ADDRESS(213, 'Additional Videos-WUO_TRK'!A213),_xlfn.TEXTAFTER('Additional Videos-WUO_ERR'!A213, ":"))))</f>
        <v/>
      </c>
    </row>
    <row r="214">
      <c r="A214" s="39">
        <f>IF('Additional Videos'!B214 = "", "", IF('Additional Videos-WUO_ERR'!A214 = "", "Validated", HYPERLINK("#" &amp; ADDRESS(214, 'Additional Videos-WUO_TRK'!A214),_xlfn.TEXTAFTER('Additional Videos-WUO_ERR'!A214, ":"))))</f>
        <v/>
      </c>
    </row>
    <row r="215">
      <c r="A215" s="39">
        <f>IF('Additional Videos'!B215 = "", "", IF('Additional Videos-WUO_ERR'!A215 = "", "Validated", HYPERLINK("#" &amp; ADDRESS(215, 'Additional Videos-WUO_TRK'!A215),_xlfn.TEXTAFTER('Additional Videos-WUO_ERR'!A215, ":"))))</f>
        <v/>
      </c>
    </row>
    <row r="216">
      <c r="A216" s="39">
        <f>IF('Additional Videos'!B216 = "", "", IF('Additional Videos-WUO_ERR'!A216 = "", "Validated", HYPERLINK("#" &amp; ADDRESS(216, 'Additional Videos-WUO_TRK'!A216),_xlfn.TEXTAFTER('Additional Videos-WUO_ERR'!A216, ":"))))</f>
        <v/>
      </c>
    </row>
    <row r="217">
      <c r="A217" s="39">
        <f>IF('Additional Videos'!B217 = "", "", IF('Additional Videos-WUO_ERR'!A217 = "", "Validated", HYPERLINK("#" &amp; ADDRESS(217, 'Additional Videos-WUO_TRK'!A217),_xlfn.TEXTAFTER('Additional Videos-WUO_ERR'!A217, ":"))))</f>
        <v/>
      </c>
    </row>
    <row r="218">
      <c r="A218" s="39">
        <f>IF('Additional Videos'!B218 = "", "", IF('Additional Videos-WUO_ERR'!A218 = "", "Validated", HYPERLINK("#" &amp; ADDRESS(218, 'Additional Videos-WUO_TRK'!A218),_xlfn.TEXTAFTER('Additional Videos-WUO_ERR'!A218, ":"))))</f>
        <v/>
      </c>
    </row>
    <row r="219">
      <c r="A219" s="39">
        <f>IF('Additional Videos'!B219 = "", "", IF('Additional Videos-WUO_ERR'!A219 = "", "Validated", HYPERLINK("#" &amp; ADDRESS(219, 'Additional Videos-WUO_TRK'!A219),_xlfn.TEXTAFTER('Additional Videos-WUO_ERR'!A219, ":"))))</f>
        <v/>
      </c>
    </row>
    <row r="220">
      <c r="A220" s="39">
        <f>IF('Additional Videos'!B220 = "", "", IF('Additional Videos-WUO_ERR'!A220 = "", "Validated", HYPERLINK("#" &amp; ADDRESS(220, 'Additional Videos-WUO_TRK'!A220),_xlfn.TEXTAFTER('Additional Videos-WUO_ERR'!A220, ":"))))</f>
        <v/>
      </c>
    </row>
    <row r="221">
      <c r="A221" s="39">
        <f>IF('Additional Videos'!B221 = "", "", IF('Additional Videos-WUO_ERR'!A221 = "", "Validated", HYPERLINK("#" &amp; ADDRESS(221, 'Additional Videos-WUO_TRK'!A221),_xlfn.TEXTAFTER('Additional Videos-WUO_ERR'!A221, ":"))))</f>
        <v/>
      </c>
    </row>
    <row r="222">
      <c r="A222" s="39">
        <f>IF('Additional Videos'!B222 = "", "", IF('Additional Videos-WUO_ERR'!A222 = "", "Validated", HYPERLINK("#" &amp; ADDRESS(222, 'Additional Videos-WUO_TRK'!A222),_xlfn.TEXTAFTER('Additional Videos-WUO_ERR'!A222, ":"))))</f>
        <v/>
      </c>
    </row>
    <row r="223">
      <c r="A223" s="39">
        <f>IF('Additional Videos'!B223 = "", "", IF('Additional Videos-WUO_ERR'!A223 = "", "Validated", HYPERLINK("#" &amp; ADDRESS(223, 'Additional Videos-WUO_TRK'!A223),_xlfn.TEXTAFTER('Additional Videos-WUO_ERR'!A223, ":"))))</f>
        <v/>
      </c>
    </row>
    <row r="224">
      <c r="A224" s="39">
        <f>IF('Additional Videos'!B224 = "", "", IF('Additional Videos-WUO_ERR'!A224 = "", "Validated", HYPERLINK("#" &amp; ADDRESS(224, 'Additional Videos-WUO_TRK'!A224),_xlfn.TEXTAFTER('Additional Videos-WUO_ERR'!A224, ":"))))</f>
        <v/>
      </c>
    </row>
    <row r="225">
      <c r="A225" s="39">
        <f>IF('Additional Videos'!B225 = "", "", IF('Additional Videos-WUO_ERR'!A225 = "", "Validated", HYPERLINK("#" &amp; ADDRESS(225, 'Additional Videos-WUO_TRK'!A225),_xlfn.TEXTAFTER('Additional Videos-WUO_ERR'!A225, ":"))))</f>
        <v/>
      </c>
    </row>
    <row r="226">
      <c r="A226" s="39">
        <f>IF('Additional Videos'!B226 = "", "", IF('Additional Videos-WUO_ERR'!A226 = "", "Validated", HYPERLINK("#" &amp; ADDRESS(226, 'Additional Videos-WUO_TRK'!A226),_xlfn.TEXTAFTER('Additional Videos-WUO_ERR'!A226, ":"))))</f>
        <v/>
      </c>
    </row>
    <row r="227">
      <c r="A227" s="39">
        <f>IF('Additional Videos'!B227 = "", "", IF('Additional Videos-WUO_ERR'!A227 = "", "Validated", HYPERLINK("#" &amp; ADDRESS(227, 'Additional Videos-WUO_TRK'!A227),_xlfn.TEXTAFTER('Additional Videos-WUO_ERR'!A227, ":"))))</f>
        <v/>
      </c>
    </row>
    <row r="228">
      <c r="A228" s="39">
        <f>IF('Additional Videos'!B228 = "", "", IF('Additional Videos-WUO_ERR'!A228 = "", "Validated", HYPERLINK("#" &amp; ADDRESS(228, 'Additional Videos-WUO_TRK'!A228),_xlfn.TEXTAFTER('Additional Videos-WUO_ERR'!A228, ":"))))</f>
        <v/>
      </c>
    </row>
    <row r="229">
      <c r="A229" s="39">
        <f>IF('Additional Videos'!B229 = "", "", IF('Additional Videos-WUO_ERR'!A229 = "", "Validated", HYPERLINK("#" &amp; ADDRESS(229, 'Additional Videos-WUO_TRK'!A229),_xlfn.TEXTAFTER('Additional Videos-WUO_ERR'!A229, ":"))))</f>
        <v/>
      </c>
    </row>
    <row r="230">
      <c r="A230" s="39">
        <f>IF('Additional Videos'!B230 = "", "", IF('Additional Videos-WUO_ERR'!A230 = "", "Validated", HYPERLINK("#" &amp; ADDRESS(230, 'Additional Videos-WUO_TRK'!A230),_xlfn.TEXTAFTER('Additional Videos-WUO_ERR'!A230, ":"))))</f>
        <v/>
      </c>
    </row>
    <row r="231">
      <c r="A231" s="39">
        <f>IF('Additional Videos'!B231 = "", "", IF('Additional Videos-WUO_ERR'!A231 = "", "Validated", HYPERLINK("#" &amp; ADDRESS(231, 'Additional Videos-WUO_TRK'!A231),_xlfn.TEXTAFTER('Additional Videos-WUO_ERR'!A231, ":"))))</f>
        <v/>
      </c>
    </row>
    <row r="232">
      <c r="A232" s="39">
        <f>IF('Additional Videos'!B232 = "", "", IF('Additional Videos-WUO_ERR'!A232 = "", "Validated", HYPERLINK("#" &amp; ADDRESS(232, 'Additional Videos-WUO_TRK'!A232),_xlfn.TEXTAFTER('Additional Videos-WUO_ERR'!A232, ":"))))</f>
        <v/>
      </c>
    </row>
    <row r="233">
      <c r="A233" s="39">
        <f>IF('Additional Videos'!B233 = "", "", IF('Additional Videos-WUO_ERR'!A233 = "", "Validated", HYPERLINK("#" &amp; ADDRESS(233, 'Additional Videos-WUO_TRK'!A233),_xlfn.TEXTAFTER('Additional Videos-WUO_ERR'!A233, ":"))))</f>
        <v/>
      </c>
    </row>
    <row r="234">
      <c r="A234" s="39">
        <f>IF('Additional Videos'!B234 = "", "", IF('Additional Videos-WUO_ERR'!A234 = "", "Validated", HYPERLINK("#" &amp; ADDRESS(234, 'Additional Videos-WUO_TRK'!A234),_xlfn.TEXTAFTER('Additional Videos-WUO_ERR'!A234, ":"))))</f>
        <v/>
      </c>
    </row>
    <row r="235">
      <c r="A235" s="39">
        <f>IF('Additional Videos'!B235 = "", "", IF('Additional Videos-WUO_ERR'!A235 = "", "Validated", HYPERLINK("#" &amp; ADDRESS(235, 'Additional Videos-WUO_TRK'!A235),_xlfn.TEXTAFTER('Additional Videos-WUO_ERR'!A235, ":"))))</f>
        <v/>
      </c>
    </row>
    <row r="236">
      <c r="A236" s="39">
        <f>IF('Additional Videos'!B236 = "", "", IF('Additional Videos-WUO_ERR'!A236 = "", "Validated", HYPERLINK("#" &amp; ADDRESS(236, 'Additional Videos-WUO_TRK'!A236),_xlfn.TEXTAFTER('Additional Videos-WUO_ERR'!A236, ":"))))</f>
        <v/>
      </c>
    </row>
    <row r="237">
      <c r="A237" s="39">
        <f>IF('Additional Videos'!B237 = "", "", IF('Additional Videos-WUO_ERR'!A237 = "", "Validated", HYPERLINK("#" &amp; ADDRESS(237, 'Additional Videos-WUO_TRK'!A237),_xlfn.TEXTAFTER('Additional Videos-WUO_ERR'!A237, ":"))))</f>
        <v/>
      </c>
    </row>
    <row r="238">
      <c r="A238" s="39">
        <f>IF('Additional Videos'!B238 = "", "", IF('Additional Videos-WUO_ERR'!A238 = "", "Validated", HYPERLINK("#" &amp; ADDRESS(238, 'Additional Videos-WUO_TRK'!A238),_xlfn.TEXTAFTER('Additional Videos-WUO_ERR'!A238, ":"))))</f>
        <v/>
      </c>
    </row>
    <row r="239">
      <c r="A239" s="39">
        <f>IF('Additional Videos'!B239 = "", "", IF('Additional Videos-WUO_ERR'!A239 = "", "Validated", HYPERLINK("#" &amp; ADDRESS(239, 'Additional Videos-WUO_TRK'!A239),_xlfn.TEXTAFTER('Additional Videos-WUO_ERR'!A239, ":"))))</f>
        <v/>
      </c>
    </row>
    <row r="240">
      <c r="A240" s="39">
        <f>IF('Additional Videos'!B240 = "", "", IF('Additional Videos-WUO_ERR'!A240 = "", "Validated", HYPERLINK("#" &amp; ADDRESS(240, 'Additional Videos-WUO_TRK'!A240),_xlfn.TEXTAFTER('Additional Videos-WUO_ERR'!A240, ":"))))</f>
        <v/>
      </c>
    </row>
    <row r="241">
      <c r="A241" s="39">
        <f>IF('Additional Videos'!B241 = "", "", IF('Additional Videos-WUO_ERR'!A241 = "", "Validated", HYPERLINK("#" &amp; ADDRESS(241, 'Additional Videos-WUO_TRK'!A241),_xlfn.TEXTAFTER('Additional Videos-WUO_ERR'!A241, ":"))))</f>
        <v/>
      </c>
    </row>
    <row r="242">
      <c r="A242" s="39">
        <f>IF('Additional Videos'!B242 = "", "", IF('Additional Videos-WUO_ERR'!A242 = "", "Validated", HYPERLINK("#" &amp; ADDRESS(242, 'Additional Videos-WUO_TRK'!A242),_xlfn.TEXTAFTER('Additional Videos-WUO_ERR'!A242, ":"))))</f>
        <v/>
      </c>
    </row>
    <row r="243">
      <c r="A243" s="39">
        <f>IF('Additional Videos'!B243 = "", "", IF('Additional Videos-WUO_ERR'!A243 = "", "Validated", HYPERLINK("#" &amp; ADDRESS(243, 'Additional Videos-WUO_TRK'!A243),_xlfn.TEXTAFTER('Additional Videos-WUO_ERR'!A243, ":"))))</f>
        <v/>
      </c>
    </row>
    <row r="244">
      <c r="A244" s="39">
        <f>IF('Additional Videos'!B244 = "", "", IF('Additional Videos-WUO_ERR'!A244 = "", "Validated", HYPERLINK("#" &amp; ADDRESS(244, 'Additional Videos-WUO_TRK'!A244),_xlfn.TEXTAFTER('Additional Videos-WUO_ERR'!A244, ":"))))</f>
        <v/>
      </c>
    </row>
    <row r="245">
      <c r="A245" s="39">
        <f>IF('Additional Videos'!B245 = "", "", IF('Additional Videos-WUO_ERR'!A245 = "", "Validated", HYPERLINK("#" &amp; ADDRESS(245, 'Additional Videos-WUO_TRK'!A245),_xlfn.TEXTAFTER('Additional Videos-WUO_ERR'!A245, ":"))))</f>
        <v/>
      </c>
    </row>
    <row r="246">
      <c r="A246" s="39">
        <f>IF('Additional Videos'!B246 = "", "", IF('Additional Videos-WUO_ERR'!A246 = "", "Validated", HYPERLINK("#" &amp; ADDRESS(246, 'Additional Videos-WUO_TRK'!A246),_xlfn.TEXTAFTER('Additional Videos-WUO_ERR'!A246, ":"))))</f>
        <v/>
      </c>
    </row>
    <row r="247">
      <c r="A247" s="39">
        <f>IF('Additional Videos'!B247 = "", "", IF('Additional Videos-WUO_ERR'!A247 = "", "Validated", HYPERLINK("#" &amp; ADDRESS(247, 'Additional Videos-WUO_TRK'!A247),_xlfn.TEXTAFTER('Additional Videos-WUO_ERR'!A247, ":"))))</f>
        <v/>
      </c>
    </row>
    <row r="248">
      <c r="A248" s="39">
        <f>IF('Additional Videos'!B248 = "", "", IF('Additional Videos-WUO_ERR'!A248 = "", "Validated", HYPERLINK("#" &amp; ADDRESS(248, 'Additional Videos-WUO_TRK'!A248),_xlfn.TEXTAFTER('Additional Videos-WUO_ERR'!A248, ":"))))</f>
        <v/>
      </c>
    </row>
    <row r="249">
      <c r="A249" s="39">
        <f>IF('Additional Videos'!B249 = "", "", IF('Additional Videos-WUO_ERR'!A249 = "", "Validated", HYPERLINK("#" &amp; ADDRESS(249, 'Additional Videos-WUO_TRK'!A249),_xlfn.TEXTAFTER('Additional Videos-WUO_ERR'!A249, ":"))))</f>
        <v/>
      </c>
    </row>
    <row r="250">
      <c r="A250" s="39">
        <f>IF('Additional Videos'!B250 = "", "", IF('Additional Videos-WUO_ERR'!A250 = "", "Validated", HYPERLINK("#" &amp; ADDRESS(250, 'Additional Videos-WUO_TRK'!A250),_xlfn.TEXTAFTER('Additional Videos-WUO_ERR'!A250, ":"))))</f>
        <v/>
      </c>
    </row>
    <row r="251">
      <c r="A251" s="39">
        <f>IF('Additional Videos'!B251 = "", "", IF('Additional Videos-WUO_ERR'!A251 = "", "Validated", HYPERLINK("#" &amp; ADDRESS(251, 'Additional Videos-WUO_TRK'!A251),_xlfn.TEXTAFTER('Additional Videos-WUO_ERR'!A251, ":"))))</f>
        <v/>
      </c>
    </row>
    <row r="252">
      <c r="A252" s="39">
        <f>IF('Additional Videos'!B252 = "", "", IF('Additional Videos-WUO_ERR'!A252 = "", "Validated", HYPERLINK("#" &amp; ADDRESS(252, 'Additional Videos-WUO_TRK'!A252),_xlfn.TEXTAFTER('Additional Videos-WUO_ERR'!A252, ":"))))</f>
        <v/>
      </c>
    </row>
    <row r="253">
      <c r="A253" s="39">
        <f>IF('Additional Videos'!B253 = "", "", IF('Additional Videos-WUO_ERR'!A253 = "", "Validated", HYPERLINK("#" &amp; ADDRESS(253, 'Additional Videos-WUO_TRK'!A253),_xlfn.TEXTAFTER('Additional Videos-WUO_ERR'!A253, ":"))))</f>
        <v/>
      </c>
    </row>
    <row r="254">
      <c r="A254" s="39">
        <f>IF('Additional Videos'!B254 = "", "", IF('Additional Videos-WUO_ERR'!A254 = "", "Validated", HYPERLINK("#" &amp; ADDRESS(254, 'Additional Videos-WUO_TRK'!A254),_xlfn.TEXTAFTER('Additional Videos-WUO_ERR'!A254, ":"))))</f>
        <v/>
      </c>
    </row>
    <row r="255">
      <c r="A255" s="39">
        <f>IF('Additional Videos'!B255 = "", "", IF('Additional Videos-WUO_ERR'!A255 = "", "Validated", HYPERLINK("#" &amp; ADDRESS(255, 'Additional Videos-WUO_TRK'!A255),_xlfn.TEXTAFTER('Additional Videos-WUO_ERR'!A255, ":"))))</f>
        <v/>
      </c>
    </row>
    <row r="256">
      <c r="A256" s="39">
        <f>IF('Additional Videos'!B256 = "", "", IF('Additional Videos-WUO_ERR'!A256 = "", "Validated", HYPERLINK("#" &amp; ADDRESS(256, 'Additional Videos-WUO_TRK'!A256),_xlfn.TEXTAFTER('Additional Videos-WUO_ERR'!A256, ":"))))</f>
        <v/>
      </c>
    </row>
    <row r="257">
      <c r="A257" s="39">
        <f>IF('Additional Videos'!B257 = "", "", IF('Additional Videos-WUO_ERR'!A257 = "", "Validated", HYPERLINK("#" &amp; ADDRESS(257, 'Additional Videos-WUO_TRK'!A257),_xlfn.TEXTAFTER('Additional Videos-WUO_ERR'!A257, ":"))))</f>
        <v/>
      </c>
    </row>
    <row r="258">
      <c r="A258" s="39">
        <f>IF('Additional Videos'!B258 = "", "", IF('Additional Videos-WUO_ERR'!A258 = "", "Validated", HYPERLINK("#" &amp; ADDRESS(258, 'Additional Videos-WUO_TRK'!A258),_xlfn.TEXTAFTER('Additional Videos-WUO_ERR'!A258, ":"))))</f>
        <v/>
      </c>
    </row>
    <row r="259">
      <c r="A259" s="39">
        <f>IF('Additional Videos'!B259 = "", "", IF('Additional Videos-WUO_ERR'!A259 = "", "Validated", HYPERLINK("#" &amp; ADDRESS(259, 'Additional Videos-WUO_TRK'!A259),_xlfn.TEXTAFTER('Additional Videos-WUO_ERR'!A259, ":"))))</f>
        <v/>
      </c>
    </row>
    <row r="260">
      <c r="A260" s="39">
        <f>IF('Additional Videos'!B260 = "", "", IF('Additional Videos-WUO_ERR'!A260 = "", "Validated", HYPERLINK("#" &amp; ADDRESS(260, 'Additional Videos-WUO_TRK'!A260),_xlfn.TEXTAFTER('Additional Videos-WUO_ERR'!A260, ":"))))</f>
        <v/>
      </c>
    </row>
    <row r="261">
      <c r="A261" s="39">
        <f>IF('Additional Videos'!B261 = "", "", IF('Additional Videos-WUO_ERR'!A261 = "", "Validated", HYPERLINK("#" &amp; ADDRESS(261, 'Additional Videos-WUO_TRK'!A261),_xlfn.TEXTAFTER('Additional Videos-WUO_ERR'!A261, ":"))))</f>
        <v/>
      </c>
    </row>
    <row r="262">
      <c r="A262" s="39">
        <f>IF('Additional Videos'!B262 = "", "", IF('Additional Videos-WUO_ERR'!A262 = "", "Validated", HYPERLINK("#" &amp; ADDRESS(262, 'Additional Videos-WUO_TRK'!A262),_xlfn.TEXTAFTER('Additional Videos-WUO_ERR'!A262, ":"))))</f>
        <v/>
      </c>
    </row>
    <row r="263">
      <c r="A263" s="39">
        <f>IF('Additional Videos'!B263 = "", "", IF('Additional Videos-WUO_ERR'!A263 = "", "Validated", HYPERLINK("#" &amp; ADDRESS(263, 'Additional Videos-WUO_TRK'!A263),_xlfn.TEXTAFTER('Additional Videos-WUO_ERR'!A263, ":"))))</f>
        <v/>
      </c>
    </row>
    <row r="264">
      <c r="A264" s="39">
        <f>IF('Additional Videos'!B264 = "", "", IF('Additional Videos-WUO_ERR'!A264 = "", "Validated", HYPERLINK("#" &amp; ADDRESS(264, 'Additional Videos-WUO_TRK'!A264),_xlfn.TEXTAFTER('Additional Videos-WUO_ERR'!A264, ":"))))</f>
        <v/>
      </c>
    </row>
    <row r="265">
      <c r="A265" s="39">
        <f>IF('Additional Videos'!B265 = "", "", IF('Additional Videos-WUO_ERR'!A265 = "", "Validated", HYPERLINK("#" &amp; ADDRESS(265, 'Additional Videos-WUO_TRK'!A265),_xlfn.TEXTAFTER('Additional Videos-WUO_ERR'!A265, ":"))))</f>
        <v/>
      </c>
    </row>
    <row r="266">
      <c r="A266" s="39">
        <f>IF('Additional Videos'!B266 = "", "", IF('Additional Videos-WUO_ERR'!A266 = "", "Validated", HYPERLINK("#" &amp; ADDRESS(266, 'Additional Videos-WUO_TRK'!A266),_xlfn.TEXTAFTER('Additional Videos-WUO_ERR'!A266, ":"))))</f>
        <v/>
      </c>
    </row>
    <row r="267">
      <c r="A267" s="39">
        <f>IF('Additional Videos'!B267 = "", "", IF('Additional Videos-WUO_ERR'!A267 = "", "Validated", HYPERLINK("#" &amp; ADDRESS(267, 'Additional Videos-WUO_TRK'!A267),_xlfn.TEXTAFTER('Additional Videos-WUO_ERR'!A267, ":"))))</f>
        <v/>
      </c>
    </row>
    <row r="268">
      <c r="A268" s="39">
        <f>IF('Additional Videos'!B268 = "", "", IF('Additional Videos-WUO_ERR'!A268 = "", "Validated", HYPERLINK("#" &amp; ADDRESS(268, 'Additional Videos-WUO_TRK'!A268),_xlfn.TEXTAFTER('Additional Videos-WUO_ERR'!A268, ":"))))</f>
        <v/>
      </c>
    </row>
    <row r="269">
      <c r="A269" s="39">
        <f>IF('Additional Videos'!B269 = "", "", IF('Additional Videos-WUO_ERR'!A269 = "", "Validated", HYPERLINK("#" &amp; ADDRESS(269, 'Additional Videos-WUO_TRK'!A269),_xlfn.TEXTAFTER('Additional Videos-WUO_ERR'!A269, ":"))))</f>
        <v/>
      </c>
    </row>
    <row r="270">
      <c r="A270" s="39">
        <f>IF('Additional Videos'!B270 = "", "", IF('Additional Videos-WUO_ERR'!A270 = "", "Validated", HYPERLINK("#" &amp; ADDRESS(270, 'Additional Videos-WUO_TRK'!A270),_xlfn.TEXTAFTER('Additional Videos-WUO_ERR'!A270, ":"))))</f>
        <v/>
      </c>
    </row>
    <row r="271">
      <c r="A271" s="39">
        <f>IF('Additional Videos'!B271 = "", "", IF('Additional Videos-WUO_ERR'!A271 = "", "Validated", HYPERLINK("#" &amp; ADDRESS(271, 'Additional Videos-WUO_TRK'!A271),_xlfn.TEXTAFTER('Additional Videos-WUO_ERR'!A271, ":"))))</f>
        <v/>
      </c>
    </row>
    <row r="272">
      <c r="A272" s="39">
        <f>IF('Additional Videos'!B272 = "", "", IF('Additional Videos-WUO_ERR'!A272 = "", "Validated", HYPERLINK("#" &amp; ADDRESS(272, 'Additional Videos-WUO_TRK'!A272),_xlfn.TEXTAFTER('Additional Videos-WUO_ERR'!A272, ":"))))</f>
        <v/>
      </c>
    </row>
    <row r="273">
      <c r="A273" s="39">
        <f>IF('Additional Videos'!B273 = "", "", IF('Additional Videos-WUO_ERR'!A273 = "", "Validated", HYPERLINK("#" &amp; ADDRESS(273, 'Additional Videos-WUO_TRK'!A273),_xlfn.TEXTAFTER('Additional Videos-WUO_ERR'!A273, ":"))))</f>
        <v/>
      </c>
    </row>
    <row r="274">
      <c r="A274" s="39">
        <f>IF('Additional Videos'!B274 = "", "", IF('Additional Videos-WUO_ERR'!A274 = "", "Validated", HYPERLINK("#" &amp; ADDRESS(274, 'Additional Videos-WUO_TRK'!A274),_xlfn.TEXTAFTER('Additional Videos-WUO_ERR'!A274, ":"))))</f>
        <v/>
      </c>
    </row>
    <row r="275">
      <c r="A275" s="39">
        <f>IF('Additional Videos'!B275 = "", "", IF('Additional Videos-WUO_ERR'!A275 = "", "Validated", HYPERLINK("#" &amp; ADDRESS(275, 'Additional Videos-WUO_TRK'!A275),_xlfn.TEXTAFTER('Additional Videos-WUO_ERR'!A275, ":"))))</f>
        <v/>
      </c>
    </row>
    <row r="276">
      <c r="A276" s="39">
        <f>IF('Additional Videos'!B276 = "", "", IF('Additional Videos-WUO_ERR'!A276 = "", "Validated", HYPERLINK("#" &amp; ADDRESS(276, 'Additional Videos-WUO_TRK'!A276),_xlfn.TEXTAFTER('Additional Videos-WUO_ERR'!A276, ":"))))</f>
        <v/>
      </c>
    </row>
    <row r="277">
      <c r="A277" s="39">
        <f>IF('Additional Videos'!B277 = "", "", IF('Additional Videos-WUO_ERR'!A277 = "", "Validated", HYPERLINK("#" &amp; ADDRESS(277, 'Additional Videos-WUO_TRK'!A277),_xlfn.TEXTAFTER('Additional Videos-WUO_ERR'!A277, ":"))))</f>
        <v/>
      </c>
    </row>
    <row r="278">
      <c r="A278" s="39">
        <f>IF('Additional Videos'!B278 = "", "", IF('Additional Videos-WUO_ERR'!A278 = "", "Validated", HYPERLINK("#" &amp; ADDRESS(278, 'Additional Videos-WUO_TRK'!A278),_xlfn.TEXTAFTER('Additional Videos-WUO_ERR'!A278, ":"))))</f>
        <v/>
      </c>
    </row>
    <row r="279">
      <c r="A279" s="39">
        <f>IF('Additional Videos'!B279 = "", "", IF('Additional Videos-WUO_ERR'!A279 = "", "Validated", HYPERLINK("#" &amp; ADDRESS(279, 'Additional Videos-WUO_TRK'!A279),_xlfn.TEXTAFTER('Additional Videos-WUO_ERR'!A279, ":"))))</f>
        <v/>
      </c>
    </row>
    <row r="280">
      <c r="A280" s="39">
        <f>IF('Additional Videos'!B280 = "", "", IF('Additional Videos-WUO_ERR'!A280 = "", "Validated", HYPERLINK("#" &amp; ADDRESS(280, 'Additional Videos-WUO_TRK'!A280),_xlfn.TEXTAFTER('Additional Videos-WUO_ERR'!A280, ":"))))</f>
        <v/>
      </c>
    </row>
    <row r="281">
      <c r="A281" s="39">
        <f>IF('Additional Videos'!B281 = "", "", IF('Additional Videos-WUO_ERR'!A281 = "", "Validated", HYPERLINK("#" &amp; ADDRESS(281, 'Additional Videos-WUO_TRK'!A281),_xlfn.TEXTAFTER('Additional Videos-WUO_ERR'!A281, ":"))))</f>
        <v/>
      </c>
    </row>
    <row r="282">
      <c r="A282" s="39">
        <f>IF('Additional Videos'!B282 = "", "", IF('Additional Videos-WUO_ERR'!A282 = "", "Validated", HYPERLINK("#" &amp; ADDRESS(282, 'Additional Videos-WUO_TRK'!A282),_xlfn.TEXTAFTER('Additional Videos-WUO_ERR'!A282, ":"))))</f>
        <v/>
      </c>
    </row>
    <row r="283">
      <c r="A283" s="39">
        <f>IF('Additional Videos'!B283 = "", "", IF('Additional Videos-WUO_ERR'!A283 = "", "Validated", HYPERLINK("#" &amp; ADDRESS(283, 'Additional Videos-WUO_TRK'!A283),_xlfn.TEXTAFTER('Additional Videos-WUO_ERR'!A283, ":"))))</f>
        <v/>
      </c>
    </row>
    <row r="284">
      <c r="A284" s="39">
        <f>IF('Additional Videos'!B284 = "", "", IF('Additional Videos-WUO_ERR'!A284 = "", "Validated", HYPERLINK("#" &amp; ADDRESS(284, 'Additional Videos-WUO_TRK'!A284),_xlfn.TEXTAFTER('Additional Videos-WUO_ERR'!A284, ":"))))</f>
        <v/>
      </c>
    </row>
    <row r="285">
      <c r="A285" s="39">
        <f>IF('Additional Videos'!B285 = "", "", IF('Additional Videos-WUO_ERR'!A285 = "", "Validated", HYPERLINK("#" &amp; ADDRESS(285, 'Additional Videos-WUO_TRK'!A285),_xlfn.TEXTAFTER('Additional Videos-WUO_ERR'!A285, ":"))))</f>
        <v/>
      </c>
    </row>
    <row r="286">
      <c r="A286" s="39">
        <f>IF('Additional Videos'!B286 = "", "", IF('Additional Videos-WUO_ERR'!A286 = "", "Validated", HYPERLINK("#" &amp; ADDRESS(286, 'Additional Videos-WUO_TRK'!A286),_xlfn.TEXTAFTER('Additional Videos-WUO_ERR'!A286, ":"))))</f>
        <v/>
      </c>
    </row>
    <row r="287">
      <c r="A287" s="39">
        <f>IF('Additional Videos'!B287 = "", "", IF('Additional Videos-WUO_ERR'!A287 = "", "Validated", HYPERLINK("#" &amp; ADDRESS(287, 'Additional Videos-WUO_TRK'!A287),_xlfn.TEXTAFTER('Additional Videos-WUO_ERR'!A287, ":"))))</f>
        <v/>
      </c>
    </row>
    <row r="288">
      <c r="A288" s="39">
        <f>IF('Additional Videos'!B288 = "", "", IF('Additional Videos-WUO_ERR'!A288 = "", "Validated", HYPERLINK("#" &amp; ADDRESS(288, 'Additional Videos-WUO_TRK'!A288),_xlfn.TEXTAFTER('Additional Videos-WUO_ERR'!A288, ":"))))</f>
        <v/>
      </c>
    </row>
    <row r="289">
      <c r="A289" s="39">
        <f>IF('Additional Videos'!B289 = "", "", IF('Additional Videos-WUO_ERR'!A289 = "", "Validated", HYPERLINK("#" &amp; ADDRESS(289, 'Additional Videos-WUO_TRK'!A289),_xlfn.TEXTAFTER('Additional Videos-WUO_ERR'!A289, ":"))))</f>
        <v/>
      </c>
    </row>
    <row r="290">
      <c r="A290" s="39">
        <f>IF('Additional Videos'!B290 = "", "", IF('Additional Videos-WUO_ERR'!A290 = "", "Validated", HYPERLINK("#" &amp; ADDRESS(290, 'Additional Videos-WUO_TRK'!A290),_xlfn.TEXTAFTER('Additional Videos-WUO_ERR'!A290, ":"))))</f>
        <v/>
      </c>
    </row>
    <row r="291">
      <c r="A291" s="39">
        <f>IF('Additional Videos'!B291 = "", "", IF('Additional Videos-WUO_ERR'!A291 = "", "Validated", HYPERLINK("#" &amp; ADDRESS(291, 'Additional Videos-WUO_TRK'!A291),_xlfn.TEXTAFTER('Additional Videos-WUO_ERR'!A291, ":"))))</f>
        <v/>
      </c>
    </row>
    <row r="292">
      <c r="A292" s="39">
        <f>IF('Additional Videos'!B292 = "", "", IF('Additional Videos-WUO_ERR'!A292 = "", "Validated", HYPERLINK("#" &amp; ADDRESS(292, 'Additional Videos-WUO_TRK'!A292),_xlfn.TEXTAFTER('Additional Videos-WUO_ERR'!A292, ":"))))</f>
        <v/>
      </c>
    </row>
    <row r="293">
      <c r="A293" s="39">
        <f>IF('Additional Videos'!B293 = "", "", IF('Additional Videos-WUO_ERR'!A293 = "", "Validated", HYPERLINK("#" &amp; ADDRESS(293, 'Additional Videos-WUO_TRK'!A293),_xlfn.TEXTAFTER('Additional Videos-WUO_ERR'!A293, ":"))))</f>
        <v/>
      </c>
    </row>
    <row r="294">
      <c r="A294" s="39">
        <f>IF('Additional Videos'!B294 = "", "", IF('Additional Videos-WUO_ERR'!A294 = "", "Validated", HYPERLINK("#" &amp; ADDRESS(294, 'Additional Videos-WUO_TRK'!A294),_xlfn.TEXTAFTER('Additional Videos-WUO_ERR'!A294, ":"))))</f>
        <v/>
      </c>
    </row>
    <row r="295">
      <c r="A295" s="39">
        <f>IF('Additional Videos'!B295 = "", "", IF('Additional Videos-WUO_ERR'!A295 = "", "Validated", HYPERLINK("#" &amp; ADDRESS(295, 'Additional Videos-WUO_TRK'!A295),_xlfn.TEXTAFTER('Additional Videos-WUO_ERR'!A295, ":"))))</f>
        <v/>
      </c>
    </row>
    <row r="296">
      <c r="A296" s="39">
        <f>IF('Additional Videos'!B296 = "", "", IF('Additional Videos-WUO_ERR'!A296 = "", "Validated", HYPERLINK("#" &amp; ADDRESS(296, 'Additional Videos-WUO_TRK'!A296),_xlfn.TEXTAFTER('Additional Videos-WUO_ERR'!A296, ":"))))</f>
        <v/>
      </c>
    </row>
    <row r="297">
      <c r="A297" s="39">
        <f>IF('Additional Videos'!B297 = "", "", IF('Additional Videos-WUO_ERR'!A297 = "", "Validated", HYPERLINK("#" &amp; ADDRESS(297, 'Additional Videos-WUO_TRK'!A297),_xlfn.TEXTAFTER('Additional Videos-WUO_ERR'!A297, ":"))))</f>
        <v/>
      </c>
    </row>
    <row r="298">
      <c r="A298" s="39">
        <f>IF('Additional Videos'!B298 = "", "", IF('Additional Videos-WUO_ERR'!A298 = "", "Validated", HYPERLINK("#" &amp; ADDRESS(298, 'Additional Videos-WUO_TRK'!A298),_xlfn.TEXTAFTER('Additional Videos-WUO_ERR'!A298, ":"))))</f>
        <v/>
      </c>
    </row>
    <row r="299">
      <c r="A299" s="39">
        <f>IF('Additional Videos'!B299 = "", "", IF('Additional Videos-WUO_ERR'!A299 = "", "Validated", HYPERLINK("#" &amp; ADDRESS(299, 'Additional Videos-WUO_TRK'!A299),_xlfn.TEXTAFTER('Additional Videos-WUO_ERR'!A299, ":"))))</f>
        <v/>
      </c>
    </row>
    <row r="300">
      <c r="A300" s="39">
        <f>IF('Additional Videos'!B300 = "", "", IF('Additional Videos-WUO_ERR'!A300 = "", "Validated", HYPERLINK("#" &amp; ADDRESS(300, 'Additional Videos-WUO_TRK'!A300),_xlfn.TEXTAFTER('Additional Videos-WUO_ERR'!A300, ":"))))</f>
        <v/>
      </c>
    </row>
    <row r="301">
      <c r="A301" s="39">
        <f>IF('Additional Videos'!B301 = "", "", IF('Additional Videos-WUO_ERR'!A301 = "", "Validated", HYPERLINK("#" &amp; ADDRESS(301, 'Additional Videos-WUO_TRK'!A301),_xlfn.TEXTAFTER('Additional Videos-WUO_ERR'!A301, ":"))))</f>
        <v/>
      </c>
    </row>
    <row r="302">
      <c r="A302" s="39">
        <f>IF('Additional Videos'!B302 = "", "", IF('Additional Videos-WUO_ERR'!A302 = "", "Validated", HYPERLINK("#" &amp; ADDRESS(302, 'Additional Videos-WUO_TRK'!A302),_xlfn.TEXTAFTER('Additional Videos-WUO_ERR'!A302, ":"))))</f>
        <v/>
      </c>
    </row>
    <row r="303">
      <c r="A303" s="39">
        <f>IF('Additional Videos'!B303 = "", "", IF('Additional Videos-WUO_ERR'!A303 = "", "Validated", HYPERLINK("#" &amp; ADDRESS(303, 'Additional Videos-WUO_TRK'!A303),_xlfn.TEXTAFTER('Additional Videos-WUO_ERR'!A303, ":"))))</f>
        <v/>
      </c>
    </row>
    <row r="304">
      <c r="A304" s="39">
        <f>IF('Additional Videos'!B304 = "", "", IF('Additional Videos-WUO_ERR'!A304 = "", "Validated", HYPERLINK("#" &amp; ADDRESS(304, 'Additional Videos-WUO_TRK'!A304),_xlfn.TEXTAFTER('Additional Videos-WUO_ERR'!A304, ":"))))</f>
        <v/>
      </c>
    </row>
    <row r="305">
      <c r="A305" s="39">
        <f>IF('Additional Videos'!B305 = "", "", IF('Additional Videos-WUO_ERR'!A305 = "", "Validated", HYPERLINK("#" &amp; ADDRESS(305, 'Additional Videos-WUO_TRK'!A305),_xlfn.TEXTAFTER('Additional Videos-WUO_ERR'!A305, ":"))))</f>
        <v/>
      </c>
    </row>
    <row r="306">
      <c r="A306" s="39">
        <f>IF('Additional Videos'!B306 = "", "", IF('Additional Videos-WUO_ERR'!A306 = "", "Validated", HYPERLINK("#" &amp; ADDRESS(306, 'Additional Videos-WUO_TRK'!A306),_xlfn.TEXTAFTER('Additional Videos-WUO_ERR'!A306, ":"))))</f>
        <v/>
      </c>
    </row>
    <row r="307">
      <c r="A307" s="39">
        <f>IF('Additional Videos'!B307 = "", "", IF('Additional Videos-WUO_ERR'!A307 = "", "Validated", HYPERLINK("#" &amp; ADDRESS(307, 'Additional Videos-WUO_TRK'!A307),_xlfn.TEXTAFTER('Additional Videos-WUO_ERR'!A307, ":"))))</f>
        <v/>
      </c>
    </row>
    <row r="308">
      <c r="A308" s="39">
        <f>IF('Additional Videos'!B308 = "", "", IF('Additional Videos-WUO_ERR'!A308 = "", "Validated", HYPERLINK("#" &amp; ADDRESS(308, 'Additional Videos-WUO_TRK'!A308),_xlfn.TEXTAFTER('Additional Videos-WUO_ERR'!A308, ":"))))</f>
        <v/>
      </c>
    </row>
    <row r="309">
      <c r="A309" s="39">
        <f>IF('Additional Videos'!B309 = "", "", IF('Additional Videos-WUO_ERR'!A309 = "", "Validated", HYPERLINK("#" &amp; ADDRESS(309, 'Additional Videos-WUO_TRK'!A309),_xlfn.TEXTAFTER('Additional Videos-WUO_ERR'!A309, ":"))))</f>
        <v/>
      </c>
    </row>
    <row r="310">
      <c r="A310" s="39">
        <f>IF('Additional Videos'!B310 = "", "", IF('Additional Videos-WUO_ERR'!A310 = "", "Validated", HYPERLINK("#" &amp; ADDRESS(310, 'Additional Videos-WUO_TRK'!A310),_xlfn.TEXTAFTER('Additional Videos-WUO_ERR'!A310, ":"))))</f>
        <v/>
      </c>
    </row>
    <row r="311">
      <c r="A311" s="39">
        <f>IF('Additional Videos'!B311 = "", "", IF('Additional Videos-WUO_ERR'!A311 = "", "Validated", HYPERLINK("#" &amp; ADDRESS(311, 'Additional Videos-WUO_TRK'!A311),_xlfn.TEXTAFTER('Additional Videos-WUO_ERR'!A311, ":"))))</f>
        <v/>
      </c>
    </row>
    <row r="312">
      <c r="A312" s="39">
        <f>IF('Additional Videos'!B312 = "", "", IF('Additional Videos-WUO_ERR'!A312 = "", "Validated", HYPERLINK("#" &amp; ADDRESS(312, 'Additional Videos-WUO_TRK'!A312),_xlfn.TEXTAFTER('Additional Videos-WUO_ERR'!A312, ":"))))</f>
        <v/>
      </c>
    </row>
    <row r="313">
      <c r="A313" s="39">
        <f>IF('Additional Videos'!B313 = "", "", IF('Additional Videos-WUO_ERR'!A313 = "", "Validated", HYPERLINK("#" &amp; ADDRESS(313, 'Additional Videos-WUO_TRK'!A313),_xlfn.TEXTAFTER('Additional Videos-WUO_ERR'!A313, ":"))))</f>
        <v/>
      </c>
    </row>
    <row r="314">
      <c r="A314" s="39">
        <f>IF('Additional Videos'!B314 = "", "", IF('Additional Videos-WUO_ERR'!A314 = "", "Validated", HYPERLINK("#" &amp; ADDRESS(314, 'Additional Videos-WUO_TRK'!A314),_xlfn.TEXTAFTER('Additional Videos-WUO_ERR'!A314, ":"))))</f>
        <v/>
      </c>
    </row>
    <row r="315">
      <c r="A315" s="39">
        <f>IF('Additional Videos'!B315 = "", "", IF('Additional Videos-WUO_ERR'!A315 = "", "Validated", HYPERLINK("#" &amp; ADDRESS(315, 'Additional Videos-WUO_TRK'!A315),_xlfn.TEXTAFTER('Additional Videos-WUO_ERR'!A315, ":"))))</f>
        <v/>
      </c>
    </row>
    <row r="316">
      <c r="A316" s="39">
        <f>IF('Additional Videos'!B316 = "", "", IF('Additional Videos-WUO_ERR'!A316 = "", "Validated", HYPERLINK("#" &amp; ADDRESS(316, 'Additional Videos-WUO_TRK'!A316),_xlfn.TEXTAFTER('Additional Videos-WUO_ERR'!A316, ":"))))</f>
        <v/>
      </c>
    </row>
    <row r="317">
      <c r="A317" s="39">
        <f>IF('Additional Videos'!B317 = "", "", IF('Additional Videos-WUO_ERR'!A317 = "", "Validated", HYPERLINK("#" &amp; ADDRESS(317, 'Additional Videos-WUO_TRK'!A317),_xlfn.TEXTAFTER('Additional Videos-WUO_ERR'!A317, ":"))))</f>
        <v/>
      </c>
    </row>
    <row r="318">
      <c r="A318" s="39">
        <f>IF('Additional Videos'!B318 = "", "", IF('Additional Videos-WUO_ERR'!A318 = "", "Validated", HYPERLINK("#" &amp; ADDRESS(318, 'Additional Videos-WUO_TRK'!A318),_xlfn.TEXTAFTER('Additional Videos-WUO_ERR'!A318, ":"))))</f>
        <v/>
      </c>
    </row>
    <row r="319">
      <c r="A319" s="39">
        <f>IF('Additional Videos'!B319 = "", "", IF('Additional Videos-WUO_ERR'!A319 = "", "Validated", HYPERLINK("#" &amp; ADDRESS(319, 'Additional Videos-WUO_TRK'!A319),_xlfn.TEXTAFTER('Additional Videos-WUO_ERR'!A319, ":"))))</f>
        <v/>
      </c>
    </row>
    <row r="320">
      <c r="A320" s="39">
        <f>IF('Additional Videos'!B320 = "", "", IF('Additional Videos-WUO_ERR'!A320 = "", "Validated", HYPERLINK("#" &amp; ADDRESS(320, 'Additional Videos-WUO_TRK'!A320),_xlfn.TEXTAFTER('Additional Videos-WUO_ERR'!A320, ":"))))</f>
        <v/>
      </c>
    </row>
    <row r="321">
      <c r="A321" s="39">
        <f>IF('Additional Videos'!B321 = "", "", IF('Additional Videos-WUO_ERR'!A321 = "", "Validated", HYPERLINK("#" &amp; ADDRESS(321, 'Additional Videos-WUO_TRK'!A321),_xlfn.TEXTAFTER('Additional Videos-WUO_ERR'!A321, ":"))))</f>
        <v/>
      </c>
    </row>
    <row r="322">
      <c r="A322" s="39">
        <f>IF('Additional Videos'!B322 = "", "", IF('Additional Videos-WUO_ERR'!A322 = "", "Validated", HYPERLINK("#" &amp; ADDRESS(322, 'Additional Videos-WUO_TRK'!A322),_xlfn.TEXTAFTER('Additional Videos-WUO_ERR'!A322, ":"))))</f>
        <v/>
      </c>
    </row>
    <row r="323">
      <c r="A323" s="39">
        <f>IF('Additional Videos'!B323 = "", "", IF('Additional Videos-WUO_ERR'!A323 = "", "Validated", HYPERLINK("#" &amp; ADDRESS(323, 'Additional Videos-WUO_TRK'!A323),_xlfn.TEXTAFTER('Additional Videos-WUO_ERR'!A323, ":"))))</f>
        <v/>
      </c>
    </row>
    <row r="324">
      <c r="A324" s="39">
        <f>IF('Additional Videos'!B324 = "", "", IF('Additional Videos-WUO_ERR'!A324 = "", "Validated", HYPERLINK("#" &amp; ADDRESS(324, 'Additional Videos-WUO_TRK'!A324),_xlfn.TEXTAFTER('Additional Videos-WUO_ERR'!A324, ":"))))</f>
        <v/>
      </c>
    </row>
    <row r="325">
      <c r="A325" s="39">
        <f>IF('Additional Videos'!B325 = "", "", IF('Additional Videos-WUO_ERR'!A325 = "", "Validated", HYPERLINK("#" &amp; ADDRESS(325, 'Additional Videos-WUO_TRK'!A325),_xlfn.TEXTAFTER('Additional Videos-WUO_ERR'!A325, ":"))))</f>
        <v/>
      </c>
    </row>
    <row r="326">
      <c r="A326" s="39">
        <f>IF('Additional Videos'!B326 = "", "", IF('Additional Videos-WUO_ERR'!A326 = "", "Validated", HYPERLINK("#" &amp; ADDRESS(326, 'Additional Videos-WUO_TRK'!A326),_xlfn.TEXTAFTER('Additional Videos-WUO_ERR'!A326, ":"))))</f>
        <v/>
      </c>
    </row>
    <row r="327">
      <c r="A327" s="39">
        <f>IF('Additional Videos'!B327 = "", "", IF('Additional Videos-WUO_ERR'!A327 = "", "Validated", HYPERLINK("#" &amp; ADDRESS(327, 'Additional Videos-WUO_TRK'!A327),_xlfn.TEXTAFTER('Additional Videos-WUO_ERR'!A327, ":"))))</f>
        <v/>
      </c>
    </row>
    <row r="328">
      <c r="A328" s="39">
        <f>IF('Additional Videos'!B328 = "", "", IF('Additional Videos-WUO_ERR'!A328 = "", "Validated", HYPERLINK("#" &amp; ADDRESS(328, 'Additional Videos-WUO_TRK'!A328),_xlfn.TEXTAFTER('Additional Videos-WUO_ERR'!A328, ":"))))</f>
        <v/>
      </c>
    </row>
    <row r="329">
      <c r="A329" s="39">
        <f>IF('Additional Videos'!B329 = "", "", IF('Additional Videos-WUO_ERR'!A329 = "", "Validated", HYPERLINK("#" &amp; ADDRESS(329, 'Additional Videos-WUO_TRK'!A329),_xlfn.TEXTAFTER('Additional Videos-WUO_ERR'!A329, ":"))))</f>
        <v/>
      </c>
    </row>
    <row r="330">
      <c r="A330" s="39">
        <f>IF('Additional Videos'!B330 = "", "", IF('Additional Videos-WUO_ERR'!A330 = "", "Validated", HYPERLINK("#" &amp; ADDRESS(330, 'Additional Videos-WUO_TRK'!A330),_xlfn.TEXTAFTER('Additional Videos-WUO_ERR'!A330, ":"))))</f>
        <v/>
      </c>
    </row>
    <row r="331">
      <c r="A331" s="39">
        <f>IF('Additional Videos'!B331 = "", "", IF('Additional Videos-WUO_ERR'!A331 = "", "Validated", HYPERLINK("#" &amp; ADDRESS(331, 'Additional Videos-WUO_TRK'!A331),_xlfn.TEXTAFTER('Additional Videos-WUO_ERR'!A331, ":"))))</f>
        <v/>
      </c>
    </row>
    <row r="332">
      <c r="A332" s="39">
        <f>IF('Additional Videos'!B332 = "", "", IF('Additional Videos-WUO_ERR'!A332 = "", "Validated", HYPERLINK("#" &amp; ADDRESS(332, 'Additional Videos-WUO_TRK'!A332),_xlfn.TEXTAFTER('Additional Videos-WUO_ERR'!A332, ":"))))</f>
        <v/>
      </c>
    </row>
    <row r="333">
      <c r="A333" s="39">
        <f>IF('Additional Videos'!B333 = "", "", IF('Additional Videos-WUO_ERR'!A333 = "", "Validated", HYPERLINK("#" &amp; ADDRESS(333, 'Additional Videos-WUO_TRK'!A333),_xlfn.TEXTAFTER('Additional Videos-WUO_ERR'!A333, ":"))))</f>
        <v/>
      </c>
    </row>
    <row r="334">
      <c r="A334" s="39">
        <f>IF('Additional Videos'!B334 = "", "", IF('Additional Videos-WUO_ERR'!A334 = "", "Validated", HYPERLINK("#" &amp; ADDRESS(334, 'Additional Videos-WUO_TRK'!A334),_xlfn.TEXTAFTER('Additional Videos-WUO_ERR'!A334, ":"))))</f>
        <v/>
      </c>
    </row>
    <row r="335">
      <c r="A335" s="39">
        <f>IF('Additional Videos'!B335 = "", "", IF('Additional Videos-WUO_ERR'!A335 = "", "Validated", HYPERLINK("#" &amp; ADDRESS(335, 'Additional Videos-WUO_TRK'!A335),_xlfn.TEXTAFTER('Additional Videos-WUO_ERR'!A335, ":"))))</f>
        <v/>
      </c>
    </row>
    <row r="336">
      <c r="A336" s="39">
        <f>IF('Additional Videos'!B336 = "", "", IF('Additional Videos-WUO_ERR'!A336 = "", "Validated", HYPERLINK("#" &amp; ADDRESS(336, 'Additional Videos-WUO_TRK'!A336),_xlfn.TEXTAFTER('Additional Videos-WUO_ERR'!A336, ":"))))</f>
        <v/>
      </c>
    </row>
    <row r="337">
      <c r="A337" s="39">
        <f>IF('Additional Videos'!B337 = "", "", IF('Additional Videos-WUO_ERR'!A337 = "", "Validated", HYPERLINK("#" &amp; ADDRESS(337, 'Additional Videos-WUO_TRK'!A337),_xlfn.TEXTAFTER('Additional Videos-WUO_ERR'!A337, ":"))))</f>
        <v/>
      </c>
    </row>
    <row r="338">
      <c r="A338" s="39">
        <f>IF('Additional Videos'!B338 = "", "", IF('Additional Videos-WUO_ERR'!A338 = "", "Validated", HYPERLINK("#" &amp; ADDRESS(338, 'Additional Videos-WUO_TRK'!A338),_xlfn.TEXTAFTER('Additional Videos-WUO_ERR'!A338, ":"))))</f>
        <v/>
      </c>
    </row>
    <row r="339">
      <c r="A339" s="39">
        <f>IF('Additional Videos'!B339 = "", "", IF('Additional Videos-WUO_ERR'!A339 = "", "Validated", HYPERLINK("#" &amp; ADDRESS(339, 'Additional Videos-WUO_TRK'!A339),_xlfn.TEXTAFTER('Additional Videos-WUO_ERR'!A339, ":"))))</f>
        <v/>
      </c>
    </row>
    <row r="340">
      <c r="A340" s="39">
        <f>IF('Additional Videos'!B340 = "", "", IF('Additional Videos-WUO_ERR'!A340 = "", "Validated", HYPERLINK("#" &amp; ADDRESS(340, 'Additional Videos-WUO_TRK'!A340),_xlfn.TEXTAFTER('Additional Videos-WUO_ERR'!A340, ":"))))</f>
        <v/>
      </c>
    </row>
    <row r="341">
      <c r="A341" s="39">
        <f>IF('Additional Videos'!B341 = "", "", IF('Additional Videos-WUO_ERR'!A341 = "", "Validated", HYPERLINK("#" &amp; ADDRESS(341, 'Additional Videos-WUO_TRK'!A341),_xlfn.TEXTAFTER('Additional Videos-WUO_ERR'!A341, ":"))))</f>
        <v/>
      </c>
    </row>
    <row r="342">
      <c r="A342" s="39">
        <f>IF('Additional Videos'!B342 = "", "", IF('Additional Videos-WUO_ERR'!A342 = "", "Validated", HYPERLINK("#" &amp; ADDRESS(342, 'Additional Videos-WUO_TRK'!A342),_xlfn.TEXTAFTER('Additional Videos-WUO_ERR'!A342, ":"))))</f>
        <v/>
      </c>
    </row>
    <row r="343">
      <c r="A343" s="39">
        <f>IF('Additional Videos'!B343 = "", "", IF('Additional Videos-WUO_ERR'!A343 = "", "Validated", HYPERLINK("#" &amp; ADDRESS(343, 'Additional Videos-WUO_TRK'!A343),_xlfn.TEXTAFTER('Additional Videos-WUO_ERR'!A343, ":"))))</f>
        <v/>
      </c>
    </row>
    <row r="344">
      <c r="A344" s="39">
        <f>IF('Additional Videos'!B344 = "", "", IF('Additional Videos-WUO_ERR'!A344 = "", "Validated", HYPERLINK("#" &amp; ADDRESS(344, 'Additional Videos-WUO_TRK'!A344),_xlfn.TEXTAFTER('Additional Videos-WUO_ERR'!A344, ":"))))</f>
        <v/>
      </c>
    </row>
    <row r="345">
      <c r="A345" s="39">
        <f>IF('Additional Videos'!B345 = "", "", IF('Additional Videos-WUO_ERR'!A345 = "", "Validated", HYPERLINK("#" &amp; ADDRESS(345, 'Additional Videos-WUO_TRK'!A345),_xlfn.TEXTAFTER('Additional Videos-WUO_ERR'!A345, ":"))))</f>
        <v/>
      </c>
    </row>
    <row r="346">
      <c r="A346" s="39">
        <f>IF('Additional Videos'!B346 = "", "", IF('Additional Videos-WUO_ERR'!A346 = "", "Validated", HYPERLINK("#" &amp; ADDRESS(346, 'Additional Videos-WUO_TRK'!A346),_xlfn.TEXTAFTER('Additional Videos-WUO_ERR'!A346, ":"))))</f>
        <v/>
      </c>
    </row>
    <row r="347">
      <c r="A347" s="39">
        <f>IF('Additional Videos'!B347 = "", "", IF('Additional Videos-WUO_ERR'!A347 = "", "Validated", HYPERLINK("#" &amp; ADDRESS(347, 'Additional Videos-WUO_TRK'!A347),_xlfn.TEXTAFTER('Additional Videos-WUO_ERR'!A347, ":"))))</f>
        <v/>
      </c>
    </row>
    <row r="348">
      <c r="A348" s="39">
        <f>IF('Additional Videos'!B348 = "", "", IF('Additional Videos-WUO_ERR'!A348 = "", "Validated", HYPERLINK("#" &amp; ADDRESS(348, 'Additional Videos-WUO_TRK'!A348),_xlfn.TEXTAFTER('Additional Videos-WUO_ERR'!A348, ":"))))</f>
        <v/>
      </c>
    </row>
    <row r="349">
      <c r="A349" s="39">
        <f>IF('Additional Videos'!B349 = "", "", IF('Additional Videos-WUO_ERR'!A349 = "", "Validated", HYPERLINK("#" &amp; ADDRESS(349, 'Additional Videos-WUO_TRK'!A349),_xlfn.TEXTAFTER('Additional Videos-WUO_ERR'!A349, ":"))))</f>
        <v/>
      </c>
    </row>
    <row r="350">
      <c r="A350" s="39">
        <f>IF('Additional Videos'!B350 = "", "", IF('Additional Videos-WUO_ERR'!A350 = "", "Validated", HYPERLINK("#" &amp; ADDRESS(350, 'Additional Videos-WUO_TRK'!A350),_xlfn.TEXTAFTER('Additional Videos-WUO_ERR'!A350, ":"))))</f>
        <v/>
      </c>
    </row>
    <row r="351">
      <c r="A351" s="39">
        <f>IF('Additional Videos'!B351 = "", "", IF('Additional Videos-WUO_ERR'!A351 = "", "Validated", HYPERLINK("#" &amp; ADDRESS(351, 'Additional Videos-WUO_TRK'!A351),_xlfn.TEXTAFTER('Additional Videos-WUO_ERR'!A351, ":"))))</f>
        <v/>
      </c>
    </row>
    <row r="352">
      <c r="A352" s="39">
        <f>IF('Additional Videos'!B352 = "", "", IF('Additional Videos-WUO_ERR'!A352 = "", "Validated", HYPERLINK("#" &amp; ADDRESS(352, 'Additional Videos-WUO_TRK'!A352),_xlfn.TEXTAFTER('Additional Videos-WUO_ERR'!A352, ":"))))</f>
        <v/>
      </c>
    </row>
    <row r="353">
      <c r="A353" s="39">
        <f>IF('Additional Videos'!B353 = "", "", IF('Additional Videos-WUO_ERR'!A353 = "", "Validated", HYPERLINK("#" &amp; ADDRESS(353, 'Additional Videos-WUO_TRK'!A353),_xlfn.TEXTAFTER('Additional Videos-WUO_ERR'!A353, ":"))))</f>
        <v/>
      </c>
    </row>
    <row r="354">
      <c r="A354" s="39">
        <f>IF('Additional Videos'!B354 = "", "", IF('Additional Videos-WUO_ERR'!A354 = "", "Validated", HYPERLINK("#" &amp; ADDRESS(354, 'Additional Videos-WUO_TRK'!A354),_xlfn.TEXTAFTER('Additional Videos-WUO_ERR'!A354, ":"))))</f>
        <v/>
      </c>
    </row>
    <row r="355">
      <c r="A355" s="39">
        <f>IF('Additional Videos'!B355 = "", "", IF('Additional Videos-WUO_ERR'!A355 = "", "Validated", HYPERLINK("#" &amp; ADDRESS(355, 'Additional Videos-WUO_TRK'!A355),_xlfn.TEXTAFTER('Additional Videos-WUO_ERR'!A355, ":"))))</f>
        <v/>
      </c>
    </row>
    <row r="356">
      <c r="A356" s="39">
        <f>IF('Additional Videos'!B356 = "", "", IF('Additional Videos-WUO_ERR'!A356 = "", "Validated", HYPERLINK("#" &amp; ADDRESS(356, 'Additional Videos-WUO_TRK'!A356),_xlfn.TEXTAFTER('Additional Videos-WUO_ERR'!A356, ":"))))</f>
        <v/>
      </c>
    </row>
    <row r="357">
      <c r="A357" s="39">
        <f>IF('Additional Videos'!B357 = "", "", IF('Additional Videos-WUO_ERR'!A357 = "", "Validated", HYPERLINK("#" &amp; ADDRESS(357, 'Additional Videos-WUO_TRK'!A357),_xlfn.TEXTAFTER('Additional Videos-WUO_ERR'!A357, ":"))))</f>
        <v/>
      </c>
    </row>
    <row r="358">
      <c r="A358" s="39">
        <f>IF('Additional Videos'!B358 = "", "", IF('Additional Videos-WUO_ERR'!A358 = "", "Validated", HYPERLINK("#" &amp; ADDRESS(358, 'Additional Videos-WUO_TRK'!A358),_xlfn.TEXTAFTER('Additional Videos-WUO_ERR'!A358, ":"))))</f>
        <v/>
      </c>
    </row>
    <row r="359">
      <c r="A359" s="39">
        <f>IF('Additional Videos'!B359 = "", "", IF('Additional Videos-WUO_ERR'!A359 = "", "Validated", HYPERLINK("#" &amp; ADDRESS(359, 'Additional Videos-WUO_TRK'!A359),_xlfn.TEXTAFTER('Additional Videos-WUO_ERR'!A359, ":"))))</f>
        <v/>
      </c>
    </row>
    <row r="360">
      <c r="A360" s="39">
        <f>IF('Additional Videos'!B360 = "", "", IF('Additional Videos-WUO_ERR'!A360 = "", "Validated", HYPERLINK("#" &amp; ADDRESS(360, 'Additional Videos-WUO_TRK'!A360),_xlfn.TEXTAFTER('Additional Videos-WUO_ERR'!A360, ":"))))</f>
        <v/>
      </c>
    </row>
    <row r="361">
      <c r="A361" s="39">
        <f>IF('Additional Videos'!B361 = "", "", IF('Additional Videos-WUO_ERR'!A361 = "", "Validated", HYPERLINK("#" &amp; ADDRESS(361, 'Additional Videos-WUO_TRK'!A361),_xlfn.TEXTAFTER('Additional Videos-WUO_ERR'!A361, ":"))))</f>
        <v/>
      </c>
    </row>
    <row r="362">
      <c r="A362" s="39">
        <f>IF('Additional Videos'!B362 = "", "", IF('Additional Videos-WUO_ERR'!A362 = "", "Validated", HYPERLINK("#" &amp; ADDRESS(362, 'Additional Videos-WUO_TRK'!A362),_xlfn.TEXTAFTER('Additional Videos-WUO_ERR'!A362, ":"))))</f>
        <v/>
      </c>
    </row>
    <row r="363">
      <c r="A363" s="39">
        <f>IF('Additional Videos'!B363 = "", "", IF('Additional Videos-WUO_ERR'!A363 = "", "Validated", HYPERLINK("#" &amp; ADDRESS(363, 'Additional Videos-WUO_TRK'!A363),_xlfn.TEXTAFTER('Additional Videos-WUO_ERR'!A363, ":"))))</f>
        <v/>
      </c>
    </row>
    <row r="364">
      <c r="A364" s="39">
        <f>IF('Additional Videos'!B364 = "", "", IF('Additional Videos-WUO_ERR'!A364 = "", "Validated", HYPERLINK("#" &amp; ADDRESS(364, 'Additional Videos-WUO_TRK'!A364),_xlfn.TEXTAFTER('Additional Videos-WUO_ERR'!A364, ":"))))</f>
        <v/>
      </c>
    </row>
    <row r="365">
      <c r="A365" s="39">
        <f>IF('Additional Videos'!B365 = "", "", IF('Additional Videos-WUO_ERR'!A365 = "", "Validated", HYPERLINK("#" &amp; ADDRESS(365, 'Additional Videos-WUO_TRK'!A365),_xlfn.TEXTAFTER('Additional Videos-WUO_ERR'!A365, ":"))))</f>
        <v/>
      </c>
    </row>
    <row r="366">
      <c r="A366" s="39">
        <f>IF('Additional Videos'!B366 = "", "", IF('Additional Videos-WUO_ERR'!A366 = "", "Validated", HYPERLINK("#" &amp; ADDRESS(366, 'Additional Videos-WUO_TRK'!A366),_xlfn.TEXTAFTER('Additional Videos-WUO_ERR'!A366, ":"))))</f>
        <v/>
      </c>
    </row>
    <row r="367">
      <c r="A367" s="39">
        <f>IF('Additional Videos'!B367 = "", "", IF('Additional Videos-WUO_ERR'!A367 = "", "Validated", HYPERLINK("#" &amp; ADDRESS(367, 'Additional Videos-WUO_TRK'!A367),_xlfn.TEXTAFTER('Additional Videos-WUO_ERR'!A367, ":"))))</f>
        <v/>
      </c>
    </row>
    <row r="368">
      <c r="A368" s="39">
        <f>IF('Additional Videos'!B368 = "", "", IF('Additional Videos-WUO_ERR'!A368 = "", "Validated", HYPERLINK("#" &amp; ADDRESS(368, 'Additional Videos-WUO_TRK'!A368),_xlfn.TEXTAFTER('Additional Videos-WUO_ERR'!A368, ":"))))</f>
        <v/>
      </c>
    </row>
    <row r="369">
      <c r="A369" s="39">
        <f>IF('Additional Videos'!B369 = "", "", IF('Additional Videos-WUO_ERR'!A369 = "", "Validated", HYPERLINK("#" &amp; ADDRESS(369, 'Additional Videos-WUO_TRK'!A369),_xlfn.TEXTAFTER('Additional Videos-WUO_ERR'!A369, ":"))))</f>
        <v/>
      </c>
    </row>
    <row r="370">
      <c r="A370" s="39">
        <f>IF('Additional Videos'!B370 = "", "", IF('Additional Videos-WUO_ERR'!A370 = "", "Validated", HYPERLINK("#" &amp; ADDRESS(370, 'Additional Videos-WUO_TRK'!A370),_xlfn.TEXTAFTER('Additional Videos-WUO_ERR'!A370, ":"))))</f>
        <v/>
      </c>
    </row>
    <row r="371">
      <c r="A371" s="39">
        <f>IF('Additional Videos'!B371 = "", "", IF('Additional Videos-WUO_ERR'!A371 = "", "Validated", HYPERLINK("#" &amp; ADDRESS(371, 'Additional Videos-WUO_TRK'!A371),_xlfn.TEXTAFTER('Additional Videos-WUO_ERR'!A371, ":"))))</f>
        <v/>
      </c>
    </row>
    <row r="372">
      <c r="A372" s="39">
        <f>IF('Additional Videos'!B372 = "", "", IF('Additional Videos-WUO_ERR'!A372 = "", "Validated", HYPERLINK("#" &amp; ADDRESS(372, 'Additional Videos-WUO_TRK'!A372),_xlfn.TEXTAFTER('Additional Videos-WUO_ERR'!A372, ":"))))</f>
        <v/>
      </c>
    </row>
    <row r="373">
      <c r="A373" s="39">
        <f>IF('Additional Videos'!B373 = "", "", IF('Additional Videos-WUO_ERR'!A373 = "", "Validated", HYPERLINK("#" &amp; ADDRESS(373, 'Additional Videos-WUO_TRK'!A373),_xlfn.TEXTAFTER('Additional Videos-WUO_ERR'!A373, ":"))))</f>
        <v/>
      </c>
    </row>
    <row r="374">
      <c r="A374" s="39">
        <f>IF('Additional Videos'!B374 = "", "", IF('Additional Videos-WUO_ERR'!A374 = "", "Validated", HYPERLINK("#" &amp; ADDRESS(374, 'Additional Videos-WUO_TRK'!A374),_xlfn.TEXTAFTER('Additional Videos-WUO_ERR'!A374, ":"))))</f>
        <v/>
      </c>
    </row>
    <row r="375">
      <c r="A375" s="39">
        <f>IF('Additional Videos'!B375 = "", "", IF('Additional Videos-WUO_ERR'!A375 = "", "Validated", HYPERLINK("#" &amp; ADDRESS(375, 'Additional Videos-WUO_TRK'!A375),_xlfn.TEXTAFTER('Additional Videos-WUO_ERR'!A375, ":"))))</f>
        <v/>
      </c>
    </row>
    <row r="376">
      <c r="A376" s="39">
        <f>IF('Additional Videos'!B376 = "", "", IF('Additional Videos-WUO_ERR'!A376 = "", "Validated", HYPERLINK("#" &amp; ADDRESS(376, 'Additional Videos-WUO_TRK'!A376),_xlfn.TEXTAFTER('Additional Videos-WUO_ERR'!A376, ":"))))</f>
        <v/>
      </c>
    </row>
    <row r="377">
      <c r="A377" s="39">
        <f>IF('Additional Videos'!B377 = "", "", IF('Additional Videos-WUO_ERR'!A377 = "", "Validated", HYPERLINK("#" &amp; ADDRESS(377, 'Additional Videos-WUO_TRK'!A377),_xlfn.TEXTAFTER('Additional Videos-WUO_ERR'!A377, ":"))))</f>
        <v/>
      </c>
    </row>
    <row r="378">
      <c r="A378" s="39">
        <f>IF('Additional Videos'!B378 = "", "", IF('Additional Videos-WUO_ERR'!A378 = "", "Validated", HYPERLINK("#" &amp; ADDRESS(378, 'Additional Videos-WUO_TRK'!A378),_xlfn.TEXTAFTER('Additional Videos-WUO_ERR'!A378, ":"))))</f>
        <v/>
      </c>
    </row>
    <row r="379">
      <c r="A379" s="39">
        <f>IF('Additional Videos'!B379 = "", "", IF('Additional Videos-WUO_ERR'!A379 = "", "Validated", HYPERLINK("#" &amp; ADDRESS(379, 'Additional Videos-WUO_TRK'!A379),_xlfn.TEXTAFTER('Additional Videos-WUO_ERR'!A379, ":"))))</f>
        <v/>
      </c>
    </row>
    <row r="380">
      <c r="A380" s="39">
        <f>IF('Additional Videos'!B380 = "", "", IF('Additional Videos-WUO_ERR'!A380 = "", "Validated", HYPERLINK("#" &amp; ADDRESS(380, 'Additional Videos-WUO_TRK'!A380),_xlfn.TEXTAFTER('Additional Videos-WUO_ERR'!A380, ":"))))</f>
        <v/>
      </c>
    </row>
    <row r="381">
      <c r="A381" s="39">
        <f>IF('Additional Videos'!B381 = "", "", IF('Additional Videos-WUO_ERR'!A381 = "", "Validated", HYPERLINK("#" &amp; ADDRESS(381, 'Additional Videos-WUO_TRK'!A381),_xlfn.TEXTAFTER('Additional Videos-WUO_ERR'!A381, ":"))))</f>
        <v/>
      </c>
    </row>
    <row r="382">
      <c r="A382" s="39">
        <f>IF('Additional Videos'!B382 = "", "", IF('Additional Videos-WUO_ERR'!A382 = "", "Validated", HYPERLINK("#" &amp; ADDRESS(382, 'Additional Videos-WUO_TRK'!A382),_xlfn.TEXTAFTER('Additional Videos-WUO_ERR'!A382, ":"))))</f>
        <v/>
      </c>
    </row>
    <row r="383">
      <c r="A383" s="39">
        <f>IF('Additional Videos'!B383 = "", "", IF('Additional Videos-WUO_ERR'!A383 = "", "Validated", HYPERLINK("#" &amp; ADDRESS(383, 'Additional Videos-WUO_TRK'!A383),_xlfn.TEXTAFTER('Additional Videos-WUO_ERR'!A383, ":"))))</f>
        <v/>
      </c>
    </row>
    <row r="384">
      <c r="A384" s="39">
        <f>IF('Additional Videos'!B384 = "", "", IF('Additional Videos-WUO_ERR'!A384 = "", "Validated", HYPERLINK("#" &amp; ADDRESS(384, 'Additional Videos-WUO_TRK'!A384),_xlfn.TEXTAFTER('Additional Videos-WUO_ERR'!A384, ":"))))</f>
        <v/>
      </c>
    </row>
    <row r="385">
      <c r="A385" s="39">
        <f>IF('Additional Videos'!B385 = "", "", IF('Additional Videos-WUO_ERR'!A385 = "", "Validated", HYPERLINK("#" &amp; ADDRESS(385, 'Additional Videos-WUO_TRK'!A385),_xlfn.TEXTAFTER('Additional Videos-WUO_ERR'!A385, ":"))))</f>
        <v/>
      </c>
    </row>
    <row r="386">
      <c r="A386" s="39">
        <f>IF('Additional Videos'!B386 = "", "", IF('Additional Videos-WUO_ERR'!A386 = "", "Validated", HYPERLINK("#" &amp; ADDRESS(386, 'Additional Videos-WUO_TRK'!A386),_xlfn.TEXTAFTER('Additional Videos-WUO_ERR'!A386, ":"))))</f>
        <v/>
      </c>
    </row>
    <row r="387">
      <c r="A387" s="39">
        <f>IF('Additional Videos'!B387 = "", "", IF('Additional Videos-WUO_ERR'!A387 = "", "Validated", HYPERLINK("#" &amp; ADDRESS(387, 'Additional Videos-WUO_TRK'!A387),_xlfn.TEXTAFTER('Additional Videos-WUO_ERR'!A387, ":"))))</f>
        <v/>
      </c>
    </row>
    <row r="388">
      <c r="A388" s="39">
        <f>IF('Additional Videos'!B388 = "", "", IF('Additional Videos-WUO_ERR'!A388 = "", "Validated", HYPERLINK("#" &amp; ADDRESS(388, 'Additional Videos-WUO_TRK'!A388),_xlfn.TEXTAFTER('Additional Videos-WUO_ERR'!A388, ":"))))</f>
        <v/>
      </c>
    </row>
    <row r="389">
      <c r="A389" s="39">
        <f>IF('Additional Videos'!B389 = "", "", IF('Additional Videos-WUO_ERR'!A389 = "", "Validated", HYPERLINK("#" &amp; ADDRESS(389, 'Additional Videos-WUO_TRK'!A389),_xlfn.TEXTAFTER('Additional Videos-WUO_ERR'!A389, ":"))))</f>
        <v/>
      </c>
    </row>
    <row r="390">
      <c r="A390" s="39">
        <f>IF('Additional Videos'!B390 = "", "", IF('Additional Videos-WUO_ERR'!A390 = "", "Validated", HYPERLINK("#" &amp; ADDRESS(390, 'Additional Videos-WUO_TRK'!A390),_xlfn.TEXTAFTER('Additional Videos-WUO_ERR'!A390, ":"))))</f>
        <v/>
      </c>
    </row>
    <row r="391">
      <c r="A391" s="39">
        <f>IF('Additional Videos'!B391 = "", "", IF('Additional Videos-WUO_ERR'!A391 = "", "Validated", HYPERLINK("#" &amp; ADDRESS(391, 'Additional Videos-WUO_TRK'!A391),_xlfn.TEXTAFTER('Additional Videos-WUO_ERR'!A391, ":"))))</f>
        <v/>
      </c>
    </row>
    <row r="392">
      <c r="A392" s="39">
        <f>IF('Additional Videos'!B392 = "", "", IF('Additional Videos-WUO_ERR'!A392 = "", "Validated", HYPERLINK("#" &amp; ADDRESS(392, 'Additional Videos-WUO_TRK'!A392),_xlfn.TEXTAFTER('Additional Videos-WUO_ERR'!A392, ":"))))</f>
        <v/>
      </c>
    </row>
    <row r="393">
      <c r="A393" s="39">
        <f>IF('Additional Videos'!B393 = "", "", IF('Additional Videos-WUO_ERR'!A393 = "", "Validated", HYPERLINK("#" &amp; ADDRESS(393, 'Additional Videos-WUO_TRK'!A393),_xlfn.TEXTAFTER('Additional Videos-WUO_ERR'!A393, ":"))))</f>
        <v/>
      </c>
    </row>
    <row r="394">
      <c r="A394" s="39">
        <f>IF('Additional Videos'!B394 = "", "", IF('Additional Videos-WUO_ERR'!A394 = "", "Validated", HYPERLINK("#" &amp; ADDRESS(394, 'Additional Videos-WUO_TRK'!A394),_xlfn.TEXTAFTER('Additional Videos-WUO_ERR'!A394, ":"))))</f>
        <v/>
      </c>
    </row>
    <row r="395">
      <c r="A395" s="39">
        <f>IF('Additional Videos'!B395 = "", "", IF('Additional Videos-WUO_ERR'!A395 = "", "Validated", HYPERLINK("#" &amp; ADDRESS(395, 'Additional Videos-WUO_TRK'!A395),_xlfn.TEXTAFTER('Additional Videos-WUO_ERR'!A395, ":"))))</f>
        <v/>
      </c>
    </row>
    <row r="396">
      <c r="A396" s="39">
        <f>IF('Additional Videos'!B396 = "", "", IF('Additional Videos-WUO_ERR'!A396 = "", "Validated", HYPERLINK("#" &amp; ADDRESS(396, 'Additional Videos-WUO_TRK'!A396),_xlfn.TEXTAFTER('Additional Videos-WUO_ERR'!A396, ":"))))</f>
        <v/>
      </c>
    </row>
    <row r="397">
      <c r="A397" s="39">
        <f>IF('Additional Videos'!B397 = "", "", IF('Additional Videos-WUO_ERR'!A397 = "", "Validated", HYPERLINK("#" &amp; ADDRESS(397, 'Additional Videos-WUO_TRK'!A397),_xlfn.TEXTAFTER('Additional Videos-WUO_ERR'!A397, ":"))))</f>
        <v/>
      </c>
    </row>
    <row r="398">
      <c r="A398" s="39">
        <f>IF('Additional Videos'!B398 = "", "", IF('Additional Videos-WUO_ERR'!A398 = "", "Validated", HYPERLINK("#" &amp; ADDRESS(398, 'Additional Videos-WUO_TRK'!A398),_xlfn.TEXTAFTER('Additional Videos-WUO_ERR'!A398, ":"))))</f>
        <v/>
      </c>
    </row>
    <row r="399">
      <c r="A399" s="39">
        <f>IF('Additional Videos'!B399 = "", "", IF('Additional Videos-WUO_ERR'!A399 = "", "Validated", HYPERLINK("#" &amp; ADDRESS(399, 'Additional Videos-WUO_TRK'!A399),_xlfn.TEXTAFTER('Additional Videos-WUO_ERR'!A399, ":"))))</f>
        <v/>
      </c>
    </row>
    <row r="400">
      <c r="A400" s="39">
        <f>IF('Additional Videos'!B400 = "", "", IF('Additional Videos-WUO_ERR'!A400 = "", "Validated", HYPERLINK("#" &amp; ADDRESS(400, 'Additional Videos-WUO_TRK'!A400),_xlfn.TEXTAFTER('Additional Videos-WUO_ERR'!A400, ":"))))</f>
        <v/>
      </c>
    </row>
    <row r="401">
      <c r="A401" s="39">
        <f>IF('Additional Videos'!B401 = "", "", IF('Additional Videos-WUO_ERR'!A401 = "", "Validated", HYPERLINK("#" &amp; ADDRESS(401, 'Additional Videos-WUO_TRK'!A401),_xlfn.TEXTAFTER('Additional Videos-WUO_ERR'!A401, ":"))))</f>
        <v/>
      </c>
    </row>
    <row r="402">
      <c r="A402" s="39">
        <f>IF('Additional Videos'!B402 = "", "", IF('Additional Videos-WUO_ERR'!A402 = "", "Validated", HYPERLINK("#" &amp; ADDRESS(402, 'Additional Videos-WUO_TRK'!A402),_xlfn.TEXTAFTER('Additional Videos-WUO_ERR'!A402, ":"))))</f>
        <v/>
      </c>
    </row>
    <row r="403">
      <c r="A403" s="39">
        <f>IF('Additional Videos'!B403 = "", "", IF('Additional Videos-WUO_ERR'!A403 = "", "Validated", HYPERLINK("#" &amp; ADDRESS(403, 'Additional Videos-WUO_TRK'!A403),_xlfn.TEXTAFTER('Additional Videos-WUO_ERR'!A403, ":"))))</f>
        <v/>
      </c>
    </row>
    <row r="404">
      <c r="A404" s="39">
        <f>IF('Additional Videos'!B404 = "", "", IF('Additional Videos-WUO_ERR'!A404 = "", "Validated", HYPERLINK("#" &amp; ADDRESS(404, 'Additional Videos-WUO_TRK'!A404),_xlfn.TEXTAFTER('Additional Videos-WUO_ERR'!A404, ":"))))</f>
        <v/>
      </c>
    </row>
    <row r="405">
      <c r="A405" s="39">
        <f>IF('Additional Videos'!B405 = "", "", IF('Additional Videos-WUO_ERR'!A405 = "", "Validated", HYPERLINK("#" &amp; ADDRESS(405, 'Additional Videos-WUO_TRK'!A405),_xlfn.TEXTAFTER('Additional Videos-WUO_ERR'!A405, ":"))))</f>
        <v/>
      </c>
    </row>
    <row r="406">
      <c r="A406" s="39">
        <f>IF('Additional Videos'!B406 = "", "", IF('Additional Videos-WUO_ERR'!A406 = "", "Validated", HYPERLINK("#" &amp; ADDRESS(406, 'Additional Videos-WUO_TRK'!A406),_xlfn.TEXTAFTER('Additional Videos-WUO_ERR'!A406, ":"))))</f>
        <v/>
      </c>
    </row>
    <row r="407">
      <c r="A407" s="39">
        <f>IF('Additional Videos'!B407 = "", "", IF('Additional Videos-WUO_ERR'!A407 = "", "Validated", HYPERLINK("#" &amp; ADDRESS(407, 'Additional Videos-WUO_TRK'!A407),_xlfn.TEXTAFTER('Additional Videos-WUO_ERR'!A407, ":"))))</f>
        <v/>
      </c>
    </row>
    <row r="408">
      <c r="A408" s="39">
        <f>IF('Additional Videos'!B408 = "", "", IF('Additional Videos-WUO_ERR'!A408 = "", "Validated", HYPERLINK("#" &amp; ADDRESS(408, 'Additional Videos-WUO_TRK'!A408),_xlfn.TEXTAFTER('Additional Videos-WUO_ERR'!A408, ":"))))</f>
        <v/>
      </c>
    </row>
    <row r="409">
      <c r="A409" s="39">
        <f>IF('Additional Videos'!B409 = "", "", IF('Additional Videos-WUO_ERR'!A409 = "", "Validated", HYPERLINK("#" &amp; ADDRESS(409, 'Additional Videos-WUO_TRK'!A409),_xlfn.TEXTAFTER('Additional Videos-WUO_ERR'!A409, ":"))))</f>
        <v/>
      </c>
    </row>
    <row r="410">
      <c r="A410" s="39">
        <f>IF('Additional Videos'!B410 = "", "", IF('Additional Videos-WUO_ERR'!A410 = "", "Validated", HYPERLINK("#" &amp; ADDRESS(410, 'Additional Videos-WUO_TRK'!A410),_xlfn.TEXTAFTER('Additional Videos-WUO_ERR'!A410, ":"))))</f>
        <v/>
      </c>
    </row>
    <row r="411">
      <c r="A411" s="39">
        <f>IF('Additional Videos'!B411 = "", "", IF('Additional Videos-WUO_ERR'!A411 = "", "Validated", HYPERLINK("#" &amp; ADDRESS(411, 'Additional Videos-WUO_TRK'!A411),_xlfn.TEXTAFTER('Additional Videos-WUO_ERR'!A411, ":"))))</f>
        <v/>
      </c>
    </row>
    <row r="412">
      <c r="A412" s="39">
        <f>IF('Additional Videos'!B412 = "", "", IF('Additional Videos-WUO_ERR'!A412 = "", "Validated", HYPERLINK("#" &amp; ADDRESS(412, 'Additional Videos-WUO_TRK'!A412),_xlfn.TEXTAFTER('Additional Videos-WUO_ERR'!A412, ":"))))</f>
        <v/>
      </c>
    </row>
    <row r="413">
      <c r="A413" s="39">
        <f>IF('Additional Videos'!B413 = "", "", IF('Additional Videos-WUO_ERR'!A413 = "", "Validated", HYPERLINK("#" &amp; ADDRESS(413, 'Additional Videos-WUO_TRK'!A413),_xlfn.TEXTAFTER('Additional Videos-WUO_ERR'!A413, ":"))))</f>
        <v/>
      </c>
    </row>
    <row r="414">
      <c r="A414" s="39">
        <f>IF('Additional Videos'!B414 = "", "", IF('Additional Videos-WUO_ERR'!A414 = "", "Validated", HYPERLINK("#" &amp; ADDRESS(414, 'Additional Videos-WUO_TRK'!A414),_xlfn.TEXTAFTER('Additional Videos-WUO_ERR'!A414, ":"))))</f>
        <v/>
      </c>
    </row>
    <row r="415">
      <c r="A415" s="39">
        <f>IF('Additional Videos'!B415 = "", "", IF('Additional Videos-WUO_ERR'!A415 = "", "Validated", HYPERLINK("#" &amp; ADDRESS(415, 'Additional Videos-WUO_TRK'!A415),_xlfn.TEXTAFTER('Additional Videos-WUO_ERR'!A415, ":"))))</f>
        <v/>
      </c>
    </row>
    <row r="416">
      <c r="A416" s="39">
        <f>IF('Additional Videos'!B416 = "", "", IF('Additional Videos-WUO_ERR'!A416 = "", "Validated", HYPERLINK("#" &amp; ADDRESS(416, 'Additional Videos-WUO_TRK'!A416),_xlfn.TEXTAFTER('Additional Videos-WUO_ERR'!A416, ":"))))</f>
        <v/>
      </c>
    </row>
    <row r="417">
      <c r="A417" s="39">
        <f>IF('Additional Videos'!B417 = "", "", IF('Additional Videos-WUO_ERR'!A417 = "", "Validated", HYPERLINK("#" &amp; ADDRESS(417, 'Additional Videos-WUO_TRK'!A417),_xlfn.TEXTAFTER('Additional Videos-WUO_ERR'!A417, ":"))))</f>
        <v/>
      </c>
    </row>
    <row r="418">
      <c r="A418" s="39">
        <f>IF('Additional Videos'!B418 = "", "", IF('Additional Videos-WUO_ERR'!A418 = "", "Validated", HYPERLINK("#" &amp; ADDRESS(418, 'Additional Videos-WUO_TRK'!A418),_xlfn.TEXTAFTER('Additional Videos-WUO_ERR'!A418, ":"))))</f>
        <v/>
      </c>
    </row>
    <row r="419">
      <c r="A419" s="39">
        <f>IF('Additional Videos'!B419 = "", "", IF('Additional Videos-WUO_ERR'!A419 = "", "Validated", HYPERLINK("#" &amp; ADDRESS(419, 'Additional Videos-WUO_TRK'!A419),_xlfn.TEXTAFTER('Additional Videos-WUO_ERR'!A419, ":"))))</f>
        <v/>
      </c>
    </row>
    <row r="420">
      <c r="A420" s="39">
        <f>IF('Additional Videos'!B420 = "", "", IF('Additional Videos-WUO_ERR'!A420 = "", "Validated", HYPERLINK("#" &amp; ADDRESS(420, 'Additional Videos-WUO_TRK'!A420),_xlfn.TEXTAFTER('Additional Videos-WUO_ERR'!A420, ":"))))</f>
        <v/>
      </c>
    </row>
    <row r="421">
      <c r="A421" s="39">
        <f>IF('Additional Videos'!B421 = "", "", IF('Additional Videos-WUO_ERR'!A421 = "", "Validated", HYPERLINK("#" &amp; ADDRESS(421, 'Additional Videos-WUO_TRK'!A421),_xlfn.TEXTAFTER('Additional Videos-WUO_ERR'!A421, ":"))))</f>
        <v/>
      </c>
    </row>
    <row r="422">
      <c r="A422" s="39">
        <f>IF('Additional Videos'!B422 = "", "", IF('Additional Videos-WUO_ERR'!A422 = "", "Validated", HYPERLINK("#" &amp; ADDRESS(422, 'Additional Videos-WUO_TRK'!A422),_xlfn.TEXTAFTER('Additional Videos-WUO_ERR'!A422, ":"))))</f>
        <v/>
      </c>
    </row>
    <row r="423">
      <c r="A423" s="39">
        <f>IF('Additional Videos'!B423 = "", "", IF('Additional Videos-WUO_ERR'!A423 = "", "Validated", HYPERLINK("#" &amp; ADDRESS(423, 'Additional Videos-WUO_TRK'!A423),_xlfn.TEXTAFTER('Additional Videos-WUO_ERR'!A423, ":"))))</f>
        <v/>
      </c>
    </row>
    <row r="424">
      <c r="A424" s="39">
        <f>IF('Additional Videos'!B424 = "", "", IF('Additional Videos-WUO_ERR'!A424 = "", "Validated", HYPERLINK("#" &amp; ADDRESS(424, 'Additional Videos-WUO_TRK'!A424),_xlfn.TEXTAFTER('Additional Videos-WUO_ERR'!A424, ":"))))</f>
        <v/>
      </c>
    </row>
    <row r="425">
      <c r="A425" s="39">
        <f>IF('Additional Videos'!B425 = "", "", IF('Additional Videos-WUO_ERR'!A425 = "", "Validated", HYPERLINK("#" &amp; ADDRESS(425, 'Additional Videos-WUO_TRK'!A425),_xlfn.TEXTAFTER('Additional Videos-WUO_ERR'!A425, ":"))))</f>
        <v/>
      </c>
    </row>
    <row r="426">
      <c r="A426" s="39">
        <f>IF('Additional Videos'!B426 = "", "", IF('Additional Videos-WUO_ERR'!A426 = "", "Validated", HYPERLINK("#" &amp; ADDRESS(426, 'Additional Videos-WUO_TRK'!A426),_xlfn.TEXTAFTER('Additional Videos-WUO_ERR'!A426, ":"))))</f>
        <v/>
      </c>
    </row>
    <row r="427">
      <c r="A427" s="39">
        <f>IF('Additional Videos'!B427 = "", "", IF('Additional Videos-WUO_ERR'!A427 = "", "Validated", HYPERLINK("#" &amp; ADDRESS(427, 'Additional Videos-WUO_TRK'!A427),_xlfn.TEXTAFTER('Additional Videos-WUO_ERR'!A427, ":"))))</f>
        <v/>
      </c>
    </row>
    <row r="428">
      <c r="A428" s="39">
        <f>IF('Additional Videos'!B428 = "", "", IF('Additional Videos-WUO_ERR'!A428 = "", "Validated", HYPERLINK("#" &amp; ADDRESS(428, 'Additional Videos-WUO_TRK'!A428),_xlfn.TEXTAFTER('Additional Videos-WUO_ERR'!A428, ":"))))</f>
        <v/>
      </c>
    </row>
    <row r="429">
      <c r="A429" s="39">
        <f>IF('Additional Videos'!B429 = "", "", IF('Additional Videos-WUO_ERR'!A429 = "", "Validated", HYPERLINK("#" &amp; ADDRESS(429, 'Additional Videos-WUO_TRK'!A429),_xlfn.TEXTAFTER('Additional Videos-WUO_ERR'!A429, ":"))))</f>
        <v/>
      </c>
    </row>
    <row r="430">
      <c r="A430" s="39">
        <f>IF('Additional Videos'!B430 = "", "", IF('Additional Videos-WUO_ERR'!A430 = "", "Validated", HYPERLINK("#" &amp; ADDRESS(430, 'Additional Videos-WUO_TRK'!A430),_xlfn.TEXTAFTER('Additional Videos-WUO_ERR'!A430, ":"))))</f>
        <v/>
      </c>
    </row>
    <row r="431">
      <c r="A431" s="39">
        <f>IF('Additional Videos'!B431 = "", "", IF('Additional Videos-WUO_ERR'!A431 = "", "Validated", HYPERLINK("#" &amp; ADDRESS(431, 'Additional Videos-WUO_TRK'!A431),_xlfn.TEXTAFTER('Additional Videos-WUO_ERR'!A431, ":"))))</f>
        <v/>
      </c>
    </row>
    <row r="432">
      <c r="A432" s="39">
        <f>IF('Additional Videos'!B432 = "", "", IF('Additional Videos-WUO_ERR'!A432 = "", "Validated", HYPERLINK("#" &amp; ADDRESS(432, 'Additional Videos-WUO_TRK'!A432),_xlfn.TEXTAFTER('Additional Videos-WUO_ERR'!A432, ":"))))</f>
        <v/>
      </c>
    </row>
    <row r="433">
      <c r="A433" s="39">
        <f>IF('Additional Videos'!B433 = "", "", IF('Additional Videos-WUO_ERR'!A433 = "", "Validated", HYPERLINK("#" &amp; ADDRESS(433, 'Additional Videos-WUO_TRK'!A433),_xlfn.TEXTAFTER('Additional Videos-WUO_ERR'!A433, ":"))))</f>
        <v/>
      </c>
    </row>
    <row r="434">
      <c r="A434" s="39">
        <f>IF('Additional Videos'!B434 = "", "", IF('Additional Videos-WUO_ERR'!A434 = "", "Validated", HYPERLINK("#" &amp; ADDRESS(434, 'Additional Videos-WUO_TRK'!A434),_xlfn.TEXTAFTER('Additional Videos-WUO_ERR'!A434, ":"))))</f>
        <v/>
      </c>
    </row>
    <row r="435">
      <c r="A435" s="39">
        <f>IF('Additional Videos'!B435 = "", "", IF('Additional Videos-WUO_ERR'!A435 = "", "Validated", HYPERLINK("#" &amp; ADDRESS(435, 'Additional Videos-WUO_TRK'!A435),_xlfn.TEXTAFTER('Additional Videos-WUO_ERR'!A435, ":"))))</f>
        <v/>
      </c>
    </row>
    <row r="436">
      <c r="A436" s="39">
        <f>IF('Additional Videos'!B436 = "", "", IF('Additional Videos-WUO_ERR'!A436 = "", "Validated", HYPERLINK("#" &amp; ADDRESS(436, 'Additional Videos-WUO_TRK'!A436),_xlfn.TEXTAFTER('Additional Videos-WUO_ERR'!A436, ":"))))</f>
        <v/>
      </c>
    </row>
    <row r="437">
      <c r="A437" s="39">
        <f>IF('Additional Videos'!B437 = "", "", IF('Additional Videos-WUO_ERR'!A437 = "", "Validated", HYPERLINK("#" &amp; ADDRESS(437, 'Additional Videos-WUO_TRK'!A437),_xlfn.TEXTAFTER('Additional Videos-WUO_ERR'!A437, ":"))))</f>
        <v/>
      </c>
    </row>
    <row r="438">
      <c r="A438" s="39">
        <f>IF('Additional Videos'!B438 = "", "", IF('Additional Videos-WUO_ERR'!A438 = "", "Validated", HYPERLINK("#" &amp; ADDRESS(438, 'Additional Videos-WUO_TRK'!A438),_xlfn.TEXTAFTER('Additional Videos-WUO_ERR'!A438, ":"))))</f>
        <v/>
      </c>
    </row>
    <row r="439">
      <c r="A439" s="39">
        <f>IF('Additional Videos'!B439 = "", "", IF('Additional Videos-WUO_ERR'!A439 = "", "Validated", HYPERLINK("#" &amp; ADDRESS(439, 'Additional Videos-WUO_TRK'!A439),_xlfn.TEXTAFTER('Additional Videos-WUO_ERR'!A439, ":"))))</f>
        <v/>
      </c>
    </row>
    <row r="440">
      <c r="A440" s="39">
        <f>IF('Additional Videos'!B440 = "", "", IF('Additional Videos-WUO_ERR'!A440 = "", "Validated", HYPERLINK("#" &amp; ADDRESS(440, 'Additional Videos-WUO_TRK'!A440),_xlfn.TEXTAFTER('Additional Videos-WUO_ERR'!A440, ":"))))</f>
        <v/>
      </c>
    </row>
    <row r="441">
      <c r="A441" s="39">
        <f>IF('Additional Videos'!B441 = "", "", IF('Additional Videos-WUO_ERR'!A441 = "", "Validated", HYPERLINK("#" &amp; ADDRESS(441, 'Additional Videos-WUO_TRK'!A441),_xlfn.TEXTAFTER('Additional Videos-WUO_ERR'!A441, ":"))))</f>
        <v/>
      </c>
    </row>
    <row r="442">
      <c r="A442" s="39">
        <f>IF('Additional Videos'!B442 = "", "", IF('Additional Videos-WUO_ERR'!A442 = "", "Validated", HYPERLINK("#" &amp; ADDRESS(442, 'Additional Videos-WUO_TRK'!A442),_xlfn.TEXTAFTER('Additional Videos-WUO_ERR'!A442, ":"))))</f>
        <v/>
      </c>
    </row>
    <row r="443">
      <c r="A443" s="39">
        <f>IF('Additional Videos'!B443 = "", "", IF('Additional Videos-WUO_ERR'!A443 = "", "Validated", HYPERLINK("#" &amp; ADDRESS(443, 'Additional Videos-WUO_TRK'!A443),_xlfn.TEXTAFTER('Additional Videos-WUO_ERR'!A443, ":"))))</f>
        <v/>
      </c>
    </row>
    <row r="444">
      <c r="A444" s="39">
        <f>IF('Additional Videos'!B444 = "", "", IF('Additional Videos-WUO_ERR'!A444 = "", "Validated", HYPERLINK("#" &amp; ADDRESS(444, 'Additional Videos-WUO_TRK'!A444),_xlfn.TEXTAFTER('Additional Videos-WUO_ERR'!A444, ":"))))</f>
        <v/>
      </c>
    </row>
    <row r="445">
      <c r="A445" s="39">
        <f>IF('Additional Videos'!B445 = "", "", IF('Additional Videos-WUO_ERR'!A445 = "", "Validated", HYPERLINK("#" &amp; ADDRESS(445, 'Additional Videos-WUO_TRK'!A445),_xlfn.TEXTAFTER('Additional Videos-WUO_ERR'!A445, ":"))))</f>
        <v/>
      </c>
    </row>
    <row r="446">
      <c r="A446" s="39">
        <f>IF('Additional Videos'!B446 = "", "", IF('Additional Videos-WUO_ERR'!A446 = "", "Validated", HYPERLINK("#" &amp; ADDRESS(446, 'Additional Videos-WUO_TRK'!A446),_xlfn.TEXTAFTER('Additional Videos-WUO_ERR'!A446, ":"))))</f>
        <v/>
      </c>
    </row>
    <row r="447">
      <c r="A447" s="39">
        <f>IF('Additional Videos'!B447 = "", "", IF('Additional Videos-WUO_ERR'!A447 = "", "Validated", HYPERLINK("#" &amp; ADDRESS(447, 'Additional Videos-WUO_TRK'!A447),_xlfn.TEXTAFTER('Additional Videos-WUO_ERR'!A447, ":"))))</f>
        <v/>
      </c>
    </row>
    <row r="448">
      <c r="A448" s="39">
        <f>IF('Additional Videos'!B448 = "", "", IF('Additional Videos-WUO_ERR'!A448 = "", "Validated", HYPERLINK("#" &amp; ADDRESS(448, 'Additional Videos-WUO_TRK'!A448),_xlfn.TEXTAFTER('Additional Videos-WUO_ERR'!A448, ":"))))</f>
        <v/>
      </c>
    </row>
    <row r="449">
      <c r="A449" s="39">
        <f>IF('Additional Videos'!B449 = "", "", IF('Additional Videos-WUO_ERR'!A449 = "", "Validated", HYPERLINK("#" &amp; ADDRESS(449, 'Additional Videos-WUO_TRK'!A449),_xlfn.TEXTAFTER('Additional Videos-WUO_ERR'!A449, ":"))))</f>
        <v/>
      </c>
    </row>
    <row r="450">
      <c r="A450" s="39">
        <f>IF('Additional Videos'!B450 = "", "", IF('Additional Videos-WUO_ERR'!A450 = "", "Validated", HYPERLINK("#" &amp; ADDRESS(450, 'Additional Videos-WUO_TRK'!A450),_xlfn.TEXTAFTER('Additional Videos-WUO_ERR'!A450, ":"))))</f>
        <v/>
      </c>
    </row>
    <row r="451">
      <c r="A451" s="39">
        <f>IF('Additional Videos'!B451 = "", "", IF('Additional Videos-WUO_ERR'!A451 = "", "Validated", HYPERLINK("#" &amp; ADDRESS(451, 'Additional Videos-WUO_TRK'!A451),_xlfn.TEXTAFTER('Additional Videos-WUO_ERR'!A451, ":"))))</f>
        <v/>
      </c>
    </row>
    <row r="452">
      <c r="A452" s="39">
        <f>IF('Additional Videos'!B452 = "", "", IF('Additional Videos-WUO_ERR'!A452 = "", "Validated", HYPERLINK("#" &amp; ADDRESS(452, 'Additional Videos-WUO_TRK'!A452),_xlfn.TEXTAFTER('Additional Videos-WUO_ERR'!A452, ":"))))</f>
        <v/>
      </c>
    </row>
    <row r="453">
      <c r="A453" s="39">
        <f>IF('Additional Videos'!B453 = "", "", IF('Additional Videos-WUO_ERR'!A453 = "", "Validated", HYPERLINK("#" &amp; ADDRESS(453, 'Additional Videos-WUO_TRK'!A453),_xlfn.TEXTAFTER('Additional Videos-WUO_ERR'!A453, ":"))))</f>
        <v/>
      </c>
    </row>
    <row r="454">
      <c r="A454" s="39">
        <f>IF('Additional Videos'!B454 = "", "", IF('Additional Videos-WUO_ERR'!A454 = "", "Validated", HYPERLINK("#" &amp; ADDRESS(454, 'Additional Videos-WUO_TRK'!A454),_xlfn.TEXTAFTER('Additional Videos-WUO_ERR'!A454, ":"))))</f>
        <v/>
      </c>
    </row>
    <row r="455">
      <c r="A455" s="39">
        <f>IF('Additional Videos'!B455 = "", "", IF('Additional Videos-WUO_ERR'!A455 = "", "Validated", HYPERLINK("#" &amp; ADDRESS(455, 'Additional Videos-WUO_TRK'!A455),_xlfn.TEXTAFTER('Additional Videos-WUO_ERR'!A455, ":"))))</f>
        <v/>
      </c>
    </row>
    <row r="456">
      <c r="A456" s="39">
        <f>IF('Additional Videos'!B456 = "", "", IF('Additional Videos-WUO_ERR'!A456 = "", "Validated", HYPERLINK("#" &amp; ADDRESS(456, 'Additional Videos-WUO_TRK'!A456),_xlfn.TEXTAFTER('Additional Videos-WUO_ERR'!A456, ":"))))</f>
        <v/>
      </c>
    </row>
    <row r="457">
      <c r="A457" s="39">
        <f>IF('Additional Videos'!B457 = "", "", IF('Additional Videos-WUO_ERR'!A457 = "", "Validated", HYPERLINK("#" &amp; ADDRESS(457, 'Additional Videos-WUO_TRK'!A457),_xlfn.TEXTAFTER('Additional Videos-WUO_ERR'!A457, ":"))))</f>
        <v/>
      </c>
    </row>
    <row r="458">
      <c r="A458" s="39">
        <f>IF('Additional Videos'!B458 = "", "", IF('Additional Videos-WUO_ERR'!A458 = "", "Validated", HYPERLINK("#" &amp; ADDRESS(458, 'Additional Videos-WUO_TRK'!A458),_xlfn.TEXTAFTER('Additional Videos-WUO_ERR'!A458, ":"))))</f>
        <v/>
      </c>
    </row>
    <row r="459">
      <c r="A459" s="39">
        <f>IF('Additional Videos'!B459 = "", "", IF('Additional Videos-WUO_ERR'!A459 = "", "Validated", HYPERLINK("#" &amp; ADDRESS(459, 'Additional Videos-WUO_TRK'!A459),_xlfn.TEXTAFTER('Additional Videos-WUO_ERR'!A459, ":"))))</f>
        <v/>
      </c>
    </row>
    <row r="460">
      <c r="A460" s="39">
        <f>IF('Additional Videos'!B460 = "", "", IF('Additional Videos-WUO_ERR'!A460 = "", "Validated", HYPERLINK("#" &amp; ADDRESS(460, 'Additional Videos-WUO_TRK'!A460),_xlfn.TEXTAFTER('Additional Videos-WUO_ERR'!A460, ":"))))</f>
        <v/>
      </c>
    </row>
    <row r="461">
      <c r="A461" s="39">
        <f>IF('Additional Videos'!B461 = "", "", IF('Additional Videos-WUO_ERR'!A461 = "", "Validated", HYPERLINK("#" &amp; ADDRESS(461, 'Additional Videos-WUO_TRK'!A461),_xlfn.TEXTAFTER('Additional Videos-WUO_ERR'!A461, ":"))))</f>
        <v/>
      </c>
    </row>
    <row r="462">
      <c r="A462" s="39">
        <f>IF('Additional Videos'!B462 = "", "", IF('Additional Videos-WUO_ERR'!A462 = "", "Validated", HYPERLINK("#" &amp; ADDRESS(462, 'Additional Videos-WUO_TRK'!A462),_xlfn.TEXTAFTER('Additional Videos-WUO_ERR'!A462, ":"))))</f>
        <v/>
      </c>
    </row>
    <row r="463">
      <c r="A463" s="39">
        <f>IF('Additional Videos'!B463 = "", "", IF('Additional Videos-WUO_ERR'!A463 = "", "Validated", HYPERLINK("#" &amp; ADDRESS(463, 'Additional Videos-WUO_TRK'!A463),_xlfn.TEXTAFTER('Additional Videos-WUO_ERR'!A463, ":"))))</f>
        <v/>
      </c>
    </row>
    <row r="464">
      <c r="A464" s="39">
        <f>IF('Additional Videos'!B464 = "", "", IF('Additional Videos-WUO_ERR'!A464 = "", "Validated", HYPERLINK("#" &amp; ADDRESS(464, 'Additional Videos-WUO_TRK'!A464),_xlfn.TEXTAFTER('Additional Videos-WUO_ERR'!A464, ":"))))</f>
        <v/>
      </c>
    </row>
    <row r="465">
      <c r="A465" s="39">
        <f>IF('Additional Videos'!B465 = "", "", IF('Additional Videos-WUO_ERR'!A465 = "", "Validated", HYPERLINK("#" &amp; ADDRESS(465, 'Additional Videos-WUO_TRK'!A465),_xlfn.TEXTAFTER('Additional Videos-WUO_ERR'!A465, ":"))))</f>
        <v/>
      </c>
    </row>
    <row r="466">
      <c r="A466" s="39">
        <f>IF('Additional Videos'!B466 = "", "", IF('Additional Videos-WUO_ERR'!A466 = "", "Validated", HYPERLINK("#" &amp; ADDRESS(466, 'Additional Videos-WUO_TRK'!A466),_xlfn.TEXTAFTER('Additional Videos-WUO_ERR'!A466, ":"))))</f>
        <v/>
      </c>
    </row>
    <row r="467">
      <c r="A467" s="39">
        <f>IF('Additional Videos'!B467 = "", "", IF('Additional Videos-WUO_ERR'!A467 = "", "Validated", HYPERLINK("#" &amp; ADDRESS(467, 'Additional Videos-WUO_TRK'!A467),_xlfn.TEXTAFTER('Additional Videos-WUO_ERR'!A467, ":"))))</f>
        <v/>
      </c>
    </row>
    <row r="468">
      <c r="A468" s="39">
        <f>IF('Additional Videos'!B468 = "", "", IF('Additional Videos-WUO_ERR'!A468 = "", "Validated", HYPERLINK("#" &amp; ADDRESS(468, 'Additional Videos-WUO_TRK'!A468),_xlfn.TEXTAFTER('Additional Videos-WUO_ERR'!A468, ":"))))</f>
        <v/>
      </c>
    </row>
    <row r="469">
      <c r="A469" s="39">
        <f>IF('Additional Videos'!B469 = "", "", IF('Additional Videos-WUO_ERR'!A469 = "", "Validated", HYPERLINK("#" &amp; ADDRESS(469, 'Additional Videos-WUO_TRK'!A469),_xlfn.TEXTAFTER('Additional Videos-WUO_ERR'!A469, ":"))))</f>
        <v/>
      </c>
    </row>
    <row r="470">
      <c r="A470" s="39">
        <f>IF('Additional Videos'!B470 = "", "", IF('Additional Videos-WUO_ERR'!A470 = "", "Validated", HYPERLINK("#" &amp; ADDRESS(470, 'Additional Videos-WUO_TRK'!A470),_xlfn.TEXTAFTER('Additional Videos-WUO_ERR'!A470, ":"))))</f>
        <v/>
      </c>
    </row>
    <row r="471">
      <c r="A471" s="39">
        <f>IF('Additional Videos'!B471 = "", "", IF('Additional Videos-WUO_ERR'!A471 = "", "Validated", HYPERLINK("#" &amp; ADDRESS(471, 'Additional Videos-WUO_TRK'!A471),_xlfn.TEXTAFTER('Additional Videos-WUO_ERR'!A471, ":"))))</f>
        <v/>
      </c>
    </row>
    <row r="472">
      <c r="A472" s="39">
        <f>IF('Additional Videos'!B472 = "", "", IF('Additional Videos-WUO_ERR'!A472 = "", "Validated", HYPERLINK("#" &amp; ADDRESS(472, 'Additional Videos-WUO_TRK'!A472),_xlfn.TEXTAFTER('Additional Videos-WUO_ERR'!A472, ":"))))</f>
        <v/>
      </c>
    </row>
    <row r="473">
      <c r="A473" s="39">
        <f>IF('Additional Videos'!B473 = "", "", IF('Additional Videos-WUO_ERR'!A473 = "", "Validated", HYPERLINK("#" &amp; ADDRESS(473, 'Additional Videos-WUO_TRK'!A473),_xlfn.TEXTAFTER('Additional Videos-WUO_ERR'!A473, ":"))))</f>
        <v/>
      </c>
    </row>
    <row r="474">
      <c r="A474" s="39">
        <f>IF('Additional Videos'!B474 = "", "", IF('Additional Videos-WUO_ERR'!A474 = "", "Validated", HYPERLINK("#" &amp; ADDRESS(474, 'Additional Videos-WUO_TRK'!A474),_xlfn.TEXTAFTER('Additional Videos-WUO_ERR'!A474, ":"))))</f>
        <v/>
      </c>
    </row>
    <row r="475">
      <c r="A475" s="39">
        <f>IF('Additional Videos'!B475 = "", "", IF('Additional Videos-WUO_ERR'!A475 = "", "Validated", HYPERLINK("#" &amp; ADDRESS(475, 'Additional Videos-WUO_TRK'!A475),_xlfn.TEXTAFTER('Additional Videos-WUO_ERR'!A475, ":"))))</f>
        <v/>
      </c>
    </row>
    <row r="476">
      <c r="A476" s="39">
        <f>IF('Additional Videos'!B476 = "", "", IF('Additional Videos-WUO_ERR'!A476 = "", "Validated", HYPERLINK("#" &amp; ADDRESS(476, 'Additional Videos-WUO_TRK'!A476),_xlfn.TEXTAFTER('Additional Videos-WUO_ERR'!A476, ":"))))</f>
        <v/>
      </c>
    </row>
    <row r="477">
      <c r="A477" s="39">
        <f>IF('Additional Videos'!B477 = "", "", IF('Additional Videos-WUO_ERR'!A477 = "", "Validated", HYPERLINK("#" &amp; ADDRESS(477, 'Additional Videos-WUO_TRK'!A477),_xlfn.TEXTAFTER('Additional Videos-WUO_ERR'!A477, ":"))))</f>
        <v/>
      </c>
    </row>
    <row r="478">
      <c r="A478" s="39">
        <f>IF('Additional Videos'!B478 = "", "", IF('Additional Videos-WUO_ERR'!A478 = "", "Validated", HYPERLINK("#" &amp; ADDRESS(478, 'Additional Videos-WUO_TRK'!A478),_xlfn.TEXTAFTER('Additional Videos-WUO_ERR'!A478, ":"))))</f>
        <v/>
      </c>
    </row>
    <row r="479">
      <c r="A479" s="39">
        <f>IF('Additional Videos'!B479 = "", "", IF('Additional Videos-WUO_ERR'!A479 = "", "Validated", HYPERLINK("#" &amp; ADDRESS(479, 'Additional Videos-WUO_TRK'!A479),_xlfn.TEXTAFTER('Additional Videos-WUO_ERR'!A479, ":"))))</f>
        <v/>
      </c>
    </row>
    <row r="480">
      <c r="A480" s="39">
        <f>IF('Additional Videos'!B480 = "", "", IF('Additional Videos-WUO_ERR'!A480 = "", "Validated", HYPERLINK("#" &amp; ADDRESS(480, 'Additional Videos-WUO_TRK'!A480),_xlfn.TEXTAFTER('Additional Videos-WUO_ERR'!A480, ":"))))</f>
        <v/>
      </c>
    </row>
    <row r="481">
      <c r="A481" s="39">
        <f>IF('Additional Videos'!B481 = "", "", IF('Additional Videos-WUO_ERR'!A481 = "", "Validated", HYPERLINK("#" &amp; ADDRESS(481, 'Additional Videos-WUO_TRK'!A481),_xlfn.TEXTAFTER('Additional Videos-WUO_ERR'!A481, ":"))))</f>
        <v/>
      </c>
    </row>
    <row r="482">
      <c r="A482" s="39">
        <f>IF('Additional Videos'!B482 = "", "", IF('Additional Videos-WUO_ERR'!A482 = "", "Validated", HYPERLINK("#" &amp; ADDRESS(482, 'Additional Videos-WUO_TRK'!A482),_xlfn.TEXTAFTER('Additional Videos-WUO_ERR'!A482, ":"))))</f>
        <v/>
      </c>
    </row>
    <row r="483">
      <c r="A483" s="39">
        <f>IF('Additional Videos'!B483 = "", "", IF('Additional Videos-WUO_ERR'!A483 = "", "Validated", HYPERLINK("#" &amp; ADDRESS(483, 'Additional Videos-WUO_TRK'!A483),_xlfn.TEXTAFTER('Additional Videos-WUO_ERR'!A483, ":"))))</f>
        <v/>
      </c>
    </row>
    <row r="484">
      <c r="A484" s="39">
        <f>IF('Additional Videos'!B484 = "", "", IF('Additional Videos-WUO_ERR'!A484 = "", "Validated", HYPERLINK("#" &amp; ADDRESS(484, 'Additional Videos-WUO_TRK'!A484),_xlfn.TEXTAFTER('Additional Videos-WUO_ERR'!A484, ":"))))</f>
        <v/>
      </c>
    </row>
    <row r="485">
      <c r="A485" s="39">
        <f>IF('Additional Videos'!B485 = "", "", IF('Additional Videos-WUO_ERR'!A485 = "", "Validated", HYPERLINK("#" &amp; ADDRESS(485, 'Additional Videos-WUO_TRK'!A485),_xlfn.TEXTAFTER('Additional Videos-WUO_ERR'!A485, ":"))))</f>
        <v/>
      </c>
    </row>
    <row r="486">
      <c r="A486" s="39">
        <f>IF('Additional Videos'!B486 = "", "", IF('Additional Videos-WUO_ERR'!A486 = "", "Validated", HYPERLINK("#" &amp; ADDRESS(486, 'Additional Videos-WUO_TRK'!A486),_xlfn.TEXTAFTER('Additional Videos-WUO_ERR'!A486, ":"))))</f>
        <v/>
      </c>
    </row>
    <row r="487">
      <c r="A487" s="39">
        <f>IF('Additional Videos'!B487 = "", "", IF('Additional Videos-WUO_ERR'!A487 = "", "Validated", HYPERLINK("#" &amp; ADDRESS(487, 'Additional Videos-WUO_TRK'!A487),_xlfn.TEXTAFTER('Additional Videos-WUO_ERR'!A487, ":"))))</f>
        <v/>
      </c>
    </row>
    <row r="488">
      <c r="A488" s="39">
        <f>IF('Additional Videos'!B488 = "", "", IF('Additional Videos-WUO_ERR'!A488 = "", "Validated", HYPERLINK("#" &amp; ADDRESS(488, 'Additional Videos-WUO_TRK'!A488),_xlfn.TEXTAFTER('Additional Videos-WUO_ERR'!A488, ":"))))</f>
        <v/>
      </c>
    </row>
    <row r="489">
      <c r="A489" s="39">
        <f>IF('Additional Videos'!B489 = "", "", IF('Additional Videos-WUO_ERR'!A489 = "", "Validated", HYPERLINK("#" &amp; ADDRESS(489, 'Additional Videos-WUO_TRK'!A489),_xlfn.TEXTAFTER('Additional Videos-WUO_ERR'!A489, ":"))))</f>
        <v/>
      </c>
    </row>
    <row r="490">
      <c r="A490" s="39">
        <f>IF('Additional Videos'!B490 = "", "", IF('Additional Videos-WUO_ERR'!A490 = "", "Validated", HYPERLINK("#" &amp; ADDRESS(490, 'Additional Videos-WUO_TRK'!A490),_xlfn.TEXTAFTER('Additional Videos-WUO_ERR'!A490, ":"))))</f>
        <v/>
      </c>
    </row>
    <row r="491">
      <c r="A491" s="39">
        <f>IF('Additional Videos'!B491 = "", "", IF('Additional Videos-WUO_ERR'!A491 = "", "Validated", HYPERLINK("#" &amp; ADDRESS(491, 'Additional Videos-WUO_TRK'!A491),_xlfn.TEXTAFTER('Additional Videos-WUO_ERR'!A491, ":"))))</f>
        <v/>
      </c>
    </row>
    <row r="492">
      <c r="A492" s="39">
        <f>IF('Additional Videos'!B492 = "", "", IF('Additional Videos-WUO_ERR'!A492 = "", "Validated", HYPERLINK("#" &amp; ADDRESS(492, 'Additional Videos-WUO_TRK'!A492),_xlfn.TEXTAFTER('Additional Videos-WUO_ERR'!A492, ":"))))</f>
        <v/>
      </c>
    </row>
    <row r="493">
      <c r="A493" s="39">
        <f>IF('Additional Videos'!B493 = "", "", IF('Additional Videos-WUO_ERR'!A493 = "", "Validated", HYPERLINK("#" &amp; ADDRESS(493, 'Additional Videos-WUO_TRK'!A493),_xlfn.TEXTAFTER('Additional Videos-WUO_ERR'!A493, ":"))))</f>
        <v/>
      </c>
    </row>
    <row r="494">
      <c r="A494" s="39">
        <f>IF('Additional Videos'!B494 = "", "", IF('Additional Videos-WUO_ERR'!A494 = "", "Validated", HYPERLINK("#" &amp; ADDRESS(494, 'Additional Videos-WUO_TRK'!A494),_xlfn.TEXTAFTER('Additional Videos-WUO_ERR'!A494, ":"))))</f>
        <v/>
      </c>
    </row>
    <row r="495">
      <c r="A495" s="39">
        <f>IF('Additional Videos'!B495 = "", "", IF('Additional Videos-WUO_ERR'!A495 = "", "Validated", HYPERLINK("#" &amp; ADDRESS(495, 'Additional Videos-WUO_TRK'!A495),_xlfn.TEXTAFTER('Additional Videos-WUO_ERR'!A495, ":"))))</f>
        <v/>
      </c>
    </row>
    <row r="496">
      <c r="A496" s="39">
        <f>IF('Additional Videos'!B496 = "", "", IF('Additional Videos-WUO_ERR'!A496 = "", "Validated", HYPERLINK("#" &amp; ADDRESS(496, 'Additional Videos-WUO_TRK'!A496),_xlfn.TEXTAFTER('Additional Videos-WUO_ERR'!A496, ":"))))</f>
        <v/>
      </c>
    </row>
    <row r="497">
      <c r="A497" s="39">
        <f>IF('Additional Videos'!B497 = "", "", IF('Additional Videos-WUO_ERR'!A497 = "", "Validated", HYPERLINK("#" &amp; ADDRESS(497, 'Additional Videos-WUO_TRK'!A497),_xlfn.TEXTAFTER('Additional Videos-WUO_ERR'!A497, ":"))))</f>
        <v/>
      </c>
    </row>
    <row r="498">
      <c r="A498" s="39">
        <f>IF('Additional Videos'!B498 = "", "", IF('Additional Videos-WUO_ERR'!A498 = "", "Validated", HYPERLINK("#" &amp; ADDRESS(498, 'Additional Videos-WUO_TRK'!A498),_xlfn.TEXTAFTER('Additional Videos-WUO_ERR'!A498, ":"))))</f>
        <v/>
      </c>
    </row>
    <row r="499">
      <c r="A499" s="39">
        <f>IF('Additional Videos'!B499 = "", "", IF('Additional Videos-WUO_ERR'!A499 = "", "Validated", HYPERLINK("#" &amp; ADDRESS(499, 'Additional Videos-WUO_TRK'!A499),_xlfn.TEXTAFTER('Additional Videos-WUO_ERR'!A499, ":"))))</f>
        <v/>
      </c>
    </row>
    <row r="500">
      <c r="A500" s="39">
        <f>IF('Additional Videos'!B500 = "", "", IF('Additional Videos-WUO_ERR'!A500 = "", "Validated", HYPERLINK("#" &amp; ADDRESS(500, 'Additional Videos-WUO_TRK'!A500),_xlfn.TEXTAFTER('Additional Videos-WUO_ERR'!A500, ":"))))</f>
        <v/>
      </c>
    </row>
    <row r="501">
      <c r="A501" s="39">
        <f>IF('Additional Videos'!B501 = "", "", IF('Additional Videos-WUO_ERR'!A501 = "", "Validated", HYPERLINK("#" &amp; ADDRESS(501, 'Additional Videos-WUO_TRK'!A501),_xlfn.TEXTAFTER('Additional Videos-WUO_ERR'!A501, ":"))))</f>
        <v/>
      </c>
    </row>
    <row r="502">
      <c r="A502" s="39">
        <f>IF('Additional Videos'!B502 = "", "", IF('Additional Videos-WUO_ERR'!A502 = "", "Validated", HYPERLINK("#" &amp; ADDRESS(502, 'Additional Videos-WUO_TRK'!A502),_xlfn.TEXTAFTER('Additional Videos-WUO_ERR'!A502, ":"))))</f>
        <v/>
      </c>
    </row>
    <row r="503">
      <c r="A503" s="39">
        <f>IF('Additional Videos'!B503 = "", "", IF('Additional Videos-WUO_ERR'!A503 = "", "Validated", HYPERLINK("#" &amp; ADDRESS(503, 'Additional Videos-WUO_TRK'!A503),_xlfn.TEXTAFTER('Additional Videos-WUO_ERR'!A503, ":"))))</f>
        <v/>
      </c>
    </row>
    <row r="504">
      <c r="A504" s="39">
        <f>IF('Additional Videos'!B504 = "", "", IF('Additional Videos-WUO_ERR'!A504 = "", "Validated", HYPERLINK("#" &amp; ADDRESS(504, 'Additional Videos-WUO_TRK'!A504),_xlfn.TEXTAFTER('Additional Videos-WUO_ERR'!A504, ":"))))</f>
        <v/>
      </c>
    </row>
    <row r="505">
      <c r="A505" s="39">
        <f>IF('Additional Videos'!B505 = "", "", IF('Additional Videos-WUO_ERR'!A505 = "", "Validated", HYPERLINK("#" &amp; ADDRESS(505, 'Additional Videos-WUO_TRK'!A505),_xlfn.TEXTAFTER('Additional Videos-WUO_ERR'!A505, ":"))))</f>
        <v/>
      </c>
    </row>
    <row r="506">
      <c r="A506" s="39">
        <f>IF('Additional Videos'!B506 = "", "", IF('Additional Videos-WUO_ERR'!A506 = "", "Validated", HYPERLINK("#" &amp; ADDRESS(506, 'Additional Videos-WUO_TRK'!A506),_xlfn.TEXTAFTER('Additional Videos-WUO_ERR'!A506, ":"))))</f>
        <v/>
      </c>
    </row>
    <row r="507">
      <c r="A507" s="39">
        <f>IF('Additional Videos'!B507 = "", "", IF('Additional Videos-WUO_ERR'!A507 = "", "Validated", HYPERLINK("#" &amp; ADDRESS(507, 'Additional Videos-WUO_TRK'!A507),_xlfn.TEXTAFTER('Additional Videos-WUO_ERR'!A507, ":"))))</f>
        <v/>
      </c>
    </row>
  </sheetData>
  <sheetProtection selectLockedCells="0" selectUnlockedCells="0" sheet="1" objects="1" insertRows="1" insertHyperlinks="1" autoFilter="1" scenarios="1" formatColumns="0" deleteColumns="1" insertColumns="1" pivotTables="1" deleteRows="1" formatCells="1" formatRows="0" sort="1" password="B4ED"/>
  <conditionalFormatting sqref="A7:A507">
    <cfRule type="expression" priority="5" dxfId="4">
      <formula>A7="Validated"</formula>
    </cfRule>
    <cfRule type="expression" priority="6" dxfId="5">
      <formula>OR(COUNTIF('Additional Videos-WUO_TRK'!B7:D7,"Error"),COUNTIF('Additional Videos-WUO_TRK'!B7:D7,"Required"))</formula>
    </cfRule>
    <cfRule type="expression" priority="7" dxfId="6">
      <formula>COUNTIF('Additional Videos-WUO_TRK'!B7:D7,"Warning")</formula>
    </cfRule>
  </conditionalFormatting>
  <conditionalFormatting sqref="B7:D507">
    <cfRule type="expression" priority="1" dxfId="0">
      <formula>'Additional Videos-WUO_TRK'!B7="Error"</formula>
    </cfRule>
    <cfRule type="expression" priority="2" dxfId="1">
      <formula>'Additional Videos-WUO_TRK'!B7="Required"</formula>
    </cfRule>
    <cfRule type="expression" priority="3" dxfId="2">
      <formula>'Additional Videos-WUO_TRK'!B7="Warning"</formula>
    </cfRule>
    <cfRule type="expression" priority="4" dxfId="3">
      <formula>'Additional Videos-WUO_TRK'!B7="Disabled"</formula>
    </cfRule>
  </conditionalFormatting>
  <dataValidations count="1">
    <dataValidation sqref="C7:C250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style="22" min="2" max="2"/>
    <col width="27.7109375" customWidth="1" style="22" min="3" max="3"/>
  </cols>
  <sheetData>
    <row r="1" hidden="1">
      <c r="B1" s="22" t="inlineStr">
        <is>
          <t>core::supplierPartNumber</t>
        </is>
      </c>
      <c r="C1" s="22" t="inlineStr">
        <is>
          <t>media::videoValue</t>
        </is>
      </c>
    </row>
    <row r="3">
      <c r="B3" s="32" t="inlineStr">
        <is>
          <t>Required</t>
        </is>
      </c>
      <c r="C3" s="32" t="inlineStr">
        <is>
          <t>Additional</t>
        </is>
      </c>
    </row>
    <row r="4" ht="50" customHeight="1">
      <c r="B4" s="19" t="inlineStr">
        <is>
          <t>Supplier Part Number</t>
        </is>
      </c>
      <c r="C4" s="19" t="inlineStr">
        <is>
          <t>Video File Name or URL</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Provide the video’s file name with extension for separate uploads or a direct public URL. Do not exceed 10 videos per product.</t>
        </is>
      </c>
    </row>
    <row r="6" ht="50" customHeight="1">
      <c r="B6" s="35" t="inlineStr">
        <is>
          <t>Text</t>
        </is>
      </c>
      <c r="C6" s="35" t="inlineStr">
        <is>
          <t>Text</t>
        </is>
      </c>
    </row>
    <row r="7">
      <c r="A7">
        <f t="array" ref="A7">_xlfn.BYROW(B7:D507, _xlfn.LAMBDA(_xlpm.r, _xlfn.LET(_xlpm.high_priority, IFERROR(INDEX(_xlpm.r, MATCH(TRUE, (_xlpm.r &lt;&gt; "") * ((LEFT(_xlpm.r, 2) = "1:") + (LEFT(_xlpm.r, 2) = "3:")) &gt; 0, 0)), ""), IF(_xlpm.high_priority &lt;&gt; "", _xlpm.high_priority, IFERROR(INDEX(_xlpm.r, MATCH(TRUE, (_xlpm.r &lt;&gt; "") * (LEFT(_xlpm.r, 2) = "4:") &gt; 0, 0)), "")))))</f>
        <v/>
      </c>
      <c r="B7" s="22">
        <f t="array" ref="B7">_xlfn.MAP('Additional Videos'!B7:B507, 'Additional Videos'!B7:B507,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s="22">
        <f t="array" ref="C7">_xlfn.MAP('Additional Videos'!B7:B507, 'Additional Videos'!C7:C507, _xlfn.LAMBDA(_xlpm.part, _xlpm.val, IF(_xlpm.part = "", "", IF(AND(_xlpm.val = "", C$3="Required"), "3:Video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AF1E"/>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style="22" min="2" max="2"/>
    <col width="27.7109375" customWidth="1" style="22" min="3" max="3"/>
  </cols>
  <sheetData>
    <row r="1" hidden="1">
      <c r="B1" s="22" t="inlineStr">
        <is>
          <t>core::supplierPartNumber</t>
        </is>
      </c>
      <c r="C1" s="22" t="inlineStr">
        <is>
          <t>media::videoValue</t>
        </is>
      </c>
    </row>
    <row r="3">
      <c r="B3" s="32" t="inlineStr">
        <is>
          <t>Required</t>
        </is>
      </c>
      <c r="C3" s="32" t="inlineStr">
        <is>
          <t>Additional</t>
        </is>
      </c>
    </row>
    <row r="4" ht="50" customHeight="1">
      <c r="B4" s="19" t="inlineStr">
        <is>
          <t>Supplier Part Number</t>
        </is>
      </c>
      <c r="C4" s="19" t="inlineStr">
        <is>
          <t>Video File Name or URL</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Provide the video’s file name with extension for separate uploads or a direct public URL. Do not exceed 10 videos per product.</t>
        </is>
      </c>
    </row>
    <row r="6" ht="50" customHeight="1">
      <c r="B6" s="35" t="inlineStr">
        <is>
          <t>Text</t>
        </is>
      </c>
      <c r="C6" s="35" t="inlineStr">
        <is>
          <t>Text</t>
        </is>
      </c>
    </row>
    <row r="7">
      <c r="A7">
        <f t="array" ref="A7">_xlfn.BYROW(B7:D507, _xlfn.LAMBDA(_xlpm.r, _xlfn.LET(_xlpm.high_priority_idx, IFERROR(MATCH(TRUE, (_xlpm.r = "Error") + (_xlpm.r = "Required") &gt; 0, 0), 0), IF(_xlpm.high_priority_idx &gt; 0, _xlpm.high_priority_idx + 1, IFERROR(MATCH(1, (_xlpm.r = "Warning") * 1, 0) + 1, "")))))</f>
        <v/>
      </c>
      <c r="B7" s="22">
        <f t="array" ref="B7">_xlfn.MAP('Additional Videos'!B7:B507, 'Additional Videos'!B7:B507, 'Additional Videos-WUO_ERR'!B7:B507, _xlfn.LAMBDA(_xlpm.part, _xlpm.val, _xlpm.error, IF(_xlpm.part = "", "", IF(LEN(_xlpm.error), _xlfn.SWITCH(IFERROR(_xlfn.TEXTBEFORE(_xlpm.error,":"), ""), "1", "Error", "2", "Disabled", "3", "Required", "4", "Warning", "Valid"), "Valid"))))</f>
        <v/>
      </c>
      <c r="C7" s="22">
        <f t="array" ref="C7">_xlfn.MAP('Additional Videos'!B7:B507, 'Additional Videos'!C7:C507, 'Additional Videos-WUO_ERR'!C7:C507,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A1E"/>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Z507"/>
  <sheetViews>
    <sheetView workbookViewId="0">
      <selection activeCell="A1" sqref="A1"/>
    </sheetView>
  </sheetViews>
  <sheetFormatPr baseColWidth="8" defaultRowHeight="15"/>
  <cols>
    <col width="35.7109375" customWidth="1" min="1" max="1"/>
    <col width="25.7109375" customWidth="1" style="22" min="2" max="2"/>
    <col width="30.7109375" customWidth="1" style="22" min="3" max="3"/>
    <col width="18.7109375" customWidth="1" style="22" min="4" max="4"/>
    <col width="24.7109375" customWidth="1" style="22" min="5" max="5"/>
    <col width="20.7109375" customWidth="1" style="22" min="6" max="6"/>
    <col width="22.7109375" customWidth="1" style="22" min="7" max="7"/>
    <col hidden="1" min="26" max="26"/>
  </cols>
  <sheetData>
    <row r="1" hidden="1">
      <c r="B1" s="22" t="inlineStr">
        <is>
          <t>core::supplierPartNumber</t>
        </is>
      </c>
      <c r="C1" s="22" t="inlineStr">
        <is>
          <t>media::documentValue</t>
        </is>
      </c>
      <c r="D1" s="22" t="inlineStr">
        <is>
          <t>media::documentType</t>
        </is>
      </c>
      <c r="E1" s="22" t="inlineStr">
        <is>
          <t>media::legalDocumentType</t>
        </is>
      </c>
      <c r="F1" s="22" t="inlineStr">
        <is>
          <t>media::regionType</t>
        </is>
      </c>
      <c r="G1" s="22" t="inlineStr">
        <is>
          <t>media::language</t>
        </is>
      </c>
    </row>
    <row r="2">
      <c r="B2" s="23" t="inlineStr">
        <is>
          <t>Basic Information</t>
        </is>
      </c>
      <c r="C2" s="30" t="inlineStr">
        <is>
          <t>Media</t>
        </is>
      </c>
      <c r="D2" s="41" t="n"/>
      <c r="E2" s="41" t="n"/>
      <c r="F2" s="41" t="n"/>
      <c r="G2" s="42" t="n"/>
    </row>
    <row r="3">
      <c r="B3" s="32" t="inlineStr">
        <is>
          <t>Required</t>
        </is>
      </c>
      <c r="C3" s="32" t="inlineStr">
        <is>
          <t>Conditional</t>
        </is>
      </c>
      <c r="D3" s="32" t="inlineStr">
        <is>
          <t>Conditional</t>
        </is>
      </c>
      <c r="E3" s="32" t="inlineStr">
        <is>
          <t>Conditional</t>
        </is>
      </c>
      <c r="F3" s="32" t="inlineStr">
        <is>
          <t>Conditional</t>
        </is>
      </c>
      <c r="G3" s="32" t="inlineStr">
        <is>
          <t>Conditional</t>
        </is>
      </c>
    </row>
    <row r="4" ht="50" customHeight="1">
      <c r="A4" s="19" t="inlineStr">
        <is>
          <t>Errors</t>
        </is>
      </c>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Provide the document’s file name with extension for separate uploads or a direct public URL. Do not exceed 10 documents per product.</t>
        </is>
      </c>
      <c r="D5" s="35" t="inlineStr">
        <is>
          <t>Select one or more values from the provided list that best describe the document’s purpose. This classification helps customers easily find information like “Installation &amp; Assembly” guides, “Warranty Information,” or “Specifications.</t>
        </is>
      </c>
      <c r="E5" s="35" t="inlineStr">
        <is>
          <t>If the document serves as a legal notice or certification (e.g., “ASTM F2057 - 19,” “ANSI A117.1 Compliant”), select the specific type(s) from the provided list. This is used for compliance and to display certifications to customers.</t>
        </is>
      </c>
      <c r="F5" s="35" t="inlineStr">
        <is>
          <t>Select the country or region where this document is legally applicable. This is crucial for compliance-related documents that may differ across locations.</t>
        </is>
      </c>
      <c r="G5" s="35" t="inlineStr">
        <is>
          <t>Select the language in which the document is written.</t>
        </is>
      </c>
    </row>
    <row r="6" ht="50" customHeight="1">
      <c r="A6" s="35" t="inlineStr">
        <is>
          <t>Read-Only</t>
        </is>
      </c>
      <c r="B6" s="35" t="inlineStr">
        <is>
          <t>Text</t>
        </is>
      </c>
      <c r="C6" s="35" t="inlineStr">
        <is>
          <t>Text</t>
        </is>
      </c>
      <c r="D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6" t="inlineStr">
        <is>
          <t>Select</t>
        </is>
      </c>
      <c r="G6" s="36" t="inlineStr">
        <is>
          <t>Select</t>
        </is>
      </c>
    </row>
    <row r="7">
      <c r="A7" s="39">
        <f>IF('Additional Documents'!B7 = "", "", IF('Additional Documents-WUO_ERR'!A7 = "", "Validated", HYPERLINK("#" &amp; ADDRESS(7, 'Additional Documents-WUO_TRK'!A7),_xlfn.TEXTAFTER('Additional Documents-WUO_ERR'!A7, ":"))))</f>
        <v/>
      </c>
      <c r="Z7">
        <f t="array" ref="Z7">IF(B7:B507="", "", IFERROR(_xlfn.XLOOKUP(B7:B507, _xlfn.VSTACK('3 - Carts &amp; Stands'!B7:B507, '6 - TV Stands &amp; Enterta'!B7:B507, '10 - Office Chairs'!B7:B507, '13 - Dressers &amp; Chests'!B7:B507, '12 - Beds'!B7:B507), _xlfn.VSTACK('3 - Carts &amp; Stands'!G7:G507, '6 - TV Stands &amp; Enterta'!G7:G507, '10 - Office Chairs'!G7:G507, '13 - Dressers &amp; Chests'!G7:G507, '12 - Beds'!G7:G507)), ""))</f>
        <v/>
      </c>
    </row>
    <row r="8">
      <c r="A8" s="39">
        <f>IF('Additional Documents'!B8 = "", "", IF('Additional Documents-WUO_ERR'!A8 = "", "Validated", HYPERLINK("#" &amp; ADDRESS(8, 'Additional Documents-WUO_TRK'!A8),_xlfn.TEXTAFTER('Additional Documents-WUO_ERR'!A8, ":"))))</f>
        <v/>
      </c>
    </row>
    <row r="9">
      <c r="A9" s="39">
        <f>IF('Additional Documents'!B9 = "", "", IF('Additional Documents-WUO_ERR'!A9 = "", "Validated", HYPERLINK("#" &amp; ADDRESS(9, 'Additional Documents-WUO_TRK'!A9),_xlfn.TEXTAFTER('Additional Documents-WUO_ERR'!A9, ":"))))</f>
        <v/>
      </c>
    </row>
    <row r="10">
      <c r="A10" s="39">
        <f>IF('Additional Documents'!B10 = "", "", IF('Additional Documents-WUO_ERR'!A10 = "", "Validated", HYPERLINK("#" &amp; ADDRESS(10, 'Additional Documents-WUO_TRK'!A10),_xlfn.TEXTAFTER('Additional Documents-WUO_ERR'!A10, ":"))))</f>
        <v/>
      </c>
    </row>
    <row r="11">
      <c r="A11" s="39">
        <f>IF('Additional Documents'!B11 = "", "", IF('Additional Documents-WUO_ERR'!A11 = "", "Validated", HYPERLINK("#" &amp; ADDRESS(11, 'Additional Documents-WUO_TRK'!A11),_xlfn.TEXTAFTER('Additional Documents-WUO_ERR'!A11, ":"))))</f>
        <v/>
      </c>
    </row>
    <row r="12">
      <c r="A12" s="39">
        <f>IF('Additional Documents'!B12 = "", "", IF('Additional Documents-WUO_ERR'!A12 = "", "Validated", HYPERLINK("#" &amp; ADDRESS(12, 'Additional Documents-WUO_TRK'!A12),_xlfn.TEXTAFTER('Additional Documents-WUO_ERR'!A12, ":"))))</f>
        <v/>
      </c>
    </row>
    <row r="13">
      <c r="A13" s="39">
        <f>IF('Additional Documents'!B13 = "", "", IF('Additional Documents-WUO_ERR'!A13 = "", "Validated", HYPERLINK("#" &amp; ADDRESS(13, 'Additional Documents-WUO_TRK'!A13),_xlfn.TEXTAFTER('Additional Documents-WUO_ERR'!A13, ":"))))</f>
        <v/>
      </c>
    </row>
    <row r="14">
      <c r="A14" s="39">
        <f>IF('Additional Documents'!B14 = "", "", IF('Additional Documents-WUO_ERR'!A14 = "", "Validated", HYPERLINK("#" &amp; ADDRESS(14, 'Additional Documents-WUO_TRK'!A14),_xlfn.TEXTAFTER('Additional Documents-WUO_ERR'!A14, ":"))))</f>
        <v/>
      </c>
    </row>
    <row r="15">
      <c r="A15" s="39">
        <f>IF('Additional Documents'!B15 = "", "", IF('Additional Documents-WUO_ERR'!A15 = "", "Validated", HYPERLINK("#" &amp; ADDRESS(15, 'Additional Documents-WUO_TRK'!A15),_xlfn.TEXTAFTER('Additional Documents-WUO_ERR'!A15, ":"))))</f>
        <v/>
      </c>
    </row>
    <row r="16">
      <c r="A16" s="39">
        <f>IF('Additional Documents'!B16 = "", "", IF('Additional Documents-WUO_ERR'!A16 = "", "Validated", HYPERLINK("#" &amp; ADDRESS(16, 'Additional Documents-WUO_TRK'!A16),_xlfn.TEXTAFTER('Additional Documents-WUO_ERR'!A16, ":"))))</f>
        <v/>
      </c>
    </row>
    <row r="17">
      <c r="A17" s="39">
        <f>IF('Additional Documents'!B17 = "", "", IF('Additional Documents-WUO_ERR'!A17 = "", "Validated", HYPERLINK("#" &amp; ADDRESS(17, 'Additional Documents-WUO_TRK'!A17),_xlfn.TEXTAFTER('Additional Documents-WUO_ERR'!A17, ":"))))</f>
        <v/>
      </c>
    </row>
    <row r="18">
      <c r="A18" s="39">
        <f>IF('Additional Documents'!B18 = "", "", IF('Additional Documents-WUO_ERR'!A18 = "", "Validated", HYPERLINK("#" &amp; ADDRESS(18, 'Additional Documents-WUO_TRK'!A18),_xlfn.TEXTAFTER('Additional Documents-WUO_ERR'!A18, ":"))))</f>
        <v/>
      </c>
    </row>
    <row r="19">
      <c r="A19" s="39">
        <f>IF('Additional Documents'!B19 = "", "", IF('Additional Documents-WUO_ERR'!A19 = "", "Validated", HYPERLINK("#" &amp; ADDRESS(19, 'Additional Documents-WUO_TRK'!A19),_xlfn.TEXTAFTER('Additional Documents-WUO_ERR'!A19, ":"))))</f>
        <v/>
      </c>
    </row>
    <row r="20">
      <c r="A20" s="39">
        <f>IF('Additional Documents'!B20 = "", "", IF('Additional Documents-WUO_ERR'!A20 = "", "Validated", HYPERLINK("#" &amp; ADDRESS(20, 'Additional Documents-WUO_TRK'!A20),_xlfn.TEXTAFTER('Additional Documents-WUO_ERR'!A20, ":"))))</f>
        <v/>
      </c>
    </row>
    <row r="21">
      <c r="A21" s="39">
        <f>IF('Additional Documents'!B21 = "", "", IF('Additional Documents-WUO_ERR'!A21 = "", "Validated", HYPERLINK("#" &amp; ADDRESS(21, 'Additional Documents-WUO_TRK'!A21),_xlfn.TEXTAFTER('Additional Documents-WUO_ERR'!A21, ":"))))</f>
        <v/>
      </c>
    </row>
    <row r="22">
      <c r="A22" s="39">
        <f>IF('Additional Documents'!B22 = "", "", IF('Additional Documents-WUO_ERR'!A22 = "", "Validated", HYPERLINK("#" &amp; ADDRESS(22, 'Additional Documents-WUO_TRK'!A22),_xlfn.TEXTAFTER('Additional Documents-WUO_ERR'!A22, ":"))))</f>
        <v/>
      </c>
    </row>
    <row r="23">
      <c r="A23" s="39">
        <f>IF('Additional Documents'!B23 = "", "", IF('Additional Documents-WUO_ERR'!A23 = "", "Validated", HYPERLINK("#" &amp; ADDRESS(23, 'Additional Documents-WUO_TRK'!A23),_xlfn.TEXTAFTER('Additional Documents-WUO_ERR'!A23, ":"))))</f>
        <v/>
      </c>
    </row>
    <row r="24">
      <c r="A24" s="39">
        <f>IF('Additional Documents'!B24 = "", "", IF('Additional Documents-WUO_ERR'!A24 = "", "Validated", HYPERLINK("#" &amp; ADDRESS(24, 'Additional Documents-WUO_TRK'!A24),_xlfn.TEXTAFTER('Additional Documents-WUO_ERR'!A24, ":"))))</f>
        <v/>
      </c>
    </row>
    <row r="25">
      <c r="A25" s="39">
        <f>IF('Additional Documents'!B25 = "", "", IF('Additional Documents-WUO_ERR'!A25 = "", "Validated", HYPERLINK("#" &amp; ADDRESS(25, 'Additional Documents-WUO_TRK'!A25),_xlfn.TEXTAFTER('Additional Documents-WUO_ERR'!A25, ":"))))</f>
        <v/>
      </c>
    </row>
    <row r="26">
      <c r="A26" s="39">
        <f>IF('Additional Documents'!B26 = "", "", IF('Additional Documents-WUO_ERR'!A26 = "", "Validated", HYPERLINK("#" &amp; ADDRESS(26, 'Additional Documents-WUO_TRK'!A26),_xlfn.TEXTAFTER('Additional Documents-WUO_ERR'!A26, ":"))))</f>
        <v/>
      </c>
    </row>
    <row r="27">
      <c r="A27" s="39">
        <f>IF('Additional Documents'!B27 = "", "", IF('Additional Documents-WUO_ERR'!A27 = "", "Validated", HYPERLINK("#" &amp; ADDRESS(27, 'Additional Documents-WUO_TRK'!A27),_xlfn.TEXTAFTER('Additional Documents-WUO_ERR'!A27, ":"))))</f>
        <v/>
      </c>
    </row>
    <row r="28">
      <c r="A28" s="39">
        <f>IF('Additional Documents'!B28 = "", "", IF('Additional Documents-WUO_ERR'!A28 = "", "Validated", HYPERLINK("#" &amp; ADDRESS(28, 'Additional Documents-WUO_TRK'!A28),_xlfn.TEXTAFTER('Additional Documents-WUO_ERR'!A28, ":"))))</f>
        <v/>
      </c>
    </row>
    <row r="29">
      <c r="A29" s="39">
        <f>IF('Additional Documents'!B29 = "", "", IF('Additional Documents-WUO_ERR'!A29 = "", "Validated", HYPERLINK("#" &amp; ADDRESS(29, 'Additional Documents-WUO_TRK'!A29),_xlfn.TEXTAFTER('Additional Documents-WUO_ERR'!A29, ":"))))</f>
        <v/>
      </c>
    </row>
    <row r="30">
      <c r="A30" s="39">
        <f>IF('Additional Documents'!B30 = "", "", IF('Additional Documents-WUO_ERR'!A30 = "", "Validated", HYPERLINK("#" &amp; ADDRESS(30, 'Additional Documents-WUO_TRK'!A30),_xlfn.TEXTAFTER('Additional Documents-WUO_ERR'!A30, ":"))))</f>
        <v/>
      </c>
    </row>
    <row r="31">
      <c r="A31" s="39">
        <f>IF('Additional Documents'!B31 = "", "", IF('Additional Documents-WUO_ERR'!A31 = "", "Validated", HYPERLINK("#" &amp; ADDRESS(31, 'Additional Documents-WUO_TRK'!A31),_xlfn.TEXTAFTER('Additional Documents-WUO_ERR'!A31, ":"))))</f>
        <v/>
      </c>
    </row>
    <row r="32">
      <c r="A32" s="39">
        <f>IF('Additional Documents'!B32 = "", "", IF('Additional Documents-WUO_ERR'!A32 = "", "Validated", HYPERLINK("#" &amp; ADDRESS(32, 'Additional Documents-WUO_TRK'!A32),_xlfn.TEXTAFTER('Additional Documents-WUO_ERR'!A32, ":"))))</f>
        <v/>
      </c>
    </row>
    <row r="33">
      <c r="A33" s="39">
        <f>IF('Additional Documents'!B33 = "", "", IF('Additional Documents-WUO_ERR'!A33 = "", "Validated", HYPERLINK("#" &amp; ADDRESS(33, 'Additional Documents-WUO_TRK'!A33),_xlfn.TEXTAFTER('Additional Documents-WUO_ERR'!A33, ":"))))</f>
        <v/>
      </c>
    </row>
    <row r="34">
      <c r="A34" s="39">
        <f>IF('Additional Documents'!B34 = "", "", IF('Additional Documents-WUO_ERR'!A34 = "", "Validated", HYPERLINK("#" &amp; ADDRESS(34, 'Additional Documents-WUO_TRK'!A34),_xlfn.TEXTAFTER('Additional Documents-WUO_ERR'!A34, ":"))))</f>
        <v/>
      </c>
    </row>
    <row r="35">
      <c r="A35" s="39">
        <f>IF('Additional Documents'!B35 = "", "", IF('Additional Documents-WUO_ERR'!A35 = "", "Validated", HYPERLINK("#" &amp; ADDRESS(35, 'Additional Documents-WUO_TRK'!A35),_xlfn.TEXTAFTER('Additional Documents-WUO_ERR'!A35, ":"))))</f>
        <v/>
      </c>
    </row>
    <row r="36">
      <c r="A36" s="39">
        <f>IF('Additional Documents'!B36 = "", "", IF('Additional Documents-WUO_ERR'!A36 = "", "Validated", HYPERLINK("#" &amp; ADDRESS(36, 'Additional Documents-WUO_TRK'!A36),_xlfn.TEXTAFTER('Additional Documents-WUO_ERR'!A36, ":"))))</f>
        <v/>
      </c>
    </row>
    <row r="37">
      <c r="A37" s="39">
        <f>IF('Additional Documents'!B37 = "", "", IF('Additional Documents-WUO_ERR'!A37 = "", "Validated", HYPERLINK("#" &amp; ADDRESS(37, 'Additional Documents-WUO_TRK'!A37),_xlfn.TEXTAFTER('Additional Documents-WUO_ERR'!A37, ":"))))</f>
        <v/>
      </c>
    </row>
    <row r="38">
      <c r="A38" s="39">
        <f>IF('Additional Documents'!B38 = "", "", IF('Additional Documents-WUO_ERR'!A38 = "", "Validated", HYPERLINK("#" &amp; ADDRESS(38, 'Additional Documents-WUO_TRK'!A38),_xlfn.TEXTAFTER('Additional Documents-WUO_ERR'!A38, ":"))))</f>
        <v/>
      </c>
    </row>
    <row r="39">
      <c r="A39" s="39">
        <f>IF('Additional Documents'!B39 = "", "", IF('Additional Documents-WUO_ERR'!A39 = "", "Validated", HYPERLINK("#" &amp; ADDRESS(39, 'Additional Documents-WUO_TRK'!A39),_xlfn.TEXTAFTER('Additional Documents-WUO_ERR'!A39, ":"))))</f>
        <v/>
      </c>
    </row>
    <row r="40">
      <c r="A40" s="39">
        <f>IF('Additional Documents'!B40 = "", "", IF('Additional Documents-WUO_ERR'!A40 = "", "Validated", HYPERLINK("#" &amp; ADDRESS(40, 'Additional Documents-WUO_TRK'!A40),_xlfn.TEXTAFTER('Additional Documents-WUO_ERR'!A40, ":"))))</f>
        <v/>
      </c>
    </row>
    <row r="41">
      <c r="A41" s="39">
        <f>IF('Additional Documents'!B41 = "", "", IF('Additional Documents-WUO_ERR'!A41 = "", "Validated", HYPERLINK("#" &amp; ADDRESS(41, 'Additional Documents-WUO_TRK'!A41),_xlfn.TEXTAFTER('Additional Documents-WUO_ERR'!A41, ":"))))</f>
        <v/>
      </c>
    </row>
    <row r="42">
      <c r="A42" s="39">
        <f>IF('Additional Documents'!B42 = "", "", IF('Additional Documents-WUO_ERR'!A42 = "", "Validated", HYPERLINK("#" &amp; ADDRESS(42, 'Additional Documents-WUO_TRK'!A42),_xlfn.TEXTAFTER('Additional Documents-WUO_ERR'!A42, ":"))))</f>
        <v/>
      </c>
    </row>
    <row r="43">
      <c r="A43" s="39">
        <f>IF('Additional Documents'!B43 = "", "", IF('Additional Documents-WUO_ERR'!A43 = "", "Validated", HYPERLINK("#" &amp; ADDRESS(43, 'Additional Documents-WUO_TRK'!A43),_xlfn.TEXTAFTER('Additional Documents-WUO_ERR'!A43, ":"))))</f>
        <v/>
      </c>
    </row>
    <row r="44">
      <c r="A44" s="39">
        <f>IF('Additional Documents'!B44 = "", "", IF('Additional Documents-WUO_ERR'!A44 = "", "Validated", HYPERLINK("#" &amp; ADDRESS(44, 'Additional Documents-WUO_TRK'!A44),_xlfn.TEXTAFTER('Additional Documents-WUO_ERR'!A44, ":"))))</f>
        <v/>
      </c>
    </row>
    <row r="45">
      <c r="A45" s="39">
        <f>IF('Additional Documents'!B45 = "", "", IF('Additional Documents-WUO_ERR'!A45 = "", "Validated", HYPERLINK("#" &amp; ADDRESS(45, 'Additional Documents-WUO_TRK'!A45),_xlfn.TEXTAFTER('Additional Documents-WUO_ERR'!A45, ":"))))</f>
        <v/>
      </c>
    </row>
    <row r="46">
      <c r="A46" s="39">
        <f>IF('Additional Documents'!B46 = "", "", IF('Additional Documents-WUO_ERR'!A46 = "", "Validated", HYPERLINK("#" &amp; ADDRESS(46, 'Additional Documents-WUO_TRK'!A46),_xlfn.TEXTAFTER('Additional Documents-WUO_ERR'!A46, ":"))))</f>
        <v/>
      </c>
    </row>
    <row r="47">
      <c r="A47" s="39">
        <f>IF('Additional Documents'!B47 = "", "", IF('Additional Documents-WUO_ERR'!A47 = "", "Validated", HYPERLINK("#" &amp; ADDRESS(47, 'Additional Documents-WUO_TRK'!A47),_xlfn.TEXTAFTER('Additional Documents-WUO_ERR'!A47, ":"))))</f>
        <v/>
      </c>
    </row>
    <row r="48">
      <c r="A48" s="39">
        <f>IF('Additional Documents'!B48 = "", "", IF('Additional Documents-WUO_ERR'!A48 = "", "Validated", HYPERLINK("#" &amp; ADDRESS(48, 'Additional Documents-WUO_TRK'!A48),_xlfn.TEXTAFTER('Additional Documents-WUO_ERR'!A48, ":"))))</f>
        <v/>
      </c>
    </row>
    <row r="49">
      <c r="A49" s="39">
        <f>IF('Additional Documents'!B49 = "", "", IF('Additional Documents-WUO_ERR'!A49 = "", "Validated", HYPERLINK("#" &amp; ADDRESS(49, 'Additional Documents-WUO_TRK'!A49),_xlfn.TEXTAFTER('Additional Documents-WUO_ERR'!A49, ":"))))</f>
        <v/>
      </c>
    </row>
    <row r="50">
      <c r="A50" s="39">
        <f>IF('Additional Documents'!B50 = "", "", IF('Additional Documents-WUO_ERR'!A50 = "", "Validated", HYPERLINK("#" &amp; ADDRESS(50, 'Additional Documents-WUO_TRK'!A50),_xlfn.TEXTAFTER('Additional Documents-WUO_ERR'!A50, ":"))))</f>
        <v/>
      </c>
    </row>
    <row r="51">
      <c r="A51" s="39">
        <f>IF('Additional Documents'!B51 = "", "", IF('Additional Documents-WUO_ERR'!A51 = "", "Validated", HYPERLINK("#" &amp; ADDRESS(51, 'Additional Documents-WUO_TRK'!A51),_xlfn.TEXTAFTER('Additional Documents-WUO_ERR'!A51, ":"))))</f>
        <v/>
      </c>
    </row>
    <row r="52">
      <c r="A52" s="39">
        <f>IF('Additional Documents'!B52 = "", "", IF('Additional Documents-WUO_ERR'!A52 = "", "Validated", HYPERLINK("#" &amp; ADDRESS(52, 'Additional Documents-WUO_TRK'!A52),_xlfn.TEXTAFTER('Additional Documents-WUO_ERR'!A52, ":"))))</f>
        <v/>
      </c>
    </row>
    <row r="53">
      <c r="A53" s="39">
        <f>IF('Additional Documents'!B53 = "", "", IF('Additional Documents-WUO_ERR'!A53 = "", "Validated", HYPERLINK("#" &amp; ADDRESS(53, 'Additional Documents-WUO_TRK'!A53),_xlfn.TEXTAFTER('Additional Documents-WUO_ERR'!A53, ":"))))</f>
        <v/>
      </c>
    </row>
    <row r="54">
      <c r="A54" s="39">
        <f>IF('Additional Documents'!B54 = "", "", IF('Additional Documents-WUO_ERR'!A54 = "", "Validated", HYPERLINK("#" &amp; ADDRESS(54, 'Additional Documents-WUO_TRK'!A54),_xlfn.TEXTAFTER('Additional Documents-WUO_ERR'!A54, ":"))))</f>
        <v/>
      </c>
    </row>
    <row r="55">
      <c r="A55" s="39">
        <f>IF('Additional Documents'!B55 = "", "", IF('Additional Documents-WUO_ERR'!A55 = "", "Validated", HYPERLINK("#" &amp; ADDRESS(55, 'Additional Documents-WUO_TRK'!A55),_xlfn.TEXTAFTER('Additional Documents-WUO_ERR'!A55, ":"))))</f>
        <v/>
      </c>
    </row>
    <row r="56">
      <c r="A56" s="39">
        <f>IF('Additional Documents'!B56 = "", "", IF('Additional Documents-WUO_ERR'!A56 = "", "Validated", HYPERLINK("#" &amp; ADDRESS(56, 'Additional Documents-WUO_TRK'!A56),_xlfn.TEXTAFTER('Additional Documents-WUO_ERR'!A56, ":"))))</f>
        <v/>
      </c>
    </row>
    <row r="57">
      <c r="A57" s="39">
        <f>IF('Additional Documents'!B57 = "", "", IF('Additional Documents-WUO_ERR'!A57 = "", "Validated", HYPERLINK("#" &amp; ADDRESS(57, 'Additional Documents-WUO_TRK'!A57),_xlfn.TEXTAFTER('Additional Documents-WUO_ERR'!A57, ":"))))</f>
        <v/>
      </c>
    </row>
    <row r="58">
      <c r="A58" s="39">
        <f>IF('Additional Documents'!B58 = "", "", IF('Additional Documents-WUO_ERR'!A58 = "", "Validated", HYPERLINK("#" &amp; ADDRESS(58, 'Additional Documents-WUO_TRK'!A58),_xlfn.TEXTAFTER('Additional Documents-WUO_ERR'!A58, ":"))))</f>
        <v/>
      </c>
    </row>
    <row r="59">
      <c r="A59" s="39">
        <f>IF('Additional Documents'!B59 = "", "", IF('Additional Documents-WUO_ERR'!A59 = "", "Validated", HYPERLINK("#" &amp; ADDRESS(59, 'Additional Documents-WUO_TRK'!A59),_xlfn.TEXTAFTER('Additional Documents-WUO_ERR'!A59, ":"))))</f>
        <v/>
      </c>
    </row>
    <row r="60">
      <c r="A60" s="39">
        <f>IF('Additional Documents'!B60 = "", "", IF('Additional Documents-WUO_ERR'!A60 = "", "Validated", HYPERLINK("#" &amp; ADDRESS(60, 'Additional Documents-WUO_TRK'!A60),_xlfn.TEXTAFTER('Additional Documents-WUO_ERR'!A60, ":"))))</f>
        <v/>
      </c>
    </row>
    <row r="61">
      <c r="A61" s="39">
        <f>IF('Additional Documents'!B61 = "", "", IF('Additional Documents-WUO_ERR'!A61 = "", "Validated", HYPERLINK("#" &amp; ADDRESS(61, 'Additional Documents-WUO_TRK'!A61),_xlfn.TEXTAFTER('Additional Documents-WUO_ERR'!A61, ":"))))</f>
        <v/>
      </c>
    </row>
    <row r="62">
      <c r="A62" s="39">
        <f>IF('Additional Documents'!B62 = "", "", IF('Additional Documents-WUO_ERR'!A62 = "", "Validated", HYPERLINK("#" &amp; ADDRESS(62, 'Additional Documents-WUO_TRK'!A62),_xlfn.TEXTAFTER('Additional Documents-WUO_ERR'!A62, ":"))))</f>
        <v/>
      </c>
    </row>
    <row r="63">
      <c r="A63" s="39">
        <f>IF('Additional Documents'!B63 = "", "", IF('Additional Documents-WUO_ERR'!A63 = "", "Validated", HYPERLINK("#" &amp; ADDRESS(63, 'Additional Documents-WUO_TRK'!A63),_xlfn.TEXTAFTER('Additional Documents-WUO_ERR'!A63, ":"))))</f>
        <v/>
      </c>
    </row>
    <row r="64">
      <c r="A64" s="39">
        <f>IF('Additional Documents'!B64 = "", "", IF('Additional Documents-WUO_ERR'!A64 = "", "Validated", HYPERLINK("#" &amp; ADDRESS(64, 'Additional Documents-WUO_TRK'!A64),_xlfn.TEXTAFTER('Additional Documents-WUO_ERR'!A64, ":"))))</f>
        <v/>
      </c>
    </row>
    <row r="65">
      <c r="A65" s="39">
        <f>IF('Additional Documents'!B65 = "", "", IF('Additional Documents-WUO_ERR'!A65 = "", "Validated", HYPERLINK("#" &amp; ADDRESS(65, 'Additional Documents-WUO_TRK'!A65),_xlfn.TEXTAFTER('Additional Documents-WUO_ERR'!A65, ":"))))</f>
        <v/>
      </c>
    </row>
    <row r="66">
      <c r="A66" s="39">
        <f>IF('Additional Documents'!B66 = "", "", IF('Additional Documents-WUO_ERR'!A66 = "", "Validated", HYPERLINK("#" &amp; ADDRESS(66, 'Additional Documents-WUO_TRK'!A66),_xlfn.TEXTAFTER('Additional Documents-WUO_ERR'!A66, ":"))))</f>
        <v/>
      </c>
    </row>
    <row r="67">
      <c r="A67" s="39">
        <f>IF('Additional Documents'!B67 = "", "", IF('Additional Documents-WUO_ERR'!A67 = "", "Validated", HYPERLINK("#" &amp; ADDRESS(67, 'Additional Documents-WUO_TRK'!A67),_xlfn.TEXTAFTER('Additional Documents-WUO_ERR'!A67, ":"))))</f>
        <v/>
      </c>
    </row>
    <row r="68">
      <c r="A68" s="39">
        <f>IF('Additional Documents'!B68 = "", "", IF('Additional Documents-WUO_ERR'!A68 = "", "Validated", HYPERLINK("#" &amp; ADDRESS(68, 'Additional Documents-WUO_TRK'!A68),_xlfn.TEXTAFTER('Additional Documents-WUO_ERR'!A68, ":"))))</f>
        <v/>
      </c>
    </row>
    <row r="69">
      <c r="A69" s="39">
        <f>IF('Additional Documents'!B69 = "", "", IF('Additional Documents-WUO_ERR'!A69 = "", "Validated", HYPERLINK("#" &amp; ADDRESS(69, 'Additional Documents-WUO_TRK'!A69),_xlfn.TEXTAFTER('Additional Documents-WUO_ERR'!A69, ":"))))</f>
        <v/>
      </c>
    </row>
    <row r="70">
      <c r="A70" s="39">
        <f>IF('Additional Documents'!B70 = "", "", IF('Additional Documents-WUO_ERR'!A70 = "", "Validated", HYPERLINK("#" &amp; ADDRESS(70, 'Additional Documents-WUO_TRK'!A70),_xlfn.TEXTAFTER('Additional Documents-WUO_ERR'!A70, ":"))))</f>
        <v/>
      </c>
    </row>
    <row r="71">
      <c r="A71" s="39">
        <f>IF('Additional Documents'!B71 = "", "", IF('Additional Documents-WUO_ERR'!A71 = "", "Validated", HYPERLINK("#" &amp; ADDRESS(71, 'Additional Documents-WUO_TRK'!A71),_xlfn.TEXTAFTER('Additional Documents-WUO_ERR'!A71, ":"))))</f>
        <v/>
      </c>
    </row>
    <row r="72">
      <c r="A72" s="39">
        <f>IF('Additional Documents'!B72 = "", "", IF('Additional Documents-WUO_ERR'!A72 = "", "Validated", HYPERLINK("#" &amp; ADDRESS(72, 'Additional Documents-WUO_TRK'!A72),_xlfn.TEXTAFTER('Additional Documents-WUO_ERR'!A72, ":"))))</f>
        <v/>
      </c>
    </row>
    <row r="73">
      <c r="A73" s="39">
        <f>IF('Additional Documents'!B73 = "", "", IF('Additional Documents-WUO_ERR'!A73 = "", "Validated", HYPERLINK("#" &amp; ADDRESS(73, 'Additional Documents-WUO_TRK'!A73),_xlfn.TEXTAFTER('Additional Documents-WUO_ERR'!A73, ":"))))</f>
        <v/>
      </c>
    </row>
    <row r="74">
      <c r="A74" s="39">
        <f>IF('Additional Documents'!B74 = "", "", IF('Additional Documents-WUO_ERR'!A74 = "", "Validated", HYPERLINK("#" &amp; ADDRESS(74, 'Additional Documents-WUO_TRK'!A74),_xlfn.TEXTAFTER('Additional Documents-WUO_ERR'!A74, ":"))))</f>
        <v/>
      </c>
    </row>
    <row r="75">
      <c r="A75" s="39">
        <f>IF('Additional Documents'!B75 = "", "", IF('Additional Documents-WUO_ERR'!A75 = "", "Validated", HYPERLINK("#" &amp; ADDRESS(75, 'Additional Documents-WUO_TRK'!A75),_xlfn.TEXTAFTER('Additional Documents-WUO_ERR'!A75, ":"))))</f>
        <v/>
      </c>
    </row>
    <row r="76">
      <c r="A76" s="39">
        <f>IF('Additional Documents'!B76 = "", "", IF('Additional Documents-WUO_ERR'!A76 = "", "Validated", HYPERLINK("#" &amp; ADDRESS(76, 'Additional Documents-WUO_TRK'!A76),_xlfn.TEXTAFTER('Additional Documents-WUO_ERR'!A76, ":"))))</f>
        <v/>
      </c>
    </row>
    <row r="77">
      <c r="A77" s="39">
        <f>IF('Additional Documents'!B77 = "", "", IF('Additional Documents-WUO_ERR'!A77 = "", "Validated", HYPERLINK("#" &amp; ADDRESS(77, 'Additional Documents-WUO_TRK'!A77),_xlfn.TEXTAFTER('Additional Documents-WUO_ERR'!A77, ":"))))</f>
        <v/>
      </c>
    </row>
    <row r="78">
      <c r="A78" s="39">
        <f>IF('Additional Documents'!B78 = "", "", IF('Additional Documents-WUO_ERR'!A78 = "", "Validated", HYPERLINK("#" &amp; ADDRESS(78, 'Additional Documents-WUO_TRK'!A78),_xlfn.TEXTAFTER('Additional Documents-WUO_ERR'!A78, ":"))))</f>
        <v/>
      </c>
    </row>
    <row r="79">
      <c r="A79" s="39">
        <f>IF('Additional Documents'!B79 = "", "", IF('Additional Documents-WUO_ERR'!A79 = "", "Validated", HYPERLINK("#" &amp; ADDRESS(79, 'Additional Documents-WUO_TRK'!A79),_xlfn.TEXTAFTER('Additional Documents-WUO_ERR'!A79, ":"))))</f>
        <v/>
      </c>
    </row>
    <row r="80">
      <c r="A80" s="39">
        <f>IF('Additional Documents'!B80 = "", "", IF('Additional Documents-WUO_ERR'!A80 = "", "Validated", HYPERLINK("#" &amp; ADDRESS(80, 'Additional Documents-WUO_TRK'!A80),_xlfn.TEXTAFTER('Additional Documents-WUO_ERR'!A80, ":"))))</f>
        <v/>
      </c>
    </row>
    <row r="81">
      <c r="A81" s="39">
        <f>IF('Additional Documents'!B81 = "", "", IF('Additional Documents-WUO_ERR'!A81 = "", "Validated", HYPERLINK("#" &amp; ADDRESS(81, 'Additional Documents-WUO_TRK'!A81),_xlfn.TEXTAFTER('Additional Documents-WUO_ERR'!A81, ":"))))</f>
        <v/>
      </c>
    </row>
    <row r="82">
      <c r="A82" s="39">
        <f>IF('Additional Documents'!B82 = "", "", IF('Additional Documents-WUO_ERR'!A82 = "", "Validated", HYPERLINK("#" &amp; ADDRESS(82, 'Additional Documents-WUO_TRK'!A82),_xlfn.TEXTAFTER('Additional Documents-WUO_ERR'!A82, ":"))))</f>
        <v/>
      </c>
    </row>
    <row r="83">
      <c r="A83" s="39">
        <f>IF('Additional Documents'!B83 = "", "", IF('Additional Documents-WUO_ERR'!A83 = "", "Validated", HYPERLINK("#" &amp; ADDRESS(83, 'Additional Documents-WUO_TRK'!A83),_xlfn.TEXTAFTER('Additional Documents-WUO_ERR'!A83, ":"))))</f>
        <v/>
      </c>
    </row>
    <row r="84">
      <c r="A84" s="39">
        <f>IF('Additional Documents'!B84 = "", "", IF('Additional Documents-WUO_ERR'!A84 = "", "Validated", HYPERLINK("#" &amp; ADDRESS(84, 'Additional Documents-WUO_TRK'!A84),_xlfn.TEXTAFTER('Additional Documents-WUO_ERR'!A84, ":"))))</f>
        <v/>
      </c>
    </row>
    <row r="85">
      <c r="A85" s="39">
        <f>IF('Additional Documents'!B85 = "", "", IF('Additional Documents-WUO_ERR'!A85 = "", "Validated", HYPERLINK("#" &amp; ADDRESS(85, 'Additional Documents-WUO_TRK'!A85),_xlfn.TEXTAFTER('Additional Documents-WUO_ERR'!A85, ":"))))</f>
        <v/>
      </c>
    </row>
    <row r="86">
      <c r="A86" s="39">
        <f>IF('Additional Documents'!B86 = "", "", IF('Additional Documents-WUO_ERR'!A86 = "", "Validated", HYPERLINK("#" &amp; ADDRESS(86, 'Additional Documents-WUO_TRK'!A86),_xlfn.TEXTAFTER('Additional Documents-WUO_ERR'!A86, ":"))))</f>
        <v/>
      </c>
    </row>
    <row r="87">
      <c r="A87" s="39">
        <f>IF('Additional Documents'!B87 = "", "", IF('Additional Documents-WUO_ERR'!A87 = "", "Validated", HYPERLINK("#" &amp; ADDRESS(87, 'Additional Documents-WUO_TRK'!A87),_xlfn.TEXTAFTER('Additional Documents-WUO_ERR'!A87, ":"))))</f>
        <v/>
      </c>
    </row>
    <row r="88">
      <c r="A88" s="39">
        <f>IF('Additional Documents'!B88 = "", "", IF('Additional Documents-WUO_ERR'!A88 = "", "Validated", HYPERLINK("#" &amp; ADDRESS(88, 'Additional Documents-WUO_TRK'!A88),_xlfn.TEXTAFTER('Additional Documents-WUO_ERR'!A88, ":"))))</f>
        <v/>
      </c>
    </row>
    <row r="89">
      <c r="A89" s="39">
        <f>IF('Additional Documents'!B89 = "", "", IF('Additional Documents-WUO_ERR'!A89 = "", "Validated", HYPERLINK("#" &amp; ADDRESS(89, 'Additional Documents-WUO_TRK'!A89),_xlfn.TEXTAFTER('Additional Documents-WUO_ERR'!A89, ":"))))</f>
        <v/>
      </c>
    </row>
    <row r="90">
      <c r="A90" s="39">
        <f>IF('Additional Documents'!B90 = "", "", IF('Additional Documents-WUO_ERR'!A90 = "", "Validated", HYPERLINK("#" &amp; ADDRESS(90, 'Additional Documents-WUO_TRK'!A90),_xlfn.TEXTAFTER('Additional Documents-WUO_ERR'!A90, ":"))))</f>
        <v/>
      </c>
    </row>
    <row r="91">
      <c r="A91" s="39">
        <f>IF('Additional Documents'!B91 = "", "", IF('Additional Documents-WUO_ERR'!A91 = "", "Validated", HYPERLINK("#" &amp; ADDRESS(91, 'Additional Documents-WUO_TRK'!A91),_xlfn.TEXTAFTER('Additional Documents-WUO_ERR'!A91, ":"))))</f>
        <v/>
      </c>
    </row>
    <row r="92">
      <c r="A92" s="39">
        <f>IF('Additional Documents'!B92 = "", "", IF('Additional Documents-WUO_ERR'!A92 = "", "Validated", HYPERLINK("#" &amp; ADDRESS(92, 'Additional Documents-WUO_TRK'!A92),_xlfn.TEXTAFTER('Additional Documents-WUO_ERR'!A92, ":"))))</f>
        <v/>
      </c>
    </row>
    <row r="93">
      <c r="A93" s="39">
        <f>IF('Additional Documents'!B93 = "", "", IF('Additional Documents-WUO_ERR'!A93 = "", "Validated", HYPERLINK("#" &amp; ADDRESS(93, 'Additional Documents-WUO_TRK'!A93),_xlfn.TEXTAFTER('Additional Documents-WUO_ERR'!A93, ":"))))</f>
        <v/>
      </c>
    </row>
    <row r="94">
      <c r="A94" s="39">
        <f>IF('Additional Documents'!B94 = "", "", IF('Additional Documents-WUO_ERR'!A94 = "", "Validated", HYPERLINK("#" &amp; ADDRESS(94, 'Additional Documents-WUO_TRK'!A94),_xlfn.TEXTAFTER('Additional Documents-WUO_ERR'!A94, ":"))))</f>
        <v/>
      </c>
    </row>
    <row r="95">
      <c r="A95" s="39">
        <f>IF('Additional Documents'!B95 = "", "", IF('Additional Documents-WUO_ERR'!A95 = "", "Validated", HYPERLINK("#" &amp; ADDRESS(95, 'Additional Documents-WUO_TRK'!A95),_xlfn.TEXTAFTER('Additional Documents-WUO_ERR'!A95, ":"))))</f>
        <v/>
      </c>
    </row>
    <row r="96">
      <c r="A96" s="39">
        <f>IF('Additional Documents'!B96 = "", "", IF('Additional Documents-WUO_ERR'!A96 = "", "Validated", HYPERLINK("#" &amp; ADDRESS(96, 'Additional Documents-WUO_TRK'!A96),_xlfn.TEXTAFTER('Additional Documents-WUO_ERR'!A96, ":"))))</f>
        <v/>
      </c>
    </row>
    <row r="97">
      <c r="A97" s="39">
        <f>IF('Additional Documents'!B97 = "", "", IF('Additional Documents-WUO_ERR'!A97 = "", "Validated", HYPERLINK("#" &amp; ADDRESS(97, 'Additional Documents-WUO_TRK'!A97),_xlfn.TEXTAFTER('Additional Documents-WUO_ERR'!A97, ":"))))</f>
        <v/>
      </c>
    </row>
    <row r="98">
      <c r="A98" s="39">
        <f>IF('Additional Documents'!B98 = "", "", IF('Additional Documents-WUO_ERR'!A98 = "", "Validated", HYPERLINK("#" &amp; ADDRESS(98, 'Additional Documents-WUO_TRK'!A98),_xlfn.TEXTAFTER('Additional Documents-WUO_ERR'!A98, ":"))))</f>
        <v/>
      </c>
    </row>
    <row r="99">
      <c r="A99" s="39">
        <f>IF('Additional Documents'!B99 = "", "", IF('Additional Documents-WUO_ERR'!A99 = "", "Validated", HYPERLINK("#" &amp; ADDRESS(99, 'Additional Documents-WUO_TRK'!A99),_xlfn.TEXTAFTER('Additional Documents-WUO_ERR'!A99, ":"))))</f>
        <v/>
      </c>
    </row>
    <row r="100">
      <c r="A100" s="39">
        <f>IF('Additional Documents'!B100 = "", "", IF('Additional Documents-WUO_ERR'!A100 = "", "Validated", HYPERLINK("#" &amp; ADDRESS(100, 'Additional Documents-WUO_TRK'!A100),_xlfn.TEXTAFTER('Additional Documents-WUO_ERR'!A100, ":"))))</f>
        <v/>
      </c>
    </row>
    <row r="101">
      <c r="A101" s="39">
        <f>IF('Additional Documents'!B101 = "", "", IF('Additional Documents-WUO_ERR'!A101 = "", "Validated", HYPERLINK("#" &amp; ADDRESS(101, 'Additional Documents-WUO_TRK'!A101),_xlfn.TEXTAFTER('Additional Documents-WUO_ERR'!A101, ":"))))</f>
        <v/>
      </c>
    </row>
    <row r="102">
      <c r="A102" s="39">
        <f>IF('Additional Documents'!B102 = "", "", IF('Additional Documents-WUO_ERR'!A102 = "", "Validated", HYPERLINK("#" &amp; ADDRESS(102, 'Additional Documents-WUO_TRK'!A102),_xlfn.TEXTAFTER('Additional Documents-WUO_ERR'!A102, ":"))))</f>
        <v/>
      </c>
    </row>
    <row r="103">
      <c r="A103" s="39">
        <f>IF('Additional Documents'!B103 = "", "", IF('Additional Documents-WUO_ERR'!A103 = "", "Validated", HYPERLINK("#" &amp; ADDRESS(103, 'Additional Documents-WUO_TRK'!A103),_xlfn.TEXTAFTER('Additional Documents-WUO_ERR'!A103, ":"))))</f>
        <v/>
      </c>
    </row>
    <row r="104">
      <c r="A104" s="39">
        <f>IF('Additional Documents'!B104 = "", "", IF('Additional Documents-WUO_ERR'!A104 = "", "Validated", HYPERLINK("#" &amp; ADDRESS(104, 'Additional Documents-WUO_TRK'!A104),_xlfn.TEXTAFTER('Additional Documents-WUO_ERR'!A104, ":"))))</f>
        <v/>
      </c>
    </row>
    <row r="105">
      <c r="A105" s="39">
        <f>IF('Additional Documents'!B105 = "", "", IF('Additional Documents-WUO_ERR'!A105 = "", "Validated", HYPERLINK("#" &amp; ADDRESS(105, 'Additional Documents-WUO_TRK'!A105),_xlfn.TEXTAFTER('Additional Documents-WUO_ERR'!A105, ":"))))</f>
        <v/>
      </c>
    </row>
    <row r="106">
      <c r="A106" s="39">
        <f>IF('Additional Documents'!B106 = "", "", IF('Additional Documents-WUO_ERR'!A106 = "", "Validated", HYPERLINK("#" &amp; ADDRESS(106, 'Additional Documents-WUO_TRK'!A106),_xlfn.TEXTAFTER('Additional Documents-WUO_ERR'!A106, ":"))))</f>
        <v/>
      </c>
    </row>
    <row r="107">
      <c r="A107" s="39">
        <f>IF('Additional Documents'!B107 = "", "", IF('Additional Documents-WUO_ERR'!A107 = "", "Validated", HYPERLINK("#" &amp; ADDRESS(107, 'Additional Documents-WUO_TRK'!A107),_xlfn.TEXTAFTER('Additional Documents-WUO_ERR'!A107, ":"))))</f>
        <v/>
      </c>
    </row>
    <row r="108">
      <c r="A108" s="39">
        <f>IF('Additional Documents'!B108 = "", "", IF('Additional Documents-WUO_ERR'!A108 = "", "Validated", HYPERLINK("#" &amp; ADDRESS(108, 'Additional Documents-WUO_TRK'!A108),_xlfn.TEXTAFTER('Additional Documents-WUO_ERR'!A108, ":"))))</f>
        <v/>
      </c>
    </row>
    <row r="109">
      <c r="A109" s="39">
        <f>IF('Additional Documents'!B109 = "", "", IF('Additional Documents-WUO_ERR'!A109 = "", "Validated", HYPERLINK("#" &amp; ADDRESS(109, 'Additional Documents-WUO_TRK'!A109),_xlfn.TEXTAFTER('Additional Documents-WUO_ERR'!A109, ":"))))</f>
        <v/>
      </c>
    </row>
    <row r="110">
      <c r="A110" s="39">
        <f>IF('Additional Documents'!B110 = "", "", IF('Additional Documents-WUO_ERR'!A110 = "", "Validated", HYPERLINK("#" &amp; ADDRESS(110, 'Additional Documents-WUO_TRK'!A110),_xlfn.TEXTAFTER('Additional Documents-WUO_ERR'!A110, ":"))))</f>
        <v/>
      </c>
    </row>
    <row r="111">
      <c r="A111" s="39">
        <f>IF('Additional Documents'!B111 = "", "", IF('Additional Documents-WUO_ERR'!A111 = "", "Validated", HYPERLINK("#" &amp; ADDRESS(111, 'Additional Documents-WUO_TRK'!A111),_xlfn.TEXTAFTER('Additional Documents-WUO_ERR'!A111, ":"))))</f>
        <v/>
      </c>
    </row>
    <row r="112">
      <c r="A112" s="39">
        <f>IF('Additional Documents'!B112 = "", "", IF('Additional Documents-WUO_ERR'!A112 = "", "Validated", HYPERLINK("#" &amp; ADDRESS(112, 'Additional Documents-WUO_TRK'!A112),_xlfn.TEXTAFTER('Additional Documents-WUO_ERR'!A112, ":"))))</f>
        <v/>
      </c>
    </row>
    <row r="113">
      <c r="A113" s="39">
        <f>IF('Additional Documents'!B113 = "", "", IF('Additional Documents-WUO_ERR'!A113 = "", "Validated", HYPERLINK("#" &amp; ADDRESS(113, 'Additional Documents-WUO_TRK'!A113),_xlfn.TEXTAFTER('Additional Documents-WUO_ERR'!A113, ":"))))</f>
        <v/>
      </c>
    </row>
    <row r="114">
      <c r="A114" s="39">
        <f>IF('Additional Documents'!B114 = "", "", IF('Additional Documents-WUO_ERR'!A114 = "", "Validated", HYPERLINK("#" &amp; ADDRESS(114, 'Additional Documents-WUO_TRK'!A114),_xlfn.TEXTAFTER('Additional Documents-WUO_ERR'!A114, ":"))))</f>
        <v/>
      </c>
    </row>
    <row r="115">
      <c r="A115" s="39">
        <f>IF('Additional Documents'!B115 = "", "", IF('Additional Documents-WUO_ERR'!A115 = "", "Validated", HYPERLINK("#" &amp; ADDRESS(115, 'Additional Documents-WUO_TRK'!A115),_xlfn.TEXTAFTER('Additional Documents-WUO_ERR'!A115, ":"))))</f>
        <v/>
      </c>
    </row>
    <row r="116">
      <c r="A116" s="39">
        <f>IF('Additional Documents'!B116 = "", "", IF('Additional Documents-WUO_ERR'!A116 = "", "Validated", HYPERLINK("#" &amp; ADDRESS(116, 'Additional Documents-WUO_TRK'!A116),_xlfn.TEXTAFTER('Additional Documents-WUO_ERR'!A116, ":"))))</f>
        <v/>
      </c>
    </row>
    <row r="117">
      <c r="A117" s="39">
        <f>IF('Additional Documents'!B117 = "", "", IF('Additional Documents-WUO_ERR'!A117 = "", "Validated", HYPERLINK("#" &amp; ADDRESS(117, 'Additional Documents-WUO_TRK'!A117),_xlfn.TEXTAFTER('Additional Documents-WUO_ERR'!A117, ":"))))</f>
        <v/>
      </c>
    </row>
    <row r="118">
      <c r="A118" s="39">
        <f>IF('Additional Documents'!B118 = "", "", IF('Additional Documents-WUO_ERR'!A118 = "", "Validated", HYPERLINK("#" &amp; ADDRESS(118, 'Additional Documents-WUO_TRK'!A118),_xlfn.TEXTAFTER('Additional Documents-WUO_ERR'!A118, ":"))))</f>
        <v/>
      </c>
    </row>
    <row r="119">
      <c r="A119" s="39">
        <f>IF('Additional Documents'!B119 = "", "", IF('Additional Documents-WUO_ERR'!A119 = "", "Validated", HYPERLINK("#" &amp; ADDRESS(119, 'Additional Documents-WUO_TRK'!A119),_xlfn.TEXTAFTER('Additional Documents-WUO_ERR'!A119, ":"))))</f>
        <v/>
      </c>
    </row>
    <row r="120">
      <c r="A120" s="39">
        <f>IF('Additional Documents'!B120 = "", "", IF('Additional Documents-WUO_ERR'!A120 = "", "Validated", HYPERLINK("#" &amp; ADDRESS(120, 'Additional Documents-WUO_TRK'!A120),_xlfn.TEXTAFTER('Additional Documents-WUO_ERR'!A120, ":"))))</f>
        <v/>
      </c>
    </row>
    <row r="121">
      <c r="A121" s="39">
        <f>IF('Additional Documents'!B121 = "", "", IF('Additional Documents-WUO_ERR'!A121 = "", "Validated", HYPERLINK("#" &amp; ADDRESS(121, 'Additional Documents-WUO_TRK'!A121),_xlfn.TEXTAFTER('Additional Documents-WUO_ERR'!A121, ":"))))</f>
        <v/>
      </c>
    </row>
    <row r="122">
      <c r="A122" s="39">
        <f>IF('Additional Documents'!B122 = "", "", IF('Additional Documents-WUO_ERR'!A122 = "", "Validated", HYPERLINK("#" &amp; ADDRESS(122, 'Additional Documents-WUO_TRK'!A122),_xlfn.TEXTAFTER('Additional Documents-WUO_ERR'!A122, ":"))))</f>
        <v/>
      </c>
    </row>
    <row r="123">
      <c r="A123" s="39">
        <f>IF('Additional Documents'!B123 = "", "", IF('Additional Documents-WUO_ERR'!A123 = "", "Validated", HYPERLINK("#" &amp; ADDRESS(123, 'Additional Documents-WUO_TRK'!A123),_xlfn.TEXTAFTER('Additional Documents-WUO_ERR'!A123, ":"))))</f>
        <v/>
      </c>
    </row>
    <row r="124">
      <c r="A124" s="39">
        <f>IF('Additional Documents'!B124 = "", "", IF('Additional Documents-WUO_ERR'!A124 = "", "Validated", HYPERLINK("#" &amp; ADDRESS(124, 'Additional Documents-WUO_TRK'!A124),_xlfn.TEXTAFTER('Additional Documents-WUO_ERR'!A124, ":"))))</f>
        <v/>
      </c>
    </row>
    <row r="125">
      <c r="A125" s="39">
        <f>IF('Additional Documents'!B125 = "", "", IF('Additional Documents-WUO_ERR'!A125 = "", "Validated", HYPERLINK("#" &amp; ADDRESS(125, 'Additional Documents-WUO_TRK'!A125),_xlfn.TEXTAFTER('Additional Documents-WUO_ERR'!A125, ":"))))</f>
        <v/>
      </c>
    </row>
    <row r="126">
      <c r="A126" s="39">
        <f>IF('Additional Documents'!B126 = "", "", IF('Additional Documents-WUO_ERR'!A126 = "", "Validated", HYPERLINK("#" &amp; ADDRESS(126, 'Additional Documents-WUO_TRK'!A126),_xlfn.TEXTAFTER('Additional Documents-WUO_ERR'!A126, ":"))))</f>
        <v/>
      </c>
    </row>
    <row r="127">
      <c r="A127" s="39">
        <f>IF('Additional Documents'!B127 = "", "", IF('Additional Documents-WUO_ERR'!A127 = "", "Validated", HYPERLINK("#" &amp; ADDRESS(127, 'Additional Documents-WUO_TRK'!A127),_xlfn.TEXTAFTER('Additional Documents-WUO_ERR'!A127, ":"))))</f>
        <v/>
      </c>
    </row>
    <row r="128">
      <c r="A128" s="39">
        <f>IF('Additional Documents'!B128 = "", "", IF('Additional Documents-WUO_ERR'!A128 = "", "Validated", HYPERLINK("#" &amp; ADDRESS(128, 'Additional Documents-WUO_TRK'!A128),_xlfn.TEXTAFTER('Additional Documents-WUO_ERR'!A128, ":"))))</f>
        <v/>
      </c>
    </row>
    <row r="129">
      <c r="A129" s="39">
        <f>IF('Additional Documents'!B129 = "", "", IF('Additional Documents-WUO_ERR'!A129 = "", "Validated", HYPERLINK("#" &amp; ADDRESS(129, 'Additional Documents-WUO_TRK'!A129),_xlfn.TEXTAFTER('Additional Documents-WUO_ERR'!A129, ":"))))</f>
        <v/>
      </c>
    </row>
    <row r="130">
      <c r="A130" s="39">
        <f>IF('Additional Documents'!B130 = "", "", IF('Additional Documents-WUO_ERR'!A130 = "", "Validated", HYPERLINK("#" &amp; ADDRESS(130, 'Additional Documents-WUO_TRK'!A130),_xlfn.TEXTAFTER('Additional Documents-WUO_ERR'!A130, ":"))))</f>
        <v/>
      </c>
    </row>
    <row r="131">
      <c r="A131" s="39">
        <f>IF('Additional Documents'!B131 = "", "", IF('Additional Documents-WUO_ERR'!A131 = "", "Validated", HYPERLINK("#" &amp; ADDRESS(131, 'Additional Documents-WUO_TRK'!A131),_xlfn.TEXTAFTER('Additional Documents-WUO_ERR'!A131, ":"))))</f>
        <v/>
      </c>
    </row>
    <row r="132">
      <c r="A132" s="39">
        <f>IF('Additional Documents'!B132 = "", "", IF('Additional Documents-WUO_ERR'!A132 = "", "Validated", HYPERLINK("#" &amp; ADDRESS(132, 'Additional Documents-WUO_TRK'!A132),_xlfn.TEXTAFTER('Additional Documents-WUO_ERR'!A132, ":"))))</f>
        <v/>
      </c>
    </row>
    <row r="133">
      <c r="A133" s="39">
        <f>IF('Additional Documents'!B133 = "", "", IF('Additional Documents-WUO_ERR'!A133 = "", "Validated", HYPERLINK("#" &amp; ADDRESS(133, 'Additional Documents-WUO_TRK'!A133),_xlfn.TEXTAFTER('Additional Documents-WUO_ERR'!A133, ":"))))</f>
        <v/>
      </c>
    </row>
    <row r="134">
      <c r="A134" s="39">
        <f>IF('Additional Documents'!B134 = "", "", IF('Additional Documents-WUO_ERR'!A134 = "", "Validated", HYPERLINK("#" &amp; ADDRESS(134, 'Additional Documents-WUO_TRK'!A134),_xlfn.TEXTAFTER('Additional Documents-WUO_ERR'!A134, ":"))))</f>
        <v/>
      </c>
    </row>
    <row r="135">
      <c r="A135" s="39">
        <f>IF('Additional Documents'!B135 = "", "", IF('Additional Documents-WUO_ERR'!A135 = "", "Validated", HYPERLINK("#" &amp; ADDRESS(135, 'Additional Documents-WUO_TRK'!A135),_xlfn.TEXTAFTER('Additional Documents-WUO_ERR'!A135, ":"))))</f>
        <v/>
      </c>
    </row>
    <row r="136">
      <c r="A136" s="39">
        <f>IF('Additional Documents'!B136 = "", "", IF('Additional Documents-WUO_ERR'!A136 = "", "Validated", HYPERLINK("#" &amp; ADDRESS(136, 'Additional Documents-WUO_TRK'!A136),_xlfn.TEXTAFTER('Additional Documents-WUO_ERR'!A136, ":"))))</f>
        <v/>
      </c>
    </row>
    <row r="137">
      <c r="A137" s="39">
        <f>IF('Additional Documents'!B137 = "", "", IF('Additional Documents-WUO_ERR'!A137 = "", "Validated", HYPERLINK("#" &amp; ADDRESS(137, 'Additional Documents-WUO_TRK'!A137),_xlfn.TEXTAFTER('Additional Documents-WUO_ERR'!A137, ":"))))</f>
        <v/>
      </c>
    </row>
    <row r="138">
      <c r="A138" s="39">
        <f>IF('Additional Documents'!B138 = "", "", IF('Additional Documents-WUO_ERR'!A138 = "", "Validated", HYPERLINK("#" &amp; ADDRESS(138, 'Additional Documents-WUO_TRK'!A138),_xlfn.TEXTAFTER('Additional Documents-WUO_ERR'!A138, ":"))))</f>
        <v/>
      </c>
    </row>
    <row r="139">
      <c r="A139" s="39">
        <f>IF('Additional Documents'!B139 = "", "", IF('Additional Documents-WUO_ERR'!A139 = "", "Validated", HYPERLINK("#" &amp; ADDRESS(139, 'Additional Documents-WUO_TRK'!A139),_xlfn.TEXTAFTER('Additional Documents-WUO_ERR'!A139, ":"))))</f>
        <v/>
      </c>
    </row>
    <row r="140">
      <c r="A140" s="39">
        <f>IF('Additional Documents'!B140 = "", "", IF('Additional Documents-WUO_ERR'!A140 = "", "Validated", HYPERLINK("#" &amp; ADDRESS(140, 'Additional Documents-WUO_TRK'!A140),_xlfn.TEXTAFTER('Additional Documents-WUO_ERR'!A140, ":"))))</f>
        <v/>
      </c>
    </row>
    <row r="141">
      <c r="A141" s="39">
        <f>IF('Additional Documents'!B141 = "", "", IF('Additional Documents-WUO_ERR'!A141 = "", "Validated", HYPERLINK("#" &amp; ADDRESS(141, 'Additional Documents-WUO_TRK'!A141),_xlfn.TEXTAFTER('Additional Documents-WUO_ERR'!A141, ":"))))</f>
        <v/>
      </c>
    </row>
    <row r="142">
      <c r="A142" s="39">
        <f>IF('Additional Documents'!B142 = "", "", IF('Additional Documents-WUO_ERR'!A142 = "", "Validated", HYPERLINK("#" &amp; ADDRESS(142, 'Additional Documents-WUO_TRK'!A142),_xlfn.TEXTAFTER('Additional Documents-WUO_ERR'!A142, ":"))))</f>
        <v/>
      </c>
    </row>
    <row r="143">
      <c r="A143" s="39">
        <f>IF('Additional Documents'!B143 = "", "", IF('Additional Documents-WUO_ERR'!A143 = "", "Validated", HYPERLINK("#" &amp; ADDRESS(143, 'Additional Documents-WUO_TRK'!A143),_xlfn.TEXTAFTER('Additional Documents-WUO_ERR'!A143, ":"))))</f>
        <v/>
      </c>
    </row>
    <row r="144">
      <c r="A144" s="39">
        <f>IF('Additional Documents'!B144 = "", "", IF('Additional Documents-WUO_ERR'!A144 = "", "Validated", HYPERLINK("#" &amp; ADDRESS(144, 'Additional Documents-WUO_TRK'!A144),_xlfn.TEXTAFTER('Additional Documents-WUO_ERR'!A144, ":"))))</f>
        <v/>
      </c>
    </row>
    <row r="145">
      <c r="A145" s="39">
        <f>IF('Additional Documents'!B145 = "", "", IF('Additional Documents-WUO_ERR'!A145 = "", "Validated", HYPERLINK("#" &amp; ADDRESS(145, 'Additional Documents-WUO_TRK'!A145),_xlfn.TEXTAFTER('Additional Documents-WUO_ERR'!A145, ":"))))</f>
        <v/>
      </c>
    </row>
    <row r="146">
      <c r="A146" s="39">
        <f>IF('Additional Documents'!B146 = "", "", IF('Additional Documents-WUO_ERR'!A146 = "", "Validated", HYPERLINK("#" &amp; ADDRESS(146, 'Additional Documents-WUO_TRK'!A146),_xlfn.TEXTAFTER('Additional Documents-WUO_ERR'!A146, ":"))))</f>
        <v/>
      </c>
    </row>
    <row r="147">
      <c r="A147" s="39">
        <f>IF('Additional Documents'!B147 = "", "", IF('Additional Documents-WUO_ERR'!A147 = "", "Validated", HYPERLINK("#" &amp; ADDRESS(147, 'Additional Documents-WUO_TRK'!A147),_xlfn.TEXTAFTER('Additional Documents-WUO_ERR'!A147, ":"))))</f>
        <v/>
      </c>
    </row>
    <row r="148">
      <c r="A148" s="39">
        <f>IF('Additional Documents'!B148 = "", "", IF('Additional Documents-WUO_ERR'!A148 = "", "Validated", HYPERLINK("#" &amp; ADDRESS(148, 'Additional Documents-WUO_TRK'!A148),_xlfn.TEXTAFTER('Additional Documents-WUO_ERR'!A148, ":"))))</f>
        <v/>
      </c>
    </row>
    <row r="149">
      <c r="A149" s="39">
        <f>IF('Additional Documents'!B149 = "", "", IF('Additional Documents-WUO_ERR'!A149 = "", "Validated", HYPERLINK("#" &amp; ADDRESS(149, 'Additional Documents-WUO_TRK'!A149),_xlfn.TEXTAFTER('Additional Documents-WUO_ERR'!A149, ":"))))</f>
        <v/>
      </c>
    </row>
    <row r="150">
      <c r="A150" s="39">
        <f>IF('Additional Documents'!B150 = "", "", IF('Additional Documents-WUO_ERR'!A150 = "", "Validated", HYPERLINK("#" &amp; ADDRESS(150, 'Additional Documents-WUO_TRK'!A150),_xlfn.TEXTAFTER('Additional Documents-WUO_ERR'!A150, ":"))))</f>
        <v/>
      </c>
    </row>
    <row r="151">
      <c r="A151" s="39">
        <f>IF('Additional Documents'!B151 = "", "", IF('Additional Documents-WUO_ERR'!A151 = "", "Validated", HYPERLINK("#" &amp; ADDRESS(151, 'Additional Documents-WUO_TRK'!A151),_xlfn.TEXTAFTER('Additional Documents-WUO_ERR'!A151, ":"))))</f>
        <v/>
      </c>
    </row>
    <row r="152">
      <c r="A152" s="39">
        <f>IF('Additional Documents'!B152 = "", "", IF('Additional Documents-WUO_ERR'!A152 = "", "Validated", HYPERLINK("#" &amp; ADDRESS(152, 'Additional Documents-WUO_TRK'!A152),_xlfn.TEXTAFTER('Additional Documents-WUO_ERR'!A152, ":"))))</f>
        <v/>
      </c>
    </row>
    <row r="153">
      <c r="A153" s="39">
        <f>IF('Additional Documents'!B153 = "", "", IF('Additional Documents-WUO_ERR'!A153 = "", "Validated", HYPERLINK("#" &amp; ADDRESS(153, 'Additional Documents-WUO_TRK'!A153),_xlfn.TEXTAFTER('Additional Documents-WUO_ERR'!A153, ":"))))</f>
        <v/>
      </c>
    </row>
    <row r="154">
      <c r="A154" s="39">
        <f>IF('Additional Documents'!B154 = "", "", IF('Additional Documents-WUO_ERR'!A154 = "", "Validated", HYPERLINK("#" &amp; ADDRESS(154, 'Additional Documents-WUO_TRK'!A154),_xlfn.TEXTAFTER('Additional Documents-WUO_ERR'!A154, ":"))))</f>
        <v/>
      </c>
    </row>
    <row r="155">
      <c r="A155" s="39">
        <f>IF('Additional Documents'!B155 = "", "", IF('Additional Documents-WUO_ERR'!A155 = "", "Validated", HYPERLINK("#" &amp; ADDRESS(155, 'Additional Documents-WUO_TRK'!A155),_xlfn.TEXTAFTER('Additional Documents-WUO_ERR'!A155, ":"))))</f>
        <v/>
      </c>
    </row>
    <row r="156">
      <c r="A156" s="39">
        <f>IF('Additional Documents'!B156 = "", "", IF('Additional Documents-WUO_ERR'!A156 = "", "Validated", HYPERLINK("#" &amp; ADDRESS(156, 'Additional Documents-WUO_TRK'!A156),_xlfn.TEXTAFTER('Additional Documents-WUO_ERR'!A156, ":"))))</f>
        <v/>
      </c>
    </row>
    <row r="157">
      <c r="A157" s="39">
        <f>IF('Additional Documents'!B157 = "", "", IF('Additional Documents-WUO_ERR'!A157 = "", "Validated", HYPERLINK("#" &amp; ADDRESS(157, 'Additional Documents-WUO_TRK'!A157),_xlfn.TEXTAFTER('Additional Documents-WUO_ERR'!A157, ":"))))</f>
        <v/>
      </c>
    </row>
    <row r="158">
      <c r="A158" s="39">
        <f>IF('Additional Documents'!B158 = "", "", IF('Additional Documents-WUO_ERR'!A158 = "", "Validated", HYPERLINK("#" &amp; ADDRESS(158, 'Additional Documents-WUO_TRK'!A158),_xlfn.TEXTAFTER('Additional Documents-WUO_ERR'!A158, ":"))))</f>
        <v/>
      </c>
    </row>
    <row r="159">
      <c r="A159" s="39">
        <f>IF('Additional Documents'!B159 = "", "", IF('Additional Documents-WUO_ERR'!A159 = "", "Validated", HYPERLINK("#" &amp; ADDRESS(159, 'Additional Documents-WUO_TRK'!A159),_xlfn.TEXTAFTER('Additional Documents-WUO_ERR'!A159, ":"))))</f>
        <v/>
      </c>
    </row>
    <row r="160">
      <c r="A160" s="39">
        <f>IF('Additional Documents'!B160 = "", "", IF('Additional Documents-WUO_ERR'!A160 = "", "Validated", HYPERLINK("#" &amp; ADDRESS(160, 'Additional Documents-WUO_TRK'!A160),_xlfn.TEXTAFTER('Additional Documents-WUO_ERR'!A160, ":"))))</f>
        <v/>
      </c>
    </row>
    <row r="161">
      <c r="A161" s="39">
        <f>IF('Additional Documents'!B161 = "", "", IF('Additional Documents-WUO_ERR'!A161 = "", "Validated", HYPERLINK("#" &amp; ADDRESS(161, 'Additional Documents-WUO_TRK'!A161),_xlfn.TEXTAFTER('Additional Documents-WUO_ERR'!A161, ":"))))</f>
        <v/>
      </c>
    </row>
    <row r="162">
      <c r="A162" s="39">
        <f>IF('Additional Documents'!B162 = "", "", IF('Additional Documents-WUO_ERR'!A162 = "", "Validated", HYPERLINK("#" &amp; ADDRESS(162, 'Additional Documents-WUO_TRK'!A162),_xlfn.TEXTAFTER('Additional Documents-WUO_ERR'!A162, ":"))))</f>
        <v/>
      </c>
    </row>
    <row r="163">
      <c r="A163" s="39">
        <f>IF('Additional Documents'!B163 = "", "", IF('Additional Documents-WUO_ERR'!A163 = "", "Validated", HYPERLINK("#" &amp; ADDRESS(163, 'Additional Documents-WUO_TRK'!A163),_xlfn.TEXTAFTER('Additional Documents-WUO_ERR'!A163, ":"))))</f>
        <v/>
      </c>
    </row>
    <row r="164">
      <c r="A164" s="39">
        <f>IF('Additional Documents'!B164 = "", "", IF('Additional Documents-WUO_ERR'!A164 = "", "Validated", HYPERLINK("#" &amp; ADDRESS(164, 'Additional Documents-WUO_TRK'!A164),_xlfn.TEXTAFTER('Additional Documents-WUO_ERR'!A164, ":"))))</f>
        <v/>
      </c>
    </row>
    <row r="165">
      <c r="A165" s="39">
        <f>IF('Additional Documents'!B165 = "", "", IF('Additional Documents-WUO_ERR'!A165 = "", "Validated", HYPERLINK("#" &amp; ADDRESS(165, 'Additional Documents-WUO_TRK'!A165),_xlfn.TEXTAFTER('Additional Documents-WUO_ERR'!A165, ":"))))</f>
        <v/>
      </c>
    </row>
    <row r="166">
      <c r="A166" s="39">
        <f>IF('Additional Documents'!B166 = "", "", IF('Additional Documents-WUO_ERR'!A166 = "", "Validated", HYPERLINK("#" &amp; ADDRESS(166, 'Additional Documents-WUO_TRK'!A166),_xlfn.TEXTAFTER('Additional Documents-WUO_ERR'!A166, ":"))))</f>
        <v/>
      </c>
    </row>
    <row r="167">
      <c r="A167" s="39">
        <f>IF('Additional Documents'!B167 = "", "", IF('Additional Documents-WUO_ERR'!A167 = "", "Validated", HYPERLINK("#" &amp; ADDRESS(167, 'Additional Documents-WUO_TRK'!A167),_xlfn.TEXTAFTER('Additional Documents-WUO_ERR'!A167, ":"))))</f>
        <v/>
      </c>
    </row>
    <row r="168">
      <c r="A168" s="39">
        <f>IF('Additional Documents'!B168 = "", "", IF('Additional Documents-WUO_ERR'!A168 = "", "Validated", HYPERLINK("#" &amp; ADDRESS(168, 'Additional Documents-WUO_TRK'!A168),_xlfn.TEXTAFTER('Additional Documents-WUO_ERR'!A168, ":"))))</f>
        <v/>
      </c>
    </row>
    <row r="169">
      <c r="A169" s="39">
        <f>IF('Additional Documents'!B169 = "", "", IF('Additional Documents-WUO_ERR'!A169 = "", "Validated", HYPERLINK("#" &amp; ADDRESS(169, 'Additional Documents-WUO_TRK'!A169),_xlfn.TEXTAFTER('Additional Documents-WUO_ERR'!A169, ":"))))</f>
        <v/>
      </c>
    </row>
    <row r="170">
      <c r="A170" s="39">
        <f>IF('Additional Documents'!B170 = "", "", IF('Additional Documents-WUO_ERR'!A170 = "", "Validated", HYPERLINK("#" &amp; ADDRESS(170, 'Additional Documents-WUO_TRK'!A170),_xlfn.TEXTAFTER('Additional Documents-WUO_ERR'!A170, ":"))))</f>
        <v/>
      </c>
    </row>
    <row r="171">
      <c r="A171" s="39">
        <f>IF('Additional Documents'!B171 = "", "", IF('Additional Documents-WUO_ERR'!A171 = "", "Validated", HYPERLINK("#" &amp; ADDRESS(171, 'Additional Documents-WUO_TRK'!A171),_xlfn.TEXTAFTER('Additional Documents-WUO_ERR'!A171, ":"))))</f>
        <v/>
      </c>
    </row>
    <row r="172">
      <c r="A172" s="39">
        <f>IF('Additional Documents'!B172 = "", "", IF('Additional Documents-WUO_ERR'!A172 = "", "Validated", HYPERLINK("#" &amp; ADDRESS(172, 'Additional Documents-WUO_TRK'!A172),_xlfn.TEXTAFTER('Additional Documents-WUO_ERR'!A172, ":"))))</f>
        <v/>
      </c>
    </row>
    <row r="173">
      <c r="A173" s="39">
        <f>IF('Additional Documents'!B173 = "", "", IF('Additional Documents-WUO_ERR'!A173 = "", "Validated", HYPERLINK("#" &amp; ADDRESS(173, 'Additional Documents-WUO_TRK'!A173),_xlfn.TEXTAFTER('Additional Documents-WUO_ERR'!A173, ":"))))</f>
        <v/>
      </c>
    </row>
    <row r="174">
      <c r="A174" s="39">
        <f>IF('Additional Documents'!B174 = "", "", IF('Additional Documents-WUO_ERR'!A174 = "", "Validated", HYPERLINK("#" &amp; ADDRESS(174, 'Additional Documents-WUO_TRK'!A174),_xlfn.TEXTAFTER('Additional Documents-WUO_ERR'!A174, ":"))))</f>
        <v/>
      </c>
    </row>
    <row r="175">
      <c r="A175" s="39">
        <f>IF('Additional Documents'!B175 = "", "", IF('Additional Documents-WUO_ERR'!A175 = "", "Validated", HYPERLINK("#" &amp; ADDRESS(175, 'Additional Documents-WUO_TRK'!A175),_xlfn.TEXTAFTER('Additional Documents-WUO_ERR'!A175, ":"))))</f>
        <v/>
      </c>
    </row>
    <row r="176">
      <c r="A176" s="39">
        <f>IF('Additional Documents'!B176 = "", "", IF('Additional Documents-WUO_ERR'!A176 = "", "Validated", HYPERLINK("#" &amp; ADDRESS(176, 'Additional Documents-WUO_TRK'!A176),_xlfn.TEXTAFTER('Additional Documents-WUO_ERR'!A176, ":"))))</f>
        <v/>
      </c>
    </row>
    <row r="177">
      <c r="A177" s="39">
        <f>IF('Additional Documents'!B177 = "", "", IF('Additional Documents-WUO_ERR'!A177 = "", "Validated", HYPERLINK("#" &amp; ADDRESS(177, 'Additional Documents-WUO_TRK'!A177),_xlfn.TEXTAFTER('Additional Documents-WUO_ERR'!A177, ":"))))</f>
        <v/>
      </c>
    </row>
    <row r="178">
      <c r="A178" s="39">
        <f>IF('Additional Documents'!B178 = "", "", IF('Additional Documents-WUO_ERR'!A178 = "", "Validated", HYPERLINK("#" &amp; ADDRESS(178, 'Additional Documents-WUO_TRK'!A178),_xlfn.TEXTAFTER('Additional Documents-WUO_ERR'!A178, ":"))))</f>
        <v/>
      </c>
    </row>
    <row r="179">
      <c r="A179" s="39">
        <f>IF('Additional Documents'!B179 = "", "", IF('Additional Documents-WUO_ERR'!A179 = "", "Validated", HYPERLINK("#" &amp; ADDRESS(179, 'Additional Documents-WUO_TRK'!A179),_xlfn.TEXTAFTER('Additional Documents-WUO_ERR'!A179, ":"))))</f>
        <v/>
      </c>
    </row>
    <row r="180">
      <c r="A180" s="39">
        <f>IF('Additional Documents'!B180 = "", "", IF('Additional Documents-WUO_ERR'!A180 = "", "Validated", HYPERLINK("#" &amp; ADDRESS(180, 'Additional Documents-WUO_TRK'!A180),_xlfn.TEXTAFTER('Additional Documents-WUO_ERR'!A180, ":"))))</f>
        <v/>
      </c>
    </row>
    <row r="181">
      <c r="A181" s="39">
        <f>IF('Additional Documents'!B181 = "", "", IF('Additional Documents-WUO_ERR'!A181 = "", "Validated", HYPERLINK("#" &amp; ADDRESS(181, 'Additional Documents-WUO_TRK'!A181),_xlfn.TEXTAFTER('Additional Documents-WUO_ERR'!A181, ":"))))</f>
        <v/>
      </c>
    </row>
    <row r="182">
      <c r="A182" s="39">
        <f>IF('Additional Documents'!B182 = "", "", IF('Additional Documents-WUO_ERR'!A182 = "", "Validated", HYPERLINK("#" &amp; ADDRESS(182, 'Additional Documents-WUO_TRK'!A182),_xlfn.TEXTAFTER('Additional Documents-WUO_ERR'!A182, ":"))))</f>
        <v/>
      </c>
    </row>
    <row r="183">
      <c r="A183" s="39">
        <f>IF('Additional Documents'!B183 = "", "", IF('Additional Documents-WUO_ERR'!A183 = "", "Validated", HYPERLINK("#" &amp; ADDRESS(183, 'Additional Documents-WUO_TRK'!A183),_xlfn.TEXTAFTER('Additional Documents-WUO_ERR'!A183, ":"))))</f>
        <v/>
      </c>
    </row>
    <row r="184">
      <c r="A184" s="39">
        <f>IF('Additional Documents'!B184 = "", "", IF('Additional Documents-WUO_ERR'!A184 = "", "Validated", HYPERLINK("#" &amp; ADDRESS(184, 'Additional Documents-WUO_TRK'!A184),_xlfn.TEXTAFTER('Additional Documents-WUO_ERR'!A184, ":"))))</f>
        <v/>
      </c>
    </row>
    <row r="185">
      <c r="A185" s="39">
        <f>IF('Additional Documents'!B185 = "", "", IF('Additional Documents-WUO_ERR'!A185 = "", "Validated", HYPERLINK("#" &amp; ADDRESS(185, 'Additional Documents-WUO_TRK'!A185),_xlfn.TEXTAFTER('Additional Documents-WUO_ERR'!A185, ":"))))</f>
        <v/>
      </c>
    </row>
    <row r="186">
      <c r="A186" s="39">
        <f>IF('Additional Documents'!B186 = "", "", IF('Additional Documents-WUO_ERR'!A186 = "", "Validated", HYPERLINK("#" &amp; ADDRESS(186, 'Additional Documents-WUO_TRK'!A186),_xlfn.TEXTAFTER('Additional Documents-WUO_ERR'!A186, ":"))))</f>
        <v/>
      </c>
    </row>
    <row r="187">
      <c r="A187" s="39">
        <f>IF('Additional Documents'!B187 = "", "", IF('Additional Documents-WUO_ERR'!A187 = "", "Validated", HYPERLINK("#" &amp; ADDRESS(187, 'Additional Documents-WUO_TRK'!A187),_xlfn.TEXTAFTER('Additional Documents-WUO_ERR'!A187, ":"))))</f>
        <v/>
      </c>
    </row>
    <row r="188">
      <c r="A188" s="39">
        <f>IF('Additional Documents'!B188 = "", "", IF('Additional Documents-WUO_ERR'!A188 = "", "Validated", HYPERLINK("#" &amp; ADDRESS(188, 'Additional Documents-WUO_TRK'!A188),_xlfn.TEXTAFTER('Additional Documents-WUO_ERR'!A188, ":"))))</f>
        <v/>
      </c>
    </row>
    <row r="189">
      <c r="A189" s="39">
        <f>IF('Additional Documents'!B189 = "", "", IF('Additional Documents-WUO_ERR'!A189 = "", "Validated", HYPERLINK("#" &amp; ADDRESS(189, 'Additional Documents-WUO_TRK'!A189),_xlfn.TEXTAFTER('Additional Documents-WUO_ERR'!A189, ":"))))</f>
        <v/>
      </c>
    </row>
    <row r="190">
      <c r="A190" s="39">
        <f>IF('Additional Documents'!B190 = "", "", IF('Additional Documents-WUO_ERR'!A190 = "", "Validated", HYPERLINK("#" &amp; ADDRESS(190, 'Additional Documents-WUO_TRK'!A190),_xlfn.TEXTAFTER('Additional Documents-WUO_ERR'!A190, ":"))))</f>
        <v/>
      </c>
    </row>
    <row r="191">
      <c r="A191" s="39">
        <f>IF('Additional Documents'!B191 = "", "", IF('Additional Documents-WUO_ERR'!A191 = "", "Validated", HYPERLINK("#" &amp; ADDRESS(191, 'Additional Documents-WUO_TRK'!A191),_xlfn.TEXTAFTER('Additional Documents-WUO_ERR'!A191, ":"))))</f>
        <v/>
      </c>
    </row>
    <row r="192">
      <c r="A192" s="39">
        <f>IF('Additional Documents'!B192 = "", "", IF('Additional Documents-WUO_ERR'!A192 = "", "Validated", HYPERLINK("#" &amp; ADDRESS(192, 'Additional Documents-WUO_TRK'!A192),_xlfn.TEXTAFTER('Additional Documents-WUO_ERR'!A192, ":"))))</f>
        <v/>
      </c>
    </row>
    <row r="193">
      <c r="A193" s="39">
        <f>IF('Additional Documents'!B193 = "", "", IF('Additional Documents-WUO_ERR'!A193 = "", "Validated", HYPERLINK("#" &amp; ADDRESS(193, 'Additional Documents-WUO_TRK'!A193),_xlfn.TEXTAFTER('Additional Documents-WUO_ERR'!A193, ":"))))</f>
        <v/>
      </c>
    </row>
    <row r="194">
      <c r="A194" s="39">
        <f>IF('Additional Documents'!B194 = "", "", IF('Additional Documents-WUO_ERR'!A194 = "", "Validated", HYPERLINK("#" &amp; ADDRESS(194, 'Additional Documents-WUO_TRK'!A194),_xlfn.TEXTAFTER('Additional Documents-WUO_ERR'!A194, ":"))))</f>
        <v/>
      </c>
    </row>
    <row r="195">
      <c r="A195" s="39">
        <f>IF('Additional Documents'!B195 = "", "", IF('Additional Documents-WUO_ERR'!A195 = "", "Validated", HYPERLINK("#" &amp; ADDRESS(195, 'Additional Documents-WUO_TRK'!A195),_xlfn.TEXTAFTER('Additional Documents-WUO_ERR'!A195, ":"))))</f>
        <v/>
      </c>
    </row>
    <row r="196">
      <c r="A196" s="39">
        <f>IF('Additional Documents'!B196 = "", "", IF('Additional Documents-WUO_ERR'!A196 = "", "Validated", HYPERLINK("#" &amp; ADDRESS(196, 'Additional Documents-WUO_TRK'!A196),_xlfn.TEXTAFTER('Additional Documents-WUO_ERR'!A196, ":"))))</f>
        <v/>
      </c>
    </row>
    <row r="197">
      <c r="A197" s="39">
        <f>IF('Additional Documents'!B197 = "", "", IF('Additional Documents-WUO_ERR'!A197 = "", "Validated", HYPERLINK("#" &amp; ADDRESS(197, 'Additional Documents-WUO_TRK'!A197),_xlfn.TEXTAFTER('Additional Documents-WUO_ERR'!A197, ":"))))</f>
        <v/>
      </c>
    </row>
    <row r="198">
      <c r="A198" s="39">
        <f>IF('Additional Documents'!B198 = "", "", IF('Additional Documents-WUO_ERR'!A198 = "", "Validated", HYPERLINK("#" &amp; ADDRESS(198, 'Additional Documents-WUO_TRK'!A198),_xlfn.TEXTAFTER('Additional Documents-WUO_ERR'!A198, ":"))))</f>
        <v/>
      </c>
    </row>
    <row r="199">
      <c r="A199" s="39">
        <f>IF('Additional Documents'!B199 = "", "", IF('Additional Documents-WUO_ERR'!A199 = "", "Validated", HYPERLINK("#" &amp; ADDRESS(199, 'Additional Documents-WUO_TRK'!A199),_xlfn.TEXTAFTER('Additional Documents-WUO_ERR'!A199, ":"))))</f>
        <v/>
      </c>
    </row>
    <row r="200">
      <c r="A200" s="39">
        <f>IF('Additional Documents'!B200 = "", "", IF('Additional Documents-WUO_ERR'!A200 = "", "Validated", HYPERLINK("#" &amp; ADDRESS(200, 'Additional Documents-WUO_TRK'!A200),_xlfn.TEXTAFTER('Additional Documents-WUO_ERR'!A200, ":"))))</f>
        <v/>
      </c>
    </row>
    <row r="201">
      <c r="A201" s="39">
        <f>IF('Additional Documents'!B201 = "", "", IF('Additional Documents-WUO_ERR'!A201 = "", "Validated", HYPERLINK("#" &amp; ADDRESS(201, 'Additional Documents-WUO_TRK'!A201),_xlfn.TEXTAFTER('Additional Documents-WUO_ERR'!A201, ":"))))</f>
        <v/>
      </c>
    </row>
    <row r="202">
      <c r="A202" s="39">
        <f>IF('Additional Documents'!B202 = "", "", IF('Additional Documents-WUO_ERR'!A202 = "", "Validated", HYPERLINK("#" &amp; ADDRESS(202, 'Additional Documents-WUO_TRK'!A202),_xlfn.TEXTAFTER('Additional Documents-WUO_ERR'!A202, ":"))))</f>
        <v/>
      </c>
    </row>
    <row r="203">
      <c r="A203" s="39">
        <f>IF('Additional Documents'!B203 = "", "", IF('Additional Documents-WUO_ERR'!A203 = "", "Validated", HYPERLINK("#" &amp; ADDRESS(203, 'Additional Documents-WUO_TRK'!A203),_xlfn.TEXTAFTER('Additional Documents-WUO_ERR'!A203, ":"))))</f>
        <v/>
      </c>
    </row>
    <row r="204">
      <c r="A204" s="39">
        <f>IF('Additional Documents'!B204 = "", "", IF('Additional Documents-WUO_ERR'!A204 = "", "Validated", HYPERLINK("#" &amp; ADDRESS(204, 'Additional Documents-WUO_TRK'!A204),_xlfn.TEXTAFTER('Additional Documents-WUO_ERR'!A204, ":"))))</f>
        <v/>
      </c>
    </row>
    <row r="205">
      <c r="A205" s="39">
        <f>IF('Additional Documents'!B205 = "", "", IF('Additional Documents-WUO_ERR'!A205 = "", "Validated", HYPERLINK("#" &amp; ADDRESS(205, 'Additional Documents-WUO_TRK'!A205),_xlfn.TEXTAFTER('Additional Documents-WUO_ERR'!A205, ":"))))</f>
        <v/>
      </c>
    </row>
    <row r="206">
      <c r="A206" s="39">
        <f>IF('Additional Documents'!B206 = "", "", IF('Additional Documents-WUO_ERR'!A206 = "", "Validated", HYPERLINK("#" &amp; ADDRESS(206, 'Additional Documents-WUO_TRK'!A206),_xlfn.TEXTAFTER('Additional Documents-WUO_ERR'!A206, ":"))))</f>
        <v/>
      </c>
    </row>
    <row r="207">
      <c r="A207" s="39">
        <f>IF('Additional Documents'!B207 = "", "", IF('Additional Documents-WUO_ERR'!A207 = "", "Validated", HYPERLINK("#" &amp; ADDRESS(207, 'Additional Documents-WUO_TRK'!A207),_xlfn.TEXTAFTER('Additional Documents-WUO_ERR'!A207, ":"))))</f>
        <v/>
      </c>
    </row>
    <row r="208">
      <c r="A208" s="39">
        <f>IF('Additional Documents'!B208 = "", "", IF('Additional Documents-WUO_ERR'!A208 = "", "Validated", HYPERLINK("#" &amp; ADDRESS(208, 'Additional Documents-WUO_TRK'!A208),_xlfn.TEXTAFTER('Additional Documents-WUO_ERR'!A208, ":"))))</f>
        <v/>
      </c>
    </row>
    <row r="209">
      <c r="A209" s="39">
        <f>IF('Additional Documents'!B209 = "", "", IF('Additional Documents-WUO_ERR'!A209 = "", "Validated", HYPERLINK("#" &amp; ADDRESS(209, 'Additional Documents-WUO_TRK'!A209),_xlfn.TEXTAFTER('Additional Documents-WUO_ERR'!A209, ":"))))</f>
        <v/>
      </c>
    </row>
    <row r="210">
      <c r="A210" s="39">
        <f>IF('Additional Documents'!B210 = "", "", IF('Additional Documents-WUO_ERR'!A210 = "", "Validated", HYPERLINK("#" &amp; ADDRESS(210, 'Additional Documents-WUO_TRK'!A210),_xlfn.TEXTAFTER('Additional Documents-WUO_ERR'!A210, ":"))))</f>
        <v/>
      </c>
    </row>
    <row r="211">
      <c r="A211" s="39">
        <f>IF('Additional Documents'!B211 = "", "", IF('Additional Documents-WUO_ERR'!A211 = "", "Validated", HYPERLINK("#" &amp; ADDRESS(211, 'Additional Documents-WUO_TRK'!A211),_xlfn.TEXTAFTER('Additional Documents-WUO_ERR'!A211, ":"))))</f>
        <v/>
      </c>
    </row>
    <row r="212">
      <c r="A212" s="39">
        <f>IF('Additional Documents'!B212 = "", "", IF('Additional Documents-WUO_ERR'!A212 = "", "Validated", HYPERLINK("#" &amp; ADDRESS(212, 'Additional Documents-WUO_TRK'!A212),_xlfn.TEXTAFTER('Additional Documents-WUO_ERR'!A212, ":"))))</f>
        <v/>
      </c>
    </row>
    <row r="213">
      <c r="A213" s="39">
        <f>IF('Additional Documents'!B213 = "", "", IF('Additional Documents-WUO_ERR'!A213 = "", "Validated", HYPERLINK("#" &amp; ADDRESS(213, 'Additional Documents-WUO_TRK'!A213),_xlfn.TEXTAFTER('Additional Documents-WUO_ERR'!A213, ":"))))</f>
        <v/>
      </c>
    </row>
    <row r="214">
      <c r="A214" s="39">
        <f>IF('Additional Documents'!B214 = "", "", IF('Additional Documents-WUO_ERR'!A214 = "", "Validated", HYPERLINK("#" &amp; ADDRESS(214, 'Additional Documents-WUO_TRK'!A214),_xlfn.TEXTAFTER('Additional Documents-WUO_ERR'!A214, ":"))))</f>
        <v/>
      </c>
    </row>
    <row r="215">
      <c r="A215" s="39">
        <f>IF('Additional Documents'!B215 = "", "", IF('Additional Documents-WUO_ERR'!A215 = "", "Validated", HYPERLINK("#" &amp; ADDRESS(215, 'Additional Documents-WUO_TRK'!A215),_xlfn.TEXTAFTER('Additional Documents-WUO_ERR'!A215, ":"))))</f>
        <v/>
      </c>
    </row>
    <row r="216">
      <c r="A216" s="39">
        <f>IF('Additional Documents'!B216 = "", "", IF('Additional Documents-WUO_ERR'!A216 = "", "Validated", HYPERLINK("#" &amp; ADDRESS(216, 'Additional Documents-WUO_TRK'!A216),_xlfn.TEXTAFTER('Additional Documents-WUO_ERR'!A216, ":"))))</f>
        <v/>
      </c>
    </row>
    <row r="217">
      <c r="A217" s="39">
        <f>IF('Additional Documents'!B217 = "", "", IF('Additional Documents-WUO_ERR'!A217 = "", "Validated", HYPERLINK("#" &amp; ADDRESS(217, 'Additional Documents-WUO_TRK'!A217),_xlfn.TEXTAFTER('Additional Documents-WUO_ERR'!A217, ":"))))</f>
        <v/>
      </c>
    </row>
    <row r="218">
      <c r="A218" s="39">
        <f>IF('Additional Documents'!B218 = "", "", IF('Additional Documents-WUO_ERR'!A218 = "", "Validated", HYPERLINK("#" &amp; ADDRESS(218, 'Additional Documents-WUO_TRK'!A218),_xlfn.TEXTAFTER('Additional Documents-WUO_ERR'!A218, ":"))))</f>
        <v/>
      </c>
    </row>
    <row r="219">
      <c r="A219" s="39">
        <f>IF('Additional Documents'!B219 = "", "", IF('Additional Documents-WUO_ERR'!A219 = "", "Validated", HYPERLINK("#" &amp; ADDRESS(219, 'Additional Documents-WUO_TRK'!A219),_xlfn.TEXTAFTER('Additional Documents-WUO_ERR'!A219, ":"))))</f>
        <v/>
      </c>
    </row>
    <row r="220">
      <c r="A220" s="39">
        <f>IF('Additional Documents'!B220 = "", "", IF('Additional Documents-WUO_ERR'!A220 = "", "Validated", HYPERLINK("#" &amp; ADDRESS(220, 'Additional Documents-WUO_TRK'!A220),_xlfn.TEXTAFTER('Additional Documents-WUO_ERR'!A220, ":"))))</f>
        <v/>
      </c>
    </row>
    <row r="221">
      <c r="A221" s="39">
        <f>IF('Additional Documents'!B221 = "", "", IF('Additional Documents-WUO_ERR'!A221 = "", "Validated", HYPERLINK("#" &amp; ADDRESS(221, 'Additional Documents-WUO_TRK'!A221),_xlfn.TEXTAFTER('Additional Documents-WUO_ERR'!A221, ":"))))</f>
        <v/>
      </c>
    </row>
    <row r="222">
      <c r="A222" s="39">
        <f>IF('Additional Documents'!B222 = "", "", IF('Additional Documents-WUO_ERR'!A222 = "", "Validated", HYPERLINK("#" &amp; ADDRESS(222, 'Additional Documents-WUO_TRK'!A222),_xlfn.TEXTAFTER('Additional Documents-WUO_ERR'!A222, ":"))))</f>
        <v/>
      </c>
    </row>
    <row r="223">
      <c r="A223" s="39">
        <f>IF('Additional Documents'!B223 = "", "", IF('Additional Documents-WUO_ERR'!A223 = "", "Validated", HYPERLINK("#" &amp; ADDRESS(223, 'Additional Documents-WUO_TRK'!A223),_xlfn.TEXTAFTER('Additional Documents-WUO_ERR'!A223, ":"))))</f>
        <v/>
      </c>
    </row>
    <row r="224">
      <c r="A224" s="39">
        <f>IF('Additional Documents'!B224 = "", "", IF('Additional Documents-WUO_ERR'!A224 = "", "Validated", HYPERLINK("#" &amp; ADDRESS(224, 'Additional Documents-WUO_TRK'!A224),_xlfn.TEXTAFTER('Additional Documents-WUO_ERR'!A224, ":"))))</f>
        <v/>
      </c>
    </row>
    <row r="225">
      <c r="A225" s="39">
        <f>IF('Additional Documents'!B225 = "", "", IF('Additional Documents-WUO_ERR'!A225 = "", "Validated", HYPERLINK("#" &amp; ADDRESS(225, 'Additional Documents-WUO_TRK'!A225),_xlfn.TEXTAFTER('Additional Documents-WUO_ERR'!A225, ":"))))</f>
        <v/>
      </c>
    </row>
    <row r="226">
      <c r="A226" s="39">
        <f>IF('Additional Documents'!B226 = "", "", IF('Additional Documents-WUO_ERR'!A226 = "", "Validated", HYPERLINK("#" &amp; ADDRESS(226, 'Additional Documents-WUO_TRK'!A226),_xlfn.TEXTAFTER('Additional Documents-WUO_ERR'!A226, ":"))))</f>
        <v/>
      </c>
    </row>
    <row r="227">
      <c r="A227" s="39">
        <f>IF('Additional Documents'!B227 = "", "", IF('Additional Documents-WUO_ERR'!A227 = "", "Validated", HYPERLINK("#" &amp; ADDRESS(227, 'Additional Documents-WUO_TRK'!A227),_xlfn.TEXTAFTER('Additional Documents-WUO_ERR'!A227, ":"))))</f>
        <v/>
      </c>
    </row>
    <row r="228">
      <c r="A228" s="39">
        <f>IF('Additional Documents'!B228 = "", "", IF('Additional Documents-WUO_ERR'!A228 = "", "Validated", HYPERLINK("#" &amp; ADDRESS(228, 'Additional Documents-WUO_TRK'!A228),_xlfn.TEXTAFTER('Additional Documents-WUO_ERR'!A228, ":"))))</f>
        <v/>
      </c>
    </row>
    <row r="229">
      <c r="A229" s="39">
        <f>IF('Additional Documents'!B229 = "", "", IF('Additional Documents-WUO_ERR'!A229 = "", "Validated", HYPERLINK("#" &amp; ADDRESS(229, 'Additional Documents-WUO_TRK'!A229),_xlfn.TEXTAFTER('Additional Documents-WUO_ERR'!A229, ":"))))</f>
        <v/>
      </c>
    </row>
    <row r="230">
      <c r="A230" s="39">
        <f>IF('Additional Documents'!B230 = "", "", IF('Additional Documents-WUO_ERR'!A230 = "", "Validated", HYPERLINK("#" &amp; ADDRESS(230, 'Additional Documents-WUO_TRK'!A230),_xlfn.TEXTAFTER('Additional Documents-WUO_ERR'!A230, ":"))))</f>
        <v/>
      </c>
    </row>
    <row r="231">
      <c r="A231" s="39">
        <f>IF('Additional Documents'!B231 = "", "", IF('Additional Documents-WUO_ERR'!A231 = "", "Validated", HYPERLINK("#" &amp; ADDRESS(231, 'Additional Documents-WUO_TRK'!A231),_xlfn.TEXTAFTER('Additional Documents-WUO_ERR'!A231, ":"))))</f>
        <v/>
      </c>
    </row>
    <row r="232">
      <c r="A232" s="39">
        <f>IF('Additional Documents'!B232 = "", "", IF('Additional Documents-WUO_ERR'!A232 = "", "Validated", HYPERLINK("#" &amp; ADDRESS(232, 'Additional Documents-WUO_TRK'!A232),_xlfn.TEXTAFTER('Additional Documents-WUO_ERR'!A232, ":"))))</f>
        <v/>
      </c>
    </row>
    <row r="233">
      <c r="A233" s="39">
        <f>IF('Additional Documents'!B233 = "", "", IF('Additional Documents-WUO_ERR'!A233 = "", "Validated", HYPERLINK("#" &amp; ADDRESS(233, 'Additional Documents-WUO_TRK'!A233),_xlfn.TEXTAFTER('Additional Documents-WUO_ERR'!A233, ":"))))</f>
        <v/>
      </c>
    </row>
    <row r="234">
      <c r="A234" s="39">
        <f>IF('Additional Documents'!B234 = "", "", IF('Additional Documents-WUO_ERR'!A234 = "", "Validated", HYPERLINK("#" &amp; ADDRESS(234, 'Additional Documents-WUO_TRK'!A234),_xlfn.TEXTAFTER('Additional Documents-WUO_ERR'!A234, ":"))))</f>
        <v/>
      </c>
    </row>
    <row r="235">
      <c r="A235" s="39">
        <f>IF('Additional Documents'!B235 = "", "", IF('Additional Documents-WUO_ERR'!A235 = "", "Validated", HYPERLINK("#" &amp; ADDRESS(235, 'Additional Documents-WUO_TRK'!A235),_xlfn.TEXTAFTER('Additional Documents-WUO_ERR'!A235, ":"))))</f>
        <v/>
      </c>
    </row>
    <row r="236">
      <c r="A236" s="39">
        <f>IF('Additional Documents'!B236 = "", "", IF('Additional Documents-WUO_ERR'!A236 = "", "Validated", HYPERLINK("#" &amp; ADDRESS(236, 'Additional Documents-WUO_TRK'!A236),_xlfn.TEXTAFTER('Additional Documents-WUO_ERR'!A236, ":"))))</f>
        <v/>
      </c>
    </row>
    <row r="237">
      <c r="A237" s="39">
        <f>IF('Additional Documents'!B237 = "", "", IF('Additional Documents-WUO_ERR'!A237 = "", "Validated", HYPERLINK("#" &amp; ADDRESS(237, 'Additional Documents-WUO_TRK'!A237),_xlfn.TEXTAFTER('Additional Documents-WUO_ERR'!A237, ":"))))</f>
        <v/>
      </c>
    </row>
    <row r="238">
      <c r="A238" s="39">
        <f>IF('Additional Documents'!B238 = "", "", IF('Additional Documents-WUO_ERR'!A238 = "", "Validated", HYPERLINK("#" &amp; ADDRESS(238, 'Additional Documents-WUO_TRK'!A238),_xlfn.TEXTAFTER('Additional Documents-WUO_ERR'!A238, ":"))))</f>
        <v/>
      </c>
    </row>
    <row r="239">
      <c r="A239" s="39">
        <f>IF('Additional Documents'!B239 = "", "", IF('Additional Documents-WUO_ERR'!A239 = "", "Validated", HYPERLINK("#" &amp; ADDRESS(239, 'Additional Documents-WUO_TRK'!A239),_xlfn.TEXTAFTER('Additional Documents-WUO_ERR'!A239, ":"))))</f>
        <v/>
      </c>
    </row>
    <row r="240">
      <c r="A240" s="39">
        <f>IF('Additional Documents'!B240 = "", "", IF('Additional Documents-WUO_ERR'!A240 = "", "Validated", HYPERLINK("#" &amp; ADDRESS(240, 'Additional Documents-WUO_TRK'!A240),_xlfn.TEXTAFTER('Additional Documents-WUO_ERR'!A240, ":"))))</f>
        <v/>
      </c>
    </row>
    <row r="241">
      <c r="A241" s="39">
        <f>IF('Additional Documents'!B241 = "", "", IF('Additional Documents-WUO_ERR'!A241 = "", "Validated", HYPERLINK("#" &amp; ADDRESS(241, 'Additional Documents-WUO_TRK'!A241),_xlfn.TEXTAFTER('Additional Documents-WUO_ERR'!A241, ":"))))</f>
        <v/>
      </c>
    </row>
    <row r="242">
      <c r="A242" s="39">
        <f>IF('Additional Documents'!B242 = "", "", IF('Additional Documents-WUO_ERR'!A242 = "", "Validated", HYPERLINK("#" &amp; ADDRESS(242, 'Additional Documents-WUO_TRK'!A242),_xlfn.TEXTAFTER('Additional Documents-WUO_ERR'!A242, ":"))))</f>
        <v/>
      </c>
    </row>
    <row r="243">
      <c r="A243" s="39">
        <f>IF('Additional Documents'!B243 = "", "", IF('Additional Documents-WUO_ERR'!A243 = "", "Validated", HYPERLINK("#" &amp; ADDRESS(243, 'Additional Documents-WUO_TRK'!A243),_xlfn.TEXTAFTER('Additional Documents-WUO_ERR'!A243, ":"))))</f>
        <v/>
      </c>
    </row>
    <row r="244">
      <c r="A244" s="39">
        <f>IF('Additional Documents'!B244 = "", "", IF('Additional Documents-WUO_ERR'!A244 = "", "Validated", HYPERLINK("#" &amp; ADDRESS(244, 'Additional Documents-WUO_TRK'!A244),_xlfn.TEXTAFTER('Additional Documents-WUO_ERR'!A244, ":"))))</f>
        <v/>
      </c>
    </row>
    <row r="245">
      <c r="A245" s="39">
        <f>IF('Additional Documents'!B245 = "", "", IF('Additional Documents-WUO_ERR'!A245 = "", "Validated", HYPERLINK("#" &amp; ADDRESS(245, 'Additional Documents-WUO_TRK'!A245),_xlfn.TEXTAFTER('Additional Documents-WUO_ERR'!A245, ":"))))</f>
        <v/>
      </c>
    </row>
    <row r="246">
      <c r="A246" s="39">
        <f>IF('Additional Documents'!B246 = "", "", IF('Additional Documents-WUO_ERR'!A246 = "", "Validated", HYPERLINK("#" &amp; ADDRESS(246, 'Additional Documents-WUO_TRK'!A246),_xlfn.TEXTAFTER('Additional Documents-WUO_ERR'!A246, ":"))))</f>
        <v/>
      </c>
    </row>
    <row r="247">
      <c r="A247" s="39">
        <f>IF('Additional Documents'!B247 = "", "", IF('Additional Documents-WUO_ERR'!A247 = "", "Validated", HYPERLINK("#" &amp; ADDRESS(247, 'Additional Documents-WUO_TRK'!A247),_xlfn.TEXTAFTER('Additional Documents-WUO_ERR'!A247, ":"))))</f>
        <v/>
      </c>
    </row>
    <row r="248">
      <c r="A248" s="39">
        <f>IF('Additional Documents'!B248 = "", "", IF('Additional Documents-WUO_ERR'!A248 = "", "Validated", HYPERLINK("#" &amp; ADDRESS(248, 'Additional Documents-WUO_TRK'!A248),_xlfn.TEXTAFTER('Additional Documents-WUO_ERR'!A248, ":"))))</f>
        <v/>
      </c>
    </row>
    <row r="249">
      <c r="A249" s="39">
        <f>IF('Additional Documents'!B249 = "", "", IF('Additional Documents-WUO_ERR'!A249 = "", "Validated", HYPERLINK("#" &amp; ADDRESS(249, 'Additional Documents-WUO_TRK'!A249),_xlfn.TEXTAFTER('Additional Documents-WUO_ERR'!A249, ":"))))</f>
        <v/>
      </c>
    </row>
    <row r="250">
      <c r="A250" s="39">
        <f>IF('Additional Documents'!B250 = "", "", IF('Additional Documents-WUO_ERR'!A250 = "", "Validated", HYPERLINK("#" &amp; ADDRESS(250, 'Additional Documents-WUO_TRK'!A250),_xlfn.TEXTAFTER('Additional Documents-WUO_ERR'!A250, ":"))))</f>
        <v/>
      </c>
    </row>
    <row r="251">
      <c r="A251" s="39">
        <f>IF('Additional Documents'!B251 = "", "", IF('Additional Documents-WUO_ERR'!A251 = "", "Validated", HYPERLINK("#" &amp; ADDRESS(251, 'Additional Documents-WUO_TRK'!A251),_xlfn.TEXTAFTER('Additional Documents-WUO_ERR'!A251, ":"))))</f>
        <v/>
      </c>
    </row>
    <row r="252">
      <c r="A252" s="39">
        <f>IF('Additional Documents'!B252 = "", "", IF('Additional Documents-WUO_ERR'!A252 = "", "Validated", HYPERLINK("#" &amp; ADDRESS(252, 'Additional Documents-WUO_TRK'!A252),_xlfn.TEXTAFTER('Additional Documents-WUO_ERR'!A252, ":"))))</f>
        <v/>
      </c>
    </row>
    <row r="253">
      <c r="A253" s="39">
        <f>IF('Additional Documents'!B253 = "", "", IF('Additional Documents-WUO_ERR'!A253 = "", "Validated", HYPERLINK("#" &amp; ADDRESS(253, 'Additional Documents-WUO_TRK'!A253),_xlfn.TEXTAFTER('Additional Documents-WUO_ERR'!A253, ":"))))</f>
        <v/>
      </c>
    </row>
    <row r="254">
      <c r="A254" s="39">
        <f>IF('Additional Documents'!B254 = "", "", IF('Additional Documents-WUO_ERR'!A254 = "", "Validated", HYPERLINK("#" &amp; ADDRESS(254, 'Additional Documents-WUO_TRK'!A254),_xlfn.TEXTAFTER('Additional Documents-WUO_ERR'!A254, ":"))))</f>
        <v/>
      </c>
    </row>
    <row r="255">
      <c r="A255" s="39">
        <f>IF('Additional Documents'!B255 = "", "", IF('Additional Documents-WUO_ERR'!A255 = "", "Validated", HYPERLINK("#" &amp; ADDRESS(255, 'Additional Documents-WUO_TRK'!A255),_xlfn.TEXTAFTER('Additional Documents-WUO_ERR'!A255, ":"))))</f>
        <v/>
      </c>
    </row>
    <row r="256">
      <c r="A256" s="39">
        <f>IF('Additional Documents'!B256 = "", "", IF('Additional Documents-WUO_ERR'!A256 = "", "Validated", HYPERLINK("#" &amp; ADDRESS(256, 'Additional Documents-WUO_TRK'!A256),_xlfn.TEXTAFTER('Additional Documents-WUO_ERR'!A256, ":"))))</f>
        <v/>
      </c>
    </row>
    <row r="257">
      <c r="A257" s="39">
        <f>IF('Additional Documents'!B257 = "", "", IF('Additional Documents-WUO_ERR'!A257 = "", "Validated", HYPERLINK("#" &amp; ADDRESS(257, 'Additional Documents-WUO_TRK'!A257),_xlfn.TEXTAFTER('Additional Documents-WUO_ERR'!A257, ":"))))</f>
        <v/>
      </c>
    </row>
    <row r="258">
      <c r="A258" s="39">
        <f>IF('Additional Documents'!B258 = "", "", IF('Additional Documents-WUO_ERR'!A258 = "", "Validated", HYPERLINK("#" &amp; ADDRESS(258, 'Additional Documents-WUO_TRK'!A258),_xlfn.TEXTAFTER('Additional Documents-WUO_ERR'!A258, ":"))))</f>
        <v/>
      </c>
    </row>
    <row r="259">
      <c r="A259" s="39">
        <f>IF('Additional Documents'!B259 = "", "", IF('Additional Documents-WUO_ERR'!A259 = "", "Validated", HYPERLINK("#" &amp; ADDRESS(259, 'Additional Documents-WUO_TRK'!A259),_xlfn.TEXTAFTER('Additional Documents-WUO_ERR'!A259, ":"))))</f>
        <v/>
      </c>
    </row>
    <row r="260">
      <c r="A260" s="39">
        <f>IF('Additional Documents'!B260 = "", "", IF('Additional Documents-WUO_ERR'!A260 = "", "Validated", HYPERLINK("#" &amp; ADDRESS(260, 'Additional Documents-WUO_TRK'!A260),_xlfn.TEXTAFTER('Additional Documents-WUO_ERR'!A260, ":"))))</f>
        <v/>
      </c>
    </row>
    <row r="261">
      <c r="A261" s="39">
        <f>IF('Additional Documents'!B261 = "", "", IF('Additional Documents-WUO_ERR'!A261 = "", "Validated", HYPERLINK("#" &amp; ADDRESS(261, 'Additional Documents-WUO_TRK'!A261),_xlfn.TEXTAFTER('Additional Documents-WUO_ERR'!A261, ":"))))</f>
        <v/>
      </c>
    </row>
    <row r="262">
      <c r="A262" s="39">
        <f>IF('Additional Documents'!B262 = "", "", IF('Additional Documents-WUO_ERR'!A262 = "", "Validated", HYPERLINK("#" &amp; ADDRESS(262, 'Additional Documents-WUO_TRK'!A262),_xlfn.TEXTAFTER('Additional Documents-WUO_ERR'!A262, ":"))))</f>
        <v/>
      </c>
    </row>
    <row r="263">
      <c r="A263" s="39">
        <f>IF('Additional Documents'!B263 = "", "", IF('Additional Documents-WUO_ERR'!A263 = "", "Validated", HYPERLINK("#" &amp; ADDRESS(263, 'Additional Documents-WUO_TRK'!A263),_xlfn.TEXTAFTER('Additional Documents-WUO_ERR'!A263, ":"))))</f>
        <v/>
      </c>
    </row>
    <row r="264">
      <c r="A264" s="39">
        <f>IF('Additional Documents'!B264 = "", "", IF('Additional Documents-WUO_ERR'!A264 = "", "Validated", HYPERLINK("#" &amp; ADDRESS(264, 'Additional Documents-WUO_TRK'!A264),_xlfn.TEXTAFTER('Additional Documents-WUO_ERR'!A264, ":"))))</f>
        <v/>
      </c>
    </row>
    <row r="265">
      <c r="A265" s="39">
        <f>IF('Additional Documents'!B265 = "", "", IF('Additional Documents-WUO_ERR'!A265 = "", "Validated", HYPERLINK("#" &amp; ADDRESS(265, 'Additional Documents-WUO_TRK'!A265),_xlfn.TEXTAFTER('Additional Documents-WUO_ERR'!A265, ":"))))</f>
        <v/>
      </c>
    </row>
    <row r="266">
      <c r="A266" s="39">
        <f>IF('Additional Documents'!B266 = "", "", IF('Additional Documents-WUO_ERR'!A266 = "", "Validated", HYPERLINK("#" &amp; ADDRESS(266, 'Additional Documents-WUO_TRK'!A266),_xlfn.TEXTAFTER('Additional Documents-WUO_ERR'!A266, ":"))))</f>
        <v/>
      </c>
    </row>
    <row r="267">
      <c r="A267" s="39">
        <f>IF('Additional Documents'!B267 = "", "", IF('Additional Documents-WUO_ERR'!A267 = "", "Validated", HYPERLINK("#" &amp; ADDRESS(267, 'Additional Documents-WUO_TRK'!A267),_xlfn.TEXTAFTER('Additional Documents-WUO_ERR'!A267, ":"))))</f>
        <v/>
      </c>
    </row>
    <row r="268">
      <c r="A268" s="39">
        <f>IF('Additional Documents'!B268 = "", "", IF('Additional Documents-WUO_ERR'!A268 = "", "Validated", HYPERLINK("#" &amp; ADDRESS(268, 'Additional Documents-WUO_TRK'!A268),_xlfn.TEXTAFTER('Additional Documents-WUO_ERR'!A268, ":"))))</f>
        <v/>
      </c>
    </row>
    <row r="269">
      <c r="A269" s="39">
        <f>IF('Additional Documents'!B269 = "", "", IF('Additional Documents-WUO_ERR'!A269 = "", "Validated", HYPERLINK("#" &amp; ADDRESS(269, 'Additional Documents-WUO_TRK'!A269),_xlfn.TEXTAFTER('Additional Documents-WUO_ERR'!A269, ":"))))</f>
        <v/>
      </c>
    </row>
    <row r="270">
      <c r="A270" s="39">
        <f>IF('Additional Documents'!B270 = "", "", IF('Additional Documents-WUO_ERR'!A270 = "", "Validated", HYPERLINK("#" &amp; ADDRESS(270, 'Additional Documents-WUO_TRK'!A270),_xlfn.TEXTAFTER('Additional Documents-WUO_ERR'!A270, ":"))))</f>
        <v/>
      </c>
    </row>
    <row r="271">
      <c r="A271" s="39">
        <f>IF('Additional Documents'!B271 = "", "", IF('Additional Documents-WUO_ERR'!A271 = "", "Validated", HYPERLINK("#" &amp; ADDRESS(271, 'Additional Documents-WUO_TRK'!A271),_xlfn.TEXTAFTER('Additional Documents-WUO_ERR'!A271, ":"))))</f>
        <v/>
      </c>
    </row>
    <row r="272">
      <c r="A272" s="39">
        <f>IF('Additional Documents'!B272 = "", "", IF('Additional Documents-WUO_ERR'!A272 = "", "Validated", HYPERLINK("#" &amp; ADDRESS(272, 'Additional Documents-WUO_TRK'!A272),_xlfn.TEXTAFTER('Additional Documents-WUO_ERR'!A272, ":"))))</f>
        <v/>
      </c>
    </row>
    <row r="273">
      <c r="A273" s="39">
        <f>IF('Additional Documents'!B273 = "", "", IF('Additional Documents-WUO_ERR'!A273 = "", "Validated", HYPERLINK("#" &amp; ADDRESS(273, 'Additional Documents-WUO_TRK'!A273),_xlfn.TEXTAFTER('Additional Documents-WUO_ERR'!A273, ":"))))</f>
        <v/>
      </c>
    </row>
    <row r="274">
      <c r="A274" s="39">
        <f>IF('Additional Documents'!B274 = "", "", IF('Additional Documents-WUO_ERR'!A274 = "", "Validated", HYPERLINK("#" &amp; ADDRESS(274, 'Additional Documents-WUO_TRK'!A274),_xlfn.TEXTAFTER('Additional Documents-WUO_ERR'!A274, ":"))))</f>
        <v/>
      </c>
    </row>
    <row r="275">
      <c r="A275" s="39">
        <f>IF('Additional Documents'!B275 = "", "", IF('Additional Documents-WUO_ERR'!A275 = "", "Validated", HYPERLINK("#" &amp; ADDRESS(275, 'Additional Documents-WUO_TRK'!A275),_xlfn.TEXTAFTER('Additional Documents-WUO_ERR'!A275, ":"))))</f>
        <v/>
      </c>
    </row>
    <row r="276">
      <c r="A276" s="39">
        <f>IF('Additional Documents'!B276 = "", "", IF('Additional Documents-WUO_ERR'!A276 = "", "Validated", HYPERLINK("#" &amp; ADDRESS(276, 'Additional Documents-WUO_TRK'!A276),_xlfn.TEXTAFTER('Additional Documents-WUO_ERR'!A276, ":"))))</f>
        <v/>
      </c>
    </row>
    <row r="277">
      <c r="A277" s="39">
        <f>IF('Additional Documents'!B277 = "", "", IF('Additional Documents-WUO_ERR'!A277 = "", "Validated", HYPERLINK("#" &amp; ADDRESS(277, 'Additional Documents-WUO_TRK'!A277),_xlfn.TEXTAFTER('Additional Documents-WUO_ERR'!A277, ":"))))</f>
        <v/>
      </c>
    </row>
    <row r="278">
      <c r="A278" s="39">
        <f>IF('Additional Documents'!B278 = "", "", IF('Additional Documents-WUO_ERR'!A278 = "", "Validated", HYPERLINK("#" &amp; ADDRESS(278, 'Additional Documents-WUO_TRK'!A278),_xlfn.TEXTAFTER('Additional Documents-WUO_ERR'!A278, ":"))))</f>
        <v/>
      </c>
    </row>
    <row r="279">
      <c r="A279" s="39">
        <f>IF('Additional Documents'!B279 = "", "", IF('Additional Documents-WUO_ERR'!A279 = "", "Validated", HYPERLINK("#" &amp; ADDRESS(279, 'Additional Documents-WUO_TRK'!A279),_xlfn.TEXTAFTER('Additional Documents-WUO_ERR'!A279, ":"))))</f>
        <v/>
      </c>
    </row>
    <row r="280">
      <c r="A280" s="39">
        <f>IF('Additional Documents'!B280 = "", "", IF('Additional Documents-WUO_ERR'!A280 = "", "Validated", HYPERLINK("#" &amp; ADDRESS(280, 'Additional Documents-WUO_TRK'!A280),_xlfn.TEXTAFTER('Additional Documents-WUO_ERR'!A280, ":"))))</f>
        <v/>
      </c>
    </row>
    <row r="281">
      <c r="A281" s="39">
        <f>IF('Additional Documents'!B281 = "", "", IF('Additional Documents-WUO_ERR'!A281 = "", "Validated", HYPERLINK("#" &amp; ADDRESS(281, 'Additional Documents-WUO_TRK'!A281),_xlfn.TEXTAFTER('Additional Documents-WUO_ERR'!A281, ":"))))</f>
        <v/>
      </c>
    </row>
    <row r="282">
      <c r="A282" s="39">
        <f>IF('Additional Documents'!B282 = "", "", IF('Additional Documents-WUO_ERR'!A282 = "", "Validated", HYPERLINK("#" &amp; ADDRESS(282, 'Additional Documents-WUO_TRK'!A282),_xlfn.TEXTAFTER('Additional Documents-WUO_ERR'!A282, ":"))))</f>
        <v/>
      </c>
    </row>
    <row r="283">
      <c r="A283" s="39">
        <f>IF('Additional Documents'!B283 = "", "", IF('Additional Documents-WUO_ERR'!A283 = "", "Validated", HYPERLINK("#" &amp; ADDRESS(283, 'Additional Documents-WUO_TRK'!A283),_xlfn.TEXTAFTER('Additional Documents-WUO_ERR'!A283, ":"))))</f>
        <v/>
      </c>
    </row>
    <row r="284">
      <c r="A284" s="39">
        <f>IF('Additional Documents'!B284 = "", "", IF('Additional Documents-WUO_ERR'!A284 = "", "Validated", HYPERLINK("#" &amp; ADDRESS(284, 'Additional Documents-WUO_TRK'!A284),_xlfn.TEXTAFTER('Additional Documents-WUO_ERR'!A284, ":"))))</f>
        <v/>
      </c>
    </row>
    <row r="285">
      <c r="A285" s="39">
        <f>IF('Additional Documents'!B285 = "", "", IF('Additional Documents-WUO_ERR'!A285 = "", "Validated", HYPERLINK("#" &amp; ADDRESS(285, 'Additional Documents-WUO_TRK'!A285),_xlfn.TEXTAFTER('Additional Documents-WUO_ERR'!A285, ":"))))</f>
        <v/>
      </c>
    </row>
    <row r="286">
      <c r="A286" s="39">
        <f>IF('Additional Documents'!B286 = "", "", IF('Additional Documents-WUO_ERR'!A286 = "", "Validated", HYPERLINK("#" &amp; ADDRESS(286, 'Additional Documents-WUO_TRK'!A286),_xlfn.TEXTAFTER('Additional Documents-WUO_ERR'!A286, ":"))))</f>
        <v/>
      </c>
    </row>
    <row r="287">
      <c r="A287" s="39">
        <f>IF('Additional Documents'!B287 = "", "", IF('Additional Documents-WUO_ERR'!A287 = "", "Validated", HYPERLINK("#" &amp; ADDRESS(287, 'Additional Documents-WUO_TRK'!A287),_xlfn.TEXTAFTER('Additional Documents-WUO_ERR'!A287, ":"))))</f>
        <v/>
      </c>
    </row>
    <row r="288">
      <c r="A288" s="39">
        <f>IF('Additional Documents'!B288 = "", "", IF('Additional Documents-WUO_ERR'!A288 = "", "Validated", HYPERLINK("#" &amp; ADDRESS(288, 'Additional Documents-WUO_TRK'!A288),_xlfn.TEXTAFTER('Additional Documents-WUO_ERR'!A288, ":"))))</f>
        <v/>
      </c>
    </row>
    <row r="289">
      <c r="A289" s="39">
        <f>IF('Additional Documents'!B289 = "", "", IF('Additional Documents-WUO_ERR'!A289 = "", "Validated", HYPERLINK("#" &amp; ADDRESS(289, 'Additional Documents-WUO_TRK'!A289),_xlfn.TEXTAFTER('Additional Documents-WUO_ERR'!A289, ":"))))</f>
        <v/>
      </c>
    </row>
    <row r="290">
      <c r="A290" s="39">
        <f>IF('Additional Documents'!B290 = "", "", IF('Additional Documents-WUO_ERR'!A290 = "", "Validated", HYPERLINK("#" &amp; ADDRESS(290, 'Additional Documents-WUO_TRK'!A290),_xlfn.TEXTAFTER('Additional Documents-WUO_ERR'!A290, ":"))))</f>
        <v/>
      </c>
    </row>
    <row r="291">
      <c r="A291" s="39">
        <f>IF('Additional Documents'!B291 = "", "", IF('Additional Documents-WUO_ERR'!A291 = "", "Validated", HYPERLINK("#" &amp; ADDRESS(291, 'Additional Documents-WUO_TRK'!A291),_xlfn.TEXTAFTER('Additional Documents-WUO_ERR'!A291, ":"))))</f>
        <v/>
      </c>
    </row>
    <row r="292">
      <c r="A292" s="39">
        <f>IF('Additional Documents'!B292 = "", "", IF('Additional Documents-WUO_ERR'!A292 = "", "Validated", HYPERLINK("#" &amp; ADDRESS(292, 'Additional Documents-WUO_TRK'!A292),_xlfn.TEXTAFTER('Additional Documents-WUO_ERR'!A292, ":"))))</f>
        <v/>
      </c>
    </row>
    <row r="293">
      <c r="A293" s="39">
        <f>IF('Additional Documents'!B293 = "", "", IF('Additional Documents-WUO_ERR'!A293 = "", "Validated", HYPERLINK("#" &amp; ADDRESS(293, 'Additional Documents-WUO_TRK'!A293),_xlfn.TEXTAFTER('Additional Documents-WUO_ERR'!A293, ":"))))</f>
        <v/>
      </c>
    </row>
    <row r="294">
      <c r="A294" s="39">
        <f>IF('Additional Documents'!B294 = "", "", IF('Additional Documents-WUO_ERR'!A294 = "", "Validated", HYPERLINK("#" &amp; ADDRESS(294, 'Additional Documents-WUO_TRK'!A294),_xlfn.TEXTAFTER('Additional Documents-WUO_ERR'!A294, ":"))))</f>
        <v/>
      </c>
    </row>
    <row r="295">
      <c r="A295" s="39">
        <f>IF('Additional Documents'!B295 = "", "", IF('Additional Documents-WUO_ERR'!A295 = "", "Validated", HYPERLINK("#" &amp; ADDRESS(295, 'Additional Documents-WUO_TRK'!A295),_xlfn.TEXTAFTER('Additional Documents-WUO_ERR'!A295, ":"))))</f>
        <v/>
      </c>
    </row>
    <row r="296">
      <c r="A296" s="39">
        <f>IF('Additional Documents'!B296 = "", "", IF('Additional Documents-WUO_ERR'!A296 = "", "Validated", HYPERLINK("#" &amp; ADDRESS(296, 'Additional Documents-WUO_TRK'!A296),_xlfn.TEXTAFTER('Additional Documents-WUO_ERR'!A296, ":"))))</f>
        <v/>
      </c>
    </row>
    <row r="297">
      <c r="A297" s="39">
        <f>IF('Additional Documents'!B297 = "", "", IF('Additional Documents-WUO_ERR'!A297 = "", "Validated", HYPERLINK("#" &amp; ADDRESS(297, 'Additional Documents-WUO_TRK'!A297),_xlfn.TEXTAFTER('Additional Documents-WUO_ERR'!A297, ":"))))</f>
        <v/>
      </c>
    </row>
    <row r="298">
      <c r="A298" s="39">
        <f>IF('Additional Documents'!B298 = "", "", IF('Additional Documents-WUO_ERR'!A298 = "", "Validated", HYPERLINK("#" &amp; ADDRESS(298, 'Additional Documents-WUO_TRK'!A298),_xlfn.TEXTAFTER('Additional Documents-WUO_ERR'!A298, ":"))))</f>
        <v/>
      </c>
    </row>
    <row r="299">
      <c r="A299" s="39">
        <f>IF('Additional Documents'!B299 = "", "", IF('Additional Documents-WUO_ERR'!A299 = "", "Validated", HYPERLINK("#" &amp; ADDRESS(299, 'Additional Documents-WUO_TRK'!A299),_xlfn.TEXTAFTER('Additional Documents-WUO_ERR'!A299, ":"))))</f>
        <v/>
      </c>
    </row>
    <row r="300">
      <c r="A300" s="39">
        <f>IF('Additional Documents'!B300 = "", "", IF('Additional Documents-WUO_ERR'!A300 = "", "Validated", HYPERLINK("#" &amp; ADDRESS(300, 'Additional Documents-WUO_TRK'!A300),_xlfn.TEXTAFTER('Additional Documents-WUO_ERR'!A300, ":"))))</f>
        <v/>
      </c>
    </row>
    <row r="301">
      <c r="A301" s="39">
        <f>IF('Additional Documents'!B301 = "", "", IF('Additional Documents-WUO_ERR'!A301 = "", "Validated", HYPERLINK("#" &amp; ADDRESS(301, 'Additional Documents-WUO_TRK'!A301),_xlfn.TEXTAFTER('Additional Documents-WUO_ERR'!A301, ":"))))</f>
        <v/>
      </c>
    </row>
    <row r="302">
      <c r="A302" s="39">
        <f>IF('Additional Documents'!B302 = "", "", IF('Additional Documents-WUO_ERR'!A302 = "", "Validated", HYPERLINK("#" &amp; ADDRESS(302, 'Additional Documents-WUO_TRK'!A302),_xlfn.TEXTAFTER('Additional Documents-WUO_ERR'!A302, ":"))))</f>
        <v/>
      </c>
    </row>
    <row r="303">
      <c r="A303" s="39">
        <f>IF('Additional Documents'!B303 = "", "", IF('Additional Documents-WUO_ERR'!A303 = "", "Validated", HYPERLINK("#" &amp; ADDRESS(303, 'Additional Documents-WUO_TRK'!A303),_xlfn.TEXTAFTER('Additional Documents-WUO_ERR'!A303, ":"))))</f>
        <v/>
      </c>
    </row>
    <row r="304">
      <c r="A304" s="39">
        <f>IF('Additional Documents'!B304 = "", "", IF('Additional Documents-WUO_ERR'!A304 = "", "Validated", HYPERLINK("#" &amp; ADDRESS(304, 'Additional Documents-WUO_TRK'!A304),_xlfn.TEXTAFTER('Additional Documents-WUO_ERR'!A304, ":"))))</f>
        <v/>
      </c>
    </row>
    <row r="305">
      <c r="A305" s="39">
        <f>IF('Additional Documents'!B305 = "", "", IF('Additional Documents-WUO_ERR'!A305 = "", "Validated", HYPERLINK("#" &amp; ADDRESS(305, 'Additional Documents-WUO_TRK'!A305),_xlfn.TEXTAFTER('Additional Documents-WUO_ERR'!A305, ":"))))</f>
        <v/>
      </c>
    </row>
    <row r="306">
      <c r="A306" s="39">
        <f>IF('Additional Documents'!B306 = "", "", IF('Additional Documents-WUO_ERR'!A306 = "", "Validated", HYPERLINK("#" &amp; ADDRESS(306, 'Additional Documents-WUO_TRK'!A306),_xlfn.TEXTAFTER('Additional Documents-WUO_ERR'!A306, ":"))))</f>
        <v/>
      </c>
    </row>
    <row r="307">
      <c r="A307" s="39">
        <f>IF('Additional Documents'!B307 = "", "", IF('Additional Documents-WUO_ERR'!A307 = "", "Validated", HYPERLINK("#" &amp; ADDRESS(307, 'Additional Documents-WUO_TRK'!A307),_xlfn.TEXTAFTER('Additional Documents-WUO_ERR'!A307, ":"))))</f>
        <v/>
      </c>
    </row>
    <row r="308">
      <c r="A308" s="39">
        <f>IF('Additional Documents'!B308 = "", "", IF('Additional Documents-WUO_ERR'!A308 = "", "Validated", HYPERLINK("#" &amp; ADDRESS(308, 'Additional Documents-WUO_TRK'!A308),_xlfn.TEXTAFTER('Additional Documents-WUO_ERR'!A308, ":"))))</f>
        <v/>
      </c>
    </row>
    <row r="309">
      <c r="A309" s="39">
        <f>IF('Additional Documents'!B309 = "", "", IF('Additional Documents-WUO_ERR'!A309 = "", "Validated", HYPERLINK("#" &amp; ADDRESS(309, 'Additional Documents-WUO_TRK'!A309),_xlfn.TEXTAFTER('Additional Documents-WUO_ERR'!A309, ":"))))</f>
        <v/>
      </c>
    </row>
    <row r="310">
      <c r="A310" s="39">
        <f>IF('Additional Documents'!B310 = "", "", IF('Additional Documents-WUO_ERR'!A310 = "", "Validated", HYPERLINK("#" &amp; ADDRESS(310, 'Additional Documents-WUO_TRK'!A310),_xlfn.TEXTAFTER('Additional Documents-WUO_ERR'!A310, ":"))))</f>
        <v/>
      </c>
    </row>
    <row r="311">
      <c r="A311" s="39">
        <f>IF('Additional Documents'!B311 = "", "", IF('Additional Documents-WUO_ERR'!A311 = "", "Validated", HYPERLINK("#" &amp; ADDRESS(311, 'Additional Documents-WUO_TRK'!A311),_xlfn.TEXTAFTER('Additional Documents-WUO_ERR'!A311, ":"))))</f>
        <v/>
      </c>
    </row>
    <row r="312">
      <c r="A312" s="39">
        <f>IF('Additional Documents'!B312 = "", "", IF('Additional Documents-WUO_ERR'!A312 = "", "Validated", HYPERLINK("#" &amp; ADDRESS(312, 'Additional Documents-WUO_TRK'!A312),_xlfn.TEXTAFTER('Additional Documents-WUO_ERR'!A312, ":"))))</f>
        <v/>
      </c>
    </row>
    <row r="313">
      <c r="A313" s="39">
        <f>IF('Additional Documents'!B313 = "", "", IF('Additional Documents-WUO_ERR'!A313 = "", "Validated", HYPERLINK("#" &amp; ADDRESS(313, 'Additional Documents-WUO_TRK'!A313),_xlfn.TEXTAFTER('Additional Documents-WUO_ERR'!A313, ":"))))</f>
        <v/>
      </c>
    </row>
    <row r="314">
      <c r="A314" s="39">
        <f>IF('Additional Documents'!B314 = "", "", IF('Additional Documents-WUO_ERR'!A314 = "", "Validated", HYPERLINK("#" &amp; ADDRESS(314, 'Additional Documents-WUO_TRK'!A314),_xlfn.TEXTAFTER('Additional Documents-WUO_ERR'!A314, ":"))))</f>
        <v/>
      </c>
    </row>
    <row r="315">
      <c r="A315" s="39">
        <f>IF('Additional Documents'!B315 = "", "", IF('Additional Documents-WUO_ERR'!A315 = "", "Validated", HYPERLINK("#" &amp; ADDRESS(315, 'Additional Documents-WUO_TRK'!A315),_xlfn.TEXTAFTER('Additional Documents-WUO_ERR'!A315, ":"))))</f>
        <v/>
      </c>
    </row>
    <row r="316">
      <c r="A316" s="39">
        <f>IF('Additional Documents'!B316 = "", "", IF('Additional Documents-WUO_ERR'!A316 = "", "Validated", HYPERLINK("#" &amp; ADDRESS(316, 'Additional Documents-WUO_TRK'!A316),_xlfn.TEXTAFTER('Additional Documents-WUO_ERR'!A316, ":"))))</f>
        <v/>
      </c>
    </row>
    <row r="317">
      <c r="A317" s="39">
        <f>IF('Additional Documents'!B317 = "", "", IF('Additional Documents-WUO_ERR'!A317 = "", "Validated", HYPERLINK("#" &amp; ADDRESS(317, 'Additional Documents-WUO_TRK'!A317),_xlfn.TEXTAFTER('Additional Documents-WUO_ERR'!A317, ":"))))</f>
        <v/>
      </c>
    </row>
    <row r="318">
      <c r="A318" s="39">
        <f>IF('Additional Documents'!B318 = "", "", IF('Additional Documents-WUO_ERR'!A318 = "", "Validated", HYPERLINK("#" &amp; ADDRESS(318, 'Additional Documents-WUO_TRK'!A318),_xlfn.TEXTAFTER('Additional Documents-WUO_ERR'!A318, ":"))))</f>
        <v/>
      </c>
    </row>
    <row r="319">
      <c r="A319" s="39">
        <f>IF('Additional Documents'!B319 = "", "", IF('Additional Documents-WUO_ERR'!A319 = "", "Validated", HYPERLINK("#" &amp; ADDRESS(319, 'Additional Documents-WUO_TRK'!A319),_xlfn.TEXTAFTER('Additional Documents-WUO_ERR'!A319, ":"))))</f>
        <v/>
      </c>
    </row>
    <row r="320">
      <c r="A320" s="39">
        <f>IF('Additional Documents'!B320 = "", "", IF('Additional Documents-WUO_ERR'!A320 = "", "Validated", HYPERLINK("#" &amp; ADDRESS(320, 'Additional Documents-WUO_TRK'!A320),_xlfn.TEXTAFTER('Additional Documents-WUO_ERR'!A320, ":"))))</f>
        <v/>
      </c>
    </row>
    <row r="321">
      <c r="A321" s="39">
        <f>IF('Additional Documents'!B321 = "", "", IF('Additional Documents-WUO_ERR'!A321 = "", "Validated", HYPERLINK("#" &amp; ADDRESS(321, 'Additional Documents-WUO_TRK'!A321),_xlfn.TEXTAFTER('Additional Documents-WUO_ERR'!A321, ":"))))</f>
        <v/>
      </c>
    </row>
    <row r="322">
      <c r="A322" s="39">
        <f>IF('Additional Documents'!B322 = "", "", IF('Additional Documents-WUO_ERR'!A322 = "", "Validated", HYPERLINK("#" &amp; ADDRESS(322, 'Additional Documents-WUO_TRK'!A322),_xlfn.TEXTAFTER('Additional Documents-WUO_ERR'!A322, ":"))))</f>
        <v/>
      </c>
    </row>
    <row r="323">
      <c r="A323" s="39">
        <f>IF('Additional Documents'!B323 = "", "", IF('Additional Documents-WUO_ERR'!A323 = "", "Validated", HYPERLINK("#" &amp; ADDRESS(323, 'Additional Documents-WUO_TRK'!A323),_xlfn.TEXTAFTER('Additional Documents-WUO_ERR'!A323, ":"))))</f>
        <v/>
      </c>
    </row>
    <row r="324">
      <c r="A324" s="39">
        <f>IF('Additional Documents'!B324 = "", "", IF('Additional Documents-WUO_ERR'!A324 = "", "Validated", HYPERLINK("#" &amp; ADDRESS(324, 'Additional Documents-WUO_TRK'!A324),_xlfn.TEXTAFTER('Additional Documents-WUO_ERR'!A324, ":"))))</f>
        <v/>
      </c>
    </row>
    <row r="325">
      <c r="A325" s="39">
        <f>IF('Additional Documents'!B325 = "", "", IF('Additional Documents-WUO_ERR'!A325 = "", "Validated", HYPERLINK("#" &amp; ADDRESS(325, 'Additional Documents-WUO_TRK'!A325),_xlfn.TEXTAFTER('Additional Documents-WUO_ERR'!A325, ":"))))</f>
        <v/>
      </c>
    </row>
    <row r="326">
      <c r="A326" s="39">
        <f>IF('Additional Documents'!B326 = "", "", IF('Additional Documents-WUO_ERR'!A326 = "", "Validated", HYPERLINK("#" &amp; ADDRESS(326, 'Additional Documents-WUO_TRK'!A326),_xlfn.TEXTAFTER('Additional Documents-WUO_ERR'!A326, ":"))))</f>
        <v/>
      </c>
    </row>
    <row r="327">
      <c r="A327" s="39">
        <f>IF('Additional Documents'!B327 = "", "", IF('Additional Documents-WUO_ERR'!A327 = "", "Validated", HYPERLINK("#" &amp; ADDRESS(327, 'Additional Documents-WUO_TRK'!A327),_xlfn.TEXTAFTER('Additional Documents-WUO_ERR'!A327, ":"))))</f>
        <v/>
      </c>
    </row>
    <row r="328">
      <c r="A328" s="39">
        <f>IF('Additional Documents'!B328 = "", "", IF('Additional Documents-WUO_ERR'!A328 = "", "Validated", HYPERLINK("#" &amp; ADDRESS(328, 'Additional Documents-WUO_TRK'!A328),_xlfn.TEXTAFTER('Additional Documents-WUO_ERR'!A328, ":"))))</f>
        <v/>
      </c>
    </row>
    <row r="329">
      <c r="A329" s="39">
        <f>IF('Additional Documents'!B329 = "", "", IF('Additional Documents-WUO_ERR'!A329 = "", "Validated", HYPERLINK("#" &amp; ADDRESS(329, 'Additional Documents-WUO_TRK'!A329),_xlfn.TEXTAFTER('Additional Documents-WUO_ERR'!A329, ":"))))</f>
        <v/>
      </c>
    </row>
    <row r="330">
      <c r="A330" s="39">
        <f>IF('Additional Documents'!B330 = "", "", IF('Additional Documents-WUO_ERR'!A330 = "", "Validated", HYPERLINK("#" &amp; ADDRESS(330, 'Additional Documents-WUO_TRK'!A330),_xlfn.TEXTAFTER('Additional Documents-WUO_ERR'!A330, ":"))))</f>
        <v/>
      </c>
    </row>
    <row r="331">
      <c r="A331" s="39">
        <f>IF('Additional Documents'!B331 = "", "", IF('Additional Documents-WUO_ERR'!A331 = "", "Validated", HYPERLINK("#" &amp; ADDRESS(331, 'Additional Documents-WUO_TRK'!A331),_xlfn.TEXTAFTER('Additional Documents-WUO_ERR'!A331, ":"))))</f>
        <v/>
      </c>
    </row>
    <row r="332">
      <c r="A332" s="39">
        <f>IF('Additional Documents'!B332 = "", "", IF('Additional Documents-WUO_ERR'!A332 = "", "Validated", HYPERLINK("#" &amp; ADDRESS(332, 'Additional Documents-WUO_TRK'!A332),_xlfn.TEXTAFTER('Additional Documents-WUO_ERR'!A332, ":"))))</f>
        <v/>
      </c>
    </row>
    <row r="333">
      <c r="A333" s="39">
        <f>IF('Additional Documents'!B333 = "", "", IF('Additional Documents-WUO_ERR'!A333 = "", "Validated", HYPERLINK("#" &amp; ADDRESS(333, 'Additional Documents-WUO_TRK'!A333),_xlfn.TEXTAFTER('Additional Documents-WUO_ERR'!A333, ":"))))</f>
        <v/>
      </c>
    </row>
    <row r="334">
      <c r="A334" s="39">
        <f>IF('Additional Documents'!B334 = "", "", IF('Additional Documents-WUO_ERR'!A334 = "", "Validated", HYPERLINK("#" &amp; ADDRESS(334, 'Additional Documents-WUO_TRK'!A334),_xlfn.TEXTAFTER('Additional Documents-WUO_ERR'!A334, ":"))))</f>
        <v/>
      </c>
    </row>
    <row r="335">
      <c r="A335" s="39">
        <f>IF('Additional Documents'!B335 = "", "", IF('Additional Documents-WUO_ERR'!A335 = "", "Validated", HYPERLINK("#" &amp; ADDRESS(335, 'Additional Documents-WUO_TRK'!A335),_xlfn.TEXTAFTER('Additional Documents-WUO_ERR'!A335, ":"))))</f>
        <v/>
      </c>
    </row>
    <row r="336">
      <c r="A336" s="39">
        <f>IF('Additional Documents'!B336 = "", "", IF('Additional Documents-WUO_ERR'!A336 = "", "Validated", HYPERLINK("#" &amp; ADDRESS(336, 'Additional Documents-WUO_TRK'!A336),_xlfn.TEXTAFTER('Additional Documents-WUO_ERR'!A336, ":"))))</f>
        <v/>
      </c>
    </row>
    <row r="337">
      <c r="A337" s="39">
        <f>IF('Additional Documents'!B337 = "", "", IF('Additional Documents-WUO_ERR'!A337 = "", "Validated", HYPERLINK("#" &amp; ADDRESS(337, 'Additional Documents-WUO_TRK'!A337),_xlfn.TEXTAFTER('Additional Documents-WUO_ERR'!A337, ":"))))</f>
        <v/>
      </c>
    </row>
    <row r="338">
      <c r="A338" s="39">
        <f>IF('Additional Documents'!B338 = "", "", IF('Additional Documents-WUO_ERR'!A338 = "", "Validated", HYPERLINK("#" &amp; ADDRESS(338, 'Additional Documents-WUO_TRK'!A338),_xlfn.TEXTAFTER('Additional Documents-WUO_ERR'!A338, ":"))))</f>
        <v/>
      </c>
    </row>
    <row r="339">
      <c r="A339" s="39">
        <f>IF('Additional Documents'!B339 = "", "", IF('Additional Documents-WUO_ERR'!A339 = "", "Validated", HYPERLINK("#" &amp; ADDRESS(339, 'Additional Documents-WUO_TRK'!A339),_xlfn.TEXTAFTER('Additional Documents-WUO_ERR'!A339, ":"))))</f>
        <v/>
      </c>
    </row>
    <row r="340">
      <c r="A340" s="39">
        <f>IF('Additional Documents'!B340 = "", "", IF('Additional Documents-WUO_ERR'!A340 = "", "Validated", HYPERLINK("#" &amp; ADDRESS(340, 'Additional Documents-WUO_TRK'!A340),_xlfn.TEXTAFTER('Additional Documents-WUO_ERR'!A340, ":"))))</f>
        <v/>
      </c>
    </row>
    <row r="341">
      <c r="A341" s="39">
        <f>IF('Additional Documents'!B341 = "", "", IF('Additional Documents-WUO_ERR'!A341 = "", "Validated", HYPERLINK("#" &amp; ADDRESS(341, 'Additional Documents-WUO_TRK'!A341),_xlfn.TEXTAFTER('Additional Documents-WUO_ERR'!A341, ":"))))</f>
        <v/>
      </c>
    </row>
    <row r="342">
      <c r="A342" s="39">
        <f>IF('Additional Documents'!B342 = "", "", IF('Additional Documents-WUO_ERR'!A342 = "", "Validated", HYPERLINK("#" &amp; ADDRESS(342, 'Additional Documents-WUO_TRK'!A342),_xlfn.TEXTAFTER('Additional Documents-WUO_ERR'!A342, ":"))))</f>
        <v/>
      </c>
    </row>
    <row r="343">
      <c r="A343" s="39">
        <f>IF('Additional Documents'!B343 = "", "", IF('Additional Documents-WUO_ERR'!A343 = "", "Validated", HYPERLINK("#" &amp; ADDRESS(343, 'Additional Documents-WUO_TRK'!A343),_xlfn.TEXTAFTER('Additional Documents-WUO_ERR'!A343, ":"))))</f>
        <v/>
      </c>
    </row>
    <row r="344">
      <c r="A344" s="39">
        <f>IF('Additional Documents'!B344 = "", "", IF('Additional Documents-WUO_ERR'!A344 = "", "Validated", HYPERLINK("#" &amp; ADDRESS(344, 'Additional Documents-WUO_TRK'!A344),_xlfn.TEXTAFTER('Additional Documents-WUO_ERR'!A344, ":"))))</f>
        <v/>
      </c>
    </row>
    <row r="345">
      <c r="A345" s="39">
        <f>IF('Additional Documents'!B345 = "", "", IF('Additional Documents-WUO_ERR'!A345 = "", "Validated", HYPERLINK("#" &amp; ADDRESS(345, 'Additional Documents-WUO_TRK'!A345),_xlfn.TEXTAFTER('Additional Documents-WUO_ERR'!A345, ":"))))</f>
        <v/>
      </c>
    </row>
    <row r="346">
      <c r="A346" s="39">
        <f>IF('Additional Documents'!B346 = "", "", IF('Additional Documents-WUO_ERR'!A346 = "", "Validated", HYPERLINK("#" &amp; ADDRESS(346, 'Additional Documents-WUO_TRK'!A346),_xlfn.TEXTAFTER('Additional Documents-WUO_ERR'!A346, ":"))))</f>
        <v/>
      </c>
    </row>
    <row r="347">
      <c r="A347" s="39">
        <f>IF('Additional Documents'!B347 = "", "", IF('Additional Documents-WUO_ERR'!A347 = "", "Validated", HYPERLINK("#" &amp; ADDRESS(347, 'Additional Documents-WUO_TRK'!A347),_xlfn.TEXTAFTER('Additional Documents-WUO_ERR'!A347, ":"))))</f>
        <v/>
      </c>
    </row>
    <row r="348">
      <c r="A348" s="39">
        <f>IF('Additional Documents'!B348 = "", "", IF('Additional Documents-WUO_ERR'!A348 = "", "Validated", HYPERLINK("#" &amp; ADDRESS(348, 'Additional Documents-WUO_TRK'!A348),_xlfn.TEXTAFTER('Additional Documents-WUO_ERR'!A348, ":"))))</f>
        <v/>
      </c>
    </row>
    <row r="349">
      <c r="A349" s="39">
        <f>IF('Additional Documents'!B349 = "", "", IF('Additional Documents-WUO_ERR'!A349 = "", "Validated", HYPERLINK("#" &amp; ADDRESS(349, 'Additional Documents-WUO_TRK'!A349),_xlfn.TEXTAFTER('Additional Documents-WUO_ERR'!A349, ":"))))</f>
        <v/>
      </c>
    </row>
    <row r="350">
      <c r="A350" s="39">
        <f>IF('Additional Documents'!B350 = "", "", IF('Additional Documents-WUO_ERR'!A350 = "", "Validated", HYPERLINK("#" &amp; ADDRESS(350, 'Additional Documents-WUO_TRK'!A350),_xlfn.TEXTAFTER('Additional Documents-WUO_ERR'!A350, ":"))))</f>
        <v/>
      </c>
    </row>
    <row r="351">
      <c r="A351" s="39">
        <f>IF('Additional Documents'!B351 = "", "", IF('Additional Documents-WUO_ERR'!A351 = "", "Validated", HYPERLINK("#" &amp; ADDRESS(351, 'Additional Documents-WUO_TRK'!A351),_xlfn.TEXTAFTER('Additional Documents-WUO_ERR'!A351, ":"))))</f>
        <v/>
      </c>
    </row>
    <row r="352">
      <c r="A352" s="39">
        <f>IF('Additional Documents'!B352 = "", "", IF('Additional Documents-WUO_ERR'!A352 = "", "Validated", HYPERLINK("#" &amp; ADDRESS(352, 'Additional Documents-WUO_TRK'!A352),_xlfn.TEXTAFTER('Additional Documents-WUO_ERR'!A352, ":"))))</f>
        <v/>
      </c>
    </row>
    <row r="353">
      <c r="A353" s="39">
        <f>IF('Additional Documents'!B353 = "", "", IF('Additional Documents-WUO_ERR'!A353 = "", "Validated", HYPERLINK("#" &amp; ADDRESS(353, 'Additional Documents-WUO_TRK'!A353),_xlfn.TEXTAFTER('Additional Documents-WUO_ERR'!A353, ":"))))</f>
        <v/>
      </c>
    </row>
    <row r="354">
      <c r="A354" s="39">
        <f>IF('Additional Documents'!B354 = "", "", IF('Additional Documents-WUO_ERR'!A354 = "", "Validated", HYPERLINK("#" &amp; ADDRESS(354, 'Additional Documents-WUO_TRK'!A354),_xlfn.TEXTAFTER('Additional Documents-WUO_ERR'!A354, ":"))))</f>
        <v/>
      </c>
    </row>
    <row r="355">
      <c r="A355" s="39">
        <f>IF('Additional Documents'!B355 = "", "", IF('Additional Documents-WUO_ERR'!A355 = "", "Validated", HYPERLINK("#" &amp; ADDRESS(355, 'Additional Documents-WUO_TRK'!A355),_xlfn.TEXTAFTER('Additional Documents-WUO_ERR'!A355, ":"))))</f>
        <v/>
      </c>
    </row>
    <row r="356">
      <c r="A356" s="39">
        <f>IF('Additional Documents'!B356 = "", "", IF('Additional Documents-WUO_ERR'!A356 = "", "Validated", HYPERLINK("#" &amp; ADDRESS(356, 'Additional Documents-WUO_TRK'!A356),_xlfn.TEXTAFTER('Additional Documents-WUO_ERR'!A356, ":"))))</f>
        <v/>
      </c>
    </row>
    <row r="357">
      <c r="A357" s="39">
        <f>IF('Additional Documents'!B357 = "", "", IF('Additional Documents-WUO_ERR'!A357 = "", "Validated", HYPERLINK("#" &amp; ADDRESS(357, 'Additional Documents-WUO_TRK'!A357),_xlfn.TEXTAFTER('Additional Documents-WUO_ERR'!A357, ":"))))</f>
        <v/>
      </c>
    </row>
    <row r="358">
      <c r="A358" s="39">
        <f>IF('Additional Documents'!B358 = "", "", IF('Additional Documents-WUO_ERR'!A358 = "", "Validated", HYPERLINK("#" &amp; ADDRESS(358, 'Additional Documents-WUO_TRK'!A358),_xlfn.TEXTAFTER('Additional Documents-WUO_ERR'!A358, ":"))))</f>
        <v/>
      </c>
    </row>
    <row r="359">
      <c r="A359" s="39">
        <f>IF('Additional Documents'!B359 = "", "", IF('Additional Documents-WUO_ERR'!A359 = "", "Validated", HYPERLINK("#" &amp; ADDRESS(359, 'Additional Documents-WUO_TRK'!A359),_xlfn.TEXTAFTER('Additional Documents-WUO_ERR'!A359, ":"))))</f>
        <v/>
      </c>
    </row>
    <row r="360">
      <c r="A360" s="39">
        <f>IF('Additional Documents'!B360 = "", "", IF('Additional Documents-WUO_ERR'!A360 = "", "Validated", HYPERLINK("#" &amp; ADDRESS(360, 'Additional Documents-WUO_TRK'!A360),_xlfn.TEXTAFTER('Additional Documents-WUO_ERR'!A360, ":"))))</f>
        <v/>
      </c>
    </row>
    <row r="361">
      <c r="A361" s="39">
        <f>IF('Additional Documents'!B361 = "", "", IF('Additional Documents-WUO_ERR'!A361 = "", "Validated", HYPERLINK("#" &amp; ADDRESS(361, 'Additional Documents-WUO_TRK'!A361),_xlfn.TEXTAFTER('Additional Documents-WUO_ERR'!A361, ":"))))</f>
        <v/>
      </c>
    </row>
    <row r="362">
      <c r="A362" s="39">
        <f>IF('Additional Documents'!B362 = "", "", IF('Additional Documents-WUO_ERR'!A362 = "", "Validated", HYPERLINK("#" &amp; ADDRESS(362, 'Additional Documents-WUO_TRK'!A362),_xlfn.TEXTAFTER('Additional Documents-WUO_ERR'!A362, ":"))))</f>
        <v/>
      </c>
    </row>
    <row r="363">
      <c r="A363" s="39">
        <f>IF('Additional Documents'!B363 = "", "", IF('Additional Documents-WUO_ERR'!A363 = "", "Validated", HYPERLINK("#" &amp; ADDRESS(363, 'Additional Documents-WUO_TRK'!A363),_xlfn.TEXTAFTER('Additional Documents-WUO_ERR'!A363, ":"))))</f>
        <v/>
      </c>
    </row>
    <row r="364">
      <c r="A364" s="39">
        <f>IF('Additional Documents'!B364 = "", "", IF('Additional Documents-WUO_ERR'!A364 = "", "Validated", HYPERLINK("#" &amp; ADDRESS(364, 'Additional Documents-WUO_TRK'!A364),_xlfn.TEXTAFTER('Additional Documents-WUO_ERR'!A364, ":"))))</f>
        <v/>
      </c>
    </row>
    <row r="365">
      <c r="A365" s="39">
        <f>IF('Additional Documents'!B365 = "", "", IF('Additional Documents-WUO_ERR'!A365 = "", "Validated", HYPERLINK("#" &amp; ADDRESS(365, 'Additional Documents-WUO_TRK'!A365),_xlfn.TEXTAFTER('Additional Documents-WUO_ERR'!A365, ":"))))</f>
        <v/>
      </c>
    </row>
    <row r="366">
      <c r="A366" s="39">
        <f>IF('Additional Documents'!B366 = "", "", IF('Additional Documents-WUO_ERR'!A366 = "", "Validated", HYPERLINK("#" &amp; ADDRESS(366, 'Additional Documents-WUO_TRK'!A366),_xlfn.TEXTAFTER('Additional Documents-WUO_ERR'!A366, ":"))))</f>
        <v/>
      </c>
    </row>
    <row r="367">
      <c r="A367" s="39">
        <f>IF('Additional Documents'!B367 = "", "", IF('Additional Documents-WUO_ERR'!A367 = "", "Validated", HYPERLINK("#" &amp; ADDRESS(367, 'Additional Documents-WUO_TRK'!A367),_xlfn.TEXTAFTER('Additional Documents-WUO_ERR'!A367, ":"))))</f>
        <v/>
      </c>
    </row>
    <row r="368">
      <c r="A368" s="39">
        <f>IF('Additional Documents'!B368 = "", "", IF('Additional Documents-WUO_ERR'!A368 = "", "Validated", HYPERLINK("#" &amp; ADDRESS(368, 'Additional Documents-WUO_TRK'!A368),_xlfn.TEXTAFTER('Additional Documents-WUO_ERR'!A368, ":"))))</f>
        <v/>
      </c>
    </row>
    <row r="369">
      <c r="A369" s="39">
        <f>IF('Additional Documents'!B369 = "", "", IF('Additional Documents-WUO_ERR'!A369 = "", "Validated", HYPERLINK("#" &amp; ADDRESS(369, 'Additional Documents-WUO_TRK'!A369),_xlfn.TEXTAFTER('Additional Documents-WUO_ERR'!A369, ":"))))</f>
        <v/>
      </c>
    </row>
    <row r="370">
      <c r="A370" s="39">
        <f>IF('Additional Documents'!B370 = "", "", IF('Additional Documents-WUO_ERR'!A370 = "", "Validated", HYPERLINK("#" &amp; ADDRESS(370, 'Additional Documents-WUO_TRK'!A370),_xlfn.TEXTAFTER('Additional Documents-WUO_ERR'!A370, ":"))))</f>
        <v/>
      </c>
    </row>
    <row r="371">
      <c r="A371" s="39">
        <f>IF('Additional Documents'!B371 = "", "", IF('Additional Documents-WUO_ERR'!A371 = "", "Validated", HYPERLINK("#" &amp; ADDRESS(371, 'Additional Documents-WUO_TRK'!A371),_xlfn.TEXTAFTER('Additional Documents-WUO_ERR'!A371, ":"))))</f>
        <v/>
      </c>
    </row>
    <row r="372">
      <c r="A372" s="39">
        <f>IF('Additional Documents'!B372 = "", "", IF('Additional Documents-WUO_ERR'!A372 = "", "Validated", HYPERLINK("#" &amp; ADDRESS(372, 'Additional Documents-WUO_TRK'!A372),_xlfn.TEXTAFTER('Additional Documents-WUO_ERR'!A372, ":"))))</f>
        <v/>
      </c>
    </row>
    <row r="373">
      <c r="A373" s="39">
        <f>IF('Additional Documents'!B373 = "", "", IF('Additional Documents-WUO_ERR'!A373 = "", "Validated", HYPERLINK("#" &amp; ADDRESS(373, 'Additional Documents-WUO_TRK'!A373),_xlfn.TEXTAFTER('Additional Documents-WUO_ERR'!A373, ":"))))</f>
        <v/>
      </c>
    </row>
    <row r="374">
      <c r="A374" s="39">
        <f>IF('Additional Documents'!B374 = "", "", IF('Additional Documents-WUO_ERR'!A374 = "", "Validated", HYPERLINK("#" &amp; ADDRESS(374, 'Additional Documents-WUO_TRK'!A374),_xlfn.TEXTAFTER('Additional Documents-WUO_ERR'!A374, ":"))))</f>
        <v/>
      </c>
    </row>
    <row r="375">
      <c r="A375" s="39">
        <f>IF('Additional Documents'!B375 = "", "", IF('Additional Documents-WUO_ERR'!A375 = "", "Validated", HYPERLINK("#" &amp; ADDRESS(375, 'Additional Documents-WUO_TRK'!A375),_xlfn.TEXTAFTER('Additional Documents-WUO_ERR'!A375, ":"))))</f>
        <v/>
      </c>
    </row>
    <row r="376">
      <c r="A376" s="39">
        <f>IF('Additional Documents'!B376 = "", "", IF('Additional Documents-WUO_ERR'!A376 = "", "Validated", HYPERLINK("#" &amp; ADDRESS(376, 'Additional Documents-WUO_TRK'!A376),_xlfn.TEXTAFTER('Additional Documents-WUO_ERR'!A376, ":"))))</f>
        <v/>
      </c>
    </row>
    <row r="377">
      <c r="A377" s="39">
        <f>IF('Additional Documents'!B377 = "", "", IF('Additional Documents-WUO_ERR'!A377 = "", "Validated", HYPERLINK("#" &amp; ADDRESS(377, 'Additional Documents-WUO_TRK'!A377),_xlfn.TEXTAFTER('Additional Documents-WUO_ERR'!A377, ":"))))</f>
        <v/>
      </c>
    </row>
    <row r="378">
      <c r="A378" s="39">
        <f>IF('Additional Documents'!B378 = "", "", IF('Additional Documents-WUO_ERR'!A378 = "", "Validated", HYPERLINK("#" &amp; ADDRESS(378, 'Additional Documents-WUO_TRK'!A378),_xlfn.TEXTAFTER('Additional Documents-WUO_ERR'!A378, ":"))))</f>
        <v/>
      </c>
    </row>
    <row r="379">
      <c r="A379" s="39">
        <f>IF('Additional Documents'!B379 = "", "", IF('Additional Documents-WUO_ERR'!A379 = "", "Validated", HYPERLINK("#" &amp; ADDRESS(379, 'Additional Documents-WUO_TRK'!A379),_xlfn.TEXTAFTER('Additional Documents-WUO_ERR'!A379, ":"))))</f>
        <v/>
      </c>
    </row>
    <row r="380">
      <c r="A380" s="39">
        <f>IF('Additional Documents'!B380 = "", "", IF('Additional Documents-WUO_ERR'!A380 = "", "Validated", HYPERLINK("#" &amp; ADDRESS(380, 'Additional Documents-WUO_TRK'!A380),_xlfn.TEXTAFTER('Additional Documents-WUO_ERR'!A380, ":"))))</f>
        <v/>
      </c>
    </row>
    <row r="381">
      <c r="A381" s="39">
        <f>IF('Additional Documents'!B381 = "", "", IF('Additional Documents-WUO_ERR'!A381 = "", "Validated", HYPERLINK("#" &amp; ADDRESS(381, 'Additional Documents-WUO_TRK'!A381),_xlfn.TEXTAFTER('Additional Documents-WUO_ERR'!A381, ":"))))</f>
        <v/>
      </c>
    </row>
    <row r="382">
      <c r="A382" s="39">
        <f>IF('Additional Documents'!B382 = "", "", IF('Additional Documents-WUO_ERR'!A382 = "", "Validated", HYPERLINK("#" &amp; ADDRESS(382, 'Additional Documents-WUO_TRK'!A382),_xlfn.TEXTAFTER('Additional Documents-WUO_ERR'!A382, ":"))))</f>
        <v/>
      </c>
    </row>
    <row r="383">
      <c r="A383" s="39">
        <f>IF('Additional Documents'!B383 = "", "", IF('Additional Documents-WUO_ERR'!A383 = "", "Validated", HYPERLINK("#" &amp; ADDRESS(383, 'Additional Documents-WUO_TRK'!A383),_xlfn.TEXTAFTER('Additional Documents-WUO_ERR'!A383, ":"))))</f>
        <v/>
      </c>
    </row>
    <row r="384">
      <c r="A384" s="39">
        <f>IF('Additional Documents'!B384 = "", "", IF('Additional Documents-WUO_ERR'!A384 = "", "Validated", HYPERLINK("#" &amp; ADDRESS(384, 'Additional Documents-WUO_TRK'!A384),_xlfn.TEXTAFTER('Additional Documents-WUO_ERR'!A384, ":"))))</f>
        <v/>
      </c>
    </row>
    <row r="385">
      <c r="A385" s="39">
        <f>IF('Additional Documents'!B385 = "", "", IF('Additional Documents-WUO_ERR'!A385 = "", "Validated", HYPERLINK("#" &amp; ADDRESS(385, 'Additional Documents-WUO_TRK'!A385),_xlfn.TEXTAFTER('Additional Documents-WUO_ERR'!A385, ":"))))</f>
        <v/>
      </c>
    </row>
    <row r="386">
      <c r="A386" s="39">
        <f>IF('Additional Documents'!B386 = "", "", IF('Additional Documents-WUO_ERR'!A386 = "", "Validated", HYPERLINK("#" &amp; ADDRESS(386, 'Additional Documents-WUO_TRK'!A386),_xlfn.TEXTAFTER('Additional Documents-WUO_ERR'!A386, ":"))))</f>
        <v/>
      </c>
    </row>
    <row r="387">
      <c r="A387" s="39">
        <f>IF('Additional Documents'!B387 = "", "", IF('Additional Documents-WUO_ERR'!A387 = "", "Validated", HYPERLINK("#" &amp; ADDRESS(387, 'Additional Documents-WUO_TRK'!A387),_xlfn.TEXTAFTER('Additional Documents-WUO_ERR'!A387, ":"))))</f>
        <v/>
      </c>
    </row>
    <row r="388">
      <c r="A388" s="39">
        <f>IF('Additional Documents'!B388 = "", "", IF('Additional Documents-WUO_ERR'!A388 = "", "Validated", HYPERLINK("#" &amp; ADDRESS(388, 'Additional Documents-WUO_TRK'!A388),_xlfn.TEXTAFTER('Additional Documents-WUO_ERR'!A388, ":"))))</f>
        <v/>
      </c>
    </row>
    <row r="389">
      <c r="A389" s="39">
        <f>IF('Additional Documents'!B389 = "", "", IF('Additional Documents-WUO_ERR'!A389 = "", "Validated", HYPERLINK("#" &amp; ADDRESS(389, 'Additional Documents-WUO_TRK'!A389),_xlfn.TEXTAFTER('Additional Documents-WUO_ERR'!A389, ":"))))</f>
        <v/>
      </c>
    </row>
    <row r="390">
      <c r="A390" s="39">
        <f>IF('Additional Documents'!B390 = "", "", IF('Additional Documents-WUO_ERR'!A390 = "", "Validated", HYPERLINK("#" &amp; ADDRESS(390, 'Additional Documents-WUO_TRK'!A390),_xlfn.TEXTAFTER('Additional Documents-WUO_ERR'!A390, ":"))))</f>
        <v/>
      </c>
    </row>
    <row r="391">
      <c r="A391" s="39">
        <f>IF('Additional Documents'!B391 = "", "", IF('Additional Documents-WUO_ERR'!A391 = "", "Validated", HYPERLINK("#" &amp; ADDRESS(391, 'Additional Documents-WUO_TRK'!A391),_xlfn.TEXTAFTER('Additional Documents-WUO_ERR'!A391, ":"))))</f>
        <v/>
      </c>
    </row>
    <row r="392">
      <c r="A392" s="39">
        <f>IF('Additional Documents'!B392 = "", "", IF('Additional Documents-WUO_ERR'!A392 = "", "Validated", HYPERLINK("#" &amp; ADDRESS(392, 'Additional Documents-WUO_TRK'!A392),_xlfn.TEXTAFTER('Additional Documents-WUO_ERR'!A392, ":"))))</f>
        <v/>
      </c>
    </row>
    <row r="393">
      <c r="A393" s="39">
        <f>IF('Additional Documents'!B393 = "", "", IF('Additional Documents-WUO_ERR'!A393 = "", "Validated", HYPERLINK("#" &amp; ADDRESS(393, 'Additional Documents-WUO_TRK'!A393),_xlfn.TEXTAFTER('Additional Documents-WUO_ERR'!A393, ":"))))</f>
        <v/>
      </c>
    </row>
    <row r="394">
      <c r="A394" s="39">
        <f>IF('Additional Documents'!B394 = "", "", IF('Additional Documents-WUO_ERR'!A394 = "", "Validated", HYPERLINK("#" &amp; ADDRESS(394, 'Additional Documents-WUO_TRK'!A394),_xlfn.TEXTAFTER('Additional Documents-WUO_ERR'!A394, ":"))))</f>
        <v/>
      </c>
    </row>
    <row r="395">
      <c r="A395" s="39">
        <f>IF('Additional Documents'!B395 = "", "", IF('Additional Documents-WUO_ERR'!A395 = "", "Validated", HYPERLINK("#" &amp; ADDRESS(395, 'Additional Documents-WUO_TRK'!A395),_xlfn.TEXTAFTER('Additional Documents-WUO_ERR'!A395, ":"))))</f>
        <v/>
      </c>
    </row>
    <row r="396">
      <c r="A396" s="39">
        <f>IF('Additional Documents'!B396 = "", "", IF('Additional Documents-WUO_ERR'!A396 = "", "Validated", HYPERLINK("#" &amp; ADDRESS(396, 'Additional Documents-WUO_TRK'!A396),_xlfn.TEXTAFTER('Additional Documents-WUO_ERR'!A396, ":"))))</f>
        <v/>
      </c>
    </row>
    <row r="397">
      <c r="A397" s="39">
        <f>IF('Additional Documents'!B397 = "", "", IF('Additional Documents-WUO_ERR'!A397 = "", "Validated", HYPERLINK("#" &amp; ADDRESS(397, 'Additional Documents-WUO_TRK'!A397),_xlfn.TEXTAFTER('Additional Documents-WUO_ERR'!A397, ":"))))</f>
        <v/>
      </c>
    </row>
    <row r="398">
      <c r="A398" s="39">
        <f>IF('Additional Documents'!B398 = "", "", IF('Additional Documents-WUO_ERR'!A398 = "", "Validated", HYPERLINK("#" &amp; ADDRESS(398, 'Additional Documents-WUO_TRK'!A398),_xlfn.TEXTAFTER('Additional Documents-WUO_ERR'!A398, ":"))))</f>
        <v/>
      </c>
    </row>
    <row r="399">
      <c r="A399" s="39">
        <f>IF('Additional Documents'!B399 = "", "", IF('Additional Documents-WUO_ERR'!A399 = "", "Validated", HYPERLINK("#" &amp; ADDRESS(399, 'Additional Documents-WUO_TRK'!A399),_xlfn.TEXTAFTER('Additional Documents-WUO_ERR'!A399, ":"))))</f>
        <v/>
      </c>
    </row>
    <row r="400">
      <c r="A400" s="39">
        <f>IF('Additional Documents'!B400 = "", "", IF('Additional Documents-WUO_ERR'!A400 = "", "Validated", HYPERLINK("#" &amp; ADDRESS(400, 'Additional Documents-WUO_TRK'!A400),_xlfn.TEXTAFTER('Additional Documents-WUO_ERR'!A400, ":"))))</f>
        <v/>
      </c>
    </row>
    <row r="401">
      <c r="A401" s="39">
        <f>IF('Additional Documents'!B401 = "", "", IF('Additional Documents-WUO_ERR'!A401 = "", "Validated", HYPERLINK("#" &amp; ADDRESS(401, 'Additional Documents-WUO_TRK'!A401),_xlfn.TEXTAFTER('Additional Documents-WUO_ERR'!A401, ":"))))</f>
        <v/>
      </c>
    </row>
    <row r="402">
      <c r="A402" s="39">
        <f>IF('Additional Documents'!B402 = "", "", IF('Additional Documents-WUO_ERR'!A402 = "", "Validated", HYPERLINK("#" &amp; ADDRESS(402, 'Additional Documents-WUO_TRK'!A402),_xlfn.TEXTAFTER('Additional Documents-WUO_ERR'!A402, ":"))))</f>
        <v/>
      </c>
    </row>
    <row r="403">
      <c r="A403" s="39">
        <f>IF('Additional Documents'!B403 = "", "", IF('Additional Documents-WUO_ERR'!A403 = "", "Validated", HYPERLINK("#" &amp; ADDRESS(403, 'Additional Documents-WUO_TRK'!A403),_xlfn.TEXTAFTER('Additional Documents-WUO_ERR'!A403, ":"))))</f>
        <v/>
      </c>
    </row>
    <row r="404">
      <c r="A404" s="39">
        <f>IF('Additional Documents'!B404 = "", "", IF('Additional Documents-WUO_ERR'!A404 = "", "Validated", HYPERLINK("#" &amp; ADDRESS(404, 'Additional Documents-WUO_TRK'!A404),_xlfn.TEXTAFTER('Additional Documents-WUO_ERR'!A404, ":"))))</f>
        <v/>
      </c>
    </row>
    <row r="405">
      <c r="A405" s="39">
        <f>IF('Additional Documents'!B405 = "", "", IF('Additional Documents-WUO_ERR'!A405 = "", "Validated", HYPERLINK("#" &amp; ADDRESS(405, 'Additional Documents-WUO_TRK'!A405),_xlfn.TEXTAFTER('Additional Documents-WUO_ERR'!A405, ":"))))</f>
        <v/>
      </c>
    </row>
    <row r="406">
      <c r="A406" s="39">
        <f>IF('Additional Documents'!B406 = "", "", IF('Additional Documents-WUO_ERR'!A406 = "", "Validated", HYPERLINK("#" &amp; ADDRESS(406, 'Additional Documents-WUO_TRK'!A406),_xlfn.TEXTAFTER('Additional Documents-WUO_ERR'!A406, ":"))))</f>
        <v/>
      </c>
    </row>
    <row r="407">
      <c r="A407" s="39">
        <f>IF('Additional Documents'!B407 = "", "", IF('Additional Documents-WUO_ERR'!A407 = "", "Validated", HYPERLINK("#" &amp; ADDRESS(407, 'Additional Documents-WUO_TRK'!A407),_xlfn.TEXTAFTER('Additional Documents-WUO_ERR'!A407, ":"))))</f>
        <v/>
      </c>
    </row>
    <row r="408">
      <c r="A408" s="39">
        <f>IF('Additional Documents'!B408 = "", "", IF('Additional Documents-WUO_ERR'!A408 = "", "Validated", HYPERLINK("#" &amp; ADDRESS(408, 'Additional Documents-WUO_TRK'!A408),_xlfn.TEXTAFTER('Additional Documents-WUO_ERR'!A408, ":"))))</f>
        <v/>
      </c>
    </row>
    <row r="409">
      <c r="A409" s="39">
        <f>IF('Additional Documents'!B409 = "", "", IF('Additional Documents-WUO_ERR'!A409 = "", "Validated", HYPERLINK("#" &amp; ADDRESS(409, 'Additional Documents-WUO_TRK'!A409),_xlfn.TEXTAFTER('Additional Documents-WUO_ERR'!A409, ":"))))</f>
        <v/>
      </c>
    </row>
    <row r="410">
      <c r="A410" s="39">
        <f>IF('Additional Documents'!B410 = "", "", IF('Additional Documents-WUO_ERR'!A410 = "", "Validated", HYPERLINK("#" &amp; ADDRESS(410, 'Additional Documents-WUO_TRK'!A410),_xlfn.TEXTAFTER('Additional Documents-WUO_ERR'!A410, ":"))))</f>
        <v/>
      </c>
    </row>
    <row r="411">
      <c r="A411" s="39">
        <f>IF('Additional Documents'!B411 = "", "", IF('Additional Documents-WUO_ERR'!A411 = "", "Validated", HYPERLINK("#" &amp; ADDRESS(411, 'Additional Documents-WUO_TRK'!A411),_xlfn.TEXTAFTER('Additional Documents-WUO_ERR'!A411, ":"))))</f>
        <v/>
      </c>
    </row>
    <row r="412">
      <c r="A412" s="39">
        <f>IF('Additional Documents'!B412 = "", "", IF('Additional Documents-WUO_ERR'!A412 = "", "Validated", HYPERLINK("#" &amp; ADDRESS(412, 'Additional Documents-WUO_TRK'!A412),_xlfn.TEXTAFTER('Additional Documents-WUO_ERR'!A412, ":"))))</f>
        <v/>
      </c>
    </row>
    <row r="413">
      <c r="A413" s="39">
        <f>IF('Additional Documents'!B413 = "", "", IF('Additional Documents-WUO_ERR'!A413 = "", "Validated", HYPERLINK("#" &amp; ADDRESS(413, 'Additional Documents-WUO_TRK'!A413),_xlfn.TEXTAFTER('Additional Documents-WUO_ERR'!A413, ":"))))</f>
        <v/>
      </c>
    </row>
    <row r="414">
      <c r="A414" s="39">
        <f>IF('Additional Documents'!B414 = "", "", IF('Additional Documents-WUO_ERR'!A414 = "", "Validated", HYPERLINK("#" &amp; ADDRESS(414, 'Additional Documents-WUO_TRK'!A414),_xlfn.TEXTAFTER('Additional Documents-WUO_ERR'!A414, ":"))))</f>
        <v/>
      </c>
    </row>
    <row r="415">
      <c r="A415" s="39">
        <f>IF('Additional Documents'!B415 = "", "", IF('Additional Documents-WUO_ERR'!A415 = "", "Validated", HYPERLINK("#" &amp; ADDRESS(415, 'Additional Documents-WUO_TRK'!A415),_xlfn.TEXTAFTER('Additional Documents-WUO_ERR'!A415, ":"))))</f>
        <v/>
      </c>
    </row>
    <row r="416">
      <c r="A416" s="39">
        <f>IF('Additional Documents'!B416 = "", "", IF('Additional Documents-WUO_ERR'!A416 = "", "Validated", HYPERLINK("#" &amp; ADDRESS(416, 'Additional Documents-WUO_TRK'!A416),_xlfn.TEXTAFTER('Additional Documents-WUO_ERR'!A416, ":"))))</f>
        <v/>
      </c>
    </row>
    <row r="417">
      <c r="A417" s="39">
        <f>IF('Additional Documents'!B417 = "", "", IF('Additional Documents-WUO_ERR'!A417 = "", "Validated", HYPERLINK("#" &amp; ADDRESS(417, 'Additional Documents-WUO_TRK'!A417),_xlfn.TEXTAFTER('Additional Documents-WUO_ERR'!A417, ":"))))</f>
        <v/>
      </c>
    </row>
    <row r="418">
      <c r="A418" s="39">
        <f>IF('Additional Documents'!B418 = "", "", IF('Additional Documents-WUO_ERR'!A418 = "", "Validated", HYPERLINK("#" &amp; ADDRESS(418, 'Additional Documents-WUO_TRK'!A418),_xlfn.TEXTAFTER('Additional Documents-WUO_ERR'!A418, ":"))))</f>
        <v/>
      </c>
    </row>
    <row r="419">
      <c r="A419" s="39">
        <f>IF('Additional Documents'!B419 = "", "", IF('Additional Documents-WUO_ERR'!A419 = "", "Validated", HYPERLINK("#" &amp; ADDRESS(419, 'Additional Documents-WUO_TRK'!A419),_xlfn.TEXTAFTER('Additional Documents-WUO_ERR'!A419, ":"))))</f>
        <v/>
      </c>
    </row>
    <row r="420">
      <c r="A420" s="39">
        <f>IF('Additional Documents'!B420 = "", "", IF('Additional Documents-WUO_ERR'!A420 = "", "Validated", HYPERLINK("#" &amp; ADDRESS(420, 'Additional Documents-WUO_TRK'!A420),_xlfn.TEXTAFTER('Additional Documents-WUO_ERR'!A420, ":"))))</f>
        <v/>
      </c>
    </row>
    <row r="421">
      <c r="A421" s="39">
        <f>IF('Additional Documents'!B421 = "", "", IF('Additional Documents-WUO_ERR'!A421 = "", "Validated", HYPERLINK("#" &amp; ADDRESS(421, 'Additional Documents-WUO_TRK'!A421),_xlfn.TEXTAFTER('Additional Documents-WUO_ERR'!A421, ":"))))</f>
        <v/>
      </c>
    </row>
    <row r="422">
      <c r="A422" s="39">
        <f>IF('Additional Documents'!B422 = "", "", IF('Additional Documents-WUO_ERR'!A422 = "", "Validated", HYPERLINK("#" &amp; ADDRESS(422, 'Additional Documents-WUO_TRK'!A422),_xlfn.TEXTAFTER('Additional Documents-WUO_ERR'!A422, ":"))))</f>
        <v/>
      </c>
    </row>
    <row r="423">
      <c r="A423" s="39">
        <f>IF('Additional Documents'!B423 = "", "", IF('Additional Documents-WUO_ERR'!A423 = "", "Validated", HYPERLINK("#" &amp; ADDRESS(423, 'Additional Documents-WUO_TRK'!A423),_xlfn.TEXTAFTER('Additional Documents-WUO_ERR'!A423, ":"))))</f>
        <v/>
      </c>
    </row>
    <row r="424">
      <c r="A424" s="39">
        <f>IF('Additional Documents'!B424 = "", "", IF('Additional Documents-WUO_ERR'!A424 = "", "Validated", HYPERLINK("#" &amp; ADDRESS(424, 'Additional Documents-WUO_TRK'!A424),_xlfn.TEXTAFTER('Additional Documents-WUO_ERR'!A424, ":"))))</f>
        <v/>
      </c>
    </row>
    <row r="425">
      <c r="A425" s="39">
        <f>IF('Additional Documents'!B425 = "", "", IF('Additional Documents-WUO_ERR'!A425 = "", "Validated", HYPERLINK("#" &amp; ADDRESS(425, 'Additional Documents-WUO_TRK'!A425),_xlfn.TEXTAFTER('Additional Documents-WUO_ERR'!A425, ":"))))</f>
        <v/>
      </c>
    </row>
    <row r="426">
      <c r="A426" s="39">
        <f>IF('Additional Documents'!B426 = "", "", IF('Additional Documents-WUO_ERR'!A426 = "", "Validated", HYPERLINK("#" &amp; ADDRESS(426, 'Additional Documents-WUO_TRK'!A426),_xlfn.TEXTAFTER('Additional Documents-WUO_ERR'!A426, ":"))))</f>
        <v/>
      </c>
    </row>
    <row r="427">
      <c r="A427" s="39">
        <f>IF('Additional Documents'!B427 = "", "", IF('Additional Documents-WUO_ERR'!A427 = "", "Validated", HYPERLINK("#" &amp; ADDRESS(427, 'Additional Documents-WUO_TRK'!A427),_xlfn.TEXTAFTER('Additional Documents-WUO_ERR'!A427, ":"))))</f>
        <v/>
      </c>
    </row>
    <row r="428">
      <c r="A428" s="39">
        <f>IF('Additional Documents'!B428 = "", "", IF('Additional Documents-WUO_ERR'!A428 = "", "Validated", HYPERLINK("#" &amp; ADDRESS(428, 'Additional Documents-WUO_TRK'!A428),_xlfn.TEXTAFTER('Additional Documents-WUO_ERR'!A428, ":"))))</f>
        <v/>
      </c>
    </row>
    <row r="429">
      <c r="A429" s="39">
        <f>IF('Additional Documents'!B429 = "", "", IF('Additional Documents-WUO_ERR'!A429 = "", "Validated", HYPERLINK("#" &amp; ADDRESS(429, 'Additional Documents-WUO_TRK'!A429),_xlfn.TEXTAFTER('Additional Documents-WUO_ERR'!A429, ":"))))</f>
        <v/>
      </c>
    </row>
    <row r="430">
      <c r="A430" s="39">
        <f>IF('Additional Documents'!B430 = "", "", IF('Additional Documents-WUO_ERR'!A430 = "", "Validated", HYPERLINK("#" &amp; ADDRESS(430, 'Additional Documents-WUO_TRK'!A430),_xlfn.TEXTAFTER('Additional Documents-WUO_ERR'!A430, ":"))))</f>
        <v/>
      </c>
    </row>
    <row r="431">
      <c r="A431" s="39">
        <f>IF('Additional Documents'!B431 = "", "", IF('Additional Documents-WUO_ERR'!A431 = "", "Validated", HYPERLINK("#" &amp; ADDRESS(431, 'Additional Documents-WUO_TRK'!A431),_xlfn.TEXTAFTER('Additional Documents-WUO_ERR'!A431, ":"))))</f>
        <v/>
      </c>
    </row>
    <row r="432">
      <c r="A432" s="39">
        <f>IF('Additional Documents'!B432 = "", "", IF('Additional Documents-WUO_ERR'!A432 = "", "Validated", HYPERLINK("#" &amp; ADDRESS(432, 'Additional Documents-WUO_TRK'!A432),_xlfn.TEXTAFTER('Additional Documents-WUO_ERR'!A432, ":"))))</f>
        <v/>
      </c>
    </row>
    <row r="433">
      <c r="A433" s="39">
        <f>IF('Additional Documents'!B433 = "", "", IF('Additional Documents-WUO_ERR'!A433 = "", "Validated", HYPERLINK("#" &amp; ADDRESS(433, 'Additional Documents-WUO_TRK'!A433),_xlfn.TEXTAFTER('Additional Documents-WUO_ERR'!A433, ":"))))</f>
        <v/>
      </c>
    </row>
    <row r="434">
      <c r="A434" s="39">
        <f>IF('Additional Documents'!B434 = "", "", IF('Additional Documents-WUO_ERR'!A434 = "", "Validated", HYPERLINK("#" &amp; ADDRESS(434, 'Additional Documents-WUO_TRK'!A434),_xlfn.TEXTAFTER('Additional Documents-WUO_ERR'!A434, ":"))))</f>
        <v/>
      </c>
    </row>
    <row r="435">
      <c r="A435" s="39">
        <f>IF('Additional Documents'!B435 = "", "", IF('Additional Documents-WUO_ERR'!A435 = "", "Validated", HYPERLINK("#" &amp; ADDRESS(435, 'Additional Documents-WUO_TRK'!A435),_xlfn.TEXTAFTER('Additional Documents-WUO_ERR'!A435, ":"))))</f>
        <v/>
      </c>
    </row>
    <row r="436">
      <c r="A436" s="39">
        <f>IF('Additional Documents'!B436 = "", "", IF('Additional Documents-WUO_ERR'!A436 = "", "Validated", HYPERLINK("#" &amp; ADDRESS(436, 'Additional Documents-WUO_TRK'!A436),_xlfn.TEXTAFTER('Additional Documents-WUO_ERR'!A436, ":"))))</f>
        <v/>
      </c>
    </row>
    <row r="437">
      <c r="A437" s="39">
        <f>IF('Additional Documents'!B437 = "", "", IF('Additional Documents-WUO_ERR'!A437 = "", "Validated", HYPERLINK("#" &amp; ADDRESS(437, 'Additional Documents-WUO_TRK'!A437),_xlfn.TEXTAFTER('Additional Documents-WUO_ERR'!A437, ":"))))</f>
        <v/>
      </c>
    </row>
    <row r="438">
      <c r="A438" s="39">
        <f>IF('Additional Documents'!B438 = "", "", IF('Additional Documents-WUO_ERR'!A438 = "", "Validated", HYPERLINK("#" &amp; ADDRESS(438, 'Additional Documents-WUO_TRK'!A438),_xlfn.TEXTAFTER('Additional Documents-WUO_ERR'!A438, ":"))))</f>
        <v/>
      </c>
    </row>
    <row r="439">
      <c r="A439" s="39">
        <f>IF('Additional Documents'!B439 = "", "", IF('Additional Documents-WUO_ERR'!A439 = "", "Validated", HYPERLINK("#" &amp; ADDRESS(439, 'Additional Documents-WUO_TRK'!A439),_xlfn.TEXTAFTER('Additional Documents-WUO_ERR'!A439, ":"))))</f>
        <v/>
      </c>
    </row>
    <row r="440">
      <c r="A440" s="39">
        <f>IF('Additional Documents'!B440 = "", "", IF('Additional Documents-WUO_ERR'!A440 = "", "Validated", HYPERLINK("#" &amp; ADDRESS(440, 'Additional Documents-WUO_TRK'!A440),_xlfn.TEXTAFTER('Additional Documents-WUO_ERR'!A440, ":"))))</f>
        <v/>
      </c>
    </row>
    <row r="441">
      <c r="A441" s="39">
        <f>IF('Additional Documents'!B441 = "", "", IF('Additional Documents-WUO_ERR'!A441 = "", "Validated", HYPERLINK("#" &amp; ADDRESS(441, 'Additional Documents-WUO_TRK'!A441),_xlfn.TEXTAFTER('Additional Documents-WUO_ERR'!A441, ":"))))</f>
        <v/>
      </c>
    </row>
    <row r="442">
      <c r="A442" s="39">
        <f>IF('Additional Documents'!B442 = "", "", IF('Additional Documents-WUO_ERR'!A442 = "", "Validated", HYPERLINK("#" &amp; ADDRESS(442, 'Additional Documents-WUO_TRK'!A442),_xlfn.TEXTAFTER('Additional Documents-WUO_ERR'!A442, ":"))))</f>
        <v/>
      </c>
    </row>
    <row r="443">
      <c r="A443" s="39">
        <f>IF('Additional Documents'!B443 = "", "", IF('Additional Documents-WUO_ERR'!A443 = "", "Validated", HYPERLINK("#" &amp; ADDRESS(443, 'Additional Documents-WUO_TRK'!A443),_xlfn.TEXTAFTER('Additional Documents-WUO_ERR'!A443, ":"))))</f>
        <v/>
      </c>
    </row>
    <row r="444">
      <c r="A444" s="39">
        <f>IF('Additional Documents'!B444 = "", "", IF('Additional Documents-WUO_ERR'!A444 = "", "Validated", HYPERLINK("#" &amp; ADDRESS(444, 'Additional Documents-WUO_TRK'!A444),_xlfn.TEXTAFTER('Additional Documents-WUO_ERR'!A444, ":"))))</f>
        <v/>
      </c>
    </row>
    <row r="445">
      <c r="A445" s="39">
        <f>IF('Additional Documents'!B445 = "", "", IF('Additional Documents-WUO_ERR'!A445 = "", "Validated", HYPERLINK("#" &amp; ADDRESS(445, 'Additional Documents-WUO_TRK'!A445),_xlfn.TEXTAFTER('Additional Documents-WUO_ERR'!A445, ":"))))</f>
        <v/>
      </c>
    </row>
    <row r="446">
      <c r="A446" s="39">
        <f>IF('Additional Documents'!B446 = "", "", IF('Additional Documents-WUO_ERR'!A446 = "", "Validated", HYPERLINK("#" &amp; ADDRESS(446, 'Additional Documents-WUO_TRK'!A446),_xlfn.TEXTAFTER('Additional Documents-WUO_ERR'!A446, ":"))))</f>
        <v/>
      </c>
    </row>
    <row r="447">
      <c r="A447" s="39">
        <f>IF('Additional Documents'!B447 = "", "", IF('Additional Documents-WUO_ERR'!A447 = "", "Validated", HYPERLINK("#" &amp; ADDRESS(447, 'Additional Documents-WUO_TRK'!A447),_xlfn.TEXTAFTER('Additional Documents-WUO_ERR'!A447, ":"))))</f>
        <v/>
      </c>
    </row>
    <row r="448">
      <c r="A448" s="39">
        <f>IF('Additional Documents'!B448 = "", "", IF('Additional Documents-WUO_ERR'!A448 = "", "Validated", HYPERLINK("#" &amp; ADDRESS(448, 'Additional Documents-WUO_TRK'!A448),_xlfn.TEXTAFTER('Additional Documents-WUO_ERR'!A448, ":"))))</f>
        <v/>
      </c>
    </row>
    <row r="449">
      <c r="A449" s="39">
        <f>IF('Additional Documents'!B449 = "", "", IF('Additional Documents-WUO_ERR'!A449 = "", "Validated", HYPERLINK("#" &amp; ADDRESS(449, 'Additional Documents-WUO_TRK'!A449),_xlfn.TEXTAFTER('Additional Documents-WUO_ERR'!A449, ":"))))</f>
        <v/>
      </c>
    </row>
    <row r="450">
      <c r="A450" s="39">
        <f>IF('Additional Documents'!B450 = "", "", IF('Additional Documents-WUO_ERR'!A450 = "", "Validated", HYPERLINK("#" &amp; ADDRESS(450, 'Additional Documents-WUO_TRK'!A450),_xlfn.TEXTAFTER('Additional Documents-WUO_ERR'!A450, ":"))))</f>
        <v/>
      </c>
    </row>
    <row r="451">
      <c r="A451" s="39">
        <f>IF('Additional Documents'!B451 = "", "", IF('Additional Documents-WUO_ERR'!A451 = "", "Validated", HYPERLINK("#" &amp; ADDRESS(451, 'Additional Documents-WUO_TRK'!A451),_xlfn.TEXTAFTER('Additional Documents-WUO_ERR'!A451, ":"))))</f>
        <v/>
      </c>
    </row>
    <row r="452">
      <c r="A452" s="39">
        <f>IF('Additional Documents'!B452 = "", "", IF('Additional Documents-WUO_ERR'!A452 = "", "Validated", HYPERLINK("#" &amp; ADDRESS(452, 'Additional Documents-WUO_TRK'!A452),_xlfn.TEXTAFTER('Additional Documents-WUO_ERR'!A452, ":"))))</f>
        <v/>
      </c>
    </row>
    <row r="453">
      <c r="A453" s="39">
        <f>IF('Additional Documents'!B453 = "", "", IF('Additional Documents-WUO_ERR'!A453 = "", "Validated", HYPERLINK("#" &amp; ADDRESS(453, 'Additional Documents-WUO_TRK'!A453),_xlfn.TEXTAFTER('Additional Documents-WUO_ERR'!A453, ":"))))</f>
        <v/>
      </c>
    </row>
    <row r="454">
      <c r="A454" s="39">
        <f>IF('Additional Documents'!B454 = "", "", IF('Additional Documents-WUO_ERR'!A454 = "", "Validated", HYPERLINK("#" &amp; ADDRESS(454, 'Additional Documents-WUO_TRK'!A454),_xlfn.TEXTAFTER('Additional Documents-WUO_ERR'!A454, ":"))))</f>
        <v/>
      </c>
    </row>
    <row r="455">
      <c r="A455" s="39">
        <f>IF('Additional Documents'!B455 = "", "", IF('Additional Documents-WUO_ERR'!A455 = "", "Validated", HYPERLINK("#" &amp; ADDRESS(455, 'Additional Documents-WUO_TRK'!A455),_xlfn.TEXTAFTER('Additional Documents-WUO_ERR'!A455, ":"))))</f>
        <v/>
      </c>
    </row>
    <row r="456">
      <c r="A456" s="39">
        <f>IF('Additional Documents'!B456 = "", "", IF('Additional Documents-WUO_ERR'!A456 = "", "Validated", HYPERLINK("#" &amp; ADDRESS(456, 'Additional Documents-WUO_TRK'!A456),_xlfn.TEXTAFTER('Additional Documents-WUO_ERR'!A456, ":"))))</f>
        <v/>
      </c>
    </row>
    <row r="457">
      <c r="A457" s="39">
        <f>IF('Additional Documents'!B457 = "", "", IF('Additional Documents-WUO_ERR'!A457 = "", "Validated", HYPERLINK("#" &amp; ADDRESS(457, 'Additional Documents-WUO_TRK'!A457),_xlfn.TEXTAFTER('Additional Documents-WUO_ERR'!A457, ":"))))</f>
        <v/>
      </c>
    </row>
    <row r="458">
      <c r="A458" s="39">
        <f>IF('Additional Documents'!B458 = "", "", IF('Additional Documents-WUO_ERR'!A458 = "", "Validated", HYPERLINK("#" &amp; ADDRESS(458, 'Additional Documents-WUO_TRK'!A458),_xlfn.TEXTAFTER('Additional Documents-WUO_ERR'!A458, ":"))))</f>
        <v/>
      </c>
    </row>
    <row r="459">
      <c r="A459" s="39">
        <f>IF('Additional Documents'!B459 = "", "", IF('Additional Documents-WUO_ERR'!A459 = "", "Validated", HYPERLINK("#" &amp; ADDRESS(459, 'Additional Documents-WUO_TRK'!A459),_xlfn.TEXTAFTER('Additional Documents-WUO_ERR'!A459, ":"))))</f>
        <v/>
      </c>
    </row>
    <row r="460">
      <c r="A460" s="39">
        <f>IF('Additional Documents'!B460 = "", "", IF('Additional Documents-WUO_ERR'!A460 = "", "Validated", HYPERLINK("#" &amp; ADDRESS(460, 'Additional Documents-WUO_TRK'!A460),_xlfn.TEXTAFTER('Additional Documents-WUO_ERR'!A460, ":"))))</f>
        <v/>
      </c>
    </row>
    <row r="461">
      <c r="A461" s="39">
        <f>IF('Additional Documents'!B461 = "", "", IF('Additional Documents-WUO_ERR'!A461 = "", "Validated", HYPERLINK("#" &amp; ADDRESS(461, 'Additional Documents-WUO_TRK'!A461),_xlfn.TEXTAFTER('Additional Documents-WUO_ERR'!A461, ":"))))</f>
        <v/>
      </c>
    </row>
    <row r="462">
      <c r="A462" s="39">
        <f>IF('Additional Documents'!B462 = "", "", IF('Additional Documents-WUO_ERR'!A462 = "", "Validated", HYPERLINK("#" &amp; ADDRESS(462, 'Additional Documents-WUO_TRK'!A462),_xlfn.TEXTAFTER('Additional Documents-WUO_ERR'!A462, ":"))))</f>
        <v/>
      </c>
    </row>
    <row r="463">
      <c r="A463" s="39">
        <f>IF('Additional Documents'!B463 = "", "", IF('Additional Documents-WUO_ERR'!A463 = "", "Validated", HYPERLINK("#" &amp; ADDRESS(463, 'Additional Documents-WUO_TRK'!A463),_xlfn.TEXTAFTER('Additional Documents-WUO_ERR'!A463, ":"))))</f>
        <v/>
      </c>
    </row>
    <row r="464">
      <c r="A464" s="39">
        <f>IF('Additional Documents'!B464 = "", "", IF('Additional Documents-WUO_ERR'!A464 = "", "Validated", HYPERLINK("#" &amp; ADDRESS(464, 'Additional Documents-WUO_TRK'!A464),_xlfn.TEXTAFTER('Additional Documents-WUO_ERR'!A464, ":"))))</f>
        <v/>
      </c>
    </row>
    <row r="465">
      <c r="A465" s="39">
        <f>IF('Additional Documents'!B465 = "", "", IF('Additional Documents-WUO_ERR'!A465 = "", "Validated", HYPERLINK("#" &amp; ADDRESS(465, 'Additional Documents-WUO_TRK'!A465),_xlfn.TEXTAFTER('Additional Documents-WUO_ERR'!A465, ":"))))</f>
        <v/>
      </c>
    </row>
    <row r="466">
      <c r="A466" s="39">
        <f>IF('Additional Documents'!B466 = "", "", IF('Additional Documents-WUO_ERR'!A466 = "", "Validated", HYPERLINK("#" &amp; ADDRESS(466, 'Additional Documents-WUO_TRK'!A466),_xlfn.TEXTAFTER('Additional Documents-WUO_ERR'!A466, ":"))))</f>
        <v/>
      </c>
    </row>
    <row r="467">
      <c r="A467" s="39">
        <f>IF('Additional Documents'!B467 = "", "", IF('Additional Documents-WUO_ERR'!A467 = "", "Validated", HYPERLINK("#" &amp; ADDRESS(467, 'Additional Documents-WUO_TRK'!A467),_xlfn.TEXTAFTER('Additional Documents-WUO_ERR'!A467, ":"))))</f>
        <v/>
      </c>
    </row>
    <row r="468">
      <c r="A468" s="39">
        <f>IF('Additional Documents'!B468 = "", "", IF('Additional Documents-WUO_ERR'!A468 = "", "Validated", HYPERLINK("#" &amp; ADDRESS(468, 'Additional Documents-WUO_TRK'!A468),_xlfn.TEXTAFTER('Additional Documents-WUO_ERR'!A468, ":"))))</f>
        <v/>
      </c>
    </row>
    <row r="469">
      <c r="A469" s="39">
        <f>IF('Additional Documents'!B469 = "", "", IF('Additional Documents-WUO_ERR'!A469 = "", "Validated", HYPERLINK("#" &amp; ADDRESS(469, 'Additional Documents-WUO_TRK'!A469),_xlfn.TEXTAFTER('Additional Documents-WUO_ERR'!A469, ":"))))</f>
        <v/>
      </c>
    </row>
    <row r="470">
      <c r="A470" s="39">
        <f>IF('Additional Documents'!B470 = "", "", IF('Additional Documents-WUO_ERR'!A470 = "", "Validated", HYPERLINK("#" &amp; ADDRESS(470, 'Additional Documents-WUO_TRK'!A470),_xlfn.TEXTAFTER('Additional Documents-WUO_ERR'!A470, ":"))))</f>
        <v/>
      </c>
    </row>
    <row r="471">
      <c r="A471" s="39">
        <f>IF('Additional Documents'!B471 = "", "", IF('Additional Documents-WUO_ERR'!A471 = "", "Validated", HYPERLINK("#" &amp; ADDRESS(471, 'Additional Documents-WUO_TRK'!A471),_xlfn.TEXTAFTER('Additional Documents-WUO_ERR'!A471, ":"))))</f>
        <v/>
      </c>
    </row>
    <row r="472">
      <c r="A472" s="39">
        <f>IF('Additional Documents'!B472 = "", "", IF('Additional Documents-WUO_ERR'!A472 = "", "Validated", HYPERLINK("#" &amp; ADDRESS(472, 'Additional Documents-WUO_TRK'!A472),_xlfn.TEXTAFTER('Additional Documents-WUO_ERR'!A472, ":"))))</f>
        <v/>
      </c>
    </row>
    <row r="473">
      <c r="A473" s="39">
        <f>IF('Additional Documents'!B473 = "", "", IF('Additional Documents-WUO_ERR'!A473 = "", "Validated", HYPERLINK("#" &amp; ADDRESS(473, 'Additional Documents-WUO_TRK'!A473),_xlfn.TEXTAFTER('Additional Documents-WUO_ERR'!A473, ":"))))</f>
        <v/>
      </c>
    </row>
    <row r="474">
      <c r="A474" s="39">
        <f>IF('Additional Documents'!B474 = "", "", IF('Additional Documents-WUO_ERR'!A474 = "", "Validated", HYPERLINK("#" &amp; ADDRESS(474, 'Additional Documents-WUO_TRK'!A474),_xlfn.TEXTAFTER('Additional Documents-WUO_ERR'!A474, ":"))))</f>
        <v/>
      </c>
    </row>
    <row r="475">
      <c r="A475" s="39">
        <f>IF('Additional Documents'!B475 = "", "", IF('Additional Documents-WUO_ERR'!A475 = "", "Validated", HYPERLINK("#" &amp; ADDRESS(475, 'Additional Documents-WUO_TRK'!A475),_xlfn.TEXTAFTER('Additional Documents-WUO_ERR'!A475, ":"))))</f>
        <v/>
      </c>
    </row>
    <row r="476">
      <c r="A476" s="39">
        <f>IF('Additional Documents'!B476 = "", "", IF('Additional Documents-WUO_ERR'!A476 = "", "Validated", HYPERLINK("#" &amp; ADDRESS(476, 'Additional Documents-WUO_TRK'!A476),_xlfn.TEXTAFTER('Additional Documents-WUO_ERR'!A476, ":"))))</f>
        <v/>
      </c>
    </row>
    <row r="477">
      <c r="A477" s="39">
        <f>IF('Additional Documents'!B477 = "", "", IF('Additional Documents-WUO_ERR'!A477 = "", "Validated", HYPERLINK("#" &amp; ADDRESS(477, 'Additional Documents-WUO_TRK'!A477),_xlfn.TEXTAFTER('Additional Documents-WUO_ERR'!A477, ":"))))</f>
        <v/>
      </c>
    </row>
    <row r="478">
      <c r="A478" s="39">
        <f>IF('Additional Documents'!B478 = "", "", IF('Additional Documents-WUO_ERR'!A478 = "", "Validated", HYPERLINK("#" &amp; ADDRESS(478, 'Additional Documents-WUO_TRK'!A478),_xlfn.TEXTAFTER('Additional Documents-WUO_ERR'!A478, ":"))))</f>
        <v/>
      </c>
    </row>
    <row r="479">
      <c r="A479" s="39">
        <f>IF('Additional Documents'!B479 = "", "", IF('Additional Documents-WUO_ERR'!A479 = "", "Validated", HYPERLINK("#" &amp; ADDRESS(479, 'Additional Documents-WUO_TRK'!A479),_xlfn.TEXTAFTER('Additional Documents-WUO_ERR'!A479, ":"))))</f>
        <v/>
      </c>
    </row>
    <row r="480">
      <c r="A480" s="39">
        <f>IF('Additional Documents'!B480 = "", "", IF('Additional Documents-WUO_ERR'!A480 = "", "Validated", HYPERLINK("#" &amp; ADDRESS(480, 'Additional Documents-WUO_TRK'!A480),_xlfn.TEXTAFTER('Additional Documents-WUO_ERR'!A480, ":"))))</f>
        <v/>
      </c>
    </row>
    <row r="481">
      <c r="A481" s="39">
        <f>IF('Additional Documents'!B481 = "", "", IF('Additional Documents-WUO_ERR'!A481 = "", "Validated", HYPERLINK("#" &amp; ADDRESS(481, 'Additional Documents-WUO_TRK'!A481),_xlfn.TEXTAFTER('Additional Documents-WUO_ERR'!A481, ":"))))</f>
        <v/>
      </c>
    </row>
    <row r="482">
      <c r="A482" s="39">
        <f>IF('Additional Documents'!B482 = "", "", IF('Additional Documents-WUO_ERR'!A482 = "", "Validated", HYPERLINK("#" &amp; ADDRESS(482, 'Additional Documents-WUO_TRK'!A482),_xlfn.TEXTAFTER('Additional Documents-WUO_ERR'!A482, ":"))))</f>
        <v/>
      </c>
    </row>
    <row r="483">
      <c r="A483" s="39">
        <f>IF('Additional Documents'!B483 = "", "", IF('Additional Documents-WUO_ERR'!A483 = "", "Validated", HYPERLINK("#" &amp; ADDRESS(483, 'Additional Documents-WUO_TRK'!A483),_xlfn.TEXTAFTER('Additional Documents-WUO_ERR'!A483, ":"))))</f>
        <v/>
      </c>
    </row>
    <row r="484">
      <c r="A484" s="39">
        <f>IF('Additional Documents'!B484 = "", "", IF('Additional Documents-WUO_ERR'!A484 = "", "Validated", HYPERLINK("#" &amp; ADDRESS(484, 'Additional Documents-WUO_TRK'!A484),_xlfn.TEXTAFTER('Additional Documents-WUO_ERR'!A484, ":"))))</f>
        <v/>
      </c>
    </row>
    <row r="485">
      <c r="A485" s="39">
        <f>IF('Additional Documents'!B485 = "", "", IF('Additional Documents-WUO_ERR'!A485 = "", "Validated", HYPERLINK("#" &amp; ADDRESS(485, 'Additional Documents-WUO_TRK'!A485),_xlfn.TEXTAFTER('Additional Documents-WUO_ERR'!A485, ":"))))</f>
        <v/>
      </c>
    </row>
    <row r="486">
      <c r="A486" s="39">
        <f>IF('Additional Documents'!B486 = "", "", IF('Additional Documents-WUO_ERR'!A486 = "", "Validated", HYPERLINK("#" &amp; ADDRESS(486, 'Additional Documents-WUO_TRK'!A486),_xlfn.TEXTAFTER('Additional Documents-WUO_ERR'!A486, ":"))))</f>
        <v/>
      </c>
    </row>
    <row r="487">
      <c r="A487" s="39">
        <f>IF('Additional Documents'!B487 = "", "", IF('Additional Documents-WUO_ERR'!A487 = "", "Validated", HYPERLINK("#" &amp; ADDRESS(487, 'Additional Documents-WUO_TRK'!A487),_xlfn.TEXTAFTER('Additional Documents-WUO_ERR'!A487, ":"))))</f>
        <v/>
      </c>
    </row>
    <row r="488">
      <c r="A488" s="39">
        <f>IF('Additional Documents'!B488 = "", "", IF('Additional Documents-WUO_ERR'!A488 = "", "Validated", HYPERLINK("#" &amp; ADDRESS(488, 'Additional Documents-WUO_TRK'!A488),_xlfn.TEXTAFTER('Additional Documents-WUO_ERR'!A488, ":"))))</f>
        <v/>
      </c>
    </row>
    <row r="489">
      <c r="A489" s="39">
        <f>IF('Additional Documents'!B489 = "", "", IF('Additional Documents-WUO_ERR'!A489 = "", "Validated", HYPERLINK("#" &amp; ADDRESS(489, 'Additional Documents-WUO_TRK'!A489),_xlfn.TEXTAFTER('Additional Documents-WUO_ERR'!A489, ":"))))</f>
        <v/>
      </c>
    </row>
    <row r="490">
      <c r="A490" s="39">
        <f>IF('Additional Documents'!B490 = "", "", IF('Additional Documents-WUO_ERR'!A490 = "", "Validated", HYPERLINK("#" &amp; ADDRESS(490, 'Additional Documents-WUO_TRK'!A490),_xlfn.TEXTAFTER('Additional Documents-WUO_ERR'!A490, ":"))))</f>
        <v/>
      </c>
    </row>
    <row r="491">
      <c r="A491" s="39">
        <f>IF('Additional Documents'!B491 = "", "", IF('Additional Documents-WUO_ERR'!A491 = "", "Validated", HYPERLINK("#" &amp; ADDRESS(491, 'Additional Documents-WUO_TRK'!A491),_xlfn.TEXTAFTER('Additional Documents-WUO_ERR'!A491, ":"))))</f>
        <v/>
      </c>
    </row>
    <row r="492">
      <c r="A492" s="39">
        <f>IF('Additional Documents'!B492 = "", "", IF('Additional Documents-WUO_ERR'!A492 = "", "Validated", HYPERLINK("#" &amp; ADDRESS(492, 'Additional Documents-WUO_TRK'!A492),_xlfn.TEXTAFTER('Additional Documents-WUO_ERR'!A492, ":"))))</f>
        <v/>
      </c>
    </row>
    <row r="493">
      <c r="A493" s="39">
        <f>IF('Additional Documents'!B493 = "", "", IF('Additional Documents-WUO_ERR'!A493 = "", "Validated", HYPERLINK("#" &amp; ADDRESS(493, 'Additional Documents-WUO_TRK'!A493),_xlfn.TEXTAFTER('Additional Documents-WUO_ERR'!A493, ":"))))</f>
        <v/>
      </c>
    </row>
    <row r="494">
      <c r="A494" s="39">
        <f>IF('Additional Documents'!B494 = "", "", IF('Additional Documents-WUO_ERR'!A494 = "", "Validated", HYPERLINK("#" &amp; ADDRESS(494, 'Additional Documents-WUO_TRK'!A494),_xlfn.TEXTAFTER('Additional Documents-WUO_ERR'!A494, ":"))))</f>
        <v/>
      </c>
    </row>
    <row r="495">
      <c r="A495" s="39">
        <f>IF('Additional Documents'!B495 = "", "", IF('Additional Documents-WUO_ERR'!A495 = "", "Validated", HYPERLINK("#" &amp; ADDRESS(495, 'Additional Documents-WUO_TRK'!A495),_xlfn.TEXTAFTER('Additional Documents-WUO_ERR'!A495, ":"))))</f>
        <v/>
      </c>
    </row>
    <row r="496">
      <c r="A496" s="39">
        <f>IF('Additional Documents'!B496 = "", "", IF('Additional Documents-WUO_ERR'!A496 = "", "Validated", HYPERLINK("#" &amp; ADDRESS(496, 'Additional Documents-WUO_TRK'!A496),_xlfn.TEXTAFTER('Additional Documents-WUO_ERR'!A496, ":"))))</f>
        <v/>
      </c>
    </row>
    <row r="497">
      <c r="A497" s="39">
        <f>IF('Additional Documents'!B497 = "", "", IF('Additional Documents-WUO_ERR'!A497 = "", "Validated", HYPERLINK("#" &amp; ADDRESS(497, 'Additional Documents-WUO_TRK'!A497),_xlfn.TEXTAFTER('Additional Documents-WUO_ERR'!A497, ":"))))</f>
        <v/>
      </c>
    </row>
    <row r="498">
      <c r="A498" s="39">
        <f>IF('Additional Documents'!B498 = "", "", IF('Additional Documents-WUO_ERR'!A498 = "", "Validated", HYPERLINK("#" &amp; ADDRESS(498, 'Additional Documents-WUO_TRK'!A498),_xlfn.TEXTAFTER('Additional Documents-WUO_ERR'!A498, ":"))))</f>
        <v/>
      </c>
    </row>
    <row r="499">
      <c r="A499" s="39">
        <f>IF('Additional Documents'!B499 = "", "", IF('Additional Documents-WUO_ERR'!A499 = "", "Validated", HYPERLINK("#" &amp; ADDRESS(499, 'Additional Documents-WUO_TRK'!A499),_xlfn.TEXTAFTER('Additional Documents-WUO_ERR'!A499, ":"))))</f>
        <v/>
      </c>
    </row>
    <row r="500">
      <c r="A500" s="39">
        <f>IF('Additional Documents'!B500 = "", "", IF('Additional Documents-WUO_ERR'!A500 = "", "Validated", HYPERLINK("#" &amp; ADDRESS(500, 'Additional Documents-WUO_TRK'!A500),_xlfn.TEXTAFTER('Additional Documents-WUO_ERR'!A500, ":"))))</f>
        <v/>
      </c>
    </row>
    <row r="501">
      <c r="A501" s="39">
        <f>IF('Additional Documents'!B501 = "", "", IF('Additional Documents-WUO_ERR'!A501 = "", "Validated", HYPERLINK("#" &amp; ADDRESS(501, 'Additional Documents-WUO_TRK'!A501),_xlfn.TEXTAFTER('Additional Documents-WUO_ERR'!A501, ":"))))</f>
        <v/>
      </c>
    </row>
    <row r="502">
      <c r="A502" s="39">
        <f>IF('Additional Documents'!B502 = "", "", IF('Additional Documents-WUO_ERR'!A502 = "", "Validated", HYPERLINK("#" &amp; ADDRESS(502, 'Additional Documents-WUO_TRK'!A502),_xlfn.TEXTAFTER('Additional Documents-WUO_ERR'!A502, ":"))))</f>
        <v/>
      </c>
    </row>
    <row r="503">
      <c r="A503" s="39">
        <f>IF('Additional Documents'!B503 = "", "", IF('Additional Documents-WUO_ERR'!A503 = "", "Validated", HYPERLINK("#" &amp; ADDRESS(503, 'Additional Documents-WUO_TRK'!A503),_xlfn.TEXTAFTER('Additional Documents-WUO_ERR'!A503, ":"))))</f>
        <v/>
      </c>
    </row>
    <row r="504">
      <c r="A504" s="39">
        <f>IF('Additional Documents'!B504 = "", "", IF('Additional Documents-WUO_ERR'!A504 = "", "Validated", HYPERLINK("#" &amp; ADDRESS(504, 'Additional Documents-WUO_TRK'!A504),_xlfn.TEXTAFTER('Additional Documents-WUO_ERR'!A504, ":"))))</f>
        <v/>
      </c>
    </row>
    <row r="505">
      <c r="A505" s="39">
        <f>IF('Additional Documents'!B505 = "", "", IF('Additional Documents-WUO_ERR'!A505 = "", "Validated", HYPERLINK("#" &amp; ADDRESS(505, 'Additional Documents-WUO_TRK'!A505),_xlfn.TEXTAFTER('Additional Documents-WUO_ERR'!A505, ":"))))</f>
        <v/>
      </c>
    </row>
    <row r="506">
      <c r="A506" s="39">
        <f>IF('Additional Documents'!B506 = "", "", IF('Additional Documents-WUO_ERR'!A506 = "", "Validated", HYPERLINK("#" &amp; ADDRESS(506, 'Additional Documents-WUO_TRK'!A506),_xlfn.TEXTAFTER('Additional Documents-WUO_ERR'!A506, ":"))))</f>
        <v/>
      </c>
    </row>
    <row r="507">
      <c r="A507" s="39">
        <f>IF('Additional Documents'!B507 = "", "", IF('Additional Documents-WUO_ERR'!A507 = "", "Validated", HYPERLINK("#" &amp; ADDRESS(507, 'Additional Documents-WUO_TRK'!A507),_xlfn.TEXTAFTER('Additional Documents-WUO_ERR'!A507, ":"))))</f>
        <v/>
      </c>
    </row>
  </sheetData>
  <sheetProtection selectLockedCells="0" selectUnlockedCells="0" sheet="1" objects="1" insertRows="1" insertHyperlinks="1" autoFilter="1" scenarios="1" formatColumns="0" deleteColumns="1" insertColumns="1" pivotTables="1" deleteRows="1" formatCells="1" formatRows="0" sort="1" password="9EF4"/>
  <mergeCells count="1">
    <mergeCell ref="C2:G2"/>
  </mergeCells>
  <conditionalFormatting sqref="A7:A507">
    <cfRule type="expression" priority="5" dxfId="4">
      <formula>A7="Validated"</formula>
    </cfRule>
    <cfRule type="expression" priority="6" dxfId="5">
      <formula>OR(COUNTIF('Additional Documents-WUO_TRK'!B7:H7,"Error"),COUNTIF('Additional Documents-WUO_TRK'!B7:H7,"Required"))</formula>
    </cfRule>
    <cfRule type="expression" priority="7" dxfId="6">
      <formula>COUNTIF('Additional Documents-WUO_TRK'!B7:H7,"Warning")</formula>
    </cfRule>
  </conditionalFormatting>
  <conditionalFormatting sqref="B7:H507">
    <cfRule type="expression" priority="1" dxfId="0">
      <formula>'Additional Documents-WUO_TRK'!B7="Error"</formula>
    </cfRule>
    <cfRule type="expression" priority="2" dxfId="1">
      <formula>'Additional Documents-WUO_TRK'!B7="Required"</formula>
    </cfRule>
    <cfRule type="expression" priority="3" dxfId="2">
      <formula>'Additional Documents-WUO_TRK'!B7="Warning"</formula>
    </cfRule>
    <cfRule type="expression" priority="4" dxfId="3">
      <formula>'Additional Documents-WUO_TRK'!B7="Disabled"</formula>
    </cfRule>
  </conditionalFormatting>
  <dataValidations count="3">
    <dataValidation sqref="C7:C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F7:F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G7:G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s>
  <hyperlinks>
    <hyperlink ref="D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Q1" display="Select"/>
    <hyperlink ref="G6" location="'Valid Values'!R1" display="Select"/>
  </hyperlink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style="22" min="2" max="2"/>
    <col width="30.7109375" customWidth="1" style="22" min="3" max="3"/>
    <col width="18.7109375" customWidth="1" style="22" min="4" max="4"/>
    <col width="24.7109375" customWidth="1" style="22" min="5" max="5"/>
    <col width="20.7109375" customWidth="1" style="22" min="6" max="6"/>
    <col width="22.7109375" customWidth="1" style="22" min="7" max="7"/>
  </cols>
  <sheetData>
    <row r="1" hidden="1">
      <c r="B1" s="22" t="inlineStr">
        <is>
          <t>core::supplierPartNumber</t>
        </is>
      </c>
      <c r="C1" s="22" t="inlineStr">
        <is>
          <t>media::documentValue</t>
        </is>
      </c>
      <c r="D1" s="22" t="inlineStr">
        <is>
          <t>media::documentType</t>
        </is>
      </c>
      <c r="E1" s="22" t="inlineStr">
        <is>
          <t>media::legalDocumentType</t>
        </is>
      </c>
      <c r="F1" s="22" t="inlineStr">
        <is>
          <t>media::regionType</t>
        </is>
      </c>
      <c r="G1" s="22" t="inlineStr">
        <is>
          <t>media::language</t>
        </is>
      </c>
    </row>
    <row r="3">
      <c r="B3" s="32" t="inlineStr">
        <is>
          <t>Required</t>
        </is>
      </c>
      <c r="C3" s="32" t="inlineStr">
        <is>
          <t>Conditional</t>
        </is>
      </c>
      <c r="D3" s="32" t="inlineStr">
        <is>
          <t>Conditional</t>
        </is>
      </c>
      <c r="E3" s="32" t="inlineStr">
        <is>
          <t>Conditional</t>
        </is>
      </c>
      <c r="F3" s="32" t="inlineStr">
        <is>
          <t>Conditional</t>
        </is>
      </c>
      <c r="G3" s="32"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Provide the document’s file name with extension for separate uploads or a direct public URL. Do not exceed 10 documents per product.</t>
        </is>
      </c>
      <c r="D5" s="35" t="inlineStr">
        <is>
          <t>Select one or more values from the provided list that best describe the document’s purpose. This classification helps customers easily find information like “Installation &amp; Assembly” guides, “Warranty Information,” or “Specifications.</t>
        </is>
      </c>
      <c r="E5" s="35" t="inlineStr">
        <is>
          <t>If the document serves as a legal notice or certification (e.g., “ASTM F2057 - 19,” “ANSI A117.1 Compliant”), select the specific type(s) from the provided list. This is used for compliance and to display certifications to customers.</t>
        </is>
      </c>
      <c r="F5" s="35" t="inlineStr">
        <is>
          <t>Select the country or region where this document is legally applicable. This is crucial for compliance-related documents that may differ across locations.</t>
        </is>
      </c>
      <c r="G5" s="35" t="inlineStr">
        <is>
          <t>Select the language in which the document is written.</t>
        </is>
      </c>
    </row>
    <row r="6" ht="50" customHeight="1">
      <c r="B6" s="35" t="inlineStr">
        <is>
          <t>Text</t>
        </is>
      </c>
      <c r="C6" s="35" t="inlineStr">
        <is>
          <t>Text</t>
        </is>
      </c>
      <c r="D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6" t="inlineStr">
        <is>
          <t>Select</t>
        </is>
      </c>
      <c r="G6" s="36" t="inlineStr">
        <is>
          <t>Select</t>
        </is>
      </c>
    </row>
    <row r="7">
      <c r="A7">
        <f t="array" ref="A7">_xlfn.BYROW(B7:H507, _xlfn.LAMBDA(_xlpm.r, _xlfn.LET(_xlpm.high_priority, IFERROR(INDEX(_xlpm.r, MATCH(TRUE, (_xlpm.r &lt;&gt; "") * ((LEFT(_xlpm.r, 2) = "1:") + (LEFT(_xlpm.r, 2) = "3:")) &gt; 0, 0)), ""), IF(_xlpm.high_priority &lt;&gt; "", _xlpm.high_priority, IFERROR(INDEX(_xlpm.r, MATCH(TRUE, (_xlpm.r &lt;&gt; "") * (LEFT(_xlpm.r, 2) = "4:") &gt; 0, 0)), "")))))</f>
        <v/>
      </c>
      <c r="B7" s="22">
        <f t="array" ref="B7">_xlfn.MAP('Additional Documents'!B7:B507, 'Additional Documents'!B7:B507,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s="22">
        <f t="array" ref="C7">_xlfn.MAP('Additional Documents'!B7:B507, 'Additional Documents'!C7:C507, 'Additional Documents'!D7:D507, 'Additional Documents'!E7:E507, 'Additional Documents'!F7:F507, 'Additional Documents'!G7:G507, _xlfn.LAMBDA(_xlpm.part, _xlpm.val, _xlpm.dep1, _xlpm.dep2, _xlpm.dep3, _xlpm.dep4, IF(_xlpm.part = "", "", _xlfn.LET(_xlpm.check1, IF(AND(_xlpm.val = "", C$3="Required"), "3:Document File Name or URL - Value is required", ""), IF(LEN(_xlpm.check1) &gt; 0, _xlpm.check1, IF(OR(_xlpm.dep1 &lt;&gt; "", _xlpm.dep2 &lt;&gt; "", _xlpm.dep3 &lt;&gt; "", _xlpm.dep4 &lt;&gt; ""), IF(_xlpm.val = "", "3:Document value is required", ""), ""))))))</f>
        <v/>
      </c>
      <c r="D7" s="22">
        <f t="array" ref="D7">_xlfn.MAP('Additional Documents'!B7:B507, 'Additional Documents'!D7:D507,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D$3="Required"), "3:Document Type - Value is required", ""))))))</f>
        <v/>
      </c>
      <c r="E7" s="22">
        <f t="array" ref="E7">_xlfn.MAP('Additional Documents'!B7:B507, 'Additional Documents'!E7:E507,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E$3="Required"), "3:Legal Document Type - Value is required", ""))))))</f>
        <v/>
      </c>
      <c r="F7" s="22">
        <f t="array" ref="F7">_xlfn.MAP('Additional Documents'!B7:B507, 'Additional Documents'!F7:F507, _xlfn.LAMBDA(_xlpm.part, _xlpm.val, IF(_xlpm.part = "", "", IF(AND(_xlpm.val = "", F$3="Required"), "3:Document Region - Value is required", ""))))</f>
        <v/>
      </c>
      <c r="G7" s="22">
        <f t="array" ref="G7">_xlfn.MAP('Additional Documents'!B7:B507, 'Additional Documents'!G7:G507, _xlfn.LAMBDA(_xlpm.part, _xlpm.val, IF(_xlpm.part = "", "", IF(AND(_xlpm.val = "", G$3="Required"), "3:Document Language - Value is required", ""))))</f>
        <v/>
      </c>
    </row>
  </sheetData>
  <sheetProtection selectLockedCells="0" selectUnlockedCells="0" sheet="1" objects="1" insertRows="1" insertHyperlinks="1" autoFilter="1" scenarios="1" formatColumns="1" deleteColumns="1" insertColumns="1" pivotTables="1" deleteRows="1" formatCells="1" formatRows="1" sort="1" password="C125"/>
  <hyperlinks>
    <hyperlink ref="D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Q1" display="Select"/>
    <hyperlink ref="G6" location="'Valid Values'!R1" display="Select"/>
  </hyperlinks>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style="22" min="2" max="2"/>
    <col width="30.7109375" customWidth="1" style="22" min="3" max="3"/>
    <col width="18.7109375" customWidth="1" style="22" min="4" max="4"/>
    <col width="24.7109375" customWidth="1" style="22" min="5" max="5"/>
    <col width="20.7109375" customWidth="1" style="22" min="6" max="6"/>
    <col width="22.7109375" customWidth="1" style="22" min="7" max="7"/>
  </cols>
  <sheetData>
    <row r="1" hidden="1">
      <c r="B1" s="22" t="inlineStr">
        <is>
          <t>core::supplierPartNumber</t>
        </is>
      </c>
      <c r="C1" s="22" t="inlineStr">
        <is>
          <t>media::documentValue</t>
        </is>
      </c>
      <c r="D1" s="22" t="inlineStr">
        <is>
          <t>media::documentType</t>
        </is>
      </c>
      <c r="E1" s="22" t="inlineStr">
        <is>
          <t>media::legalDocumentType</t>
        </is>
      </c>
      <c r="F1" s="22" t="inlineStr">
        <is>
          <t>media::regionType</t>
        </is>
      </c>
      <c r="G1" s="22" t="inlineStr">
        <is>
          <t>media::language</t>
        </is>
      </c>
    </row>
    <row r="3">
      <c r="B3" s="32" t="inlineStr">
        <is>
          <t>Required</t>
        </is>
      </c>
      <c r="C3" s="32" t="inlineStr">
        <is>
          <t>Conditional</t>
        </is>
      </c>
      <c r="D3" s="32" t="inlineStr">
        <is>
          <t>Conditional</t>
        </is>
      </c>
      <c r="E3" s="32" t="inlineStr">
        <is>
          <t>Conditional</t>
        </is>
      </c>
      <c r="F3" s="32" t="inlineStr">
        <is>
          <t>Conditional</t>
        </is>
      </c>
      <c r="G3" s="32"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Provide the document’s file name with extension for separate uploads or a direct public URL. Do not exceed 10 documents per product.</t>
        </is>
      </c>
      <c r="D5" s="35" t="inlineStr">
        <is>
          <t>Select one or more values from the provided list that best describe the document’s purpose. This classification helps customers easily find information like “Installation &amp; Assembly” guides, “Warranty Information,” or “Specifications.</t>
        </is>
      </c>
      <c r="E5" s="35" t="inlineStr">
        <is>
          <t>If the document serves as a legal notice or certification (e.g., “ASTM F2057 - 19,” “ANSI A117.1 Compliant”), select the specific type(s) from the provided list. This is used for compliance and to display certifications to customers.</t>
        </is>
      </c>
      <c r="F5" s="35" t="inlineStr">
        <is>
          <t>Select the country or region where this document is legally applicable. This is crucial for compliance-related documents that may differ across locations.</t>
        </is>
      </c>
      <c r="G5" s="35" t="inlineStr">
        <is>
          <t>Select the language in which the document is written.</t>
        </is>
      </c>
    </row>
    <row r="6" ht="50" customHeight="1">
      <c r="B6" s="35" t="inlineStr">
        <is>
          <t>Text</t>
        </is>
      </c>
      <c r="C6" s="35" t="inlineStr">
        <is>
          <t>Text</t>
        </is>
      </c>
      <c r="D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6" t="inlineStr">
        <is>
          <t>Select</t>
        </is>
      </c>
      <c r="G6" s="36" t="inlineStr">
        <is>
          <t>Select</t>
        </is>
      </c>
    </row>
    <row r="7">
      <c r="A7">
        <f t="array" ref="A7">_xlfn.BYROW(B7:H507, _xlfn.LAMBDA(_xlpm.r, _xlfn.LET(_xlpm.high_priority_idx, IFERROR(MATCH(TRUE, (_xlpm.r = "Error") + (_xlpm.r = "Required") &gt; 0, 0), 0), IF(_xlpm.high_priority_idx &gt; 0, _xlpm.high_priority_idx + 1, IFERROR(MATCH(1, (_xlpm.r = "Warning") * 1, 0) + 1, "")))))</f>
        <v/>
      </c>
      <c r="B7" s="22">
        <f t="array" ref="B7">_xlfn.MAP('Additional Documents'!B7:B507, 'Additional Documents'!B7:B507, 'Additional Documents-WUO_ERR'!B7:B507, _xlfn.LAMBDA(_xlpm.part, _xlpm.val, _xlpm.error, IF(_xlpm.part = "", "", IF(LEN(_xlpm.error), _xlfn.SWITCH(IFERROR(_xlfn.TEXTBEFORE(_xlpm.error,":"), ""), "1", "Error", "2", "Disabled", "3", "Required", "4", "Warning", "Valid"), "Valid"))))</f>
        <v/>
      </c>
      <c r="C7" s="22">
        <f t="array" ref="C7">_xlfn.MAP('Additional Documents'!B7:B507, 'Additional Documents'!C7:C507, 'Additional Documents-WUO_ERR'!C7:C507, _xlfn.LAMBDA(_xlpm.part, _xlpm.val, _xlpm.error, IF(_xlpm.part = "", "", IF(LEN(_xlpm.error), _xlfn.SWITCH(IFERROR(_xlfn.TEXTBEFORE(_xlpm.error,":"), ""), "1", "Error", "2", "Disabled", "3", "Required", "4", "Warning", "Valid"), "Valid"))))</f>
        <v/>
      </c>
      <c r="D7" s="22">
        <f t="array" ref="D7">_xlfn.MAP('Additional Documents'!B7:B507, 'Additional Documents'!D7:D507, 'Additional Documents-WUO_ERR'!D7:D507, _xlfn.LAMBDA(_xlpm.part, _xlpm.val, _xlpm.error, IF(_xlpm.part = "", "", IF(LEN(_xlpm.error), _xlfn.SWITCH(IFERROR(_xlfn.TEXTBEFORE(_xlpm.error,":"), ""), "1", "Error", "2", "Disabled", "3", "Required", "4", "Warning", "Valid"), "Valid"))))</f>
        <v/>
      </c>
      <c r="E7" s="22">
        <f t="array" ref="E7">_xlfn.MAP('Additional Documents'!B7:B507, 'Additional Documents'!E7:E507, 'Additional Documents-WUO_ERR'!E7:E507, _xlfn.LAMBDA(_xlpm.part, _xlpm.val, _xlpm.error, IF(_xlpm.part = "", "", IF(LEN(_xlpm.error), _xlfn.SWITCH(IFERROR(_xlfn.TEXTBEFORE(_xlpm.error,":"), ""), "1", "Error", "2", "Disabled", "3", "Required", "4", "Warning", "Valid"), "Valid"))))</f>
        <v/>
      </c>
      <c r="F7" s="22">
        <f t="array" ref="F7">_xlfn.MAP('Additional Documents'!B7:B507, 'Additional Documents'!F7:F507, 'Additional Documents-WUO_ERR'!F7:F507, _xlfn.LAMBDA(_xlpm.part, _xlpm.val, _xlpm.error, IF(_xlpm.part = "", "", IF(LEN(_xlpm.error), _xlfn.SWITCH(IFERROR(_xlfn.TEXTBEFORE(_xlpm.error,":"), ""), "1", "Error", "2", "Disabled", "3", "Required", "4", "Warning", "Valid"), "Valid"))))</f>
        <v/>
      </c>
      <c r="G7" s="22">
        <f t="array" ref="G7">_xlfn.MAP('Additional Documents'!B7:B507, 'Additional Documents'!G7:G507, 'Additional Documents-WUO_ERR'!G7:G507,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922"/>
  <hyperlinks>
    <hyperlink ref="D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Q1" display="Select"/>
    <hyperlink ref="G6" location="'Valid Values'!R1" display="Select"/>
  </hyperlinks>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IK902"/>
  <sheetViews>
    <sheetView workbookViewId="0">
      <selection activeCell="A1" sqref="A1"/>
    </sheetView>
  </sheetViews>
  <sheetFormatPr baseColWidth="8" defaultRowHeight="15"/>
  <cols>
    <col width="10.7109375" customWidth="1" min="1" max="1"/>
    <col width="17.7109375" customWidth="1" min="2" max="2"/>
    <col width="49.7109375" customWidth="1" min="3" max="4"/>
    <col width="50.7109375" customWidth="1" min="5" max="7"/>
    <col width="14.7109375" customWidth="1" min="8" max="8"/>
    <col width="18.7109375" customWidth="1" min="9" max="9"/>
    <col width="14.7109375" customWidth="1" min="10" max="10"/>
    <col width="26.7109375" customWidth="1" min="11" max="11"/>
    <col width="13.7109375" customWidth="1" min="12" max="13"/>
    <col width="28.7109375" customWidth="1" min="14" max="14"/>
    <col width="18.7109375" customWidth="1" min="15" max="15"/>
    <col width="24.7109375" customWidth="1" min="16" max="16"/>
    <col width="20.7109375" customWidth="1" min="17" max="17"/>
    <col width="22.7109375" customWidth="1" min="18" max="18"/>
    <col width="17.7109375" customWidth="1" min="19" max="19"/>
    <col width="13.7109375" customWidth="1" min="20" max="20"/>
    <col width="17.7109375" customWidth="1" min="21" max="21"/>
    <col width="39.7109375" customWidth="1" min="22" max="22"/>
    <col width="43.7109375" customWidth="1" min="23" max="23"/>
    <col width="17.7109375" customWidth="1" min="24" max="24"/>
    <col width="24.7109375" customWidth="1" min="25" max="26"/>
    <col width="21.7109375" customWidth="1" min="27" max="27"/>
    <col width="20.7109375" customWidth="1" min="28" max="28"/>
    <col width="35.7109375" customWidth="1" min="29" max="29"/>
    <col width="30.7109375" customWidth="1" min="30" max="30"/>
    <col width="25.7109375" customWidth="1" min="31" max="31"/>
    <col width="15.7109375" customWidth="1" min="32" max="32"/>
    <col width="19.7109375" customWidth="1" min="33" max="33"/>
    <col width="15.7109375" customWidth="1" min="34" max="34"/>
    <col width="20.7109375" customWidth="1" min="35" max="35"/>
    <col width="33.7109375" customWidth="1" min="36" max="36"/>
    <col width="53.7109375" customWidth="1" min="37" max="38"/>
    <col width="21.7109375" customWidth="1" min="39" max="39"/>
    <col width="64.7109375" customWidth="1" min="40" max="40"/>
    <col width="27.7109375" customWidth="1" min="41" max="41"/>
    <col width="24.7109375" customWidth="1" min="42" max="42"/>
    <col width="44.7109375" customWidth="1" min="43" max="43"/>
    <col width="20.7109375" customWidth="1" min="44" max="44"/>
    <col width="21.7109375" customWidth="1" min="45" max="45"/>
    <col width="18.7109375" customWidth="1" min="46" max="46"/>
    <col width="30.7109375" customWidth="1" min="47" max="47"/>
    <col width="44.7109375" customWidth="1" min="48" max="48"/>
    <col width="22.7109375" customWidth="1" min="49" max="49"/>
    <col width="19.7109375" customWidth="1" min="50" max="50"/>
    <col width="31.7109375" customWidth="1" min="51" max="51"/>
    <col width="20.7109375" customWidth="1" min="52" max="52"/>
    <col width="17.7109375" customWidth="1" min="53" max="53"/>
    <col width="21.7109375" customWidth="1" min="54" max="54"/>
    <col width="13.7109375" customWidth="1" min="55" max="55"/>
    <col width="32.7109375" customWidth="1" min="56" max="56"/>
    <col width="27.7109375" customWidth="1" min="57" max="57"/>
    <col width="38.7109375" customWidth="1" min="58" max="58"/>
    <col width="39.7109375" customWidth="1" min="59" max="59"/>
    <col width="43.7109375" customWidth="1" min="60" max="60"/>
    <col width="29.7109375" customWidth="1" min="61" max="61"/>
    <col width="17.7109375" customWidth="1" min="62" max="62"/>
    <col width="24.7109375" customWidth="1" min="63" max="63"/>
    <col width="17.7109375" customWidth="1" min="64" max="64"/>
    <col width="24.7109375" customWidth="1" min="65" max="65"/>
    <col width="21.7109375" customWidth="1" min="66" max="66"/>
    <col width="20.7109375" customWidth="1" min="67" max="67"/>
    <col width="35.7109375" customWidth="1" min="68" max="68"/>
    <col width="30.7109375" customWidth="1" min="69" max="69"/>
    <col width="17.7109375" customWidth="1" min="70" max="70"/>
    <col width="19.7109375" customWidth="1" min="71" max="72"/>
    <col width="34.7109375" customWidth="1" min="73" max="73"/>
    <col width="14.7109375" customWidth="1" min="74" max="75"/>
    <col width="16.7109375" customWidth="1" min="76" max="76"/>
    <col width="20.7109375" customWidth="1" min="77" max="77"/>
    <col width="19.7109375" customWidth="1" min="78" max="78"/>
    <col width="44.7109375" customWidth="1" min="79" max="79"/>
    <col width="53.7109375" customWidth="1" min="80" max="81"/>
    <col width="21.7109375" customWidth="1" min="82" max="82"/>
    <col width="64.7109375" customWidth="1" min="83" max="83"/>
    <col width="27.7109375" customWidth="1" min="84" max="84"/>
    <col width="19.7109375" customWidth="1" min="85" max="85"/>
    <col width="20.7109375" customWidth="1" min="86" max="86"/>
    <col width="21.7109375" customWidth="1" min="87" max="87"/>
    <col width="18.7109375" customWidth="1" min="88" max="88"/>
    <col width="30.7109375" customWidth="1" min="89" max="89"/>
    <col width="44.7109375" customWidth="1" min="90" max="90"/>
    <col width="22.7109375" customWidth="1" min="91" max="91"/>
    <col width="47.7109375" customWidth="1" min="92" max="92"/>
    <col width="19.7109375" customWidth="1" min="93" max="93"/>
    <col width="30.7109375" customWidth="1" min="94" max="94"/>
    <col width="40.7109375" customWidth="1" min="95" max="95"/>
    <col width="22.7109375" customWidth="1" min="96" max="96"/>
    <col width="45.7109375" customWidth="1" min="97" max="97"/>
    <col width="31.7109375" customWidth="1" min="98" max="98"/>
    <col width="29.7109375" customWidth="1" min="99" max="99"/>
    <col width="20.7109375" customWidth="1" min="100" max="100"/>
    <col width="17.7109375" customWidth="1" min="101" max="101"/>
    <col width="19.7109375" customWidth="1" min="102" max="102"/>
    <col width="22.7109375" customWidth="1" min="103" max="103"/>
    <col width="18.7109375" customWidth="1" min="104" max="104"/>
    <col width="24.7109375" customWidth="1" min="105" max="105"/>
    <col width="18.7109375" customWidth="1" min="106" max="106"/>
    <col width="29.7109375" customWidth="1" min="107" max="107"/>
    <col width="23.7109375" customWidth="1" min="108" max="108"/>
    <col width="32.7109375" customWidth="1" min="109" max="109"/>
    <col width="27.7109375" customWidth="1" min="110" max="110"/>
    <col width="28.7109375" customWidth="1" min="111" max="111"/>
    <col width="26.7109375" customWidth="1" min="112" max="112"/>
    <col width="39.7109375" customWidth="1" min="113" max="113"/>
    <col width="43.7109375" customWidth="1" min="114" max="114"/>
    <col width="29.7109375" customWidth="1" min="115" max="115"/>
    <col width="24.7109375" customWidth="1" min="116" max="116"/>
    <col width="17.7109375" customWidth="1" min="117" max="117"/>
    <col width="24.7109375" customWidth="1" min="118" max="118"/>
    <col width="21.7109375" customWidth="1" min="119" max="119"/>
    <col width="20.7109375" customWidth="1" min="120" max="120"/>
    <col width="35.7109375" customWidth="1" min="121" max="121"/>
    <col width="30.7109375" customWidth="1" min="122" max="122"/>
    <col width="17.7109375" customWidth="1" min="123" max="123"/>
    <col width="15.7109375" customWidth="1" min="124" max="124"/>
    <col width="17.7109375" customWidth="1" min="125" max="125"/>
    <col width="29.7109375" customWidth="1" min="126" max="126"/>
    <col width="25.7109375" customWidth="1" min="127" max="127"/>
    <col width="17.7109375" customWidth="1" min="128" max="128"/>
    <col width="13.7109375" customWidth="1" min="129" max="129"/>
    <col width="15.7109375" customWidth="1" min="130" max="130"/>
    <col width="24.7109375" customWidth="1" min="131" max="131"/>
    <col width="20.7109375" customWidth="1" min="132" max="132"/>
    <col width="14.7109375" customWidth="1" min="133" max="133"/>
    <col width="33.7109375" customWidth="1" min="134" max="134"/>
    <col width="53.7109375" customWidth="1" min="135" max="136"/>
    <col width="21.7109375" customWidth="1" min="137" max="137"/>
    <col width="25.7109375" customWidth="1" min="138" max="138"/>
    <col width="30.7109375" customWidth="1" min="139" max="139"/>
    <col width="44.7109375" customWidth="1" min="140" max="140"/>
    <col width="64.7109375" customWidth="1" min="141" max="141"/>
    <col width="27.7109375" customWidth="1" min="142" max="142"/>
    <col width="24.7109375" customWidth="1" min="143" max="143"/>
    <col width="20.7109375" customWidth="1" min="144" max="144"/>
    <col width="21.7109375" customWidth="1" min="145" max="145"/>
    <col width="18.7109375" customWidth="1" min="146" max="146"/>
    <col width="30.7109375" customWidth="1" min="147" max="147"/>
    <col width="44.7109375" customWidth="1" min="148" max="148"/>
    <col width="57.7109375" customWidth="1" min="149" max="149"/>
    <col width="19.7109375" customWidth="1" min="150" max="150"/>
    <col width="43.7109375" customWidth="1" min="151" max="151"/>
    <col width="30.7109375" customWidth="1" min="152" max="152"/>
    <col width="22.7109375" customWidth="1" min="153" max="153"/>
    <col width="45.7109375" customWidth="1" min="154" max="154"/>
    <col width="31.7109375" customWidth="1" min="155" max="155"/>
    <col width="29.7109375" customWidth="1" min="156" max="156"/>
    <col width="17.7109375" customWidth="1" min="157" max="157"/>
    <col width="13.7109375" customWidth="1" min="158" max="158"/>
    <col width="34.7109375" customWidth="1" min="159" max="159"/>
    <col width="38.7109375" customWidth="1" min="160" max="160"/>
    <col width="32.7109375" customWidth="1" min="161" max="161"/>
    <col width="27.7109375" customWidth="1" min="162" max="162"/>
    <col width="39.7109375" customWidth="1" min="163" max="163"/>
    <col width="20.7109375" customWidth="1" min="164" max="164"/>
    <col width="43.7109375" customWidth="1" min="165" max="165"/>
    <col width="29.7109375" customWidth="1" min="166" max="166"/>
    <col width="17.7109375" customWidth="1" min="167" max="168"/>
    <col width="10.7109375" customWidth="1" min="169" max="169"/>
    <col width="27.7109375" customWidth="1" min="170" max="170"/>
    <col width="20.7109375" customWidth="1" min="171" max="171"/>
    <col width="62.7109375" customWidth="1" min="172" max="172"/>
    <col width="33.7109375" customWidth="1" min="173" max="173"/>
    <col width="41.7109375" customWidth="1" min="174" max="174"/>
    <col width="44.7109375" customWidth="1" min="175" max="175"/>
    <col width="53.7109375" customWidth="1" min="176" max="177"/>
    <col width="21.7109375" customWidth="1" min="178" max="178"/>
    <col width="64.7109375" customWidth="1" min="179" max="179"/>
    <col width="27.7109375" customWidth="1" min="180" max="181"/>
    <col width="19.7109375" customWidth="1" min="182" max="182"/>
    <col width="43.7109375" customWidth="1" min="183" max="183"/>
    <col width="30.7109375" customWidth="1" min="184" max="184"/>
    <col width="22.7109375" customWidth="1" min="185" max="185"/>
    <col width="45.7109375" customWidth="1" min="186" max="186"/>
    <col width="31.7109375" customWidth="1" min="187" max="187"/>
    <col width="29.7109375" customWidth="1" min="188" max="188"/>
    <col width="18.7109375" customWidth="1" min="189" max="189"/>
    <col width="10.7109375" customWidth="1" min="190" max="190"/>
    <col width="15.7109375" customWidth="1" min="191" max="191"/>
    <col width="23.7109375" customWidth="1" min="192" max="192"/>
    <col width="24.7109375" customWidth="1" min="193" max="193"/>
    <col width="22.7109375" customWidth="1" min="194" max="194"/>
    <col width="18.7109375" customWidth="1" min="195" max="195"/>
    <col width="29.7109375" customWidth="1" min="196" max="196"/>
    <col width="27.7109375" customWidth="1" min="197" max="197"/>
    <col width="32.7109375" customWidth="1" min="198" max="198"/>
    <col width="39.7109375" customWidth="1" min="199" max="199"/>
    <col width="43.7109375" customWidth="1" min="200" max="200"/>
    <col width="29.7109375" customWidth="1" min="201" max="201"/>
    <col width="17.7109375" customWidth="1" min="202" max="202"/>
    <col width="12.7109375" customWidth="1" min="203" max="203"/>
    <col width="24.7109375" customWidth="1" min="204" max="204"/>
    <col width="17.7109375" customWidth="1" min="205" max="205"/>
    <col width="24.7109375" customWidth="1" min="206" max="206"/>
    <col width="21.7109375" customWidth="1" min="207" max="207"/>
    <col width="20.7109375" customWidth="1" min="208" max="208"/>
    <col width="35.7109375" customWidth="1" min="209" max="209"/>
    <col width="30.7109375" customWidth="1" min="210" max="210"/>
    <col width="27.7109375" customWidth="1" min="211" max="211"/>
    <col width="17.7109375" customWidth="1" min="212" max="212"/>
    <col width="30.7109375" customWidth="1" min="213" max="213"/>
    <col width="20.7109375" customWidth="1" min="214" max="214"/>
    <col width="35.7109375" customWidth="1" min="215" max="215"/>
    <col width="20.7109375" customWidth="1" min="216" max="216"/>
    <col width="42.7109375" customWidth="1" min="217" max="217"/>
    <col width="53.7109375" customWidth="1" min="218" max="219"/>
    <col width="21.7109375" customWidth="1" min="220" max="220"/>
    <col width="27.7109375" customWidth="1" min="221" max="221"/>
    <col width="25.7109375" customWidth="1" min="222" max="222"/>
    <col width="30.7109375" customWidth="1" min="223" max="223"/>
    <col width="64.7109375" customWidth="1" min="224" max="224"/>
    <col width="27.7109375" customWidth="1" min="225" max="225"/>
    <col width="68.7109375" customWidth="1" min="226" max="226"/>
    <col width="52.7109375" customWidth="1" min="227" max="227"/>
    <col width="41.7109375" customWidth="1" min="228" max="228"/>
    <col width="44.7109375" customWidth="1" min="229" max="229"/>
    <col width="20.7109375" customWidth="1" min="230" max="230"/>
    <col width="21.7109375" customWidth="1" min="231" max="231"/>
    <col width="18.7109375" customWidth="1" min="232" max="232"/>
    <col width="30.7109375" customWidth="1" min="233" max="233"/>
    <col width="47.7109375" customWidth="1" min="234" max="234"/>
    <col width="19.7109375" customWidth="1" min="235" max="235"/>
    <col width="43.7109375" customWidth="1" min="236" max="236"/>
    <col width="57.7109375" customWidth="1" min="237" max="237"/>
    <col width="62.7109375" customWidth="1" min="238" max="238"/>
    <col width="33.7109375" customWidth="1" min="239" max="239"/>
    <col width="51.7109375" customWidth="1" min="240" max="240"/>
    <col width="22.7109375" customWidth="1" min="241" max="241"/>
    <col width="45.7109375" customWidth="1" min="242" max="242"/>
    <col width="31.7109375" customWidth="1" min="243" max="243"/>
    <col width="29.7109375" customWidth="1" min="244" max="244"/>
    <col width="20.7109375" customWidth="1" min="245" max="245"/>
  </cols>
  <sheetData>
    <row r="1" ht="50" customHeight="1">
      <c r="A1" s="40" t="inlineStr">
        <is>
          <t>Brand</t>
        </is>
      </c>
      <c r="B1" s="40" t="inlineStr">
        <is>
          <t>Variant Type</t>
        </is>
      </c>
      <c r="C1" s="40" t="inlineStr">
        <is>
          <t>Variant Details - Variant Grouping (Class 3)</t>
        </is>
      </c>
      <c r="D1" s="40" t="inlineStr">
        <is>
          <t>Variant Details - Variant Grouping (Class 6)</t>
        </is>
      </c>
      <c r="E1" s="40" t="inlineStr">
        <is>
          <t>Variant Details - Variant Grouping (Class 10)</t>
        </is>
      </c>
      <c r="F1" s="40" t="inlineStr">
        <is>
          <t>Variant Details - Variant Grouping (Class 12)</t>
        </is>
      </c>
      <c r="G1" s="40" t="inlineStr">
        <is>
          <t>Variant Details - Variant Grouping (Class 13)</t>
        </is>
      </c>
      <c r="H1" s="40" t="inlineStr">
        <is>
          <t>Ship Type</t>
        </is>
      </c>
      <c r="I1" s="40" t="inlineStr">
        <is>
          <t>Freight Class</t>
        </is>
      </c>
      <c r="J1" s="40" t="inlineStr">
        <is>
          <t>Lead Time</t>
        </is>
      </c>
      <c r="K1" s="40" t="inlineStr">
        <is>
          <t>Replacement Lead Time</t>
        </is>
      </c>
      <c r="L1" s="40" t="inlineStr">
        <is>
          <t>Chemical</t>
        </is>
      </c>
      <c r="M1" s="40" t="inlineStr">
        <is>
          <t>Toxicity</t>
        </is>
      </c>
      <c r="N1" s="40" t="inlineStr">
        <is>
          <t>Country Of Manufacturer</t>
        </is>
      </c>
      <c r="O1" s="40" t="inlineStr">
        <is>
          <t>Document Type</t>
        </is>
      </c>
      <c r="P1" s="40" t="inlineStr">
        <is>
          <t>Legal Document Type</t>
        </is>
      </c>
      <c r="Q1" s="40" t="inlineStr">
        <is>
          <t>Document Region</t>
        </is>
      </c>
      <c r="R1" s="40" t="inlineStr">
        <is>
          <t>Document Language</t>
        </is>
      </c>
      <c r="S1" s="40" t="inlineStr">
        <is>
          <t>Product Type</t>
        </is>
      </c>
      <c r="T1" s="40" t="inlineStr">
        <is>
          <t>Material</t>
        </is>
      </c>
      <c r="U1" s="40" t="inlineStr">
        <is>
          <t>Wood Species</t>
        </is>
      </c>
      <c r="V1" s="40" t="inlineStr">
        <is>
          <t>Supplier Intended and Approved Use</t>
        </is>
      </c>
      <c r="W1" s="40" t="inlineStr">
        <is>
          <t>Country of Origin - Additional Details</t>
        </is>
      </c>
      <c r="X1" s="40" t="inlineStr">
        <is>
          <t>Battery Type</t>
        </is>
      </c>
      <c r="Y1" s="40" t="inlineStr">
        <is>
          <t>Battery Composition</t>
        </is>
      </c>
      <c r="Z1" s="40" t="inlineStr">
        <is>
          <t>Number of Batteries</t>
        </is>
      </c>
      <c r="AA1" s="40" t="inlineStr">
        <is>
          <t>Battery Shipment</t>
        </is>
      </c>
      <c r="AB1" s="40" t="inlineStr">
        <is>
          <t>Lithium Content</t>
        </is>
      </c>
      <c r="AC1" s="40" t="inlineStr">
        <is>
          <t>Watt Rating of Cells / Battery</t>
        </is>
      </c>
      <c r="AD1" s="40" t="inlineStr">
        <is>
          <t>Weight of Cells / Battery</t>
        </is>
      </c>
      <c r="AE1" s="40" t="inlineStr">
        <is>
          <t>Removable Components</t>
        </is>
      </c>
      <c r="AF1" s="40" t="inlineStr">
        <is>
          <t>Mount Type</t>
        </is>
      </c>
      <c r="AG1" s="40" t="inlineStr">
        <is>
          <t>Color / Finish</t>
        </is>
      </c>
      <c r="AH1" s="40" t="inlineStr">
        <is>
          <t>Shelf Type</t>
        </is>
      </c>
      <c r="AI1" s="40" t="inlineStr">
        <is>
          <t>Pieces Included</t>
        </is>
      </c>
      <c r="AJ1" s="40" t="inlineStr">
        <is>
          <t>CPSC - 16 CFR 1303 Compliant</t>
        </is>
      </c>
      <c r="AK1" s="40" t="inlineStr">
        <is>
          <t>CARB Phase II Compliant (formaldehyde emissions)</t>
        </is>
      </c>
      <c r="AL1" s="40" t="inlineStr">
        <is>
          <t>TSCA Title VI Compliant (formaldehyde emissions)</t>
        </is>
      </c>
      <c r="AM1" s="40" t="inlineStr">
        <is>
          <t>CANFER Compliant</t>
        </is>
      </c>
      <c r="AN1" s="40" t="inlineStr">
        <is>
          <t>Uniform Packaging and Labeling Regulations (UPLR) Compliant</t>
        </is>
      </c>
      <c r="AO1" s="40" t="inlineStr">
        <is>
          <t>Reason for Restriction</t>
        </is>
      </c>
      <c r="AP1" s="40" t="inlineStr">
        <is>
          <t>Lacey Act Compliant</t>
        </is>
      </c>
      <c r="AQ1" s="40" t="inlineStr">
        <is>
          <t>General Certificate of Conformity (GCC)</t>
        </is>
      </c>
      <c r="AR1" s="40" t="inlineStr">
        <is>
          <t>UN or ID number</t>
        </is>
      </c>
      <c r="AS1" s="40" t="inlineStr">
        <is>
          <t>Hazard Class(es)</t>
        </is>
      </c>
      <c r="AT1" s="40" t="inlineStr">
        <is>
          <t>Packing Group</t>
        </is>
      </c>
      <c r="AU1" s="40" t="inlineStr">
        <is>
          <t>Hazardous Material Weight</t>
        </is>
      </c>
      <c r="AV1" s="40" t="inlineStr">
        <is>
          <t>Energy Efficiency Regulations Compliant</t>
        </is>
      </c>
      <c r="AW1" s="40" t="inlineStr">
        <is>
          <t>Safety Listing(s)</t>
        </is>
      </c>
      <c r="AX1" s="40" t="inlineStr">
        <is>
          <t>ISTA Certified</t>
        </is>
      </c>
      <c r="AY1" s="40" t="inlineStr">
        <is>
          <t>Commercial Warranty Length</t>
        </is>
      </c>
      <c r="AZ1" s="40" t="inlineStr">
        <is>
          <t>Warranty Length</t>
        </is>
      </c>
      <c r="BA1" s="40" t="inlineStr">
        <is>
          <t>Product Type</t>
        </is>
      </c>
      <c r="BB1" s="40" t="inlineStr">
        <is>
          <t>Furniture Design</t>
        </is>
      </c>
      <c r="BC1" s="40" t="inlineStr">
        <is>
          <t>Material</t>
        </is>
      </c>
      <c r="BD1" s="40" t="inlineStr">
        <is>
          <t>Purposeful Distressing Type</t>
        </is>
      </c>
      <c r="BE1" s="40" t="inlineStr">
        <is>
          <t>Natural Variation Type</t>
        </is>
      </c>
      <c r="BF1" s="40" t="inlineStr">
        <is>
          <t>Tipover Restraint Device Included</t>
        </is>
      </c>
      <c r="BG1" s="40" t="inlineStr">
        <is>
          <t>Supplier Intended and Approved Use</t>
        </is>
      </c>
      <c r="BH1" s="40" t="inlineStr">
        <is>
          <t>Country of Origin - Additional Details</t>
        </is>
      </c>
      <c r="BI1" s="40" t="inlineStr">
        <is>
          <t>Main Wood Joinery Method</t>
        </is>
      </c>
      <c r="BJ1" s="40" t="inlineStr">
        <is>
          <t>Wood Species</t>
        </is>
      </c>
      <c r="BK1" s="40" t="inlineStr">
        <is>
          <t>Battery Composition</t>
        </is>
      </c>
      <c r="BL1" s="40" t="inlineStr">
        <is>
          <t>Battery Type</t>
        </is>
      </c>
      <c r="BM1" s="40" t="inlineStr">
        <is>
          <t>Number of Batteries</t>
        </is>
      </c>
      <c r="BN1" s="40" t="inlineStr">
        <is>
          <t>Battery Shipment</t>
        </is>
      </c>
      <c r="BO1" s="40" t="inlineStr">
        <is>
          <t>Lithium Content</t>
        </is>
      </c>
      <c r="BP1" s="40" t="inlineStr">
        <is>
          <t>Watt Rating of Cells / Battery</t>
        </is>
      </c>
      <c r="BQ1" s="40" t="inlineStr">
        <is>
          <t>Weight of Cells / Battery</t>
        </is>
      </c>
      <c r="BR1" s="40" t="inlineStr">
        <is>
          <t>Product Care</t>
        </is>
      </c>
      <c r="BS1" s="40" t="inlineStr">
        <is>
          <t>Shelf Material</t>
        </is>
      </c>
      <c r="BT1" s="40" t="inlineStr">
        <is>
          <t>Color / Finish</t>
        </is>
      </c>
      <c r="BU1" s="40" t="inlineStr">
        <is>
          <t>Drawer Glide Type &amp; Extension</t>
        </is>
      </c>
      <c r="BV1" s="40" t="inlineStr">
        <is>
          <t>Vent Type</t>
        </is>
      </c>
      <c r="BW1" s="40" t="inlineStr">
        <is>
          <t>Fuel Type</t>
        </is>
      </c>
      <c r="BX1" s="40" t="inlineStr">
        <is>
          <t>Door Design</t>
        </is>
      </c>
      <c r="BY1" s="40" t="inlineStr">
        <is>
          <t>Pieces Included</t>
        </is>
      </c>
      <c r="BZ1" s="40" t="inlineStr">
        <is>
          <t>Fireplace Type</t>
        </is>
      </c>
      <c r="CA1" s="40" t="inlineStr">
        <is>
          <t>General Certificate of Conformity (GCC)</t>
        </is>
      </c>
      <c r="CB1" s="40" t="inlineStr">
        <is>
          <t>CARB Phase II Compliant (formaldehyde emissions)</t>
        </is>
      </c>
      <c r="CC1" s="40" t="inlineStr">
        <is>
          <t>TSCA Title VI Compliant (formaldehyde emissions)</t>
        </is>
      </c>
      <c r="CD1" s="40" t="inlineStr">
        <is>
          <t>CANFER Compliant</t>
        </is>
      </c>
      <c r="CE1" s="40" t="inlineStr">
        <is>
          <t>Uniform Packaging and Labeling Regulations (UPLR) Compliant</t>
        </is>
      </c>
      <c r="CF1" s="40" t="inlineStr">
        <is>
          <t>Reason for Restriction</t>
        </is>
      </c>
      <c r="CG1" s="40" t="inlineStr">
        <is>
          <t>UL 1678 Listed</t>
        </is>
      </c>
      <c r="CH1" s="40" t="inlineStr">
        <is>
          <t>UN or ID number</t>
        </is>
      </c>
      <c r="CI1" s="40" t="inlineStr">
        <is>
          <t>Hazard Class(es)</t>
        </is>
      </c>
      <c r="CJ1" s="40" t="inlineStr">
        <is>
          <t>Packing Group</t>
        </is>
      </c>
      <c r="CK1" s="40" t="inlineStr">
        <is>
          <t>Hazardous Material Weight</t>
        </is>
      </c>
      <c r="CL1" s="40" t="inlineStr">
        <is>
          <t>Energy Efficiency Regulations Compliant</t>
        </is>
      </c>
      <c r="CM1" s="40" t="inlineStr">
        <is>
          <t>Safety Listing(s)</t>
        </is>
      </c>
      <c r="CN1" s="40" t="inlineStr">
        <is>
          <t>CPSC - 16 CFR 1263 Compliant (Reese's Law)</t>
        </is>
      </c>
      <c r="CO1" s="40" t="inlineStr">
        <is>
          <t>ISTA Certified</t>
        </is>
      </c>
      <c r="CP1" s="40" t="inlineStr">
        <is>
          <t>Commercial Certifications</t>
        </is>
      </c>
      <c r="CQ1" s="40" t="inlineStr">
        <is>
          <t>Maximum TV Screen Size Accommodated</t>
        </is>
      </c>
      <c r="CR1" s="40" t="inlineStr">
        <is>
          <t>Level of Assembly</t>
        </is>
      </c>
      <c r="CS1" s="40" t="inlineStr">
        <is>
          <t>Additional Tools Required (Not Included)</t>
        </is>
      </c>
      <c r="CT1" s="40" t="inlineStr">
        <is>
          <t>Commercial Warranty Length</t>
        </is>
      </c>
      <c r="CU1" s="40" t="inlineStr">
        <is>
          <t>Full or Limited Warranty</t>
        </is>
      </c>
      <c r="CV1" s="40" t="inlineStr">
        <is>
          <t>Warranty Length</t>
        </is>
      </c>
      <c r="CW1" s="40" t="inlineStr">
        <is>
          <t>Product Type</t>
        </is>
      </c>
      <c r="CX1" s="40" t="inlineStr">
        <is>
          <t>Frame Material</t>
        </is>
      </c>
      <c r="CY1" s="40" t="inlineStr">
        <is>
          <t>Back Construction</t>
        </is>
      </c>
      <c r="CZ1" s="40" t="inlineStr">
        <is>
          <t>Seat Material</t>
        </is>
      </c>
      <c r="DA1" s="40" t="inlineStr">
        <is>
          <t>Upholstery Material</t>
        </is>
      </c>
      <c r="DB1" s="40" t="inlineStr">
        <is>
          <t>Back Material</t>
        </is>
      </c>
      <c r="DC1" s="40" t="inlineStr">
        <is>
          <t>Back Upholstery Material</t>
        </is>
      </c>
      <c r="DD1" s="40" t="inlineStr">
        <is>
          <t>Back Fill Material</t>
        </is>
      </c>
      <c r="DE1" s="40" t="inlineStr">
        <is>
          <t>Purposeful Distressing Type</t>
        </is>
      </c>
      <c r="DF1" s="40" t="inlineStr">
        <is>
          <t>Natural Variation Type</t>
        </is>
      </c>
      <c r="DG1" s="40" t="inlineStr">
        <is>
          <t>Adjustable Armrest Type</t>
        </is>
      </c>
      <c r="DH1" s="40" t="inlineStr">
        <is>
          <t>Compatible Floor Type</t>
        </is>
      </c>
      <c r="DI1" s="40" t="inlineStr">
        <is>
          <t>Supplier Intended and Approved Use</t>
        </is>
      </c>
      <c r="DJ1" s="40" t="inlineStr">
        <is>
          <t>Country of Origin - Additional Details</t>
        </is>
      </c>
      <c r="DK1" s="40" t="inlineStr">
        <is>
          <t>Main Wood Joinery Method</t>
        </is>
      </c>
      <c r="DL1" s="40" t="inlineStr">
        <is>
          <t>Battery Composition</t>
        </is>
      </c>
      <c r="DM1" s="40" t="inlineStr">
        <is>
          <t>Battery Type</t>
        </is>
      </c>
      <c r="DN1" s="40" t="inlineStr">
        <is>
          <t>Number of Batteries</t>
        </is>
      </c>
      <c r="DO1" s="40" t="inlineStr">
        <is>
          <t>Battery Shipment</t>
        </is>
      </c>
      <c r="DP1" s="40" t="inlineStr">
        <is>
          <t>Lithium Content</t>
        </is>
      </c>
      <c r="DQ1" s="40" t="inlineStr">
        <is>
          <t>Watt Rating of Cells / Battery</t>
        </is>
      </c>
      <c r="DR1" s="40" t="inlineStr">
        <is>
          <t>Weight of Cells / Battery</t>
        </is>
      </c>
      <c r="DS1" s="40" t="inlineStr">
        <is>
          <t>Product Care</t>
        </is>
      </c>
      <c r="DT1" s="40" t="inlineStr">
        <is>
          <t>Seat Color</t>
        </is>
      </c>
      <c r="DU1" s="40" t="inlineStr">
        <is>
          <t>Arm Material</t>
        </is>
      </c>
      <c r="DV1" s="40" t="inlineStr">
        <is>
          <t>Upholstery Fill Material</t>
        </is>
      </c>
      <c r="DW1" s="40" t="inlineStr">
        <is>
          <t>Frame Color / Finish</t>
        </is>
      </c>
      <c r="DX1" s="40" t="inlineStr">
        <is>
          <t>Wood Species</t>
        </is>
      </c>
      <c r="DY1" s="40" t="inlineStr">
        <is>
          <t>Arm Type</t>
        </is>
      </c>
      <c r="DZ1" s="40" t="inlineStr">
        <is>
          <t>Durability</t>
        </is>
      </c>
      <c r="EA1" s="40" t="inlineStr">
        <is>
          <t>Tilt Mechanism Type</t>
        </is>
      </c>
      <c r="EB1" s="40" t="inlineStr">
        <is>
          <t>Pieces Included</t>
        </is>
      </c>
      <c r="EC1" s="40" t="inlineStr">
        <is>
          <t>Rub Count</t>
        </is>
      </c>
      <c r="ED1" s="40" t="inlineStr">
        <is>
          <t>CPSC - 16 CFR 1303 Compliant</t>
        </is>
      </c>
      <c r="EE1" s="40" t="inlineStr">
        <is>
          <t>CARB Phase II Compliant (formaldehyde emissions)</t>
        </is>
      </c>
      <c r="EF1" s="40" t="inlineStr">
        <is>
          <t>TSCA Title VI Compliant (formaldehyde emissions)</t>
        </is>
      </c>
      <c r="EG1" s="40" t="inlineStr">
        <is>
          <t>CANFER Compliant</t>
        </is>
      </c>
      <c r="EH1" s="40" t="inlineStr">
        <is>
          <t>CAL TB 116 Compliant</t>
        </is>
      </c>
      <c r="EI1" s="40" t="inlineStr">
        <is>
          <t>CAL TB 117-2013 Compliant</t>
        </is>
      </c>
      <c r="EJ1" s="40" t="inlineStr">
        <is>
          <t>General Certificate of Conformity (GCC)</t>
        </is>
      </c>
      <c r="EK1" s="40" t="inlineStr">
        <is>
          <t>Uniform Packaging and Labeling Regulations (UPLR) Compliant</t>
        </is>
      </c>
      <c r="EL1" s="40" t="inlineStr">
        <is>
          <t>Reason for Restriction</t>
        </is>
      </c>
      <c r="EM1" s="40" t="inlineStr">
        <is>
          <t>Lacey Act Compliant</t>
        </is>
      </c>
      <c r="EN1" s="40" t="inlineStr">
        <is>
          <t>UN or ID number</t>
        </is>
      </c>
      <c r="EO1" s="40" t="inlineStr">
        <is>
          <t>Hazard Class(es)</t>
        </is>
      </c>
      <c r="EP1" s="40" t="inlineStr">
        <is>
          <t>Packing Group</t>
        </is>
      </c>
      <c r="EQ1" s="40" t="inlineStr">
        <is>
          <t>Hazardous Material Weight</t>
        </is>
      </c>
      <c r="ER1" s="40" t="inlineStr">
        <is>
          <t>Energy Efficiency Regulations Compliant</t>
        </is>
      </c>
      <c r="ES1" s="40" t="inlineStr">
        <is>
          <t>SOR/2016-193 - Surface Coating Materials Regulations</t>
        </is>
      </c>
      <c r="ET1" s="40" t="inlineStr">
        <is>
          <t>ISTA Certified</t>
        </is>
      </c>
      <c r="EU1" s="40" t="inlineStr">
        <is>
          <t>California AB-1817 Compliant (CA PFAS)</t>
        </is>
      </c>
      <c r="EV1" s="40" t="inlineStr">
        <is>
          <t>Commercial Certifications</t>
        </is>
      </c>
      <c r="EW1" s="40" t="inlineStr">
        <is>
          <t>Level of Assembly</t>
        </is>
      </c>
      <c r="EX1" s="40" t="inlineStr">
        <is>
          <t>Additional Tools Required (Not Included)</t>
        </is>
      </c>
      <c r="EY1" s="40" t="inlineStr">
        <is>
          <t>Commercial Warranty Length</t>
        </is>
      </c>
      <c r="EZ1" s="40" t="inlineStr">
        <is>
          <t>Full or Limited Warranty</t>
        </is>
      </c>
      <c r="FA1" s="40" t="inlineStr">
        <is>
          <t>Product Type</t>
        </is>
      </c>
      <c r="FB1" s="40" t="inlineStr">
        <is>
          <t>Material</t>
        </is>
      </c>
      <c r="FC1" s="40" t="inlineStr">
        <is>
          <t>Drawer Glide Type &amp; Extension</t>
        </is>
      </c>
      <c r="FD1" s="40" t="inlineStr">
        <is>
          <t>Tipover Restraint Device Included</t>
        </is>
      </c>
      <c r="FE1" s="40" t="inlineStr">
        <is>
          <t>Purposeful Distressing Type</t>
        </is>
      </c>
      <c r="FF1" s="40" t="inlineStr">
        <is>
          <t>Natural Variation Type</t>
        </is>
      </c>
      <c r="FG1" s="40" t="inlineStr">
        <is>
          <t>Supplier Intended and Approved Use</t>
        </is>
      </c>
      <c r="FH1" s="40" t="inlineStr">
        <is>
          <t>Handle Material</t>
        </is>
      </c>
      <c r="FI1" s="40" t="inlineStr">
        <is>
          <t>Country of Origin - Additional Details</t>
        </is>
      </c>
      <c r="FJ1" s="40" t="inlineStr">
        <is>
          <t>Main Wood Joinery Method</t>
        </is>
      </c>
      <c r="FK1" s="40" t="inlineStr">
        <is>
          <t>Wood Species</t>
        </is>
      </c>
      <c r="FL1" s="40" t="inlineStr">
        <is>
          <t>Product Care</t>
        </is>
      </c>
      <c r="FM1" s="40" t="inlineStr">
        <is>
          <t>Color</t>
        </is>
      </c>
      <c r="FN1" s="40" t="inlineStr">
        <is>
          <t>Manufactured Wood Type</t>
        </is>
      </c>
      <c r="FO1" s="40" t="inlineStr">
        <is>
          <t>Pieces Included</t>
        </is>
      </c>
      <c r="FP1" s="40" t="inlineStr">
        <is>
          <t>Consumer Product Safety Improvement Act (CPSIA) Compliant</t>
        </is>
      </c>
      <c r="FQ1" s="40" t="inlineStr">
        <is>
          <t>CPSC - 16 CFR 1303 Compliant</t>
        </is>
      </c>
      <c r="FR1" s="40" t="inlineStr">
        <is>
          <t>Children’s Product Certificate (CPC)</t>
        </is>
      </c>
      <c r="FS1" s="40" t="inlineStr">
        <is>
          <t>General Certificate of Conformity (GCC)</t>
        </is>
      </c>
      <c r="FT1" s="40" t="inlineStr">
        <is>
          <t>CARB Phase II Compliant (formaldehyde emissions)</t>
        </is>
      </c>
      <c r="FU1" s="40" t="inlineStr">
        <is>
          <t>TSCA Title VI Compliant (formaldehyde emissions)</t>
        </is>
      </c>
      <c r="FV1" s="40" t="inlineStr">
        <is>
          <t>CANFER Compliant</t>
        </is>
      </c>
      <c r="FW1" s="40" t="inlineStr">
        <is>
          <t>Uniform Packaging and Labeling Regulations (UPLR) Compliant</t>
        </is>
      </c>
      <c r="FX1" s="40" t="inlineStr">
        <is>
          <t>Reason for Restriction</t>
        </is>
      </c>
      <c r="FY1" s="40" t="inlineStr">
        <is>
          <t>ASTM F2057-23 (STURDY)</t>
        </is>
      </c>
      <c r="FZ1" s="40" t="inlineStr">
        <is>
          <t>ISTA Certified</t>
        </is>
      </c>
      <c r="GA1" s="40" t="inlineStr">
        <is>
          <t>California AB-1817 Compliant (CA PFAS)</t>
        </is>
      </c>
      <c r="GB1" s="40" t="inlineStr">
        <is>
          <t>Commercial Certifications</t>
        </is>
      </c>
      <c r="GC1" s="40" t="inlineStr">
        <is>
          <t>Level of Assembly</t>
        </is>
      </c>
      <c r="GD1" s="40" t="inlineStr">
        <is>
          <t>Additional Tools Required (Not Included)</t>
        </is>
      </c>
      <c r="GE1" s="40" t="inlineStr">
        <is>
          <t>Commercial Warranty Length</t>
        </is>
      </c>
      <c r="GF1" s="40" t="inlineStr">
        <is>
          <t>Full or Limited Warranty</t>
        </is>
      </c>
      <c r="GG1" s="40" t="inlineStr">
        <is>
          <t>Mattress Size</t>
        </is>
      </c>
      <c r="GH1" s="40" t="inlineStr">
        <is>
          <t>Color</t>
        </is>
      </c>
      <c r="GI1" s="40" t="inlineStr">
        <is>
          <t>Bed Design</t>
        </is>
      </c>
      <c r="GJ1" s="40" t="inlineStr">
        <is>
          <t>Bed Frame Material</t>
        </is>
      </c>
      <c r="GK1" s="40" t="inlineStr">
        <is>
          <t>Upholstery Material</t>
        </is>
      </c>
      <c r="GL1" s="40" t="inlineStr">
        <is>
          <t>Faux Leather Type</t>
        </is>
      </c>
      <c r="GM1" s="40" t="inlineStr">
        <is>
          <t>Slat Material</t>
        </is>
      </c>
      <c r="GN1" s="40" t="inlineStr">
        <is>
          <t>Type of Storage Included</t>
        </is>
      </c>
      <c r="GO1" s="40" t="inlineStr">
        <is>
          <t>Natural Variation Type</t>
        </is>
      </c>
      <c r="GP1" s="40" t="inlineStr">
        <is>
          <t>Purposeful Distressing Type</t>
        </is>
      </c>
      <c r="GQ1" s="40" t="inlineStr">
        <is>
          <t>Supplier Intended and Approved Use</t>
        </is>
      </c>
      <c r="GR1" s="40" t="inlineStr">
        <is>
          <t>Country of Origin - Additional Details</t>
        </is>
      </c>
      <c r="GS1" s="40" t="inlineStr">
        <is>
          <t>Main Wood Joinery Method</t>
        </is>
      </c>
      <c r="GT1" s="40" t="inlineStr">
        <is>
          <t>Wood Species</t>
        </is>
      </c>
      <c r="GU1" s="40" t="inlineStr">
        <is>
          <t>Pattern</t>
        </is>
      </c>
      <c r="GV1" s="40" t="inlineStr">
        <is>
          <t>Battery Composition</t>
        </is>
      </c>
      <c r="GW1" s="40" t="inlineStr">
        <is>
          <t>Battery Type</t>
        </is>
      </c>
      <c r="GX1" s="40" t="inlineStr">
        <is>
          <t>Number of Batteries</t>
        </is>
      </c>
      <c r="GY1" s="40" t="inlineStr">
        <is>
          <t>Battery Shipment</t>
        </is>
      </c>
      <c r="GZ1" s="40" t="inlineStr">
        <is>
          <t>Lithium Content</t>
        </is>
      </c>
      <c r="HA1" s="40" t="inlineStr">
        <is>
          <t>Watt Rating of Cells / Battery</t>
        </is>
      </c>
      <c r="HB1" s="40" t="inlineStr">
        <is>
          <t>Weight of Cells / Battery</t>
        </is>
      </c>
      <c r="HC1" s="40" t="inlineStr">
        <is>
          <t>Manufactured Wood Type</t>
        </is>
      </c>
      <c r="HD1" s="40" t="inlineStr">
        <is>
          <t>Leather Type</t>
        </is>
      </c>
      <c r="HE1" s="40" t="inlineStr">
        <is>
          <t>Upholstery Fabric Quality</t>
        </is>
      </c>
      <c r="HF1" s="40" t="inlineStr">
        <is>
          <t>Headboard Shape</t>
        </is>
      </c>
      <c r="HG1" s="40" t="inlineStr">
        <is>
          <t>Additional Technology Features</t>
        </is>
      </c>
      <c r="HH1" s="40" t="inlineStr">
        <is>
          <t>Pieces Included</t>
        </is>
      </c>
      <c r="HI1" s="40" t="inlineStr">
        <is>
          <t>Upholstery Material Performance Brand</t>
        </is>
      </c>
      <c r="HJ1" s="40" t="inlineStr">
        <is>
          <t>CARB Phase II Compliant (formaldehyde emissions)</t>
        </is>
      </c>
      <c r="HK1" s="40" t="inlineStr">
        <is>
          <t>TSCA Title VI Compliant (formaldehyde emissions)</t>
        </is>
      </c>
      <c r="HL1" s="40" t="inlineStr">
        <is>
          <t>CANFER Compliant</t>
        </is>
      </c>
      <c r="HM1" s="40" t="inlineStr">
        <is>
          <t>SOR/2016-183 Compliant</t>
        </is>
      </c>
      <c r="HN1" s="40" t="inlineStr">
        <is>
          <t>CAL TB 116 Compliant</t>
        </is>
      </c>
      <c r="HO1" s="40" t="inlineStr">
        <is>
          <t>CAL TB 117-2013 Compliant</t>
        </is>
      </c>
      <c r="HP1" s="40" t="inlineStr">
        <is>
          <t>Uniform Packaging and Labeling Regulations (UPLR) Compliant</t>
        </is>
      </c>
      <c r="HQ1" s="40" t="inlineStr">
        <is>
          <t>Reason for Restriction</t>
        </is>
      </c>
      <c r="HR1" s="40" t="inlineStr">
        <is>
          <t>Textile Labelling and Advertising Regulations (C.R.C., c. 1551)</t>
        </is>
      </c>
      <c r="HS1" s="40" t="inlineStr">
        <is>
          <t>SOR/2016-194 - Textile Flammability Regulations</t>
        </is>
      </c>
      <c r="HT1" s="40" t="inlineStr">
        <is>
          <t>Children’s Product Certificate (CPC)</t>
        </is>
      </c>
      <c r="HU1" s="40" t="inlineStr">
        <is>
          <t>General Certificate of Conformity (GCC)</t>
        </is>
      </c>
      <c r="HV1" s="40" t="inlineStr">
        <is>
          <t>UN or ID number</t>
        </is>
      </c>
      <c r="HW1" s="40" t="inlineStr">
        <is>
          <t>Hazard Class(es)</t>
        </is>
      </c>
      <c r="HX1" s="40" t="inlineStr">
        <is>
          <t>Packing Group</t>
        </is>
      </c>
      <c r="HY1" s="40" t="inlineStr">
        <is>
          <t>Hazardous Material Weight</t>
        </is>
      </c>
      <c r="HZ1" s="40" t="inlineStr">
        <is>
          <t>CPSC - 16 CFR 1263 Compliant (Reese's Law)</t>
        </is>
      </c>
      <c r="IA1" s="40" t="inlineStr">
        <is>
          <t>ISTA Certified</t>
        </is>
      </c>
      <c r="IB1" s="40" t="inlineStr">
        <is>
          <t>California AB-1817 Compliant (CA PFAS)</t>
        </is>
      </c>
      <c r="IC1" s="40" t="inlineStr">
        <is>
          <t>SOR/2016-193 - Surface Coating Materials Regulations</t>
        </is>
      </c>
      <c r="ID1" s="40" t="inlineStr">
        <is>
          <t>Consumer Product Safety Improvement Act (CPSIA) Compliant</t>
        </is>
      </c>
      <c r="IE1" s="40" t="inlineStr">
        <is>
          <t>CPSC - 16 CFR 1303 Compliant</t>
        </is>
      </c>
      <c r="IF1" s="40" t="inlineStr">
        <is>
          <t>US Mattress Flammability Regulations Compliant</t>
        </is>
      </c>
      <c r="IG1" s="40" t="inlineStr">
        <is>
          <t>Level of Assembly</t>
        </is>
      </c>
      <c r="IH1" s="40" t="inlineStr">
        <is>
          <t>Additional Tools Required (Not Included)</t>
        </is>
      </c>
      <c r="II1" s="40" t="inlineStr">
        <is>
          <t>Commercial Warranty Length</t>
        </is>
      </c>
      <c r="IJ1" s="40" t="inlineStr">
        <is>
          <t>Full or Limited Warranty</t>
        </is>
      </c>
      <c r="IK1" s="40" t="inlineStr">
        <is>
          <t>Warranty Length</t>
        </is>
      </c>
    </row>
    <row r="2">
      <c r="B2" t="inlineStr">
        <is>
          <t>Primary Variant</t>
        </is>
      </c>
      <c r="C2" t="inlineStr">
        <is>
          <t>Color</t>
        </is>
      </c>
      <c r="D2" t="inlineStr">
        <is>
          <t>Color</t>
        </is>
      </c>
      <c r="E2" t="inlineStr">
        <is>
          <t>Frame Color</t>
        </is>
      </c>
      <c r="F2" t="inlineStr">
        <is>
          <t>Size</t>
        </is>
      </c>
      <c r="G2" t="inlineStr">
        <is>
          <t>Color</t>
        </is>
      </c>
      <c r="H2" t="inlineStr">
        <is>
          <t>Small Parcel</t>
        </is>
      </c>
      <c r="I2" t="inlineStr">
        <is>
          <t>50</t>
        </is>
      </c>
      <c r="J2" t="inlineStr">
        <is>
          <t>0</t>
        </is>
      </c>
      <c r="K2" t="inlineStr">
        <is>
          <t>0</t>
        </is>
      </c>
      <c r="L2" t="inlineStr">
        <is>
          <t>A-alpha-C (2-Amino-9H-pyrido[2,3-b]indole)</t>
        </is>
      </c>
      <c r="M2" t="inlineStr">
        <is>
          <t>Cancer</t>
        </is>
      </c>
      <c r="N2" t="inlineStr">
        <is>
          <t>United States</t>
        </is>
      </c>
      <c r="O2" t="inlineStr">
        <is>
          <t>Specifications</t>
        </is>
      </c>
      <c r="P2" t="inlineStr">
        <is>
          <t>AAFA Certified</t>
        </is>
      </c>
      <c r="Q2" t="inlineStr">
        <is>
          <t>US</t>
        </is>
      </c>
      <c r="R2" t="inlineStr">
        <is>
          <t>Arabic</t>
        </is>
      </c>
      <c r="S2" t="inlineStr">
        <is>
          <t>AV Cart</t>
        </is>
      </c>
      <c r="T2" t="inlineStr">
        <is>
          <t>Polycarbonate (PC)</t>
        </is>
      </c>
      <c r="U2" t="inlineStr">
        <is>
          <t>Acacia</t>
        </is>
      </c>
      <c r="V2" t="inlineStr">
        <is>
          <t>Non Residential Use</t>
        </is>
      </c>
      <c r="W2" t="inlineStr">
        <is>
          <t>Made in USA</t>
        </is>
      </c>
      <c r="X2" t="inlineStr">
        <is>
          <t>Cell</t>
        </is>
      </c>
      <c r="Y2" t="inlineStr">
        <is>
          <t>Lithium Metal</t>
        </is>
      </c>
      <c r="Z2" t="inlineStr">
        <is>
          <t>1</t>
        </is>
      </c>
      <c r="AA2" t="inlineStr">
        <is>
          <t>Stand alone</t>
        </is>
      </c>
      <c r="AB2" t="inlineStr">
        <is>
          <t>Cells exceeding 5 grams</t>
        </is>
      </c>
      <c r="AC2" t="inlineStr">
        <is>
          <t>Cells of between 20w/h and 60w/h</t>
        </is>
      </c>
      <c r="AD2" t="inlineStr">
        <is>
          <t>2.5kg or less</t>
        </is>
      </c>
      <c r="AE2" t="inlineStr">
        <is>
          <t>Wheels / Casters</t>
        </is>
      </c>
      <c r="AF2" t="inlineStr">
        <is>
          <t>Free Standing</t>
        </is>
      </c>
      <c r="AG2" t="inlineStr">
        <is>
          <t>Clear</t>
        </is>
      </c>
      <c r="AH2" t="inlineStr">
        <is>
          <t>Laptop</t>
        </is>
      </c>
      <c r="AI2" t="inlineStr">
        <is>
          <t>Drawers</t>
        </is>
      </c>
      <c r="AJ2" t="inlineStr">
        <is>
          <t>Yes</t>
        </is>
      </c>
      <c r="AK2" t="inlineStr">
        <is>
          <t>Yes</t>
        </is>
      </c>
      <c r="AL2" t="inlineStr">
        <is>
          <t>Yes</t>
        </is>
      </c>
      <c r="AM2" t="inlineStr">
        <is>
          <t>Yes</t>
        </is>
      </c>
      <c r="AN2" t="inlineStr">
        <is>
          <t>Yes</t>
        </is>
      </c>
      <c r="AO2" t="inlineStr">
        <is>
          <t>Dual Language</t>
        </is>
      </c>
      <c r="AP2" t="inlineStr">
        <is>
          <t>Yes</t>
        </is>
      </c>
      <c r="AQ2" t="inlineStr">
        <is>
          <t>Yes</t>
        </is>
      </c>
      <c r="AR2" t="inlineStr">
        <is>
          <t>UN3091</t>
        </is>
      </c>
      <c r="AS2" t="inlineStr">
        <is>
          <t>1</t>
        </is>
      </c>
      <c r="AT2" t="inlineStr">
        <is>
          <t>I</t>
        </is>
      </c>
      <c r="AU2" t="inlineStr">
        <is>
          <t>&gt;0 - ≤25ml</t>
        </is>
      </c>
      <c r="AV2" t="inlineStr">
        <is>
          <t>No</t>
        </is>
      </c>
      <c r="AW2" t="inlineStr">
        <is>
          <t>TÜV Rheinland Certified</t>
        </is>
      </c>
      <c r="AX2" t="inlineStr">
        <is>
          <t>1A</t>
        </is>
      </c>
      <c r="AY2" t="inlineStr">
        <is>
          <t>30 Days</t>
        </is>
      </c>
      <c r="AZ2" t="inlineStr">
        <is>
          <t>30 Days</t>
        </is>
      </c>
      <c r="BA2" t="inlineStr">
        <is>
          <t>Entertainment Center</t>
        </is>
      </c>
      <c r="BB2" t="inlineStr">
        <is>
          <t>Cabinet/Enclosed storage</t>
        </is>
      </c>
      <c r="BC2" t="inlineStr">
        <is>
          <t>Glass</t>
        </is>
      </c>
      <c r="BD2" t="inlineStr">
        <is>
          <t>Distressed Leather</t>
        </is>
      </c>
      <c r="BE2" t="inlineStr">
        <is>
          <t>No Natural Variation</t>
        </is>
      </c>
      <c r="BF2" t="inlineStr">
        <is>
          <t>Yes</t>
        </is>
      </c>
      <c r="BG2" t="inlineStr">
        <is>
          <t>Non Residential Use</t>
        </is>
      </c>
      <c r="BH2" t="inlineStr">
        <is>
          <t>Made in USA</t>
        </is>
      </c>
      <c r="BI2" t="inlineStr">
        <is>
          <t>Dovetail</t>
        </is>
      </c>
      <c r="BJ2" t="inlineStr">
        <is>
          <t>Acacia</t>
        </is>
      </c>
      <c r="BK2" t="inlineStr">
        <is>
          <t>Lithium Metal</t>
        </is>
      </c>
      <c r="BL2" t="inlineStr">
        <is>
          <t>Cell</t>
        </is>
      </c>
      <c r="BM2" t="inlineStr">
        <is>
          <t>1</t>
        </is>
      </c>
      <c r="BN2" t="inlineStr">
        <is>
          <t>Stand alone</t>
        </is>
      </c>
      <c r="BO2" t="inlineStr">
        <is>
          <t>Cells exceeding 5 grams</t>
        </is>
      </c>
      <c r="BP2" t="inlineStr">
        <is>
          <t>Cells of between 20w/h and 60w/h</t>
        </is>
      </c>
      <c r="BQ2" t="inlineStr">
        <is>
          <t>2.5kg or less</t>
        </is>
      </c>
      <c r="BR2" t="inlineStr">
        <is>
          <t>Hand wash recommended</t>
        </is>
      </c>
      <c r="BS2" t="inlineStr">
        <is>
          <t>Polyethylene</t>
        </is>
      </c>
      <c r="BT2" t="inlineStr">
        <is>
          <t>Clear</t>
        </is>
      </c>
      <c r="BU2" t="inlineStr">
        <is>
          <t>0.6 Extension</t>
        </is>
      </c>
      <c r="BV2" t="inlineStr">
        <is>
          <t>Direct Vent</t>
        </is>
      </c>
      <c r="BW2" t="inlineStr">
        <is>
          <t>Electric</t>
        </is>
      </c>
      <c r="BX2" t="inlineStr">
        <is>
          <t>Flush</t>
        </is>
      </c>
      <c r="BY2" t="inlineStr">
        <is>
          <t>Drawers</t>
        </is>
      </c>
      <c r="BZ2" t="inlineStr">
        <is>
          <t>Gel</t>
        </is>
      </c>
      <c r="CA2" t="inlineStr">
        <is>
          <t>Yes</t>
        </is>
      </c>
      <c r="CB2" t="inlineStr">
        <is>
          <t>Yes</t>
        </is>
      </c>
      <c r="CC2" t="inlineStr">
        <is>
          <t>Yes</t>
        </is>
      </c>
      <c r="CD2" t="inlineStr">
        <is>
          <t>Yes</t>
        </is>
      </c>
      <c r="CE2" t="inlineStr">
        <is>
          <t>Yes</t>
        </is>
      </c>
      <c r="CF2" t="inlineStr">
        <is>
          <t>Dual Language</t>
        </is>
      </c>
      <c r="CG2" t="inlineStr">
        <is>
          <t>Yes</t>
        </is>
      </c>
      <c r="CH2" t="inlineStr">
        <is>
          <t>UN3091</t>
        </is>
      </c>
      <c r="CI2" t="inlineStr">
        <is>
          <t>1</t>
        </is>
      </c>
      <c r="CJ2" t="inlineStr">
        <is>
          <t>I</t>
        </is>
      </c>
      <c r="CK2" t="inlineStr">
        <is>
          <t>&gt;0 - ≤25ml</t>
        </is>
      </c>
      <c r="CL2" t="inlineStr">
        <is>
          <t>No</t>
        </is>
      </c>
      <c r="CM2" t="inlineStr">
        <is>
          <t>TÜV Rheinland Certified</t>
        </is>
      </c>
      <c r="CN2" t="inlineStr">
        <is>
          <t>No</t>
        </is>
      </c>
      <c r="CO2" t="inlineStr">
        <is>
          <t>1A</t>
        </is>
      </c>
      <c r="CP2" t="inlineStr">
        <is>
          <t>BIFMA Accredited</t>
        </is>
      </c>
      <c r="CQ2" t="inlineStr">
        <is>
          <t>28"</t>
        </is>
      </c>
      <c r="CR2" t="inlineStr">
        <is>
          <t>No Assembly Needed</t>
        </is>
      </c>
      <c r="CS2" t="inlineStr">
        <is>
          <t>All Tools Included</t>
        </is>
      </c>
      <c r="CT2" t="inlineStr">
        <is>
          <t>30 Days</t>
        </is>
      </c>
      <c r="CU2" t="inlineStr">
        <is>
          <t>Full</t>
        </is>
      </c>
      <c r="CV2" t="inlineStr">
        <is>
          <t>30 Days</t>
        </is>
      </c>
      <c r="CW2" t="inlineStr">
        <is>
          <t>Bankers Chair</t>
        </is>
      </c>
      <c r="CX2" t="inlineStr">
        <is>
          <t>Metal</t>
        </is>
      </c>
      <c r="CY2" t="inlineStr">
        <is>
          <t>Mesh</t>
        </is>
      </c>
      <c r="CZ2" t="inlineStr">
        <is>
          <t>Ceramic</t>
        </is>
      </c>
      <c r="DA2" t="inlineStr">
        <is>
          <t>Polyester Blend</t>
        </is>
      </c>
      <c r="DB2" t="inlineStr">
        <is>
          <t>Fabric</t>
        </is>
      </c>
      <c r="DC2" t="inlineStr">
        <is>
          <t>Twill</t>
        </is>
      </c>
      <c r="DD2" t="inlineStr">
        <is>
          <t>Foam</t>
        </is>
      </c>
      <c r="DE2" t="inlineStr">
        <is>
          <t>Distressed Leather</t>
        </is>
      </c>
      <c r="DF2" t="inlineStr">
        <is>
          <t>No Natural Variation</t>
        </is>
      </c>
      <c r="DG2" t="inlineStr">
        <is>
          <t>Up / Down</t>
        </is>
      </c>
      <c r="DH2" t="inlineStr">
        <is>
          <t>Hardwood</t>
        </is>
      </c>
      <c r="DI2" t="inlineStr">
        <is>
          <t>Non Residential Use</t>
        </is>
      </c>
      <c r="DJ2" t="inlineStr">
        <is>
          <t>Made in USA</t>
        </is>
      </c>
      <c r="DK2" t="inlineStr">
        <is>
          <t>Dovetail</t>
        </is>
      </c>
      <c r="DL2" t="inlineStr">
        <is>
          <t>Lithium Metal</t>
        </is>
      </c>
      <c r="DM2" t="inlineStr">
        <is>
          <t>Cell</t>
        </is>
      </c>
      <c r="DN2" t="inlineStr">
        <is>
          <t>1</t>
        </is>
      </c>
      <c r="DO2" t="inlineStr">
        <is>
          <t>Stand alone</t>
        </is>
      </c>
      <c r="DP2" t="inlineStr">
        <is>
          <t>Cells exceeding 5 grams</t>
        </is>
      </c>
      <c r="DQ2" t="inlineStr">
        <is>
          <t>Cells of between 20w/h and 60w/h</t>
        </is>
      </c>
      <c r="DR2" t="inlineStr">
        <is>
          <t>2.5kg or less</t>
        </is>
      </c>
      <c r="DS2" t="inlineStr">
        <is>
          <t>Hand wash recommended</t>
        </is>
      </c>
      <c r="DT2" t="inlineStr">
        <is>
          <t>Cream</t>
        </is>
      </c>
      <c r="DU2" t="inlineStr">
        <is>
          <t>Wood</t>
        </is>
      </c>
      <c r="DV2" t="inlineStr">
        <is>
          <t>Down</t>
        </is>
      </c>
      <c r="DW2" t="inlineStr">
        <is>
          <t>Stainless Steel</t>
        </is>
      </c>
      <c r="DX2" t="inlineStr">
        <is>
          <t>Acacia</t>
        </is>
      </c>
      <c r="DY2" t="inlineStr">
        <is>
          <t>Armless</t>
        </is>
      </c>
      <c r="DZ2" t="inlineStr">
        <is>
          <t>No Durability Features</t>
        </is>
      </c>
      <c r="EA2" t="inlineStr">
        <is>
          <t>Center Tilt</t>
        </is>
      </c>
      <c r="EB2" t="inlineStr">
        <is>
          <t>Headrest</t>
        </is>
      </c>
      <c r="EC2" t="inlineStr">
        <is>
          <t>Less than 3,000</t>
        </is>
      </c>
      <c r="ED2" t="inlineStr">
        <is>
          <t>Yes</t>
        </is>
      </c>
      <c r="EE2" t="inlineStr">
        <is>
          <t>Yes</t>
        </is>
      </c>
      <c r="EF2" t="inlineStr">
        <is>
          <t>Yes</t>
        </is>
      </c>
      <c r="EG2" t="inlineStr">
        <is>
          <t>Yes</t>
        </is>
      </c>
      <c r="EH2" t="inlineStr">
        <is>
          <t>Yes</t>
        </is>
      </c>
      <c r="EI2" t="inlineStr">
        <is>
          <t>Yes</t>
        </is>
      </c>
      <c r="EJ2" t="inlineStr">
        <is>
          <t>Yes</t>
        </is>
      </c>
      <c r="EK2" t="inlineStr">
        <is>
          <t>Yes</t>
        </is>
      </c>
      <c r="EL2" t="inlineStr">
        <is>
          <t>Dual Language</t>
        </is>
      </c>
      <c r="EM2" t="inlineStr">
        <is>
          <t>Yes</t>
        </is>
      </c>
      <c r="EN2" t="inlineStr">
        <is>
          <t>UN3091</t>
        </is>
      </c>
      <c r="EO2" t="inlineStr">
        <is>
          <t>1</t>
        </is>
      </c>
      <c r="EP2" t="inlineStr">
        <is>
          <t>I</t>
        </is>
      </c>
      <c r="EQ2" t="inlineStr">
        <is>
          <t>&gt;0 - ≤25ml</t>
        </is>
      </c>
      <c r="ER2" t="inlineStr">
        <is>
          <t>No</t>
        </is>
      </c>
      <c r="ES2" t="inlineStr">
        <is>
          <t>Yes</t>
        </is>
      </c>
      <c r="ET2" t="inlineStr">
        <is>
          <t>1A</t>
        </is>
      </c>
      <c r="EU2" t="inlineStr">
        <is>
          <t>Yes</t>
        </is>
      </c>
      <c r="EV2" t="inlineStr">
        <is>
          <t>BIFMA Accredited</t>
        </is>
      </c>
      <c r="EW2" t="inlineStr">
        <is>
          <t>No Assembly Needed</t>
        </is>
      </c>
      <c r="EX2" t="inlineStr">
        <is>
          <t>All Tools Included</t>
        </is>
      </c>
      <c r="EY2" t="inlineStr">
        <is>
          <t>30 Days</t>
        </is>
      </c>
      <c r="EZ2" t="inlineStr">
        <is>
          <t>Full</t>
        </is>
      </c>
      <c r="FA2" t="inlineStr">
        <is>
          <t>Combo Dresser</t>
        </is>
      </c>
      <c r="FB2" t="inlineStr">
        <is>
          <t>Glass</t>
        </is>
      </c>
      <c r="FC2" t="inlineStr">
        <is>
          <t>0.6 Extension</t>
        </is>
      </c>
      <c r="FD2" t="inlineStr">
        <is>
          <t>Yes</t>
        </is>
      </c>
      <c r="FE2" t="inlineStr">
        <is>
          <t>Distressed Leather</t>
        </is>
      </c>
      <c r="FF2" t="inlineStr">
        <is>
          <t>No Natural Variation</t>
        </is>
      </c>
      <c r="FG2" t="inlineStr">
        <is>
          <t>Non Residential Use</t>
        </is>
      </c>
      <c r="FH2" t="inlineStr">
        <is>
          <t>Metal</t>
        </is>
      </c>
      <c r="FI2" t="inlineStr">
        <is>
          <t>Made in USA</t>
        </is>
      </c>
      <c r="FJ2" t="inlineStr">
        <is>
          <t>Dovetail</t>
        </is>
      </c>
      <c r="FK2" t="inlineStr">
        <is>
          <t>Acacia</t>
        </is>
      </c>
      <c r="FL2" t="inlineStr">
        <is>
          <t>Hand wash recommended</t>
        </is>
      </c>
      <c r="FM2" t="inlineStr">
        <is>
          <t>Blue</t>
        </is>
      </c>
      <c r="FN2" t="inlineStr">
        <is>
          <t>Particle Board / Chipboard</t>
        </is>
      </c>
      <c r="FO2" t="inlineStr">
        <is>
          <t>Drawers</t>
        </is>
      </c>
      <c r="FP2" t="inlineStr">
        <is>
          <t>No</t>
        </is>
      </c>
      <c r="FQ2" t="inlineStr">
        <is>
          <t>Yes</t>
        </is>
      </c>
      <c r="FR2" t="inlineStr">
        <is>
          <t>Yes</t>
        </is>
      </c>
      <c r="FS2" t="inlineStr">
        <is>
          <t>Yes</t>
        </is>
      </c>
      <c r="FT2" t="inlineStr">
        <is>
          <t>Yes</t>
        </is>
      </c>
      <c r="FU2" t="inlineStr">
        <is>
          <t>Yes</t>
        </is>
      </c>
      <c r="FV2" t="inlineStr">
        <is>
          <t>Yes</t>
        </is>
      </c>
      <c r="FW2" t="inlineStr">
        <is>
          <t>Yes</t>
        </is>
      </c>
      <c r="FX2" t="inlineStr">
        <is>
          <t>Dual Language</t>
        </is>
      </c>
      <c r="FY2" t="inlineStr">
        <is>
          <t>No</t>
        </is>
      </c>
      <c r="FZ2" t="inlineStr">
        <is>
          <t>1A</t>
        </is>
      </c>
      <c r="GA2" t="inlineStr">
        <is>
          <t>Yes</t>
        </is>
      </c>
      <c r="GB2" t="inlineStr">
        <is>
          <t>BIFMA Accredited</t>
        </is>
      </c>
      <c r="GC2" t="inlineStr">
        <is>
          <t>No Assembly Needed</t>
        </is>
      </c>
      <c r="GD2" t="inlineStr">
        <is>
          <t>All Tools Included</t>
        </is>
      </c>
      <c r="GE2" t="inlineStr">
        <is>
          <t>30 Days</t>
        </is>
      </c>
      <c r="GF2" t="inlineStr">
        <is>
          <t>Full</t>
        </is>
      </c>
      <c r="GG2" t="inlineStr">
        <is>
          <t>Twin</t>
        </is>
      </c>
      <c r="GH2" t="inlineStr">
        <is>
          <t>Blue</t>
        </is>
      </c>
      <c r="GI2" t="inlineStr">
        <is>
          <t>Standard</t>
        </is>
      </c>
      <c r="GJ2" t="inlineStr">
        <is>
          <t>Wicker / Rattan</t>
        </is>
      </c>
      <c r="GK2" t="inlineStr">
        <is>
          <t>Polyester Blend</t>
        </is>
      </c>
      <c r="GL2" t="inlineStr">
        <is>
          <t>Bonded Leather</t>
        </is>
      </c>
      <c r="GM2" t="inlineStr">
        <is>
          <t>Manufactured Wood</t>
        </is>
      </c>
      <c r="GN2" t="inlineStr">
        <is>
          <t>Cabinet</t>
        </is>
      </c>
      <c r="GO2" t="inlineStr">
        <is>
          <t>No Natural Variation</t>
        </is>
      </c>
      <c r="GP2" t="inlineStr">
        <is>
          <t>Distressed Leather</t>
        </is>
      </c>
      <c r="GQ2" t="inlineStr">
        <is>
          <t>Non Residential Use</t>
        </is>
      </c>
      <c r="GR2" t="inlineStr">
        <is>
          <t>Made in USA</t>
        </is>
      </c>
      <c r="GS2" t="inlineStr">
        <is>
          <t>Dovetail</t>
        </is>
      </c>
      <c r="GT2" t="inlineStr">
        <is>
          <t>Acacia</t>
        </is>
      </c>
      <c r="GU2" t="inlineStr">
        <is>
          <t>Striped</t>
        </is>
      </c>
      <c r="GV2" t="inlineStr">
        <is>
          <t>Lithium Metal</t>
        </is>
      </c>
      <c r="GW2" t="inlineStr">
        <is>
          <t>Cell</t>
        </is>
      </c>
      <c r="GX2" t="inlineStr">
        <is>
          <t>1</t>
        </is>
      </c>
      <c r="GY2" t="inlineStr">
        <is>
          <t>Stand alone</t>
        </is>
      </c>
      <c r="GZ2" t="inlineStr">
        <is>
          <t>Cells exceeding 5 grams</t>
        </is>
      </c>
      <c r="HA2" t="inlineStr">
        <is>
          <t>Cells of between 20w/h and 60w/h</t>
        </is>
      </c>
      <c r="HB2" t="inlineStr">
        <is>
          <t>2.5kg or less</t>
        </is>
      </c>
      <c r="HC2" t="inlineStr">
        <is>
          <t>Particle Board / Chipboard</t>
        </is>
      </c>
      <c r="HD2" t="inlineStr">
        <is>
          <t>Suede</t>
        </is>
      </c>
      <c r="HE2" t="inlineStr">
        <is>
          <t>Chenille</t>
        </is>
      </c>
      <c r="HF2" t="inlineStr">
        <is>
          <t>Beveled</t>
        </is>
      </c>
      <c r="HG2" t="inlineStr">
        <is>
          <t>Built In Outlet (AC)</t>
        </is>
      </c>
      <c r="HH2" t="inlineStr">
        <is>
          <t>Box Spring</t>
        </is>
      </c>
      <c r="HI2" t="inlineStr">
        <is>
          <t>InsideOut®</t>
        </is>
      </c>
      <c r="HJ2" t="inlineStr">
        <is>
          <t>Yes</t>
        </is>
      </c>
      <c r="HK2" t="inlineStr">
        <is>
          <t>Yes</t>
        </is>
      </c>
      <c r="HL2" t="inlineStr">
        <is>
          <t>Yes</t>
        </is>
      </c>
      <c r="HM2" t="inlineStr">
        <is>
          <t>Yes</t>
        </is>
      </c>
      <c r="HN2" t="inlineStr">
        <is>
          <t>Yes</t>
        </is>
      </c>
      <c r="HO2" t="inlineStr">
        <is>
          <t>Yes</t>
        </is>
      </c>
      <c r="HP2" t="inlineStr">
        <is>
          <t>Yes</t>
        </is>
      </c>
      <c r="HQ2" t="inlineStr">
        <is>
          <t>Dual Language</t>
        </is>
      </c>
      <c r="HR2" t="inlineStr">
        <is>
          <t>Yes</t>
        </is>
      </c>
      <c r="HS2" t="inlineStr">
        <is>
          <t>Yes</t>
        </is>
      </c>
      <c r="HT2" t="inlineStr">
        <is>
          <t>Yes</t>
        </is>
      </c>
      <c r="HU2" t="inlineStr">
        <is>
          <t>Yes</t>
        </is>
      </c>
      <c r="HV2" t="inlineStr">
        <is>
          <t>UN3091</t>
        </is>
      </c>
      <c r="HW2" t="inlineStr">
        <is>
          <t>1</t>
        </is>
      </c>
      <c r="HX2" t="inlineStr">
        <is>
          <t>I</t>
        </is>
      </c>
      <c r="HY2" t="inlineStr">
        <is>
          <t>&gt;0 - ≤25ml</t>
        </is>
      </c>
      <c r="HZ2" t="inlineStr">
        <is>
          <t>No</t>
        </is>
      </c>
      <c r="IA2" t="inlineStr">
        <is>
          <t>1A</t>
        </is>
      </c>
      <c r="IB2" t="inlineStr">
        <is>
          <t>Yes</t>
        </is>
      </c>
      <c r="IC2" t="inlineStr">
        <is>
          <t>Yes</t>
        </is>
      </c>
      <c r="ID2" t="inlineStr">
        <is>
          <t>No</t>
        </is>
      </c>
      <c r="IE2" t="inlineStr">
        <is>
          <t>Yes</t>
        </is>
      </c>
      <c r="IF2" t="inlineStr">
        <is>
          <t>Yes</t>
        </is>
      </c>
      <c r="IG2" t="inlineStr">
        <is>
          <t>No Assembly Needed</t>
        </is>
      </c>
      <c r="IH2" t="inlineStr">
        <is>
          <t>All Tools Included</t>
        </is>
      </c>
      <c r="II2" t="inlineStr">
        <is>
          <t>30 Days</t>
        </is>
      </c>
      <c r="IJ2" t="inlineStr">
        <is>
          <t>Full</t>
        </is>
      </c>
      <c r="IK2" t="inlineStr">
        <is>
          <t>30 Days</t>
        </is>
      </c>
    </row>
    <row r="3">
      <c r="B3" t="inlineStr">
        <is>
          <t>Non-Primary Variant</t>
        </is>
      </c>
      <c r="C3" t="inlineStr">
        <is>
          <t>Finish</t>
        </is>
      </c>
      <c r="D3" t="inlineStr">
        <is>
          <t>Material</t>
        </is>
      </c>
      <c r="E3" t="inlineStr">
        <is>
          <t>Upholstery Color</t>
        </is>
      </c>
      <c r="F3" t="inlineStr">
        <is>
          <t>Color</t>
        </is>
      </c>
      <c r="H3" t="inlineStr">
        <is>
          <t>LTL</t>
        </is>
      </c>
      <c r="I3" t="inlineStr">
        <is>
          <t>55</t>
        </is>
      </c>
      <c r="J3" t="inlineStr">
        <is>
          <t>24</t>
        </is>
      </c>
      <c r="K3" t="inlineStr">
        <is>
          <t>24</t>
        </is>
      </c>
      <c r="L3" t="inlineStr">
        <is>
          <t>Abiraterone acetate</t>
        </is>
      </c>
      <c r="M3" t="inlineStr">
        <is>
          <t>Developmental</t>
        </is>
      </c>
      <c r="N3" t="inlineStr">
        <is>
          <t>Canada</t>
        </is>
      </c>
      <c r="O3" t="inlineStr">
        <is>
          <t>Installation &amp; Assembly</t>
        </is>
      </c>
      <c r="P3" t="inlineStr">
        <is>
          <t>AATCC 116 Grade</t>
        </is>
      </c>
      <c r="Q3" t="inlineStr">
        <is>
          <t>UK</t>
        </is>
      </c>
      <c r="R3" t="inlineStr">
        <is>
          <t>Bulgarian</t>
        </is>
      </c>
      <c r="S3" t="inlineStr">
        <is>
          <t>Book Cart</t>
        </is>
      </c>
      <c r="T3" t="inlineStr">
        <is>
          <t>Polyethylene Plastic</t>
        </is>
      </c>
      <c r="U3" t="inlineStr">
        <is>
          <t>Alder</t>
        </is>
      </c>
      <c r="V3" t="inlineStr">
        <is>
          <t>Residential Use</t>
        </is>
      </c>
      <c r="W3" t="inlineStr">
        <is>
          <t>Made in USA of Imported Materials</t>
        </is>
      </c>
      <c r="X3" t="inlineStr">
        <is>
          <t>Battery</t>
        </is>
      </c>
      <c r="Y3" t="inlineStr">
        <is>
          <t>Lithium Ion / Lithium Polymer</t>
        </is>
      </c>
      <c r="Z3" t="inlineStr">
        <is>
          <t>2</t>
        </is>
      </c>
      <c r="AA3" t="inlineStr">
        <is>
          <t>Contained in product</t>
        </is>
      </c>
      <c r="AB3" t="inlineStr">
        <is>
          <t>Batteries of 2 grams or less</t>
        </is>
      </c>
      <c r="AC3" t="inlineStr">
        <is>
          <t>Cells exceeding 60w/h</t>
        </is>
      </c>
      <c r="AD3" t="inlineStr">
        <is>
          <t>2.5kg to 5kg</t>
        </is>
      </c>
      <c r="AE3" t="inlineStr">
        <is>
          <t>Seat Cushion</t>
        </is>
      </c>
      <c r="AF3" t="inlineStr">
        <is>
          <t>Fixed</t>
        </is>
      </c>
      <c r="AG3" t="inlineStr">
        <is>
          <t>Cream</t>
        </is>
      </c>
      <c r="AH3" t="inlineStr">
        <is>
          <t>Projector</t>
        </is>
      </c>
      <c r="AI3" t="inlineStr">
        <is>
          <t>Legs</t>
        </is>
      </c>
      <c r="AJ3" t="inlineStr">
        <is>
          <t>No</t>
        </is>
      </c>
      <c r="AK3" t="inlineStr">
        <is>
          <t>No</t>
        </is>
      </c>
      <c r="AL3" t="inlineStr">
        <is>
          <t>No</t>
        </is>
      </c>
      <c r="AM3" t="inlineStr">
        <is>
          <t>No</t>
        </is>
      </c>
      <c r="AN3" t="inlineStr">
        <is>
          <t>No</t>
        </is>
      </c>
      <c r="AO3" t="inlineStr">
        <is>
          <t>Distribution Conflict</t>
        </is>
      </c>
      <c r="AP3" t="inlineStr">
        <is>
          <t>No</t>
        </is>
      </c>
      <c r="AQ3" t="inlineStr">
        <is>
          <t>No</t>
        </is>
      </c>
      <c r="AR3" t="inlineStr">
        <is>
          <t>UN3481</t>
        </is>
      </c>
      <c r="AS3" t="inlineStr">
        <is>
          <t>2.2</t>
        </is>
      </c>
      <c r="AT3" t="inlineStr">
        <is>
          <t>III</t>
        </is>
      </c>
      <c r="AU3" t="inlineStr">
        <is>
          <t>&gt;1L - ≤5L</t>
        </is>
      </c>
      <c r="AV3" t="inlineStr">
        <is>
          <t>Yes</t>
        </is>
      </c>
      <c r="AW3" t="inlineStr">
        <is>
          <t>MET Listed</t>
        </is>
      </c>
      <c r="AX3" t="inlineStr">
        <is>
          <t>3A or 6A</t>
        </is>
      </c>
      <c r="AY3" t="inlineStr">
        <is>
          <t>60 Days</t>
        </is>
      </c>
      <c r="AZ3" t="inlineStr">
        <is>
          <t>60 Days</t>
        </is>
      </c>
      <c r="BA3" t="inlineStr">
        <is>
          <t>TV Stand</t>
        </is>
      </c>
      <c r="BB3" t="inlineStr">
        <is>
          <t>TV Stand Fireplace</t>
        </is>
      </c>
      <c r="BC3" t="inlineStr">
        <is>
          <t>Stainless Steel</t>
        </is>
      </c>
      <c r="BD3" t="inlineStr">
        <is>
          <t>Paint Distressing</t>
        </is>
      </c>
      <c r="BE3" t="inlineStr">
        <is>
          <t>Natural Wood Grain Color Variation</t>
        </is>
      </c>
      <c r="BF3" t="inlineStr">
        <is>
          <t>No</t>
        </is>
      </c>
      <c r="BG3" t="inlineStr">
        <is>
          <t>Residential Use</t>
        </is>
      </c>
      <c r="BH3" t="inlineStr">
        <is>
          <t>Made in USA of Imported Materials</t>
        </is>
      </c>
      <c r="BI3" t="inlineStr">
        <is>
          <t>Mortise and Tenon</t>
        </is>
      </c>
      <c r="BJ3" t="inlineStr">
        <is>
          <t>Alder</t>
        </is>
      </c>
      <c r="BK3" t="inlineStr">
        <is>
          <t>Lithium Ion / Lithium Polymer</t>
        </is>
      </c>
      <c r="BL3" t="inlineStr">
        <is>
          <t>Battery</t>
        </is>
      </c>
      <c r="BM3" t="inlineStr">
        <is>
          <t>2</t>
        </is>
      </c>
      <c r="BN3" t="inlineStr">
        <is>
          <t>Contained in product</t>
        </is>
      </c>
      <c r="BO3" t="inlineStr">
        <is>
          <t>Batteries of 2 grams or less</t>
        </is>
      </c>
      <c r="BP3" t="inlineStr">
        <is>
          <t>Cells exceeding 60w/h</t>
        </is>
      </c>
      <c r="BQ3" t="inlineStr">
        <is>
          <t>2.5kg to 5kg</t>
        </is>
      </c>
      <c r="BR3" t="inlineStr">
        <is>
          <t>Dishwasher safe</t>
        </is>
      </c>
      <c r="BS3" t="inlineStr">
        <is>
          <t>Steel</t>
        </is>
      </c>
      <c r="BT3" t="inlineStr">
        <is>
          <t>Cream</t>
        </is>
      </c>
      <c r="BU3" t="inlineStr">
        <is>
          <t>Ball Bearing</t>
        </is>
      </c>
      <c r="BV3" t="inlineStr">
        <is>
          <t>Natural Vent</t>
        </is>
      </c>
      <c r="BW3" t="inlineStr">
        <is>
          <t>Dual Fuel</t>
        </is>
      </c>
      <c r="BX3" t="inlineStr">
        <is>
          <t>Glass</t>
        </is>
      </c>
      <c r="BY3" t="inlineStr">
        <is>
          <t>Fireplace</t>
        </is>
      </c>
      <c r="BZ3" t="inlineStr">
        <is>
          <t>Gas</t>
        </is>
      </c>
      <c r="CA3" t="inlineStr">
        <is>
          <t>No</t>
        </is>
      </c>
      <c r="CB3" t="inlineStr">
        <is>
          <t>No</t>
        </is>
      </c>
      <c r="CC3" t="inlineStr">
        <is>
          <t>No</t>
        </is>
      </c>
      <c r="CD3" t="inlineStr">
        <is>
          <t>No</t>
        </is>
      </c>
      <c r="CE3" t="inlineStr">
        <is>
          <t>No</t>
        </is>
      </c>
      <c r="CF3" t="inlineStr">
        <is>
          <t>Distribution Conflict</t>
        </is>
      </c>
      <c r="CG3" t="inlineStr">
        <is>
          <t>No</t>
        </is>
      </c>
      <c r="CH3" t="inlineStr">
        <is>
          <t>UN3481</t>
        </is>
      </c>
      <c r="CI3" t="inlineStr">
        <is>
          <t>2.2</t>
        </is>
      </c>
      <c r="CJ3" t="inlineStr">
        <is>
          <t>III</t>
        </is>
      </c>
      <c r="CK3" t="inlineStr">
        <is>
          <t>&gt;1L - ≤5L</t>
        </is>
      </c>
      <c r="CL3" t="inlineStr">
        <is>
          <t>Yes</t>
        </is>
      </c>
      <c r="CM3" t="inlineStr">
        <is>
          <t>MET Listed</t>
        </is>
      </c>
      <c r="CN3" t="inlineStr">
        <is>
          <t>Yes</t>
        </is>
      </c>
      <c r="CO3" t="inlineStr">
        <is>
          <t>3A or 6A</t>
        </is>
      </c>
      <c r="CP3" t="inlineStr">
        <is>
          <t>BIFMA Equivalent</t>
        </is>
      </c>
      <c r="CQ3" t="inlineStr">
        <is>
          <t>24"</t>
        </is>
      </c>
      <c r="CR3" t="inlineStr">
        <is>
          <t>Minimal Assembly Needed</t>
        </is>
      </c>
      <c r="CS3" t="inlineStr">
        <is>
          <t>Tool Free Assembly</t>
        </is>
      </c>
      <c r="CT3" t="inlineStr">
        <is>
          <t>60 Days</t>
        </is>
      </c>
      <c r="CU3" t="inlineStr">
        <is>
          <t>Limited</t>
        </is>
      </c>
      <c r="CV3" t="inlineStr">
        <is>
          <t>60 Days</t>
        </is>
      </c>
      <c r="CW3" t="inlineStr">
        <is>
          <t>Conference Chair</t>
        </is>
      </c>
      <c r="CX3" t="inlineStr">
        <is>
          <t>Aluminum</t>
        </is>
      </c>
      <c r="CY3" t="inlineStr">
        <is>
          <t>Bungee</t>
        </is>
      </c>
      <c r="CZ3" t="inlineStr">
        <is>
          <t>Plastic</t>
        </is>
      </c>
      <c r="DA3" t="inlineStr">
        <is>
          <t>Polyurethane</t>
        </is>
      </c>
      <c r="DB3" t="inlineStr">
        <is>
          <t>Solid Wood</t>
        </is>
      </c>
      <c r="DC3" t="inlineStr">
        <is>
          <t>Fabric</t>
        </is>
      </c>
      <c r="DD3" t="inlineStr">
        <is>
          <t>Cotton</t>
        </is>
      </c>
      <c r="DE3" t="inlineStr">
        <is>
          <t>Paint Distressing</t>
        </is>
      </c>
      <c r="DF3" t="inlineStr">
        <is>
          <t>Natural Wood Grain Color Variation</t>
        </is>
      </c>
      <c r="DG3" t="inlineStr">
        <is>
          <t>Pivot</t>
        </is>
      </c>
      <c r="DH3" t="inlineStr">
        <is>
          <t>Carpet</t>
        </is>
      </c>
      <c r="DI3" t="inlineStr">
        <is>
          <t>Residential Use</t>
        </is>
      </c>
      <c r="DJ3" t="inlineStr">
        <is>
          <t>Made in USA of Imported Materials</t>
        </is>
      </c>
      <c r="DK3" t="inlineStr">
        <is>
          <t>Mortise and Tenon</t>
        </is>
      </c>
      <c r="DL3" t="inlineStr">
        <is>
          <t>Lithium Ion / Lithium Polymer</t>
        </is>
      </c>
      <c r="DM3" t="inlineStr">
        <is>
          <t>Battery</t>
        </is>
      </c>
      <c r="DN3" t="inlineStr">
        <is>
          <t>2</t>
        </is>
      </c>
      <c r="DO3" t="inlineStr">
        <is>
          <t>Contained in product</t>
        </is>
      </c>
      <c r="DP3" t="inlineStr">
        <is>
          <t>Batteries of 2 grams or less</t>
        </is>
      </c>
      <c r="DQ3" t="inlineStr">
        <is>
          <t>Cells exceeding 60w/h</t>
        </is>
      </c>
      <c r="DR3" t="inlineStr">
        <is>
          <t>2.5kg to 5kg</t>
        </is>
      </c>
      <c r="DS3" t="inlineStr">
        <is>
          <t>Dishwasher safe</t>
        </is>
      </c>
      <c r="DT3" t="inlineStr">
        <is>
          <t>Green</t>
        </is>
      </c>
      <c r="DU3" t="inlineStr">
        <is>
          <t>Manufactured Wood</t>
        </is>
      </c>
      <c r="DV3" t="inlineStr">
        <is>
          <t>Feather</t>
        </is>
      </c>
      <c r="DW3" t="inlineStr">
        <is>
          <t>White</t>
        </is>
      </c>
      <c r="DX3" t="inlineStr">
        <is>
          <t>Alder</t>
        </is>
      </c>
      <c r="DY3" t="inlineStr">
        <is>
          <t>Tuxedo Arms</t>
        </is>
      </c>
      <c r="DZ3" t="inlineStr">
        <is>
          <t>Fire Resistant</t>
        </is>
      </c>
      <c r="EA3" t="inlineStr">
        <is>
          <t>Auto Tilt</t>
        </is>
      </c>
      <c r="EB3" t="inlineStr">
        <is>
          <t>Pillow</t>
        </is>
      </c>
      <c r="EC3" t="inlineStr">
        <is>
          <t>3,000-9,000</t>
        </is>
      </c>
      <c r="ED3" t="inlineStr">
        <is>
          <t>No</t>
        </is>
      </c>
      <c r="EE3" t="inlineStr">
        <is>
          <t>No</t>
        </is>
      </c>
      <c r="EF3" t="inlineStr">
        <is>
          <t>No</t>
        </is>
      </c>
      <c r="EG3" t="inlineStr">
        <is>
          <t>No</t>
        </is>
      </c>
      <c r="EH3" t="inlineStr">
        <is>
          <t>No</t>
        </is>
      </c>
      <c r="EI3" t="inlineStr">
        <is>
          <t>No</t>
        </is>
      </c>
      <c r="EJ3" t="inlineStr">
        <is>
          <t>No</t>
        </is>
      </c>
      <c r="EK3" t="inlineStr">
        <is>
          <t>No</t>
        </is>
      </c>
      <c r="EL3" t="inlineStr">
        <is>
          <t>Distribution Conflict</t>
        </is>
      </c>
      <c r="EM3" t="inlineStr">
        <is>
          <t>No</t>
        </is>
      </c>
      <c r="EN3" t="inlineStr">
        <is>
          <t>UN3481</t>
        </is>
      </c>
      <c r="EO3" t="inlineStr">
        <is>
          <t>2.2</t>
        </is>
      </c>
      <c r="EP3" t="inlineStr">
        <is>
          <t>III</t>
        </is>
      </c>
      <c r="EQ3" t="inlineStr">
        <is>
          <t>&gt;1L - ≤5L</t>
        </is>
      </c>
      <c r="ER3" t="inlineStr">
        <is>
          <t>Yes</t>
        </is>
      </c>
      <c r="ES3" t="inlineStr">
        <is>
          <t>No</t>
        </is>
      </c>
      <c r="ET3" t="inlineStr">
        <is>
          <t>3A or 6A</t>
        </is>
      </c>
      <c r="EU3" t="inlineStr">
        <is>
          <t>No</t>
        </is>
      </c>
      <c r="EV3" t="inlineStr">
        <is>
          <t>BIFMA Equivalent</t>
        </is>
      </c>
      <c r="EW3" t="inlineStr">
        <is>
          <t>Minimal Assembly Needed</t>
        </is>
      </c>
      <c r="EX3" t="inlineStr">
        <is>
          <t>Tool Free Assembly</t>
        </is>
      </c>
      <c r="EY3" t="inlineStr">
        <is>
          <t>60 Days</t>
        </is>
      </c>
      <c r="EZ3" t="inlineStr">
        <is>
          <t>Limited</t>
        </is>
      </c>
      <c r="FA3" t="inlineStr">
        <is>
          <t>Double Dresser</t>
        </is>
      </c>
      <c r="FB3" t="inlineStr">
        <is>
          <t>Stainless Steel</t>
        </is>
      </c>
      <c r="FC3" t="inlineStr">
        <is>
          <t>Ball Bearing</t>
        </is>
      </c>
      <c r="FD3" t="inlineStr">
        <is>
          <t>No</t>
        </is>
      </c>
      <c r="FE3" t="inlineStr">
        <is>
          <t>Paint Distressing</t>
        </is>
      </c>
      <c r="FF3" t="inlineStr">
        <is>
          <t>Natural Wood Grain Color Variation</t>
        </is>
      </c>
      <c r="FG3" t="inlineStr">
        <is>
          <t>Residential Use</t>
        </is>
      </c>
      <c r="FH3" t="inlineStr">
        <is>
          <t>Ceramic</t>
        </is>
      </c>
      <c r="FI3" t="inlineStr">
        <is>
          <t>Made in USA of Imported Materials</t>
        </is>
      </c>
      <c r="FJ3" t="inlineStr">
        <is>
          <t>Mortise and Tenon</t>
        </is>
      </c>
      <c r="FK3" t="inlineStr">
        <is>
          <t>Alder</t>
        </is>
      </c>
      <c r="FL3" t="inlineStr">
        <is>
          <t>Dishwasher safe</t>
        </is>
      </c>
      <c r="FM3" t="inlineStr">
        <is>
          <t>Black</t>
        </is>
      </c>
      <c r="FN3" t="inlineStr">
        <is>
          <t>MDF</t>
        </is>
      </c>
      <c r="FO3" t="inlineStr">
        <is>
          <t>Hutch</t>
        </is>
      </c>
      <c r="FP3" t="inlineStr">
        <is>
          <t>Yes</t>
        </is>
      </c>
      <c r="FQ3" t="inlineStr">
        <is>
          <t>No</t>
        </is>
      </c>
      <c r="FR3" t="inlineStr">
        <is>
          <t>No</t>
        </is>
      </c>
      <c r="FS3" t="inlineStr">
        <is>
          <t>No</t>
        </is>
      </c>
      <c r="FT3" t="inlineStr">
        <is>
          <t>No</t>
        </is>
      </c>
      <c r="FU3" t="inlineStr">
        <is>
          <t>No</t>
        </is>
      </c>
      <c r="FV3" t="inlineStr">
        <is>
          <t>No</t>
        </is>
      </c>
      <c r="FW3" t="inlineStr">
        <is>
          <t>No</t>
        </is>
      </c>
      <c r="FX3" t="inlineStr">
        <is>
          <t>Distribution Conflict</t>
        </is>
      </c>
      <c r="FY3" t="inlineStr">
        <is>
          <t>Yes</t>
        </is>
      </c>
      <c r="FZ3" t="inlineStr">
        <is>
          <t>3A or 6A</t>
        </is>
      </c>
      <c r="GA3" t="inlineStr">
        <is>
          <t>No</t>
        </is>
      </c>
      <c r="GB3" t="inlineStr">
        <is>
          <t>BIFMA Equivalent</t>
        </is>
      </c>
      <c r="GC3" t="inlineStr">
        <is>
          <t>Minimal Assembly Needed</t>
        </is>
      </c>
      <c r="GD3" t="inlineStr">
        <is>
          <t>Tool Free Assembly</t>
        </is>
      </c>
      <c r="GE3" t="inlineStr">
        <is>
          <t>60 Days</t>
        </is>
      </c>
      <c r="GF3" t="inlineStr">
        <is>
          <t>Limited</t>
        </is>
      </c>
      <c r="GG3" t="inlineStr">
        <is>
          <t>Extra-long Twin</t>
        </is>
      </c>
      <c r="GH3" t="inlineStr">
        <is>
          <t>Black</t>
        </is>
      </c>
      <c r="GI3" t="inlineStr">
        <is>
          <t>Canopy</t>
        </is>
      </c>
      <c r="GJ3" t="inlineStr">
        <is>
          <t>Stainless Steel</t>
        </is>
      </c>
      <c r="GK3" t="inlineStr">
        <is>
          <t>Polyurethane</t>
        </is>
      </c>
      <c r="GL3" t="inlineStr">
        <is>
          <t>PU</t>
        </is>
      </c>
      <c r="GM3" t="inlineStr">
        <is>
          <t>Wood</t>
        </is>
      </c>
      <c r="GN3" t="inlineStr">
        <is>
          <t>Footboard Storage</t>
        </is>
      </c>
      <c r="GO3" t="inlineStr">
        <is>
          <t>Natural Wood Grain Color Variation</t>
        </is>
      </c>
      <c r="GP3" t="inlineStr">
        <is>
          <t>Paint Distressing</t>
        </is>
      </c>
      <c r="GQ3" t="inlineStr">
        <is>
          <t>Residential Use</t>
        </is>
      </c>
      <c r="GR3" t="inlineStr">
        <is>
          <t>Made in USA of Imported Materials</t>
        </is>
      </c>
      <c r="GS3" t="inlineStr">
        <is>
          <t>Mortise and Tenon</t>
        </is>
      </c>
      <c r="GT3" t="inlineStr">
        <is>
          <t>Alder</t>
        </is>
      </c>
      <c r="GU3" t="inlineStr">
        <is>
          <t>Plaid</t>
        </is>
      </c>
      <c r="GV3" t="inlineStr">
        <is>
          <t>Lithium Ion / Lithium Polymer</t>
        </is>
      </c>
      <c r="GW3" t="inlineStr">
        <is>
          <t>Battery</t>
        </is>
      </c>
      <c r="GX3" t="inlineStr">
        <is>
          <t>2</t>
        </is>
      </c>
      <c r="GY3" t="inlineStr">
        <is>
          <t>Contained in product</t>
        </is>
      </c>
      <c r="GZ3" t="inlineStr">
        <is>
          <t>Batteries of 2 grams or less</t>
        </is>
      </c>
      <c r="HA3" t="inlineStr">
        <is>
          <t>Cells exceeding 60w/h</t>
        </is>
      </c>
      <c r="HB3" t="inlineStr">
        <is>
          <t>2.5kg to 5kg</t>
        </is>
      </c>
      <c r="HC3" t="inlineStr">
        <is>
          <t>MDF</t>
        </is>
      </c>
      <c r="HD3" t="inlineStr">
        <is>
          <t>Leather Match</t>
        </is>
      </c>
      <c r="HE3" t="inlineStr">
        <is>
          <t>Velvet</t>
        </is>
      </c>
      <c r="HF3" t="inlineStr">
        <is>
          <t>Arched</t>
        </is>
      </c>
      <c r="HG3" t="inlineStr">
        <is>
          <t>Built in USB-C Port</t>
        </is>
      </c>
      <c r="HH3" t="inlineStr">
        <is>
          <t>Drawers</t>
        </is>
      </c>
      <c r="HI3" t="inlineStr">
        <is>
          <t>Sustain®</t>
        </is>
      </c>
      <c r="HJ3" t="inlineStr">
        <is>
          <t>No</t>
        </is>
      </c>
      <c r="HK3" t="inlineStr">
        <is>
          <t>No</t>
        </is>
      </c>
      <c r="HL3" t="inlineStr">
        <is>
          <t>No</t>
        </is>
      </c>
      <c r="HM3" t="inlineStr">
        <is>
          <t>No</t>
        </is>
      </c>
      <c r="HN3" t="inlineStr">
        <is>
          <t>No</t>
        </is>
      </c>
      <c r="HO3" t="inlineStr">
        <is>
          <t>No</t>
        </is>
      </c>
      <c r="HP3" t="inlineStr">
        <is>
          <t>No</t>
        </is>
      </c>
      <c r="HQ3" t="inlineStr">
        <is>
          <t>Distribution Conflict</t>
        </is>
      </c>
      <c r="HR3" t="inlineStr">
        <is>
          <t>No</t>
        </is>
      </c>
      <c r="HS3" t="inlineStr">
        <is>
          <t>No</t>
        </is>
      </c>
      <c r="HT3" t="inlineStr">
        <is>
          <t>No</t>
        </is>
      </c>
      <c r="HU3" t="inlineStr">
        <is>
          <t>No</t>
        </is>
      </c>
      <c r="HV3" t="inlineStr">
        <is>
          <t>UN3481</t>
        </is>
      </c>
      <c r="HW3" t="inlineStr">
        <is>
          <t>2.2</t>
        </is>
      </c>
      <c r="HX3" t="inlineStr">
        <is>
          <t>III</t>
        </is>
      </c>
      <c r="HY3" t="inlineStr">
        <is>
          <t>&gt;1L - ≤5L</t>
        </is>
      </c>
      <c r="HZ3" t="inlineStr">
        <is>
          <t>Yes</t>
        </is>
      </c>
      <c r="IA3" t="inlineStr">
        <is>
          <t>3A or 6A</t>
        </is>
      </c>
      <c r="IB3" t="inlineStr">
        <is>
          <t>No</t>
        </is>
      </c>
      <c r="IC3" t="inlineStr">
        <is>
          <t>No</t>
        </is>
      </c>
      <c r="ID3" t="inlineStr">
        <is>
          <t>Yes</t>
        </is>
      </c>
      <c r="IE3" t="inlineStr">
        <is>
          <t>No</t>
        </is>
      </c>
      <c r="IF3" t="inlineStr">
        <is>
          <t>No</t>
        </is>
      </c>
      <c r="IG3" t="inlineStr">
        <is>
          <t>Minimal Assembly Needed</t>
        </is>
      </c>
      <c r="IH3" t="inlineStr">
        <is>
          <t>Tool Free Assembly</t>
        </is>
      </c>
      <c r="II3" t="inlineStr">
        <is>
          <t>60 Days</t>
        </is>
      </c>
      <c r="IJ3" t="inlineStr">
        <is>
          <t>Limited</t>
        </is>
      </c>
      <c r="IK3" t="inlineStr">
        <is>
          <t>60 Days</t>
        </is>
      </c>
    </row>
    <row r="4">
      <c r="B4" t="inlineStr">
        <is>
          <t>Not Variant</t>
        </is>
      </c>
      <c r="C4" t="inlineStr">
        <is>
          <t>Assembly</t>
        </is>
      </c>
      <c r="D4" t="inlineStr">
        <is>
          <t>Size</t>
        </is>
      </c>
      <c r="E4" t="inlineStr">
        <is>
          <t>Upholstery Material</t>
        </is>
      </c>
      <c r="F4" t="inlineStr">
        <is>
          <t>Frame Material</t>
        </is>
      </c>
      <c r="I4" t="inlineStr">
        <is>
          <t>60</t>
        </is>
      </c>
      <c r="J4" t="inlineStr">
        <is>
          <t>48</t>
        </is>
      </c>
      <c r="K4" t="inlineStr">
        <is>
          <t>48</t>
        </is>
      </c>
      <c r="L4" t="inlineStr">
        <is>
          <t>Acetaldehyde</t>
        </is>
      </c>
      <c r="N4" t="inlineStr">
        <is>
          <t>Afghanistan</t>
        </is>
      </c>
      <c r="O4" t="inlineStr">
        <is>
          <t>Owner Manual</t>
        </is>
      </c>
      <c r="P4" t="inlineStr">
        <is>
          <t>AATCC 16.1-2014 Grade</t>
        </is>
      </c>
      <c r="Q4" t="inlineStr">
        <is>
          <t>EU</t>
        </is>
      </c>
      <c r="R4" t="inlineStr">
        <is>
          <t>Czech (Czech Republic)</t>
        </is>
      </c>
      <c r="S4" t="inlineStr">
        <is>
          <t>CPU Holder</t>
        </is>
      </c>
      <c r="T4" t="inlineStr">
        <is>
          <t>Glass</t>
        </is>
      </c>
      <c r="U4" t="inlineStr">
        <is>
          <t>Ash</t>
        </is>
      </c>
      <c r="W4" t="inlineStr">
        <is>
          <t>Product of Canada</t>
        </is>
      </c>
      <c r="X4" t="inlineStr">
        <is>
          <t>Button Cell</t>
        </is>
      </c>
      <c r="Y4" t="inlineStr">
        <is>
          <t>Nickel Cadmium</t>
        </is>
      </c>
      <c r="Z4" t="inlineStr">
        <is>
          <t>3</t>
        </is>
      </c>
      <c r="AA4" t="inlineStr">
        <is>
          <t>Packed with product</t>
        </is>
      </c>
      <c r="AB4" t="inlineStr">
        <is>
          <t>Batteries of between 2 and 25 grams</t>
        </is>
      </c>
      <c r="AC4" t="inlineStr">
        <is>
          <t>Cells of 20w/h or less</t>
        </is>
      </c>
      <c r="AD4" t="inlineStr">
        <is>
          <t>More than 10kg</t>
        </is>
      </c>
      <c r="AE4" t="inlineStr">
        <is>
          <t>Legs</t>
        </is>
      </c>
      <c r="AF4" t="inlineStr">
        <is>
          <t>Wall Mounted</t>
        </is>
      </c>
      <c r="AG4" t="inlineStr">
        <is>
          <t>Purple</t>
        </is>
      </c>
      <c r="AH4" t="inlineStr">
        <is>
          <t>CPU</t>
        </is>
      </c>
      <c r="AI4" t="inlineStr">
        <is>
          <t>Storage</t>
        </is>
      </c>
      <c r="AJ4" t="inlineStr">
        <is>
          <t>Yes, Compliance Verified Program Member</t>
        </is>
      </c>
      <c r="AK4" t="inlineStr">
        <is>
          <t>Yes, Compliance Verified Program Member</t>
        </is>
      </c>
      <c r="AL4" t="inlineStr">
        <is>
          <t>Yes, Compliance Verified Program Member</t>
        </is>
      </c>
      <c r="AM4" t="inlineStr">
        <is>
          <t>Yes, Compliance Verified Program Member</t>
        </is>
      </c>
      <c r="AN4" t="inlineStr">
        <is>
          <t>Yes, Compliance Verified Program Member</t>
        </is>
      </c>
      <c r="AO4" t="inlineStr">
        <is>
          <t>Logistics</t>
        </is>
      </c>
      <c r="AP4" t="inlineStr">
        <is>
          <t>Yes, Compliance Verified Program Member</t>
        </is>
      </c>
      <c r="AQ4" t="inlineStr">
        <is>
          <t>Yes, Compliance Verified Program Member</t>
        </is>
      </c>
      <c r="AR4" t="inlineStr">
        <is>
          <t>UN2800</t>
        </is>
      </c>
      <c r="AS4" t="inlineStr">
        <is>
          <t>2.1</t>
        </is>
      </c>
      <c r="AT4" t="inlineStr">
        <is>
          <t>No Packing Group</t>
        </is>
      </c>
      <c r="AU4" t="inlineStr">
        <is>
          <t>&gt;0.5L - ≤1L</t>
        </is>
      </c>
      <c r="AV4" t="inlineStr">
        <is>
          <t>Yes, Compliance Verified Program Member</t>
        </is>
      </c>
      <c r="AW4" t="inlineStr">
        <is>
          <t>AFNOR UK Ltd</t>
        </is>
      </c>
      <c r="AX4" t="inlineStr">
        <is>
          <t>Does Not Apply</t>
        </is>
      </c>
      <c r="AY4" t="inlineStr">
        <is>
          <t>90 Days</t>
        </is>
      </c>
      <c r="AZ4" t="inlineStr">
        <is>
          <t>90 Days</t>
        </is>
      </c>
      <c r="BB4" t="inlineStr">
        <is>
          <t>Open shelving</t>
        </is>
      </c>
      <c r="BC4" t="inlineStr">
        <is>
          <t>Cane</t>
        </is>
      </c>
      <c r="BD4" t="inlineStr">
        <is>
          <t>Distressed Grain Accents</t>
        </is>
      </c>
      <c r="BE4" t="inlineStr">
        <is>
          <t>Weathered Steel</t>
        </is>
      </c>
      <c r="BH4" t="inlineStr">
        <is>
          <t>Product of Canada</t>
        </is>
      </c>
      <c r="BI4" t="inlineStr">
        <is>
          <t>Rabbet Joint</t>
        </is>
      </c>
      <c r="BJ4" t="inlineStr">
        <is>
          <t>Ash</t>
        </is>
      </c>
      <c r="BK4" t="inlineStr">
        <is>
          <t>Nickel Cadmium</t>
        </is>
      </c>
      <c r="BL4" t="inlineStr">
        <is>
          <t>Button Cell</t>
        </is>
      </c>
      <c r="BM4" t="inlineStr">
        <is>
          <t>3</t>
        </is>
      </c>
      <c r="BN4" t="inlineStr">
        <is>
          <t>Packed with product</t>
        </is>
      </c>
      <c r="BO4" t="inlineStr">
        <is>
          <t>Batteries of between 2 and 25 grams</t>
        </is>
      </c>
      <c r="BP4" t="inlineStr">
        <is>
          <t>Cells of 20w/h or less</t>
        </is>
      </c>
      <c r="BQ4" t="inlineStr">
        <is>
          <t>More than 10kg</t>
        </is>
      </c>
      <c r="BR4" t="inlineStr">
        <is>
          <t>Spot clean only</t>
        </is>
      </c>
      <c r="BS4" t="inlineStr">
        <is>
          <t>Wood Veneers</t>
        </is>
      </c>
      <c r="BT4" t="inlineStr">
        <is>
          <t>Purple</t>
        </is>
      </c>
      <c r="BU4" t="inlineStr">
        <is>
          <t>Soft Close</t>
        </is>
      </c>
      <c r="BV4" t="inlineStr">
        <is>
          <t>Vent Free</t>
        </is>
      </c>
      <c r="BW4" t="inlineStr">
        <is>
          <t>Induction</t>
        </is>
      </c>
      <c r="BX4" t="inlineStr">
        <is>
          <t>Louvered</t>
        </is>
      </c>
      <c r="BY4" t="inlineStr">
        <is>
          <t>Hutch</t>
        </is>
      </c>
      <c r="BZ4" t="inlineStr">
        <is>
          <t>Wood</t>
        </is>
      </c>
      <c r="CA4" t="inlineStr">
        <is>
          <t>Does Not Apply</t>
        </is>
      </c>
      <c r="CB4" t="inlineStr">
        <is>
          <t>Does Not Apply</t>
        </is>
      </c>
      <c r="CC4" t="inlineStr">
        <is>
          <t>Does Not Apply</t>
        </is>
      </c>
      <c r="CD4" t="inlineStr">
        <is>
          <t>Yes, Compliance Verified Program Member</t>
        </is>
      </c>
      <c r="CF4" t="inlineStr">
        <is>
          <t>Logistics</t>
        </is>
      </c>
      <c r="CG4" t="inlineStr">
        <is>
          <t>Yes, Compliance Verified Program Member</t>
        </is>
      </c>
      <c r="CH4" t="inlineStr">
        <is>
          <t>UN2800</t>
        </is>
      </c>
      <c r="CI4" t="inlineStr">
        <is>
          <t>2.1</t>
        </is>
      </c>
      <c r="CJ4" t="inlineStr">
        <is>
          <t>No Packing Group</t>
        </is>
      </c>
      <c r="CK4" t="inlineStr">
        <is>
          <t>&gt;0.5L - ≤1L</t>
        </is>
      </c>
      <c r="CL4" t="inlineStr">
        <is>
          <t>Yes, Compliance Verified Program Member</t>
        </is>
      </c>
      <c r="CM4" t="inlineStr">
        <is>
          <t>AFNOR UK Ltd</t>
        </is>
      </c>
      <c r="CN4" t="inlineStr">
        <is>
          <t>Yes, Compliance Verified Program Member</t>
        </is>
      </c>
      <c r="CO4" t="inlineStr">
        <is>
          <t>Does Not Apply</t>
        </is>
      </c>
      <c r="CP4" t="inlineStr">
        <is>
          <t>Contract Grade Accredited</t>
        </is>
      </c>
      <c r="CQ4" t="inlineStr">
        <is>
          <t>40"</t>
        </is>
      </c>
      <c r="CR4" t="inlineStr">
        <is>
          <t>Full Assembly Needed</t>
        </is>
      </c>
      <c r="CS4" t="inlineStr">
        <is>
          <t>Screwdriver</t>
        </is>
      </c>
      <c r="CT4" t="inlineStr">
        <is>
          <t>90 Days</t>
        </is>
      </c>
      <c r="CU4" t="inlineStr">
        <is>
          <t>Does Not Apply</t>
        </is>
      </c>
      <c r="CV4" t="inlineStr">
        <is>
          <t>90 Days</t>
        </is>
      </c>
      <c r="CW4" t="inlineStr">
        <is>
          <t>Drafting Chair</t>
        </is>
      </c>
      <c r="CX4" t="inlineStr">
        <is>
          <t>Solid Wood</t>
        </is>
      </c>
      <c r="CY4" t="inlineStr">
        <is>
          <t>Other</t>
        </is>
      </c>
      <c r="CZ4" t="inlineStr">
        <is>
          <t>Wood</t>
        </is>
      </c>
      <c r="DA4" t="inlineStr">
        <is>
          <t>Linen Blend</t>
        </is>
      </c>
      <c r="DB4" t="inlineStr">
        <is>
          <t>Leather</t>
        </is>
      </c>
      <c r="DC4" t="inlineStr">
        <is>
          <t>Polyurethane</t>
        </is>
      </c>
      <c r="DD4" t="inlineStr">
        <is>
          <t>Down</t>
        </is>
      </c>
      <c r="DE4" t="inlineStr">
        <is>
          <t>Distressed Grain Accents</t>
        </is>
      </c>
      <c r="DF4" t="inlineStr">
        <is>
          <t>Weathered Steel</t>
        </is>
      </c>
      <c r="DG4" t="inlineStr">
        <is>
          <t>Side to Side</t>
        </is>
      </c>
      <c r="DH4" t="inlineStr">
        <is>
          <t>Linoleum / Laminate</t>
        </is>
      </c>
      <c r="DJ4" t="inlineStr">
        <is>
          <t>Product of Canada</t>
        </is>
      </c>
      <c r="DK4" t="inlineStr">
        <is>
          <t>Rabbet Joint</t>
        </is>
      </c>
      <c r="DL4" t="inlineStr">
        <is>
          <t>Nickel Cadmium</t>
        </is>
      </c>
      <c r="DM4" t="inlineStr">
        <is>
          <t>Button Cell</t>
        </is>
      </c>
      <c r="DN4" t="inlineStr">
        <is>
          <t>3</t>
        </is>
      </c>
      <c r="DO4" t="inlineStr">
        <is>
          <t>Packed with product</t>
        </is>
      </c>
      <c r="DP4" t="inlineStr">
        <is>
          <t>Batteries of between 2 and 25 grams</t>
        </is>
      </c>
      <c r="DQ4" t="inlineStr">
        <is>
          <t>Cells of 20w/h or less</t>
        </is>
      </c>
      <c r="DR4" t="inlineStr">
        <is>
          <t>More than 10kg</t>
        </is>
      </c>
      <c r="DS4" t="inlineStr">
        <is>
          <t>Spot clean only</t>
        </is>
      </c>
      <c r="DT4" t="inlineStr">
        <is>
          <t>Gold</t>
        </is>
      </c>
      <c r="DU4" t="inlineStr">
        <is>
          <t>Rubber</t>
        </is>
      </c>
      <c r="DV4" t="inlineStr">
        <is>
          <t>Down Blend</t>
        </is>
      </c>
      <c r="DW4" t="inlineStr">
        <is>
          <t>Silver</t>
        </is>
      </c>
      <c r="DX4" t="inlineStr">
        <is>
          <t>Ash</t>
        </is>
      </c>
      <c r="DY4" t="inlineStr">
        <is>
          <t>Fixed</t>
        </is>
      </c>
      <c r="DZ4" t="inlineStr">
        <is>
          <t>Antimicrobial</t>
        </is>
      </c>
      <c r="EA4" t="inlineStr">
        <is>
          <t>Knee Tilt</t>
        </is>
      </c>
      <c r="EB4" t="inlineStr">
        <is>
          <t>Chair Mat</t>
        </is>
      </c>
      <c r="EC4" t="inlineStr">
        <is>
          <t>9,000-15,000</t>
        </is>
      </c>
      <c r="ED4" t="inlineStr">
        <is>
          <t>Yes, Compliance Verified Program Member</t>
        </is>
      </c>
      <c r="EE4" t="inlineStr">
        <is>
          <t>Yes, Compliance Verified Program Member</t>
        </is>
      </c>
      <c r="EF4" t="inlineStr">
        <is>
          <t>Yes, Compliance Verified Program Member</t>
        </is>
      </c>
      <c r="EG4" t="inlineStr">
        <is>
          <t>Yes, Compliance Verified Program Member</t>
        </is>
      </c>
      <c r="EH4" t="inlineStr">
        <is>
          <t>Yes, Compliance Verified Program Member</t>
        </is>
      </c>
      <c r="EI4" t="inlineStr">
        <is>
          <t>Yes, Compliance Verified Program Member</t>
        </is>
      </c>
      <c r="EJ4" t="inlineStr">
        <is>
          <t>Yes, Compliance Verified Program Member</t>
        </is>
      </c>
      <c r="EK4" t="inlineStr">
        <is>
          <t>Yes, Compliance Verified Program Member</t>
        </is>
      </c>
      <c r="EL4" t="inlineStr">
        <is>
          <t>Logistics</t>
        </is>
      </c>
      <c r="EM4" t="inlineStr">
        <is>
          <t>Yes, Compliance Verified Program Member</t>
        </is>
      </c>
      <c r="EN4" t="inlineStr">
        <is>
          <t>UN2800</t>
        </is>
      </c>
      <c r="EO4" t="inlineStr">
        <is>
          <t>2.1</t>
        </is>
      </c>
      <c r="EP4" t="inlineStr">
        <is>
          <t>No Packing Group</t>
        </is>
      </c>
      <c r="EQ4" t="inlineStr">
        <is>
          <t>&gt;0.5L - ≤1L</t>
        </is>
      </c>
      <c r="ER4" t="inlineStr">
        <is>
          <t>Yes, Compliance Verified Program Member</t>
        </is>
      </c>
      <c r="ES4" t="inlineStr">
        <is>
          <t>Yes, Compliance Verified Program Member</t>
        </is>
      </c>
      <c r="ET4" t="inlineStr">
        <is>
          <t>Does Not Apply</t>
        </is>
      </c>
      <c r="EU4" t="inlineStr">
        <is>
          <t>Yes, Compliance Verified Program Member</t>
        </is>
      </c>
      <c r="EV4" t="inlineStr">
        <is>
          <t>Contract Grade Accredited</t>
        </is>
      </c>
      <c r="EW4" t="inlineStr">
        <is>
          <t>Full Assembly Needed</t>
        </is>
      </c>
      <c r="EX4" t="inlineStr">
        <is>
          <t>Screwdriver</t>
        </is>
      </c>
      <c r="EY4" t="inlineStr">
        <is>
          <t>90 Days</t>
        </is>
      </c>
      <c r="EZ4" t="inlineStr">
        <is>
          <t>Does Not Apply</t>
        </is>
      </c>
      <c r="FA4" t="inlineStr">
        <is>
          <t>Gentlemens Chest</t>
        </is>
      </c>
      <c r="FB4" t="inlineStr">
        <is>
          <t>Cane</t>
        </is>
      </c>
      <c r="FC4" t="inlineStr">
        <is>
          <t>Soft Close</t>
        </is>
      </c>
      <c r="FE4" t="inlineStr">
        <is>
          <t>Distressed Grain Accents</t>
        </is>
      </c>
      <c r="FF4" t="inlineStr">
        <is>
          <t>Weathered Steel</t>
        </is>
      </c>
      <c r="FH4" t="inlineStr">
        <is>
          <t>Plastic</t>
        </is>
      </c>
      <c r="FI4" t="inlineStr">
        <is>
          <t>Product of Canada</t>
        </is>
      </c>
      <c r="FJ4" t="inlineStr">
        <is>
          <t>Rabbet Joint</t>
        </is>
      </c>
      <c r="FK4" t="inlineStr">
        <is>
          <t>Ash</t>
        </is>
      </c>
      <c r="FL4" t="inlineStr">
        <is>
          <t>Spot clean only</t>
        </is>
      </c>
      <c r="FM4" t="inlineStr">
        <is>
          <t>Brown</t>
        </is>
      </c>
      <c r="FN4" t="inlineStr">
        <is>
          <t>Plywood / Laminate Board</t>
        </is>
      </c>
      <c r="FO4" t="inlineStr">
        <is>
          <t>Mirror</t>
        </is>
      </c>
      <c r="FP4" t="inlineStr">
        <is>
          <t>Does Not Apply</t>
        </is>
      </c>
      <c r="FR4" t="inlineStr">
        <is>
          <t>Does Not Apply</t>
        </is>
      </c>
      <c r="FS4" t="inlineStr">
        <is>
          <t>Does Not Apply</t>
        </is>
      </c>
      <c r="FT4" t="inlineStr">
        <is>
          <t>Does Not Apply</t>
        </is>
      </c>
      <c r="FU4" t="inlineStr">
        <is>
          <t>Does Not Apply</t>
        </is>
      </c>
      <c r="FV4" t="inlineStr">
        <is>
          <t>Yes, Compliance Verified Program Member</t>
        </is>
      </c>
      <c r="FX4" t="inlineStr">
        <is>
          <t>Logistics</t>
        </is>
      </c>
      <c r="FY4" t="inlineStr">
        <is>
          <t>Yes, Compliance Verified Program Member</t>
        </is>
      </c>
      <c r="FZ4" t="inlineStr">
        <is>
          <t>Does Not Apply</t>
        </is>
      </c>
      <c r="GA4" t="inlineStr">
        <is>
          <t>Yes, Compliance Verified Program Member</t>
        </is>
      </c>
      <c r="GB4" t="inlineStr">
        <is>
          <t>Contract Grade Accredited</t>
        </is>
      </c>
      <c r="GC4" t="inlineStr">
        <is>
          <t>Full Assembly Needed</t>
        </is>
      </c>
      <c r="GD4" t="inlineStr">
        <is>
          <t>Screwdriver</t>
        </is>
      </c>
      <c r="GE4" t="inlineStr">
        <is>
          <t>90 Days</t>
        </is>
      </c>
      <c r="GF4" t="inlineStr">
        <is>
          <t>Unavailable</t>
        </is>
      </c>
      <c r="GG4" t="inlineStr">
        <is>
          <t>Full / Double</t>
        </is>
      </c>
      <c r="GH4" t="inlineStr">
        <is>
          <t>Brown</t>
        </is>
      </c>
      <c r="GI4" t="inlineStr">
        <is>
          <t>Four Poster</t>
        </is>
      </c>
      <c r="GJ4" t="inlineStr">
        <is>
          <t>Raffia</t>
        </is>
      </c>
      <c r="GK4" t="inlineStr">
        <is>
          <t>Linen Blend</t>
        </is>
      </c>
      <c r="GL4" t="inlineStr">
        <is>
          <t>PVC</t>
        </is>
      </c>
      <c r="GM4" t="inlineStr">
        <is>
          <t>Metal</t>
        </is>
      </c>
      <c r="GN4" t="inlineStr">
        <is>
          <t>No Storage Included</t>
        </is>
      </c>
      <c r="GO4" t="inlineStr">
        <is>
          <t>Weathered Steel</t>
        </is>
      </c>
      <c r="GP4" t="inlineStr">
        <is>
          <t>Distressed Grain Accents</t>
        </is>
      </c>
      <c r="GR4" t="inlineStr">
        <is>
          <t>Product of Canada</t>
        </is>
      </c>
      <c r="GS4" t="inlineStr">
        <is>
          <t>Rabbet Joint</t>
        </is>
      </c>
      <c r="GT4" t="inlineStr">
        <is>
          <t>Ash</t>
        </is>
      </c>
      <c r="GU4" t="inlineStr">
        <is>
          <t>Chevron</t>
        </is>
      </c>
      <c r="GV4" t="inlineStr">
        <is>
          <t>Nickel Cadmium</t>
        </is>
      </c>
      <c r="GW4" t="inlineStr">
        <is>
          <t>Button Cell</t>
        </is>
      </c>
      <c r="GX4" t="inlineStr">
        <is>
          <t>3</t>
        </is>
      </c>
      <c r="GY4" t="inlineStr">
        <is>
          <t>Packed with product</t>
        </is>
      </c>
      <c r="GZ4" t="inlineStr">
        <is>
          <t>Batteries of between 2 and 25 grams</t>
        </is>
      </c>
      <c r="HA4" t="inlineStr">
        <is>
          <t>Cells of 20w/h or less</t>
        </is>
      </c>
      <c r="HB4" t="inlineStr">
        <is>
          <t>More than 10kg</t>
        </is>
      </c>
      <c r="HC4" t="inlineStr">
        <is>
          <t>Plywood / Laminate Board</t>
        </is>
      </c>
      <c r="HD4" t="inlineStr">
        <is>
          <t>Top Grain Leather</t>
        </is>
      </c>
      <c r="HE4" t="inlineStr">
        <is>
          <t>Cord</t>
        </is>
      </c>
      <c r="HF4" t="inlineStr">
        <is>
          <t>Portman</t>
        </is>
      </c>
      <c r="HG4" t="inlineStr">
        <is>
          <t>LED Lighting Included</t>
        </is>
      </c>
      <c r="HH4" t="inlineStr">
        <is>
          <t>Footboard</t>
        </is>
      </c>
      <c r="HI4" t="inlineStr">
        <is>
          <t>Sunbrella®</t>
        </is>
      </c>
      <c r="HJ4" t="inlineStr">
        <is>
          <t>Yes, Compliance Verified Program Member</t>
        </is>
      </c>
      <c r="HK4" t="inlineStr">
        <is>
          <t>Yes, Compliance Verified Program Member</t>
        </is>
      </c>
      <c r="HL4" t="inlineStr">
        <is>
          <t>Yes, Compliance Verified Program Member</t>
        </is>
      </c>
      <c r="HM4" t="inlineStr">
        <is>
          <t>Yes, Compliance Verified Program Member</t>
        </is>
      </c>
      <c r="HN4" t="inlineStr">
        <is>
          <t>Yes, Compliance Verified Program Member</t>
        </is>
      </c>
      <c r="HO4" t="inlineStr">
        <is>
          <t>Yes, Compliance Verified Program Member</t>
        </is>
      </c>
      <c r="HP4" t="inlineStr">
        <is>
          <t>Yes, Compliance Verified Program Member</t>
        </is>
      </c>
      <c r="HQ4" t="inlineStr">
        <is>
          <t>Logistics</t>
        </is>
      </c>
      <c r="HR4" t="inlineStr">
        <is>
          <t>Yes, Compliance Verified Program Member</t>
        </is>
      </c>
      <c r="HS4" t="inlineStr">
        <is>
          <t>Yes, Compliance Verified Program Member</t>
        </is>
      </c>
      <c r="HT4" t="inlineStr">
        <is>
          <t>Yes, Compliance Verified Program Member</t>
        </is>
      </c>
      <c r="HU4" t="inlineStr">
        <is>
          <t>Yes, Compliance Verified Program Member</t>
        </is>
      </c>
      <c r="HV4" t="inlineStr">
        <is>
          <t>UN2800</t>
        </is>
      </c>
      <c r="HW4" t="inlineStr">
        <is>
          <t>2.1</t>
        </is>
      </c>
      <c r="HX4" t="inlineStr">
        <is>
          <t>No Packing Group</t>
        </is>
      </c>
      <c r="HY4" t="inlineStr">
        <is>
          <t>&gt;0.5L - ≤1L</t>
        </is>
      </c>
      <c r="HZ4" t="inlineStr">
        <is>
          <t>Yes, Compliance Verified Program Member</t>
        </is>
      </c>
      <c r="IA4" t="inlineStr">
        <is>
          <t>Does Not Apply</t>
        </is>
      </c>
      <c r="IB4" t="inlineStr">
        <is>
          <t>Yes, Compliance Verified Program Member</t>
        </is>
      </c>
      <c r="IC4" t="inlineStr">
        <is>
          <t>Yes, Compliance Verified Program Member</t>
        </is>
      </c>
      <c r="ID4" t="inlineStr">
        <is>
          <t>Yes, Compliance Verified Program Member</t>
        </is>
      </c>
      <c r="IE4" t="inlineStr">
        <is>
          <t>Yes, Compliance Verified Program Member</t>
        </is>
      </c>
      <c r="IF4" t="inlineStr">
        <is>
          <t>Yes, Compliance Verified Program Member</t>
        </is>
      </c>
      <c r="IG4" t="inlineStr">
        <is>
          <t>Full Assembly Needed</t>
        </is>
      </c>
      <c r="IH4" t="inlineStr">
        <is>
          <t>Screwdriver</t>
        </is>
      </c>
      <c r="II4" t="inlineStr">
        <is>
          <t>90 Days</t>
        </is>
      </c>
      <c r="IJ4" t="inlineStr">
        <is>
          <t>Does Not Apply</t>
        </is>
      </c>
      <c r="IK4" t="inlineStr">
        <is>
          <t>90 Days</t>
        </is>
      </c>
    </row>
    <row r="5">
      <c r="D5" t="inlineStr">
        <is>
          <t>Fireplace Included</t>
        </is>
      </c>
      <c r="E5" t="inlineStr">
        <is>
          <t>Leather Type</t>
        </is>
      </c>
      <c r="F5" t="inlineStr">
        <is>
          <t>Print/Pattern</t>
        </is>
      </c>
      <c r="I5" t="inlineStr">
        <is>
          <t>65</t>
        </is>
      </c>
      <c r="J5" t="inlineStr">
        <is>
          <t>72</t>
        </is>
      </c>
      <c r="K5" t="inlineStr">
        <is>
          <t>72</t>
        </is>
      </c>
      <c r="L5" t="inlineStr">
        <is>
          <t>Acetamide</t>
        </is>
      </c>
      <c r="N5" t="inlineStr">
        <is>
          <t>Åland Islands</t>
        </is>
      </c>
      <c r="O5" t="inlineStr">
        <is>
          <t>Delivery Information</t>
        </is>
      </c>
      <c r="P5" t="inlineStr">
        <is>
          <t>AATCC 16.3-2014 Grade</t>
        </is>
      </c>
      <c r="Q5" t="inlineStr">
        <is>
          <t>CA</t>
        </is>
      </c>
      <c r="R5" t="inlineStr">
        <is>
          <t>Danish</t>
        </is>
      </c>
      <c r="S5" t="inlineStr">
        <is>
          <t>File Cart</t>
        </is>
      </c>
      <c r="T5" t="inlineStr">
        <is>
          <t>Silicone</t>
        </is>
      </c>
      <c r="U5" t="inlineStr">
        <is>
          <t>Bamboo</t>
        </is>
      </c>
      <c r="W5" t="inlineStr">
        <is>
          <t>Made In Canada</t>
        </is>
      </c>
      <c r="X5" t="inlineStr">
        <is>
          <t>Does Not Apply</t>
        </is>
      </c>
      <c r="Y5" t="inlineStr">
        <is>
          <t>Nickel Metal Hydride</t>
        </is>
      </c>
      <c r="Z5" t="inlineStr">
        <is>
          <t>6</t>
        </is>
      </c>
      <c r="AA5" t="inlineStr">
        <is>
          <t>Does Not Apply</t>
        </is>
      </c>
      <c r="AB5" t="inlineStr">
        <is>
          <t>Cells of 1gram or less</t>
        </is>
      </c>
      <c r="AC5" t="inlineStr">
        <is>
          <t>Batteries exceeding 300w/h</t>
        </is>
      </c>
      <c r="AD5" t="inlineStr">
        <is>
          <t>5kg to 10kg</t>
        </is>
      </c>
      <c r="AE5" t="inlineStr">
        <is>
          <t>Cover</t>
        </is>
      </c>
      <c r="AF5" t="inlineStr">
        <is>
          <t>Tilt</t>
        </is>
      </c>
      <c r="AG5" t="inlineStr">
        <is>
          <t>Gold</t>
        </is>
      </c>
      <c r="AH5" t="inlineStr">
        <is>
          <t>Printer</t>
        </is>
      </c>
      <c r="AI5" t="inlineStr">
        <is>
          <t>TV Mount</t>
        </is>
      </c>
      <c r="AK5" t="inlineStr">
        <is>
          <t>Does Not Apply</t>
        </is>
      </c>
      <c r="AL5" t="inlineStr">
        <is>
          <t>Does Not Apply</t>
        </is>
      </c>
      <c r="AM5" t="inlineStr">
        <is>
          <t>Does Not Apply</t>
        </is>
      </c>
      <c r="AO5" t="inlineStr">
        <is>
          <t>Does Not Apply</t>
        </is>
      </c>
      <c r="AP5" t="inlineStr">
        <is>
          <t>Does Not Apply</t>
        </is>
      </c>
      <c r="AQ5" t="inlineStr">
        <is>
          <t>Does Not Apply</t>
        </is>
      </c>
      <c r="AR5" t="inlineStr">
        <is>
          <t>UN1950</t>
        </is>
      </c>
      <c r="AS5" t="inlineStr">
        <is>
          <t>7</t>
        </is>
      </c>
      <c r="AT5" t="inlineStr">
        <is>
          <t>II</t>
        </is>
      </c>
      <c r="AU5" t="inlineStr">
        <is>
          <t>&gt;0 - ≤100g</t>
        </is>
      </c>
      <c r="AV5" t="inlineStr">
        <is>
          <t>Unavailable</t>
        </is>
      </c>
      <c r="AW5" t="inlineStr">
        <is>
          <t>BSI Assurance UK Ltd</t>
        </is>
      </c>
      <c r="AY5" t="inlineStr">
        <is>
          <t>6 Months</t>
        </is>
      </c>
      <c r="AZ5" t="inlineStr">
        <is>
          <t>6 Months</t>
        </is>
      </c>
      <c r="BB5" t="inlineStr">
        <is>
          <t>Corner unit</t>
        </is>
      </c>
      <c r="BC5" t="inlineStr">
        <is>
          <t>Raffia</t>
        </is>
      </c>
      <c r="BD5" t="inlineStr">
        <is>
          <t>Coat/Paint Distressing</t>
        </is>
      </c>
      <c r="BE5" t="inlineStr">
        <is>
          <t>Wood Knots</t>
        </is>
      </c>
      <c r="BH5" t="inlineStr">
        <is>
          <t>Made In Canada</t>
        </is>
      </c>
      <c r="BI5" t="inlineStr">
        <is>
          <t>Basic Butt</t>
        </is>
      </c>
      <c r="BJ5" t="inlineStr">
        <is>
          <t>Bamboo</t>
        </is>
      </c>
      <c r="BK5" t="inlineStr">
        <is>
          <t>Nickel Metal Hydride</t>
        </is>
      </c>
      <c r="BL5" t="inlineStr">
        <is>
          <t>Does Not Apply</t>
        </is>
      </c>
      <c r="BM5" t="inlineStr">
        <is>
          <t>6</t>
        </is>
      </c>
      <c r="BN5" t="inlineStr">
        <is>
          <t>Does Not Apply</t>
        </is>
      </c>
      <c r="BO5" t="inlineStr">
        <is>
          <t>Cells of 1gram or less</t>
        </is>
      </c>
      <c r="BP5" t="inlineStr">
        <is>
          <t>Batteries exceeding 300w/h</t>
        </is>
      </c>
      <c r="BQ5" t="inlineStr">
        <is>
          <t>5kg to 10kg</t>
        </is>
      </c>
      <c r="BR5" t="inlineStr">
        <is>
          <t>Hand wash only</t>
        </is>
      </c>
      <c r="BS5" t="inlineStr">
        <is>
          <t>Polyvinyl Chloride (PVC)</t>
        </is>
      </c>
      <c r="BT5" t="inlineStr">
        <is>
          <t>Gold</t>
        </is>
      </c>
      <c r="BU5" t="inlineStr">
        <is>
          <t>Roller Glides</t>
        </is>
      </c>
      <c r="BV5" t="inlineStr">
        <is>
          <t>External</t>
        </is>
      </c>
      <c r="BW5" t="inlineStr">
        <is>
          <t>Wood Pellets</t>
        </is>
      </c>
      <c r="BX5" t="inlineStr">
        <is>
          <t>Paneled</t>
        </is>
      </c>
      <c r="BY5" t="inlineStr">
        <is>
          <t>Shelves</t>
        </is>
      </c>
      <c r="BZ5" t="inlineStr">
        <is>
          <t>Electric</t>
        </is>
      </c>
      <c r="CD5" t="inlineStr">
        <is>
          <t>Does Not Apply</t>
        </is>
      </c>
      <c r="CF5" t="inlineStr">
        <is>
          <t>Does Not Apply</t>
        </is>
      </c>
      <c r="CG5" t="inlineStr">
        <is>
          <t>Does Not Apply</t>
        </is>
      </c>
      <c r="CH5" t="inlineStr">
        <is>
          <t>UN1950</t>
        </is>
      </c>
      <c r="CI5" t="inlineStr">
        <is>
          <t>7</t>
        </is>
      </c>
      <c r="CJ5" t="inlineStr">
        <is>
          <t>II</t>
        </is>
      </c>
      <c r="CK5" t="inlineStr">
        <is>
          <t>&gt;0 - ≤100g</t>
        </is>
      </c>
      <c r="CL5" t="inlineStr">
        <is>
          <t>Unavailable</t>
        </is>
      </c>
      <c r="CM5" t="inlineStr">
        <is>
          <t>BSI Assurance UK Ltd</t>
        </is>
      </c>
      <c r="CN5" t="inlineStr">
        <is>
          <t>Does Not Apply</t>
        </is>
      </c>
      <c r="CP5" t="inlineStr">
        <is>
          <t>Unavailable</t>
        </is>
      </c>
      <c r="CQ5" t="inlineStr">
        <is>
          <t>32"</t>
        </is>
      </c>
      <c r="CR5" t="inlineStr">
        <is>
          <t>Does Not Apply</t>
        </is>
      </c>
      <c r="CS5" t="inlineStr">
        <is>
          <t>Allen Wrench</t>
        </is>
      </c>
      <c r="CT5" t="inlineStr">
        <is>
          <t>6 Months</t>
        </is>
      </c>
      <c r="CV5" t="inlineStr">
        <is>
          <t>6 Months</t>
        </is>
      </c>
      <c r="CW5" t="inlineStr">
        <is>
          <t>Executive Chair</t>
        </is>
      </c>
      <c r="CX5" t="inlineStr">
        <is>
          <t>Composite</t>
        </is>
      </c>
      <c r="CY5" t="inlineStr">
        <is>
          <t>Manufactured Wood</t>
        </is>
      </c>
      <c r="CZ5" t="inlineStr">
        <is>
          <t>Manufactured wood</t>
        </is>
      </c>
      <c r="DA5" t="inlineStr">
        <is>
          <t>Cotton Blend</t>
        </is>
      </c>
      <c r="DB5" t="inlineStr">
        <is>
          <t>Faux Leather</t>
        </is>
      </c>
      <c r="DC5" t="inlineStr">
        <is>
          <t>Genuine Leather</t>
        </is>
      </c>
      <c r="DD5" t="inlineStr">
        <is>
          <t>Synthetic Fiber</t>
        </is>
      </c>
      <c r="DE5" t="inlineStr">
        <is>
          <t>Coat/Paint Distressing</t>
        </is>
      </c>
      <c r="DF5" t="inlineStr">
        <is>
          <t>Wood Knots</t>
        </is>
      </c>
      <c r="DG5" t="inlineStr">
        <is>
          <t>Front to Back</t>
        </is>
      </c>
      <c r="DH5" t="inlineStr">
        <is>
          <t>Brick</t>
        </is>
      </c>
      <c r="DJ5" t="inlineStr">
        <is>
          <t>Made In Canada</t>
        </is>
      </c>
      <c r="DK5" t="inlineStr">
        <is>
          <t>Basic Butt</t>
        </is>
      </c>
      <c r="DL5" t="inlineStr">
        <is>
          <t>Nickel Metal Hydride</t>
        </is>
      </c>
      <c r="DM5" t="inlineStr">
        <is>
          <t>Does Not Apply</t>
        </is>
      </c>
      <c r="DN5" t="inlineStr">
        <is>
          <t>6</t>
        </is>
      </c>
      <c r="DO5" t="inlineStr">
        <is>
          <t>Does Not Apply</t>
        </is>
      </c>
      <c r="DP5" t="inlineStr">
        <is>
          <t>Cells of 1gram or less</t>
        </is>
      </c>
      <c r="DQ5" t="inlineStr">
        <is>
          <t>Batteries exceeding 300w/h</t>
        </is>
      </c>
      <c r="DR5" t="inlineStr">
        <is>
          <t>5kg to 10kg</t>
        </is>
      </c>
      <c r="DS5" t="inlineStr">
        <is>
          <t>Hand wash only</t>
        </is>
      </c>
      <c r="DT5" t="inlineStr">
        <is>
          <t>Blue</t>
        </is>
      </c>
      <c r="DU5" t="inlineStr">
        <is>
          <t>Foam</t>
        </is>
      </c>
      <c r="DV5" t="inlineStr">
        <is>
          <t>Synthetic Fiber</t>
        </is>
      </c>
      <c r="DW5" t="inlineStr">
        <is>
          <t>Satin</t>
        </is>
      </c>
      <c r="DX5" t="inlineStr">
        <is>
          <t>Bamboo</t>
        </is>
      </c>
      <c r="DY5" t="inlineStr">
        <is>
          <t>Round Arms</t>
        </is>
      </c>
      <c r="DZ5" t="inlineStr">
        <is>
          <t>Does Not Apply</t>
        </is>
      </c>
      <c r="EA5" t="inlineStr">
        <is>
          <t>Manual Tilt</t>
        </is>
      </c>
      <c r="EB5" t="inlineStr">
        <is>
          <t>Waterfall Seat</t>
        </is>
      </c>
      <c r="EC5" t="inlineStr">
        <is>
          <t>Not Tested</t>
        </is>
      </c>
      <c r="EE5" t="inlineStr">
        <is>
          <t>Does Not Apply</t>
        </is>
      </c>
      <c r="EF5" t="inlineStr">
        <is>
          <t>Does Not Apply</t>
        </is>
      </c>
      <c r="EG5" t="inlineStr">
        <is>
          <t>Does Not Apply</t>
        </is>
      </c>
      <c r="EH5" t="inlineStr">
        <is>
          <t>Unavailable</t>
        </is>
      </c>
      <c r="EI5" t="inlineStr">
        <is>
          <t>Unavailable</t>
        </is>
      </c>
      <c r="EJ5" t="inlineStr">
        <is>
          <t>Does Not Apply</t>
        </is>
      </c>
      <c r="EL5" t="inlineStr">
        <is>
          <t>Does Not Apply</t>
        </is>
      </c>
      <c r="EM5" t="inlineStr">
        <is>
          <t>Does Not Apply</t>
        </is>
      </c>
      <c r="EN5" t="inlineStr">
        <is>
          <t>UN1950</t>
        </is>
      </c>
      <c r="EO5" t="inlineStr">
        <is>
          <t>7</t>
        </is>
      </c>
      <c r="EP5" t="inlineStr">
        <is>
          <t>II</t>
        </is>
      </c>
      <c r="EQ5" t="inlineStr">
        <is>
          <t>&gt;0 - ≤100g</t>
        </is>
      </c>
      <c r="ER5" t="inlineStr">
        <is>
          <t>Unavailable</t>
        </is>
      </c>
      <c r="ES5" t="inlineStr">
        <is>
          <t>Does Not Apply</t>
        </is>
      </c>
      <c r="EU5" t="inlineStr">
        <is>
          <t>Does Not Apply</t>
        </is>
      </c>
      <c r="EV5" t="inlineStr">
        <is>
          <t>Unavailable</t>
        </is>
      </c>
      <c r="EW5" t="inlineStr">
        <is>
          <t>Does Not Apply</t>
        </is>
      </c>
      <c r="EX5" t="inlineStr">
        <is>
          <t>Allen Wrench</t>
        </is>
      </c>
      <c r="EY5" t="inlineStr">
        <is>
          <t>6 Months</t>
        </is>
      </c>
      <c r="FA5" t="inlineStr">
        <is>
          <t>Lingerie Chest / Semainier</t>
        </is>
      </c>
      <c r="FB5" t="inlineStr">
        <is>
          <t>Raffia</t>
        </is>
      </c>
      <c r="FC5" t="inlineStr">
        <is>
          <t>Roller Glides</t>
        </is>
      </c>
      <c r="FE5" t="inlineStr">
        <is>
          <t>Coat/Paint Distressing</t>
        </is>
      </c>
      <c r="FF5" t="inlineStr">
        <is>
          <t>Wood Knots</t>
        </is>
      </c>
      <c r="FH5" t="inlineStr">
        <is>
          <t>Wood</t>
        </is>
      </c>
      <c r="FI5" t="inlineStr">
        <is>
          <t>Made In Canada</t>
        </is>
      </c>
      <c r="FJ5" t="inlineStr">
        <is>
          <t>Basic Butt</t>
        </is>
      </c>
      <c r="FK5" t="inlineStr">
        <is>
          <t>Bamboo</t>
        </is>
      </c>
      <c r="FL5" t="inlineStr">
        <is>
          <t>Hand wash only</t>
        </is>
      </c>
      <c r="FM5" t="inlineStr">
        <is>
          <t>Red</t>
        </is>
      </c>
      <c r="FN5" t="inlineStr">
        <is>
          <t>Unavailable</t>
        </is>
      </c>
      <c r="FO5" t="inlineStr">
        <is>
          <t>Shelves</t>
        </is>
      </c>
      <c r="FV5" t="inlineStr">
        <is>
          <t>Does Not Apply</t>
        </is>
      </c>
      <c r="FX5" t="inlineStr">
        <is>
          <t>Does Not Apply</t>
        </is>
      </c>
      <c r="GA5" t="inlineStr">
        <is>
          <t>Does Not Apply</t>
        </is>
      </c>
      <c r="GB5" t="inlineStr">
        <is>
          <t>Unavailable</t>
        </is>
      </c>
      <c r="GC5" t="inlineStr">
        <is>
          <t>Does Not Apply</t>
        </is>
      </c>
      <c r="GD5" t="inlineStr">
        <is>
          <t>Allen Wrench</t>
        </is>
      </c>
      <c r="GE5" t="inlineStr">
        <is>
          <t>6 Months</t>
        </is>
      </c>
      <c r="GF5" t="inlineStr">
        <is>
          <t>Does Not Apply</t>
        </is>
      </c>
      <c r="GG5" t="inlineStr">
        <is>
          <t>Queen</t>
        </is>
      </c>
      <c r="GH5" t="inlineStr">
        <is>
          <t>Red</t>
        </is>
      </c>
      <c r="GI5" t="inlineStr">
        <is>
          <t>Sleigh</t>
        </is>
      </c>
      <c r="GJ5" t="inlineStr">
        <is>
          <t>Solid + Manufactured Wood</t>
        </is>
      </c>
      <c r="GK5" t="inlineStr">
        <is>
          <t>Cotton Blend</t>
        </is>
      </c>
      <c r="GL5" t="inlineStr">
        <is>
          <t>Vinyl</t>
        </is>
      </c>
      <c r="GM5" t="inlineStr">
        <is>
          <t>Solid Wood</t>
        </is>
      </c>
      <c r="GN5" t="inlineStr">
        <is>
          <t>Shelves</t>
        </is>
      </c>
      <c r="GO5" t="inlineStr">
        <is>
          <t>Wood Knots</t>
        </is>
      </c>
      <c r="GP5" t="inlineStr">
        <is>
          <t>Coat/Paint Distressing</t>
        </is>
      </c>
      <c r="GR5" t="inlineStr">
        <is>
          <t>Made In Canada</t>
        </is>
      </c>
      <c r="GS5" t="inlineStr">
        <is>
          <t>Basic Butt</t>
        </is>
      </c>
      <c r="GT5" t="inlineStr">
        <is>
          <t>Bamboo</t>
        </is>
      </c>
      <c r="GU5" t="inlineStr">
        <is>
          <t>Damask</t>
        </is>
      </c>
      <c r="GV5" t="inlineStr">
        <is>
          <t>Nickel Metal Hydride</t>
        </is>
      </c>
      <c r="GW5" t="inlineStr">
        <is>
          <t>Does Not Apply</t>
        </is>
      </c>
      <c r="GX5" t="inlineStr">
        <is>
          <t>6</t>
        </is>
      </c>
      <c r="GY5" t="inlineStr">
        <is>
          <t>Does Not Apply</t>
        </is>
      </c>
      <c r="GZ5" t="inlineStr">
        <is>
          <t>Cells of 1gram or less</t>
        </is>
      </c>
      <c r="HA5" t="inlineStr">
        <is>
          <t>Batteries exceeding 300w/h</t>
        </is>
      </c>
      <c r="HB5" t="inlineStr">
        <is>
          <t>5kg to 10kg</t>
        </is>
      </c>
      <c r="HC5" t="inlineStr">
        <is>
          <t>Unavailable</t>
        </is>
      </c>
      <c r="HD5" t="inlineStr">
        <is>
          <t>Split Grain Leather</t>
        </is>
      </c>
      <c r="HE5" t="inlineStr">
        <is>
          <t>Denim</t>
        </is>
      </c>
      <c r="HF5" t="inlineStr">
        <is>
          <t>Rectangular</t>
        </is>
      </c>
      <c r="HG5" t="inlineStr">
        <is>
          <t>Lighting Included</t>
        </is>
      </c>
      <c r="HH5" t="inlineStr">
        <is>
          <t>Headboard</t>
        </is>
      </c>
      <c r="HI5" t="inlineStr">
        <is>
          <t>Revolution Performance Fabric®</t>
        </is>
      </c>
      <c r="HJ5" t="inlineStr">
        <is>
          <t>Does Not Apply</t>
        </is>
      </c>
      <c r="HK5" t="inlineStr">
        <is>
          <t>Does Not Apply</t>
        </is>
      </c>
      <c r="HL5" t="inlineStr">
        <is>
          <t>Does Not Apply</t>
        </is>
      </c>
      <c r="HM5" t="inlineStr">
        <is>
          <t>Does Not Apply</t>
        </is>
      </c>
      <c r="HN5" t="inlineStr">
        <is>
          <t>Unavailable</t>
        </is>
      </c>
      <c r="HO5" t="inlineStr">
        <is>
          <t>Unavailable</t>
        </is>
      </c>
      <c r="HQ5" t="inlineStr">
        <is>
          <t>Does Not Apply</t>
        </is>
      </c>
      <c r="HR5" t="inlineStr">
        <is>
          <t>Does Not Apply</t>
        </is>
      </c>
      <c r="HS5" t="inlineStr">
        <is>
          <t>Does Not Apply</t>
        </is>
      </c>
      <c r="HT5" t="inlineStr">
        <is>
          <t>Does Not Apply</t>
        </is>
      </c>
      <c r="HU5" t="inlineStr">
        <is>
          <t>Does Not Apply</t>
        </is>
      </c>
      <c r="HV5" t="inlineStr">
        <is>
          <t>UN1950</t>
        </is>
      </c>
      <c r="HW5" t="inlineStr">
        <is>
          <t>7</t>
        </is>
      </c>
      <c r="HX5" t="inlineStr">
        <is>
          <t>II</t>
        </is>
      </c>
      <c r="HY5" t="inlineStr">
        <is>
          <t>&gt;0 - ≤100g</t>
        </is>
      </c>
      <c r="HZ5" t="inlineStr">
        <is>
          <t>Does Not Apply</t>
        </is>
      </c>
      <c r="IB5" t="inlineStr">
        <is>
          <t>Does Not Apply</t>
        </is>
      </c>
      <c r="IC5" t="inlineStr">
        <is>
          <t>Does Not Apply</t>
        </is>
      </c>
      <c r="ID5" t="inlineStr">
        <is>
          <t>Does Not Apply</t>
        </is>
      </c>
      <c r="IF5" t="inlineStr">
        <is>
          <t>Yes, Compliance Verified Program or Baby Safety Alliance (fka JPMA)</t>
        </is>
      </c>
      <c r="IG5" t="inlineStr">
        <is>
          <t>Does Not Apply</t>
        </is>
      </c>
      <c r="IH5" t="inlineStr">
        <is>
          <t>Allen Wrench</t>
        </is>
      </c>
      <c r="II5" t="inlineStr">
        <is>
          <t>6 Months</t>
        </is>
      </c>
      <c r="IK5" t="inlineStr">
        <is>
          <t>6 Months</t>
        </is>
      </c>
    </row>
    <row r="6">
      <c r="E6" t="inlineStr">
        <is>
          <t>Casters/Glides</t>
        </is>
      </c>
      <c r="F6" t="inlineStr">
        <is>
          <t>Storage</t>
        </is>
      </c>
      <c r="I6" t="inlineStr">
        <is>
          <t>70</t>
        </is>
      </c>
      <c r="J6" t="inlineStr">
        <is>
          <t>96</t>
        </is>
      </c>
      <c r="K6" t="inlineStr">
        <is>
          <t>96</t>
        </is>
      </c>
      <c r="L6" t="inlineStr">
        <is>
          <t>Acetazolamide</t>
        </is>
      </c>
      <c r="N6" t="inlineStr">
        <is>
          <t>Albania</t>
        </is>
      </c>
      <c r="O6" t="inlineStr">
        <is>
          <t>Warranty Information</t>
        </is>
      </c>
      <c r="P6" t="inlineStr">
        <is>
          <t>AATCC 8 Grade</t>
        </is>
      </c>
      <c r="R6" t="inlineStr">
        <is>
          <t>German</t>
        </is>
      </c>
      <c r="S6" t="inlineStr">
        <is>
          <t>Laptop Cart</t>
        </is>
      </c>
      <c r="T6" t="inlineStr">
        <is>
          <t>Stainless Steel</t>
        </is>
      </c>
      <c r="U6" t="inlineStr">
        <is>
          <t>Beech</t>
        </is>
      </c>
      <c r="W6" t="inlineStr">
        <is>
          <t>Does Not Apply</t>
        </is>
      </c>
      <c r="Y6" t="inlineStr">
        <is>
          <t>Alkaline</t>
        </is>
      </c>
      <c r="Z6" t="inlineStr">
        <is>
          <t>7</t>
        </is>
      </c>
      <c r="AB6" t="inlineStr">
        <is>
          <t>Cells of between 1 and 5 grams</t>
        </is>
      </c>
      <c r="AC6" t="inlineStr">
        <is>
          <t>Batteries of between 100w/h and 300 w/h</t>
        </is>
      </c>
      <c r="AD6" t="inlineStr">
        <is>
          <t>Does Not Apply</t>
        </is>
      </c>
      <c r="AE6" t="inlineStr">
        <is>
          <t>Lid</t>
        </is>
      </c>
      <c r="AF6" t="inlineStr">
        <is>
          <t>Articulating</t>
        </is>
      </c>
      <c r="AG6" t="inlineStr">
        <is>
          <t>Silver</t>
        </is>
      </c>
      <c r="AH6" t="inlineStr">
        <is>
          <t>Keyboard</t>
        </is>
      </c>
      <c r="AI6" t="inlineStr">
        <is>
          <t>Wheels / Casters</t>
        </is>
      </c>
      <c r="AR6" t="inlineStr">
        <is>
          <t>UN3496</t>
        </is>
      </c>
      <c r="AS6" t="inlineStr">
        <is>
          <t>5.2</t>
        </is>
      </c>
      <c r="AT6" t="inlineStr">
        <is>
          <t>Does Not Apply</t>
        </is>
      </c>
      <c r="AU6" t="inlineStr">
        <is>
          <t>&gt;100 - ≤500g</t>
        </is>
      </c>
      <c r="AV6" t="inlineStr">
        <is>
          <t>Does Not Apply</t>
        </is>
      </c>
      <c r="AW6" t="inlineStr">
        <is>
          <t>cUL Listed</t>
        </is>
      </c>
      <c r="AY6" t="inlineStr">
        <is>
          <t>1 Year</t>
        </is>
      </c>
      <c r="AZ6" t="inlineStr">
        <is>
          <t>1 Year</t>
        </is>
      </c>
      <c r="BB6" t="inlineStr">
        <is>
          <t>Hutch</t>
        </is>
      </c>
      <c r="BC6" t="inlineStr">
        <is>
          <t>Mango Wood</t>
        </is>
      </c>
      <c r="BD6" t="inlineStr">
        <is>
          <t>Wormholes</t>
        </is>
      </c>
      <c r="BE6" t="inlineStr">
        <is>
          <t>Natural Stone Color Variation</t>
        </is>
      </c>
      <c r="BH6" t="inlineStr">
        <is>
          <t>Does Not Apply</t>
        </is>
      </c>
      <c r="BI6" t="inlineStr">
        <is>
          <t>Biscuit Joint</t>
        </is>
      </c>
      <c r="BJ6" t="inlineStr">
        <is>
          <t>Beech</t>
        </is>
      </c>
      <c r="BK6" t="inlineStr">
        <is>
          <t>Alkaline</t>
        </is>
      </c>
      <c r="BM6" t="inlineStr">
        <is>
          <t>7</t>
        </is>
      </c>
      <c r="BO6" t="inlineStr">
        <is>
          <t>Cells of between 1 and 5 grams</t>
        </is>
      </c>
      <c r="BP6" t="inlineStr">
        <is>
          <t>Batteries of between 100w/h and 300 w/h</t>
        </is>
      </c>
      <c r="BQ6" t="inlineStr">
        <is>
          <t>Does Not Apply</t>
        </is>
      </c>
      <c r="BR6" t="inlineStr">
        <is>
          <t>Delicate cycle</t>
        </is>
      </c>
      <c r="BS6" t="inlineStr">
        <is>
          <t>Polycarbonate</t>
        </is>
      </c>
      <c r="BT6" t="inlineStr">
        <is>
          <t>Silver</t>
        </is>
      </c>
      <c r="BU6" t="inlineStr">
        <is>
          <t>0.75 Extension</t>
        </is>
      </c>
      <c r="BV6" t="inlineStr">
        <is>
          <t>Convertible</t>
        </is>
      </c>
      <c r="BW6" t="inlineStr">
        <is>
          <t>Natural Gas</t>
        </is>
      </c>
      <c r="BX6" t="inlineStr">
        <is>
          <t>Mirrored</t>
        </is>
      </c>
      <c r="BY6" t="inlineStr">
        <is>
          <t>Bridge</t>
        </is>
      </c>
      <c r="BZ6" t="inlineStr">
        <is>
          <t>Unavailable</t>
        </is>
      </c>
      <c r="CH6" t="inlineStr">
        <is>
          <t>UN3496</t>
        </is>
      </c>
      <c r="CI6" t="inlineStr">
        <is>
          <t>5.2</t>
        </is>
      </c>
      <c r="CJ6" t="inlineStr">
        <is>
          <t>Does Not Apply</t>
        </is>
      </c>
      <c r="CK6" t="inlineStr">
        <is>
          <t>&gt;100 - ≤500g</t>
        </is>
      </c>
      <c r="CL6" t="inlineStr">
        <is>
          <t>Does Not Apply</t>
        </is>
      </c>
      <c r="CM6" t="inlineStr">
        <is>
          <t>cUL Listed</t>
        </is>
      </c>
      <c r="CP6" t="inlineStr">
        <is>
          <t>Does Not Apply</t>
        </is>
      </c>
      <c r="CQ6" t="inlineStr">
        <is>
          <t>42"</t>
        </is>
      </c>
      <c r="CS6" t="inlineStr">
        <is>
          <t>Adjustable Wrench</t>
        </is>
      </c>
      <c r="CT6" t="inlineStr">
        <is>
          <t>1 Year</t>
        </is>
      </c>
      <c r="CV6" t="inlineStr">
        <is>
          <t>1 Year</t>
        </is>
      </c>
      <c r="CW6" t="inlineStr">
        <is>
          <t>Gaming Chair</t>
        </is>
      </c>
      <c r="CX6" t="inlineStr">
        <is>
          <t>Plastic</t>
        </is>
      </c>
      <c r="CY6" t="inlineStr">
        <is>
          <t>Fabric</t>
        </is>
      </c>
      <c r="CZ6" t="inlineStr">
        <is>
          <t>Brass</t>
        </is>
      </c>
      <c r="DA6" t="inlineStr">
        <is>
          <t>Faux Leather</t>
        </is>
      </c>
      <c r="DB6" t="inlineStr">
        <is>
          <t>Metal</t>
        </is>
      </c>
      <c r="DC6" t="inlineStr">
        <is>
          <t>Vinyl</t>
        </is>
      </c>
      <c r="DD6" t="inlineStr">
        <is>
          <t>Feather</t>
        </is>
      </c>
      <c r="DE6" t="inlineStr">
        <is>
          <t>Wormholes</t>
        </is>
      </c>
      <c r="DF6" t="inlineStr">
        <is>
          <t>Natural Stone Color Variation</t>
        </is>
      </c>
      <c r="DG6" t="inlineStr">
        <is>
          <t>Non-Adjustable</t>
        </is>
      </c>
      <c r="DH6" t="inlineStr">
        <is>
          <t>Porcelain</t>
        </is>
      </c>
      <c r="DJ6" t="inlineStr">
        <is>
          <t>Does Not Apply</t>
        </is>
      </c>
      <c r="DK6" t="inlineStr">
        <is>
          <t>Biscuit Joint</t>
        </is>
      </c>
      <c r="DL6" t="inlineStr">
        <is>
          <t>Alkaline</t>
        </is>
      </c>
      <c r="DN6" t="inlineStr">
        <is>
          <t>7</t>
        </is>
      </c>
      <c r="DP6" t="inlineStr">
        <is>
          <t>Cells of between 1 and 5 grams</t>
        </is>
      </c>
      <c r="DQ6" t="inlineStr">
        <is>
          <t>Batteries of between 100w/h and 300 w/h</t>
        </is>
      </c>
      <c r="DR6" t="inlineStr">
        <is>
          <t>Does Not Apply</t>
        </is>
      </c>
      <c r="DS6" t="inlineStr">
        <is>
          <t>Delicate cycle</t>
        </is>
      </c>
      <c r="DT6" t="inlineStr">
        <is>
          <t>Beige</t>
        </is>
      </c>
      <c r="DU6" t="inlineStr">
        <is>
          <t>Plastic / Acrylic</t>
        </is>
      </c>
      <c r="DV6" t="inlineStr">
        <is>
          <t>Foam</t>
        </is>
      </c>
      <c r="DW6" t="inlineStr">
        <is>
          <t>Gold</t>
        </is>
      </c>
      <c r="DX6" t="inlineStr">
        <is>
          <t>Beech</t>
        </is>
      </c>
      <c r="DY6" t="inlineStr">
        <is>
          <t>Square Arms</t>
        </is>
      </c>
      <c r="EA6" t="inlineStr">
        <is>
          <t>Synchro Tilt</t>
        </is>
      </c>
      <c r="EB6" t="inlineStr">
        <is>
          <t>Wheels / Casters</t>
        </is>
      </c>
      <c r="EC6" t="inlineStr">
        <is>
          <t>30,000-50,000</t>
        </is>
      </c>
      <c r="EH6" t="inlineStr">
        <is>
          <t>Does Not Apply</t>
        </is>
      </c>
      <c r="EI6" t="inlineStr">
        <is>
          <t>Does Not Apply</t>
        </is>
      </c>
      <c r="EN6" t="inlineStr">
        <is>
          <t>UN3496</t>
        </is>
      </c>
      <c r="EO6" t="inlineStr">
        <is>
          <t>5.2</t>
        </is>
      </c>
      <c r="EP6" t="inlineStr">
        <is>
          <t>Does Not Apply</t>
        </is>
      </c>
      <c r="EQ6" t="inlineStr">
        <is>
          <t>&gt;100 - ≤500g</t>
        </is>
      </c>
      <c r="ER6" t="inlineStr">
        <is>
          <t>Does Not Apply</t>
        </is>
      </c>
      <c r="EV6" t="inlineStr">
        <is>
          <t>Does Not Apply</t>
        </is>
      </c>
      <c r="EX6" t="inlineStr">
        <is>
          <t>Adjustable Wrench</t>
        </is>
      </c>
      <c r="EY6" t="inlineStr">
        <is>
          <t>1 Year</t>
        </is>
      </c>
      <c r="FA6" t="inlineStr">
        <is>
          <t>Mini Chest</t>
        </is>
      </c>
      <c r="FB6" t="inlineStr">
        <is>
          <t>Mango Wood</t>
        </is>
      </c>
      <c r="FC6" t="inlineStr">
        <is>
          <t>0.75 Extension</t>
        </is>
      </c>
      <c r="FE6" t="inlineStr">
        <is>
          <t>Wormholes</t>
        </is>
      </c>
      <c r="FF6" t="inlineStr">
        <is>
          <t>Natural Stone Color Variation</t>
        </is>
      </c>
      <c r="FH6" t="inlineStr">
        <is>
          <t>Aluminum</t>
        </is>
      </c>
      <c r="FI6" t="inlineStr">
        <is>
          <t>Does Not Apply</t>
        </is>
      </c>
      <c r="FJ6" t="inlineStr">
        <is>
          <t>Biscuit Joint</t>
        </is>
      </c>
      <c r="FK6" t="inlineStr">
        <is>
          <t>Beech</t>
        </is>
      </c>
      <c r="FL6" t="inlineStr">
        <is>
          <t>Delicate cycle</t>
        </is>
      </c>
      <c r="FM6" t="inlineStr">
        <is>
          <t>Beige</t>
        </is>
      </c>
      <c r="FN6" t="inlineStr">
        <is>
          <t>Does Not Apply</t>
        </is>
      </c>
      <c r="FO6" t="inlineStr">
        <is>
          <t>Lighting</t>
        </is>
      </c>
      <c r="GB6" t="inlineStr">
        <is>
          <t>Does Not Apply</t>
        </is>
      </c>
      <c r="GD6" t="inlineStr">
        <is>
          <t>Adjustable Wrench</t>
        </is>
      </c>
      <c r="GE6" t="inlineStr">
        <is>
          <t>1 Year</t>
        </is>
      </c>
      <c r="GG6" t="inlineStr">
        <is>
          <t>King</t>
        </is>
      </c>
      <c r="GH6" t="inlineStr">
        <is>
          <t>Beige</t>
        </is>
      </c>
      <c r="GI6" t="inlineStr">
        <is>
          <t>TV Bed</t>
        </is>
      </c>
      <c r="GJ6" t="inlineStr">
        <is>
          <t>Iron</t>
        </is>
      </c>
      <c r="GK6" t="inlineStr">
        <is>
          <t>Faux Leather</t>
        </is>
      </c>
      <c r="GL6" t="inlineStr">
        <is>
          <t>Shagreen Embossed</t>
        </is>
      </c>
      <c r="GM6" t="inlineStr">
        <is>
          <t>Solid + Manufactured Wood</t>
        </is>
      </c>
      <c r="GN6" t="inlineStr">
        <is>
          <t>Drawers</t>
        </is>
      </c>
      <c r="GO6" t="inlineStr">
        <is>
          <t>Natural Stone Color Variation</t>
        </is>
      </c>
      <c r="GP6" t="inlineStr">
        <is>
          <t>Wormholes</t>
        </is>
      </c>
      <c r="GR6" t="inlineStr">
        <is>
          <t>Does Not Apply</t>
        </is>
      </c>
      <c r="GS6" t="inlineStr">
        <is>
          <t>Biscuit Joint</t>
        </is>
      </c>
      <c r="GT6" t="inlineStr">
        <is>
          <t>Beech</t>
        </is>
      </c>
      <c r="GU6" t="inlineStr">
        <is>
          <t>Paisley</t>
        </is>
      </c>
      <c r="GV6" t="inlineStr">
        <is>
          <t>Alkaline</t>
        </is>
      </c>
      <c r="GX6" t="inlineStr">
        <is>
          <t>7</t>
        </is>
      </c>
      <c r="GZ6" t="inlineStr">
        <is>
          <t>Cells of between 1 and 5 grams</t>
        </is>
      </c>
      <c r="HA6" t="inlineStr">
        <is>
          <t>Batteries of between 100w/h and 300 w/h</t>
        </is>
      </c>
      <c r="HB6" t="inlineStr">
        <is>
          <t>Does Not Apply</t>
        </is>
      </c>
      <c r="HC6" t="inlineStr">
        <is>
          <t>Does Not Apply</t>
        </is>
      </c>
      <c r="HD6" t="inlineStr">
        <is>
          <t>Nubuck</t>
        </is>
      </c>
      <c r="HE6" t="inlineStr">
        <is>
          <t>Microfiber / Microsuede</t>
        </is>
      </c>
      <c r="HF6" t="inlineStr">
        <is>
          <t>Camelback</t>
        </is>
      </c>
      <c r="HG6" t="inlineStr">
        <is>
          <t>Built In Speaker</t>
        </is>
      </c>
      <c r="HH6" t="inlineStr">
        <is>
          <t>Mattress</t>
        </is>
      </c>
      <c r="HI6" t="inlineStr">
        <is>
          <t>Livesmart®</t>
        </is>
      </c>
      <c r="HN6" t="inlineStr">
        <is>
          <t>Does Not Apply</t>
        </is>
      </c>
      <c r="HO6" t="inlineStr">
        <is>
          <t>Does Not Apply</t>
        </is>
      </c>
      <c r="HV6" t="inlineStr">
        <is>
          <t>UN3496</t>
        </is>
      </c>
      <c r="HW6" t="inlineStr">
        <is>
          <t>5.2</t>
        </is>
      </c>
      <c r="HX6" t="inlineStr">
        <is>
          <t>Does Not Apply</t>
        </is>
      </c>
      <c r="HY6" t="inlineStr">
        <is>
          <t>&gt;100 - ≤500g</t>
        </is>
      </c>
      <c r="IF6" t="inlineStr">
        <is>
          <t>Does Not Apply</t>
        </is>
      </c>
      <c r="IH6" t="inlineStr">
        <is>
          <t>Adjustable Wrench</t>
        </is>
      </c>
      <c r="II6" t="inlineStr">
        <is>
          <t>1 Year</t>
        </is>
      </c>
      <c r="IK6" t="inlineStr">
        <is>
          <t>1 Year</t>
        </is>
      </c>
    </row>
    <row r="7">
      <c r="E7" t="inlineStr">
        <is>
          <t>Arm Type</t>
        </is>
      </c>
      <c r="I7" t="inlineStr">
        <is>
          <t>77.5</t>
        </is>
      </c>
      <c r="J7" t="inlineStr">
        <is>
          <t>120</t>
        </is>
      </c>
      <c r="K7" t="inlineStr">
        <is>
          <t>120</t>
        </is>
      </c>
      <c r="L7" t="inlineStr">
        <is>
          <t>Acetochlor</t>
        </is>
      </c>
      <c r="N7" t="inlineStr">
        <is>
          <t>Algeria</t>
        </is>
      </c>
      <c r="O7" t="inlineStr">
        <is>
          <t>Certifications</t>
        </is>
      </c>
      <c r="P7" t="inlineStr">
        <is>
          <t>AC Rated</t>
        </is>
      </c>
      <c r="R7" t="inlineStr">
        <is>
          <t>Greek</t>
        </is>
      </c>
      <c r="S7" t="inlineStr">
        <is>
          <t>Printer Stand</t>
        </is>
      </c>
      <c r="T7" t="inlineStr">
        <is>
          <t>Melamine</t>
        </is>
      </c>
      <c r="U7" t="inlineStr">
        <is>
          <t>Birch</t>
        </is>
      </c>
      <c r="Y7" t="inlineStr">
        <is>
          <t>Carbon Zinc</t>
        </is>
      </c>
      <c r="Z7" t="inlineStr">
        <is>
          <t>5</t>
        </is>
      </c>
      <c r="AB7" t="inlineStr">
        <is>
          <t>Batteries exceeding 25 grams</t>
        </is>
      </c>
      <c r="AC7" t="inlineStr">
        <is>
          <t>Batteries of 100w/h or less</t>
        </is>
      </c>
      <c r="AE7" t="inlineStr">
        <is>
          <t>Headboard</t>
        </is>
      </c>
      <c r="AF7" t="inlineStr">
        <is>
          <t>Tank mount</t>
        </is>
      </c>
      <c r="AG7" t="inlineStr">
        <is>
          <t>Polished Chrome</t>
        </is>
      </c>
      <c r="AH7" t="inlineStr">
        <is>
          <t>TV/Monitor</t>
        </is>
      </c>
      <c r="AI7" t="inlineStr">
        <is>
          <t>Cabinets</t>
        </is>
      </c>
      <c r="AR7" t="inlineStr">
        <is>
          <t>ID8000</t>
        </is>
      </c>
      <c r="AS7" t="inlineStr">
        <is>
          <t>6.1</t>
        </is>
      </c>
      <c r="AU7" t="inlineStr">
        <is>
          <t>&gt;500g - ≤1kg</t>
        </is>
      </c>
      <c r="AW7" t="inlineStr">
        <is>
          <t>ETL Listed</t>
        </is>
      </c>
      <c r="AY7" t="inlineStr">
        <is>
          <t>2 Years</t>
        </is>
      </c>
      <c r="AZ7" t="inlineStr">
        <is>
          <t>2 Years</t>
        </is>
      </c>
      <c r="BB7" t="inlineStr">
        <is>
          <t>Piers</t>
        </is>
      </c>
      <c r="BC7" t="inlineStr">
        <is>
          <t>Aluminum</t>
        </is>
      </c>
      <c r="BD7" t="inlineStr">
        <is>
          <t>No Natural Variation</t>
        </is>
      </c>
      <c r="BE7" t="inlineStr">
        <is>
          <t>Unavailable</t>
        </is>
      </c>
      <c r="BI7" t="inlineStr">
        <is>
          <t>Tongue and Groove</t>
        </is>
      </c>
      <c r="BJ7" t="inlineStr">
        <is>
          <t>Birch</t>
        </is>
      </c>
      <c r="BK7" t="inlineStr">
        <is>
          <t>Carbon Zinc</t>
        </is>
      </c>
      <c r="BM7" t="inlineStr">
        <is>
          <t>5</t>
        </is>
      </c>
      <c r="BO7" t="inlineStr">
        <is>
          <t>Batteries exceeding 25 grams</t>
        </is>
      </c>
      <c r="BP7" t="inlineStr">
        <is>
          <t>Batteries of 100w/h or less</t>
        </is>
      </c>
      <c r="BR7" t="inlineStr">
        <is>
          <t>Commercial laundry safe</t>
        </is>
      </c>
      <c r="BS7" t="inlineStr">
        <is>
          <t>Stainless Steel</t>
        </is>
      </c>
      <c r="BT7" t="inlineStr">
        <is>
          <t>Polished Chrome</t>
        </is>
      </c>
      <c r="BU7" t="inlineStr">
        <is>
          <t>Full Extension</t>
        </is>
      </c>
      <c r="BV7" t="inlineStr">
        <is>
          <t>Recirculating</t>
        </is>
      </c>
      <c r="BW7" t="inlineStr">
        <is>
          <t>Liquid Propane</t>
        </is>
      </c>
      <c r="BX7" t="inlineStr">
        <is>
          <t>Barn Doors</t>
        </is>
      </c>
      <c r="BY7" t="inlineStr">
        <is>
          <t>Exterior Shelves</t>
        </is>
      </c>
      <c r="BZ7" t="inlineStr">
        <is>
          <t>Does Not Apply</t>
        </is>
      </c>
      <c r="CH7" t="inlineStr">
        <is>
          <t>ID8000</t>
        </is>
      </c>
      <c r="CI7" t="inlineStr">
        <is>
          <t>6.1</t>
        </is>
      </c>
      <c r="CK7" t="inlineStr">
        <is>
          <t>&gt;500g - ≤1kg</t>
        </is>
      </c>
      <c r="CM7" t="inlineStr">
        <is>
          <t>ETL Listed</t>
        </is>
      </c>
      <c r="CQ7" t="inlineStr">
        <is>
          <t>49"</t>
        </is>
      </c>
      <c r="CS7" t="inlineStr">
        <is>
          <t>Socket Wrench</t>
        </is>
      </c>
      <c r="CT7" t="inlineStr">
        <is>
          <t>2 Years</t>
        </is>
      </c>
      <c r="CV7" t="inlineStr">
        <is>
          <t>2 Years</t>
        </is>
      </c>
      <c r="CW7" t="inlineStr">
        <is>
          <t>Side Chair</t>
        </is>
      </c>
      <c r="CX7" t="inlineStr">
        <is>
          <t>Acrylic</t>
        </is>
      </c>
      <c r="CY7" t="inlineStr">
        <is>
          <t>Solid Wood</t>
        </is>
      </c>
      <c r="CZ7" t="inlineStr">
        <is>
          <t>Bungee</t>
        </is>
      </c>
      <c r="DA7" t="inlineStr">
        <is>
          <t>Polypropylene / Olefin</t>
        </is>
      </c>
      <c r="DB7" t="inlineStr">
        <is>
          <t>Vinyl</t>
        </is>
      </c>
      <c r="DC7" t="inlineStr">
        <is>
          <t>Polyester / Polyester Blend</t>
        </is>
      </c>
      <c r="DD7" t="inlineStr">
        <is>
          <t>Polyester</t>
        </is>
      </c>
      <c r="DE7" t="inlineStr">
        <is>
          <t>No Natural Variation</t>
        </is>
      </c>
      <c r="DF7" t="inlineStr">
        <is>
          <t>Unavailable</t>
        </is>
      </c>
      <c r="DG7" t="inlineStr">
        <is>
          <t>Flip Up</t>
        </is>
      </c>
      <c r="DH7" t="inlineStr">
        <is>
          <t>Thick Carpet and Shag Rugs</t>
        </is>
      </c>
      <c r="DK7" t="inlineStr">
        <is>
          <t>Tongue and Groove</t>
        </is>
      </c>
      <c r="DL7" t="inlineStr">
        <is>
          <t>Carbon Zinc</t>
        </is>
      </c>
      <c r="DN7" t="inlineStr">
        <is>
          <t>5</t>
        </is>
      </c>
      <c r="DP7" t="inlineStr">
        <is>
          <t>Batteries exceeding 25 grams</t>
        </is>
      </c>
      <c r="DQ7" t="inlineStr">
        <is>
          <t>Batteries of 100w/h or less</t>
        </is>
      </c>
      <c r="DS7" t="inlineStr">
        <is>
          <t>Commercial laundry safe</t>
        </is>
      </c>
      <c r="DT7" t="inlineStr">
        <is>
          <t>Tan</t>
        </is>
      </c>
      <c r="DU7" t="inlineStr">
        <is>
          <t>Wicker</t>
        </is>
      </c>
      <c r="DV7" t="inlineStr">
        <is>
          <t>Eco-Fill</t>
        </is>
      </c>
      <c r="DW7" t="inlineStr">
        <is>
          <t>Yellow</t>
        </is>
      </c>
      <c r="DX7" t="inlineStr">
        <is>
          <t>Birch</t>
        </is>
      </c>
      <c r="DY7" t="inlineStr">
        <is>
          <t>Pillow Top Arms</t>
        </is>
      </c>
      <c r="EA7" t="inlineStr">
        <is>
          <t>Rotational</t>
        </is>
      </c>
      <c r="EB7" t="inlineStr">
        <is>
          <t>Arms</t>
        </is>
      </c>
      <c r="EC7" t="inlineStr">
        <is>
          <t>15,000-30,000</t>
        </is>
      </c>
      <c r="EN7" t="inlineStr">
        <is>
          <t>ID8000</t>
        </is>
      </c>
      <c r="EO7" t="inlineStr">
        <is>
          <t>6.1</t>
        </is>
      </c>
      <c r="EQ7" t="inlineStr">
        <is>
          <t>&gt;500g - ≤1kg</t>
        </is>
      </c>
      <c r="EX7" t="inlineStr">
        <is>
          <t>Socket Wrench</t>
        </is>
      </c>
      <c r="EY7" t="inlineStr">
        <is>
          <t>2 Years</t>
        </is>
      </c>
      <c r="FA7" t="inlineStr">
        <is>
          <t>Standard Dresser / Chest</t>
        </is>
      </c>
      <c r="FB7" t="inlineStr">
        <is>
          <t>Aluminum</t>
        </is>
      </c>
      <c r="FC7" t="inlineStr">
        <is>
          <t>Full Extension</t>
        </is>
      </c>
      <c r="FE7" t="inlineStr">
        <is>
          <t>No Natural Variation</t>
        </is>
      </c>
      <c r="FF7" t="inlineStr">
        <is>
          <t>Unavailable</t>
        </is>
      </c>
      <c r="FH7" t="inlineStr">
        <is>
          <t>Melamine</t>
        </is>
      </c>
      <c r="FJ7" t="inlineStr">
        <is>
          <t>Tongue and Groove</t>
        </is>
      </c>
      <c r="FK7" t="inlineStr">
        <is>
          <t>Birch</t>
        </is>
      </c>
      <c r="FL7" t="inlineStr">
        <is>
          <t>Commercial laundry safe</t>
        </is>
      </c>
      <c r="FM7" t="inlineStr">
        <is>
          <t>Yellow</t>
        </is>
      </c>
      <c r="FO7" t="inlineStr">
        <is>
          <t>Cabinets</t>
        </is>
      </c>
      <c r="GD7" t="inlineStr">
        <is>
          <t>Socket Wrench</t>
        </is>
      </c>
      <c r="GE7" t="inlineStr">
        <is>
          <t>2 Years</t>
        </is>
      </c>
      <c r="GG7" t="inlineStr">
        <is>
          <t>California King</t>
        </is>
      </c>
      <c r="GH7" t="inlineStr">
        <is>
          <t>Yellow</t>
        </is>
      </c>
      <c r="GI7" t="inlineStr">
        <is>
          <t>Scalloped</t>
        </is>
      </c>
      <c r="GJ7" t="inlineStr">
        <is>
          <t>Cane</t>
        </is>
      </c>
      <c r="GK7" t="inlineStr">
        <is>
          <t>Polypropylene / Olefin</t>
        </is>
      </c>
      <c r="GL7" t="inlineStr">
        <is>
          <t>Bicast Leather</t>
        </is>
      </c>
      <c r="GM7" t="inlineStr">
        <is>
          <t>Plywood</t>
        </is>
      </c>
      <c r="GN7" t="inlineStr">
        <is>
          <t>Lift Up Storage</t>
        </is>
      </c>
      <c r="GO7" t="inlineStr">
        <is>
          <t>Unavailable</t>
        </is>
      </c>
      <c r="GP7" t="inlineStr">
        <is>
          <t>No Natural Variation</t>
        </is>
      </c>
      <c r="GS7" t="inlineStr">
        <is>
          <t>Tongue and Groove</t>
        </is>
      </c>
      <c r="GT7" t="inlineStr">
        <is>
          <t>Birch</t>
        </is>
      </c>
      <c r="GU7" t="inlineStr">
        <is>
          <t>Geometric</t>
        </is>
      </c>
      <c r="GV7" t="inlineStr">
        <is>
          <t>Carbon Zinc</t>
        </is>
      </c>
      <c r="GX7" t="inlineStr">
        <is>
          <t>5</t>
        </is>
      </c>
      <c r="GZ7" t="inlineStr">
        <is>
          <t>Batteries exceeding 25 grams</t>
        </is>
      </c>
      <c r="HA7" t="inlineStr">
        <is>
          <t>Batteries of 100w/h or less</t>
        </is>
      </c>
      <c r="HD7" t="inlineStr">
        <is>
          <t>Full Grain Leather</t>
        </is>
      </c>
      <c r="HE7" t="inlineStr">
        <is>
          <t>Twill</t>
        </is>
      </c>
      <c r="HF7" t="inlineStr">
        <is>
          <t>Scooped</t>
        </is>
      </c>
      <c r="HG7" t="inlineStr">
        <is>
          <t>Reclining Headboard Function</t>
        </is>
      </c>
      <c r="HH7" t="inlineStr">
        <is>
          <t>Trundle Bed</t>
        </is>
      </c>
      <c r="HI7" t="inlineStr">
        <is>
          <t>Perennials®</t>
        </is>
      </c>
      <c r="HV7" t="inlineStr">
        <is>
          <t>ID8000</t>
        </is>
      </c>
      <c r="HW7" t="inlineStr">
        <is>
          <t>6.1</t>
        </is>
      </c>
      <c r="HY7" t="inlineStr">
        <is>
          <t>&gt;500g - ≤1kg</t>
        </is>
      </c>
      <c r="IH7" t="inlineStr">
        <is>
          <t>Socket Wrench</t>
        </is>
      </c>
      <c r="II7" t="inlineStr">
        <is>
          <t>2 Years</t>
        </is>
      </c>
      <c r="IK7" t="inlineStr">
        <is>
          <t>2 Years</t>
        </is>
      </c>
    </row>
    <row r="8">
      <c r="E8" t="inlineStr">
        <is>
          <t>Customization</t>
        </is>
      </c>
      <c r="I8" t="inlineStr">
        <is>
          <t>85</t>
        </is>
      </c>
      <c r="J8" t="inlineStr">
        <is>
          <t>144</t>
        </is>
      </c>
      <c r="L8" t="inlineStr">
        <is>
          <t>Acetohydroxamic acid</t>
        </is>
      </c>
      <c r="N8" t="inlineStr">
        <is>
          <t>American Samoa</t>
        </is>
      </c>
      <c r="O8" t="inlineStr">
        <is>
          <t>Disclaimers</t>
        </is>
      </c>
      <c r="P8" t="inlineStr">
        <is>
          <t>ACT Flammability Guidelines Compliant</t>
        </is>
      </c>
      <c r="R8" t="inlineStr">
        <is>
          <t>English (United Kingdom)</t>
        </is>
      </c>
      <c r="S8" t="inlineStr">
        <is>
          <t>Utility Cart</t>
        </is>
      </c>
      <c r="T8" t="inlineStr">
        <is>
          <t>Polypropylene</t>
        </is>
      </c>
      <c r="U8" t="inlineStr">
        <is>
          <t>Camphor</t>
        </is>
      </c>
      <c r="Y8" t="inlineStr">
        <is>
          <t>Lead Acid (Spillable)</t>
        </is>
      </c>
      <c r="Z8" t="inlineStr">
        <is>
          <t>8</t>
        </is>
      </c>
      <c r="AB8" t="inlineStr">
        <is>
          <t>Does Not Apply</t>
        </is>
      </c>
      <c r="AC8" t="inlineStr">
        <is>
          <t>Does Not Apply</t>
        </is>
      </c>
      <c r="AE8" t="inlineStr">
        <is>
          <t>Back Cushion</t>
        </is>
      </c>
      <c r="AF8" t="inlineStr">
        <is>
          <t>Recessed</t>
        </is>
      </c>
      <c r="AG8" t="inlineStr">
        <is>
          <t>Polished Nickel</t>
        </is>
      </c>
      <c r="AH8" t="inlineStr">
        <is>
          <t>Unavailable</t>
        </is>
      </c>
      <c r="AI8" t="inlineStr">
        <is>
          <t>Unavailable</t>
        </is>
      </c>
      <c r="AR8" t="inlineStr">
        <is>
          <t>UN1013</t>
        </is>
      </c>
      <c r="AS8" t="inlineStr">
        <is>
          <t>3</t>
        </is>
      </c>
      <c r="AU8" t="inlineStr">
        <is>
          <t>&gt;125ml - ≤500ml</t>
        </is>
      </c>
      <c r="AW8" t="inlineStr">
        <is>
          <t>DBI Certification Ltd</t>
        </is>
      </c>
      <c r="AY8" t="inlineStr">
        <is>
          <t>3 Years</t>
        </is>
      </c>
      <c r="AZ8" t="inlineStr">
        <is>
          <t>3 Years</t>
        </is>
      </c>
      <c r="BB8" t="inlineStr">
        <is>
          <t>Floating mount</t>
        </is>
      </c>
      <c r="BC8" t="inlineStr">
        <is>
          <t>Manufactured Wood</t>
        </is>
      </c>
      <c r="BD8" t="inlineStr">
        <is>
          <t>No Distressing</t>
        </is>
      </c>
      <c r="BI8" t="inlineStr">
        <is>
          <t>Pocket Joint</t>
        </is>
      </c>
      <c r="BJ8" t="inlineStr">
        <is>
          <t>Camphor</t>
        </is>
      </c>
      <c r="BK8" t="inlineStr">
        <is>
          <t>Lead Acid (Spillable)</t>
        </is>
      </c>
      <c r="BM8" t="inlineStr">
        <is>
          <t>8</t>
        </is>
      </c>
      <c r="BO8" t="inlineStr">
        <is>
          <t>Does Not Apply</t>
        </is>
      </c>
      <c r="BP8" t="inlineStr">
        <is>
          <t>Does Not Apply</t>
        </is>
      </c>
      <c r="BR8" t="inlineStr">
        <is>
          <t>Do not use a fabric softener</t>
        </is>
      </c>
      <c r="BS8" t="inlineStr">
        <is>
          <t>Marble</t>
        </is>
      </c>
      <c r="BT8" t="inlineStr">
        <is>
          <t>Polished Nickel</t>
        </is>
      </c>
      <c r="BU8" t="inlineStr">
        <is>
          <t>Metal Slide</t>
        </is>
      </c>
      <c r="BV8" t="inlineStr">
        <is>
          <t>B-Vent</t>
        </is>
      </c>
      <c r="BW8" t="inlineStr">
        <is>
          <t>Wood Burning</t>
        </is>
      </c>
      <c r="BX8" t="inlineStr">
        <is>
          <t>Frosted</t>
        </is>
      </c>
      <c r="BY8" t="inlineStr">
        <is>
          <t>Fireplace Remote</t>
        </is>
      </c>
      <c r="CH8" t="inlineStr">
        <is>
          <t>UN1013</t>
        </is>
      </c>
      <c r="CI8" t="inlineStr">
        <is>
          <t>3</t>
        </is>
      </c>
      <c r="CK8" t="inlineStr">
        <is>
          <t>&gt;125ml - ≤500ml</t>
        </is>
      </c>
      <c r="CM8" t="inlineStr">
        <is>
          <t>DBI Certification Ltd</t>
        </is>
      </c>
      <c r="CQ8" t="inlineStr">
        <is>
          <t>55"</t>
        </is>
      </c>
      <c r="CS8" t="inlineStr">
        <is>
          <t>Power Drill</t>
        </is>
      </c>
      <c r="CT8" t="inlineStr">
        <is>
          <t>3 Years</t>
        </is>
      </c>
      <c r="CV8" t="inlineStr">
        <is>
          <t>3 Years</t>
        </is>
      </c>
      <c r="CW8" t="inlineStr">
        <is>
          <t>Task Chair</t>
        </is>
      </c>
      <c r="CX8" t="inlineStr">
        <is>
          <t>Manufactured Wood</t>
        </is>
      </c>
      <c r="CY8" t="inlineStr">
        <is>
          <t>Metal</t>
        </is>
      </c>
      <c r="CZ8" t="inlineStr">
        <is>
          <t>Chenille</t>
        </is>
      </c>
      <c r="DA8" t="inlineStr">
        <is>
          <t>Leather Match</t>
        </is>
      </c>
      <c r="DB8" t="inlineStr">
        <is>
          <t>Mesh</t>
        </is>
      </c>
      <c r="DC8" t="inlineStr">
        <is>
          <t>Faux Fur</t>
        </is>
      </c>
      <c r="DD8" t="inlineStr">
        <is>
          <t>Pellets / Beads</t>
        </is>
      </c>
      <c r="DE8" t="inlineStr">
        <is>
          <t>No Distressing</t>
        </is>
      </c>
      <c r="DG8" t="inlineStr">
        <is>
          <t>Unavailable</t>
        </is>
      </c>
      <c r="DH8" t="inlineStr">
        <is>
          <t>Vinyl</t>
        </is>
      </c>
      <c r="DK8" t="inlineStr">
        <is>
          <t>Pocket Joint</t>
        </is>
      </c>
      <c r="DL8" t="inlineStr">
        <is>
          <t>Lead Acid (Spillable)</t>
        </is>
      </c>
      <c r="DN8" t="inlineStr">
        <is>
          <t>8</t>
        </is>
      </c>
      <c r="DP8" t="inlineStr">
        <is>
          <t>Does Not Apply</t>
        </is>
      </c>
      <c r="DQ8" t="inlineStr">
        <is>
          <t>Does Not Apply</t>
        </is>
      </c>
      <c r="DS8" t="inlineStr">
        <is>
          <t>Do not use a fabric softener</t>
        </is>
      </c>
      <c r="DT8" t="inlineStr">
        <is>
          <t>Gray</t>
        </is>
      </c>
      <c r="DU8" t="inlineStr">
        <is>
          <t>Fabric</t>
        </is>
      </c>
      <c r="DV8" t="inlineStr">
        <is>
          <t>Pellets / Beads</t>
        </is>
      </c>
      <c r="DW8" t="inlineStr">
        <is>
          <t>Clear</t>
        </is>
      </c>
      <c r="DX8" t="inlineStr">
        <is>
          <t>Camphor</t>
        </is>
      </c>
      <c r="DY8" t="inlineStr">
        <is>
          <t>Rolled Arms</t>
        </is>
      </c>
      <c r="EA8" t="inlineStr">
        <is>
          <t>Collar Tilt</t>
        </is>
      </c>
      <c r="EB8" t="inlineStr">
        <is>
          <t>Footrest</t>
        </is>
      </c>
      <c r="EC8" t="inlineStr">
        <is>
          <t>50,000+</t>
        </is>
      </c>
      <c r="EN8" t="inlineStr">
        <is>
          <t>UN1013</t>
        </is>
      </c>
      <c r="EO8" t="inlineStr">
        <is>
          <t>3</t>
        </is>
      </c>
      <c r="EQ8" t="inlineStr">
        <is>
          <t>&gt;125ml - ≤500ml</t>
        </is>
      </c>
      <c r="EX8" t="inlineStr">
        <is>
          <t>Power Drill</t>
        </is>
      </c>
      <c r="EY8" t="inlineStr">
        <is>
          <t>3 Years</t>
        </is>
      </c>
      <c r="FA8" t="inlineStr">
        <is>
          <t>Unavailable</t>
        </is>
      </c>
      <c r="FB8" t="inlineStr">
        <is>
          <t>Manufactured Wood</t>
        </is>
      </c>
      <c r="FC8" t="inlineStr">
        <is>
          <t>Metal Slide</t>
        </is>
      </c>
      <c r="FE8" t="inlineStr">
        <is>
          <t>No Distressing</t>
        </is>
      </c>
      <c r="FH8" t="inlineStr">
        <is>
          <t>Silicone</t>
        </is>
      </c>
      <c r="FJ8" t="inlineStr">
        <is>
          <t>Pocket Joint</t>
        </is>
      </c>
      <c r="FK8" t="inlineStr">
        <is>
          <t>Camphor</t>
        </is>
      </c>
      <c r="FL8" t="inlineStr">
        <is>
          <t>Do not use a fabric softener</t>
        </is>
      </c>
      <c r="FM8" t="inlineStr">
        <is>
          <t>Pink</t>
        </is>
      </c>
      <c r="FO8" t="inlineStr">
        <is>
          <t>Doors</t>
        </is>
      </c>
      <c r="GD8" t="inlineStr">
        <is>
          <t>Power Drill</t>
        </is>
      </c>
      <c r="GE8" t="inlineStr">
        <is>
          <t>3 Years</t>
        </is>
      </c>
      <c r="GG8" t="inlineStr">
        <is>
          <t>Full XL</t>
        </is>
      </c>
      <c r="GH8" t="inlineStr">
        <is>
          <t>Pink</t>
        </is>
      </c>
      <c r="GI8" t="inlineStr">
        <is>
          <t>Panel Headboard Design</t>
        </is>
      </c>
      <c r="GJ8" t="inlineStr">
        <is>
          <t>Aluminum</t>
        </is>
      </c>
      <c r="GK8" t="inlineStr">
        <is>
          <t>Leather Match</t>
        </is>
      </c>
      <c r="GL8" t="inlineStr">
        <is>
          <t>Faux Cowhide</t>
        </is>
      </c>
      <c r="GM8" t="inlineStr">
        <is>
          <t>Bamboo</t>
        </is>
      </c>
      <c r="GN8" t="inlineStr">
        <is>
          <t>Unavailable</t>
        </is>
      </c>
      <c r="GP8" t="inlineStr">
        <is>
          <t>No Distressing</t>
        </is>
      </c>
      <c r="GS8" t="inlineStr">
        <is>
          <t>Pocket Joint</t>
        </is>
      </c>
      <c r="GT8" t="inlineStr">
        <is>
          <t>Camphor</t>
        </is>
      </c>
      <c r="GU8" t="inlineStr">
        <is>
          <t>Abstract</t>
        </is>
      </c>
      <c r="GV8" t="inlineStr">
        <is>
          <t>Lead Acid (Spillable)</t>
        </is>
      </c>
      <c r="GX8" t="inlineStr">
        <is>
          <t>8</t>
        </is>
      </c>
      <c r="GZ8" t="inlineStr">
        <is>
          <t>Does Not Apply</t>
        </is>
      </c>
      <c r="HA8" t="inlineStr">
        <is>
          <t>Does Not Apply</t>
        </is>
      </c>
      <c r="HD8" t="inlineStr">
        <is>
          <t>Sheepskin</t>
        </is>
      </c>
      <c r="HE8" t="inlineStr">
        <is>
          <t>Unavailable</t>
        </is>
      </c>
      <c r="HF8" t="inlineStr">
        <is>
          <t>Stepped</t>
        </is>
      </c>
      <c r="HG8" t="inlineStr">
        <is>
          <t>Built In USB Port</t>
        </is>
      </c>
      <c r="HH8" t="inlineStr">
        <is>
          <t>Center Support Legs</t>
        </is>
      </c>
      <c r="HI8" t="inlineStr">
        <is>
          <t>Outdura</t>
        </is>
      </c>
      <c r="HV8" t="inlineStr">
        <is>
          <t>UN1013</t>
        </is>
      </c>
      <c r="HW8" t="inlineStr">
        <is>
          <t>3</t>
        </is>
      </c>
      <c r="HY8" t="inlineStr">
        <is>
          <t>&gt;125ml - ≤500ml</t>
        </is>
      </c>
      <c r="IH8" t="inlineStr">
        <is>
          <t>Power Drill</t>
        </is>
      </c>
      <c r="II8" t="inlineStr">
        <is>
          <t>3 Years</t>
        </is>
      </c>
      <c r="IK8" t="inlineStr">
        <is>
          <t>3 Years</t>
        </is>
      </c>
    </row>
    <row r="9">
      <c r="E9" t="inlineStr">
        <is>
          <t>Back Height</t>
        </is>
      </c>
      <c r="I9" t="inlineStr">
        <is>
          <t>92.5</t>
        </is>
      </c>
      <c r="J9" t="inlineStr">
        <is>
          <t>168</t>
        </is>
      </c>
      <c r="L9" t="inlineStr">
        <is>
          <t>2-Acetylaminofluorene</t>
        </is>
      </c>
      <c r="N9" t="inlineStr">
        <is>
          <t>Andorra</t>
        </is>
      </c>
      <c r="O9" t="inlineStr">
        <is>
          <t>Buying Guides</t>
        </is>
      </c>
      <c r="P9" t="inlineStr">
        <is>
          <t>AHAM CADR Dust rating</t>
        </is>
      </c>
      <c r="R9" t="inlineStr">
        <is>
          <t>English (United States)</t>
        </is>
      </c>
      <c r="S9" t="inlineStr">
        <is>
          <t>Laptop/Tablet Storage Cart</t>
        </is>
      </c>
      <c r="T9" t="inlineStr">
        <is>
          <t>Cane</t>
        </is>
      </c>
      <c r="U9" t="inlineStr">
        <is>
          <t>Cedar</t>
        </is>
      </c>
      <c r="Y9" t="inlineStr">
        <is>
          <t>Lead Acid (Non-Spillable)</t>
        </is>
      </c>
      <c r="Z9" t="inlineStr">
        <is>
          <t>10</t>
        </is>
      </c>
      <c r="AE9" t="inlineStr">
        <is>
          <t>Footboard</t>
        </is>
      </c>
      <c r="AF9" t="inlineStr">
        <is>
          <t>Unavailable</t>
        </is>
      </c>
      <c r="AG9" t="inlineStr">
        <is>
          <t>Stainless Steel</t>
        </is>
      </c>
      <c r="AH9" t="inlineStr">
        <is>
          <t>Does Not Apply</t>
        </is>
      </c>
      <c r="AI9" t="inlineStr">
        <is>
          <t>Does Not Apply</t>
        </is>
      </c>
      <c r="AR9" t="inlineStr">
        <is>
          <t>UN3082</t>
        </is>
      </c>
      <c r="AS9" t="inlineStr">
        <is>
          <t>4.1</t>
        </is>
      </c>
      <c r="AU9" t="inlineStr">
        <is>
          <t>&gt;25 - ≤125ml</t>
        </is>
      </c>
      <c r="AW9" t="inlineStr">
        <is>
          <t>UL Listed</t>
        </is>
      </c>
      <c r="AY9" t="inlineStr">
        <is>
          <t>5 Years</t>
        </is>
      </c>
      <c r="AZ9" t="inlineStr">
        <is>
          <t>5 Years</t>
        </is>
      </c>
      <c r="BB9" t="inlineStr">
        <is>
          <t>Standard</t>
        </is>
      </c>
      <c r="BC9" t="inlineStr">
        <is>
          <t>Leather</t>
        </is>
      </c>
      <c r="BD9" t="inlineStr">
        <is>
          <t>Distressed Metal</t>
        </is>
      </c>
      <c r="BI9" t="inlineStr">
        <is>
          <t>Cam Bolt</t>
        </is>
      </c>
      <c r="BJ9" t="inlineStr">
        <is>
          <t>Cedar</t>
        </is>
      </c>
      <c r="BK9" t="inlineStr">
        <is>
          <t>Lead Acid (Non-Spillable)</t>
        </is>
      </c>
      <c r="BM9" t="inlineStr">
        <is>
          <t>10</t>
        </is>
      </c>
      <c r="BR9" t="inlineStr">
        <is>
          <t>Cold wash</t>
        </is>
      </c>
      <c r="BS9" t="inlineStr">
        <is>
          <t>Solid + Manufactured Wood</t>
        </is>
      </c>
      <c r="BT9" t="inlineStr">
        <is>
          <t>Stainless Steel</t>
        </is>
      </c>
      <c r="BU9" t="inlineStr">
        <is>
          <t>0.5 Extension</t>
        </is>
      </c>
      <c r="BV9" t="inlineStr">
        <is>
          <t>Does Not Apply</t>
        </is>
      </c>
      <c r="BW9" t="inlineStr">
        <is>
          <t>Gel Fuel</t>
        </is>
      </c>
      <c r="BX9" t="inlineStr">
        <is>
          <t>Insulated</t>
        </is>
      </c>
      <c r="BY9" t="inlineStr">
        <is>
          <t>Integrated TV Mount</t>
        </is>
      </c>
      <c r="CH9" t="inlineStr">
        <is>
          <t>UN3082</t>
        </is>
      </c>
      <c r="CI9" t="inlineStr">
        <is>
          <t>4.1</t>
        </is>
      </c>
      <c r="CK9" t="inlineStr">
        <is>
          <t>&gt;25 - ≤125ml</t>
        </is>
      </c>
      <c r="CM9" t="inlineStr">
        <is>
          <t>UL Listed</t>
        </is>
      </c>
      <c r="CQ9" t="inlineStr">
        <is>
          <t>50"</t>
        </is>
      </c>
      <c r="CS9" t="inlineStr">
        <is>
          <t>Hammer</t>
        </is>
      </c>
      <c r="CT9" t="inlineStr">
        <is>
          <t>5 Years</t>
        </is>
      </c>
      <c r="CV9" t="inlineStr">
        <is>
          <t>5 Years</t>
        </is>
      </c>
      <c r="CW9" t="inlineStr">
        <is>
          <t>Criss Cross Chair</t>
        </is>
      </c>
      <c r="CX9" t="inlineStr">
        <is>
          <t>Solid + Manufactured Wood</t>
        </is>
      </c>
      <c r="CY9" t="inlineStr">
        <is>
          <t>Plastic</t>
        </is>
      </c>
      <c r="CZ9" t="inlineStr">
        <is>
          <t>Concrete</t>
        </is>
      </c>
      <c r="DA9" t="inlineStr">
        <is>
          <t>Vinyl</t>
        </is>
      </c>
      <c r="DB9" t="inlineStr">
        <is>
          <t>Plastic / Acrylic</t>
        </is>
      </c>
      <c r="DC9" t="inlineStr">
        <is>
          <t>Faux Leather</t>
        </is>
      </c>
      <c r="DD9" t="inlineStr">
        <is>
          <t>Unavailable</t>
        </is>
      </c>
      <c r="DE9" t="inlineStr">
        <is>
          <t>Distressed Metal</t>
        </is>
      </c>
      <c r="DG9" t="inlineStr">
        <is>
          <t>Does Not Apply</t>
        </is>
      </c>
      <c r="DH9" t="inlineStr">
        <is>
          <t>Metal</t>
        </is>
      </c>
      <c r="DK9" t="inlineStr">
        <is>
          <t>Cam Bolt</t>
        </is>
      </c>
      <c r="DL9" t="inlineStr">
        <is>
          <t>Lead Acid (Non-Spillable)</t>
        </is>
      </c>
      <c r="DN9" t="inlineStr">
        <is>
          <t>10</t>
        </is>
      </c>
      <c r="DS9" t="inlineStr">
        <is>
          <t>Cold wash</t>
        </is>
      </c>
      <c r="DT9" t="inlineStr">
        <is>
          <t>Black</t>
        </is>
      </c>
      <c r="DU9" t="inlineStr">
        <is>
          <t>Metal</t>
        </is>
      </c>
      <c r="DV9" t="inlineStr">
        <is>
          <t>Cotton</t>
        </is>
      </c>
      <c r="DW9" t="inlineStr">
        <is>
          <t>Satin Black</t>
        </is>
      </c>
      <c r="DX9" t="inlineStr">
        <is>
          <t>Cedar</t>
        </is>
      </c>
      <c r="DY9" t="inlineStr">
        <is>
          <t>Recessed Arms</t>
        </is>
      </c>
      <c r="EA9" t="inlineStr">
        <is>
          <t>Push Button</t>
        </is>
      </c>
      <c r="EB9" t="inlineStr">
        <is>
          <t>Unavailable</t>
        </is>
      </c>
      <c r="EC9" t="inlineStr">
        <is>
          <t>Unavailable</t>
        </is>
      </c>
      <c r="EN9" t="inlineStr">
        <is>
          <t>UN3082</t>
        </is>
      </c>
      <c r="EO9" t="inlineStr">
        <is>
          <t>4.1</t>
        </is>
      </c>
      <c r="EQ9" t="inlineStr">
        <is>
          <t>&gt;25 - ≤125ml</t>
        </is>
      </c>
      <c r="EX9" t="inlineStr">
        <is>
          <t>Hammer</t>
        </is>
      </c>
      <c r="EY9" t="inlineStr">
        <is>
          <t>5 Years</t>
        </is>
      </c>
      <c r="FB9" t="inlineStr">
        <is>
          <t>Leather</t>
        </is>
      </c>
      <c r="FC9" t="inlineStr">
        <is>
          <t>0.5 Extension</t>
        </is>
      </c>
      <c r="FE9" t="inlineStr">
        <is>
          <t>Distressed Metal</t>
        </is>
      </c>
      <c r="FH9" t="inlineStr">
        <is>
          <t>Brass</t>
        </is>
      </c>
      <c r="FJ9" t="inlineStr">
        <is>
          <t>Cam Bolt</t>
        </is>
      </c>
      <c r="FK9" t="inlineStr">
        <is>
          <t>Cedar</t>
        </is>
      </c>
      <c r="FL9" t="inlineStr">
        <is>
          <t>Cold wash</t>
        </is>
      </c>
      <c r="FM9" t="inlineStr">
        <is>
          <t>Purple</t>
        </is>
      </c>
      <c r="FO9" t="inlineStr">
        <is>
          <t>Unavailable</t>
        </is>
      </c>
      <c r="GD9" t="inlineStr">
        <is>
          <t>Hammer</t>
        </is>
      </c>
      <c r="GE9" t="inlineStr">
        <is>
          <t>5 Years</t>
        </is>
      </c>
      <c r="GG9" t="inlineStr">
        <is>
          <t>Super Single</t>
        </is>
      </c>
      <c r="GH9" t="inlineStr">
        <is>
          <t>Purple</t>
        </is>
      </c>
      <c r="GI9" t="inlineStr">
        <is>
          <t>Bookcase</t>
        </is>
      </c>
      <c r="GJ9" t="inlineStr">
        <is>
          <t>Manufactured Wood</t>
        </is>
      </c>
      <c r="GK9" t="inlineStr">
        <is>
          <t>Vinyl</t>
        </is>
      </c>
      <c r="GL9" t="inlineStr">
        <is>
          <t>Faux Sheepskin</t>
        </is>
      </c>
      <c r="GM9" t="inlineStr">
        <is>
          <t>Unavailable</t>
        </is>
      </c>
      <c r="GN9" t="inlineStr">
        <is>
          <t>Does Not Apply</t>
        </is>
      </c>
      <c r="GP9" t="inlineStr">
        <is>
          <t>Distressed Metal</t>
        </is>
      </c>
      <c r="GS9" t="inlineStr">
        <is>
          <t>Cam Bolt</t>
        </is>
      </c>
      <c r="GT9" t="inlineStr">
        <is>
          <t>Cedar</t>
        </is>
      </c>
      <c r="GU9" t="inlineStr">
        <is>
          <t>Gingham</t>
        </is>
      </c>
      <c r="GV9" t="inlineStr">
        <is>
          <t>Lead Acid (Non-Spillable)</t>
        </is>
      </c>
      <c r="GX9" t="inlineStr">
        <is>
          <t>10</t>
        </is>
      </c>
      <c r="HD9" t="inlineStr">
        <is>
          <t>Cowhide</t>
        </is>
      </c>
      <c r="HE9" t="inlineStr">
        <is>
          <t>Does Not Apply</t>
        </is>
      </c>
      <c r="HF9" t="inlineStr">
        <is>
          <t>Other</t>
        </is>
      </c>
      <c r="HG9" t="inlineStr">
        <is>
          <t>Adjustable Lighting</t>
        </is>
      </c>
      <c r="HH9" t="inlineStr">
        <is>
          <t>Slat Kit</t>
        </is>
      </c>
      <c r="HI9" t="inlineStr">
        <is>
          <t>Crypton®</t>
        </is>
      </c>
      <c r="HV9" t="inlineStr">
        <is>
          <t>UN3082</t>
        </is>
      </c>
      <c r="HW9" t="inlineStr">
        <is>
          <t>4.1</t>
        </is>
      </c>
      <c r="HY9" t="inlineStr">
        <is>
          <t>&gt;25 - ≤125ml</t>
        </is>
      </c>
      <c r="IH9" t="inlineStr">
        <is>
          <t>Hammer</t>
        </is>
      </c>
      <c r="II9" t="inlineStr">
        <is>
          <t>5 Years</t>
        </is>
      </c>
      <c r="IK9" t="inlineStr">
        <is>
          <t>5 Years</t>
        </is>
      </c>
    </row>
    <row r="10">
      <c r="E10" t="inlineStr">
        <is>
          <t>Team Logo</t>
        </is>
      </c>
      <c r="I10" t="inlineStr">
        <is>
          <t>100</t>
        </is>
      </c>
      <c r="J10" t="inlineStr">
        <is>
          <t>192</t>
        </is>
      </c>
      <c r="L10" t="inlineStr">
        <is>
          <t>Acifluorfen sodium</t>
        </is>
      </c>
      <c r="N10" t="inlineStr">
        <is>
          <t>Angola</t>
        </is>
      </c>
      <c r="O10" t="inlineStr">
        <is>
          <t>Promotions</t>
        </is>
      </c>
      <c r="P10" t="inlineStr">
        <is>
          <t>AHAM CADR Pollen rating</t>
        </is>
      </c>
      <c r="R10" t="inlineStr">
        <is>
          <t>Spanish</t>
        </is>
      </c>
      <c r="T10" t="inlineStr">
        <is>
          <t>Raffia</t>
        </is>
      </c>
      <c r="U10" t="inlineStr">
        <is>
          <t>Cherry</t>
        </is>
      </c>
      <c r="Y10" t="inlineStr">
        <is>
          <t>Silver Oxide</t>
        </is>
      </c>
      <c r="Z10" t="inlineStr">
        <is>
          <t>4</t>
        </is>
      </c>
      <c r="AE10" t="inlineStr">
        <is>
          <t>Tray</t>
        </is>
      </c>
      <c r="AG10" t="inlineStr">
        <is>
          <t>Bronze</t>
        </is>
      </c>
      <c r="AR10" t="inlineStr">
        <is>
          <t>UN3077</t>
        </is>
      </c>
      <c r="AS10" t="inlineStr">
        <is>
          <t>4.3</t>
        </is>
      </c>
      <c r="AU10" t="inlineStr">
        <is>
          <t>&gt;1kg - ≤5kg</t>
        </is>
      </c>
      <c r="AW10" t="inlineStr">
        <is>
          <t>cETL Listed</t>
        </is>
      </c>
      <c r="AY10" t="inlineStr">
        <is>
          <t>10 Years</t>
        </is>
      </c>
      <c r="AZ10" t="inlineStr">
        <is>
          <t>10 Years</t>
        </is>
      </c>
      <c r="BB10" t="inlineStr">
        <is>
          <t>Demilune</t>
        </is>
      </c>
      <c r="BC10" t="inlineStr">
        <is>
          <t>Bamboo</t>
        </is>
      </c>
      <c r="BD10" t="inlineStr">
        <is>
          <t>Worn/Fade</t>
        </is>
      </c>
      <c r="BI10" t="inlineStr">
        <is>
          <t>Dowel Joint</t>
        </is>
      </c>
      <c r="BJ10" t="inlineStr">
        <is>
          <t>Cherry</t>
        </is>
      </c>
      <c r="BK10" t="inlineStr">
        <is>
          <t>Silver Oxide</t>
        </is>
      </c>
      <c r="BM10" t="inlineStr">
        <is>
          <t>4</t>
        </is>
      </c>
      <c r="BR10" t="inlineStr">
        <is>
          <t>Sweep / Dust Mop</t>
        </is>
      </c>
      <c r="BS10" t="inlineStr">
        <is>
          <t>Wood</t>
        </is>
      </c>
      <c r="BT10" t="inlineStr">
        <is>
          <t>Bronze</t>
        </is>
      </c>
      <c r="BU10" t="inlineStr">
        <is>
          <t>Wood Slide</t>
        </is>
      </c>
      <c r="BW10" t="inlineStr">
        <is>
          <t>Bio-Ethanol</t>
        </is>
      </c>
      <c r="BX10" t="inlineStr">
        <is>
          <t>Contoured</t>
        </is>
      </c>
      <c r="BY10" t="inlineStr">
        <is>
          <t>Interior Shelves</t>
        </is>
      </c>
      <c r="CH10" t="inlineStr">
        <is>
          <t>UN3077</t>
        </is>
      </c>
      <c r="CI10" t="inlineStr">
        <is>
          <t>4.3</t>
        </is>
      </c>
      <c r="CK10" t="inlineStr">
        <is>
          <t>&gt;1kg - ≤5kg</t>
        </is>
      </c>
      <c r="CM10" t="inlineStr">
        <is>
          <t>cETL Listed</t>
        </is>
      </c>
      <c r="CQ10" t="inlineStr">
        <is>
          <t>58"</t>
        </is>
      </c>
      <c r="CS10" t="inlineStr">
        <is>
          <t>Pliers</t>
        </is>
      </c>
      <c r="CT10" t="inlineStr">
        <is>
          <t>10 Years</t>
        </is>
      </c>
      <c r="CV10" t="inlineStr">
        <is>
          <t>10 Years</t>
        </is>
      </c>
      <c r="CX10" t="inlineStr">
        <is>
          <t>Steel</t>
        </is>
      </c>
      <c r="CY10" t="inlineStr">
        <is>
          <t>Leather</t>
        </is>
      </c>
      <c r="CZ10" t="inlineStr">
        <is>
          <t>Copper</t>
        </is>
      </c>
      <c r="DA10" t="inlineStr">
        <is>
          <t>Polyester</t>
        </is>
      </c>
      <c r="DB10" t="inlineStr">
        <is>
          <t>Manufactured Wood</t>
        </is>
      </c>
      <c r="DC10" t="inlineStr">
        <is>
          <t>Suede</t>
        </is>
      </c>
      <c r="DD10" t="inlineStr">
        <is>
          <t>Does Not Apply</t>
        </is>
      </c>
      <c r="DE10" t="inlineStr">
        <is>
          <t>Worn/Fade</t>
        </is>
      </c>
      <c r="DH10" t="inlineStr">
        <is>
          <t>Rug</t>
        </is>
      </c>
      <c r="DK10" t="inlineStr">
        <is>
          <t>Dowel Joint</t>
        </is>
      </c>
      <c r="DL10" t="inlineStr">
        <is>
          <t>Silver Oxide</t>
        </is>
      </c>
      <c r="DN10" t="inlineStr">
        <is>
          <t>4</t>
        </is>
      </c>
      <c r="DS10" t="inlineStr">
        <is>
          <t>Sweep / Dust Mop</t>
        </is>
      </c>
      <c r="DT10" t="inlineStr">
        <is>
          <t>Clear</t>
        </is>
      </c>
      <c r="DU10" t="inlineStr">
        <is>
          <t>Nylon</t>
        </is>
      </c>
      <c r="DV10" t="inlineStr">
        <is>
          <t>Polyester</t>
        </is>
      </c>
      <c r="DW10" t="inlineStr">
        <is>
          <t>Medium Wood</t>
        </is>
      </c>
      <c r="DX10" t="inlineStr">
        <is>
          <t>Cherry</t>
        </is>
      </c>
      <c r="DY10" t="inlineStr">
        <is>
          <t>Charles of London</t>
        </is>
      </c>
      <c r="EA10" t="inlineStr">
        <is>
          <t>Does Not Apply</t>
        </is>
      </c>
      <c r="EB10" t="inlineStr">
        <is>
          <t>Does Not Apply</t>
        </is>
      </c>
      <c r="EC10" t="inlineStr">
        <is>
          <t>Does Not Apply</t>
        </is>
      </c>
      <c r="EN10" t="inlineStr">
        <is>
          <t>UN3077</t>
        </is>
      </c>
      <c r="EO10" t="inlineStr">
        <is>
          <t>4.3</t>
        </is>
      </c>
      <c r="EQ10" t="inlineStr">
        <is>
          <t>&gt;1kg - ≤5kg</t>
        </is>
      </c>
      <c r="EX10" t="inlineStr">
        <is>
          <t>Pliers</t>
        </is>
      </c>
      <c r="EY10" t="inlineStr">
        <is>
          <t>10 Years</t>
        </is>
      </c>
      <c r="FB10" t="inlineStr">
        <is>
          <t>Bamboo</t>
        </is>
      </c>
      <c r="FC10" t="inlineStr">
        <is>
          <t>Wood Slide</t>
        </is>
      </c>
      <c r="FE10" t="inlineStr">
        <is>
          <t>Worn/Fade</t>
        </is>
      </c>
      <c r="FH10" t="inlineStr">
        <is>
          <t>Fabric</t>
        </is>
      </c>
      <c r="FJ10" t="inlineStr">
        <is>
          <t>Dowel Joint</t>
        </is>
      </c>
      <c r="FK10" t="inlineStr">
        <is>
          <t>Cherry</t>
        </is>
      </c>
      <c r="FL10" t="inlineStr">
        <is>
          <t>Sweep / Dust Mop</t>
        </is>
      </c>
      <c r="FM10" t="inlineStr">
        <is>
          <t>Gold</t>
        </is>
      </c>
      <c r="FO10" t="inlineStr">
        <is>
          <t>Does Not Apply</t>
        </is>
      </c>
      <c r="GD10" t="inlineStr">
        <is>
          <t>Pliers</t>
        </is>
      </c>
      <c r="GE10" t="inlineStr">
        <is>
          <t>10 Years</t>
        </is>
      </c>
      <c r="GG10" t="inlineStr">
        <is>
          <t>RV King</t>
        </is>
      </c>
      <c r="GH10" t="inlineStr">
        <is>
          <t>Gold</t>
        </is>
      </c>
      <c r="GI10" t="inlineStr">
        <is>
          <t>Spindle</t>
        </is>
      </c>
      <c r="GJ10" t="inlineStr">
        <is>
          <t>Nickel</t>
        </is>
      </c>
      <c r="GK10" t="inlineStr">
        <is>
          <t>Polyester</t>
        </is>
      </c>
      <c r="GL10" t="inlineStr">
        <is>
          <t>Faux Shearing</t>
        </is>
      </c>
      <c r="GM10" t="inlineStr">
        <is>
          <t>Does Not Apply</t>
        </is>
      </c>
      <c r="GP10" t="inlineStr">
        <is>
          <t>Worn/Fade</t>
        </is>
      </c>
      <c r="GS10" t="inlineStr">
        <is>
          <t>Dowel Joint</t>
        </is>
      </c>
      <c r="GT10" t="inlineStr">
        <is>
          <t>Cherry</t>
        </is>
      </c>
      <c r="GU10" t="inlineStr">
        <is>
          <t>Animal Print</t>
        </is>
      </c>
      <c r="GV10" t="inlineStr">
        <is>
          <t>Silver Oxide</t>
        </is>
      </c>
      <c r="GX10" t="inlineStr">
        <is>
          <t>4</t>
        </is>
      </c>
      <c r="HD10" t="inlineStr">
        <is>
          <t>Corrected Grain Leather</t>
        </is>
      </c>
      <c r="HF10" t="inlineStr">
        <is>
          <t>Rounded</t>
        </is>
      </c>
      <c r="HG10" t="inlineStr">
        <is>
          <t>Unavailable</t>
        </is>
      </c>
      <c r="HH10" t="inlineStr">
        <is>
          <t>Unavailable</t>
        </is>
      </c>
      <c r="HI10" t="inlineStr">
        <is>
          <t>Suncrylic</t>
        </is>
      </c>
      <c r="HV10" t="inlineStr">
        <is>
          <t>UN3077</t>
        </is>
      </c>
      <c r="HW10" t="inlineStr">
        <is>
          <t>4.3</t>
        </is>
      </c>
      <c r="HY10" t="inlineStr">
        <is>
          <t>&gt;1kg - ≤5kg</t>
        </is>
      </c>
      <c r="IH10" t="inlineStr">
        <is>
          <t>Pliers</t>
        </is>
      </c>
      <c r="II10" t="inlineStr">
        <is>
          <t>10 Years</t>
        </is>
      </c>
      <c r="IK10" t="inlineStr">
        <is>
          <t>10 Years</t>
        </is>
      </c>
    </row>
    <row r="11">
      <c r="E11" t="inlineStr">
        <is>
          <t>Pattern</t>
        </is>
      </c>
      <c r="I11" t="inlineStr">
        <is>
          <t>110</t>
        </is>
      </c>
      <c r="J11" t="inlineStr">
        <is>
          <t>216</t>
        </is>
      </c>
      <c r="L11" t="inlineStr">
        <is>
          <t>Acrylamide</t>
        </is>
      </c>
      <c r="N11" t="inlineStr">
        <is>
          <t>Anguilla</t>
        </is>
      </c>
      <c r="O11" t="inlineStr">
        <is>
          <t>Dimensions</t>
        </is>
      </c>
      <c r="P11" t="inlineStr">
        <is>
          <t>AHAM CADR Smoke rating</t>
        </is>
      </c>
      <c r="R11" t="inlineStr">
        <is>
          <t>Finnish</t>
        </is>
      </c>
      <c r="T11" t="inlineStr">
        <is>
          <t>Mango Wood</t>
        </is>
      </c>
      <c r="U11" t="inlineStr">
        <is>
          <t>Elm</t>
        </is>
      </c>
      <c r="Y11" t="inlineStr">
        <is>
          <t>Does Not Apply</t>
        </is>
      </c>
      <c r="Z11" t="inlineStr">
        <is>
          <t>9</t>
        </is>
      </c>
      <c r="AE11" t="inlineStr">
        <is>
          <t>Pillow Top</t>
        </is>
      </c>
      <c r="AG11" t="inlineStr">
        <is>
          <t>Chrome</t>
        </is>
      </c>
      <c r="AR11" t="inlineStr">
        <is>
          <t>UN3480</t>
        </is>
      </c>
      <c r="AS11" t="inlineStr">
        <is>
          <t>4.2</t>
        </is>
      </c>
      <c r="AU11" t="inlineStr">
        <is>
          <t>&gt;5L</t>
        </is>
      </c>
      <c r="AW11" t="inlineStr">
        <is>
          <t>CSA Certified</t>
        </is>
      </c>
      <c r="AY11" t="inlineStr">
        <is>
          <t>20 Years</t>
        </is>
      </c>
      <c r="AZ11" t="inlineStr">
        <is>
          <t>20 Years</t>
        </is>
      </c>
      <c r="BB11" t="inlineStr">
        <is>
          <t>Nesting</t>
        </is>
      </c>
      <c r="BC11" t="inlineStr">
        <is>
          <t>Ceramic</t>
        </is>
      </c>
      <c r="BD11" t="inlineStr">
        <is>
          <t>Wood Scoring &amp; Rub Through</t>
        </is>
      </c>
      <c r="BI11" t="inlineStr">
        <is>
          <t>Half-Lap</t>
        </is>
      </c>
      <c r="BJ11" t="inlineStr">
        <is>
          <t>Elm</t>
        </is>
      </c>
      <c r="BK11" t="inlineStr">
        <is>
          <t>Does Not Apply</t>
        </is>
      </c>
      <c r="BM11" t="inlineStr">
        <is>
          <t>9</t>
        </is>
      </c>
      <c r="BR11" t="inlineStr">
        <is>
          <t>Cut loose threads using a scissor</t>
        </is>
      </c>
      <c r="BS11" t="inlineStr">
        <is>
          <t>Clear Glass</t>
        </is>
      </c>
      <c r="BT11" t="inlineStr">
        <is>
          <t>Chrome</t>
        </is>
      </c>
      <c r="BU11" t="inlineStr">
        <is>
          <t>Center Slides</t>
        </is>
      </c>
      <c r="BW11" t="inlineStr">
        <is>
          <t>Propane</t>
        </is>
      </c>
      <c r="BX11" t="inlineStr">
        <is>
          <t>Tinted</t>
        </is>
      </c>
      <c r="BY11" t="inlineStr">
        <is>
          <t>Media Storage</t>
        </is>
      </c>
      <c r="CH11" t="inlineStr">
        <is>
          <t>UN3480</t>
        </is>
      </c>
      <c r="CI11" t="inlineStr">
        <is>
          <t>4.2</t>
        </is>
      </c>
      <c r="CK11" t="inlineStr">
        <is>
          <t>&gt;5L</t>
        </is>
      </c>
      <c r="CM11" t="inlineStr">
        <is>
          <t>CSA Certified</t>
        </is>
      </c>
      <c r="CQ11" t="inlineStr">
        <is>
          <t>65"</t>
        </is>
      </c>
      <c r="CS11" t="inlineStr">
        <is>
          <t>Ratchet</t>
        </is>
      </c>
      <c r="CT11" t="inlineStr">
        <is>
          <t>20 Years</t>
        </is>
      </c>
      <c r="CV11" t="inlineStr">
        <is>
          <t>20 Years</t>
        </is>
      </c>
      <c r="CX11" t="inlineStr">
        <is>
          <t>Iron</t>
        </is>
      </c>
      <c r="CY11" t="inlineStr">
        <is>
          <t>Unavailable</t>
        </is>
      </c>
      <c r="CZ11" t="inlineStr">
        <is>
          <t>Fabric</t>
        </is>
      </c>
      <c r="DA11" t="inlineStr">
        <is>
          <t>Rayon / Viscose</t>
        </is>
      </c>
      <c r="DB11" t="inlineStr">
        <is>
          <t>Bungee</t>
        </is>
      </c>
      <c r="DC11" t="inlineStr">
        <is>
          <t>Microfiber</t>
        </is>
      </c>
      <c r="DE11" t="inlineStr">
        <is>
          <t>Wood Scoring &amp; Rub Through</t>
        </is>
      </c>
      <c r="DH11" t="inlineStr">
        <is>
          <t>Marble / Tile</t>
        </is>
      </c>
      <c r="DK11" t="inlineStr">
        <is>
          <t>Half-Lap</t>
        </is>
      </c>
      <c r="DL11" t="inlineStr">
        <is>
          <t>Does Not Apply</t>
        </is>
      </c>
      <c r="DN11" t="inlineStr">
        <is>
          <t>9</t>
        </is>
      </c>
      <c r="DS11" t="inlineStr">
        <is>
          <t>Cut loose threads using a scissor</t>
        </is>
      </c>
      <c r="DT11" t="inlineStr">
        <is>
          <t>Orange</t>
        </is>
      </c>
      <c r="DU11" t="inlineStr">
        <is>
          <t>Polyester</t>
        </is>
      </c>
      <c r="DV11" t="inlineStr">
        <is>
          <t>Unavailable</t>
        </is>
      </c>
      <c r="DW11" t="inlineStr">
        <is>
          <t>Matte Black</t>
        </is>
      </c>
      <c r="DX11" t="inlineStr">
        <is>
          <t>Elm</t>
        </is>
      </c>
      <c r="DY11" t="inlineStr">
        <is>
          <t>Padded</t>
        </is>
      </c>
      <c r="EN11" t="inlineStr">
        <is>
          <t>UN3480</t>
        </is>
      </c>
      <c r="EO11" t="inlineStr">
        <is>
          <t>4.2</t>
        </is>
      </c>
      <c r="EQ11" t="inlineStr">
        <is>
          <t>&gt;5L</t>
        </is>
      </c>
      <c r="EX11" t="inlineStr">
        <is>
          <t>Ratchet</t>
        </is>
      </c>
      <c r="EY11" t="inlineStr">
        <is>
          <t>20 Years</t>
        </is>
      </c>
      <c r="FB11" t="inlineStr">
        <is>
          <t>Ceramic</t>
        </is>
      </c>
      <c r="FC11" t="inlineStr">
        <is>
          <t>Center Slides</t>
        </is>
      </c>
      <c r="FE11" t="inlineStr">
        <is>
          <t>Wood Scoring &amp; Rub Through</t>
        </is>
      </c>
      <c r="FH11" t="inlineStr">
        <is>
          <t>Bamboo</t>
        </is>
      </c>
      <c r="FJ11" t="inlineStr">
        <is>
          <t>Half-Lap</t>
        </is>
      </c>
      <c r="FK11" t="inlineStr">
        <is>
          <t>Elm</t>
        </is>
      </c>
      <c r="FL11" t="inlineStr">
        <is>
          <t>Cut loose threads using a scissor</t>
        </is>
      </c>
      <c r="FM11" t="inlineStr">
        <is>
          <t>White</t>
        </is>
      </c>
      <c r="GD11" t="inlineStr">
        <is>
          <t>Ratchet</t>
        </is>
      </c>
      <c r="GE11" t="inlineStr">
        <is>
          <t>20 Years</t>
        </is>
      </c>
      <c r="GG11" t="inlineStr">
        <is>
          <t>Short Queen</t>
        </is>
      </c>
      <c r="GH11" t="inlineStr">
        <is>
          <t>White</t>
        </is>
      </c>
      <c r="GI11" t="inlineStr">
        <is>
          <t>Murphy</t>
        </is>
      </c>
      <c r="GJ11" t="inlineStr">
        <is>
          <t>Brass</t>
        </is>
      </c>
      <c r="GK11" t="inlineStr">
        <is>
          <t>Rayon / Viscose</t>
        </is>
      </c>
      <c r="GL11" t="inlineStr">
        <is>
          <t>Unavailable</t>
        </is>
      </c>
      <c r="GP11" t="inlineStr">
        <is>
          <t>Wood Scoring &amp; Rub Through</t>
        </is>
      </c>
      <c r="GS11" t="inlineStr">
        <is>
          <t>Half-Lap</t>
        </is>
      </c>
      <c r="GT11" t="inlineStr">
        <is>
          <t>Elm</t>
        </is>
      </c>
      <c r="GU11" t="inlineStr">
        <is>
          <t>Camouflage</t>
        </is>
      </c>
      <c r="GV11" t="inlineStr">
        <is>
          <t>Does Not Apply</t>
        </is>
      </c>
      <c r="GX11" t="inlineStr">
        <is>
          <t>9</t>
        </is>
      </c>
      <c r="HD11" t="inlineStr">
        <is>
          <t>Shearling</t>
        </is>
      </c>
      <c r="HF11" t="inlineStr">
        <is>
          <t>Unavailable</t>
        </is>
      </c>
      <c r="HG11" t="inlineStr">
        <is>
          <t>Does Not Apply</t>
        </is>
      </c>
      <c r="HH11" t="inlineStr">
        <is>
          <t>Does Not Apply</t>
        </is>
      </c>
      <c r="HI11" t="inlineStr">
        <is>
          <t>Richloom Fortress® Home Performance</t>
        </is>
      </c>
      <c r="HV11" t="inlineStr">
        <is>
          <t>UN3480</t>
        </is>
      </c>
      <c r="HW11" t="inlineStr">
        <is>
          <t>4.2</t>
        </is>
      </c>
      <c r="HY11" t="inlineStr">
        <is>
          <t>&gt;5L</t>
        </is>
      </c>
      <c r="IH11" t="inlineStr">
        <is>
          <t>Ratchet</t>
        </is>
      </c>
      <c r="II11" t="inlineStr">
        <is>
          <t>20 Years</t>
        </is>
      </c>
      <c r="IK11" t="inlineStr">
        <is>
          <t>20 Years</t>
        </is>
      </c>
    </row>
    <row r="12">
      <c r="I12" t="inlineStr">
        <is>
          <t>125</t>
        </is>
      </c>
      <c r="J12" t="inlineStr">
        <is>
          <t>240</t>
        </is>
      </c>
      <c r="L12" t="inlineStr">
        <is>
          <t>Acrylonitrile</t>
        </is>
      </c>
      <c r="N12" t="inlineStr">
        <is>
          <t>Antarctica</t>
        </is>
      </c>
      <c r="O12" t="inlineStr">
        <is>
          <t>Marketing Materials</t>
        </is>
      </c>
      <c r="P12" t="inlineStr">
        <is>
          <t>AHMA Certified</t>
        </is>
      </c>
      <c r="R12" t="inlineStr">
        <is>
          <t>French (Canada)</t>
        </is>
      </c>
      <c r="T12" t="inlineStr">
        <is>
          <t>Aluminum</t>
        </is>
      </c>
      <c r="U12" t="inlineStr">
        <is>
          <t>Eucalyptus</t>
        </is>
      </c>
      <c r="Z12" t="inlineStr">
        <is>
          <t>Unavailable</t>
        </is>
      </c>
      <c r="AE12" t="inlineStr">
        <is>
          <t>Cushion Cover</t>
        </is>
      </c>
      <c r="AG12" t="inlineStr">
        <is>
          <t>Oil Rubbed Bronze</t>
        </is>
      </c>
      <c r="AR12" t="inlineStr">
        <is>
          <t>UN2857</t>
        </is>
      </c>
      <c r="AS12" t="inlineStr">
        <is>
          <t>5.1</t>
        </is>
      </c>
      <c r="AU12" t="inlineStr">
        <is>
          <t>&gt;5kg</t>
        </is>
      </c>
      <c r="AW12" t="inlineStr">
        <is>
          <t>SGS North America Listed</t>
        </is>
      </c>
      <c r="AY12" t="inlineStr">
        <is>
          <t>25 Years</t>
        </is>
      </c>
      <c r="AZ12" t="inlineStr">
        <is>
          <t>25 Years</t>
        </is>
      </c>
      <c r="BB12" t="inlineStr">
        <is>
          <t>Apothecary</t>
        </is>
      </c>
      <c r="BC12" t="inlineStr">
        <is>
          <t>Faux Leather</t>
        </is>
      </c>
      <c r="BD12" t="inlineStr">
        <is>
          <t>Unavailable</t>
        </is>
      </c>
      <c r="BI12" t="inlineStr">
        <is>
          <t>Box</t>
        </is>
      </c>
      <c r="BJ12" t="inlineStr">
        <is>
          <t>Eucalyptus</t>
        </is>
      </c>
      <c r="BM12" t="inlineStr">
        <is>
          <t>Unavailable</t>
        </is>
      </c>
      <c r="BR12" t="inlineStr">
        <is>
          <t>Clean with soap and water</t>
        </is>
      </c>
      <c r="BS12" t="inlineStr">
        <is>
          <t>Stone</t>
        </is>
      </c>
      <c r="BT12" t="inlineStr">
        <is>
          <t>Oil Rubbed Bronze</t>
        </is>
      </c>
      <c r="BU12" t="inlineStr">
        <is>
          <t>Kenlin</t>
        </is>
      </c>
      <c r="BW12" t="inlineStr">
        <is>
          <t>Butane</t>
        </is>
      </c>
      <c r="BX12" t="inlineStr">
        <is>
          <t>See Through</t>
        </is>
      </c>
      <c r="BY12" t="inlineStr">
        <is>
          <t>Pier / Bookcase</t>
        </is>
      </c>
      <c r="CH12" t="inlineStr">
        <is>
          <t>UN2857</t>
        </is>
      </c>
      <c r="CI12" t="inlineStr">
        <is>
          <t>5.1</t>
        </is>
      </c>
      <c r="CK12" t="inlineStr">
        <is>
          <t>&gt;5kg</t>
        </is>
      </c>
      <c r="CM12" t="inlineStr">
        <is>
          <t>SGS North America Listed</t>
        </is>
      </c>
      <c r="CQ12" t="inlineStr">
        <is>
          <t>75"</t>
        </is>
      </c>
      <c r="CS12" t="inlineStr">
        <is>
          <t>Utility Saw</t>
        </is>
      </c>
      <c r="CT12" t="inlineStr">
        <is>
          <t>25 Years</t>
        </is>
      </c>
      <c r="CV12" t="inlineStr">
        <is>
          <t>25 Years</t>
        </is>
      </c>
      <c r="CX12" t="inlineStr">
        <is>
          <t>Cane</t>
        </is>
      </c>
      <c r="CZ12" t="inlineStr">
        <is>
          <t>Genuine Leather</t>
        </is>
      </c>
      <c r="DA12" t="inlineStr">
        <is>
          <t>Silk</t>
        </is>
      </c>
      <c r="DB12" t="inlineStr">
        <is>
          <t>Copper</t>
        </is>
      </c>
      <c r="DC12" t="inlineStr">
        <is>
          <t>Velvet</t>
        </is>
      </c>
      <c r="DE12" t="inlineStr">
        <is>
          <t>Unavailable</t>
        </is>
      </c>
      <c r="DH12" t="inlineStr">
        <is>
          <t>Upholstery</t>
        </is>
      </c>
      <c r="DK12" t="inlineStr">
        <is>
          <t>Box</t>
        </is>
      </c>
      <c r="DN12" t="inlineStr">
        <is>
          <t>Unavailable</t>
        </is>
      </c>
      <c r="DS12" t="inlineStr">
        <is>
          <t>Clean with soap and water</t>
        </is>
      </c>
      <c r="DT12" t="inlineStr">
        <is>
          <t>Red</t>
        </is>
      </c>
      <c r="DU12" t="inlineStr">
        <is>
          <t>Plastic</t>
        </is>
      </c>
      <c r="DV12" t="inlineStr">
        <is>
          <t>Does Not Apply</t>
        </is>
      </c>
      <c r="DW12" t="inlineStr">
        <is>
          <t>White Wood</t>
        </is>
      </c>
      <c r="DX12" t="inlineStr">
        <is>
          <t>Eucalyptus</t>
        </is>
      </c>
      <c r="DY12" t="inlineStr">
        <is>
          <t>Flip-Up</t>
        </is>
      </c>
      <c r="EN12" t="inlineStr">
        <is>
          <t>UN2857</t>
        </is>
      </c>
      <c r="EO12" t="inlineStr">
        <is>
          <t>5.1</t>
        </is>
      </c>
      <c r="EQ12" t="inlineStr">
        <is>
          <t>&gt;5kg</t>
        </is>
      </c>
      <c r="EX12" t="inlineStr">
        <is>
          <t>Utility Saw</t>
        </is>
      </c>
      <c r="EY12" t="inlineStr">
        <is>
          <t>25 Years</t>
        </is>
      </c>
      <c r="FB12" t="inlineStr">
        <is>
          <t>Faux Leather</t>
        </is>
      </c>
      <c r="FC12" t="inlineStr">
        <is>
          <t>Kenlin</t>
        </is>
      </c>
      <c r="FE12" t="inlineStr">
        <is>
          <t>Unavailable</t>
        </is>
      </c>
      <c r="FH12" t="inlineStr">
        <is>
          <t>Bakelite</t>
        </is>
      </c>
      <c r="FJ12" t="inlineStr">
        <is>
          <t>Box</t>
        </is>
      </c>
      <c r="FK12" t="inlineStr">
        <is>
          <t>Eucalyptus</t>
        </is>
      </c>
      <c r="FL12" t="inlineStr">
        <is>
          <t>Clean with soap and water</t>
        </is>
      </c>
      <c r="FM12" t="inlineStr">
        <is>
          <t>Ivory</t>
        </is>
      </c>
      <c r="GD12" t="inlineStr">
        <is>
          <t>Utility Saw</t>
        </is>
      </c>
      <c r="GE12" t="inlineStr">
        <is>
          <t>25 Years</t>
        </is>
      </c>
      <c r="GG12" t="inlineStr">
        <is>
          <t>Antique / Three Quarter</t>
        </is>
      </c>
      <c r="GH12" t="inlineStr">
        <is>
          <t>Ivory</t>
        </is>
      </c>
      <c r="GI12" t="inlineStr">
        <is>
          <t>Wingback</t>
        </is>
      </c>
      <c r="GJ12" t="inlineStr">
        <is>
          <t>Copper</t>
        </is>
      </c>
      <c r="GK12" t="inlineStr">
        <is>
          <t>Silk</t>
        </is>
      </c>
      <c r="GL12" t="inlineStr">
        <is>
          <t>Does Not Apply</t>
        </is>
      </c>
      <c r="GP12" t="inlineStr">
        <is>
          <t>Unavailable</t>
        </is>
      </c>
      <c r="GS12" t="inlineStr">
        <is>
          <t>Box</t>
        </is>
      </c>
      <c r="GT12" t="inlineStr">
        <is>
          <t>Eucalyptus</t>
        </is>
      </c>
      <c r="GU12" t="inlineStr">
        <is>
          <t>Polka Dots</t>
        </is>
      </c>
      <c r="GX12" t="inlineStr">
        <is>
          <t>Unavailable</t>
        </is>
      </c>
      <c r="HD12" t="inlineStr">
        <is>
          <t>Unavailable</t>
        </is>
      </c>
      <c r="HF12" t="inlineStr">
        <is>
          <t>Does Not Apply</t>
        </is>
      </c>
      <c r="HI12" t="inlineStr">
        <is>
          <t>Eco Ease® Performance Fabric</t>
        </is>
      </c>
      <c r="HV12" t="inlineStr">
        <is>
          <t>UN2857</t>
        </is>
      </c>
      <c r="HW12" t="inlineStr">
        <is>
          <t>5.1</t>
        </is>
      </c>
      <c r="HY12" t="inlineStr">
        <is>
          <t>&gt;5kg</t>
        </is>
      </c>
      <c r="IH12" t="inlineStr">
        <is>
          <t>Utility Saw</t>
        </is>
      </c>
      <c r="II12" t="inlineStr">
        <is>
          <t>25 Years</t>
        </is>
      </c>
      <c r="IK12" t="inlineStr">
        <is>
          <t>25 Years</t>
        </is>
      </c>
    </row>
    <row r="13">
      <c r="I13" t="inlineStr">
        <is>
          <t>150</t>
        </is>
      </c>
      <c r="J13" t="inlineStr">
        <is>
          <t>360</t>
        </is>
      </c>
      <c r="L13" t="inlineStr">
        <is>
          <t>Actinomycin D</t>
        </is>
      </c>
      <c r="N13" t="inlineStr">
        <is>
          <t>Antigua and Barbuda</t>
        </is>
      </c>
      <c r="O13" t="inlineStr">
        <is>
          <t>Energy Guide</t>
        </is>
      </c>
      <c r="P13" t="inlineStr">
        <is>
          <t>AHMA Compliant</t>
        </is>
      </c>
      <c r="R13" t="inlineStr">
        <is>
          <t>Hungarian</t>
        </is>
      </c>
      <c r="T13" t="inlineStr">
        <is>
          <t>Linen Blend</t>
        </is>
      </c>
      <c r="U13" t="inlineStr">
        <is>
          <t>Fir</t>
        </is>
      </c>
      <c r="Z13" t="inlineStr">
        <is>
          <t>Does Not Apply</t>
        </is>
      </c>
      <c r="AE13" t="inlineStr">
        <is>
          <t>Canopy</t>
        </is>
      </c>
      <c r="AG13" t="inlineStr">
        <is>
          <t>Matte Black</t>
        </is>
      </c>
      <c r="AR13" t="inlineStr">
        <is>
          <t>UN3358</t>
        </is>
      </c>
      <c r="AS13" t="inlineStr">
        <is>
          <t>2.3</t>
        </is>
      </c>
      <c r="AU13" t="inlineStr">
        <is>
          <t>Does Not Apply</t>
        </is>
      </c>
      <c r="AW13" t="inlineStr">
        <is>
          <t>Does Not Apply</t>
        </is>
      </c>
      <c r="AY13" t="inlineStr">
        <is>
          <t>Lifetime</t>
        </is>
      </c>
      <c r="AZ13" t="inlineStr">
        <is>
          <t>Lifetime</t>
        </is>
      </c>
      <c r="BB13" t="inlineStr">
        <is>
          <t>Multi-tiered</t>
        </is>
      </c>
      <c r="BC13" t="inlineStr">
        <is>
          <t>Iron</t>
        </is>
      </c>
      <c r="BI13" t="inlineStr">
        <is>
          <t>Lap</t>
        </is>
      </c>
      <c r="BJ13" t="inlineStr">
        <is>
          <t>Fir</t>
        </is>
      </c>
      <c r="BM13" t="inlineStr">
        <is>
          <t>Does Not Apply</t>
        </is>
      </c>
      <c r="BR13" t="inlineStr">
        <is>
          <t>Clean spills immediately</t>
        </is>
      </c>
      <c r="BS13" t="inlineStr">
        <is>
          <t>Glass</t>
        </is>
      </c>
      <c r="BT13" t="inlineStr">
        <is>
          <t>Matte Black</t>
        </is>
      </c>
      <c r="BU13" t="inlineStr">
        <is>
          <t>Side-Mounted Glides</t>
        </is>
      </c>
      <c r="BW13" t="inlineStr">
        <is>
          <t>Charcoal</t>
        </is>
      </c>
      <c r="BX13" t="inlineStr">
        <is>
          <t>Double Pane</t>
        </is>
      </c>
      <c r="BY13" t="inlineStr">
        <is>
          <t>Sound Bar Shelf</t>
        </is>
      </c>
      <c r="CH13" t="inlineStr">
        <is>
          <t>UN3358</t>
        </is>
      </c>
      <c r="CI13" t="inlineStr">
        <is>
          <t>2.3</t>
        </is>
      </c>
      <c r="CK13" t="inlineStr">
        <is>
          <t>Does Not Apply</t>
        </is>
      </c>
      <c r="CM13" t="inlineStr">
        <is>
          <t>Does Not Apply</t>
        </is>
      </c>
      <c r="CQ13" t="inlineStr">
        <is>
          <t>70"</t>
        </is>
      </c>
      <c r="CS13" t="inlineStr">
        <is>
          <t>Saw</t>
        </is>
      </c>
      <c r="CT13" t="inlineStr">
        <is>
          <t>Lifetime</t>
        </is>
      </c>
      <c r="CV13" t="inlineStr">
        <is>
          <t>Lifetime</t>
        </is>
      </c>
      <c r="CX13" t="inlineStr">
        <is>
          <t>Raffia</t>
        </is>
      </c>
      <c r="CZ13" t="inlineStr">
        <is>
          <t>Metal</t>
        </is>
      </c>
      <c r="DA13" t="inlineStr">
        <is>
          <t>Genuine Leather</t>
        </is>
      </c>
      <c r="DB13" t="inlineStr">
        <is>
          <t>Nickel</t>
        </is>
      </c>
      <c r="DC13" t="inlineStr">
        <is>
          <t>Leather</t>
        </is>
      </c>
      <c r="DH13" t="inlineStr">
        <is>
          <t>Concrete / Stone</t>
        </is>
      </c>
      <c r="DK13" t="inlineStr">
        <is>
          <t>Lap</t>
        </is>
      </c>
      <c r="DN13" t="inlineStr">
        <is>
          <t>Does Not Apply</t>
        </is>
      </c>
      <c r="DS13" t="inlineStr">
        <is>
          <t>Clean spills immediately</t>
        </is>
      </c>
      <c r="DT13" t="inlineStr">
        <is>
          <t>Purple</t>
        </is>
      </c>
      <c r="DU13" t="inlineStr">
        <is>
          <t>Vinyl</t>
        </is>
      </c>
      <c r="DW13" t="inlineStr">
        <is>
          <t>Black</t>
        </is>
      </c>
      <c r="DX13" t="inlineStr">
        <is>
          <t>Fir</t>
        </is>
      </c>
      <c r="DY13" t="inlineStr">
        <is>
          <t>Track Arms</t>
        </is>
      </c>
      <c r="EN13" t="inlineStr">
        <is>
          <t>UN3358</t>
        </is>
      </c>
      <c r="EO13" t="inlineStr">
        <is>
          <t>2.3</t>
        </is>
      </c>
      <c r="EQ13" t="inlineStr">
        <is>
          <t>Does Not Apply</t>
        </is>
      </c>
      <c r="EX13" t="inlineStr">
        <is>
          <t>Saw</t>
        </is>
      </c>
      <c r="EY13" t="inlineStr">
        <is>
          <t>Lifetime</t>
        </is>
      </c>
      <c r="FB13" t="inlineStr">
        <is>
          <t>Iron</t>
        </is>
      </c>
      <c r="FC13" t="inlineStr">
        <is>
          <t>Side-Mounted Glides</t>
        </is>
      </c>
      <c r="FH13" t="inlineStr">
        <is>
          <t>Nylon</t>
        </is>
      </c>
      <c r="FJ13" t="inlineStr">
        <is>
          <t>Lap</t>
        </is>
      </c>
      <c r="FK13" t="inlineStr">
        <is>
          <t>Fir</t>
        </is>
      </c>
      <c r="FL13" t="inlineStr">
        <is>
          <t>Clean spills immediately</t>
        </is>
      </c>
      <c r="FM13" t="inlineStr">
        <is>
          <t>Tan</t>
        </is>
      </c>
      <c r="GD13" t="inlineStr">
        <is>
          <t>Saw</t>
        </is>
      </c>
      <c r="GE13" t="inlineStr">
        <is>
          <t>Lifetime</t>
        </is>
      </c>
      <c r="GG13" t="inlineStr">
        <is>
          <t>Split California King</t>
        </is>
      </c>
      <c r="GH13" t="inlineStr">
        <is>
          <t>Tan</t>
        </is>
      </c>
      <c r="GI13" t="inlineStr">
        <is>
          <t>Open-Frame</t>
        </is>
      </c>
      <c r="GJ13" t="inlineStr">
        <is>
          <t>Metal</t>
        </is>
      </c>
      <c r="GK13" t="inlineStr">
        <is>
          <t>Genuine Leather</t>
        </is>
      </c>
      <c r="GS13" t="inlineStr">
        <is>
          <t>Lap</t>
        </is>
      </c>
      <c r="GT13" t="inlineStr">
        <is>
          <t>Fir</t>
        </is>
      </c>
      <c r="GU13" t="inlineStr">
        <is>
          <t>Ikat</t>
        </is>
      </c>
      <c r="GX13" t="inlineStr">
        <is>
          <t>Does Not Apply</t>
        </is>
      </c>
      <c r="HD13" t="inlineStr">
        <is>
          <t>Does Not Apply</t>
        </is>
      </c>
      <c r="HI13" t="inlineStr">
        <is>
          <t>Unavailable</t>
        </is>
      </c>
      <c r="HV13" t="inlineStr">
        <is>
          <t>UN3358</t>
        </is>
      </c>
      <c r="HW13" t="inlineStr">
        <is>
          <t>2.3</t>
        </is>
      </c>
      <c r="HY13" t="inlineStr">
        <is>
          <t>Does Not Apply</t>
        </is>
      </c>
      <c r="IH13" t="inlineStr">
        <is>
          <t>Saw</t>
        </is>
      </c>
      <c r="II13" t="inlineStr">
        <is>
          <t>Lifetime</t>
        </is>
      </c>
      <c r="IK13" t="inlineStr">
        <is>
          <t>Lifetime</t>
        </is>
      </c>
    </row>
    <row r="14">
      <c r="I14" t="inlineStr">
        <is>
          <t>175</t>
        </is>
      </c>
      <c r="J14" t="inlineStr">
        <is>
          <t>480</t>
        </is>
      </c>
      <c r="L14" t="inlineStr">
        <is>
          <t>AF-2;[2-(2-furyl)-3-(5-nitro-2-furyl)]acrylamide</t>
        </is>
      </c>
      <c r="N14" t="inlineStr">
        <is>
          <t>Argentina</t>
        </is>
      </c>
      <c r="O14" t="inlineStr">
        <is>
          <t>Other</t>
        </is>
      </c>
      <c r="P14" t="inlineStr">
        <is>
          <t>AHRI Certified</t>
        </is>
      </c>
      <c r="R14" t="inlineStr">
        <is>
          <t>Indonesian</t>
        </is>
      </c>
      <c r="T14" t="inlineStr">
        <is>
          <t>Acrylic</t>
        </is>
      </c>
      <c r="U14" t="inlineStr">
        <is>
          <t>Hickory</t>
        </is>
      </c>
      <c r="AE14" t="inlineStr">
        <is>
          <t>Shelves</t>
        </is>
      </c>
      <c r="AG14" t="inlineStr">
        <is>
          <t>Satin Nickel</t>
        </is>
      </c>
      <c r="AR14" t="inlineStr">
        <is>
          <t>UN3090</t>
        </is>
      </c>
      <c r="AS14" t="inlineStr">
        <is>
          <t>6.2</t>
        </is>
      </c>
      <c r="AY14" t="inlineStr">
        <is>
          <t>15 Years</t>
        </is>
      </c>
      <c r="AZ14" t="inlineStr">
        <is>
          <t>Warranty length varies by part</t>
        </is>
      </c>
      <c r="BB14" t="inlineStr">
        <is>
          <t>Floor</t>
        </is>
      </c>
      <c r="BC14" t="inlineStr">
        <is>
          <t>Marble / Granite</t>
        </is>
      </c>
      <c r="BI14" t="inlineStr">
        <is>
          <t>Double Dowelled</t>
        </is>
      </c>
      <c r="BJ14" t="inlineStr">
        <is>
          <t>Hickory</t>
        </is>
      </c>
      <c r="BR14" t="inlineStr">
        <is>
          <t>Dishwasher safe component</t>
        </is>
      </c>
      <c r="BS14" t="inlineStr">
        <is>
          <t>Melamine</t>
        </is>
      </c>
      <c r="BT14" t="inlineStr">
        <is>
          <t>Satin Nickel</t>
        </is>
      </c>
      <c r="BU14" t="inlineStr">
        <is>
          <t>Undermount Glides</t>
        </is>
      </c>
      <c r="BW14" t="inlineStr">
        <is>
          <t>Ethanol</t>
        </is>
      </c>
      <c r="BX14" t="inlineStr">
        <is>
          <t>Does Not Apply</t>
        </is>
      </c>
      <c r="BY14" t="inlineStr">
        <is>
          <t>TV Anti-Tip Kit</t>
        </is>
      </c>
      <c r="CH14" t="inlineStr">
        <is>
          <t>UN3090</t>
        </is>
      </c>
      <c r="CI14" t="inlineStr">
        <is>
          <t>6.2</t>
        </is>
      </c>
      <c r="CQ14" t="inlineStr">
        <is>
          <t>48"</t>
        </is>
      </c>
      <c r="CS14" t="inlineStr">
        <is>
          <t>Measuring Tape</t>
        </is>
      </c>
      <c r="CT14" t="inlineStr">
        <is>
          <t>15 Years</t>
        </is>
      </c>
      <c r="CV14" t="inlineStr">
        <is>
          <t>Warranty length varies by part</t>
        </is>
      </c>
      <c r="CX14" t="inlineStr">
        <is>
          <t>Nickel</t>
        </is>
      </c>
      <c r="CZ14" t="inlineStr">
        <is>
          <t>Plastic / Resin</t>
        </is>
      </c>
      <c r="DA14" t="inlineStr">
        <is>
          <t>Acrylic</t>
        </is>
      </c>
      <c r="DB14" t="inlineStr">
        <is>
          <t>Aluminum</t>
        </is>
      </c>
      <c r="DC14" t="inlineStr">
        <is>
          <t>Rayon</t>
        </is>
      </c>
      <c r="DH14" t="inlineStr">
        <is>
          <t>Grass</t>
        </is>
      </c>
      <c r="DK14" t="inlineStr">
        <is>
          <t>Double Dowelled</t>
        </is>
      </c>
      <c r="DS14" t="inlineStr">
        <is>
          <t>Dishwasher safe component</t>
        </is>
      </c>
      <c r="DT14" t="inlineStr">
        <is>
          <t>Pink</t>
        </is>
      </c>
      <c r="DU14" t="inlineStr">
        <is>
          <t>Polypropylene</t>
        </is>
      </c>
      <c r="DW14" t="inlineStr">
        <is>
          <t>Brown</t>
        </is>
      </c>
      <c r="DX14" t="inlineStr">
        <is>
          <t>Hickory</t>
        </is>
      </c>
      <c r="DY14" t="inlineStr">
        <is>
          <t>Adjustable Arms</t>
        </is>
      </c>
      <c r="EN14" t="inlineStr">
        <is>
          <t>UN3090</t>
        </is>
      </c>
      <c r="EO14" t="inlineStr">
        <is>
          <t>6.2</t>
        </is>
      </c>
      <c r="EX14" t="inlineStr">
        <is>
          <t>Measuring Tape</t>
        </is>
      </c>
      <c r="EY14" t="inlineStr">
        <is>
          <t>15 Years</t>
        </is>
      </c>
      <c r="FB14" t="inlineStr">
        <is>
          <t>Laminate</t>
        </is>
      </c>
      <c r="FC14" t="inlineStr">
        <is>
          <t>Undermount Glides</t>
        </is>
      </c>
      <c r="FH14" t="inlineStr">
        <is>
          <t>Enameled Cast Iron</t>
        </is>
      </c>
      <c r="FJ14" t="inlineStr">
        <is>
          <t>Double Dowelled</t>
        </is>
      </c>
      <c r="FK14" t="inlineStr">
        <is>
          <t>Hickory</t>
        </is>
      </c>
      <c r="FL14" t="inlineStr">
        <is>
          <t>Dishwasher safe component</t>
        </is>
      </c>
      <c r="FM14" t="inlineStr">
        <is>
          <t>Teal</t>
        </is>
      </c>
      <c r="GD14" t="inlineStr">
        <is>
          <t>Measuring Tape</t>
        </is>
      </c>
      <c r="GE14" t="inlineStr">
        <is>
          <t>15 Years</t>
        </is>
      </c>
      <c r="GG14" t="inlineStr">
        <is>
          <t>Short Full</t>
        </is>
      </c>
      <c r="GH14" t="inlineStr">
        <is>
          <t>Teal</t>
        </is>
      </c>
      <c r="GI14" t="inlineStr">
        <is>
          <t>Slat Headboard Design</t>
        </is>
      </c>
      <c r="GJ14" t="inlineStr">
        <is>
          <t>Solid Wood</t>
        </is>
      </c>
      <c r="GK14" t="inlineStr">
        <is>
          <t>Acrylic</t>
        </is>
      </c>
      <c r="GS14" t="inlineStr">
        <is>
          <t>Double Dowelled</t>
        </is>
      </c>
      <c r="GT14" t="inlineStr">
        <is>
          <t>Hickory</t>
        </is>
      </c>
      <c r="GU14" t="inlineStr">
        <is>
          <t>Houndstooth</t>
        </is>
      </c>
      <c r="HI14" t="inlineStr">
        <is>
          <t>Does Not Apply</t>
        </is>
      </c>
      <c r="HV14" t="inlineStr">
        <is>
          <t>UN3090</t>
        </is>
      </c>
      <c r="HW14" t="inlineStr">
        <is>
          <t>6.2</t>
        </is>
      </c>
      <c r="IH14" t="inlineStr">
        <is>
          <t>Measuring Tape</t>
        </is>
      </c>
      <c r="II14" t="inlineStr">
        <is>
          <t>15 Years</t>
        </is>
      </c>
      <c r="IK14" t="inlineStr">
        <is>
          <t>Warranty length varies by part</t>
        </is>
      </c>
    </row>
    <row r="15">
      <c r="I15" t="inlineStr">
        <is>
          <t>200</t>
        </is>
      </c>
      <c r="J15" t="inlineStr">
        <is>
          <t>600</t>
        </is>
      </c>
      <c r="L15" t="inlineStr">
        <is>
          <t>Aflatoxins</t>
        </is>
      </c>
      <c r="N15" t="inlineStr">
        <is>
          <t>Armenia</t>
        </is>
      </c>
      <c r="O15" t="inlineStr">
        <is>
          <t>Product Information Sheet</t>
        </is>
      </c>
      <c r="P15" t="inlineStr">
        <is>
          <t>ANSI A117.1 Compliant</t>
        </is>
      </c>
      <c r="R15" t="inlineStr">
        <is>
          <t>Icelandic</t>
        </is>
      </c>
      <c r="T15" t="inlineStr">
        <is>
          <t>Manufactured Wood</t>
        </is>
      </c>
      <c r="U15" t="inlineStr">
        <is>
          <t>Mahogany</t>
        </is>
      </c>
      <c r="AE15" t="inlineStr">
        <is>
          <t>Drawers</t>
        </is>
      </c>
      <c r="AG15" t="inlineStr">
        <is>
          <t>Brushed Nickel</t>
        </is>
      </c>
      <c r="AR15" t="inlineStr">
        <is>
          <t>UN1266</t>
        </is>
      </c>
      <c r="AS15" t="inlineStr">
        <is>
          <t>9</t>
        </is>
      </c>
      <c r="AY15" t="inlineStr">
        <is>
          <t>4 Years</t>
        </is>
      </c>
      <c r="AZ15" t="inlineStr">
        <is>
          <t>15 Years</t>
        </is>
      </c>
      <c r="BB15" t="inlineStr">
        <is>
          <t>Corner</t>
        </is>
      </c>
      <c r="BC15" t="inlineStr">
        <is>
          <t>Metal</t>
        </is>
      </c>
      <c r="BI15" t="inlineStr">
        <is>
          <t>Bridle</t>
        </is>
      </c>
      <c r="BJ15" t="inlineStr">
        <is>
          <t>Mahogany</t>
        </is>
      </c>
      <c r="BR15" t="inlineStr">
        <is>
          <t>Lay flat to dry</t>
        </is>
      </c>
      <c r="BS15" t="inlineStr">
        <is>
          <t>Aluminum</t>
        </is>
      </c>
      <c r="BT15" t="inlineStr">
        <is>
          <t>Brushed Nickel</t>
        </is>
      </c>
      <c r="BU15" t="inlineStr">
        <is>
          <t>Euro Glides</t>
        </is>
      </c>
      <c r="BW15" t="inlineStr">
        <is>
          <t>Alcohol</t>
        </is>
      </c>
      <c r="BY15" t="inlineStr">
        <is>
          <t>Wheels / Casters</t>
        </is>
      </c>
      <c r="CH15" t="inlineStr">
        <is>
          <t>UN1266</t>
        </is>
      </c>
      <c r="CI15" t="inlineStr">
        <is>
          <t>9</t>
        </is>
      </c>
      <c r="CQ15" t="inlineStr">
        <is>
          <t>43"</t>
        </is>
      </c>
      <c r="CS15" t="inlineStr">
        <is>
          <t>Mallet</t>
        </is>
      </c>
      <c r="CT15" t="inlineStr">
        <is>
          <t>4 Years</t>
        </is>
      </c>
      <c r="CV15" t="inlineStr">
        <is>
          <t>15 Years</t>
        </is>
      </c>
      <c r="CX15" t="inlineStr">
        <is>
          <t>Glass</t>
        </is>
      </c>
      <c r="CZ15" t="inlineStr">
        <is>
          <t>Nickel</t>
        </is>
      </c>
      <c r="DA15" t="inlineStr">
        <is>
          <t>Faux Fur</t>
        </is>
      </c>
      <c r="DB15" t="inlineStr">
        <is>
          <t>Steel</t>
        </is>
      </c>
      <c r="DC15" t="inlineStr">
        <is>
          <t>Chenille</t>
        </is>
      </c>
      <c r="DH15" t="inlineStr">
        <is>
          <t>Heated Floor</t>
        </is>
      </c>
      <c r="DK15" t="inlineStr">
        <is>
          <t>Bridle</t>
        </is>
      </c>
      <c r="DS15" t="inlineStr">
        <is>
          <t>Lay flat to dry</t>
        </is>
      </c>
      <c r="DT15" t="inlineStr">
        <is>
          <t>Silver</t>
        </is>
      </c>
      <c r="DU15" t="inlineStr">
        <is>
          <t>Solid Wood</t>
        </is>
      </c>
      <c r="DW15" t="inlineStr">
        <is>
          <t>Blue</t>
        </is>
      </c>
      <c r="DX15" t="inlineStr">
        <is>
          <t>Mahogany</t>
        </is>
      </c>
      <c r="DY15" t="inlineStr">
        <is>
          <t>Flared Arms</t>
        </is>
      </c>
      <c r="EN15" t="inlineStr">
        <is>
          <t>UN1266</t>
        </is>
      </c>
      <c r="EO15" t="inlineStr">
        <is>
          <t>9</t>
        </is>
      </c>
      <c r="EX15" t="inlineStr">
        <is>
          <t>Mallet</t>
        </is>
      </c>
      <c r="EY15" t="inlineStr">
        <is>
          <t>4 Years</t>
        </is>
      </c>
      <c r="FB15" t="inlineStr">
        <is>
          <t>Marble / Granite</t>
        </is>
      </c>
      <c r="FC15" t="inlineStr">
        <is>
          <t>Euro Glides</t>
        </is>
      </c>
      <c r="FH15" t="inlineStr">
        <is>
          <t>Cast Iron</t>
        </is>
      </c>
      <c r="FJ15" t="inlineStr">
        <is>
          <t>Bridle</t>
        </is>
      </c>
      <c r="FK15" t="inlineStr">
        <is>
          <t>Mahogany</t>
        </is>
      </c>
      <c r="FL15" t="inlineStr">
        <is>
          <t>Lay flat to dry</t>
        </is>
      </c>
      <c r="FM15" t="inlineStr">
        <is>
          <t>Navy</t>
        </is>
      </c>
      <c r="GD15" t="inlineStr">
        <is>
          <t>Mallet</t>
        </is>
      </c>
      <c r="GE15" t="inlineStr">
        <is>
          <t>4 Years</t>
        </is>
      </c>
      <c r="GG15" t="inlineStr">
        <is>
          <t>Split King</t>
        </is>
      </c>
      <c r="GH15" t="inlineStr">
        <is>
          <t>Navy</t>
        </is>
      </c>
      <c r="GI15" t="inlineStr">
        <is>
          <t>Daybed</t>
        </is>
      </c>
      <c r="GJ15" t="inlineStr">
        <is>
          <t>Unavailable</t>
        </is>
      </c>
      <c r="GK15" t="inlineStr">
        <is>
          <t>Faux Fur</t>
        </is>
      </c>
      <c r="GS15" t="inlineStr">
        <is>
          <t>Bridle</t>
        </is>
      </c>
      <c r="GT15" t="inlineStr">
        <is>
          <t>Mahogany</t>
        </is>
      </c>
      <c r="GU15" t="inlineStr">
        <is>
          <t>Toile</t>
        </is>
      </c>
      <c r="HV15" t="inlineStr">
        <is>
          <t>UN1266</t>
        </is>
      </c>
      <c r="HW15" t="inlineStr">
        <is>
          <t>9</t>
        </is>
      </c>
      <c r="IH15" t="inlineStr">
        <is>
          <t>Mallet</t>
        </is>
      </c>
      <c r="II15" t="inlineStr">
        <is>
          <t>4 Years</t>
        </is>
      </c>
      <c r="IK15" t="inlineStr">
        <is>
          <t>15 Years</t>
        </is>
      </c>
    </row>
    <row r="16">
      <c r="I16" t="inlineStr">
        <is>
          <t>250</t>
        </is>
      </c>
      <c r="J16" t="inlineStr">
        <is>
          <t>720</t>
        </is>
      </c>
      <c r="L16" t="inlineStr">
        <is>
          <t>Alachlor</t>
        </is>
      </c>
      <c r="N16" t="inlineStr">
        <is>
          <t>Aruba</t>
        </is>
      </c>
      <c r="O16" t="inlineStr">
        <is>
          <t>Digital Law Label</t>
        </is>
      </c>
      <c r="P16" t="inlineStr">
        <is>
          <t>ANSI A137.1 Compliant</t>
        </is>
      </c>
      <c r="R16" t="inlineStr">
        <is>
          <t>Italian</t>
        </is>
      </c>
      <c r="T16" t="inlineStr">
        <is>
          <t>Limestone</t>
        </is>
      </c>
      <c r="U16" t="inlineStr">
        <is>
          <t>Mango</t>
        </is>
      </c>
      <c r="AE16" t="inlineStr">
        <is>
          <t>Mirror</t>
        </is>
      </c>
      <c r="AG16" t="inlineStr">
        <is>
          <t>Antique Brass</t>
        </is>
      </c>
      <c r="AR16" t="inlineStr">
        <is>
          <t>UN1993</t>
        </is>
      </c>
      <c r="AS16" t="inlineStr">
        <is>
          <t>8</t>
        </is>
      </c>
      <c r="AY16" t="inlineStr">
        <is>
          <t>18 Months</t>
        </is>
      </c>
      <c r="AZ16" t="inlineStr">
        <is>
          <t>18 Months</t>
        </is>
      </c>
      <c r="BB16" t="inlineStr">
        <is>
          <t>Basket Storage</t>
        </is>
      </c>
      <c r="BC16" t="inlineStr">
        <is>
          <t>Plastic / Acrylic</t>
        </is>
      </c>
      <c r="BI16" t="inlineStr">
        <is>
          <t>Halved</t>
        </is>
      </c>
      <c r="BJ16" t="inlineStr">
        <is>
          <t>Mango</t>
        </is>
      </c>
      <c r="BR16" t="inlineStr">
        <is>
          <t>Dryer safe</t>
        </is>
      </c>
      <c r="BS16" t="inlineStr">
        <is>
          <t>Acrylic</t>
        </is>
      </c>
      <c r="BT16" t="inlineStr">
        <is>
          <t>Antique Brass</t>
        </is>
      </c>
      <c r="BU16" t="inlineStr">
        <is>
          <t>Unavailable</t>
        </is>
      </c>
      <c r="BW16" t="inlineStr">
        <is>
          <t>Does Not Apply</t>
        </is>
      </c>
      <c r="BY16" t="inlineStr">
        <is>
          <t>Cabinets</t>
        </is>
      </c>
      <c r="CH16" t="inlineStr">
        <is>
          <t>UN1993</t>
        </is>
      </c>
      <c r="CI16" t="inlineStr">
        <is>
          <t>8</t>
        </is>
      </c>
      <c r="CQ16" t="inlineStr">
        <is>
          <t>88"</t>
        </is>
      </c>
      <c r="CS16" t="inlineStr">
        <is>
          <t>Level</t>
        </is>
      </c>
      <c r="CT16" t="inlineStr">
        <is>
          <t>18 Months</t>
        </is>
      </c>
      <c r="CV16" t="inlineStr">
        <is>
          <t>18 Months</t>
        </is>
      </c>
      <c r="CX16" t="inlineStr">
        <is>
          <t>Laminate</t>
        </is>
      </c>
      <c r="CZ16" t="inlineStr">
        <is>
          <t>Polyurethane</t>
        </is>
      </c>
      <c r="DA16" t="inlineStr">
        <is>
          <t>Nylon</t>
        </is>
      </c>
      <c r="DB16" t="inlineStr">
        <is>
          <t>Stainless Steel</t>
        </is>
      </c>
      <c r="DC16" t="inlineStr">
        <is>
          <t>Wool</t>
        </is>
      </c>
      <c r="DH16" t="inlineStr">
        <is>
          <t>Onyx</t>
        </is>
      </c>
      <c r="DK16" t="inlineStr">
        <is>
          <t>Halved</t>
        </is>
      </c>
      <c r="DS16" t="inlineStr">
        <is>
          <t>Dryer safe</t>
        </is>
      </c>
      <c r="DT16" t="inlineStr">
        <is>
          <t>Navy</t>
        </is>
      </c>
      <c r="DU16" t="inlineStr">
        <is>
          <t>Faux Leather</t>
        </is>
      </c>
      <c r="DW16" t="inlineStr">
        <is>
          <t>Dark Brown Wood</t>
        </is>
      </c>
      <c r="DX16" t="inlineStr">
        <is>
          <t>Mango</t>
        </is>
      </c>
      <c r="DY16" t="inlineStr">
        <is>
          <t>Unavailable</t>
        </is>
      </c>
      <c r="EN16" t="inlineStr">
        <is>
          <t>UN1993</t>
        </is>
      </c>
      <c r="EO16" t="inlineStr">
        <is>
          <t>8</t>
        </is>
      </c>
      <c r="EX16" t="inlineStr">
        <is>
          <t>Level</t>
        </is>
      </c>
      <c r="EY16" t="inlineStr">
        <is>
          <t>18 Months</t>
        </is>
      </c>
      <c r="FB16" t="inlineStr">
        <is>
          <t>Metal</t>
        </is>
      </c>
      <c r="FC16" t="inlineStr">
        <is>
          <t>Unavailable</t>
        </is>
      </c>
      <c r="FH16" t="inlineStr">
        <is>
          <t>Gold Plated</t>
        </is>
      </c>
      <c r="FJ16" t="inlineStr">
        <is>
          <t>Halved</t>
        </is>
      </c>
      <c r="FK16" t="inlineStr">
        <is>
          <t>Mango</t>
        </is>
      </c>
      <c r="FL16" t="inlineStr">
        <is>
          <t>Dryer safe</t>
        </is>
      </c>
      <c r="FM16" t="inlineStr">
        <is>
          <t>Orange</t>
        </is>
      </c>
      <c r="GD16" t="inlineStr">
        <is>
          <t>Level</t>
        </is>
      </c>
      <c r="GE16" t="inlineStr">
        <is>
          <t>18 Months</t>
        </is>
      </c>
      <c r="GG16" t="inlineStr">
        <is>
          <t>California Queen</t>
        </is>
      </c>
      <c r="GH16" t="inlineStr">
        <is>
          <t>Orange</t>
        </is>
      </c>
      <c r="GI16" t="inlineStr">
        <is>
          <t>Unavailable</t>
        </is>
      </c>
      <c r="GK16" t="inlineStr">
        <is>
          <t>Nylon</t>
        </is>
      </c>
      <c r="GS16" t="inlineStr">
        <is>
          <t>Halved</t>
        </is>
      </c>
      <c r="GT16" t="inlineStr">
        <is>
          <t>Mango</t>
        </is>
      </c>
      <c r="GU16" t="inlineStr">
        <is>
          <t>Patchwork</t>
        </is>
      </c>
      <c r="HV16" t="inlineStr">
        <is>
          <t>UN1993</t>
        </is>
      </c>
      <c r="HW16" t="inlineStr">
        <is>
          <t>8</t>
        </is>
      </c>
      <c r="IH16" t="inlineStr">
        <is>
          <t>Level</t>
        </is>
      </c>
      <c r="II16" t="inlineStr">
        <is>
          <t>18 Months</t>
        </is>
      </c>
      <c r="IK16" t="inlineStr">
        <is>
          <t>18 Months</t>
        </is>
      </c>
    </row>
    <row r="17">
      <c r="I17" t="inlineStr">
        <is>
          <t>300</t>
        </is>
      </c>
      <c r="J17" t="inlineStr">
        <is>
          <t>840</t>
        </is>
      </c>
      <c r="L17" t="inlineStr">
        <is>
          <t>Alcoholic beverages, when associated with alcohol abuse</t>
        </is>
      </c>
      <c r="N17" t="inlineStr">
        <is>
          <t>Australia</t>
        </is>
      </c>
      <c r="P17" t="inlineStr">
        <is>
          <t>ANSI IT9.2 Compliant</t>
        </is>
      </c>
      <c r="R17" t="inlineStr">
        <is>
          <t>Japanese</t>
        </is>
      </c>
      <c r="T17" t="inlineStr">
        <is>
          <t>Artificial Grass</t>
        </is>
      </c>
      <c r="U17" t="inlineStr">
        <is>
          <t>Maple</t>
        </is>
      </c>
      <c r="AE17" t="inlineStr">
        <is>
          <t>Unavailable</t>
        </is>
      </c>
      <c r="AG17" t="inlineStr">
        <is>
          <t>Antique Bronze</t>
        </is>
      </c>
      <c r="AR17" t="inlineStr">
        <is>
          <t>UN1944</t>
        </is>
      </c>
      <c r="AS17" t="inlineStr">
        <is>
          <t>Does Not Apply</t>
        </is>
      </c>
      <c r="AY17" t="inlineStr">
        <is>
          <t>6 Years</t>
        </is>
      </c>
      <c r="AZ17" t="inlineStr">
        <is>
          <t>12 Years</t>
        </is>
      </c>
      <c r="BB17" t="inlineStr">
        <is>
          <t>Tabletop</t>
        </is>
      </c>
      <c r="BC17" t="inlineStr">
        <is>
          <t>Teak</t>
        </is>
      </c>
      <c r="BI17" t="inlineStr">
        <is>
          <t>Corner Block Reinforced</t>
        </is>
      </c>
      <c r="BJ17" t="inlineStr">
        <is>
          <t>Maple</t>
        </is>
      </c>
      <c r="BR17" t="inlineStr">
        <is>
          <t>Warm wash</t>
        </is>
      </c>
      <c r="BS17" t="inlineStr">
        <is>
          <t>Resin</t>
        </is>
      </c>
      <c r="BT17" t="inlineStr">
        <is>
          <t>Antique Bronze</t>
        </is>
      </c>
      <c r="BU17" t="inlineStr">
        <is>
          <t>Does Not Apply</t>
        </is>
      </c>
      <c r="BY17" t="inlineStr">
        <is>
          <t>Unavailable</t>
        </is>
      </c>
      <c r="CH17" t="inlineStr">
        <is>
          <t>UN1944</t>
        </is>
      </c>
      <c r="CI17" t="inlineStr">
        <is>
          <t>Does Not Apply</t>
        </is>
      </c>
      <c r="CQ17" t="inlineStr">
        <is>
          <t>60"</t>
        </is>
      </c>
      <c r="CS17" t="inlineStr">
        <is>
          <t>Box Cutter</t>
        </is>
      </c>
      <c r="CT17" t="inlineStr">
        <is>
          <t>6 Years</t>
        </is>
      </c>
      <c r="CV17" t="inlineStr">
        <is>
          <t>12 Years</t>
        </is>
      </c>
      <c r="CX17" t="inlineStr">
        <is>
          <t>Wicker</t>
        </is>
      </c>
      <c r="CZ17" t="inlineStr">
        <is>
          <t>Solid + Manufactured Wood</t>
        </is>
      </c>
      <c r="DA17" t="inlineStr">
        <is>
          <t>Genuine Fur</t>
        </is>
      </c>
      <c r="DB17" t="inlineStr">
        <is>
          <t>Upholstered</t>
        </is>
      </c>
      <c r="DC17" t="inlineStr">
        <is>
          <t>Cotton</t>
        </is>
      </c>
      <c r="DH17" t="inlineStr">
        <is>
          <t>Thin Carpets and Low Pile Rugs</t>
        </is>
      </c>
      <c r="DK17" t="inlineStr">
        <is>
          <t>Corner Block Reinforced</t>
        </is>
      </c>
      <c r="DS17" t="inlineStr">
        <is>
          <t>Warm wash</t>
        </is>
      </c>
      <c r="DT17" t="inlineStr">
        <is>
          <t>Ivory</t>
        </is>
      </c>
      <c r="DU17" t="inlineStr">
        <is>
          <t>Genuine Leather</t>
        </is>
      </c>
      <c r="DW17" t="inlineStr">
        <is>
          <t>Brown Wood</t>
        </is>
      </c>
      <c r="DX17" t="inlineStr">
        <is>
          <t>Maple</t>
        </is>
      </c>
      <c r="DY17" t="inlineStr">
        <is>
          <t>Does Not Apply</t>
        </is>
      </c>
      <c r="EN17" t="inlineStr">
        <is>
          <t>UN1944</t>
        </is>
      </c>
      <c r="EO17" t="inlineStr">
        <is>
          <t>Does Not Apply</t>
        </is>
      </c>
      <c r="EX17" t="inlineStr">
        <is>
          <t>Box Cutter</t>
        </is>
      </c>
      <c r="EY17" t="inlineStr">
        <is>
          <t>6 Years</t>
        </is>
      </c>
      <c r="FB17" t="inlineStr">
        <is>
          <t>Plastic / Acrylic</t>
        </is>
      </c>
      <c r="FC17" t="inlineStr">
        <is>
          <t>Does Not Apply</t>
        </is>
      </c>
      <c r="FH17" t="inlineStr">
        <is>
          <t>Sterling Silver</t>
        </is>
      </c>
      <c r="FJ17" t="inlineStr">
        <is>
          <t>Corner Block Reinforced</t>
        </is>
      </c>
      <c r="FK17" t="inlineStr">
        <is>
          <t>Maple</t>
        </is>
      </c>
      <c r="FL17" t="inlineStr">
        <is>
          <t>Warm wash</t>
        </is>
      </c>
      <c r="FM17" t="inlineStr">
        <is>
          <t>Silver</t>
        </is>
      </c>
      <c r="GD17" t="inlineStr">
        <is>
          <t>Box Cutter</t>
        </is>
      </c>
      <c r="GE17" t="inlineStr">
        <is>
          <t>6 Years</t>
        </is>
      </c>
      <c r="GG17" t="inlineStr">
        <is>
          <t>Split Queen</t>
        </is>
      </c>
      <c r="GH17" t="inlineStr">
        <is>
          <t>Silver</t>
        </is>
      </c>
      <c r="GK17" t="inlineStr">
        <is>
          <t>Genuine Fur</t>
        </is>
      </c>
      <c r="GS17" t="inlineStr">
        <is>
          <t>Corner Block Reinforced</t>
        </is>
      </c>
      <c r="GT17" t="inlineStr">
        <is>
          <t>Maple</t>
        </is>
      </c>
      <c r="GU17" t="inlineStr">
        <is>
          <t>Ombre</t>
        </is>
      </c>
      <c r="HV17" t="inlineStr">
        <is>
          <t>UN1944</t>
        </is>
      </c>
      <c r="HW17" t="inlineStr">
        <is>
          <t>Does Not Apply</t>
        </is>
      </c>
      <c r="IH17" t="inlineStr">
        <is>
          <t>Box Cutter</t>
        </is>
      </c>
      <c r="II17" t="inlineStr">
        <is>
          <t>6 Years</t>
        </is>
      </c>
      <c r="IK17" t="inlineStr">
        <is>
          <t>12 Years</t>
        </is>
      </c>
    </row>
    <row r="18">
      <c r="I18" t="inlineStr">
        <is>
          <t>400</t>
        </is>
      </c>
      <c r="J18" t="inlineStr">
        <is>
          <t>960</t>
        </is>
      </c>
      <c r="L18" t="inlineStr">
        <is>
          <t>Aldrin</t>
        </is>
      </c>
      <c r="N18" t="inlineStr">
        <is>
          <t>Austria</t>
        </is>
      </c>
      <c r="P18" t="inlineStr">
        <is>
          <t>ANSI Z1.5A/CGA 9.1M Certified</t>
        </is>
      </c>
      <c r="R18" t="inlineStr">
        <is>
          <t>Korean</t>
        </is>
      </c>
      <c r="T18" t="inlineStr">
        <is>
          <t>Antler</t>
        </is>
      </c>
      <c r="U18" t="inlineStr">
        <is>
          <t>Oak</t>
        </is>
      </c>
      <c r="AE18" t="inlineStr">
        <is>
          <t>Does Not Apply</t>
        </is>
      </c>
      <c r="AG18" t="inlineStr">
        <is>
          <t>Copper</t>
        </is>
      </c>
      <c r="AR18" t="inlineStr">
        <is>
          <t>UN1070</t>
        </is>
      </c>
      <c r="AY18" t="inlineStr">
        <is>
          <t>7 Years</t>
        </is>
      </c>
      <c r="AZ18" t="inlineStr">
        <is>
          <t>6 Years</t>
        </is>
      </c>
      <c r="BB18" t="inlineStr">
        <is>
          <t>Hanging</t>
        </is>
      </c>
      <c r="BC18" t="inlineStr">
        <is>
          <t>Solid + Manufactured Wood</t>
        </is>
      </c>
      <c r="BI18" t="inlineStr">
        <is>
          <t>Miter</t>
        </is>
      </c>
      <c r="BJ18" t="inlineStr">
        <is>
          <t>Oak</t>
        </is>
      </c>
      <c r="BR18" t="inlineStr">
        <is>
          <t>Non-Abrasive, Neutral Ph Cleaner</t>
        </is>
      </c>
      <c r="BS18" t="inlineStr">
        <is>
          <t>Tinted Glass</t>
        </is>
      </c>
      <c r="BT18" t="inlineStr">
        <is>
          <t>Copper</t>
        </is>
      </c>
      <c r="BY18" t="inlineStr">
        <is>
          <t>Does Not Apply</t>
        </is>
      </c>
      <c r="CH18" t="inlineStr">
        <is>
          <t>UN1070</t>
        </is>
      </c>
      <c r="CQ18" t="inlineStr">
        <is>
          <t>78"</t>
        </is>
      </c>
      <c r="CS18" t="inlineStr">
        <is>
          <t>Caulk / Adhesive</t>
        </is>
      </c>
      <c r="CT18" t="inlineStr">
        <is>
          <t>7 Years</t>
        </is>
      </c>
      <c r="CV18" t="inlineStr">
        <is>
          <t>6 Years</t>
        </is>
      </c>
      <c r="CX18" t="inlineStr">
        <is>
          <t>Leather</t>
        </is>
      </c>
      <c r="CZ18" t="inlineStr">
        <is>
          <t>Cotton</t>
        </is>
      </c>
      <c r="DA18" t="inlineStr">
        <is>
          <t>Linen</t>
        </is>
      </c>
      <c r="DB18" t="inlineStr">
        <is>
          <t>Microfiber</t>
        </is>
      </c>
      <c r="DC18" t="inlineStr">
        <is>
          <t>Linen</t>
        </is>
      </c>
      <c r="DH18" t="inlineStr">
        <is>
          <t>Engineered Wood</t>
        </is>
      </c>
      <c r="DK18" t="inlineStr">
        <is>
          <t>Miter</t>
        </is>
      </c>
      <c r="DS18" t="inlineStr">
        <is>
          <t>Non-Abrasive, Neutral Ph Cleaner</t>
        </is>
      </c>
      <c r="DT18" t="inlineStr">
        <is>
          <t>Brown</t>
        </is>
      </c>
      <c r="DU18" t="inlineStr">
        <is>
          <t>Polyurethane</t>
        </is>
      </c>
      <c r="DW18" t="inlineStr">
        <is>
          <t>Oak Wood</t>
        </is>
      </c>
      <c r="DX18" t="inlineStr">
        <is>
          <t>Oak</t>
        </is>
      </c>
      <c r="EN18" t="inlineStr">
        <is>
          <t>UN1070</t>
        </is>
      </c>
      <c r="EX18" t="inlineStr">
        <is>
          <t>Caulk / Adhesive</t>
        </is>
      </c>
      <c r="EY18" t="inlineStr">
        <is>
          <t>7 Years</t>
        </is>
      </c>
      <c r="FB18" t="inlineStr">
        <is>
          <t>Teak</t>
        </is>
      </c>
      <c r="FH18" t="inlineStr">
        <is>
          <t>Resin</t>
        </is>
      </c>
      <c r="FJ18" t="inlineStr">
        <is>
          <t>Miter</t>
        </is>
      </c>
      <c r="FK18" t="inlineStr">
        <is>
          <t>Oak</t>
        </is>
      </c>
      <c r="FL18" t="inlineStr">
        <is>
          <t>Non-Abrasive, Neutral Ph Cleaner</t>
        </is>
      </c>
      <c r="FM18" t="inlineStr">
        <is>
          <t>Gray</t>
        </is>
      </c>
      <c r="GD18" t="inlineStr">
        <is>
          <t>Caulk / Adhesive</t>
        </is>
      </c>
      <c r="GE18" t="inlineStr">
        <is>
          <t>7 Years</t>
        </is>
      </c>
      <c r="GG18" t="inlineStr">
        <is>
          <t>Split Top King</t>
        </is>
      </c>
      <c r="GH18" t="inlineStr">
        <is>
          <t>Gray</t>
        </is>
      </c>
      <c r="GK18" t="inlineStr">
        <is>
          <t>Linen</t>
        </is>
      </c>
      <c r="GS18" t="inlineStr">
        <is>
          <t>Miter</t>
        </is>
      </c>
      <c r="GT18" t="inlineStr">
        <is>
          <t>Oak</t>
        </is>
      </c>
      <c r="GU18" t="inlineStr">
        <is>
          <t>Checkered</t>
        </is>
      </c>
      <c r="HV18" t="inlineStr">
        <is>
          <t>UN1070</t>
        </is>
      </c>
      <c r="IH18" t="inlineStr">
        <is>
          <t>Caulk / Adhesive</t>
        </is>
      </c>
      <c r="II18" t="inlineStr">
        <is>
          <t>7 Years</t>
        </is>
      </c>
      <c r="IK18" t="inlineStr">
        <is>
          <t>6 Years</t>
        </is>
      </c>
    </row>
    <row r="19">
      <c r="I19" t="inlineStr">
        <is>
          <t>500</t>
        </is>
      </c>
      <c r="L19" t="inlineStr">
        <is>
          <t>All-trans retinoic acid</t>
        </is>
      </c>
      <c r="N19" t="inlineStr">
        <is>
          <t>Azerbaijan</t>
        </is>
      </c>
      <c r="P19" t="inlineStr">
        <is>
          <t>ANSI Z124.1.2 Compliant</t>
        </is>
      </c>
      <c r="R19" t="inlineStr">
        <is>
          <t>Norwegian (Bokmål)</t>
        </is>
      </c>
      <c r="T19" t="inlineStr">
        <is>
          <t>HDPE</t>
        </is>
      </c>
      <c r="U19" t="inlineStr">
        <is>
          <t>Pine</t>
        </is>
      </c>
      <c r="AG19" t="inlineStr">
        <is>
          <t>Antique Copper</t>
        </is>
      </c>
      <c r="AR19" t="inlineStr">
        <is>
          <t>UN1044</t>
        </is>
      </c>
      <c r="AY19" t="inlineStr">
        <is>
          <t>8 Years</t>
        </is>
      </c>
      <c r="AZ19" t="inlineStr">
        <is>
          <t>4 Years</t>
        </is>
      </c>
      <c r="BB19" t="inlineStr">
        <is>
          <t>Bombe</t>
        </is>
      </c>
      <c r="BC19" t="inlineStr">
        <is>
          <t>Steel</t>
        </is>
      </c>
      <c r="BI19" t="inlineStr">
        <is>
          <t>Unavailable</t>
        </is>
      </c>
      <c r="BJ19" t="inlineStr">
        <is>
          <t>Pine</t>
        </is>
      </c>
      <c r="BR19" t="inlineStr">
        <is>
          <t>Commercial dishwasher safe</t>
        </is>
      </c>
      <c r="BS19" t="inlineStr">
        <is>
          <t>Laminate</t>
        </is>
      </c>
      <c r="BT19" t="inlineStr">
        <is>
          <t>Antique Copper</t>
        </is>
      </c>
      <c r="CH19" t="inlineStr">
        <is>
          <t>UN1044</t>
        </is>
      </c>
      <c r="CQ19" t="inlineStr">
        <is>
          <t>85"</t>
        </is>
      </c>
      <c r="CS19" t="inlineStr">
        <is>
          <t>Anchors / Stakes</t>
        </is>
      </c>
      <c r="CT19" t="inlineStr">
        <is>
          <t>8 Years</t>
        </is>
      </c>
      <c r="CV19" t="inlineStr">
        <is>
          <t>4 Years</t>
        </is>
      </c>
      <c r="CX19" t="inlineStr">
        <is>
          <t>Vinyl</t>
        </is>
      </c>
      <c r="CZ19" t="inlineStr">
        <is>
          <t>Stainless Steel</t>
        </is>
      </c>
      <c r="DA19" t="inlineStr">
        <is>
          <t>Cotton</t>
        </is>
      </c>
      <c r="DB19" t="inlineStr">
        <is>
          <t>Polyester / Polyester Blend</t>
        </is>
      </c>
      <c r="DC19" t="inlineStr">
        <is>
          <t>Microsuede</t>
        </is>
      </c>
      <c r="DH19" t="inlineStr">
        <is>
          <t>Bamboo</t>
        </is>
      </c>
      <c r="DK19" t="inlineStr">
        <is>
          <t>Unavailable</t>
        </is>
      </c>
      <c r="DS19" t="inlineStr">
        <is>
          <t>Commercial dishwasher safe</t>
        </is>
      </c>
      <c r="DT19" t="inlineStr">
        <is>
          <t>White</t>
        </is>
      </c>
      <c r="DU19" t="inlineStr">
        <is>
          <t>Solid + Manufactured Wood</t>
        </is>
      </c>
      <c r="DW19" t="inlineStr">
        <is>
          <t>Medium Yellow Wood</t>
        </is>
      </c>
      <c r="DX19" t="inlineStr">
        <is>
          <t>Pine</t>
        </is>
      </c>
      <c r="EN19" t="inlineStr">
        <is>
          <t>UN1044</t>
        </is>
      </c>
      <c r="EX19" t="inlineStr">
        <is>
          <t>Anchors / Stakes</t>
        </is>
      </c>
      <c r="EY19" t="inlineStr">
        <is>
          <t>8 Years</t>
        </is>
      </c>
      <c r="FB19" t="inlineStr">
        <is>
          <t>Solid + Manufactured Wood</t>
        </is>
      </c>
      <c r="FH19" t="inlineStr">
        <is>
          <t>Silver Plated</t>
        </is>
      </c>
      <c r="FJ19" t="inlineStr">
        <is>
          <t>Unavailable</t>
        </is>
      </c>
      <c r="FK19" t="inlineStr">
        <is>
          <t>Pine</t>
        </is>
      </c>
      <c r="FL19" t="inlineStr">
        <is>
          <t>Commercial dishwasher safe</t>
        </is>
      </c>
      <c r="FM19" t="inlineStr">
        <is>
          <t>Green</t>
        </is>
      </c>
      <c r="GD19" t="inlineStr">
        <is>
          <t>Anchors / Stakes</t>
        </is>
      </c>
      <c r="GE19" t="inlineStr">
        <is>
          <t>8 Years</t>
        </is>
      </c>
      <c r="GG19" t="inlineStr">
        <is>
          <t>Split Top Queen</t>
        </is>
      </c>
      <c r="GH19" t="inlineStr">
        <is>
          <t>Green</t>
        </is>
      </c>
      <c r="GK19" t="inlineStr">
        <is>
          <t>Cotton</t>
        </is>
      </c>
      <c r="GS19" t="inlineStr">
        <is>
          <t>Unavailable</t>
        </is>
      </c>
      <c r="GT19" t="inlineStr">
        <is>
          <t>Pine</t>
        </is>
      </c>
      <c r="GU19" t="inlineStr">
        <is>
          <t>Floral</t>
        </is>
      </c>
      <c r="HV19" t="inlineStr">
        <is>
          <t>UN1044</t>
        </is>
      </c>
      <c r="IH19" t="inlineStr">
        <is>
          <t>Anchors / Stakes</t>
        </is>
      </c>
      <c r="II19" t="inlineStr">
        <is>
          <t>8 Years</t>
        </is>
      </c>
      <c r="IK19" t="inlineStr">
        <is>
          <t>4 Years</t>
        </is>
      </c>
    </row>
    <row r="20">
      <c r="L20" t="inlineStr">
        <is>
          <t>Aloe Vera, non-decolorized whole leaf extract</t>
        </is>
      </c>
      <c r="N20" t="inlineStr">
        <is>
          <t>Bahamas</t>
        </is>
      </c>
      <c r="P20" t="inlineStr">
        <is>
          <t>ANSI Z124.3 Compliant</t>
        </is>
      </c>
      <c r="R20" t="inlineStr">
        <is>
          <t>Dutch</t>
        </is>
      </c>
      <c r="T20" t="inlineStr">
        <is>
          <t>Jersey</t>
        </is>
      </c>
      <c r="U20" t="inlineStr">
        <is>
          <t>Poplar</t>
        </is>
      </c>
      <c r="AG20" t="inlineStr">
        <is>
          <t>Brushed Brass</t>
        </is>
      </c>
      <c r="AR20" t="inlineStr">
        <is>
          <t>UN3163</t>
        </is>
      </c>
      <c r="AY20" t="inlineStr">
        <is>
          <t>9 Years</t>
        </is>
      </c>
      <c r="AZ20" t="inlineStr">
        <is>
          <t>8 Years</t>
        </is>
      </c>
      <c r="BB20" t="inlineStr">
        <is>
          <t>Etagere</t>
        </is>
      </c>
      <c r="BC20" t="inlineStr">
        <is>
          <t>Solid Wood</t>
        </is>
      </c>
      <c r="BI20" t="inlineStr">
        <is>
          <t>Does Not Apply</t>
        </is>
      </c>
      <c r="BJ20" t="inlineStr">
        <is>
          <t>Poplar</t>
        </is>
      </c>
      <c r="BR20" t="inlineStr">
        <is>
          <t>Vacuum with no beater bar/rotating brush</t>
        </is>
      </c>
      <c r="BS20" t="inlineStr">
        <is>
          <t>Metal</t>
        </is>
      </c>
      <c r="BT20" t="inlineStr">
        <is>
          <t>Brushed Brass</t>
        </is>
      </c>
      <c r="CH20" t="inlineStr">
        <is>
          <t>UN3163</t>
        </is>
      </c>
      <c r="CQ20" t="inlineStr">
        <is>
          <t>77"</t>
        </is>
      </c>
      <c r="CS20" t="inlineStr">
        <is>
          <t>Clamps</t>
        </is>
      </c>
      <c r="CT20" t="inlineStr">
        <is>
          <t>9 Years</t>
        </is>
      </c>
      <c r="CV20" t="inlineStr">
        <is>
          <t>8 Years</t>
        </is>
      </c>
      <c r="CX20" t="inlineStr">
        <is>
          <t>Foam</t>
        </is>
      </c>
      <c r="CZ20" t="inlineStr">
        <is>
          <t>Wicker/Rattan</t>
        </is>
      </c>
      <c r="DA20" t="inlineStr">
        <is>
          <t>Mesh</t>
        </is>
      </c>
      <c r="DB20" t="inlineStr">
        <is>
          <t>Iron</t>
        </is>
      </c>
      <c r="DC20" t="inlineStr">
        <is>
          <t>Unavailable</t>
        </is>
      </c>
      <c r="DH20" t="inlineStr">
        <is>
          <t>Cork</t>
        </is>
      </c>
      <c r="DK20" t="inlineStr">
        <is>
          <t>Does Not Apply</t>
        </is>
      </c>
      <c r="DS20" t="inlineStr">
        <is>
          <t>Vacuum with no beater bar/rotating brush</t>
        </is>
      </c>
      <c r="DT20" t="inlineStr">
        <is>
          <t>Platinum</t>
        </is>
      </c>
      <c r="DU20" t="inlineStr">
        <is>
          <t>Unavailable</t>
        </is>
      </c>
      <c r="DW20" t="inlineStr">
        <is>
          <t>Light Yellow Wood</t>
        </is>
      </c>
      <c r="DX20" t="inlineStr">
        <is>
          <t>Poplar</t>
        </is>
      </c>
      <c r="EN20" t="inlineStr">
        <is>
          <t>UN3163</t>
        </is>
      </c>
      <c r="EX20" t="inlineStr">
        <is>
          <t>Clamps</t>
        </is>
      </c>
      <c r="EY20" t="inlineStr">
        <is>
          <t>9 Years</t>
        </is>
      </c>
      <c r="FB20" t="inlineStr">
        <is>
          <t>Steel</t>
        </is>
      </c>
      <c r="FH20" t="inlineStr">
        <is>
          <t>Rubber</t>
        </is>
      </c>
      <c r="FJ20" t="inlineStr">
        <is>
          <t>Does Not Apply</t>
        </is>
      </c>
      <c r="FK20" t="inlineStr">
        <is>
          <t>Poplar</t>
        </is>
      </c>
      <c r="FL20" t="inlineStr">
        <is>
          <t>Vacuum with no beater bar/rotating brush</t>
        </is>
      </c>
      <c r="FM20" t="inlineStr">
        <is>
          <t>Cream</t>
        </is>
      </c>
      <c r="GD20" t="inlineStr">
        <is>
          <t>Clamps</t>
        </is>
      </c>
      <c r="GE20" t="inlineStr">
        <is>
          <t>9 Years</t>
        </is>
      </c>
      <c r="GH20" t="inlineStr">
        <is>
          <t>Cream</t>
        </is>
      </c>
      <c r="GK20" t="inlineStr">
        <is>
          <t>Mesh</t>
        </is>
      </c>
      <c r="GS20" t="inlineStr">
        <is>
          <t>Does Not Apply</t>
        </is>
      </c>
      <c r="GT20" t="inlineStr">
        <is>
          <t>Poplar</t>
        </is>
      </c>
      <c r="GU20" t="inlineStr">
        <is>
          <t>Argyle</t>
        </is>
      </c>
      <c r="HV20" t="inlineStr">
        <is>
          <t>UN3163</t>
        </is>
      </c>
      <c r="IH20" t="inlineStr">
        <is>
          <t>Clamps</t>
        </is>
      </c>
      <c r="II20" t="inlineStr">
        <is>
          <t>9 Years</t>
        </is>
      </c>
      <c r="IK20" t="inlineStr">
        <is>
          <t>8 Years</t>
        </is>
      </c>
    </row>
    <row r="21">
      <c r="L21" t="inlineStr">
        <is>
          <t>Alprazolam</t>
        </is>
      </c>
      <c r="N21" t="inlineStr">
        <is>
          <t>Bahrain</t>
        </is>
      </c>
      <c r="P21" t="inlineStr">
        <is>
          <t>ANSI Z124.6-97 Compliant</t>
        </is>
      </c>
      <c r="R21" t="inlineStr">
        <is>
          <t>Polish</t>
        </is>
      </c>
      <c r="T21" t="inlineStr">
        <is>
          <t>Linen</t>
        </is>
      </c>
      <c r="U21" t="inlineStr">
        <is>
          <t>Rosewood</t>
        </is>
      </c>
      <c r="AG21" t="inlineStr">
        <is>
          <t>Polished Brass</t>
        </is>
      </c>
      <c r="AR21" t="inlineStr">
        <is>
          <t>UN1268</t>
        </is>
      </c>
      <c r="AY21" t="inlineStr">
        <is>
          <t>12 Years</t>
        </is>
      </c>
      <c r="AZ21" t="inlineStr">
        <is>
          <t>7 Years</t>
        </is>
      </c>
      <c r="BB21" t="inlineStr">
        <is>
          <t>Wall Mounted</t>
        </is>
      </c>
      <c r="BC21" t="inlineStr">
        <is>
          <t>Wicker</t>
        </is>
      </c>
      <c r="BJ21" t="inlineStr">
        <is>
          <t>Rosewood</t>
        </is>
      </c>
      <c r="BR21" t="inlineStr">
        <is>
          <t>Air / Line Dry</t>
        </is>
      </c>
      <c r="BS21" t="inlineStr">
        <is>
          <t>Wire</t>
        </is>
      </c>
      <c r="BT21" t="inlineStr">
        <is>
          <t>Polished Brass</t>
        </is>
      </c>
      <c r="CH21" t="inlineStr">
        <is>
          <t>UN1268</t>
        </is>
      </c>
      <c r="CS21" t="inlineStr">
        <is>
          <t>Drill Bit</t>
        </is>
      </c>
      <c r="CT21" t="inlineStr">
        <is>
          <t>12 Years</t>
        </is>
      </c>
      <c r="CV21" t="inlineStr">
        <is>
          <t>7 Years</t>
        </is>
      </c>
      <c r="CX21" t="inlineStr">
        <is>
          <t>Kiln Dried Hardwood</t>
        </is>
      </c>
      <c r="CZ21" t="inlineStr">
        <is>
          <t>Faux Leather</t>
        </is>
      </c>
      <c r="DA21" t="inlineStr">
        <is>
          <t>Wool</t>
        </is>
      </c>
      <c r="DB21" t="inlineStr">
        <is>
          <t>Brass</t>
        </is>
      </c>
      <c r="DC21" t="inlineStr">
        <is>
          <t>Does Not Apply</t>
        </is>
      </c>
      <c r="DH21" t="inlineStr">
        <is>
          <t>Unavailable</t>
        </is>
      </c>
      <c r="DS21" t="inlineStr">
        <is>
          <t>Air / Line Dry</t>
        </is>
      </c>
      <c r="DT21" t="inlineStr">
        <is>
          <t>Yellow</t>
        </is>
      </c>
      <c r="DU21" t="inlineStr">
        <is>
          <t>Does Not Apply</t>
        </is>
      </c>
      <c r="DW21" t="inlineStr">
        <is>
          <t>Rose Gold</t>
        </is>
      </c>
      <c r="DX21" t="inlineStr">
        <is>
          <t>Rosewood</t>
        </is>
      </c>
      <c r="EN21" t="inlineStr">
        <is>
          <t>UN1268</t>
        </is>
      </c>
      <c r="EX21" t="inlineStr">
        <is>
          <t>Drill Bit</t>
        </is>
      </c>
      <c r="EY21" t="inlineStr">
        <is>
          <t>12 Years</t>
        </is>
      </c>
      <c r="FB21" t="inlineStr">
        <is>
          <t>Solid Wood</t>
        </is>
      </c>
      <c r="FH21" t="inlineStr">
        <is>
          <t>Stainless Steel</t>
        </is>
      </c>
      <c r="FK21" t="inlineStr">
        <is>
          <t>Rosewood</t>
        </is>
      </c>
      <c r="FL21" t="inlineStr">
        <is>
          <t>Air / Line Dry</t>
        </is>
      </c>
      <c r="FM21" t="inlineStr">
        <is>
          <t>Clear</t>
        </is>
      </c>
      <c r="GD21" t="inlineStr">
        <is>
          <t>Drill Bit</t>
        </is>
      </c>
      <c r="GE21" t="inlineStr">
        <is>
          <t>12 Years</t>
        </is>
      </c>
      <c r="GH21" t="inlineStr">
        <is>
          <t>Clear</t>
        </is>
      </c>
      <c r="GK21" t="inlineStr">
        <is>
          <t>Wool</t>
        </is>
      </c>
      <c r="GT21" t="inlineStr">
        <is>
          <t>Rosewood</t>
        </is>
      </c>
      <c r="GU21" t="inlineStr">
        <is>
          <t>Solid Color</t>
        </is>
      </c>
      <c r="HV21" t="inlineStr">
        <is>
          <t>UN1268</t>
        </is>
      </c>
      <c r="IH21" t="inlineStr">
        <is>
          <t>Drill Bit</t>
        </is>
      </c>
      <c r="II21" t="inlineStr">
        <is>
          <t>12 Years</t>
        </is>
      </c>
      <c r="IK21" t="inlineStr">
        <is>
          <t>7 Years</t>
        </is>
      </c>
    </row>
    <row r="22">
      <c r="L22" t="inlineStr">
        <is>
          <t>Amantadine hydrochloride</t>
        </is>
      </c>
      <c r="N22" t="inlineStr">
        <is>
          <t>Bangladesh</t>
        </is>
      </c>
      <c r="P22" t="inlineStr">
        <is>
          <t>ANSI Z21.11.2-2016 - Gas-Fired Unvented Room Heaters and Gas-Fired Unvented Decorative Room Heaters</t>
        </is>
      </c>
      <c r="R22" t="inlineStr">
        <is>
          <t>Portuguese</t>
        </is>
      </c>
      <c r="T22" t="inlineStr">
        <is>
          <t>Foam</t>
        </is>
      </c>
      <c r="U22" t="inlineStr">
        <is>
          <t>Rubberwood</t>
        </is>
      </c>
      <c r="AG22" t="inlineStr">
        <is>
          <t>Brass</t>
        </is>
      </c>
      <c r="AR22" t="inlineStr">
        <is>
          <t>UN1760</t>
        </is>
      </c>
      <c r="AY22" t="inlineStr">
        <is>
          <t>11 Years</t>
        </is>
      </c>
      <c r="AZ22" t="inlineStr">
        <is>
          <t>Does Not Apply</t>
        </is>
      </c>
      <c r="BB22" t="inlineStr">
        <is>
          <t>Double Walled</t>
        </is>
      </c>
      <c r="BC22" t="inlineStr">
        <is>
          <t>Reclaimed Wood</t>
        </is>
      </c>
      <c r="BJ22" t="inlineStr">
        <is>
          <t>Rubberwood</t>
        </is>
      </c>
      <c r="BR22" t="inlineStr">
        <is>
          <t>Professional / Dry Clean Recommended</t>
        </is>
      </c>
      <c r="BS22" t="inlineStr">
        <is>
          <t>Mirrored</t>
        </is>
      </c>
      <c r="BT22" t="inlineStr">
        <is>
          <t>Brass</t>
        </is>
      </c>
      <c r="CH22" t="inlineStr">
        <is>
          <t>UN1760</t>
        </is>
      </c>
      <c r="CS22" t="inlineStr">
        <is>
          <t>Gloves</t>
        </is>
      </c>
      <c r="CT22" t="inlineStr">
        <is>
          <t>11 Years</t>
        </is>
      </c>
      <c r="CV22" t="inlineStr">
        <is>
          <t>Does Not Apply</t>
        </is>
      </c>
      <c r="CX22" t="inlineStr">
        <is>
          <t>Stainless Steel</t>
        </is>
      </c>
      <c r="CZ22" t="inlineStr">
        <is>
          <t>Mesh</t>
        </is>
      </c>
      <c r="DA22" t="inlineStr">
        <is>
          <t>Sunbrella®</t>
        </is>
      </c>
      <c r="DB22" t="inlineStr">
        <is>
          <t>Cane</t>
        </is>
      </c>
      <c r="DH22" t="inlineStr">
        <is>
          <t>Does Not Apply</t>
        </is>
      </c>
      <c r="DS22" t="inlineStr">
        <is>
          <t>Professional / Dry Clean Recommended</t>
        </is>
      </c>
      <c r="DT22" t="inlineStr">
        <is>
          <t>Teal</t>
        </is>
      </c>
      <c r="DW22" t="inlineStr">
        <is>
          <t>Antique Brass</t>
        </is>
      </c>
      <c r="DX22" t="inlineStr">
        <is>
          <t>Rubberwood</t>
        </is>
      </c>
      <c r="EN22" t="inlineStr">
        <is>
          <t>UN1760</t>
        </is>
      </c>
      <c r="EX22" t="inlineStr">
        <is>
          <t>Gloves</t>
        </is>
      </c>
      <c r="EY22" t="inlineStr">
        <is>
          <t>11 Years</t>
        </is>
      </c>
      <c r="FB22" t="inlineStr">
        <is>
          <t>Wicker</t>
        </is>
      </c>
      <c r="FH22" t="inlineStr">
        <is>
          <t>Pewter</t>
        </is>
      </c>
      <c r="FK22" t="inlineStr">
        <is>
          <t>Rubberwood</t>
        </is>
      </c>
      <c r="FL22" t="inlineStr">
        <is>
          <t>Professional / Dry Clean Recommended</t>
        </is>
      </c>
      <c r="GD22" t="inlineStr">
        <is>
          <t>Gloves</t>
        </is>
      </c>
      <c r="GE22" t="inlineStr">
        <is>
          <t>11 Years</t>
        </is>
      </c>
      <c r="GK22" t="inlineStr">
        <is>
          <t>Sunbrella®</t>
        </is>
      </c>
      <c r="GT22" t="inlineStr">
        <is>
          <t>Rubberwood</t>
        </is>
      </c>
      <c r="GU22" t="inlineStr">
        <is>
          <t>No Pattern</t>
        </is>
      </c>
      <c r="HV22" t="inlineStr">
        <is>
          <t>UN1760</t>
        </is>
      </c>
      <c r="IH22" t="inlineStr">
        <is>
          <t>Gloves</t>
        </is>
      </c>
      <c r="II22" t="inlineStr">
        <is>
          <t>11 Years</t>
        </is>
      </c>
      <c r="IK22" t="inlineStr">
        <is>
          <t>Does Not Apply</t>
        </is>
      </c>
    </row>
    <row r="23">
      <c r="L23" t="inlineStr">
        <is>
          <t>Amikacin sulfate</t>
        </is>
      </c>
      <c r="N23" t="inlineStr">
        <is>
          <t>Barbados</t>
        </is>
      </c>
      <c r="P23" t="inlineStr">
        <is>
          <t>ANSI Z21.50-2016/CSA 2.22-2016 - Standard for Vented Decorative Gas Appliances</t>
        </is>
      </c>
      <c r="R23" t="inlineStr">
        <is>
          <t>Romanian</t>
        </is>
      </c>
      <c r="T23" t="inlineStr">
        <is>
          <t>Cowhide</t>
        </is>
      </c>
      <c r="U23" t="inlineStr">
        <is>
          <t>Sheesham</t>
        </is>
      </c>
      <c r="AG23" t="inlineStr">
        <is>
          <t>Satin Brass</t>
        </is>
      </c>
      <c r="AR23" t="inlineStr">
        <is>
          <t>UN1011</t>
        </is>
      </c>
      <c r="AY23" t="inlineStr">
        <is>
          <t>13 Years</t>
        </is>
      </c>
      <c r="BB23" t="inlineStr">
        <is>
          <t>Console</t>
        </is>
      </c>
      <c r="BJ23" t="inlineStr">
        <is>
          <t>Sheesham</t>
        </is>
      </c>
      <c r="BR23" t="inlineStr">
        <is>
          <t>Wash With Garden Hose Or Pressure Washer</t>
        </is>
      </c>
      <c r="BS23" t="inlineStr">
        <is>
          <t>Plastic</t>
        </is>
      </c>
      <c r="BT23" t="inlineStr">
        <is>
          <t>Satin Brass</t>
        </is>
      </c>
      <c r="CH23" t="inlineStr">
        <is>
          <t>UN1011</t>
        </is>
      </c>
      <c r="CS23" t="inlineStr">
        <is>
          <t>Hex Key</t>
        </is>
      </c>
      <c r="CT23" t="inlineStr">
        <is>
          <t>13 Years</t>
        </is>
      </c>
      <c r="CX23" t="inlineStr">
        <is>
          <t>Rubber</t>
        </is>
      </c>
      <c r="CZ23" t="inlineStr">
        <is>
          <t>Iron</t>
        </is>
      </c>
      <c r="DA23" t="inlineStr">
        <is>
          <t>Velvet</t>
        </is>
      </c>
      <c r="DB23" t="inlineStr">
        <is>
          <t>Unavailable</t>
        </is>
      </c>
      <c r="DS23" t="inlineStr">
        <is>
          <t>Wash With Garden Hose Or Pressure Washer</t>
        </is>
      </c>
      <c r="DT23" t="inlineStr">
        <is>
          <t>Does Not Apply</t>
        </is>
      </c>
      <c r="DW23" t="inlineStr">
        <is>
          <t>Nickel</t>
        </is>
      </c>
      <c r="DX23" t="inlineStr">
        <is>
          <t>Sheesham</t>
        </is>
      </c>
      <c r="EN23" t="inlineStr">
        <is>
          <t>UN1011</t>
        </is>
      </c>
      <c r="EX23" t="inlineStr">
        <is>
          <t>Hex Key</t>
        </is>
      </c>
      <c r="EY23" t="inlineStr">
        <is>
          <t>13 Years</t>
        </is>
      </c>
      <c r="FB23" t="inlineStr">
        <is>
          <t>Reclaimed Wood</t>
        </is>
      </c>
      <c r="FH23" t="inlineStr">
        <is>
          <t>No Handles</t>
        </is>
      </c>
      <c r="FK23" t="inlineStr">
        <is>
          <t>Sheesham</t>
        </is>
      </c>
      <c r="FL23" t="inlineStr">
        <is>
          <t>Wash With Garden Hose Or Pressure Washer</t>
        </is>
      </c>
      <c r="GD23" t="inlineStr">
        <is>
          <t>Hex Key</t>
        </is>
      </c>
      <c r="GE23" t="inlineStr">
        <is>
          <t>13 Years</t>
        </is>
      </c>
      <c r="GK23" t="inlineStr">
        <is>
          <t>Velvet</t>
        </is>
      </c>
      <c r="GT23" t="inlineStr">
        <is>
          <t>Sheesham</t>
        </is>
      </c>
      <c r="GU23" t="inlineStr">
        <is>
          <t>Trellis</t>
        </is>
      </c>
      <c r="HV23" t="inlineStr">
        <is>
          <t>UN1011</t>
        </is>
      </c>
      <c r="IH23" t="inlineStr">
        <is>
          <t>Hex Key</t>
        </is>
      </c>
      <c r="II23" t="inlineStr">
        <is>
          <t>13 Years</t>
        </is>
      </c>
    </row>
    <row r="24">
      <c r="L24" t="inlineStr">
        <is>
          <t>2-Aminoanthraquinone</t>
        </is>
      </c>
      <c r="N24" t="inlineStr">
        <is>
          <t>Belarus</t>
        </is>
      </c>
      <c r="P24" t="inlineStr">
        <is>
          <t>ANSI Z21.60-2017/CSA 2.26-2017- Standard for Decorative Gas Appliances</t>
        </is>
      </c>
      <c r="R24" t="inlineStr">
        <is>
          <t>Russian</t>
        </is>
      </c>
      <c r="T24" t="inlineStr">
        <is>
          <t>Copper / Copper Plated</t>
        </is>
      </c>
      <c r="U24" t="inlineStr">
        <is>
          <t>Spruce</t>
        </is>
      </c>
      <c r="AG24" t="inlineStr">
        <is>
          <t>Brushed Gold</t>
        </is>
      </c>
      <c r="AR24" t="inlineStr">
        <is>
          <t>UN2794</t>
        </is>
      </c>
      <c r="AY24" t="inlineStr">
        <is>
          <t>14 Years</t>
        </is>
      </c>
      <c r="BB24" t="inlineStr">
        <is>
          <t>Pedestal</t>
        </is>
      </c>
      <c r="BJ24" t="inlineStr">
        <is>
          <t>Spruce</t>
        </is>
      </c>
      <c r="BR24" t="inlineStr">
        <is>
          <t>Machine washable components</t>
        </is>
      </c>
      <c r="BS24" t="inlineStr">
        <is>
          <t>Manufactured Wood</t>
        </is>
      </c>
      <c r="BT24" t="inlineStr">
        <is>
          <t>Brushed Gold</t>
        </is>
      </c>
      <c r="CH24" t="inlineStr">
        <is>
          <t>UN2794</t>
        </is>
      </c>
      <c r="CS24" t="inlineStr">
        <is>
          <t>Glass Cutter</t>
        </is>
      </c>
      <c r="CT24" t="inlineStr">
        <is>
          <t>14 Years</t>
        </is>
      </c>
      <c r="CX24" t="inlineStr">
        <is>
          <t>Plywood</t>
        </is>
      </c>
      <c r="CZ24" t="inlineStr">
        <is>
          <t>Plastic / Acrylic</t>
        </is>
      </c>
      <c r="DA24" t="inlineStr">
        <is>
          <t>Fabric</t>
        </is>
      </c>
      <c r="DS24" t="inlineStr">
        <is>
          <t>Machine washable components</t>
        </is>
      </c>
      <c r="DW24" t="inlineStr">
        <is>
          <t>Pink</t>
        </is>
      </c>
      <c r="DX24" t="inlineStr">
        <is>
          <t>Spruce</t>
        </is>
      </c>
      <c r="EN24" t="inlineStr">
        <is>
          <t>UN2794</t>
        </is>
      </c>
      <c r="EX24" t="inlineStr">
        <is>
          <t>Glass Cutter</t>
        </is>
      </c>
      <c r="EY24" t="inlineStr">
        <is>
          <t>14 Years</t>
        </is>
      </c>
      <c r="FH24" t="inlineStr">
        <is>
          <t>Steel</t>
        </is>
      </c>
      <c r="FK24" t="inlineStr">
        <is>
          <t>Spruce</t>
        </is>
      </c>
      <c r="FL24" t="inlineStr">
        <is>
          <t>Machine washable components</t>
        </is>
      </c>
      <c r="GD24" t="inlineStr">
        <is>
          <t>Glass Cutter</t>
        </is>
      </c>
      <c r="GE24" t="inlineStr">
        <is>
          <t>14 Years</t>
        </is>
      </c>
      <c r="GK24" t="inlineStr">
        <is>
          <t>Fabric</t>
        </is>
      </c>
      <c r="GT24" t="inlineStr">
        <is>
          <t>Spruce</t>
        </is>
      </c>
      <c r="GU24" t="inlineStr">
        <is>
          <t>Dots</t>
        </is>
      </c>
      <c r="HV24" t="inlineStr">
        <is>
          <t>UN2794</t>
        </is>
      </c>
      <c r="IH24" t="inlineStr">
        <is>
          <t>Glass Cutter</t>
        </is>
      </c>
      <c r="II24" t="inlineStr">
        <is>
          <t>14 Years</t>
        </is>
      </c>
    </row>
    <row r="25">
      <c r="L25" t="inlineStr">
        <is>
          <t>p-Aminoazobenzene</t>
        </is>
      </c>
      <c r="N25" t="inlineStr">
        <is>
          <t>Belgium</t>
        </is>
      </c>
      <c r="P25" t="inlineStr">
        <is>
          <t>ANSI Z21.84-2017 - Standard for Manually Lighted/ Natural Gas/ Decorative Gas Appliances</t>
        </is>
      </c>
      <c r="R25" t="inlineStr">
        <is>
          <t>Slovak</t>
        </is>
      </c>
      <c r="T25" t="inlineStr">
        <is>
          <t>Engineered Wood</t>
        </is>
      </c>
      <c r="U25" t="inlineStr">
        <is>
          <t>Teak</t>
        </is>
      </c>
      <c r="AG25" t="inlineStr">
        <is>
          <t>Nickel</t>
        </is>
      </c>
      <c r="AR25" t="inlineStr">
        <is>
          <t>UN1759</t>
        </is>
      </c>
      <c r="AY25" t="inlineStr">
        <is>
          <t>No Commercial Warranty</t>
        </is>
      </c>
      <c r="BB25" t="inlineStr">
        <is>
          <t>Unavailable</t>
        </is>
      </c>
      <c r="BJ25" t="inlineStr">
        <is>
          <t>Teak</t>
        </is>
      </c>
      <c r="BR25" t="inlineStr">
        <is>
          <t>Professional / Dry Clean Only</t>
        </is>
      </c>
      <c r="BS25" t="inlineStr">
        <is>
          <t>Glass / Polycarbonate</t>
        </is>
      </c>
      <c r="BT25" t="inlineStr">
        <is>
          <t>Nickel</t>
        </is>
      </c>
      <c r="CH25" t="inlineStr">
        <is>
          <t>UN1759</t>
        </is>
      </c>
      <c r="CS25" t="inlineStr">
        <is>
          <t>Chop Saw</t>
        </is>
      </c>
      <c r="CT25" t="inlineStr">
        <is>
          <t>No Commercial Warranty</t>
        </is>
      </c>
      <c r="CX25" t="inlineStr">
        <is>
          <t>Ceramic</t>
        </is>
      </c>
      <c r="CZ25" t="inlineStr">
        <is>
          <t>Microfiber</t>
        </is>
      </c>
      <c r="DA25" t="inlineStr">
        <is>
          <t>Twill</t>
        </is>
      </c>
      <c r="DS25" t="inlineStr">
        <is>
          <t>Professional / Dry Clean Only</t>
        </is>
      </c>
      <c r="DW25" t="inlineStr">
        <is>
          <t>Polished Brass</t>
        </is>
      </c>
      <c r="DX25" t="inlineStr">
        <is>
          <t>Teak</t>
        </is>
      </c>
      <c r="EN25" t="inlineStr">
        <is>
          <t>UN1759</t>
        </is>
      </c>
      <c r="EX25" t="inlineStr">
        <is>
          <t>Chop Saw</t>
        </is>
      </c>
      <c r="EY25" t="inlineStr">
        <is>
          <t>No Commercial Warranty</t>
        </is>
      </c>
      <c r="FH25" t="inlineStr">
        <is>
          <t>Unavailable</t>
        </is>
      </c>
      <c r="FK25" t="inlineStr">
        <is>
          <t>Teak</t>
        </is>
      </c>
      <c r="FL25" t="inlineStr">
        <is>
          <t>Professional / Dry Clean Only</t>
        </is>
      </c>
      <c r="GD25" t="inlineStr">
        <is>
          <t>Chop Saw</t>
        </is>
      </c>
      <c r="GE25" t="inlineStr">
        <is>
          <t>No Commercial Warranty</t>
        </is>
      </c>
      <c r="GK25" t="inlineStr">
        <is>
          <t>Twill</t>
        </is>
      </c>
      <c r="GT25" t="inlineStr">
        <is>
          <t>Teak</t>
        </is>
      </c>
      <c r="GU25" t="inlineStr">
        <is>
          <t>Starburst</t>
        </is>
      </c>
      <c r="HV25" t="inlineStr">
        <is>
          <t>UN1759</t>
        </is>
      </c>
      <c r="IH25" t="inlineStr">
        <is>
          <t>Chop Saw</t>
        </is>
      </c>
      <c r="II25" t="inlineStr">
        <is>
          <t>No Commercial Warranty</t>
        </is>
      </c>
    </row>
    <row r="26">
      <c r="L26" t="inlineStr">
        <is>
          <t>o-Aminoazotoluene</t>
        </is>
      </c>
      <c r="N26" t="inlineStr">
        <is>
          <t>Belize</t>
        </is>
      </c>
      <c r="P26" t="inlineStr">
        <is>
          <t>ANSI Z21.88-2017/CSA 2.33-2017- Standard for Vented Gas Fireplace Heaters</t>
        </is>
      </c>
      <c r="R26" t="inlineStr">
        <is>
          <t>Swedish</t>
        </is>
      </c>
      <c r="T26" t="inlineStr">
        <is>
          <t>Cast Aluminum</t>
        </is>
      </c>
      <c r="U26" t="inlineStr">
        <is>
          <t>Walnut</t>
        </is>
      </c>
      <c r="AG26" t="inlineStr">
        <is>
          <t>Ivory</t>
        </is>
      </c>
      <c r="AR26" t="inlineStr">
        <is>
          <t>UN3171</t>
        </is>
      </c>
      <c r="AY26" t="inlineStr">
        <is>
          <t>Does Not Apply</t>
        </is>
      </c>
      <c r="BB26" t="inlineStr">
        <is>
          <t>Does Not Apply</t>
        </is>
      </c>
      <c r="BJ26" t="inlineStr">
        <is>
          <t>Walnut</t>
        </is>
      </c>
      <c r="BR26" t="inlineStr">
        <is>
          <t>Vacuum with upholstery attachment</t>
        </is>
      </c>
      <c r="BS26" t="inlineStr">
        <is>
          <t>Wicker</t>
        </is>
      </c>
      <c r="BT26" t="inlineStr">
        <is>
          <t>Ivory</t>
        </is>
      </c>
      <c r="CH26" t="inlineStr">
        <is>
          <t>UN3171</t>
        </is>
      </c>
      <c r="CS26" t="inlineStr">
        <is>
          <t>Circular Saw</t>
        </is>
      </c>
      <c r="CT26" t="inlineStr">
        <is>
          <t>Does Not Apply</t>
        </is>
      </c>
      <c r="CX26" t="inlineStr">
        <is>
          <t>Brass</t>
        </is>
      </c>
      <c r="CZ26" t="inlineStr">
        <is>
          <t>Polyester/Polyester blend</t>
        </is>
      </c>
      <c r="DA26" t="inlineStr">
        <is>
          <t>Suede</t>
        </is>
      </c>
      <c r="DS26" t="inlineStr">
        <is>
          <t>Vacuum with upholstery attachment</t>
        </is>
      </c>
      <c r="DW26" t="inlineStr">
        <is>
          <t>Satin Brass</t>
        </is>
      </c>
      <c r="DX26" t="inlineStr">
        <is>
          <t>Walnut</t>
        </is>
      </c>
      <c r="EN26" t="inlineStr">
        <is>
          <t>UN3171</t>
        </is>
      </c>
      <c r="EX26" t="inlineStr">
        <is>
          <t>Circular Saw</t>
        </is>
      </c>
      <c r="EY26" t="inlineStr">
        <is>
          <t>Does Not Apply</t>
        </is>
      </c>
      <c r="FH26" t="inlineStr">
        <is>
          <t>Does Not Apply</t>
        </is>
      </c>
      <c r="FK26" t="inlineStr">
        <is>
          <t>Walnut</t>
        </is>
      </c>
      <c r="FL26" t="inlineStr">
        <is>
          <t>Vacuum with upholstery attachment</t>
        </is>
      </c>
      <c r="GD26" t="inlineStr">
        <is>
          <t>Circular Saw</t>
        </is>
      </c>
      <c r="GE26" t="inlineStr">
        <is>
          <t>Does Not Apply</t>
        </is>
      </c>
      <c r="GK26" t="inlineStr">
        <is>
          <t>Suede</t>
        </is>
      </c>
      <c r="GT26" t="inlineStr">
        <is>
          <t>Walnut</t>
        </is>
      </c>
      <c r="GU26" t="inlineStr">
        <is>
          <t>Geometric Shapes</t>
        </is>
      </c>
      <c r="HV26" t="inlineStr">
        <is>
          <t>UN3171</t>
        </is>
      </c>
      <c r="IH26" t="inlineStr">
        <is>
          <t>Circular Saw</t>
        </is>
      </c>
      <c r="II26" t="inlineStr">
        <is>
          <t>Does Not Apply</t>
        </is>
      </c>
    </row>
    <row r="27">
      <c r="L27" t="inlineStr">
        <is>
          <t>4-Aminobiphenyl (4-aminodiphenyl)</t>
        </is>
      </c>
      <c r="N27" t="inlineStr">
        <is>
          <t>Benin</t>
        </is>
      </c>
      <c r="P27" t="inlineStr">
        <is>
          <t>ANSI Z358 Compliant</t>
        </is>
      </c>
      <c r="R27" t="inlineStr">
        <is>
          <t>Ukrainian</t>
        </is>
      </c>
      <c r="T27" t="inlineStr">
        <is>
          <t>Flat Wire</t>
        </is>
      </c>
      <c r="U27" t="inlineStr">
        <is>
          <t>Wenge</t>
        </is>
      </c>
      <c r="AG27" t="inlineStr">
        <is>
          <t>Green</t>
        </is>
      </c>
      <c r="AR27" t="inlineStr">
        <is>
          <t>UN1987</t>
        </is>
      </c>
      <c r="BJ27" t="inlineStr">
        <is>
          <t>Wenge</t>
        </is>
      </c>
      <c r="BR27" t="inlineStr">
        <is>
          <t>Vacuum with beater bar/rotating brush</t>
        </is>
      </c>
      <c r="BS27" t="inlineStr">
        <is>
          <t>Iron</t>
        </is>
      </c>
      <c r="BT27" t="inlineStr">
        <is>
          <t>Green</t>
        </is>
      </c>
      <c r="CH27" t="inlineStr">
        <is>
          <t>UN1987</t>
        </is>
      </c>
      <c r="CS27" t="inlineStr">
        <is>
          <t>Phillips Head Screwdriver</t>
        </is>
      </c>
      <c r="CX27" t="inlineStr">
        <is>
          <t>Fabric</t>
        </is>
      </c>
      <c r="CZ27" t="inlineStr">
        <is>
          <t>Porcelain</t>
        </is>
      </c>
      <c r="DA27" t="inlineStr">
        <is>
          <t>Chenille</t>
        </is>
      </c>
      <c r="DS27" t="inlineStr">
        <is>
          <t>Vacuum with beater bar/rotating brush</t>
        </is>
      </c>
      <c r="DW27" t="inlineStr">
        <is>
          <t>Oil Rubbed Bronze</t>
        </is>
      </c>
      <c r="DX27" t="inlineStr">
        <is>
          <t>Wenge</t>
        </is>
      </c>
      <c r="EN27" t="inlineStr">
        <is>
          <t>UN1987</t>
        </is>
      </c>
      <c r="EX27" t="inlineStr">
        <is>
          <t>Phillips Head Screwdriver</t>
        </is>
      </c>
      <c r="FK27" t="inlineStr">
        <is>
          <t>Wenge</t>
        </is>
      </c>
      <c r="FL27" t="inlineStr">
        <is>
          <t>Vacuum with beater bar/rotating brush</t>
        </is>
      </c>
      <c r="GD27" t="inlineStr">
        <is>
          <t>Phillips Head Screwdriver</t>
        </is>
      </c>
      <c r="GK27" t="inlineStr">
        <is>
          <t>Chenille</t>
        </is>
      </c>
      <c r="GT27" t="inlineStr">
        <is>
          <t>Wenge</t>
        </is>
      </c>
      <c r="GU27" t="inlineStr">
        <is>
          <t>Marble</t>
        </is>
      </c>
      <c r="HV27" t="inlineStr">
        <is>
          <t>UN1987</t>
        </is>
      </c>
      <c r="IH27" t="inlineStr">
        <is>
          <t>Phillips Head Screwdriver</t>
        </is>
      </c>
    </row>
    <row r="28">
      <c r="L28" t="inlineStr">
        <is>
          <t>1-Amino-2,4-dibromoanthraquinone</t>
        </is>
      </c>
      <c r="N28" t="inlineStr">
        <is>
          <t>Bermuda</t>
        </is>
      </c>
      <c r="P28" t="inlineStr">
        <is>
          <t>ANSI/BHMA A156 Certified</t>
        </is>
      </c>
      <c r="R28" t="inlineStr">
        <is>
          <t>Vietnamese</t>
        </is>
      </c>
      <c r="T28" t="inlineStr">
        <is>
          <t>Crystal</t>
        </is>
      </c>
      <c r="U28" t="inlineStr">
        <is>
          <t>Pecan</t>
        </is>
      </c>
      <c r="AG28" t="inlineStr">
        <is>
          <t>Orange</t>
        </is>
      </c>
      <c r="AR28" t="inlineStr">
        <is>
          <t>UN1263</t>
        </is>
      </c>
      <c r="BJ28" t="inlineStr">
        <is>
          <t>Pecan</t>
        </is>
      </c>
      <c r="BR28" t="inlineStr">
        <is>
          <t>Clean with bleach and water</t>
        </is>
      </c>
      <c r="BS28" t="inlineStr">
        <is>
          <t>Solid Wood</t>
        </is>
      </c>
      <c r="BT28" t="inlineStr">
        <is>
          <t>Orange</t>
        </is>
      </c>
      <c r="CH28" t="inlineStr">
        <is>
          <t>UN1263</t>
        </is>
      </c>
      <c r="CS28" t="inlineStr">
        <is>
          <t>Crescent Wrench</t>
        </is>
      </c>
      <c r="CX28" t="inlineStr">
        <is>
          <t>Concrete</t>
        </is>
      </c>
      <c r="CZ28" t="inlineStr">
        <is>
          <t>Sling</t>
        </is>
      </c>
      <c r="DA28" t="inlineStr">
        <is>
          <t>Microfiber / Microsuede</t>
        </is>
      </c>
      <c r="DS28" t="inlineStr">
        <is>
          <t>Clean with bleach and water</t>
        </is>
      </c>
      <c r="DW28" t="inlineStr">
        <is>
          <t>Polished Nickel</t>
        </is>
      </c>
      <c r="DX28" t="inlineStr">
        <is>
          <t>Pecan</t>
        </is>
      </c>
      <c r="EN28" t="inlineStr">
        <is>
          <t>UN1263</t>
        </is>
      </c>
      <c r="EX28" t="inlineStr">
        <is>
          <t>Crescent Wrench</t>
        </is>
      </c>
      <c r="FK28" t="inlineStr">
        <is>
          <t>Pecan</t>
        </is>
      </c>
      <c r="FL28" t="inlineStr">
        <is>
          <t>Clean with bleach and water</t>
        </is>
      </c>
      <c r="GD28" t="inlineStr">
        <is>
          <t>Crescent Wrench</t>
        </is>
      </c>
      <c r="GK28" t="inlineStr">
        <is>
          <t>Microfiber / Microsuede</t>
        </is>
      </c>
      <c r="GT28" t="inlineStr">
        <is>
          <t>Pecan</t>
        </is>
      </c>
      <c r="GU28" t="inlineStr">
        <is>
          <t>Brick</t>
        </is>
      </c>
      <c r="HV28" t="inlineStr">
        <is>
          <t>UN1263</t>
        </is>
      </c>
      <c r="IH28" t="inlineStr">
        <is>
          <t>Crescent Wrench</t>
        </is>
      </c>
    </row>
    <row r="29">
      <c r="L29" t="inlineStr">
        <is>
          <t>3-Amino-9-ethylcarbazole hydrochloride</t>
        </is>
      </c>
      <c r="N29" t="inlineStr">
        <is>
          <t>Bhutan</t>
        </is>
      </c>
      <c r="P29" t="inlineStr">
        <is>
          <t>ANSI/BIFMA M7.1 Standard Test Method for Determining VOC Emissions</t>
        </is>
      </c>
      <c r="R29" t="inlineStr">
        <is>
          <t>Chinese (S)</t>
        </is>
      </c>
      <c r="T29" t="inlineStr">
        <is>
          <t>Fleece / Microfiber</t>
        </is>
      </c>
      <c r="U29" t="inlineStr">
        <is>
          <t>Shorea</t>
        </is>
      </c>
      <c r="AG29" t="inlineStr">
        <is>
          <t>Beige</t>
        </is>
      </c>
      <c r="AR29" t="inlineStr">
        <is>
          <t>UN1170</t>
        </is>
      </c>
      <c r="BJ29" t="inlineStr">
        <is>
          <t>Shorea</t>
        </is>
      </c>
      <c r="BR29" t="inlineStr">
        <is>
          <t>Use product specific cleaner</t>
        </is>
      </c>
      <c r="BS29" t="inlineStr">
        <is>
          <t>Granite</t>
        </is>
      </c>
      <c r="BT29" t="inlineStr">
        <is>
          <t>Beige</t>
        </is>
      </c>
      <c r="CH29" t="inlineStr">
        <is>
          <t>UN1170</t>
        </is>
      </c>
      <c r="CS29" t="inlineStr">
        <is>
          <t>Flat Screwdriver</t>
        </is>
      </c>
      <c r="CX29" t="inlineStr">
        <is>
          <t>Particle Board</t>
        </is>
      </c>
      <c r="CZ29" t="inlineStr">
        <is>
          <t>Solid Wood</t>
        </is>
      </c>
      <c r="DA29" t="inlineStr">
        <is>
          <t>Revolution Performance Fabrics®</t>
        </is>
      </c>
      <c r="DS29" t="inlineStr">
        <is>
          <t>Use product specific cleaner</t>
        </is>
      </c>
      <c r="DW29" t="inlineStr">
        <is>
          <t>Red</t>
        </is>
      </c>
      <c r="DX29" t="inlineStr">
        <is>
          <t>Shorea</t>
        </is>
      </c>
      <c r="EN29" t="inlineStr">
        <is>
          <t>UN1170</t>
        </is>
      </c>
      <c r="EX29" t="inlineStr">
        <is>
          <t>Flat Screwdriver</t>
        </is>
      </c>
      <c r="FK29" t="inlineStr">
        <is>
          <t>Shorea</t>
        </is>
      </c>
      <c r="FL29" t="inlineStr">
        <is>
          <t>Use product specific cleaner</t>
        </is>
      </c>
      <c r="GD29" t="inlineStr">
        <is>
          <t>Flat Screwdriver</t>
        </is>
      </c>
      <c r="GK29" t="inlineStr">
        <is>
          <t>Revolution Performance Fabrics®</t>
        </is>
      </c>
      <c r="GT29" t="inlineStr">
        <is>
          <t>Shorea</t>
        </is>
      </c>
      <c r="GU29" t="inlineStr">
        <is>
          <t>Irish Chain</t>
        </is>
      </c>
      <c r="HV29" t="inlineStr">
        <is>
          <t>UN1170</t>
        </is>
      </c>
      <c r="IH29" t="inlineStr">
        <is>
          <t>Flat Screwdriver</t>
        </is>
      </c>
    </row>
    <row r="30">
      <c r="L30" t="inlineStr">
        <is>
          <t>2-Aminofluorene</t>
        </is>
      </c>
      <c r="N30" t="inlineStr">
        <is>
          <t>Bolivia</t>
        </is>
      </c>
      <c r="P30" t="inlineStr">
        <is>
          <t>ANSI/BIFMA X5.1 Office Seating</t>
        </is>
      </c>
      <c r="R30" t="inlineStr">
        <is>
          <t>Chinese (T)</t>
        </is>
      </c>
      <c r="T30" t="inlineStr">
        <is>
          <t>Cardboard / Paper</t>
        </is>
      </c>
      <c r="U30" t="inlineStr">
        <is>
          <t>Paulownia</t>
        </is>
      </c>
      <c r="AG30" t="inlineStr">
        <is>
          <t>Teal</t>
        </is>
      </c>
      <c r="AR30" t="inlineStr">
        <is>
          <t>UN3265</t>
        </is>
      </c>
      <c r="BJ30" t="inlineStr">
        <is>
          <t>Paulownia</t>
        </is>
      </c>
      <c r="BR30" t="inlineStr">
        <is>
          <t>Oil / seal / treat regularly</t>
        </is>
      </c>
      <c r="BS30" t="inlineStr">
        <is>
          <t>Unavailable</t>
        </is>
      </c>
      <c r="BT30" t="inlineStr">
        <is>
          <t>Teal</t>
        </is>
      </c>
      <c r="CH30" t="inlineStr">
        <is>
          <t>UN3265</t>
        </is>
      </c>
      <c r="CS30" t="inlineStr">
        <is>
          <t>Adhesive Roller / Tray</t>
        </is>
      </c>
      <c r="CX30" t="inlineStr">
        <is>
          <t>Fiberglass</t>
        </is>
      </c>
      <c r="CZ30" t="inlineStr">
        <is>
          <t>Velvet</t>
        </is>
      </c>
      <c r="DA30" t="inlineStr">
        <is>
          <t>Leather</t>
        </is>
      </c>
      <c r="DS30" t="inlineStr">
        <is>
          <t>Oil / seal / treat regularly</t>
        </is>
      </c>
      <c r="DW30" t="inlineStr">
        <is>
          <t>Purple</t>
        </is>
      </c>
      <c r="DX30" t="inlineStr">
        <is>
          <t>Paulownia</t>
        </is>
      </c>
      <c r="EN30" t="inlineStr">
        <is>
          <t>UN3265</t>
        </is>
      </c>
      <c r="EX30" t="inlineStr">
        <is>
          <t>Adhesive Roller / Tray</t>
        </is>
      </c>
      <c r="FK30" t="inlineStr">
        <is>
          <t>Paulownia</t>
        </is>
      </c>
      <c r="FL30" t="inlineStr">
        <is>
          <t>Oil / seal / treat regularly</t>
        </is>
      </c>
      <c r="GD30" t="inlineStr">
        <is>
          <t>Adhesive Roller / Tray</t>
        </is>
      </c>
      <c r="GK30" t="inlineStr">
        <is>
          <t>Leather</t>
        </is>
      </c>
      <c r="GT30" t="inlineStr">
        <is>
          <t>Paulownia</t>
        </is>
      </c>
      <c r="GU30" t="inlineStr">
        <is>
          <t>Wood &amp; Shiplap</t>
        </is>
      </c>
      <c r="HV30" t="inlineStr">
        <is>
          <t>UN3265</t>
        </is>
      </c>
      <c r="IH30" t="inlineStr">
        <is>
          <t>Adhesive Roller / Tray</t>
        </is>
      </c>
    </row>
    <row r="31">
      <c r="L31" t="inlineStr">
        <is>
          <t>Aminoglutethimide</t>
        </is>
      </c>
      <c r="N31" t="inlineStr">
        <is>
          <t>Bosnia and Herzegovina</t>
        </is>
      </c>
      <c r="P31" t="inlineStr">
        <is>
          <t>ANSI/BIFMA X5.11 Large Occupant Office Seating</t>
        </is>
      </c>
      <c r="T31" t="inlineStr">
        <is>
          <t>Chenille</t>
        </is>
      </c>
      <c r="U31" t="inlineStr">
        <is>
          <t>Chestnut</t>
        </is>
      </c>
      <c r="AG31" t="inlineStr">
        <is>
          <t>Red</t>
        </is>
      </c>
      <c r="AR31" t="inlineStr">
        <is>
          <t>UN3260</t>
        </is>
      </c>
      <c r="BJ31" t="inlineStr">
        <is>
          <t>Chestnut</t>
        </is>
      </c>
      <c r="BR31" t="inlineStr">
        <is>
          <t>Shake to remove dust</t>
        </is>
      </c>
      <c r="BS31" t="inlineStr">
        <is>
          <t>Does Not Apply</t>
        </is>
      </c>
      <c r="BT31" t="inlineStr">
        <is>
          <t>Red</t>
        </is>
      </c>
      <c r="CH31" t="inlineStr">
        <is>
          <t>UN3260</t>
        </is>
      </c>
      <c r="CS31" t="inlineStr">
        <is>
          <t>Shovel</t>
        </is>
      </c>
      <c r="CX31" t="inlineStr">
        <is>
          <t>Resin</t>
        </is>
      </c>
      <c r="CZ31" t="inlineStr">
        <is>
          <t>Wicker</t>
        </is>
      </c>
      <c r="DA31" t="inlineStr">
        <is>
          <t>InsideOut®</t>
        </is>
      </c>
      <c r="DS31" t="inlineStr">
        <is>
          <t>Shake to remove dust</t>
        </is>
      </c>
      <c r="DW31" t="inlineStr">
        <is>
          <t>Espresso Wood</t>
        </is>
      </c>
      <c r="DX31" t="inlineStr">
        <is>
          <t>Chestnut</t>
        </is>
      </c>
      <c r="EN31" t="inlineStr">
        <is>
          <t>UN3260</t>
        </is>
      </c>
      <c r="EX31" t="inlineStr">
        <is>
          <t>Shovel</t>
        </is>
      </c>
      <c r="FK31" t="inlineStr">
        <is>
          <t>Chestnut</t>
        </is>
      </c>
      <c r="FL31" t="inlineStr">
        <is>
          <t>Shake to remove dust</t>
        </is>
      </c>
      <c r="GD31" t="inlineStr">
        <is>
          <t>Shovel</t>
        </is>
      </c>
      <c r="GK31" t="inlineStr">
        <is>
          <t>InsideOut®</t>
        </is>
      </c>
      <c r="GT31" t="inlineStr">
        <is>
          <t>Chestnut</t>
        </is>
      </c>
      <c r="GU31" t="inlineStr">
        <is>
          <t>Chevron / Zig Zag</t>
        </is>
      </c>
      <c r="HV31" t="inlineStr">
        <is>
          <t>UN3260</t>
        </is>
      </c>
      <c r="IH31" t="inlineStr">
        <is>
          <t>Shovel</t>
        </is>
      </c>
    </row>
    <row r="32">
      <c r="L32" t="inlineStr">
        <is>
          <t>Aminoglycosides</t>
        </is>
      </c>
      <c r="N32" t="inlineStr">
        <is>
          <t>Botswana</t>
        </is>
      </c>
      <c r="P32" t="inlineStr">
        <is>
          <t>ANSI/BIFMA X5.3 Vertical Files</t>
        </is>
      </c>
      <c r="T32" t="inlineStr">
        <is>
          <t>Cherry Wood</t>
        </is>
      </c>
      <c r="U32" t="inlineStr">
        <is>
          <t>Hemlock</t>
        </is>
      </c>
      <c r="AG32" t="inlineStr">
        <is>
          <t>Satin</t>
        </is>
      </c>
      <c r="AR32" t="inlineStr">
        <is>
          <t>UN3215</t>
        </is>
      </c>
      <c r="BJ32" t="inlineStr">
        <is>
          <t>Hemlock</t>
        </is>
      </c>
      <c r="BR32" t="inlineStr">
        <is>
          <t>Tumble dry</t>
        </is>
      </c>
      <c r="BT32" t="inlineStr">
        <is>
          <t>Satin</t>
        </is>
      </c>
      <c r="CH32" t="inlineStr">
        <is>
          <t>UN3215</t>
        </is>
      </c>
      <c r="CS32" t="inlineStr">
        <is>
          <t>Drill</t>
        </is>
      </c>
      <c r="CX32" t="inlineStr">
        <is>
          <t>Faux Leather</t>
        </is>
      </c>
      <c r="CZ32" t="inlineStr">
        <is>
          <t>Steel</t>
        </is>
      </c>
      <c r="DA32" t="inlineStr">
        <is>
          <t>Outdura®</t>
        </is>
      </c>
      <c r="DS32" t="inlineStr">
        <is>
          <t>Tumble dry</t>
        </is>
      </c>
      <c r="DW32" t="inlineStr">
        <is>
          <t>Ivory</t>
        </is>
      </c>
      <c r="DX32" t="inlineStr">
        <is>
          <t>Hemlock</t>
        </is>
      </c>
      <c r="EN32" t="inlineStr">
        <is>
          <t>UN3215</t>
        </is>
      </c>
      <c r="EX32" t="inlineStr">
        <is>
          <t>Drill</t>
        </is>
      </c>
      <c r="FK32" t="inlineStr">
        <is>
          <t>Hemlock</t>
        </is>
      </c>
      <c r="FL32" t="inlineStr">
        <is>
          <t>Tumble dry</t>
        </is>
      </c>
      <c r="GD32" t="inlineStr">
        <is>
          <t>Drill</t>
        </is>
      </c>
      <c r="GK32" t="inlineStr">
        <is>
          <t>Outdura®</t>
        </is>
      </c>
      <c r="GT32" t="inlineStr">
        <is>
          <t>Hemlock</t>
        </is>
      </c>
      <c r="GU32" t="inlineStr">
        <is>
          <t>Clear</t>
        </is>
      </c>
      <c r="HV32" t="inlineStr">
        <is>
          <t>UN3215</t>
        </is>
      </c>
      <c r="IH32" t="inlineStr">
        <is>
          <t>Drill</t>
        </is>
      </c>
    </row>
    <row r="33">
      <c r="L33" t="inlineStr">
        <is>
          <t>1-Amino-2-methylanthraquinone</t>
        </is>
      </c>
      <c r="N33" t="inlineStr">
        <is>
          <t>Bouvet Island</t>
        </is>
      </c>
      <c r="P33" t="inlineStr">
        <is>
          <t>ANSI/BIFMA X5.4 Lounge &amp; Public Seating</t>
        </is>
      </c>
      <c r="T33" t="inlineStr">
        <is>
          <t>Handblown Glass</t>
        </is>
      </c>
      <c r="U33" t="inlineStr">
        <is>
          <t>Aspen</t>
        </is>
      </c>
      <c r="AG33" t="inlineStr">
        <is>
          <t>Yellow</t>
        </is>
      </c>
      <c r="AR33" t="inlineStr">
        <is>
          <t>UN1006</t>
        </is>
      </c>
      <c r="BJ33" t="inlineStr">
        <is>
          <t>Aspen</t>
        </is>
      </c>
      <c r="BR33" t="inlineStr">
        <is>
          <t>Iron safe</t>
        </is>
      </c>
      <c r="BT33" t="inlineStr">
        <is>
          <t>Yellow</t>
        </is>
      </c>
      <c r="CH33" t="inlineStr">
        <is>
          <t>UN1006</t>
        </is>
      </c>
      <c r="CS33" t="inlineStr">
        <is>
          <t>Smoother / Squeegee</t>
        </is>
      </c>
      <c r="CX33" t="inlineStr">
        <is>
          <t>Cardboard</t>
        </is>
      </c>
      <c r="CZ33" t="inlineStr">
        <is>
          <t>Twill</t>
        </is>
      </c>
      <c r="DA33" t="inlineStr">
        <is>
          <t>Jute</t>
        </is>
      </c>
      <c r="DS33" t="inlineStr">
        <is>
          <t>Iron safe</t>
        </is>
      </c>
      <c r="DW33" t="inlineStr">
        <is>
          <t>Orange</t>
        </is>
      </c>
      <c r="DX33" t="inlineStr">
        <is>
          <t>Aspen</t>
        </is>
      </c>
      <c r="EN33" t="inlineStr">
        <is>
          <t>UN1006</t>
        </is>
      </c>
      <c r="EX33" t="inlineStr">
        <is>
          <t>Smoother / Squeegee</t>
        </is>
      </c>
      <c r="FK33" t="inlineStr">
        <is>
          <t>Aspen</t>
        </is>
      </c>
      <c r="FL33" t="inlineStr">
        <is>
          <t>Iron safe</t>
        </is>
      </c>
      <c r="GD33" t="inlineStr">
        <is>
          <t>Smoother / Squeegee</t>
        </is>
      </c>
      <c r="GK33" t="inlineStr">
        <is>
          <t>Jute</t>
        </is>
      </c>
      <c r="GT33" t="inlineStr">
        <is>
          <t>Aspen</t>
        </is>
      </c>
      <c r="GU33" t="inlineStr">
        <is>
          <t>Stone</t>
        </is>
      </c>
      <c r="HV33" t="inlineStr">
        <is>
          <t>UN1006</t>
        </is>
      </c>
      <c r="IH33" t="inlineStr">
        <is>
          <t>Smoother / Squeegee</t>
        </is>
      </c>
    </row>
    <row r="34">
      <c r="L34" t="inlineStr">
        <is>
          <t>2-Amino-5-(5-nitro-2-furyl)-1,3,4-thiadiazole</t>
        </is>
      </c>
      <c r="N34" t="inlineStr">
        <is>
          <t>Brazil</t>
        </is>
      </c>
      <c r="P34" t="inlineStr">
        <is>
          <t>ANSI/BIFMA X5.5 Desk Products</t>
        </is>
      </c>
      <c r="T34" t="inlineStr">
        <is>
          <t>Cement</t>
        </is>
      </c>
      <c r="U34" t="inlineStr">
        <is>
          <t>Mindi</t>
        </is>
      </c>
      <c r="AG34" t="inlineStr">
        <is>
          <t>Pink</t>
        </is>
      </c>
      <c r="AR34" t="inlineStr">
        <is>
          <t>UN3175</t>
        </is>
      </c>
      <c r="BJ34" t="inlineStr">
        <is>
          <t>Mindi</t>
        </is>
      </c>
      <c r="BR34" t="inlineStr">
        <is>
          <t>Wipe clean with a dry cloth</t>
        </is>
      </c>
      <c r="BT34" t="inlineStr">
        <is>
          <t>Pink</t>
        </is>
      </c>
      <c r="CH34" t="inlineStr">
        <is>
          <t>UN3175</t>
        </is>
      </c>
      <c r="CS34" t="inlineStr">
        <is>
          <t>Ladder</t>
        </is>
      </c>
      <c r="CX34" t="inlineStr">
        <is>
          <t>Genuine Marble</t>
        </is>
      </c>
      <c r="CZ34" t="inlineStr">
        <is>
          <t>Aluminum</t>
        </is>
      </c>
      <c r="DA34" t="inlineStr">
        <is>
          <t>Foam Padding</t>
        </is>
      </c>
      <c r="DS34" t="inlineStr">
        <is>
          <t>Wipe clean with a dry cloth</t>
        </is>
      </c>
      <c r="DW34" t="inlineStr">
        <is>
          <t>Beige</t>
        </is>
      </c>
      <c r="DX34" t="inlineStr">
        <is>
          <t>Mindi</t>
        </is>
      </c>
      <c r="EN34" t="inlineStr">
        <is>
          <t>UN3175</t>
        </is>
      </c>
      <c r="EX34" t="inlineStr">
        <is>
          <t>Ladder</t>
        </is>
      </c>
      <c r="FK34" t="inlineStr">
        <is>
          <t>Mindi</t>
        </is>
      </c>
      <c r="FL34" t="inlineStr">
        <is>
          <t>Wipe clean with a dry cloth</t>
        </is>
      </c>
      <c r="GD34" t="inlineStr">
        <is>
          <t>Ladder</t>
        </is>
      </c>
      <c r="GK34" t="inlineStr">
        <is>
          <t>Foam Padding</t>
        </is>
      </c>
      <c r="GT34" t="inlineStr">
        <is>
          <t>Mindi</t>
        </is>
      </c>
      <c r="GU34" t="inlineStr">
        <is>
          <t>Drunkard's Path</t>
        </is>
      </c>
      <c r="HV34" t="inlineStr">
        <is>
          <t>UN3175</t>
        </is>
      </c>
      <c r="IH34" t="inlineStr">
        <is>
          <t>Ladder</t>
        </is>
      </c>
    </row>
    <row r="35">
      <c r="L35" t="inlineStr">
        <is>
          <t>4-Amino-2-nitrophenol</t>
        </is>
      </c>
      <c r="N35" t="inlineStr">
        <is>
          <t>British Indian Ocean Territory</t>
        </is>
      </c>
      <c r="P35" t="inlineStr">
        <is>
          <t>ANSI/BIFMA X5.6 Panel Systems</t>
        </is>
      </c>
      <c r="T35" t="inlineStr">
        <is>
          <t>Flannel</t>
        </is>
      </c>
      <c r="U35" t="inlineStr">
        <is>
          <t>Ipe</t>
        </is>
      </c>
      <c r="AG35" t="inlineStr">
        <is>
          <t>White</t>
        </is>
      </c>
      <c r="AR35" t="inlineStr">
        <is>
          <t>Does Not Apply</t>
        </is>
      </c>
      <c r="BJ35" t="inlineStr">
        <is>
          <t>Ipe</t>
        </is>
      </c>
      <c r="BR35" t="inlineStr">
        <is>
          <t>Cover when not in use</t>
        </is>
      </c>
      <c r="BT35" t="inlineStr">
        <is>
          <t>White</t>
        </is>
      </c>
      <c r="CH35" t="inlineStr">
        <is>
          <t>Does Not Apply</t>
        </is>
      </c>
      <c r="CS35" t="inlineStr">
        <is>
          <t>Wire Stripper</t>
        </is>
      </c>
      <c r="CX35" t="inlineStr">
        <is>
          <t>High-Density Polyethylene (HDPE)</t>
        </is>
      </c>
      <c r="CZ35" t="inlineStr">
        <is>
          <t>Resin</t>
        </is>
      </c>
      <c r="DA35" t="inlineStr">
        <is>
          <t>Canvas</t>
        </is>
      </c>
      <c r="DS35" t="inlineStr">
        <is>
          <t>Cover when not in use</t>
        </is>
      </c>
      <c r="DW35" t="inlineStr">
        <is>
          <t>Teal</t>
        </is>
      </c>
      <c r="DX35" t="inlineStr">
        <is>
          <t>Ipe</t>
        </is>
      </c>
      <c r="EN35" t="inlineStr">
        <is>
          <t>Does Not Apply</t>
        </is>
      </c>
      <c r="EX35" t="inlineStr">
        <is>
          <t>Wire Stripper</t>
        </is>
      </c>
      <c r="FK35" t="inlineStr">
        <is>
          <t>Ipe</t>
        </is>
      </c>
      <c r="FL35" t="inlineStr">
        <is>
          <t>Cover when not in use</t>
        </is>
      </c>
      <c r="GD35" t="inlineStr">
        <is>
          <t>Wire Stripper</t>
        </is>
      </c>
      <c r="GK35" t="inlineStr">
        <is>
          <t>Canvas</t>
        </is>
      </c>
      <c r="GT35" t="inlineStr">
        <is>
          <t>Ipe</t>
        </is>
      </c>
      <c r="GU35" t="inlineStr">
        <is>
          <t>Moroccan</t>
        </is>
      </c>
      <c r="HV35" t="inlineStr">
        <is>
          <t>Does Not Apply</t>
        </is>
      </c>
      <c r="IH35" t="inlineStr">
        <is>
          <t>Wire Stripper</t>
        </is>
      </c>
    </row>
    <row r="36">
      <c r="L36" t="inlineStr">
        <is>
          <t>Aminopterin</t>
        </is>
      </c>
      <c r="N36" t="inlineStr">
        <is>
          <t>Brunei Darussalam</t>
        </is>
      </c>
      <c r="P36" t="inlineStr">
        <is>
          <t>ANSI/BIFMA X5.9 Storage</t>
        </is>
      </c>
      <c r="T36" t="inlineStr">
        <is>
          <t>Chrome</t>
        </is>
      </c>
      <c r="U36" t="inlineStr">
        <is>
          <t>Olive</t>
        </is>
      </c>
      <c r="AG36" t="inlineStr">
        <is>
          <t>Brown</t>
        </is>
      </c>
      <c r="BJ36" t="inlineStr">
        <is>
          <t>Olive</t>
        </is>
      </c>
      <c r="BR36" t="inlineStr">
        <is>
          <t>Avoid use of abrasive cleaners</t>
        </is>
      </c>
      <c r="BT36" t="inlineStr">
        <is>
          <t>Brown</t>
        </is>
      </c>
      <c r="CS36" t="inlineStr">
        <is>
          <t>Razor Knife</t>
        </is>
      </c>
      <c r="CX36" t="inlineStr">
        <is>
          <t>Stone</t>
        </is>
      </c>
      <c r="CZ36" t="inlineStr">
        <is>
          <t>Leather</t>
        </is>
      </c>
      <c r="DA36" t="inlineStr">
        <is>
          <t>Denim</t>
        </is>
      </c>
      <c r="DS36" t="inlineStr">
        <is>
          <t>Avoid use of abrasive cleaners</t>
        </is>
      </c>
      <c r="DW36" t="inlineStr">
        <is>
          <t>Green</t>
        </is>
      </c>
      <c r="DX36" t="inlineStr">
        <is>
          <t>Olive</t>
        </is>
      </c>
      <c r="EX36" t="inlineStr">
        <is>
          <t>Razor Knife</t>
        </is>
      </c>
      <c r="FK36" t="inlineStr">
        <is>
          <t>Olive</t>
        </is>
      </c>
      <c r="FL36" t="inlineStr">
        <is>
          <t>Avoid use of abrasive cleaners</t>
        </is>
      </c>
      <c r="GD36" t="inlineStr">
        <is>
          <t>Razor Knife</t>
        </is>
      </c>
      <c r="GK36" t="inlineStr">
        <is>
          <t>Denim</t>
        </is>
      </c>
      <c r="GT36" t="inlineStr">
        <is>
          <t>Olive</t>
        </is>
      </c>
      <c r="GU36" t="inlineStr">
        <is>
          <t>Oriental</t>
        </is>
      </c>
      <c r="IH36" t="inlineStr">
        <is>
          <t>Razor Knife</t>
        </is>
      </c>
    </row>
    <row r="37">
      <c r="L37" t="inlineStr">
        <is>
          <t>Amiodarone hydrochloride</t>
        </is>
      </c>
      <c r="N37" t="inlineStr">
        <is>
          <t>Bulgaria</t>
        </is>
      </c>
      <c r="P37" t="inlineStr">
        <is>
          <t>ANSI/BIFMA X6.1 Educational Seating</t>
        </is>
      </c>
      <c r="T37" t="inlineStr">
        <is>
          <t>Enamelware</t>
        </is>
      </c>
      <c r="U37" t="inlineStr">
        <is>
          <t>Ajo</t>
        </is>
      </c>
      <c r="AG37" t="inlineStr">
        <is>
          <t>Blue</t>
        </is>
      </c>
      <c r="BJ37" t="inlineStr">
        <is>
          <t>Ajo</t>
        </is>
      </c>
      <c r="BR37" t="inlineStr">
        <is>
          <t>Tile specific cleaner</t>
        </is>
      </c>
      <c r="BT37" t="inlineStr">
        <is>
          <t>Blue</t>
        </is>
      </c>
      <c r="CS37" t="inlineStr">
        <is>
          <t>Pencil</t>
        </is>
      </c>
      <c r="CX37" t="inlineStr">
        <is>
          <t>Rope</t>
        </is>
      </c>
      <c r="CZ37" t="inlineStr">
        <is>
          <t>Vinyl</t>
        </is>
      </c>
      <c r="DA37" t="inlineStr">
        <is>
          <t>Corduroy</t>
        </is>
      </c>
      <c r="DS37" t="inlineStr">
        <is>
          <t>Tile specific cleaner</t>
        </is>
      </c>
      <c r="DW37" t="inlineStr">
        <is>
          <t>Bronze</t>
        </is>
      </c>
      <c r="DX37" t="inlineStr">
        <is>
          <t>Ajo</t>
        </is>
      </c>
      <c r="EX37" t="inlineStr">
        <is>
          <t>Pencil</t>
        </is>
      </c>
      <c r="FK37" t="inlineStr">
        <is>
          <t>Ajo</t>
        </is>
      </c>
      <c r="FL37" t="inlineStr">
        <is>
          <t>Tile specific cleaner</t>
        </is>
      </c>
      <c r="GD37" t="inlineStr">
        <is>
          <t>Pencil</t>
        </is>
      </c>
      <c r="GK37" t="inlineStr">
        <is>
          <t>Corduroy</t>
        </is>
      </c>
      <c r="GT37" t="inlineStr">
        <is>
          <t>Ajo</t>
        </is>
      </c>
      <c r="GU37" t="inlineStr">
        <is>
          <t>Block Print</t>
        </is>
      </c>
      <c r="IH37" t="inlineStr">
        <is>
          <t>Pencil</t>
        </is>
      </c>
    </row>
    <row r="38">
      <c r="L38" t="inlineStr">
        <is>
          <t>Amitraz</t>
        </is>
      </c>
      <c r="N38" t="inlineStr">
        <is>
          <t>Burkina Faso</t>
        </is>
      </c>
      <c r="P38" t="inlineStr">
        <is>
          <t>ANSI/BIFMA X7.1 Standard for Formaldehyde &amp; TVOC Emissions</t>
        </is>
      </c>
      <c r="T38" t="inlineStr">
        <is>
          <t>Enameled Cast Iron</t>
        </is>
      </c>
      <c r="U38" t="inlineStr">
        <is>
          <t>Agarwood</t>
        </is>
      </c>
      <c r="AG38" t="inlineStr">
        <is>
          <t>Satin Black</t>
        </is>
      </c>
      <c r="BJ38" t="inlineStr">
        <is>
          <t>Agarwood</t>
        </is>
      </c>
      <c r="BR38" t="inlineStr">
        <is>
          <t>Do not wash</t>
        </is>
      </c>
      <c r="BT38" t="inlineStr">
        <is>
          <t>Satin Black</t>
        </is>
      </c>
      <c r="CS38" t="inlineStr">
        <is>
          <t>Electric Drill</t>
        </is>
      </c>
      <c r="CX38" t="inlineStr">
        <is>
          <t>Bamboo / Rattan</t>
        </is>
      </c>
      <c r="CZ38" t="inlineStr">
        <is>
          <t>Suede</t>
        </is>
      </c>
      <c r="DA38" t="inlineStr">
        <is>
          <t>Crypton®</t>
        </is>
      </c>
      <c r="DS38" t="inlineStr">
        <is>
          <t>Do not wash</t>
        </is>
      </c>
      <c r="DW38" t="inlineStr">
        <is>
          <t>Brushed Gold</t>
        </is>
      </c>
      <c r="DX38" t="inlineStr">
        <is>
          <t>Agarwood</t>
        </is>
      </c>
      <c r="EX38" t="inlineStr">
        <is>
          <t>Electric Drill</t>
        </is>
      </c>
      <c r="FK38" t="inlineStr">
        <is>
          <t>Agarwood</t>
        </is>
      </c>
      <c r="FL38" t="inlineStr">
        <is>
          <t>Do not wash</t>
        </is>
      </c>
      <c r="GD38" t="inlineStr">
        <is>
          <t>Electric Drill</t>
        </is>
      </c>
      <c r="GK38" t="inlineStr">
        <is>
          <t>Crypton®</t>
        </is>
      </c>
      <c r="GT38" t="inlineStr">
        <is>
          <t>Agarwood</t>
        </is>
      </c>
      <c r="GU38" t="inlineStr">
        <is>
          <t>Arc</t>
        </is>
      </c>
      <c r="IH38" t="inlineStr">
        <is>
          <t>Electric Drill</t>
        </is>
      </c>
    </row>
    <row r="39">
      <c r="L39" t="inlineStr">
        <is>
          <t>Amitrole</t>
        </is>
      </c>
      <c r="N39" t="inlineStr">
        <is>
          <t>Burundi</t>
        </is>
      </c>
      <c r="P39" t="inlineStr">
        <is>
          <t>ANSI/ESD S20.20 Certified</t>
        </is>
      </c>
      <c r="T39" t="inlineStr">
        <is>
          <t>Agate / Geode</t>
        </is>
      </c>
      <c r="U39" t="inlineStr">
        <is>
          <t>Afzelia</t>
        </is>
      </c>
      <c r="AG39" t="inlineStr">
        <is>
          <t>Rose Gold</t>
        </is>
      </c>
      <c r="BJ39" t="inlineStr">
        <is>
          <t>Afzelia</t>
        </is>
      </c>
      <c r="BR39" t="inlineStr">
        <is>
          <t>Dust mop</t>
        </is>
      </c>
      <c r="BT39" t="inlineStr">
        <is>
          <t>Rose Gold</t>
        </is>
      </c>
      <c r="CS39" t="inlineStr">
        <is>
          <t>Screw Gun</t>
        </is>
      </c>
      <c r="CX39" t="inlineStr">
        <is>
          <t>Woven Palm</t>
        </is>
      </c>
      <c r="CZ39" t="inlineStr">
        <is>
          <t>Upholstered</t>
        </is>
      </c>
      <c r="DA39" t="inlineStr">
        <is>
          <t>Teddy</t>
        </is>
      </c>
      <c r="DS39" t="inlineStr">
        <is>
          <t>Dust mop</t>
        </is>
      </c>
      <c r="DW39" t="inlineStr">
        <is>
          <t>Brass</t>
        </is>
      </c>
      <c r="DX39" t="inlineStr">
        <is>
          <t>Afzelia</t>
        </is>
      </c>
      <c r="EX39" t="inlineStr">
        <is>
          <t>Screw Gun</t>
        </is>
      </c>
      <c r="FK39" t="inlineStr">
        <is>
          <t>Afzelia</t>
        </is>
      </c>
      <c r="FL39" t="inlineStr">
        <is>
          <t>Dust mop</t>
        </is>
      </c>
      <c r="GD39" t="inlineStr">
        <is>
          <t>Screw Gun</t>
        </is>
      </c>
      <c r="GK39" t="inlineStr">
        <is>
          <t>Teddy</t>
        </is>
      </c>
      <c r="GT39" t="inlineStr">
        <is>
          <t>Afzelia</t>
        </is>
      </c>
      <c r="GU39" t="inlineStr">
        <is>
          <t>Vintage Look</t>
        </is>
      </c>
      <c r="IH39" t="inlineStr">
        <is>
          <t>Screw Gun</t>
        </is>
      </c>
    </row>
    <row r="40">
      <c r="L40" t="inlineStr">
        <is>
          <t>Amoxapine</t>
        </is>
      </c>
      <c r="N40" t="inlineStr">
        <is>
          <t>Cambodia</t>
        </is>
      </c>
      <c r="P40" t="inlineStr">
        <is>
          <t>ANSI/NISO Z39.48 Compliant</t>
        </is>
      </c>
      <c r="T40" t="inlineStr">
        <is>
          <t>Fiberglass</t>
        </is>
      </c>
      <c r="U40" t="inlineStr">
        <is>
          <t>Afrormosia</t>
        </is>
      </c>
      <c r="AG40" t="inlineStr">
        <is>
          <t>Navy</t>
        </is>
      </c>
      <c r="BJ40" t="inlineStr">
        <is>
          <t>Afrormosia</t>
        </is>
      </c>
      <c r="BR40" t="inlineStr">
        <is>
          <t>Hose down</t>
        </is>
      </c>
      <c r="BT40" t="inlineStr">
        <is>
          <t>Navy</t>
        </is>
      </c>
      <c r="CS40" t="inlineStr">
        <is>
          <t>Scissors</t>
        </is>
      </c>
      <c r="CX40" t="inlineStr">
        <is>
          <t>Zinc</t>
        </is>
      </c>
      <c r="CZ40" t="inlineStr">
        <is>
          <t>Polyester</t>
        </is>
      </c>
      <c r="DA40" t="inlineStr">
        <is>
          <t>Boucle</t>
        </is>
      </c>
      <c r="DS40" t="inlineStr">
        <is>
          <t>Hose down</t>
        </is>
      </c>
      <c r="DW40" t="inlineStr">
        <is>
          <t>Red Wood</t>
        </is>
      </c>
      <c r="DX40" t="inlineStr">
        <is>
          <t>Afrormosia</t>
        </is>
      </c>
      <c r="EX40" t="inlineStr">
        <is>
          <t>Scissors</t>
        </is>
      </c>
      <c r="FK40" t="inlineStr">
        <is>
          <t>Afrormosia</t>
        </is>
      </c>
      <c r="FL40" t="inlineStr">
        <is>
          <t>Hose down</t>
        </is>
      </c>
      <c r="GD40" t="inlineStr">
        <is>
          <t>Scissors</t>
        </is>
      </c>
      <c r="GK40" t="inlineStr">
        <is>
          <t>Boucle</t>
        </is>
      </c>
      <c r="GT40" t="inlineStr">
        <is>
          <t>Afrormosia</t>
        </is>
      </c>
      <c r="GU40" t="inlineStr">
        <is>
          <t>Does Not Apply</t>
        </is>
      </c>
      <c r="IH40" t="inlineStr">
        <is>
          <t>Scissors</t>
        </is>
      </c>
    </row>
    <row r="41">
      <c r="L41" t="inlineStr">
        <is>
          <t>Amsacrine</t>
        </is>
      </c>
      <c r="N41" t="inlineStr">
        <is>
          <t>Cameroon</t>
        </is>
      </c>
      <c r="P41" t="inlineStr">
        <is>
          <t>ANSI/SOHO S6.5 Small Office/Home Office</t>
        </is>
      </c>
      <c r="T41" t="inlineStr">
        <is>
          <t>Bronze</t>
        </is>
      </c>
      <c r="U41" t="inlineStr">
        <is>
          <t>Bubinga</t>
        </is>
      </c>
      <c r="AG41" t="inlineStr">
        <is>
          <t>Black</t>
        </is>
      </c>
      <c r="BJ41" t="inlineStr">
        <is>
          <t>Bubinga</t>
        </is>
      </c>
      <c r="BR41" t="inlineStr">
        <is>
          <t>Towel dry immediately</t>
        </is>
      </c>
      <c r="BT41" t="inlineStr">
        <is>
          <t>Black</t>
        </is>
      </c>
      <c r="CS41" t="inlineStr">
        <is>
          <t>Ruler</t>
        </is>
      </c>
      <c r="CX41" t="inlineStr">
        <is>
          <t>Wrought Iron</t>
        </is>
      </c>
      <c r="CZ41" t="inlineStr">
        <is>
          <t>Sunbrella®</t>
        </is>
      </c>
      <c r="DA41" t="inlineStr">
        <is>
          <t>Tibetan Lambskin</t>
        </is>
      </c>
      <c r="DS41" t="inlineStr">
        <is>
          <t>Towel dry immediately</t>
        </is>
      </c>
      <c r="DW41" t="inlineStr">
        <is>
          <t>Tan</t>
        </is>
      </c>
      <c r="DX41" t="inlineStr">
        <is>
          <t>Bubinga</t>
        </is>
      </c>
      <c r="EX41" t="inlineStr">
        <is>
          <t>Ruler</t>
        </is>
      </c>
      <c r="FK41" t="inlineStr">
        <is>
          <t>Bubinga</t>
        </is>
      </c>
      <c r="FL41" t="inlineStr">
        <is>
          <t>Towel dry immediately</t>
        </is>
      </c>
      <c r="GD41" t="inlineStr">
        <is>
          <t>Ruler</t>
        </is>
      </c>
      <c r="GK41" t="inlineStr">
        <is>
          <t>Tibetan Lambskin</t>
        </is>
      </c>
      <c r="GT41" t="inlineStr">
        <is>
          <t>Bubinga</t>
        </is>
      </c>
      <c r="IH41" t="inlineStr">
        <is>
          <t>Ruler</t>
        </is>
      </c>
    </row>
    <row r="42">
      <c r="L42" t="inlineStr">
        <is>
          <t>Analgesic mixtures containing Phenacetin</t>
        </is>
      </c>
      <c r="N42" t="inlineStr">
        <is>
          <t>Cape Verde</t>
        </is>
      </c>
      <c r="P42" t="inlineStr">
        <is>
          <t>APMA Certified</t>
        </is>
      </c>
      <c r="T42" t="inlineStr">
        <is>
          <t>Cast Iron</t>
        </is>
      </c>
      <c r="U42" t="inlineStr">
        <is>
          <t>Brazilwood</t>
        </is>
      </c>
      <c r="AG42" t="inlineStr">
        <is>
          <t>Tan</t>
        </is>
      </c>
      <c r="BJ42" t="inlineStr">
        <is>
          <t>Brazilwood</t>
        </is>
      </c>
      <c r="BR42" t="inlineStr">
        <is>
          <t>Household floor cleaner</t>
        </is>
      </c>
      <c r="BT42" t="inlineStr">
        <is>
          <t>Tan</t>
        </is>
      </c>
      <c r="CS42" t="inlineStr">
        <is>
          <t>Safety Glasses</t>
        </is>
      </c>
      <c r="CX42" t="inlineStr">
        <is>
          <t>Powder Coated Steel</t>
        </is>
      </c>
      <c r="CZ42" t="inlineStr">
        <is>
          <t>Canvas</t>
        </is>
      </c>
      <c r="DA42" t="inlineStr">
        <is>
          <t>Unavailable</t>
        </is>
      </c>
      <c r="DS42" t="inlineStr">
        <is>
          <t>Household floor cleaner</t>
        </is>
      </c>
      <c r="DW42" t="inlineStr">
        <is>
          <t>Navy</t>
        </is>
      </c>
      <c r="DX42" t="inlineStr">
        <is>
          <t>Brazilwood</t>
        </is>
      </c>
      <c r="EX42" t="inlineStr">
        <is>
          <t>Safety Glasses</t>
        </is>
      </c>
      <c r="FK42" t="inlineStr">
        <is>
          <t>Brazilwood</t>
        </is>
      </c>
      <c r="FL42" t="inlineStr">
        <is>
          <t>Household floor cleaner</t>
        </is>
      </c>
      <c r="GD42" t="inlineStr">
        <is>
          <t>Safety Glasses</t>
        </is>
      </c>
      <c r="GK42" t="inlineStr">
        <is>
          <t>Unavailable</t>
        </is>
      </c>
      <c r="GT42" t="inlineStr">
        <is>
          <t>Brazilwood</t>
        </is>
      </c>
      <c r="IH42" t="inlineStr">
        <is>
          <t>Safety Glasses</t>
        </is>
      </c>
    </row>
    <row r="43">
      <c r="L43" t="inlineStr">
        <is>
          <t>Androstenedione</t>
        </is>
      </c>
      <c r="N43" t="inlineStr">
        <is>
          <t>Cayman Islands</t>
        </is>
      </c>
      <c r="P43" t="inlineStr">
        <is>
          <t>ASHRAE 62.2 Standard Compliant</t>
        </is>
      </c>
      <c r="T43" t="inlineStr">
        <is>
          <t>Bamboo Slat / Seagrass</t>
        </is>
      </c>
      <c r="U43" t="inlineStr">
        <is>
          <t>Cumaru</t>
        </is>
      </c>
      <c r="AG43" t="inlineStr">
        <is>
          <t>Gray</t>
        </is>
      </c>
      <c r="BJ43" t="inlineStr">
        <is>
          <t>Cumaru</t>
        </is>
      </c>
      <c r="BR43" t="inlineStr">
        <is>
          <t>Spot clean</t>
        </is>
      </c>
      <c r="BT43" t="inlineStr">
        <is>
          <t>Gray</t>
        </is>
      </c>
      <c r="CS43" t="inlineStr">
        <is>
          <t>Utility Knife</t>
        </is>
      </c>
      <c r="CX43" t="inlineStr">
        <is>
          <t>Carpet</t>
        </is>
      </c>
      <c r="CZ43" t="inlineStr">
        <is>
          <t>Does Not Apply</t>
        </is>
      </c>
      <c r="DA43" t="inlineStr">
        <is>
          <t>Does Not Apply</t>
        </is>
      </c>
      <c r="DS43" t="inlineStr">
        <is>
          <t>Spot clean</t>
        </is>
      </c>
      <c r="DW43" t="inlineStr">
        <is>
          <t>Brushed Nickel</t>
        </is>
      </c>
      <c r="DX43" t="inlineStr">
        <is>
          <t>Cumaru</t>
        </is>
      </c>
      <c r="EX43" t="inlineStr">
        <is>
          <t>Utility Knife</t>
        </is>
      </c>
      <c r="FK43" t="inlineStr">
        <is>
          <t>Cumaru</t>
        </is>
      </c>
      <c r="FL43" t="inlineStr">
        <is>
          <t>Spot clean</t>
        </is>
      </c>
      <c r="GD43" t="inlineStr">
        <is>
          <t>Utility Knife</t>
        </is>
      </c>
      <c r="GK43" t="inlineStr">
        <is>
          <t>Does Not Apply</t>
        </is>
      </c>
      <c r="GT43" t="inlineStr">
        <is>
          <t>Cumaru</t>
        </is>
      </c>
      <c r="IH43" t="inlineStr">
        <is>
          <t>Utility Knife</t>
        </is>
      </c>
    </row>
    <row r="44">
      <c r="L44" t="inlineStr">
        <is>
          <t>Angiotensin converting enzyme  (ACE) inhibitors</t>
        </is>
      </c>
      <c r="N44" t="inlineStr">
        <is>
          <t>Central African Republic</t>
        </is>
      </c>
      <c r="P44" t="inlineStr">
        <is>
          <t>ASME A112.18.1 Compliant</t>
        </is>
      </c>
      <c r="T44" t="inlineStr">
        <is>
          <t>Beaded</t>
        </is>
      </c>
      <c r="U44" t="inlineStr">
        <is>
          <t>Cedar, Mulanje</t>
        </is>
      </c>
      <c r="AG44" t="inlineStr">
        <is>
          <t>Brown Wood</t>
        </is>
      </c>
      <c r="BJ44" t="inlineStr">
        <is>
          <t>Cedar, Mulanje</t>
        </is>
      </c>
      <c r="BR44" t="inlineStr">
        <is>
          <t>Wipe with wet cloth</t>
        </is>
      </c>
      <c r="BT44" t="inlineStr">
        <is>
          <t>Brown Wood</t>
        </is>
      </c>
      <c r="CS44" t="inlineStr">
        <is>
          <t>Rope</t>
        </is>
      </c>
      <c r="CX44" t="inlineStr">
        <is>
          <t>Chrome</t>
        </is>
      </c>
      <c r="DS44" t="inlineStr">
        <is>
          <t>Wipe with wet cloth</t>
        </is>
      </c>
      <c r="DW44" t="inlineStr">
        <is>
          <t>Cream</t>
        </is>
      </c>
      <c r="DX44" t="inlineStr">
        <is>
          <t>Cedar, Mulanje</t>
        </is>
      </c>
      <c r="EX44" t="inlineStr">
        <is>
          <t>Rope</t>
        </is>
      </c>
      <c r="FK44" t="inlineStr">
        <is>
          <t>Cedar, Mulanje</t>
        </is>
      </c>
      <c r="FL44" t="inlineStr">
        <is>
          <t>Wipe with wet cloth</t>
        </is>
      </c>
      <c r="GD44" t="inlineStr">
        <is>
          <t>Rope</t>
        </is>
      </c>
      <c r="GT44" t="inlineStr">
        <is>
          <t>Cedar, Mulanje</t>
        </is>
      </c>
      <c r="IH44" t="inlineStr">
        <is>
          <t>Rope</t>
        </is>
      </c>
    </row>
    <row r="45">
      <c r="L45" t="inlineStr">
        <is>
          <t>Aniline</t>
        </is>
      </c>
      <c r="N45" t="inlineStr">
        <is>
          <t>Chad</t>
        </is>
      </c>
      <c r="P45" t="inlineStr">
        <is>
          <t>ASME A112.18.2 Compliant</t>
        </is>
      </c>
      <c r="T45" t="inlineStr">
        <is>
          <t>Alpaca</t>
        </is>
      </c>
      <c r="U45" t="inlineStr">
        <is>
          <t>Cedar, Spanish</t>
        </is>
      </c>
      <c r="AG45" t="inlineStr">
        <is>
          <t>Dark Brown Wood</t>
        </is>
      </c>
      <c r="BJ45" t="inlineStr">
        <is>
          <t>Cedar, Spanish</t>
        </is>
      </c>
      <c r="BR45" t="inlineStr">
        <is>
          <t>Spot clean with water</t>
        </is>
      </c>
      <c r="BT45" t="inlineStr">
        <is>
          <t>Dark Brown Wood</t>
        </is>
      </c>
      <c r="CS45" t="inlineStr">
        <is>
          <t>Ear Protection</t>
        </is>
      </c>
      <c r="CX45" t="inlineStr">
        <is>
          <t>Powder Coated Aluminum</t>
        </is>
      </c>
      <c r="DS45" t="inlineStr">
        <is>
          <t>Spot clean with water</t>
        </is>
      </c>
      <c r="DW45" t="inlineStr">
        <is>
          <t>Chrome</t>
        </is>
      </c>
      <c r="DX45" t="inlineStr">
        <is>
          <t>Cedar, Spanish</t>
        </is>
      </c>
      <c r="EX45" t="inlineStr">
        <is>
          <t>Ear Protection</t>
        </is>
      </c>
      <c r="FK45" t="inlineStr">
        <is>
          <t>Cedar, Spanish</t>
        </is>
      </c>
      <c r="FL45" t="inlineStr">
        <is>
          <t>Spot clean with water</t>
        </is>
      </c>
      <c r="GD45" t="inlineStr">
        <is>
          <t>Ear Protection</t>
        </is>
      </c>
      <c r="GT45" t="inlineStr">
        <is>
          <t>Cedar, Spanish</t>
        </is>
      </c>
      <c r="IH45" t="inlineStr">
        <is>
          <t>Ear Protection</t>
        </is>
      </c>
    </row>
    <row r="46">
      <c r="L46" t="inlineStr">
        <is>
          <t>Aniline hydrochloride</t>
        </is>
      </c>
      <c r="N46" t="inlineStr">
        <is>
          <t>Chile</t>
        </is>
      </c>
      <c r="P46" t="inlineStr">
        <is>
          <t>ASME A112.19.1 Compliant</t>
        </is>
      </c>
      <c r="T46" t="inlineStr">
        <is>
          <t>Felt</t>
        </is>
      </c>
      <c r="U46" t="inlineStr">
        <is>
          <t>Aloewood</t>
        </is>
      </c>
      <c r="AG46" t="inlineStr">
        <is>
          <t>Medium Yellow Wood</t>
        </is>
      </c>
      <c r="BJ46" t="inlineStr">
        <is>
          <t>Aloewood</t>
        </is>
      </c>
      <c r="BR46" t="inlineStr">
        <is>
          <t>When cushions are wet, open cushion zippers and prop up to dry in order to maintain quality</t>
        </is>
      </c>
      <c r="BT46" t="inlineStr">
        <is>
          <t>Medium Yellow Wood</t>
        </is>
      </c>
      <c r="CS46" t="inlineStr">
        <is>
          <t>Stud Finder</t>
        </is>
      </c>
      <c r="CX46" t="inlineStr">
        <is>
          <t>Copper</t>
        </is>
      </c>
      <c r="DS46" t="inlineStr">
        <is>
          <t>When cushions are wet, open cushion zippers and prop up to dry in order to maintain quality</t>
        </is>
      </c>
      <c r="DW46" t="inlineStr">
        <is>
          <t>Brushed Brass</t>
        </is>
      </c>
      <c r="DX46" t="inlineStr">
        <is>
          <t>Aloewood</t>
        </is>
      </c>
      <c r="EX46" t="inlineStr">
        <is>
          <t>Stud Finder</t>
        </is>
      </c>
      <c r="FK46" t="inlineStr">
        <is>
          <t>Aloewood</t>
        </is>
      </c>
      <c r="FL46" t="inlineStr">
        <is>
          <t>When cushions are wet, open cushion zippers and prop up to dry in order to maintain quality</t>
        </is>
      </c>
      <c r="GD46" t="inlineStr">
        <is>
          <t>Stud Finder</t>
        </is>
      </c>
      <c r="GT46" t="inlineStr">
        <is>
          <t>Aloewood</t>
        </is>
      </c>
      <c r="IH46" t="inlineStr">
        <is>
          <t>Stud Finder</t>
        </is>
      </c>
    </row>
    <row r="47">
      <c r="L47" t="inlineStr">
        <is>
          <t>o-Anisidine</t>
        </is>
      </c>
      <c r="N47" t="inlineStr">
        <is>
          <t>China</t>
        </is>
      </c>
      <c r="P47" t="inlineStr">
        <is>
          <t>ASME A112.19.2 Compliant</t>
        </is>
      </c>
      <c r="T47" t="inlineStr">
        <is>
          <t>Denim</t>
        </is>
      </c>
      <c r="U47" t="inlineStr">
        <is>
          <t>Lignum vitae</t>
        </is>
      </c>
      <c r="AG47" t="inlineStr">
        <is>
          <t>Espresso Wood</t>
        </is>
      </c>
      <c r="BJ47" t="inlineStr">
        <is>
          <t>Lignum vitae</t>
        </is>
      </c>
      <c r="BR47" t="inlineStr">
        <is>
          <t>Oil 1-2 times per year</t>
        </is>
      </c>
      <c r="BT47" t="inlineStr">
        <is>
          <t>Espresso Wood</t>
        </is>
      </c>
      <c r="CS47" t="inlineStr">
        <is>
          <t>Wrench</t>
        </is>
      </c>
      <c r="CX47" t="inlineStr">
        <is>
          <t>Canvas</t>
        </is>
      </c>
      <c r="DS47" t="inlineStr">
        <is>
          <t>Oil 1-2 times per year</t>
        </is>
      </c>
      <c r="DW47" t="inlineStr">
        <is>
          <t>Polished Chrome</t>
        </is>
      </c>
      <c r="DX47" t="inlineStr">
        <is>
          <t>Lignum vitae</t>
        </is>
      </c>
      <c r="EX47" t="inlineStr">
        <is>
          <t>Wrench</t>
        </is>
      </c>
      <c r="FK47" t="inlineStr">
        <is>
          <t>Lignum vitae</t>
        </is>
      </c>
      <c r="FL47" t="inlineStr">
        <is>
          <t>Oil 1-2 times per year</t>
        </is>
      </c>
      <c r="GD47" t="inlineStr">
        <is>
          <t>Wrench</t>
        </is>
      </c>
      <c r="GT47" t="inlineStr">
        <is>
          <t>Lignum vitae</t>
        </is>
      </c>
      <c r="IH47" t="inlineStr">
        <is>
          <t>Wrench</t>
        </is>
      </c>
    </row>
    <row r="48">
      <c r="L48" t="inlineStr">
        <is>
          <t>o-Anisidine hydrochloride</t>
        </is>
      </c>
      <c r="N48" t="inlineStr">
        <is>
          <t>Christmas Island</t>
        </is>
      </c>
      <c r="P48" t="inlineStr">
        <is>
          <t>ASME A112.19.3 Compliant</t>
        </is>
      </c>
      <c r="T48" t="inlineStr">
        <is>
          <t>Clay</t>
        </is>
      </c>
      <c r="U48" t="inlineStr">
        <is>
          <t>Mahogany, African</t>
        </is>
      </c>
      <c r="AG48" t="inlineStr">
        <is>
          <t>Medium Wood</t>
        </is>
      </c>
      <c r="BJ48" t="inlineStr">
        <is>
          <t>Mahogany, African</t>
        </is>
      </c>
      <c r="BR48" t="inlineStr">
        <is>
          <t>No washing / drying care</t>
        </is>
      </c>
      <c r="BT48" t="inlineStr">
        <is>
          <t>Medium Wood</t>
        </is>
      </c>
      <c r="CS48" t="inlineStr">
        <is>
          <t>Tape Measure</t>
        </is>
      </c>
      <c r="CX48" t="inlineStr">
        <is>
          <t>Wicker / Rattan</t>
        </is>
      </c>
      <c r="DS48" t="inlineStr">
        <is>
          <t>No washing / drying care</t>
        </is>
      </c>
      <c r="DW48" t="inlineStr">
        <is>
          <t>Gray</t>
        </is>
      </c>
      <c r="DX48" t="inlineStr">
        <is>
          <t>Mahogany, African</t>
        </is>
      </c>
      <c r="EX48" t="inlineStr">
        <is>
          <t>Tape Measure</t>
        </is>
      </c>
      <c r="FK48" t="inlineStr">
        <is>
          <t>Mahogany, African</t>
        </is>
      </c>
      <c r="FL48" t="inlineStr">
        <is>
          <t>No washing / drying care</t>
        </is>
      </c>
      <c r="GD48" t="inlineStr">
        <is>
          <t>Tape Measure</t>
        </is>
      </c>
      <c r="GT48" t="inlineStr">
        <is>
          <t>Mahogany, African</t>
        </is>
      </c>
      <c r="IH48" t="inlineStr">
        <is>
          <t>Tape Measure</t>
        </is>
      </c>
    </row>
    <row r="49">
      <c r="L49" t="inlineStr">
        <is>
          <t>Anisindione</t>
        </is>
      </c>
      <c r="N49" t="inlineStr">
        <is>
          <t>Cocos (Keeling) Islands</t>
        </is>
      </c>
      <c r="P49" t="inlineStr">
        <is>
          <t>ASP:02:01 Certification</t>
        </is>
      </c>
      <c r="T49" t="inlineStr">
        <is>
          <t>Gel</t>
        </is>
      </c>
      <c r="U49" t="inlineStr">
        <is>
          <t>Mahogany, Mexican</t>
        </is>
      </c>
      <c r="AG49" t="inlineStr">
        <is>
          <t>Red Wood</t>
        </is>
      </c>
      <c r="BJ49" t="inlineStr">
        <is>
          <t>Mahogany, Mexican</t>
        </is>
      </c>
      <c r="BR49" t="inlineStr">
        <is>
          <t>Do not bleach</t>
        </is>
      </c>
      <c r="BT49" t="inlineStr">
        <is>
          <t>Red Wood</t>
        </is>
      </c>
      <c r="CS49" t="inlineStr">
        <is>
          <t>Screws</t>
        </is>
      </c>
      <c r="CX49" t="inlineStr">
        <is>
          <t>Cork</t>
        </is>
      </c>
      <c r="DS49" t="inlineStr">
        <is>
          <t>Do not bleach</t>
        </is>
      </c>
      <c r="DW49" t="inlineStr">
        <is>
          <t>Gray Wood</t>
        </is>
      </c>
      <c r="DX49" t="inlineStr">
        <is>
          <t>Mahogany, Mexican</t>
        </is>
      </c>
      <c r="EX49" t="inlineStr">
        <is>
          <t>Screws</t>
        </is>
      </c>
      <c r="FK49" t="inlineStr">
        <is>
          <t>Mahogany, Mexican</t>
        </is>
      </c>
      <c r="FL49" t="inlineStr">
        <is>
          <t>Do not bleach</t>
        </is>
      </c>
      <c r="GD49" t="inlineStr">
        <is>
          <t>Screws</t>
        </is>
      </c>
      <c r="GT49" t="inlineStr">
        <is>
          <t>Mahogany, Mexican</t>
        </is>
      </c>
      <c r="IH49" t="inlineStr">
        <is>
          <t>Screws</t>
        </is>
      </c>
    </row>
    <row r="50">
      <c r="L50" t="inlineStr">
        <is>
          <t>Anthraquinone</t>
        </is>
      </c>
      <c r="N50" t="inlineStr">
        <is>
          <t>Colombia</t>
        </is>
      </c>
      <c r="P50" t="inlineStr">
        <is>
          <t>ASSE 1001 Certified</t>
        </is>
      </c>
      <c r="T50" t="inlineStr">
        <is>
          <t>Coir</t>
        </is>
      </c>
      <c r="U50" t="inlineStr">
        <is>
          <t>Padauk, African</t>
        </is>
      </c>
      <c r="AG50" t="inlineStr">
        <is>
          <t>Beige Wood</t>
        </is>
      </c>
      <c r="BJ50" t="inlineStr">
        <is>
          <t>Padauk, African</t>
        </is>
      </c>
      <c r="BR50" t="inlineStr">
        <is>
          <t>Treat with wood protector</t>
        </is>
      </c>
      <c r="BT50" t="inlineStr">
        <is>
          <t>Beige Wood</t>
        </is>
      </c>
      <c r="CS50" t="inlineStr">
        <is>
          <t>Wire Cap</t>
        </is>
      </c>
      <c r="CX50" t="inlineStr">
        <is>
          <t>Bone</t>
        </is>
      </c>
      <c r="DS50" t="inlineStr">
        <is>
          <t>Treat with wood protector</t>
        </is>
      </c>
      <c r="DW50" t="inlineStr">
        <is>
          <t>Satin Nickel</t>
        </is>
      </c>
      <c r="DX50" t="inlineStr">
        <is>
          <t>Padauk, African</t>
        </is>
      </c>
      <c r="EX50" t="inlineStr">
        <is>
          <t>Wire Cap</t>
        </is>
      </c>
      <c r="FK50" t="inlineStr">
        <is>
          <t>Padauk, African</t>
        </is>
      </c>
      <c r="FL50" t="inlineStr">
        <is>
          <t>Treat with wood protector</t>
        </is>
      </c>
      <c r="GD50" t="inlineStr">
        <is>
          <t>Wire Cap</t>
        </is>
      </c>
      <c r="GT50" t="inlineStr">
        <is>
          <t>Padauk, African</t>
        </is>
      </c>
      <c r="IH50" t="inlineStr">
        <is>
          <t>Wire Cap</t>
        </is>
      </c>
    </row>
    <row r="51">
      <c r="L51" t="inlineStr">
        <is>
          <t>Antimony oxide (Antimony trioxide)</t>
        </is>
      </c>
      <c r="N51" t="inlineStr">
        <is>
          <t>Comoros</t>
        </is>
      </c>
      <c r="P51" t="inlineStr">
        <is>
          <t>ASSE 1006 Certified</t>
        </is>
      </c>
      <c r="T51" t="inlineStr">
        <is>
          <t>Cardboard</t>
        </is>
      </c>
      <c r="U51" t="inlineStr">
        <is>
          <t>Macacauba</t>
        </is>
      </c>
      <c r="AG51" t="inlineStr">
        <is>
          <t>Natural Wood</t>
        </is>
      </c>
      <c r="BJ51" t="inlineStr">
        <is>
          <t>Macacauba</t>
        </is>
      </c>
      <c r="BR51" t="inlineStr">
        <is>
          <t>Do not dry clean</t>
        </is>
      </c>
      <c r="BT51" t="inlineStr">
        <is>
          <t>Natural Wood</t>
        </is>
      </c>
      <c r="CS51" t="inlineStr">
        <is>
          <t>Hammer / Mallet</t>
        </is>
      </c>
      <c r="CX51" t="inlineStr">
        <is>
          <t>Seagrass</t>
        </is>
      </c>
      <c r="DS51" t="inlineStr">
        <is>
          <t>Do not dry clean</t>
        </is>
      </c>
      <c r="DW51" t="inlineStr">
        <is>
          <t>Beige Wood</t>
        </is>
      </c>
      <c r="DX51" t="inlineStr">
        <is>
          <t>Macacauba</t>
        </is>
      </c>
      <c r="EX51" t="inlineStr">
        <is>
          <t>Hammer / Mallet</t>
        </is>
      </c>
      <c r="FK51" t="inlineStr">
        <is>
          <t>Macacauba</t>
        </is>
      </c>
      <c r="FL51" t="inlineStr">
        <is>
          <t>Do not dry clean</t>
        </is>
      </c>
      <c r="GD51" t="inlineStr">
        <is>
          <t>Hammer / Mallet</t>
        </is>
      </c>
      <c r="GT51" t="inlineStr">
        <is>
          <t>Macacauba</t>
        </is>
      </c>
      <c r="IH51" t="inlineStr">
        <is>
          <t>Hammer / Mallet</t>
        </is>
      </c>
    </row>
    <row r="52">
      <c r="L52" t="inlineStr">
        <is>
          <t>Aramite</t>
        </is>
      </c>
      <c r="N52" t="inlineStr">
        <is>
          <t>Congo</t>
        </is>
      </c>
      <c r="P52" t="inlineStr">
        <is>
          <t>ASSE 1016 Certified</t>
        </is>
      </c>
      <c r="T52" t="inlineStr">
        <is>
          <t>Leather</t>
        </is>
      </c>
      <c r="U52" t="inlineStr">
        <is>
          <t>Ebony, Madagascar</t>
        </is>
      </c>
      <c r="AG52" t="inlineStr">
        <is>
          <t>Gray Wood</t>
        </is>
      </c>
      <c r="BJ52" t="inlineStr">
        <is>
          <t>Ebony, Madagascar</t>
        </is>
      </c>
      <c r="BR52" t="inlineStr">
        <is>
          <t>Clean with diluted vinegar and water</t>
        </is>
      </c>
      <c r="BT52" t="inlineStr">
        <is>
          <t>Gray Wood</t>
        </is>
      </c>
      <c r="CS52" t="inlineStr">
        <is>
          <t>Chalk Line</t>
        </is>
      </c>
      <c r="CX52" t="inlineStr">
        <is>
          <t>Rattan</t>
        </is>
      </c>
      <c r="DS52" t="inlineStr">
        <is>
          <t>Clean with diluted vinegar and water</t>
        </is>
      </c>
      <c r="DW52" t="inlineStr">
        <is>
          <t>Natural Wood</t>
        </is>
      </c>
      <c r="DX52" t="inlineStr">
        <is>
          <t>Ebony, Madagascar</t>
        </is>
      </c>
      <c r="EX52" t="inlineStr">
        <is>
          <t>Chalk Line</t>
        </is>
      </c>
      <c r="FK52" t="inlineStr">
        <is>
          <t>Ebony, Madagascar</t>
        </is>
      </c>
      <c r="FL52" t="inlineStr">
        <is>
          <t>Clean with diluted vinegar and water</t>
        </is>
      </c>
      <c r="GD52" t="inlineStr">
        <is>
          <t>Chalk Line</t>
        </is>
      </c>
      <c r="GT52" t="inlineStr">
        <is>
          <t>Ebony, Madagascar</t>
        </is>
      </c>
      <c r="IH52" t="inlineStr">
        <is>
          <t>Chalk Line</t>
        </is>
      </c>
    </row>
    <row r="53">
      <c r="L53" t="inlineStr">
        <is>
          <t>Areca nut</t>
        </is>
      </c>
      <c r="N53" t="inlineStr">
        <is>
          <t>Congo, The Democratic Republic of the</t>
        </is>
      </c>
      <c r="P53" t="inlineStr">
        <is>
          <t>ASTM 1821-19</t>
        </is>
      </c>
      <c r="T53" t="inlineStr">
        <is>
          <t>Cashmere</t>
        </is>
      </c>
      <c r="U53" t="inlineStr">
        <is>
          <t>Lignum vitae, Argentine</t>
        </is>
      </c>
      <c r="AG53" t="inlineStr">
        <is>
          <t>Light Yellow Wood</t>
        </is>
      </c>
      <c r="BJ53" t="inlineStr">
        <is>
          <t>Lignum vitae, Argentine</t>
        </is>
      </c>
      <c r="BR53" t="inlineStr">
        <is>
          <t>Store indoors or cover when not in use</t>
        </is>
      </c>
      <c r="BT53" t="inlineStr">
        <is>
          <t>Light Yellow Wood</t>
        </is>
      </c>
      <c r="CS53" t="inlineStr">
        <is>
          <t>Landscaping Fabric</t>
        </is>
      </c>
      <c r="CX53" t="inlineStr">
        <is>
          <t>Galvanized Steel</t>
        </is>
      </c>
      <c r="DS53" t="inlineStr">
        <is>
          <t>Store indoors or cover when not in use</t>
        </is>
      </c>
      <c r="DW53" t="inlineStr">
        <is>
          <t>Copper</t>
        </is>
      </c>
      <c r="DX53" t="inlineStr">
        <is>
          <t>Lignum vitae, Argentine</t>
        </is>
      </c>
      <c r="EX53" t="inlineStr">
        <is>
          <t>Landscaping Fabric</t>
        </is>
      </c>
      <c r="FK53" t="inlineStr">
        <is>
          <t>Lignum vitae, Argentine</t>
        </is>
      </c>
      <c r="FL53" t="inlineStr">
        <is>
          <t>Store indoors or cover when not in use</t>
        </is>
      </c>
      <c r="GD53" t="inlineStr">
        <is>
          <t>Landscaping Fabric</t>
        </is>
      </c>
      <c r="GT53" t="inlineStr">
        <is>
          <t>Lignum vitae, Argentine</t>
        </is>
      </c>
      <c r="IH53" t="inlineStr">
        <is>
          <t>Landscaping Fabric</t>
        </is>
      </c>
    </row>
    <row r="54">
      <c r="L54" t="inlineStr">
        <is>
          <t>Aristolochic acids</t>
        </is>
      </c>
      <c r="N54" t="inlineStr">
        <is>
          <t>Cook Islands</t>
        </is>
      </c>
      <c r="P54" t="inlineStr">
        <is>
          <t>ASTM E1590-07 Compliant</t>
        </is>
      </c>
      <c r="T54" t="inlineStr">
        <is>
          <t>Galvanized Steel</t>
        </is>
      </c>
      <c r="U54" t="inlineStr">
        <is>
          <t>Gavilan</t>
        </is>
      </c>
      <c r="AG54" t="inlineStr">
        <is>
          <t>White Wood</t>
        </is>
      </c>
      <c r="BJ54" t="inlineStr">
        <is>
          <t>Gavilan</t>
        </is>
      </c>
      <c r="BR54" t="inlineStr">
        <is>
          <t>Use carpet cleaner</t>
        </is>
      </c>
      <c r="BT54" t="inlineStr">
        <is>
          <t>White Wood</t>
        </is>
      </c>
      <c r="CS54" t="inlineStr">
        <is>
          <t>No Tools Needed</t>
        </is>
      </c>
      <c r="CX54" t="inlineStr">
        <is>
          <t>Reclaimed Wood</t>
        </is>
      </c>
      <c r="DS54" t="inlineStr">
        <is>
          <t>Use carpet cleaner</t>
        </is>
      </c>
      <c r="DW54" t="inlineStr">
        <is>
          <t>Antique Copper</t>
        </is>
      </c>
      <c r="DX54" t="inlineStr">
        <is>
          <t>Gavilan</t>
        </is>
      </c>
      <c r="EX54" t="inlineStr">
        <is>
          <t>No Tools Needed</t>
        </is>
      </c>
      <c r="FK54" t="inlineStr">
        <is>
          <t>Gavilan</t>
        </is>
      </c>
      <c r="FL54" t="inlineStr">
        <is>
          <t>Use carpet cleaner</t>
        </is>
      </c>
      <c r="GD54" t="inlineStr">
        <is>
          <t>No Tools Needed</t>
        </is>
      </c>
      <c r="GT54" t="inlineStr">
        <is>
          <t>Gavilan</t>
        </is>
      </c>
      <c r="IH54" t="inlineStr">
        <is>
          <t>No Tools Needed</t>
        </is>
      </c>
    </row>
    <row r="55">
      <c r="L55" t="inlineStr">
        <is>
          <t>Arsenic (inorganic arsenic compounds)</t>
        </is>
      </c>
      <c r="N55" t="inlineStr">
        <is>
          <t>Costa Rica</t>
        </is>
      </c>
      <c r="P55" t="inlineStr">
        <is>
          <t>ASTM F1004-19 Certified</t>
        </is>
      </c>
      <c r="T55" t="inlineStr">
        <is>
          <t>Hemp</t>
        </is>
      </c>
      <c r="U55" t="inlineStr">
        <is>
          <t>Mahogany, Honduran</t>
        </is>
      </c>
      <c r="AG55" t="inlineStr">
        <is>
          <t>Oak Wood</t>
        </is>
      </c>
      <c r="BJ55" t="inlineStr">
        <is>
          <t>Mahogany, Honduran</t>
        </is>
      </c>
      <c r="BR55" t="inlineStr">
        <is>
          <t>Air dry cushions covers</t>
        </is>
      </c>
      <c r="BT55" t="inlineStr">
        <is>
          <t>Oak Wood</t>
        </is>
      </c>
      <c r="CS55" t="inlineStr">
        <is>
          <t>Tile Cutter</t>
        </is>
      </c>
      <c r="CX55" t="inlineStr">
        <is>
          <t>Unavailable</t>
        </is>
      </c>
      <c r="DS55" t="inlineStr">
        <is>
          <t>Air dry cushions covers</t>
        </is>
      </c>
      <c r="DW55" t="inlineStr">
        <is>
          <t>Antique Bronze</t>
        </is>
      </c>
      <c r="DX55" t="inlineStr">
        <is>
          <t>Mahogany, Honduran</t>
        </is>
      </c>
      <c r="EX55" t="inlineStr">
        <is>
          <t>Tile Cutter</t>
        </is>
      </c>
      <c r="FK55" t="inlineStr">
        <is>
          <t>Mahogany, Honduran</t>
        </is>
      </c>
      <c r="FL55" t="inlineStr">
        <is>
          <t>Air dry cushions covers</t>
        </is>
      </c>
      <c r="GD55" t="inlineStr">
        <is>
          <t>Tile Cutter</t>
        </is>
      </c>
      <c r="GT55" t="inlineStr">
        <is>
          <t>Mahogany, Honduran</t>
        </is>
      </c>
      <c r="IH55" t="inlineStr">
        <is>
          <t>Tile Cutter</t>
        </is>
      </c>
    </row>
    <row r="56">
      <c r="L56" t="inlineStr">
        <is>
          <t>Arsenic (inorganic oxides)</t>
        </is>
      </c>
      <c r="N56" t="inlineStr">
        <is>
          <t>Côte D'Ivoire</t>
        </is>
      </c>
      <c r="P56" t="inlineStr">
        <is>
          <t>ASTM F1148-17 Compliant</t>
        </is>
      </c>
      <c r="T56" t="inlineStr">
        <is>
          <t>Fireclay</t>
        </is>
      </c>
      <c r="U56" t="inlineStr">
        <is>
          <t>Mahogany, Cuban</t>
        </is>
      </c>
      <c r="BJ56" t="inlineStr">
        <is>
          <t>Mahogany, Cuban</t>
        </is>
      </c>
      <c r="BR56" t="inlineStr">
        <is>
          <t>Do not use bleach or bleach solutions</t>
        </is>
      </c>
      <c r="CS56" t="inlineStr">
        <is>
          <t>Straight Edge</t>
        </is>
      </c>
      <c r="CX56" t="inlineStr">
        <is>
          <t>Does Not Apply</t>
        </is>
      </c>
      <c r="DS56" t="inlineStr">
        <is>
          <t>Do not use bleach or bleach solutions</t>
        </is>
      </c>
      <c r="DX56" t="inlineStr">
        <is>
          <t>Mahogany, Cuban</t>
        </is>
      </c>
      <c r="EX56" t="inlineStr">
        <is>
          <t>Straight Edge</t>
        </is>
      </c>
      <c r="FK56" t="inlineStr">
        <is>
          <t>Mahogany, Cuban</t>
        </is>
      </c>
      <c r="FL56" t="inlineStr">
        <is>
          <t>Do not use bleach or bleach solutions</t>
        </is>
      </c>
      <c r="GD56" t="inlineStr">
        <is>
          <t>Straight Edge</t>
        </is>
      </c>
      <c r="GT56" t="inlineStr">
        <is>
          <t>Mahogany, Cuban</t>
        </is>
      </c>
      <c r="IH56" t="inlineStr">
        <is>
          <t>Straight Edge</t>
        </is>
      </c>
    </row>
    <row r="57">
      <c r="L57" t="inlineStr">
        <is>
          <t>Asbestos</t>
        </is>
      </c>
      <c r="N57" t="inlineStr">
        <is>
          <t>Croatia</t>
        </is>
      </c>
      <c r="P57" t="inlineStr">
        <is>
          <t>ASTM F1148-18 Compliant</t>
        </is>
      </c>
      <c r="T57" t="inlineStr">
        <is>
          <t>Anodized Aluminum</t>
        </is>
      </c>
      <c r="U57" t="inlineStr">
        <is>
          <t>Stinkwood, red</t>
        </is>
      </c>
      <c r="BJ57" t="inlineStr">
        <is>
          <t>Stinkwood, red</t>
        </is>
      </c>
      <c r="BR57" t="inlineStr">
        <is>
          <t>Rinse with water only</t>
        </is>
      </c>
      <c r="CS57" t="inlineStr">
        <is>
          <t>Silicone</t>
        </is>
      </c>
      <c r="DS57" t="inlineStr">
        <is>
          <t>Rinse with water only</t>
        </is>
      </c>
      <c r="DX57" t="inlineStr">
        <is>
          <t>Stinkwood, red</t>
        </is>
      </c>
      <c r="EX57" t="inlineStr">
        <is>
          <t>Silicone</t>
        </is>
      </c>
      <c r="FK57" t="inlineStr">
        <is>
          <t>Stinkwood, red</t>
        </is>
      </c>
      <c r="FL57" t="inlineStr">
        <is>
          <t>Rinse with water only</t>
        </is>
      </c>
      <c r="GD57" t="inlineStr">
        <is>
          <t>Silicone</t>
        </is>
      </c>
      <c r="GT57" t="inlineStr">
        <is>
          <t>Stinkwood, red</t>
        </is>
      </c>
      <c r="IH57" t="inlineStr">
        <is>
          <t>Silicone</t>
        </is>
      </c>
    </row>
    <row r="58">
      <c r="L58" t="inlineStr">
        <is>
          <t>Aspirin (NOTE: It is especially important not to use aspirin during the last three months of pregnancy, unless specifically directed to do so by a physician because it may cause problems in the unborn child or complications during delivery.)</t>
        </is>
      </c>
      <c r="N58" t="inlineStr">
        <is>
          <t>Cuba</t>
        </is>
      </c>
      <c r="P58" t="inlineStr">
        <is>
          <t>ASTM F1148-18 Certified</t>
        </is>
      </c>
      <c r="T58" t="inlineStr">
        <is>
          <t>Blended Fabric</t>
        </is>
      </c>
      <c r="U58" t="inlineStr">
        <is>
          <t>Yew, Chinese</t>
        </is>
      </c>
      <c r="BJ58" t="inlineStr">
        <is>
          <t>Yew, Chinese</t>
        </is>
      </c>
      <c r="BR58" t="inlineStr">
        <is>
          <t>Dishwasher safe removable parts</t>
        </is>
      </c>
      <c r="CS58" t="inlineStr">
        <is>
          <t>Wet Saw</t>
        </is>
      </c>
      <c r="DS58" t="inlineStr">
        <is>
          <t>Dishwasher safe removable parts</t>
        </is>
      </c>
      <c r="DX58" t="inlineStr">
        <is>
          <t>Yew, Chinese</t>
        </is>
      </c>
      <c r="EX58" t="inlineStr">
        <is>
          <t>Wet Saw</t>
        </is>
      </c>
      <c r="FK58" t="inlineStr">
        <is>
          <t>Yew, Chinese</t>
        </is>
      </c>
      <c r="FL58" t="inlineStr">
        <is>
          <t>Dishwasher safe removable parts</t>
        </is>
      </c>
      <c r="GD58" t="inlineStr">
        <is>
          <t>Wet Saw</t>
        </is>
      </c>
      <c r="GT58" t="inlineStr">
        <is>
          <t>Yew, Chinese</t>
        </is>
      </c>
      <c r="IH58" t="inlineStr">
        <is>
          <t>Wet Saw</t>
        </is>
      </c>
    </row>
    <row r="59">
      <c r="L59" t="inlineStr">
        <is>
          <t>Atenolol</t>
        </is>
      </c>
      <c r="N59" t="inlineStr">
        <is>
          <t>Cyprus</t>
        </is>
      </c>
      <c r="P59" t="inlineStr">
        <is>
          <t>ASTM F1169 - 13 Compliant</t>
        </is>
      </c>
      <c r="T59" t="inlineStr">
        <is>
          <t>Bamboo</t>
        </is>
      </c>
      <c r="U59" t="inlineStr">
        <is>
          <t>Pau rosa, Brazilian</t>
        </is>
      </c>
      <c r="BJ59" t="inlineStr">
        <is>
          <t>Pau rosa, Brazilian</t>
        </is>
      </c>
      <c r="BR59" t="inlineStr">
        <is>
          <t>Clean and re-seal with natural stone sealant</t>
        </is>
      </c>
      <c r="CS59" t="inlineStr">
        <is>
          <t>Torx Bit</t>
        </is>
      </c>
      <c r="DS59" t="inlineStr">
        <is>
          <t>Clean and re-seal with natural stone sealant</t>
        </is>
      </c>
      <c r="DX59" t="inlineStr">
        <is>
          <t>Pau rosa, Brazilian</t>
        </is>
      </c>
      <c r="EX59" t="inlineStr">
        <is>
          <t>Torx Bit</t>
        </is>
      </c>
      <c r="FK59" t="inlineStr">
        <is>
          <t>Pau rosa, Brazilian</t>
        </is>
      </c>
      <c r="FL59" t="inlineStr">
        <is>
          <t>Clean and re-seal with natural stone sealant</t>
        </is>
      </c>
      <c r="GD59" t="inlineStr">
        <is>
          <t>Torx Bit</t>
        </is>
      </c>
      <c r="GT59" t="inlineStr">
        <is>
          <t>Pau rosa, Brazilian</t>
        </is>
      </c>
      <c r="IH59" t="inlineStr">
        <is>
          <t>Torx Bit</t>
        </is>
      </c>
    </row>
    <row r="60">
      <c r="L60" t="inlineStr">
        <is>
          <t>Atrazine</t>
        </is>
      </c>
      <c r="N60" t="inlineStr">
        <is>
          <t>Czech Republic</t>
        </is>
      </c>
      <c r="P60" t="inlineStr">
        <is>
          <t>ASTM F1487-17 Compliant</t>
        </is>
      </c>
      <c r="T60" t="inlineStr">
        <is>
          <t>Brass</t>
        </is>
      </c>
      <c r="U60" t="inlineStr">
        <is>
          <t>Sandalwood, East African</t>
        </is>
      </c>
      <c r="BJ60" t="inlineStr">
        <is>
          <t>Sandalwood, East African</t>
        </is>
      </c>
      <c r="BR60" t="inlineStr">
        <is>
          <t>To prevent oil stains wipe with a damp cloth before using</t>
        </is>
      </c>
      <c r="CS60" t="inlineStr">
        <is>
          <t>Unavailable</t>
        </is>
      </c>
      <c r="DS60" t="inlineStr">
        <is>
          <t>To prevent oil stains wipe with a damp cloth before using</t>
        </is>
      </c>
      <c r="DX60" t="inlineStr">
        <is>
          <t>Sandalwood, East African</t>
        </is>
      </c>
      <c r="EX60" t="inlineStr">
        <is>
          <t>Unavailable</t>
        </is>
      </c>
      <c r="FK60" t="inlineStr">
        <is>
          <t>Sandalwood, East African</t>
        </is>
      </c>
      <c r="FL60" t="inlineStr">
        <is>
          <t>To prevent oil stains wipe with a damp cloth before using</t>
        </is>
      </c>
      <c r="GD60" t="inlineStr">
        <is>
          <t>Unavailable</t>
        </is>
      </c>
      <c r="GT60" t="inlineStr">
        <is>
          <t>Sandalwood, East African</t>
        </is>
      </c>
      <c r="IH60" t="inlineStr">
        <is>
          <t>Unavailable</t>
        </is>
      </c>
    </row>
    <row r="61">
      <c r="L61" t="inlineStr">
        <is>
          <t>Auramine</t>
        </is>
      </c>
      <c r="N61" t="inlineStr">
        <is>
          <t>Denmark</t>
        </is>
      </c>
      <c r="P61" t="inlineStr">
        <is>
          <t>ASTM F1821 - 16 Compliant</t>
        </is>
      </c>
      <c r="T61" t="inlineStr">
        <is>
          <t>Burlap</t>
        </is>
      </c>
      <c r="U61" t="inlineStr">
        <is>
          <t>Ramin</t>
        </is>
      </c>
      <c r="BJ61" t="inlineStr">
        <is>
          <t>Ramin</t>
        </is>
      </c>
      <c r="BR61" t="inlineStr">
        <is>
          <t>After cleaning, use sealant</t>
        </is>
      </c>
      <c r="CS61" t="inlineStr">
        <is>
          <t>Does Not Apply</t>
        </is>
      </c>
      <c r="DS61" t="inlineStr">
        <is>
          <t>After cleaning, use sealant</t>
        </is>
      </c>
      <c r="DX61" t="inlineStr">
        <is>
          <t>Ramin</t>
        </is>
      </c>
      <c r="EX61" t="inlineStr">
        <is>
          <t>Does Not Apply</t>
        </is>
      </c>
      <c r="FK61" t="inlineStr">
        <is>
          <t>Ramin</t>
        </is>
      </c>
      <c r="FL61" t="inlineStr">
        <is>
          <t>After cleaning, use sealant</t>
        </is>
      </c>
      <c r="GD61" t="inlineStr">
        <is>
          <t>Does Not Apply</t>
        </is>
      </c>
      <c r="GT61" t="inlineStr">
        <is>
          <t>Ramin</t>
        </is>
      </c>
      <c r="IH61" t="inlineStr">
        <is>
          <t>Does Not Apply</t>
        </is>
      </c>
    </row>
    <row r="62">
      <c r="L62" t="inlineStr">
        <is>
          <t>Auranofin</t>
        </is>
      </c>
      <c r="N62" t="inlineStr">
        <is>
          <t>Djibouti</t>
        </is>
      </c>
      <c r="P62" t="inlineStr">
        <is>
          <t>ASTM F1912-17 Compliant</t>
        </is>
      </c>
      <c r="T62" t="inlineStr">
        <is>
          <t>Ceramic</t>
        </is>
      </c>
      <c r="U62" t="inlineStr">
        <is>
          <t>Zitan</t>
        </is>
      </c>
      <c r="BJ62" t="inlineStr">
        <is>
          <t>Zitan</t>
        </is>
      </c>
      <c r="BR62" t="inlineStr">
        <is>
          <t>Apply oil to maintain color and prolong durability</t>
        </is>
      </c>
      <c r="DS62" t="inlineStr">
        <is>
          <t>Apply oil to maintain color and prolong durability</t>
        </is>
      </c>
      <c r="DX62" t="inlineStr">
        <is>
          <t>Zitan</t>
        </is>
      </c>
      <c r="FK62" t="inlineStr">
        <is>
          <t>Zitan</t>
        </is>
      </c>
      <c r="FL62" t="inlineStr">
        <is>
          <t>Apply oil to maintain color and prolong durability</t>
        </is>
      </c>
      <c r="GT62" t="inlineStr">
        <is>
          <t>Zitan</t>
        </is>
      </c>
    </row>
    <row r="63">
      <c r="L63" t="inlineStr">
        <is>
          <t>Avermectin B1 (Abamectin)</t>
        </is>
      </c>
      <c r="N63" t="inlineStr">
        <is>
          <t>Dominica</t>
        </is>
      </c>
      <c r="P63" t="inlineStr">
        <is>
          <t>ASTM F1917 - 12 Compliant</t>
        </is>
      </c>
      <c r="T63" t="inlineStr">
        <is>
          <t>Canvas</t>
        </is>
      </c>
      <c r="U63" t="inlineStr">
        <is>
          <t>Yew, Himalayan</t>
        </is>
      </c>
      <c r="BJ63" t="inlineStr">
        <is>
          <t>Yew, Himalayan</t>
        </is>
      </c>
      <c r="BR63" t="inlineStr">
        <is>
          <t>Vacuum</t>
        </is>
      </c>
      <c r="DS63" t="inlineStr">
        <is>
          <t>Vacuum</t>
        </is>
      </c>
      <c r="DX63" t="inlineStr">
        <is>
          <t>Yew, Himalayan</t>
        </is>
      </c>
      <c r="FK63" t="inlineStr">
        <is>
          <t>Yew, Himalayan</t>
        </is>
      </c>
      <c r="FL63" t="inlineStr">
        <is>
          <t>Vacuum</t>
        </is>
      </c>
      <c r="GT63" t="inlineStr">
        <is>
          <t>Yew, Himalayan</t>
        </is>
      </c>
    </row>
    <row r="64">
      <c r="L64" t="inlineStr">
        <is>
          <t>Azacitidine</t>
        </is>
      </c>
      <c r="N64" t="inlineStr">
        <is>
          <t>Dominican Republic</t>
        </is>
      </c>
      <c r="P64" t="inlineStr">
        <is>
          <t>ASTM F2057 - 14</t>
        </is>
      </c>
      <c r="T64" t="inlineStr">
        <is>
          <t>Composite</t>
        </is>
      </c>
      <c r="U64" t="inlineStr">
        <is>
          <t>Yew, Japanese</t>
        </is>
      </c>
      <c r="BJ64" t="inlineStr">
        <is>
          <t>Yew, Japanese</t>
        </is>
      </c>
      <c r="BR64" t="inlineStr">
        <is>
          <t>Avoid direct sunlight</t>
        </is>
      </c>
      <c r="DS64" t="inlineStr">
        <is>
          <t>Avoid direct sunlight</t>
        </is>
      </c>
      <c r="DX64" t="inlineStr">
        <is>
          <t>Yew, Japanese</t>
        </is>
      </c>
      <c r="FK64" t="inlineStr">
        <is>
          <t>Yew, Japanese</t>
        </is>
      </c>
      <c r="FL64" t="inlineStr">
        <is>
          <t>Avoid direct sunlight</t>
        </is>
      </c>
      <c r="GT64" t="inlineStr">
        <is>
          <t>Yew, Japanese</t>
        </is>
      </c>
    </row>
    <row r="65">
      <c r="L65" t="inlineStr">
        <is>
          <t>Azaserine</t>
        </is>
      </c>
      <c r="N65" t="inlineStr">
        <is>
          <t>Ecuador</t>
        </is>
      </c>
      <c r="P65" t="inlineStr">
        <is>
          <t>ASTM F2057 - 17</t>
        </is>
      </c>
      <c r="T65" t="inlineStr">
        <is>
          <t>Carbon Steel</t>
        </is>
      </c>
      <c r="U65" t="inlineStr">
        <is>
          <t>Rosewood, Siamese</t>
        </is>
      </c>
      <c r="BJ65" t="inlineStr">
        <is>
          <t>Rosewood, Siamese</t>
        </is>
      </c>
      <c r="BR65" t="inlineStr">
        <is>
          <t>Dry after use</t>
        </is>
      </c>
      <c r="DS65" t="inlineStr">
        <is>
          <t>Dry after use</t>
        </is>
      </c>
      <c r="DX65" t="inlineStr">
        <is>
          <t>Rosewood, Siamese</t>
        </is>
      </c>
      <c r="FK65" t="inlineStr">
        <is>
          <t>Rosewood, Siamese</t>
        </is>
      </c>
      <c r="FL65" t="inlineStr">
        <is>
          <t>Dry after use</t>
        </is>
      </c>
      <c r="GT65" t="inlineStr">
        <is>
          <t>Rosewood, Siamese</t>
        </is>
      </c>
    </row>
    <row r="66">
      <c r="L66" t="inlineStr">
        <is>
          <t>Azathioprine</t>
        </is>
      </c>
      <c r="N66" t="inlineStr">
        <is>
          <t>Egypt</t>
        </is>
      </c>
      <c r="P66" t="inlineStr">
        <is>
          <t>ASTM F2057 - 19 Certified</t>
        </is>
      </c>
      <c r="T66" t="inlineStr">
        <is>
          <t>Compressed Polyester</t>
        </is>
      </c>
      <c r="U66" t="inlineStr">
        <is>
          <t>Yew, Taiwan</t>
        </is>
      </c>
      <c r="BJ66" t="inlineStr">
        <is>
          <t>Yew, Taiwan</t>
        </is>
      </c>
      <c r="BR66" t="inlineStr">
        <is>
          <t>Use furniture pads</t>
        </is>
      </c>
      <c r="DS66" t="inlineStr">
        <is>
          <t>Use furniture pads</t>
        </is>
      </c>
      <c r="DX66" t="inlineStr">
        <is>
          <t>Yew, Taiwan</t>
        </is>
      </c>
      <c r="FK66" t="inlineStr">
        <is>
          <t>Yew, Taiwan</t>
        </is>
      </c>
      <c r="FL66" t="inlineStr">
        <is>
          <t>Use furniture pads</t>
        </is>
      </c>
      <c r="GT66" t="inlineStr">
        <is>
          <t>Yew, Taiwan</t>
        </is>
      </c>
    </row>
    <row r="67">
      <c r="L67" t="inlineStr">
        <is>
          <t>Azobenzene</t>
        </is>
      </c>
      <c r="N67" t="inlineStr">
        <is>
          <t>El Salvador</t>
        </is>
      </c>
      <c r="P67" t="inlineStr">
        <is>
          <t>ASTM F2085 - 12 Compliant</t>
        </is>
      </c>
      <c r="T67" t="inlineStr">
        <is>
          <t>Ceramic / Porcelain</t>
        </is>
      </c>
      <c r="U67" t="inlineStr">
        <is>
          <t>Burlwood</t>
        </is>
      </c>
      <c r="BJ67" t="inlineStr">
        <is>
          <t>Burlwood</t>
        </is>
      </c>
      <c r="BR67" t="inlineStr">
        <is>
          <t>Apply epoxy clear coat once per year</t>
        </is>
      </c>
      <c r="DS67" t="inlineStr">
        <is>
          <t>Apply epoxy clear coat once per year</t>
        </is>
      </c>
      <c r="DX67" t="inlineStr">
        <is>
          <t>Burlwood</t>
        </is>
      </c>
      <c r="FK67" t="inlineStr">
        <is>
          <t>Burlwood</t>
        </is>
      </c>
      <c r="FL67" t="inlineStr">
        <is>
          <t>Apply epoxy clear coat once per year</t>
        </is>
      </c>
      <c r="GT67" t="inlineStr">
        <is>
          <t>Burlwood</t>
        </is>
      </c>
    </row>
    <row r="68">
      <c r="L68" t="inlineStr">
        <is>
          <t>Barbiturates</t>
        </is>
      </c>
      <c r="N68" t="inlineStr">
        <is>
          <t>Equatorial Guinea</t>
        </is>
      </c>
      <c r="P68" t="inlineStr">
        <is>
          <t>ASTM F2088-15 Compliant</t>
        </is>
      </c>
      <c r="T68" t="inlineStr">
        <is>
          <t>Bone China</t>
        </is>
      </c>
      <c r="U68" t="inlineStr">
        <is>
          <t>Platane Wood</t>
        </is>
      </c>
      <c r="BJ68" t="inlineStr">
        <is>
          <t>Platane Wood</t>
        </is>
      </c>
      <c r="BR68" t="inlineStr">
        <is>
          <t>Clean with cloth, mild soap, and warm water</t>
        </is>
      </c>
      <c r="DS68" t="inlineStr">
        <is>
          <t>Clean with cloth, mild soap, and warm water</t>
        </is>
      </c>
      <c r="DX68" t="inlineStr">
        <is>
          <t>Platane Wood</t>
        </is>
      </c>
      <c r="FK68" t="inlineStr">
        <is>
          <t>Platane Wood</t>
        </is>
      </c>
      <c r="FL68" t="inlineStr">
        <is>
          <t>Clean with cloth, mild soap, and warm water</t>
        </is>
      </c>
      <c r="GT68" t="inlineStr">
        <is>
          <t>Platane Wood</t>
        </is>
      </c>
    </row>
    <row r="69">
      <c r="L69" t="inlineStr">
        <is>
          <t>Beclomethasone dipropionate</t>
        </is>
      </c>
      <c r="N69" t="inlineStr">
        <is>
          <t>Eritrea</t>
        </is>
      </c>
      <c r="P69" t="inlineStr">
        <is>
          <t>ASTM F2194 Compliant</t>
        </is>
      </c>
      <c r="T69" t="inlineStr">
        <is>
          <t>Cedar</t>
        </is>
      </c>
      <c r="U69" t="inlineStr">
        <is>
          <t>Sungkai</t>
        </is>
      </c>
      <c r="BJ69" t="inlineStr">
        <is>
          <t>Sungkai</t>
        </is>
      </c>
      <c r="BR69" t="inlineStr">
        <is>
          <t>Spot clean with mild detergent</t>
        </is>
      </c>
      <c r="DS69" t="inlineStr">
        <is>
          <t>Spot clean with mild detergent</t>
        </is>
      </c>
      <c r="DX69" t="inlineStr">
        <is>
          <t>Sungkai</t>
        </is>
      </c>
      <c r="FK69" t="inlineStr">
        <is>
          <t>Larch</t>
        </is>
      </c>
      <c r="FL69" t="inlineStr">
        <is>
          <t>Spot clean with mild detergent</t>
        </is>
      </c>
      <c r="GT69" t="inlineStr">
        <is>
          <t>Sungkai</t>
        </is>
      </c>
    </row>
    <row r="70">
      <c r="L70" t="inlineStr">
        <is>
          <t>Benomyl</t>
        </is>
      </c>
      <c r="N70" t="inlineStr">
        <is>
          <t>Estonia</t>
        </is>
      </c>
      <c r="P70" t="inlineStr">
        <is>
          <t>ASTM F2225-15 Compliant</t>
        </is>
      </c>
      <c r="T70" t="inlineStr">
        <is>
          <t>Concrete</t>
        </is>
      </c>
      <c r="U70" t="inlineStr">
        <is>
          <t>Does Not Apply</t>
        </is>
      </c>
      <c r="BJ70" t="inlineStr">
        <is>
          <t>Does Not Apply</t>
        </is>
      </c>
      <c r="BR70" t="inlineStr">
        <is>
          <t>Spot clean as needed</t>
        </is>
      </c>
      <c r="DS70" t="inlineStr">
        <is>
          <t>Spot clean as needed</t>
        </is>
      </c>
      <c r="DX70" t="inlineStr">
        <is>
          <t>Does Not Apply</t>
        </is>
      </c>
      <c r="FK70" t="inlineStr">
        <is>
          <t>Sungkai</t>
        </is>
      </c>
      <c r="FL70" t="inlineStr">
        <is>
          <t>Spot clean as needed</t>
        </is>
      </c>
      <c r="GT70" t="inlineStr">
        <is>
          <t>Does Not Apply</t>
        </is>
      </c>
    </row>
    <row r="71">
      <c r="L71" t="inlineStr">
        <is>
          <t>Benthiavalicarb-isopropyl</t>
        </is>
      </c>
      <c r="N71" t="inlineStr">
        <is>
          <t>Ethiopia</t>
        </is>
      </c>
      <c r="P71" t="inlineStr">
        <is>
          <t>ASTM F2388 - 18 Certified</t>
        </is>
      </c>
      <c r="T71" t="inlineStr">
        <is>
          <t>Cotton</t>
        </is>
      </c>
      <c r="BR71" t="inlineStr">
        <is>
          <t>Automatic</t>
        </is>
      </c>
      <c r="DS71" t="inlineStr">
        <is>
          <t>Automatic</t>
        </is>
      </c>
      <c r="FK71" t="inlineStr">
        <is>
          <t>Does Not Apply</t>
        </is>
      </c>
      <c r="FL71" t="inlineStr">
        <is>
          <t>Automatic</t>
        </is>
      </c>
    </row>
    <row r="72">
      <c r="L72" t="inlineStr">
        <is>
          <t>Benz[a]anthracene</t>
        </is>
      </c>
      <c r="N72" t="inlineStr">
        <is>
          <t>Falkland Islands (Malvinas)</t>
        </is>
      </c>
      <c r="P72" t="inlineStr">
        <is>
          <t>ASTM F2613 - 17 Compliant</t>
        </is>
      </c>
      <c r="T72" t="inlineStr">
        <is>
          <t>Earthenware</t>
        </is>
      </c>
      <c r="BR72" t="inlineStr">
        <is>
          <t>Hot water extraction</t>
        </is>
      </c>
      <c r="DS72" t="inlineStr">
        <is>
          <t>Hot water extraction</t>
        </is>
      </c>
      <c r="FL72" t="inlineStr">
        <is>
          <t>Hot water extraction</t>
        </is>
      </c>
    </row>
    <row r="73">
      <c r="L73" t="inlineStr">
        <is>
          <t>Benzene</t>
        </is>
      </c>
      <c r="N73" t="inlineStr">
        <is>
          <t>Faroe Islands</t>
        </is>
      </c>
      <c r="P73" t="inlineStr">
        <is>
          <t>ASTM F2729 - 18 Compliant</t>
        </is>
      </c>
      <c r="T73" t="inlineStr">
        <is>
          <t>Engineered Stone</t>
        </is>
      </c>
      <c r="BR73" t="inlineStr">
        <is>
          <t>Spot clean with dry cloth</t>
        </is>
      </c>
      <c r="DS73" t="inlineStr">
        <is>
          <t>Spot clean with dry cloth</t>
        </is>
      </c>
      <c r="FL73" t="inlineStr">
        <is>
          <t>Spot clean with dry cloth</t>
        </is>
      </c>
    </row>
    <row r="74">
      <c r="L74" t="inlineStr">
        <is>
          <t>Benzidine [and its salts]</t>
        </is>
      </c>
      <c r="N74" t="inlineStr">
        <is>
          <t>Fiji</t>
        </is>
      </c>
      <c r="P74" t="inlineStr">
        <is>
          <t>ASTM F2933-18 Compliant</t>
        </is>
      </c>
      <c r="T74" t="inlineStr">
        <is>
          <t>Concrete / Cement</t>
        </is>
      </c>
      <c r="BR74" t="inlineStr">
        <is>
          <t>Clean the product at least one time per month. We suggest the use of Rejuvenate by Watco</t>
        </is>
      </c>
      <c r="DS74" t="inlineStr">
        <is>
          <t>Clean the product at least one time per month. We suggest the use of Rejuvenate by Watco</t>
        </is>
      </c>
      <c r="FL74" t="inlineStr">
        <is>
          <t>Clean the product at least one time per month. We suggest the use of Rejuvenate by Watco</t>
        </is>
      </c>
    </row>
    <row r="75">
      <c r="L75" t="inlineStr">
        <is>
          <t>Benzidine-based dyes</t>
        </is>
      </c>
      <c r="N75" t="inlineStr">
        <is>
          <t>Finland</t>
        </is>
      </c>
      <c r="P75" t="inlineStr">
        <is>
          <t>ASTM F3084 - 16 Compliant</t>
        </is>
      </c>
      <c r="T75" t="inlineStr">
        <is>
          <t>Corrugated</t>
        </is>
      </c>
      <c r="BR75" t="inlineStr">
        <is>
          <t>Wash with warm water and soap</t>
        </is>
      </c>
      <c r="DS75" t="inlineStr">
        <is>
          <t>Wash with warm water and soap</t>
        </is>
      </c>
      <c r="FL75" t="inlineStr">
        <is>
          <t>Wash with warm water and soap</t>
        </is>
      </c>
    </row>
    <row r="76">
      <c r="L76" t="inlineStr">
        <is>
          <t>Benzodiazepines</t>
        </is>
      </c>
      <c r="N76" t="inlineStr">
        <is>
          <t>France</t>
        </is>
      </c>
      <c r="P76" t="inlineStr">
        <is>
          <t>ASTM F3096 - 14 Compliant</t>
        </is>
      </c>
      <c r="T76" t="inlineStr">
        <is>
          <t>Enamel / Lacquer</t>
        </is>
      </c>
      <c r="BR76" t="inlineStr">
        <is>
          <t>Regularly apply Teak oil</t>
        </is>
      </c>
      <c r="DS76" t="inlineStr">
        <is>
          <t>Regularly apply Teak oil</t>
        </is>
      </c>
      <c r="FL76" t="inlineStr">
        <is>
          <t>Regularly apply Teak oil</t>
        </is>
      </c>
    </row>
    <row r="77">
      <c r="L77" t="inlineStr">
        <is>
          <t>Benzo[b]fluoranthene</t>
        </is>
      </c>
      <c r="N77" t="inlineStr">
        <is>
          <t>French Guiana</t>
        </is>
      </c>
      <c r="P77" t="inlineStr">
        <is>
          <t>ASTM F3363-19 Compliant</t>
        </is>
      </c>
      <c r="T77" t="inlineStr">
        <is>
          <t>Cotton Blend</t>
        </is>
      </c>
      <c r="BR77" t="inlineStr">
        <is>
          <t>Do not microwave</t>
        </is>
      </c>
      <c r="DS77" t="inlineStr">
        <is>
          <t>Do not microwave</t>
        </is>
      </c>
      <c r="FL77" t="inlineStr">
        <is>
          <t>Do not microwave</t>
        </is>
      </c>
    </row>
    <row r="78">
      <c r="L78" t="inlineStr">
        <is>
          <t>Benzo[j]fluoranthene</t>
        </is>
      </c>
      <c r="N78" t="inlineStr">
        <is>
          <t>French Polynesia</t>
        </is>
      </c>
      <c r="P78" t="inlineStr">
        <is>
          <t>ASTM F381-16 Compliant</t>
        </is>
      </c>
      <c r="T78" t="inlineStr">
        <is>
          <t>Compressed Stone</t>
        </is>
      </c>
      <c r="BR78" t="inlineStr">
        <is>
          <t>Do not put in dishwasher</t>
        </is>
      </c>
      <c r="DS78" t="inlineStr">
        <is>
          <t>Do not put in dishwasher</t>
        </is>
      </c>
      <c r="FL78" t="inlineStr">
        <is>
          <t>Do not put in dishwasher</t>
        </is>
      </c>
    </row>
    <row r="79">
      <c r="L79" t="inlineStr">
        <is>
          <t>Benzo[k]fluoranthene</t>
        </is>
      </c>
      <c r="N79" t="inlineStr">
        <is>
          <t>French Southern Territories</t>
        </is>
      </c>
      <c r="P79" t="inlineStr">
        <is>
          <t>ASTM F406 - 10a Compliant</t>
        </is>
      </c>
      <c r="T79" t="inlineStr">
        <is>
          <t>Copper</t>
        </is>
      </c>
      <c r="BR79" t="inlineStr">
        <is>
          <t>Do not use harsh chemicals or cleaners</t>
        </is>
      </c>
      <c r="DS79" t="inlineStr">
        <is>
          <t>Do not use harsh chemicals or cleaners</t>
        </is>
      </c>
      <c r="FL79" t="inlineStr">
        <is>
          <t>Do not use harsh chemicals or cleaners</t>
        </is>
      </c>
    </row>
    <row r="80">
      <c r="L80" t="inlineStr">
        <is>
          <t>Benzofuran</t>
        </is>
      </c>
      <c r="N80" t="inlineStr">
        <is>
          <t>Gabon</t>
        </is>
      </c>
      <c r="P80" t="inlineStr">
        <is>
          <t>ASTM F406 - 15 Compliant</t>
        </is>
      </c>
      <c r="T80" t="inlineStr">
        <is>
          <t>Faux Leather</t>
        </is>
      </c>
      <c r="BR80" t="inlineStr">
        <is>
          <t>Do not use any cleaning agents</t>
        </is>
      </c>
      <c r="DS80" t="inlineStr">
        <is>
          <t>Do not use any cleaning agents</t>
        </is>
      </c>
      <c r="FL80" t="inlineStr">
        <is>
          <t>Do not use any cleaning agents</t>
        </is>
      </c>
    </row>
    <row r="81">
      <c r="L81" t="inlineStr">
        <is>
          <t>Benzophenone</t>
        </is>
      </c>
      <c r="N81" t="inlineStr">
        <is>
          <t>Gambia</t>
        </is>
      </c>
      <c r="P81" t="inlineStr">
        <is>
          <t>ASTM F406 - 17 Certified</t>
        </is>
      </c>
      <c r="T81" t="inlineStr">
        <is>
          <t>Fabric</t>
        </is>
      </c>
      <c r="BR81" t="inlineStr">
        <is>
          <t>Do not put removable parts in dishwasher</t>
        </is>
      </c>
      <c r="DS81" t="inlineStr">
        <is>
          <t>Do not put removable parts in dishwasher</t>
        </is>
      </c>
      <c r="FL81" t="inlineStr">
        <is>
          <t>Do not put removable parts in dishwasher</t>
        </is>
      </c>
    </row>
    <row r="82">
      <c r="L82" t="inlineStr">
        <is>
          <t>Benzo[a]pyrene</t>
        </is>
      </c>
      <c r="N82" t="inlineStr">
        <is>
          <t>Georgia</t>
        </is>
      </c>
      <c r="P82" t="inlineStr">
        <is>
          <t>ASTM F963 - 17 Certified</t>
        </is>
      </c>
      <c r="T82" t="inlineStr">
        <is>
          <t>Faux Sheepskin</t>
        </is>
      </c>
      <c r="BR82" t="inlineStr">
        <is>
          <t>Machine wash</t>
        </is>
      </c>
      <c r="DS82" t="inlineStr">
        <is>
          <t>Machine wash</t>
        </is>
      </c>
      <c r="FL82" t="inlineStr">
        <is>
          <t>Machine wash</t>
        </is>
      </c>
    </row>
    <row r="83">
      <c r="L83" t="inlineStr">
        <is>
          <t>Benzotrichloride</t>
        </is>
      </c>
      <c r="N83" t="inlineStr">
        <is>
          <t>Germany</t>
        </is>
      </c>
      <c r="P83" t="inlineStr">
        <is>
          <t>ASTM F963-11 Compliant</t>
        </is>
      </c>
      <c r="T83" t="inlineStr">
        <is>
          <t>Fiberstone</t>
        </is>
      </c>
      <c r="BR83" t="inlineStr">
        <is>
          <t>Hand dry</t>
        </is>
      </c>
      <c r="DS83" t="inlineStr">
        <is>
          <t>Hand dry</t>
        </is>
      </c>
      <c r="FL83" t="inlineStr">
        <is>
          <t>Hand dry</t>
        </is>
      </c>
    </row>
    <row r="84">
      <c r="L84" t="inlineStr">
        <is>
          <t>Benzphetamine hydrochloride</t>
        </is>
      </c>
      <c r="N84" t="inlineStr">
        <is>
          <t>Ghana</t>
        </is>
      </c>
      <c r="P84" t="inlineStr">
        <is>
          <t>ATA Rated</t>
        </is>
      </c>
      <c r="T84" t="inlineStr">
        <is>
          <t>Fine Silver</t>
        </is>
      </c>
      <c r="BR84" t="inlineStr">
        <is>
          <t>Dry clean recommended</t>
        </is>
      </c>
      <c r="DS84" t="inlineStr">
        <is>
          <t>Dry clean recommended</t>
        </is>
      </c>
      <c r="FL84" t="inlineStr">
        <is>
          <t>Dry clean recommended</t>
        </is>
      </c>
    </row>
    <row r="85">
      <c r="L85" t="inlineStr">
        <is>
          <t>Benzyl chloride</t>
        </is>
      </c>
      <c r="N85" t="inlineStr">
        <is>
          <t>Gibraltar</t>
        </is>
      </c>
      <c r="P85" t="inlineStr">
        <is>
          <t>BHFTI Upholstered Furniture Flammability Compliant</t>
        </is>
      </c>
      <c r="T85" t="inlineStr">
        <is>
          <t>Hard-Anodized Aluminum</t>
        </is>
      </c>
      <c r="BR85" t="inlineStr">
        <is>
          <t>Microwave safe</t>
        </is>
      </c>
      <c r="DS85" t="inlineStr">
        <is>
          <t>Microwave safe</t>
        </is>
      </c>
      <c r="FL85" t="inlineStr">
        <is>
          <t>Microwave safe</t>
        </is>
      </c>
    </row>
    <row r="86">
      <c r="L86" t="inlineStr">
        <is>
          <t>Benzyl violet 4B</t>
        </is>
      </c>
      <c r="N86" t="inlineStr">
        <is>
          <t>Greece</t>
        </is>
      </c>
      <c r="P86" t="inlineStr">
        <is>
          <t>BIFMA G1 Ergonomics Guideline for Furniture</t>
        </is>
      </c>
      <c r="T86" t="inlineStr">
        <is>
          <t>Granite</t>
        </is>
      </c>
      <c r="BR86" t="inlineStr">
        <is>
          <t>Spot clean insert</t>
        </is>
      </c>
      <c r="DS86" t="inlineStr">
        <is>
          <t>Spot clean insert</t>
        </is>
      </c>
      <c r="FL86" t="inlineStr">
        <is>
          <t>Spot clean insert</t>
        </is>
      </c>
    </row>
    <row r="87">
      <c r="L87" t="inlineStr">
        <is>
          <t>Beryllium and beryllium compounds</t>
        </is>
      </c>
      <c r="N87" t="inlineStr">
        <is>
          <t>Greenland</t>
        </is>
      </c>
      <c r="P87" t="inlineStr">
        <is>
          <t>BIFMA HCF 8.1 - Healthcare Furniture Design</t>
        </is>
      </c>
      <c r="T87" t="inlineStr">
        <is>
          <t>Heavy Gauge Wire</t>
        </is>
      </c>
      <c r="BR87" t="inlineStr">
        <is>
          <t>Spot clean only with water-based shampoo or foam upholstery cleaner</t>
        </is>
      </c>
      <c r="DS87" t="inlineStr">
        <is>
          <t>Spot clean only with water-based shampoo or foam upholstery cleaner</t>
        </is>
      </c>
      <c r="FL87" t="inlineStr">
        <is>
          <t>Spot clean only with water-based shampoo or foam upholstery cleaner</t>
        </is>
      </c>
    </row>
    <row r="88">
      <c r="L88" t="inlineStr">
        <is>
          <t>Betel quid with tobacco</t>
        </is>
      </c>
      <c r="N88" t="inlineStr">
        <is>
          <t>Grenada</t>
        </is>
      </c>
      <c r="P88" t="inlineStr">
        <is>
          <t>Blauer Engel</t>
        </is>
      </c>
      <c r="T88" t="inlineStr">
        <is>
          <t>Faux Fur</t>
        </is>
      </c>
      <c r="BR88" t="inlineStr">
        <is>
          <t>Run at least once a week to let water circulate</t>
        </is>
      </c>
      <c r="DS88" t="inlineStr">
        <is>
          <t>Run at least once a week to let water circulate</t>
        </is>
      </c>
      <c r="FL88" t="inlineStr">
        <is>
          <t>Run at least once a week to let water circulate</t>
        </is>
      </c>
    </row>
    <row r="89">
      <c r="L89" t="inlineStr">
        <is>
          <t>Betel quid without tobacco</t>
        </is>
      </c>
      <c r="N89" t="inlineStr">
        <is>
          <t>Guadeloupe</t>
        </is>
      </c>
      <c r="P89" t="inlineStr">
        <is>
          <t>BS 5287: 1988 Certified</t>
        </is>
      </c>
      <c r="T89" t="inlineStr">
        <is>
          <t>Faux Mohair</t>
        </is>
      </c>
      <c r="BR89" t="inlineStr">
        <is>
          <t>Use dry, solvent-based cleaner</t>
        </is>
      </c>
      <c r="DS89" t="inlineStr">
        <is>
          <t>Use dry, solvent-based cleaner</t>
        </is>
      </c>
      <c r="FL89" t="inlineStr">
        <is>
          <t>Use dry, solvent-based cleaner</t>
        </is>
      </c>
    </row>
    <row r="90">
      <c r="L90" t="inlineStr">
        <is>
          <t>2,2-Bis(bromomethyl)-1,3-propanediol</t>
        </is>
      </c>
      <c r="N90" t="inlineStr">
        <is>
          <t>Guam</t>
        </is>
      </c>
      <c r="P90" t="inlineStr">
        <is>
          <t>BS 5852 Certified</t>
        </is>
      </c>
      <c r="T90" t="inlineStr">
        <is>
          <t>Faux Cowhide</t>
        </is>
      </c>
      <c r="BR90" t="inlineStr">
        <is>
          <t>Steam clean</t>
        </is>
      </c>
      <c r="DS90" t="inlineStr">
        <is>
          <t>Steam clean</t>
        </is>
      </c>
      <c r="FL90" t="inlineStr">
        <is>
          <t>Steam clean</t>
        </is>
      </c>
    </row>
    <row r="91">
      <c r="L91" t="inlineStr">
        <is>
          <t>Bis(2-chloroethyl)ether</t>
        </is>
      </c>
      <c r="N91" t="inlineStr">
        <is>
          <t>Guatemala</t>
        </is>
      </c>
      <c r="P91" t="inlineStr">
        <is>
          <t>BS 5867-2:2008 Certified</t>
        </is>
      </c>
      <c r="T91" t="inlineStr">
        <is>
          <t>Iron</t>
        </is>
      </c>
      <c r="BR91" t="inlineStr">
        <is>
          <t>Wipe down with mild soap and water</t>
        </is>
      </c>
      <c r="DS91" t="inlineStr">
        <is>
          <t>Wipe down with mild soap and water</t>
        </is>
      </c>
      <c r="FL91" t="inlineStr">
        <is>
          <t>Wipe down with mild soap and water</t>
        </is>
      </c>
    </row>
    <row r="92">
      <c r="L92" t="inlineStr">
        <is>
          <t>N,N-Bis(2-chloroethyl)-2-naphthylamine  (Chlornapazine)</t>
        </is>
      </c>
      <c r="N92" t="inlineStr">
        <is>
          <t>Guernsey</t>
        </is>
      </c>
      <c r="P92" t="inlineStr">
        <is>
          <t>BS 7176: 2007 Certified</t>
        </is>
      </c>
      <c r="T92" t="inlineStr">
        <is>
          <t>High Leaded Crystal</t>
        </is>
      </c>
      <c r="BR92" t="inlineStr">
        <is>
          <t>Wipe with glass cleaner</t>
        </is>
      </c>
      <c r="DS92" t="inlineStr">
        <is>
          <t>Wipe with glass cleaner</t>
        </is>
      </c>
      <c r="FL92" t="inlineStr">
        <is>
          <t>Wipe with glass cleaner</t>
        </is>
      </c>
    </row>
    <row r="93">
      <c r="L93" t="inlineStr">
        <is>
          <t>Bischloroethyl nitrosourea (BCNU) (Carmustine)</t>
        </is>
      </c>
      <c r="N93" t="inlineStr">
        <is>
          <t>Guinea</t>
        </is>
      </c>
      <c r="P93" t="inlineStr">
        <is>
          <t>BS 7177:2008+A1:2011 Certified</t>
        </is>
      </c>
      <c r="T93" t="inlineStr">
        <is>
          <t>Marble</t>
        </is>
      </c>
      <c r="BR93" t="inlineStr">
        <is>
          <t>Wipe with cloth</t>
        </is>
      </c>
      <c r="DS93" t="inlineStr">
        <is>
          <t>Wipe with cloth</t>
        </is>
      </c>
      <c r="FL93" t="inlineStr">
        <is>
          <t>Wipe with cloth</t>
        </is>
      </c>
    </row>
    <row r="94">
      <c r="L94" t="inlineStr">
        <is>
          <t>Bis(chloromethyl)ether</t>
        </is>
      </c>
      <c r="N94" t="inlineStr">
        <is>
          <t>Guinea-Bissau</t>
        </is>
      </c>
      <c r="P94" t="inlineStr">
        <is>
          <t>BS EN 13120: 2009 + A1: 2014 (Requirements for Window Blinds or Drapery Cords) - EU ONLY</t>
        </is>
      </c>
      <c r="T94" t="inlineStr">
        <is>
          <t>Lead Crystal</t>
        </is>
      </c>
      <c r="BR94" t="inlineStr">
        <is>
          <t>Wipe with a lemon oil-based furniture polish</t>
        </is>
      </c>
      <c r="DS94" t="inlineStr">
        <is>
          <t>Wipe with a lemon oil-based furniture polish</t>
        </is>
      </c>
      <c r="FL94" t="inlineStr">
        <is>
          <t>Wipe with a lemon oil-based furniture polish</t>
        </is>
      </c>
    </row>
    <row r="95">
      <c r="L95" t="inlineStr">
        <is>
          <t>Bis(2-chloro-1-methylethyl)ether,  technical grade</t>
        </is>
      </c>
      <c r="N95" t="inlineStr">
        <is>
          <t>Guyana</t>
        </is>
      </c>
      <c r="P95" t="inlineStr">
        <is>
          <t>BS EN 716-1 Compliant - EU ONLY</t>
        </is>
      </c>
      <c r="T95" t="inlineStr">
        <is>
          <t>Ironstone</t>
        </is>
      </c>
      <c r="BR95" t="inlineStr">
        <is>
          <t>Wipe Clean Only</t>
        </is>
      </c>
      <c r="DS95" t="inlineStr">
        <is>
          <t>Wipe Clean Only</t>
        </is>
      </c>
      <c r="FL95" t="inlineStr">
        <is>
          <t>Wipe Clean Only</t>
        </is>
      </c>
    </row>
    <row r="96">
      <c r="L96" t="inlineStr">
        <is>
          <t>Bisphenol A (BPA)</t>
        </is>
      </c>
      <c r="N96" t="inlineStr">
        <is>
          <t>Haiti</t>
        </is>
      </c>
      <c r="P96" t="inlineStr">
        <is>
          <t>BS EN12790 Certified</t>
        </is>
      </c>
      <c r="T96" t="inlineStr">
        <is>
          <t>Leather / Faux Leather</t>
        </is>
      </c>
      <c r="BR96" t="inlineStr">
        <is>
          <t>Hand Wash Only - Towel Dry Immediately</t>
        </is>
      </c>
      <c r="DS96" t="inlineStr">
        <is>
          <t>Hand Wash Only - Towel Dry Immediately</t>
        </is>
      </c>
      <c r="FL96" t="inlineStr">
        <is>
          <t>Hand Wash Only - Towel Dry Immediately</t>
        </is>
      </c>
    </row>
    <row r="97">
      <c r="L97" t="inlineStr">
        <is>
          <t>Bitumens, extracts of steam-refined and air refined</t>
        </is>
      </c>
      <c r="N97" t="inlineStr">
        <is>
          <t>Heard Island and McDonald Islands</t>
        </is>
      </c>
      <c r="P97" t="inlineStr">
        <is>
          <t>CAL TB 116 Compliant</t>
        </is>
      </c>
      <c r="T97" t="inlineStr">
        <is>
          <t>Latex</t>
        </is>
      </c>
      <c r="BR97" t="inlineStr">
        <is>
          <t>Store flat when not in use to avoid warping</t>
        </is>
      </c>
      <c r="DS97" t="inlineStr">
        <is>
          <t>Store flat when not in use to avoid warping</t>
        </is>
      </c>
      <c r="FL97" t="inlineStr">
        <is>
          <t>Store flat when not in use to avoid warping</t>
        </is>
      </c>
    </row>
    <row r="98">
      <c r="L98" t="inlineStr">
        <is>
          <t>Bracken fern</t>
        </is>
      </c>
      <c r="N98" t="inlineStr">
        <is>
          <t>Holy See (Vatican City State)</t>
        </is>
      </c>
      <c r="P98" t="inlineStr">
        <is>
          <t>CAL TB 117-2013 Compliant</t>
        </is>
      </c>
      <c r="T98" t="inlineStr">
        <is>
          <t>Jute</t>
        </is>
      </c>
      <c r="BR98" t="inlineStr">
        <is>
          <t>Wipe clean with a damp cloth</t>
        </is>
      </c>
      <c r="DS98" t="inlineStr">
        <is>
          <t>Wipe clean with a damp cloth</t>
        </is>
      </c>
      <c r="FL98" t="inlineStr">
        <is>
          <t>Wipe clean with a damp cloth</t>
        </is>
      </c>
    </row>
    <row r="99">
      <c r="L99" t="inlineStr">
        <is>
          <t>Bromacil lithium salt</t>
        </is>
      </c>
      <c r="N99" t="inlineStr">
        <is>
          <t>Honduras</t>
        </is>
      </c>
      <c r="P99" t="inlineStr">
        <is>
          <t>CALGreen Compliant</t>
        </is>
      </c>
      <c r="T99" t="inlineStr">
        <is>
          <t>Lead Free Crystal</t>
        </is>
      </c>
      <c r="BR99" t="inlineStr">
        <is>
          <t>Machine wash on delicate with cold water</t>
        </is>
      </c>
      <c r="DS99" t="inlineStr">
        <is>
          <t>Machine wash on delicate with cold water</t>
        </is>
      </c>
      <c r="FL99" t="inlineStr">
        <is>
          <t>Machine wash on delicate with cold water</t>
        </is>
      </c>
    </row>
    <row r="100">
      <c r="L100" t="inlineStr">
        <is>
          <t>Bromate</t>
        </is>
      </c>
      <c r="N100" t="inlineStr">
        <is>
          <t>Hong Kong</t>
        </is>
      </c>
      <c r="P100" t="inlineStr">
        <is>
          <t>California AB 1953 Compliant</t>
        </is>
      </c>
      <c r="T100" t="inlineStr">
        <is>
          <t>Lace</t>
        </is>
      </c>
      <c r="BR100" t="inlineStr">
        <is>
          <t>Does Not Apply</t>
        </is>
      </c>
      <c r="DS100" t="inlineStr">
        <is>
          <t>Does Not Apply</t>
        </is>
      </c>
      <c r="FL100" t="inlineStr">
        <is>
          <t>Does Not Apply</t>
        </is>
      </c>
    </row>
    <row r="101">
      <c r="L101" t="inlineStr">
        <is>
          <t>Bromochloroacetic acid</t>
        </is>
      </c>
      <c r="N101" t="inlineStr">
        <is>
          <t>Hungary</t>
        </is>
      </c>
      <c r="P101" t="inlineStr">
        <is>
          <t>CAN C22.2 No. 3 - Electrical Components of Fuel Burning Equipment</t>
        </is>
      </c>
      <c r="T101" t="inlineStr">
        <is>
          <t>Jute / Sisal</t>
        </is>
      </c>
    </row>
    <row r="102">
      <c r="L102" t="inlineStr">
        <is>
          <t>Bromodichloroacetic acid</t>
        </is>
      </c>
      <c r="N102" t="inlineStr">
        <is>
          <t>Iceland</t>
        </is>
      </c>
      <c r="P102" t="inlineStr">
        <is>
          <t>CAN/ULC-S674</t>
        </is>
      </c>
      <c r="T102" t="inlineStr">
        <is>
          <t>Laminate</t>
        </is>
      </c>
    </row>
    <row r="103">
      <c r="L103" t="inlineStr">
        <is>
          <t>Bromodichloromethane</t>
        </is>
      </c>
      <c r="N103" t="inlineStr">
        <is>
          <t>India</t>
        </is>
      </c>
      <c r="P103" t="inlineStr">
        <is>
          <t>CARB Phase II Compliant (formaldehyde emissions)</t>
        </is>
      </c>
      <c r="T103" t="inlineStr">
        <is>
          <t>Marble / Granite</t>
        </is>
      </c>
    </row>
    <row r="104">
      <c r="L104" t="inlineStr">
        <is>
          <t>Bromoethane</t>
        </is>
      </c>
      <c r="N104" t="inlineStr">
        <is>
          <t>Indonesia</t>
        </is>
      </c>
      <c r="P104" t="inlineStr">
        <is>
          <t>CE Certified</t>
        </is>
      </c>
      <c r="T104" t="inlineStr">
        <is>
          <t>Mercury Glass</t>
        </is>
      </c>
    </row>
    <row r="105">
      <c r="L105" t="inlineStr">
        <is>
          <t>Bromoform</t>
        </is>
      </c>
      <c r="N105" t="inlineStr">
        <is>
          <t>Iran, Islamic Republic of</t>
        </is>
      </c>
      <c r="P105" t="inlineStr">
        <is>
          <t>CEE Rating</t>
        </is>
      </c>
      <c r="T105" t="inlineStr">
        <is>
          <t>Medium Density Fiberboard (MDF)</t>
        </is>
      </c>
    </row>
    <row r="106">
      <c r="L106" t="inlineStr">
        <is>
          <t>1-Bromopropane (1-BP)</t>
        </is>
      </c>
      <c r="N106" t="inlineStr">
        <is>
          <t>Iraq</t>
        </is>
      </c>
      <c r="P106" t="inlineStr">
        <is>
          <t>CertiPUR-US Certified</t>
        </is>
      </c>
      <c r="T106" t="inlineStr">
        <is>
          <t>Mesh</t>
        </is>
      </c>
    </row>
    <row r="107">
      <c r="L107" t="inlineStr">
        <is>
          <t>Bromoxynil</t>
        </is>
      </c>
      <c r="N107" t="inlineStr">
        <is>
          <t>Ireland</t>
        </is>
      </c>
      <c r="P107" t="inlineStr">
        <is>
          <t>cETL Listed</t>
        </is>
      </c>
      <c r="T107" t="inlineStr">
        <is>
          <t>Merino Wool</t>
        </is>
      </c>
    </row>
    <row r="108">
      <c r="L108" t="inlineStr">
        <is>
          <t>Bromoxynil octanoate</t>
        </is>
      </c>
      <c r="N108" t="inlineStr">
        <is>
          <t>Isle of Man</t>
        </is>
      </c>
      <c r="P108" t="inlineStr">
        <is>
          <t>CGA 2.17- M91 (R2014)</t>
        </is>
      </c>
      <c r="T108" t="inlineStr">
        <is>
          <t>Memory Foam</t>
        </is>
      </c>
    </row>
    <row r="109">
      <c r="L109" t="inlineStr">
        <is>
          <t>Butabarbital sodium</t>
        </is>
      </c>
      <c r="N109" t="inlineStr">
        <is>
          <t>Israel</t>
        </is>
      </c>
      <c r="P109" t="inlineStr">
        <is>
          <t>Chemicals of Concern Compliant</t>
        </is>
      </c>
      <c r="T109" t="inlineStr">
        <is>
          <t>Natural Stone</t>
        </is>
      </c>
    </row>
    <row r="110">
      <c r="L110" t="inlineStr">
        <is>
          <t>1,3-Butadiene</t>
        </is>
      </c>
      <c r="N110" t="inlineStr">
        <is>
          <t>Italy</t>
        </is>
      </c>
      <c r="P110" t="inlineStr">
        <is>
          <t>Chemikalien-Verbotsverordnung / Section 3 Compliant</t>
        </is>
      </c>
      <c r="T110" t="inlineStr">
        <is>
          <t>Microfiber / Polyester</t>
        </is>
      </c>
    </row>
    <row r="111">
      <c r="L111" t="inlineStr">
        <is>
          <t>1,4-Butanediol dimethanesulfonate (Busulfan)</t>
        </is>
      </c>
      <c r="N111" t="inlineStr">
        <is>
          <t>Jamaica</t>
        </is>
      </c>
      <c r="P111" t="inlineStr">
        <is>
          <t>Children's Product Certificate (CPC)</t>
        </is>
      </c>
      <c r="T111" t="inlineStr">
        <is>
          <t>Natural Fiber</t>
        </is>
      </c>
    </row>
    <row r="112">
      <c r="L112" t="inlineStr">
        <is>
          <t>Butylated hydroxyanisole</t>
        </is>
      </c>
      <c r="N112" t="inlineStr">
        <is>
          <t>Japan</t>
        </is>
      </c>
      <c r="P112" t="inlineStr">
        <is>
          <t>CISPR 22 Compliant</t>
        </is>
      </c>
      <c r="T112" t="inlineStr">
        <is>
          <t>Microfiber</t>
        </is>
      </c>
    </row>
    <row r="113">
      <c r="L113" t="inlineStr">
        <is>
          <t>Butyl benzyl phthalate (BBP)d</t>
        </is>
      </c>
      <c r="N113" t="inlineStr">
        <is>
          <t>Jersey</t>
        </is>
      </c>
      <c r="P113" t="inlineStr">
        <is>
          <t>Complies with 16 CFR 1305.4</t>
        </is>
      </c>
      <c r="T113" t="inlineStr">
        <is>
          <t>Natural Fibers</t>
        </is>
      </c>
    </row>
    <row r="114">
      <c r="L114" t="inlineStr">
        <is>
          <t>beta-Butyrolactone</t>
        </is>
      </c>
      <c r="N114" t="inlineStr">
        <is>
          <t>Jordan</t>
        </is>
      </c>
      <c r="P114" t="inlineStr">
        <is>
          <t>ASTM F1427 - 13 Compliant - Consumer Safety Specification for Bunk Beds</t>
        </is>
      </c>
      <c r="T114" t="inlineStr">
        <is>
          <t>Magnet</t>
        </is>
      </c>
    </row>
    <row r="115">
      <c r="L115" t="inlineStr">
        <is>
          <t>Cacodylic acid</t>
        </is>
      </c>
      <c r="N115" t="inlineStr">
        <is>
          <t>Kazakhstan</t>
        </is>
      </c>
      <c r="P115" t="inlineStr">
        <is>
          <t>CPAI-84 Compliant</t>
        </is>
      </c>
      <c r="T115" t="inlineStr">
        <is>
          <t>Muslin</t>
        </is>
      </c>
    </row>
    <row r="116">
      <c r="L116" t="inlineStr">
        <is>
          <t>Cadmium</t>
        </is>
      </c>
      <c r="N116" t="inlineStr">
        <is>
          <t>Kenya</t>
        </is>
      </c>
      <c r="P116" t="inlineStr">
        <is>
          <t>CPSC - 15 U.S. Code § 1278a - Children's Products Containing Lead</t>
        </is>
      </c>
      <c r="T116" t="inlineStr">
        <is>
          <t>Metal</t>
        </is>
      </c>
    </row>
    <row r="117">
      <c r="L117" t="inlineStr">
        <is>
          <t>Cadmium and cadmium compounds</t>
        </is>
      </c>
      <c r="N117" t="inlineStr">
        <is>
          <t>Kiribati</t>
        </is>
      </c>
      <c r="P117" t="inlineStr">
        <is>
          <t>CPSC - 16 CFR 1213 Compliant</t>
        </is>
      </c>
      <c r="T117" t="inlineStr">
        <is>
          <t>Microfiber / Microsuede</t>
        </is>
      </c>
    </row>
    <row r="118">
      <c r="L118" t="inlineStr">
        <is>
          <t>Caffeic acid</t>
        </is>
      </c>
      <c r="N118" t="inlineStr">
        <is>
          <t>Korea, Democratic People's Republic of</t>
        </is>
      </c>
      <c r="P118" t="inlineStr">
        <is>
          <t>CPSC - 16 CFR 1215 Compliant - Safety Standards for Infant Bath Seats</t>
        </is>
      </c>
      <c r="T118" t="inlineStr">
        <is>
          <t>Paper</t>
        </is>
      </c>
    </row>
    <row r="119">
      <c r="L119" t="inlineStr">
        <is>
          <t>Captafol</t>
        </is>
      </c>
      <c r="N119" t="inlineStr">
        <is>
          <t>Korea, Republic of</t>
        </is>
      </c>
      <c r="P119" t="inlineStr">
        <is>
          <t>ASTM 1821-19 and/or CPSC - 16 CFR 1217 Compliant</t>
        </is>
      </c>
      <c r="T119" t="inlineStr">
        <is>
          <t>Olefin</t>
        </is>
      </c>
    </row>
    <row r="120">
      <c r="L120" t="inlineStr">
        <is>
          <t>Captan</t>
        </is>
      </c>
      <c r="N120" t="inlineStr">
        <is>
          <t>Kuwait</t>
        </is>
      </c>
      <c r="P120" t="inlineStr">
        <is>
          <t>CPSC - 16 CFR 1218 Compliant</t>
        </is>
      </c>
      <c r="T120" t="inlineStr">
        <is>
          <t>Nickel</t>
        </is>
      </c>
    </row>
    <row r="121">
      <c r="L121" t="inlineStr">
        <is>
          <t>Carbamazepine</t>
        </is>
      </c>
      <c r="N121" t="inlineStr">
        <is>
          <t>Kyrgyzstan</t>
        </is>
      </c>
      <c r="P121" t="inlineStr">
        <is>
          <t>ASTM F1169-19 Compliant and/or CPSC - 16 CFR 1219 Compliant</t>
        </is>
      </c>
      <c r="T121" t="inlineStr">
        <is>
          <t>PEVA</t>
        </is>
      </c>
    </row>
    <row r="122">
      <c r="L122" t="inlineStr">
        <is>
          <t>Carbaryl</t>
        </is>
      </c>
      <c r="N122" t="inlineStr">
        <is>
          <t>Lao People's Democratic Republic</t>
        </is>
      </c>
      <c r="P122" t="inlineStr">
        <is>
          <t>ASTM F406-22 and/or CPSC - 16 CFR 1220 Compliant</t>
        </is>
      </c>
      <c r="T122" t="inlineStr">
        <is>
          <t>Nylon</t>
        </is>
      </c>
    </row>
    <row r="123">
      <c r="L123" t="inlineStr">
        <is>
          <t>Carbazole</t>
        </is>
      </c>
      <c r="N123" t="inlineStr">
        <is>
          <t>Latvia</t>
        </is>
      </c>
      <c r="P123" t="inlineStr">
        <is>
          <t>CPSC - 16 CFR 1221 Compliant</t>
        </is>
      </c>
      <c r="T123" t="inlineStr">
        <is>
          <t>Oak</t>
        </is>
      </c>
    </row>
    <row r="124">
      <c r="L124" t="inlineStr">
        <is>
          <t>Carbon black (airborne, unbound particles of respirable size)</t>
        </is>
      </c>
      <c r="N124" t="inlineStr">
        <is>
          <t>Lebanon</t>
        </is>
      </c>
      <c r="P124" t="inlineStr">
        <is>
          <t>CPSC - 16 CFR 1225 Compliant</t>
        </is>
      </c>
      <c r="T124" t="inlineStr">
        <is>
          <t>Oxford Fabric</t>
        </is>
      </c>
    </row>
    <row r="125">
      <c r="L125" t="inlineStr">
        <is>
          <t>Carbon-black extracts</t>
        </is>
      </c>
      <c r="N125" t="inlineStr">
        <is>
          <t>Lesotho</t>
        </is>
      </c>
      <c r="P125" t="inlineStr">
        <is>
          <t>CPSC - 16 CFR 1234 Compliant</t>
        </is>
      </c>
      <c r="T125" t="inlineStr">
        <is>
          <t>Polyamide</t>
        </is>
      </c>
    </row>
    <row r="126">
      <c r="L126" t="inlineStr">
        <is>
          <t>Carbon disulfide</t>
        </is>
      </c>
      <c r="N126" t="inlineStr">
        <is>
          <t>Liberia</t>
        </is>
      </c>
      <c r="P126" t="inlineStr">
        <is>
          <t>CPSC - 16 CFR 1238 Compliant</t>
        </is>
      </c>
      <c r="T126" t="inlineStr">
        <is>
          <t>Plywood</t>
        </is>
      </c>
    </row>
    <row r="127">
      <c r="L127" t="inlineStr">
        <is>
          <t>Carbon monoxide</t>
        </is>
      </c>
      <c r="N127" t="inlineStr">
        <is>
          <t>Libyan Arab Jamahiriya</t>
        </is>
      </c>
      <c r="P127" t="inlineStr">
        <is>
          <t>CPSC - 16 CFR 1239 Compliant</t>
        </is>
      </c>
      <c r="T127" t="inlineStr">
        <is>
          <t>Pinecones</t>
        </is>
      </c>
    </row>
    <row r="128">
      <c r="L128" t="inlineStr">
        <is>
          <t>Carbon tetrachloride</t>
        </is>
      </c>
      <c r="N128" t="inlineStr">
        <is>
          <t>Liechtenstein</t>
        </is>
      </c>
      <c r="P128" t="inlineStr">
        <is>
          <t>CPSC - 16 CFR 1303 Compliant</t>
        </is>
      </c>
      <c r="T128" t="inlineStr">
        <is>
          <t>Plastic / Acrylic</t>
        </is>
      </c>
    </row>
    <row r="129">
      <c r="L129" t="inlineStr">
        <is>
          <t>Carboplatin</t>
        </is>
      </c>
      <c r="N129" t="inlineStr">
        <is>
          <t>Lithuania</t>
        </is>
      </c>
      <c r="P129" t="inlineStr">
        <is>
          <t>CPSC - 16 CFR 1500.48 Compliant</t>
        </is>
      </c>
      <c r="T129" t="inlineStr">
        <is>
          <t>Pewter</t>
        </is>
      </c>
    </row>
    <row r="130">
      <c r="L130" t="inlineStr">
        <is>
          <t>N-Carboxymethyl-N-nitrosourea</t>
        </is>
      </c>
      <c r="N130" t="inlineStr">
        <is>
          <t>Luxembourg</t>
        </is>
      </c>
      <c r="P130" t="inlineStr">
        <is>
          <t>CPSC - 16 CFR 1500.49 Compliant</t>
        </is>
      </c>
      <c r="T130" t="inlineStr">
        <is>
          <t>Polycarbonate Plastic</t>
        </is>
      </c>
    </row>
    <row r="131">
      <c r="L131" t="inlineStr">
        <is>
          <t>Catechol</t>
        </is>
      </c>
      <c r="N131" t="inlineStr">
        <is>
          <t>Macao</t>
        </is>
      </c>
      <c r="P131" t="inlineStr">
        <is>
          <t>CPSC - 16 CFR 1513 Compliant</t>
        </is>
      </c>
      <c r="T131" t="inlineStr">
        <is>
          <t>Nickel Plated</t>
        </is>
      </c>
    </row>
    <row r="132">
      <c r="L132" t="inlineStr">
        <is>
          <t>Ceramic fibers (airborne particles of respirable size)</t>
        </is>
      </c>
      <c r="N132" t="inlineStr">
        <is>
          <t>Macedonia, The Former Yugoslav Republic of</t>
        </is>
      </c>
      <c r="P132" t="inlineStr">
        <is>
          <t>CPSC - 16 CFR 1630 Compliant</t>
        </is>
      </c>
      <c r="T132" t="inlineStr">
        <is>
          <t>Plastic</t>
        </is>
      </c>
    </row>
    <row r="133">
      <c r="L133" t="inlineStr">
        <is>
          <t>Certain combined chemotherapy for lymphomas</t>
        </is>
      </c>
      <c r="N133" t="inlineStr">
        <is>
          <t>Madagascar</t>
        </is>
      </c>
      <c r="P133" t="inlineStr">
        <is>
          <t>CPSC - 16 CFR 1631 Compliant</t>
        </is>
      </c>
      <c r="T133" t="inlineStr">
        <is>
          <t>Polyester</t>
        </is>
      </c>
    </row>
    <row r="134">
      <c r="L134" t="inlineStr">
        <is>
          <t>Chenodiol</t>
        </is>
      </c>
      <c r="N134" t="inlineStr">
        <is>
          <t>Malawi</t>
        </is>
      </c>
      <c r="P134" t="inlineStr">
        <is>
          <t>CPSC - 16 CFR 1632 Compliant</t>
        </is>
      </c>
      <c r="T134" t="inlineStr">
        <is>
          <t>Polymer</t>
        </is>
      </c>
    </row>
    <row r="135">
      <c r="L135" t="inlineStr">
        <is>
          <t>Chloral</t>
        </is>
      </c>
      <c r="N135" t="inlineStr">
        <is>
          <t>Malaysia</t>
        </is>
      </c>
      <c r="P135" t="inlineStr">
        <is>
          <t>CPSC - 16 CFR 1633 Compliant</t>
        </is>
      </c>
      <c r="T135" t="inlineStr">
        <is>
          <t>Polyester Fill</t>
        </is>
      </c>
    </row>
    <row r="136">
      <c r="L136" t="inlineStr">
        <is>
          <t>Chloral hydrate</t>
        </is>
      </c>
      <c r="N136" t="inlineStr">
        <is>
          <t>Maldives</t>
        </is>
      </c>
      <c r="P136" t="inlineStr">
        <is>
          <t>CPSC - 16 CFR Part 1130-Requirements For Consumer Registration Of Durable Infant Or Toddler Products</t>
        </is>
      </c>
      <c r="T136" t="inlineStr">
        <is>
          <t>Polystyrene</t>
        </is>
      </c>
    </row>
    <row r="137">
      <c r="L137" t="inlineStr">
        <is>
          <t>Chlorambucil</t>
        </is>
      </c>
      <c r="N137" t="inlineStr">
        <is>
          <t>Mali</t>
        </is>
      </c>
      <c r="P137" t="inlineStr">
        <is>
          <t>CPSC - 16 CFR Part 1307-Prohibition Of Children's Toys And Child Care Articles Containing Specified Phthalates</t>
        </is>
      </c>
      <c r="T137" t="inlineStr">
        <is>
          <t>Polyvinyl Chloride (PVC)</t>
        </is>
      </c>
    </row>
    <row r="138">
      <c r="L138" t="inlineStr">
        <is>
          <t>Chloramphenicol sodium succinate</t>
        </is>
      </c>
      <c r="N138" t="inlineStr">
        <is>
          <t>Malta</t>
        </is>
      </c>
      <c r="P138" t="inlineStr">
        <is>
          <t>CPSC 16 CFR 1500.3(c)(6)(vi)</t>
        </is>
      </c>
      <c r="T138" t="inlineStr">
        <is>
          <t>Polyurethane</t>
        </is>
      </c>
    </row>
    <row r="139">
      <c r="L139" t="inlineStr">
        <is>
          <t>Chlorcyclizine hydrochloride</t>
        </is>
      </c>
      <c r="N139" t="inlineStr">
        <is>
          <t>Marshall Islands</t>
        </is>
      </c>
      <c r="P139" t="inlineStr">
        <is>
          <t>CPSC 16 CFR 1500.44</t>
        </is>
      </c>
      <c r="T139" t="inlineStr">
        <is>
          <t>Porcelain China</t>
        </is>
      </c>
    </row>
    <row r="140">
      <c r="L140" t="inlineStr">
        <is>
          <t>Chlordane</t>
        </is>
      </c>
      <c r="N140" t="inlineStr">
        <is>
          <t>Martinique</t>
        </is>
      </c>
      <c r="P140" t="inlineStr">
        <is>
          <t>CPSIA Compliant</t>
        </is>
      </c>
      <c r="T140" t="inlineStr">
        <is>
          <t>Powder Coated Steel</t>
        </is>
      </c>
    </row>
    <row r="141">
      <c r="L141" t="inlineStr">
        <is>
          <t>Chlordecone (Kepone)</t>
        </is>
      </c>
      <c r="N141" t="inlineStr">
        <is>
          <t>Mauritania</t>
        </is>
      </c>
      <c r="P141" t="inlineStr">
        <is>
          <t>Cradle to Cradle Certified</t>
        </is>
      </c>
      <c r="T141" t="inlineStr">
        <is>
          <t>Polypropylene Plastic</t>
        </is>
      </c>
    </row>
    <row r="142">
      <c r="L142" t="inlineStr">
        <is>
          <t>Chlordiazepoxide</t>
        </is>
      </c>
      <c r="N142" t="inlineStr">
        <is>
          <t>Mauritius</t>
        </is>
      </c>
      <c r="P142" t="inlineStr">
        <is>
          <t>CRI Certified</t>
        </is>
      </c>
      <c r="T142" t="inlineStr">
        <is>
          <t>Porcelain Enameled Steel</t>
        </is>
      </c>
    </row>
    <row r="143">
      <c r="L143" t="inlineStr">
        <is>
          <t>Chlordiazepoxide hydrochloride</t>
        </is>
      </c>
      <c r="N143" t="inlineStr">
        <is>
          <t>Mayotte</t>
        </is>
      </c>
      <c r="P143" t="inlineStr">
        <is>
          <t>CRI Green Label Certified</t>
        </is>
      </c>
      <c r="T143" t="inlineStr">
        <is>
          <t>Porcelain</t>
        </is>
      </c>
    </row>
    <row r="144">
      <c r="L144" t="inlineStr">
        <is>
          <t>Chlordimeform</t>
        </is>
      </c>
      <c r="N144" t="inlineStr">
        <is>
          <t>Mexico</t>
        </is>
      </c>
      <c r="P144" t="inlineStr">
        <is>
          <t>CRI Green Label Plus Certified</t>
        </is>
      </c>
      <c r="T144" t="inlineStr">
        <is>
          <t>Powder Coated Aluminum</t>
        </is>
      </c>
    </row>
    <row r="145">
      <c r="L145" t="inlineStr">
        <is>
          <t>Chlorendic acid</t>
        </is>
      </c>
      <c r="N145" t="inlineStr">
        <is>
          <t>Micronesia, Federated States of</t>
        </is>
      </c>
      <c r="P145" t="inlineStr">
        <is>
          <t>CSA 2.41-2014/ANSI Z21.97-2014</t>
        </is>
      </c>
      <c r="T145" t="inlineStr">
        <is>
          <t>Polyester Blend</t>
        </is>
      </c>
    </row>
    <row r="146">
      <c r="L146" t="inlineStr">
        <is>
          <t>Chlorinated paraffins (Average chain length, C12;approximately 60 percent chlorine by weight)</t>
        </is>
      </c>
      <c r="N146" t="inlineStr">
        <is>
          <t>Moldova, Republic of</t>
        </is>
      </c>
      <c r="P146" t="inlineStr">
        <is>
          <t>CSA B125.1 Certified</t>
        </is>
      </c>
      <c r="T146" t="inlineStr">
        <is>
          <t>Polyresin</t>
        </is>
      </c>
    </row>
    <row r="147">
      <c r="L147" t="inlineStr">
        <is>
          <t>p-Chloroaniline</t>
        </is>
      </c>
      <c r="N147" t="inlineStr">
        <is>
          <t>Monaco</t>
        </is>
      </c>
      <c r="P147" t="inlineStr">
        <is>
          <t>CSA B13 Certified</t>
        </is>
      </c>
      <c r="T147" t="inlineStr">
        <is>
          <t>Polymarble</t>
        </is>
      </c>
    </row>
    <row r="148">
      <c r="L148" t="inlineStr">
        <is>
          <t>p-Chloroaniline hydrochloride</t>
        </is>
      </c>
      <c r="N148" t="inlineStr">
        <is>
          <t>Mongolia</t>
        </is>
      </c>
      <c r="P148" t="inlineStr">
        <is>
          <t>CSA B45 Certified</t>
        </is>
      </c>
      <c r="T148" t="inlineStr">
        <is>
          <t>Polyurethane (PU)</t>
        </is>
      </c>
    </row>
    <row r="149">
      <c r="L149" t="inlineStr">
        <is>
          <t>Chloroethane (Ethyl chloride)</t>
        </is>
      </c>
      <c r="N149" t="inlineStr">
        <is>
          <t>Montenegro</t>
        </is>
      </c>
      <c r="P149" t="inlineStr">
        <is>
          <t>CSA B45.1 Certified</t>
        </is>
      </c>
      <c r="T149" t="inlineStr">
        <is>
          <t>Sandstone</t>
        </is>
      </c>
    </row>
    <row r="150">
      <c r="L150" t="inlineStr">
        <is>
          <t>1-(2-Chloroethyl)-3-cyclohexyl-1-nitrosourea (CCNU) (Lomustine)</t>
        </is>
      </c>
      <c r="N150" t="inlineStr">
        <is>
          <t>Montserrat</t>
        </is>
      </c>
      <c r="P150" t="inlineStr">
        <is>
          <t>CSA B45.2 Certified</t>
        </is>
      </c>
      <c r="T150" t="inlineStr">
        <is>
          <t>Silver</t>
        </is>
      </c>
    </row>
    <row r="151">
      <c r="L151" t="inlineStr">
        <is>
          <t>1-(2-Chloroethyl)-3-(4-methylcyclohexyl)-1-nitrosourea (Methyl-CCNU)</t>
        </is>
      </c>
      <c r="N151" t="inlineStr">
        <is>
          <t>Morocco</t>
        </is>
      </c>
      <c r="P151" t="inlineStr">
        <is>
          <t>CSA Certified</t>
        </is>
      </c>
      <c r="T151" t="inlineStr">
        <is>
          <t>Sheepskin</t>
        </is>
      </c>
    </row>
    <row r="152">
      <c r="L152" t="inlineStr">
        <is>
          <t>Chloromethyl methyl ether (technical grade)</t>
        </is>
      </c>
      <c r="N152" t="inlineStr">
        <is>
          <t>Mozambique</t>
        </is>
      </c>
      <c r="P152" t="inlineStr">
        <is>
          <t>CSA Listed for Canada</t>
        </is>
      </c>
      <c r="T152" t="inlineStr">
        <is>
          <t>Sateen</t>
        </is>
      </c>
    </row>
    <row r="153">
      <c r="L153" t="inlineStr">
        <is>
          <t>3-Chloro-2-methylpropene</t>
        </is>
      </c>
      <c r="N153" t="inlineStr">
        <is>
          <t>Myanmar</t>
        </is>
      </c>
      <c r="P153" t="inlineStr">
        <is>
          <t>CSA Listed for USA</t>
        </is>
      </c>
      <c r="T153" t="inlineStr">
        <is>
          <t>Rayon / Viscose</t>
        </is>
      </c>
    </row>
    <row r="154">
      <c r="L154" t="inlineStr">
        <is>
          <t>1-Chloro-4-nitrobenzene</t>
        </is>
      </c>
      <c r="N154" t="inlineStr">
        <is>
          <t>Namibia</t>
        </is>
      </c>
      <c r="P154" t="inlineStr">
        <is>
          <t>CSPC - 16 CFR 1750 Compliant</t>
        </is>
      </c>
      <c r="T154" t="inlineStr">
        <is>
          <t>Rayon from Bamboo</t>
        </is>
      </c>
    </row>
    <row r="155">
      <c r="L155" t="inlineStr">
        <is>
          <t>4-Chloro-o-phenylenediamine</t>
        </is>
      </c>
      <c r="N155" t="inlineStr">
        <is>
          <t>Nauru</t>
        </is>
      </c>
      <c r="P155" t="inlineStr">
        <is>
          <t>cUL Listed</t>
        </is>
      </c>
      <c r="T155" t="inlineStr">
        <is>
          <t>Silver Plated</t>
        </is>
      </c>
    </row>
    <row r="156">
      <c r="L156" t="inlineStr">
        <is>
          <t>Chloroprene</t>
        </is>
      </c>
      <c r="N156" t="inlineStr">
        <is>
          <t>Nepal</t>
        </is>
      </c>
      <c r="P156" t="inlineStr">
        <is>
          <t>cUPC Certified</t>
        </is>
      </c>
      <c r="T156" t="inlineStr">
        <is>
          <t>Sherpa</t>
        </is>
      </c>
    </row>
    <row r="157">
      <c r="L157" t="inlineStr">
        <is>
          <t>Chlorothalonil</t>
        </is>
      </c>
      <c r="N157" t="inlineStr">
        <is>
          <t>Netherlands</t>
        </is>
      </c>
      <c r="P157" t="inlineStr">
        <is>
          <t>DECT 6.0 Compliant</t>
        </is>
      </c>
      <c r="T157" t="inlineStr">
        <is>
          <t>Quartz</t>
        </is>
      </c>
    </row>
    <row r="158">
      <c r="L158" t="inlineStr">
        <is>
          <t>p-Chloro-o-toluidine</t>
        </is>
      </c>
      <c r="N158" t="inlineStr">
        <is>
          <t>Netherlands Antilles</t>
        </is>
      </c>
      <c r="P158" t="inlineStr">
        <is>
          <t>DIN EN 12935 Certified</t>
        </is>
      </c>
      <c r="T158" t="inlineStr">
        <is>
          <t>Satin</t>
        </is>
      </c>
    </row>
    <row r="159">
      <c r="L159" t="inlineStr">
        <is>
          <t>p-Chloro-o-toluidine, strong acid salts of</t>
        </is>
      </c>
      <c r="N159" t="inlineStr">
        <is>
          <t>New Caledonia</t>
        </is>
      </c>
      <c r="P159" t="inlineStr">
        <is>
          <t>DIN EN 16647:2016</t>
        </is>
      </c>
      <c r="T159" t="inlineStr">
        <is>
          <t>Shell / Capiz</t>
        </is>
      </c>
    </row>
    <row r="160">
      <c r="L160" t="inlineStr">
        <is>
          <t>5-Chloro-o-toluidine and its strong acid salts</t>
        </is>
      </c>
      <c r="N160" t="inlineStr">
        <is>
          <t>New Zealand</t>
        </is>
      </c>
      <c r="P160" t="inlineStr">
        <is>
          <t>Dry/ Damp/ or Wet Location Listed - CAN</t>
        </is>
      </c>
      <c r="T160" t="inlineStr">
        <is>
          <t>Rope</t>
        </is>
      </c>
    </row>
    <row r="161">
      <c r="L161" t="inlineStr">
        <is>
          <t>Chlorotrianisene</t>
        </is>
      </c>
      <c r="N161" t="inlineStr">
        <is>
          <t>Nicaragua</t>
        </is>
      </c>
      <c r="P161" t="inlineStr">
        <is>
          <t>Dry/ Damp/ or Wet Location Listed - USA</t>
        </is>
      </c>
      <c r="T161" t="inlineStr">
        <is>
          <t>Silk</t>
        </is>
      </c>
    </row>
    <row r="162">
      <c r="L162" t="inlineStr">
        <is>
          <t>Chlorozotocin</t>
        </is>
      </c>
      <c r="N162" t="inlineStr">
        <is>
          <t>Niger</t>
        </is>
      </c>
      <c r="P162" t="inlineStr">
        <is>
          <t>EU 2018/2005</t>
        </is>
      </c>
      <c r="T162" t="inlineStr">
        <is>
          <t>Rayon</t>
        </is>
      </c>
    </row>
    <row r="163">
      <c r="L163" t="inlineStr">
        <is>
          <t>Chlorpyrifos</t>
        </is>
      </c>
      <c r="N163" t="inlineStr">
        <is>
          <t>Nigeria</t>
        </is>
      </c>
      <c r="P163" t="inlineStr">
        <is>
          <t>EIA Compliant</t>
        </is>
      </c>
      <c r="T163" t="inlineStr">
        <is>
          <t>Seagrass</t>
        </is>
      </c>
    </row>
    <row r="164">
      <c r="L164" t="inlineStr">
        <is>
          <t>Chromium (hexavalent compounds)</t>
        </is>
      </c>
      <c r="N164" t="inlineStr">
        <is>
          <t>Niue</t>
        </is>
      </c>
      <c r="P164" t="inlineStr">
        <is>
          <t>EISA 2007 Compliant</t>
        </is>
      </c>
      <c r="T164" t="inlineStr">
        <is>
          <t>PVC</t>
        </is>
      </c>
    </row>
    <row r="165">
      <c r="L165" t="inlineStr">
        <is>
          <t>Chrysene</t>
        </is>
      </c>
      <c r="N165" t="inlineStr">
        <is>
          <t>Norfolk Island</t>
        </is>
      </c>
      <c r="P165" t="inlineStr">
        <is>
          <t>EN 1111:2017</t>
        </is>
      </c>
      <c r="T165" t="inlineStr">
        <is>
          <t>Rubber</t>
        </is>
      </c>
    </row>
    <row r="166">
      <c r="L166" t="inlineStr">
        <is>
          <t>C.I. Acid Red 114</t>
        </is>
      </c>
      <c r="N166" t="inlineStr">
        <is>
          <t>Northern Mariana Islands</t>
        </is>
      </c>
      <c r="P166" t="inlineStr">
        <is>
          <t>EN 1130-1:1996 (Safety Requirements for Cribs and Cradles) - EU ONLY</t>
        </is>
      </c>
      <c r="T166" t="inlineStr">
        <is>
          <t>Quartzite</t>
        </is>
      </c>
    </row>
    <row r="167">
      <c r="L167" t="inlineStr">
        <is>
          <t>C.I. Basic Red 9 monohydrochloride</t>
        </is>
      </c>
      <c r="N167" t="inlineStr">
        <is>
          <t>Norway</t>
        </is>
      </c>
      <c r="P167" t="inlineStr">
        <is>
          <t>EN 12221-1 (Standards for Changing Tables) - EU ONLY</t>
        </is>
      </c>
      <c r="T167" t="inlineStr">
        <is>
          <t>Real Greenery</t>
        </is>
      </c>
    </row>
    <row r="168">
      <c r="L168" t="inlineStr">
        <is>
          <t>C.I. Direct Blue 15</t>
        </is>
      </c>
      <c r="N168" t="inlineStr">
        <is>
          <t>Oman</t>
        </is>
      </c>
      <c r="P168" t="inlineStr">
        <is>
          <t>EN 1287:2017</t>
        </is>
      </c>
      <c r="T168" t="inlineStr">
        <is>
          <t>Resin</t>
        </is>
      </c>
    </row>
    <row r="169">
      <c r="L169" t="inlineStr">
        <is>
          <t>C.I. Direct Blue 218</t>
        </is>
      </c>
      <c r="N169" t="inlineStr">
        <is>
          <t>Pakistan</t>
        </is>
      </c>
      <c r="P169" t="inlineStr">
        <is>
          <t>EN 13219 (Standards for Trampolines) - EU ONLY</t>
        </is>
      </c>
      <c r="T169" t="inlineStr">
        <is>
          <t>Rocks / Pebbles</t>
        </is>
      </c>
    </row>
    <row r="170">
      <c r="L170" t="inlineStr">
        <is>
          <t>C.I. Disperse Yellow 3</t>
        </is>
      </c>
      <c r="N170" t="inlineStr">
        <is>
          <t>Palau</t>
        </is>
      </c>
      <c r="P170" t="inlineStr">
        <is>
          <t>EN 14428:2015</t>
        </is>
      </c>
      <c r="T170" t="inlineStr">
        <is>
          <t>Recycled P.E.T</t>
        </is>
      </c>
    </row>
    <row r="171">
      <c r="L171" t="inlineStr">
        <is>
          <t>C.I. Solvent Yellow 14</t>
        </is>
      </c>
      <c r="N171" t="inlineStr">
        <is>
          <t>Palestinian Territory, Occupied</t>
        </is>
      </c>
      <c r="P171" t="inlineStr">
        <is>
          <t>EN 14516:2019</t>
        </is>
      </c>
      <c r="T171" t="inlineStr">
        <is>
          <t>Real Floral</t>
        </is>
      </c>
    </row>
    <row r="172">
      <c r="L172" t="inlineStr">
        <is>
          <t>Ciclosporin (Cyclosporin A; Cyclosporine)</t>
        </is>
      </c>
      <c r="N172" t="inlineStr">
        <is>
          <t>Panama</t>
        </is>
      </c>
      <c r="P172" t="inlineStr">
        <is>
          <t>EN 14527:2019 Certified</t>
        </is>
      </c>
      <c r="T172" t="inlineStr">
        <is>
          <t>Suede / Faux Suede</t>
        </is>
      </c>
    </row>
    <row r="173">
      <c r="L173" t="inlineStr">
        <is>
          <t>Cidofovir</t>
        </is>
      </c>
      <c r="N173" t="inlineStr">
        <is>
          <t>Papua New Guinea</t>
        </is>
      </c>
      <c r="P173" t="inlineStr">
        <is>
          <t>EN 14528:2018 Certified</t>
        </is>
      </c>
      <c r="T173" t="inlineStr">
        <is>
          <t>Solid Brass</t>
        </is>
      </c>
    </row>
    <row r="174">
      <c r="L174" t="inlineStr">
        <is>
          <t>Cinnamyl anthranilate</t>
        </is>
      </c>
      <c r="N174" t="inlineStr">
        <is>
          <t>Paraguay</t>
        </is>
      </c>
      <c r="P174" t="inlineStr">
        <is>
          <t>EN 1466:2014</t>
        </is>
      </c>
      <c r="T174" t="inlineStr">
        <is>
          <t>Stainless Steel (18/0)</t>
        </is>
      </c>
    </row>
    <row r="175">
      <c r="L175" t="inlineStr">
        <is>
          <t>Cisplatin</t>
        </is>
      </c>
      <c r="N175" t="inlineStr">
        <is>
          <t>Peru</t>
        </is>
      </c>
      <c r="P175" t="inlineStr">
        <is>
          <t>EN 14688:2018 Certified</t>
        </is>
      </c>
      <c r="T175" t="inlineStr">
        <is>
          <t>Sponge</t>
        </is>
      </c>
    </row>
    <row r="176">
      <c r="L176" t="inlineStr">
        <is>
          <t>Citrus Red No. 2</t>
        </is>
      </c>
      <c r="N176" t="inlineStr">
        <is>
          <t>Philippines</t>
        </is>
      </c>
      <c r="P176" t="inlineStr">
        <is>
          <t>EN 14749:2016 Certified</t>
        </is>
      </c>
      <c r="T176" t="inlineStr">
        <is>
          <t>Tin</t>
        </is>
      </c>
    </row>
    <row r="177">
      <c r="L177" t="inlineStr">
        <is>
          <t>Cladribine</t>
        </is>
      </c>
      <c r="N177" t="inlineStr">
        <is>
          <t>Pitcairn</t>
        </is>
      </c>
      <c r="P177" t="inlineStr">
        <is>
          <t>EN 14878: 2007 (Requirements for Children's Sleepwear) - EU ONLY</t>
        </is>
      </c>
      <c r="T177" t="inlineStr">
        <is>
          <t>Teak</t>
        </is>
      </c>
    </row>
    <row r="178">
      <c r="L178" t="inlineStr">
        <is>
          <t>Clarithromycin</t>
        </is>
      </c>
      <c r="N178" t="inlineStr">
        <is>
          <t>Poland</t>
        </is>
      </c>
      <c r="P178" t="inlineStr">
        <is>
          <t>EN 14988-1 (Safety Standards for High Chairs) - EU ONLY</t>
        </is>
      </c>
      <c r="T178" t="inlineStr">
        <is>
          <t>Solid + Manufactured Wood</t>
        </is>
      </c>
    </row>
    <row r="179">
      <c r="L179" t="inlineStr">
        <is>
          <t>Clobetasol propionate</t>
        </is>
      </c>
      <c r="N179" t="inlineStr">
        <is>
          <t>Portugal</t>
        </is>
      </c>
      <c r="P179" t="inlineStr">
        <is>
          <t>EN 15312 (Safety Standards for Multi-Sport Equipment) - EU ONLY</t>
        </is>
      </c>
      <c r="T179" t="inlineStr">
        <is>
          <t>Stainless Steel (18/10)</t>
        </is>
      </c>
    </row>
    <row r="180">
      <c r="L180" t="inlineStr">
        <is>
          <t>Clofibrate</t>
        </is>
      </c>
      <c r="N180" t="inlineStr">
        <is>
          <t>Puerto Rico</t>
        </is>
      </c>
      <c r="P180" t="inlineStr">
        <is>
          <t>EN 1725 (Safety Standards for Adult Beds) - EU ONLY</t>
        </is>
      </c>
      <c r="T180" t="inlineStr">
        <is>
          <t>Slate</t>
        </is>
      </c>
    </row>
    <row r="181">
      <c r="L181" t="inlineStr">
        <is>
          <t>Clomiphene citrate</t>
        </is>
      </c>
      <c r="N181" t="inlineStr">
        <is>
          <t>Qatar</t>
        </is>
      </c>
      <c r="P181" t="inlineStr">
        <is>
          <t>EN 1930 (Standards for Child Gates and Safety Barriers) - EU ONLY</t>
        </is>
      </c>
      <c r="T181" t="inlineStr">
        <is>
          <t>Travertine</t>
        </is>
      </c>
    </row>
    <row r="182">
      <c r="L182" t="inlineStr">
        <is>
          <t>Clorazepate dipotassium</t>
        </is>
      </c>
      <c r="N182" t="inlineStr">
        <is>
          <t>Reunion</t>
        </is>
      </c>
      <c r="P182" t="inlineStr">
        <is>
          <t>EN 200:2008 Certified</t>
        </is>
      </c>
      <c r="T182" t="inlineStr">
        <is>
          <t>Stainless Steel (18/8)</t>
        </is>
      </c>
    </row>
    <row r="183">
      <c r="L183" t="inlineStr">
        <is>
          <t>CMNP (pyrazachlor)</t>
        </is>
      </c>
      <c r="N183" t="inlineStr">
        <is>
          <t>Romania</t>
        </is>
      </c>
      <c r="P183" t="inlineStr">
        <is>
          <t>EN 50291-1 (Standards for Smoke Detectors and CO Detectors) - EU ONLY</t>
        </is>
      </c>
      <c r="T183" t="inlineStr">
        <is>
          <t>Sterling Silver</t>
        </is>
      </c>
    </row>
    <row r="184">
      <c r="L184" t="inlineStr">
        <is>
          <t>Cobalt metal powder</t>
        </is>
      </c>
      <c r="N184" t="inlineStr">
        <is>
          <t>Russian Federation</t>
        </is>
      </c>
      <c r="P184" t="inlineStr">
        <is>
          <t>EN 54-12 (Standards for Smoke Detectors and CO Detectors) - EU ONLY</t>
        </is>
      </c>
      <c r="T184" t="inlineStr">
        <is>
          <t>Terrycloth</t>
        </is>
      </c>
    </row>
    <row r="185">
      <c r="L185" t="inlineStr">
        <is>
          <t>Cobalt [II] oxide</t>
        </is>
      </c>
      <c r="N185" t="inlineStr">
        <is>
          <t>Rwanda</t>
        </is>
      </c>
      <c r="P185" t="inlineStr">
        <is>
          <t>EN 71 Compliant</t>
        </is>
      </c>
      <c r="T185" t="inlineStr">
        <is>
          <t>Stone</t>
        </is>
      </c>
    </row>
    <row r="186">
      <c r="L186" t="inlineStr">
        <is>
          <t>Cobalt sulfate</t>
        </is>
      </c>
      <c r="N186" t="inlineStr">
        <is>
          <t>Saint Barthélemy</t>
        </is>
      </c>
      <c r="P186" t="inlineStr">
        <is>
          <t>EN 71-14:2018 Compliant</t>
        </is>
      </c>
      <c r="T186" t="inlineStr">
        <is>
          <t>Terracotta</t>
        </is>
      </c>
    </row>
    <row r="187">
      <c r="L187" t="inlineStr">
        <is>
          <t>Cobalt sulfate heptahydrate</t>
        </is>
      </c>
      <c r="N187" t="inlineStr">
        <is>
          <t>Saint Helena</t>
        </is>
      </c>
      <c r="P187" t="inlineStr">
        <is>
          <t>EN 747-1 (Standards for Childrens Bunk Beds) - EU ONLY</t>
        </is>
      </c>
      <c r="T187" t="inlineStr">
        <is>
          <t>Synthetic</t>
        </is>
      </c>
    </row>
    <row r="188">
      <c r="L188" t="inlineStr">
        <is>
          <t>Cocaine</t>
        </is>
      </c>
      <c r="N188" t="inlineStr">
        <is>
          <t>Saint Kitts and Nevis</t>
        </is>
      </c>
      <c r="P188" t="inlineStr">
        <is>
          <t>EN 748 (Safety Standards for Football Goals) - EU ONLY</t>
        </is>
      </c>
      <c r="T188" t="inlineStr">
        <is>
          <t>Thermoplastic</t>
        </is>
      </c>
    </row>
    <row r="189">
      <c r="L189" t="inlineStr">
        <is>
          <t>Coconut oil diethanolamine condensate (cocamide diethanolamine)</t>
        </is>
      </c>
      <c r="N189" t="inlineStr">
        <is>
          <t>Saint Lucia</t>
        </is>
      </c>
      <c r="P189" t="inlineStr">
        <is>
          <t>EN 997:2018</t>
        </is>
      </c>
      <c r="T189" t="inlineStr">
        <is>
          <t>Tencel</t>
        </is>
      </c>
    </row>
    <row r="190">
      <c r="L190" t="inlineStr">
        <is>
          <t>Codeine phosphate</t>
        </is>
      </c>
      <c r="N190" t="inlineStr">
        <is>
          <t>Saint Martin</t>
        </is>
      </c>
      <c r="P190" t="inlineStr">
        <is>
          <t>Energy Label Type</t>
        </is>
      </c>
      <c r="T190" t="inlineStr">
        <is>
          <t>Stoneware</t>
        </is>
      </c>
    </row>
    <row r="191">
      <c r="L191" t="inlineStr">
        <is>
          <t>Coke oven emissions</t>
        </is>
      </c>
      <c r="N191" t="inlineStr">
        <is>
          <t>Saint Pierre and Miquelon</t>
        </is>
      </c>
      <c r="P191" t="inlineStr">
        <is>
          <t>Energy Policy Act 1992 Compliant</t>
        </is>
      </c>
      <c r="T191" t="inlineStr">
        <is>
          <t>Tempered Glass</t>
        </is>
      </c>
    </row>
    <row r="192">
      <c r="L192" t="inlineStr">
        <is>
          <t>Colchicine</t>
        </is>
      </c>
      <c r="N192" t="inlineStr">
        <is>
          <t>Saint Vincent and the Grenadines</t>
        </is>
      </c>
      <c r="P192" t="inlineStr">
        <is>
          <t>ENERGY STAR Certified</t>
        </is>
      </c>
      <c r="T192" t="inlineStr">
        <is>
          <t>Tinsel</t>
        </is>
      </c>
    </row>
    <row r="193">
      <c r="L193" t="inlineStr">
        <is>
          <t>Conjugated estrogens</t>
        </is>
      </c>
      <c r="N193" t="inlineStr">
        <is>
          <t>Samoa</t>
        </is>
      </c>
      <c r="P193" t="inlineStr">
        <is>
          <t>EPA Compliant</t>
        </is>
      </c>
      <c r="T193" t="inlineStr">
        <is>
          <t>Steel</t>
        </is>
      </c>
    </row>
    <row r="194">
      <c r="L194" t="inlineStr">
        <is>
          <t>Creosotes</t>
        </is>
      </c>
      <c r="N194" t="inlineStr">
        <is>
          <t>San Marino</t>
        </is>
      </c>
      <c r="P194" t="inlineStr">
        <is>
          <t>EPA Pesticide Registration Number</t>
        </is>
      </c>
      <c r="T194" t="inlineStr">
        <is>
          <t>Solid Wood</t>
        </is>
      </c>
    </row>
    <row r="195">
      <c r="L195" t="inlineStr">
        <is>
          <t>p-Cresidine</t>
        </is>
      </c>
      <c r="N195" t="inlineStr">
        <is>
          <t>Sao Tome and Principe</t>
        </is>
      </c>
      <c r="P195" t="inlineStr">
        <is>
          <t>EPP Compliant</t>
        </is>
      </c>
      <c r="T195" t="inlineStr">
        <is>
          <t>Solid Surface</t>
        </is>
      </c>
    </row>
    <row r="196">
      <c r="L196" t="inlineStr">
        <is>
          <t>Cumene</t>
        </is>
      </c>
      <c r="N196" t="inlineStr">
        <is>
          <t>Saudi Arabia</t>
        </is>
      </c>
      <c r="P196" t="inlineStr">
        <is>
          <t>ETL Listed</t>
        </is>
      </c>
      <c r="T196" t="inlineStr">
        <is>
          <t>Tritan Plastic</t>
        </is>
      </c>
    </row>
    <row r="197">
      <c r="L197" t="inlineStr">
        <is>
          <t>Cupferron</t>
        </is>
      </c>
      <c r="N197" t="inlineStr">
        <is>
          <t>Senegal</t>
        </is>
      </c>
      <c r="P197" t="inlineStr">
        <is>
          <t>EU 2018/1513</t>
        </is>
      </c>
      <c r="T197" t="inlineStr">
        <is>
          <t>Sunbrella®</t>
        </is>
      </c>
    </row>
    <row r="198">
      <c r="L198" t="inlineStr">
        <is>
          <t>Cyanazine</t>
        </is>
      </c>
      <c r="N198" t="inlineStr">
        <is>
          <t>Serbia</t>
        </is>
      </c>
      <c r="P198" t="inlineStr">
        <is>
          <t>EU Energy Efficiency Class</t>
        </is>
      </c>
      <c r="T198" t="inlineStr">
        <is>
          <t>Upholstered</t>
        </is>
      </c>
    </row>
    <row r="199">
      <c r="L199" t="inlineStr">
        <is>
          <t>Cycasin</t>
        </is>
      </c>
      <c r="N199" t="inlineStr">
        <is>
          <t>Seychelles</t>
        </is>
      </c>
      <c r="P199" t="inlineStr">
        <is>
          <t>EuroLatex ECO-Standard</t>
        </is>
      </c>
      <c r="T199" t="inlineStr">
        <is>
          <t>Velour</t>
        </is>
      </c>
    </row>
    <row r="200">
      <c r="L200" t="inlineStr">
        <is>
          <t>Cycloate</t>
        </is>
      </c>
      <c r="N200" t="inlineStr">
        <is>
          <t>Sierra Leone</t>
        </is>
      </c>
      <c r="P200" t="inlineStr">
        <is>
          <t>FCC Compliant</t>
        </is>
      </c>
      <c r="T200" t="inlineStr">
        <is>
          <t>Twig</t>
        </is>
      </c>
    </row>
    <row r="201">
      <c r="L201" t="inlineStr">
        <is>
          <t>Cycloheximide</t>
        </is>
      </c>
      <c r="N201" t="inlineStr">
        <is>
          <t>Singapore</t>
        </is>
      </c>
      <c r="P201" t="inlineStr">
        <is>
          <t>FCC Part 15 Compliant</t>
        </is>
      </c>
      <c r="T201" t="inlineStr">
        <is>
          <t>Velvet</t>
        </is>
      </c>
    </row>
    <row r="202">
      <c r="L202" t="inlineStr">
        <is>
          <t>Cyclopenta[cd]pyrene</t>
        </is>
      </c>
      <c r="N202" t="inlineStr">
        <is>
          <t>Slovakia</t>
        </is>
      </c>
      <c r="P202" t="inlineStr">
        <is>
          <t>FCC Part 68 Compliant</t>
        </is>
      </c>
      <c r="T202" t="inlineStr">
        <is>
          <t>Vitreous China</t>
        </is>
      </c>
    </row>
    <row r="203">
      <c r="L203" t="inlineStr">
        <is>
          <t>Cyclophosphamide (anhydrous)</t>
        </is>
      </c>
      <c r="N203" t="inlineStr">
        <is>
          <t>Slovenia</t>
        </is>
      </c>
      <c r="P203" t="inlineStr">
        <is>
          <t>FIRA Certified</t>
        </is>
      </c>
      <c r="T203" t="inlineStr">
        <is>
          <t>Urethane</t>
        </is>
      </c>
    </row>
    <row r="204">
      <c r="L204" t="inlineStr">
        <is>
          <t>Cyclophosphamide (hydrated)</t>
        </is>
      </c>
      <c r="N204" t="inlineStr">
        <is>
          <t>Solomon Islands</t>
        </is>
      </c>
      <c r="P204" t="inlineStr">
        <is>
          <t>Fire Rated</t>
        </is>
      </c>
      <c r="T204" t="inlineStr">
        <is>
          <t>Zinc</t>
        </is>
      </c>
    </row>
    <row r="205">
      <c r="L205" t="inlineStr">
        <is>
          <t>Cyhexatin</t>
        </is>
      </c>
      <c r="N205" t="inlineStr">
        <is>
          <t>Somalia</t>
        </is>
      </c>
      <c r="P205" t="inlineStr">
        <is>
          <t>FISP Certified</t>
        </is>
      </c>
      <c r="T205" t="inlineStr">
        <is>
          <t>Rattan</t>
        </is>
      </c>
    </row>
    <row r="206">
      <c r="L206" t="inlineStr">
        <is>
          <t>Cytarabine</t>
        </is>
      </c>
      <c r="N206" t="inlineStr">
        <is>
          <t>South Africa</t>
        </is>
      </c>
      <c r="P206" t="inlineStr">
        <is>
          <t>FloorScore Certification</t>
        </is>
      </c>
      <c r="T206" t="inlineStr">
        <is>
          <t>Turkish Cotton</t>
        </is>
      </c>
    </row>
    <row r="207">
      <c r="L207" t="inlineStr">
        <is>
          <t>Cytembena</t>
        </is>
      </c>
      <c r="N207" t="inlineStr">
        <is>
          <t>South Georgia and the South Sandwich Islands</t>
        </is>
      </c>
      <c r="P207" t="inlineStr">
        <is>
          <t>FM Approved</t>
        </is>
      </c>
      <c r="T207" t="inlineStr">
        <is>
          <t>Vinyl</t>
        </is>
      </c>
    </row>
    <row r="208">
      <c r="L208" t="inlineStr">
        <is>
          <t>D&amp;C Orange No. 17</t>
        </is>
      </c>
      <c r="N208" t="inlineStr">
        <is>
          <t>Spain</t>
        </is>
      </c>
      <c r="P208" t="inlineStr">
        <is>
          <t>Food Safe</t>
        </is>
      </c>
      <c r="T208" t="inlineStr">
        <is>
          <t>Wrought Iron</t>
        </is>
      </c>
    </row>
    <row r="209">
      <c r="L209" t="inlineStr">
        <is>
          <t>D&amp;C Red No. 8</t>
        </is>
      </c>
      <c r="N209" t="inlineStr">
        <is>
          <t>Sri Lanka</t>
        </is>
      </c>
      <c r="P209" t="inlineStr">
        <is>
          <t>FSC Certified</t>
        </is>
      </c>
      <c r="T209" t="inlineStr">
        <is>
          <t>Wood</t>
        </is>
      </c>
    </row>
    <row r="210">
      <c r="L210" t="inlineStr">
        <is>
          <t>D&amp;C Red No. 9</t>
        </is>
      </c>
      <c r="N210" t="inlineStr">
        <is>
          <t>Sudan</t>
        </is>
      </c>
      <c r="P210" t="inlineStr">
        <is>
          <t>General Certificate of Conformity (GCC)</t>
        </is>
      </c>
      <c r="T210" t="inlineStr">
        <is>
          <t>Wool</t>
        </is>
      </c>
    </row>
    <row r="211">
      <c r="L211" t="inlineStr">
        <is>
          <t>D&amp;C Red No. 19</t>
        </is>
      </c>
      <c r="N211" t="inlineStr">
        <is>
          <t>Suriname</t>
        </is>
      </c>
      <c r="P211" t="inlineStr">
        <is>
          <t>Glass Doors and Enclosures Regulations SOR/2016-174</t>
        </is>
      </c>
      <c r="T211" t="inlineStr">
        <is>
          <t>Wire</t>
        </is>
      </c>
    </row>
    <row r="212">
      <c r="L212" t="inlineStr">
        <is>
          <t>Dacarbazine</t>
        </is>
      </c>
      <c r="N212" t="inlineStr">
        <is>
          <t>Svalbard and Jan Mayen</t>
        </is>
      </c>
      <c r="P212" t="inlineStr">
        <is>
          <t>Glazed Ceramics and Glassware Regulations SOR/2016-175</t>
        </is>
      </c>
      <c r="T212" t="inlineStr">
        <is>
          <t>Zinc Alloy</t>
        </is>
      </c>
    </row>
    <row r="213">
      <c r="L213" t="inlineStr">
        <is>
          <t>Daminozide</t>
        </is>
      </c>
      <c r="N213" t="inlineStr">
        <is>
          <t>Swaziland</t>
        </is>
      </c>
      <c r="P213" t="inlineStr">
        <is>
          <t>GOLS 3.0 (Global Organic Latex Standard) Certified</t>
        </is>
      </c>
      <c r="T213" t="inlineStr">
        <is>
          <t>Walnut Wood</t>
        </is>
      </c>
    </row>
    <row r="214">
      <c r="L214" t="inlineStr">
        <is>
          <t>Danazol</t>
        </is>
      </c>
      <c r="N214" t="inlineStr">
        <is>
          <t>Sweden</t>
        </is>
      </c>
      <c r="P214" t="inlineStr">
        <is>
          <t>Goodweave Certified</t>
        </is>
      </c>
      <c r="T214" t="inlineStr">
        <is>
          <t>Viscose</t>
        </is>
      </c>
    </row>
    <row r="215">
      <c r="L215" t="inlineStr">
        <is>
          <t>Dantron (Chrysazin; 1,8-Dihydroxyanthraquinone)</t>
        </is>
      </c>
      <c r="N215" t="inlineStr">
        <is>
          <t>Switzerland</t>
        </is>
      </c>
      <c r="P215" t="inlineStr">
        <is>
          <t>GOTS 5.0 (Global Organic Textile Standard) Certified</t>
        </is>
      </c>
      <c r="T215" t="inlineStr">
        <is>
          <t>Wicker</t>
        </is>
      </c>
    </row>
    <row r="216">
      <c r="L216" t="inlineStr">
        <is>
          <t>Daunomycin</t>
        </is>
      </c>
      <c r="N216" t="inlineStr">
        <is>
          <t>Syrian Arab Republic</t>
        </is>
      </c>
      <c r="P216" t="inlineStr">
        <is>
          <t>Green Public Procurement Certified</t>
        </is>
      </c>
      <c r="T216" t="inlineStr">
        <is>
          <t>Wool / Felt</t>
        </is>
      </c>
    </row>
    <row r="217">
      <c r="L217" t="inlineStr">
        <is>
          <t xml:space="preserve">Daunorubicin hydrochloride </t>
        </is>
      </c>
      <c r="N217" t="inlineStr">
        <is>
          <t>Taiwan</t>
        </is>
      </c>
      <c r="P217" t="inlineStr">
        <is>
          <t>GREENGUARD Certified</t>
        </is>
      </c>
      <c r="T217" t="inlineStr">
        <is>
          <t>Charcoal</t>
        </is>
      </c>
    </row>
    <row r="218">
      <c r="L218" t="inlineStr">
        <is>
          <t>2,4-D butyric acid</t>
        </is>
      </c>
      <c r="N218" t="inlineStr">
        <is>
          <t>Tajikistan</t>
        </is>
      </c>
      <c r="P218" t="inlineStr">
        <is>
          <t>GREENGUARD Gold Certified</t>
        </is>
      </c>
      <c r="T218" t="inlineStr">
        <is>
          <t>Enamel Coated Steel</t>
        </is>
      </c>
    </row>
    <row r="219">
      <c r="L219" t="inlineStr">
        <is>
          <t>DDD (Dichlorodiphenyl-dichloroethane)</t>
        </is>
      </c>
      <c r="N219" t="inlineStr">
        <is>
          <t>Tanzania, United Republic of</t>
        </is>
      </c>
      <c r="P219" t="inlineStr">
        <is>
          <t>GS (Geprüfte Sicherheit) verzeichnet</t>
        </is>
      </c>
      <c r="T219" t="inlineStr">
        <is>
          <t>Vinyl Coated Steel</t>
        </is>
      </c>
    </row>
    <row r="220">
      <c r="L220" t="inlineStr">
        <is>
          <t>DDE (Dichlorodiphenyl-dichloroethylene)</t>
        </is>
      </c>
      <c r="N220" t="inlineStr">
        <is>
          <t>Thailand</t>
        </is>
      </c>
      <c r="P220" t="inlineStr">
        <is>
          <t>GSA Approved</t>
        </is>
      </c>
      <c r="T220" t="inlineStr">
        <is>
          <t>Mirror</t>
        </is>
      </c>
    </row>
    <row r="221">
      <c r="L221" t="inlineStr">
        <is>
          <t>DDT (Dichlorodiphenyl-trichloroethane)</t>
        </is>
      </c>
      <c r="N221" t="inlineStr">
        <is>
          <t>Timor-Leste</t>
        </is>
      </c>
      <c r="P221" t="inlineStr">
        <is>
          <t>Health Canada - SOR/2016-176 Compliant</t>
        </is>
      </c>
      <c r="T221" t="inlineStr">
        <is>
          <t>Water Hyacinth</t>
        </is>
      </c>
    </row>
    <row r="222">
      <c r="L222" t="inlineStr">
        <is>
          <t>o,p'-DDT</t>
        </is>
      </c>
      <c r="N222" t="inlineStr">
        <is>
          <t>Togo</t>
        </is>
      </c>
      <c r="P222" t="inlineStr">
        <is>
          <t>Health Canada - SOR/2016-179 Compliant</t>
        </is>
      </c>
    </row>
    <row r="223">
      <c r="L223" t="inlineStr">
        <is>
          <t>p,p'-DDT</t>
        </is>
      </c>
      <c r="N223" t="inlineStr">
        <is>
          <t>Tokelau</t>
        </is>
      </c>
      <c r="P223" t="inlineStr">
        <is>
          <t>Health Canada - SOR/2016-183 Compliant</t>
        </is>
      </c>
    </row>
    <row r="224">
      <c r="L224" t="inlineStr">
        <is>
          <t>DDVP (Dichlorvos)</t>
        </is>
      </c>
      <c r="N224" t="inlineStr">
        <is>
          <t>Tonga</t>
        </is>
      </c>
      <c r="P224" t="inlineStr">
        <is>
          <t>Health Canada Compliant</t>
        </is>
      </c>
    </row>
    <row r="225">
      <c r="L225" t="inlineStr">
        <is>
          <t>Demeclocycline hydrochloride (internal use)</t>
        </is>
      </c>
      <c r="N225" t="inlineStr">
        <is>
          <t>Trinidad and Tobago</t>
        </is>
      </c>
      <c r="P225" t="inlineStr">
        <is>
          <t>HFES 100 Certified Ergonomic</t>
        </is>
      </c>
    </row>
    <row r="226">
      <c r="L226" t="inlineStr">
        <is>
          <t>Des-ethyl atrazine (DEA)</t>
        </is>
      </c>
      <c r="N226" t="inlineStr">
        <is>
          <t>Tunisia</t>
        </is>
      </c>
      <c r="P226" t="inlineStr">
        <is>
          <t>HVI 2100 Certified</t>
        </is>
      </c>
    </row>
    <row r="227">
      <c r="L227" t="inlineStr">
        <is>
          <t>Des-isopropyl atrazine (DIA)</t>
        </is>
      </c>
      <c r="N227" t="inlineStr">
        <is>
          <t>Turkey</t>
        </is>
      </c>
      <c r="P227" t="inlineStr">
        <is>
          <t>HVI Certified</t>
        </is>
      </c>
    </row>
    <row r="228">
      <c r="L228" t="inlineStr">
        <is>
          <t>N,N'-Diacetylbenzidine</t>
        </is>
      </c>
      <c r="N228" t="inlineStr">
        <is>
          <t>Turkmenistan</t>
        </is>
      </c>
      <c r="P228" t="inlineStr">
        <is>
          <t>IAPMO Certified</t>
        </is>
      </c>
    </row>
    <row r="229">
      <c r="L229" t="inlineStr">
        <is>
          <t>2,4-Diaminoanisole</t>
        </is>
      </c>
      <c r="N229" t="inlineStr">
        <is>
          <t>Turks and Caicos Islands</t>
        </is>
      </c>
      <c r="P229" t="inlineStr">
        <is>
          <t>IATA Compliant</t>
        </is>
      </c>
    </row>
    <row r="230">
      <c r="L230" t="inlineStr">
        <is>
          <t>2,4-Diaminoanisole sulfate</t>
        </is>
      </c>
      <c r="N230" t="inlineStr">
        <is>
          <t>Tuvalu</t>
        </is>
      </c>
      <c r="P230" t="inlineStr">
        <is>
          <t>IEC/EN 62471 Compliant</t>
        </is>
      </c>
    </row>
    <row r="231">
      <c r="L231" t="inlineStr">
        <is>
          <t>2,4-Diamino-6-chloro-s-triazine (DACT)</t>
        </is>
      </c>
      <c r="N231" t="inlineStr">
        <is>
          <t>Uganda</t>
        </is>
      </c>
      <c r="P231" t="inlineStr">
        <is>
          <t>Indoor Air Quality Certified</t>
        </is>
      </c>
    </row>
    <row r="232">
      <c r="L232" t="inlineStr">
        <is>
          <t>4,4'-Diaminodiphenyl ether (4,4'-Oxydianiline)</t>
        </is>
      </c>
      <c r="N232" t="inlineStr">
        <is>
          <t>Ukraine</t>
        </is>
      </c>
      <c r="P232" t="inlineStr">
        <is>
          <t>IP Rating</t>
        </is>
      </c>
    </row>
    <row r="233">
      <c r="L233" t="inlineStr">
        <is>
          <t>2,4-Diaminotoluene</t>
        </is>
      </c>
      <c r="N233" t="inlineStr">
        <is>
          <t>United Arab Emirates</t>
        </is>
      </c>
      <c r="P233" t="inlineStr">
        <is>
          <t>IPEMA Certified</t>
        </is>
      </c>
    </row>
    <row r="234">
      <c r="L234" t="inlineStr">
        <is>
          <t>Diazepam</t>
        </is>
      </c>
      <c r="N234" t="inlineStr">
        <is>
          <t>United Kingdom</t>
        </is>
      </c>
      <c r="P234" t="inlineStr">
        <is>
          <t>ISO 14000 Certified</t>
        </is>
      </c>
    </row>
    <row r="235">
      <c r="L235" t="inlineStr">
        <is>
          <t>Diazoaminobenzene</t>
        </is>
      </c>
      <c r="N235" t="inlineStr">
        <is>
          <t>United States Minor Outlying Islands</t>
        </is>
      </c>
      <c r="P235" t="inlineStr">
        <is>
          <t>ISO 14001 Certified</t>
        </is>
      </c>
    </row>
    <row r="236">
      <c r="L236" t="inlineStr">
        <is>
          <t>Diazoxide</t>
        </is>
      </c>
      <c r="N236" t="inlineStr">
        <is>
          <t>Uruguay</t>
        </is>
      </c>
      <c r="P236" t="inlineStr">
        <is>
          <t>ISO 9000 Certified</t>
        </is>
      </c>
    </row>
    <row r="237">
      <c r="L237" t="inlineStr">
        <is>
          <t>Dibenz[a,h]acridine</t>
        </is>
      </c>
      <c r="N237" t="inlineStr">
        <is>
          <t>Uzbekistan</t>
        </is>
      </c>
      <c r="P237" t="inlineStr">
        <is>
          <t>ISO 9001 Certified</t>
        </is>
      </c>
    </row>
    <row r="238">
      <c r="L238" t="inlineStr">
        <is>
          <t>Dibenz[a,j]acridine</t>
        </is>
      </c>
      <c r="N238" t="inlineStr">
        <is>
          <t>Vanuatu</t>
        </is>
      </c>
      <c r="P238" t="inlineStr">
        <is>
          <t>ISTA 1A Certified</t>
        </is>
      </c>
    </row>
    <row r="239">
      <c r="L239" t="inlineStr">
        <is>
          <t>Dibenzanthracenes</t>
        </is>
      </c>
      <c r="N239" t="inlineStr">
        <is>
          <t>Venezuela</t>
        </is>
      </c>
      <c r="P239" t="inlineStr">
        <is>
          <t>ISTA 3A Certified</t>
        </is>
      </c>
    </row>
    <row r="240">
      <c r="L240" t="inlineStr">
        <is>
          <t>Dibenz[a,c]anthracene</t>
        </is>
      </c>
      <c r="N240" t="inlineStr">
        <is>
          <t>Vietnam</t>
        </is>
      </c>
      <c r="P240" t="inlineStr">
        <is>
          <t>ISTA 3A or 6A Certified</t>
        </is>
      </c>
    </row>
    <row r="241">
      <c r="L241" t="inlineStr">
        <is>
          <t>Dibenz[a,h]anthracene</t>
        </is>
      </c>
      <c r="N241" t="inlineStr">
        <is>
          <t>Virgin Islands, British</t>
        </is>
      </c>
      <c r="P241" t="inlineStr">
        <is>
          <t>ISTA1ACertified</t>
        </is>
      </c>
    </row>
    <row r="242">
      <c r="L242" t="inlineStr">
        <is>
          <t>Dibenz[a,j]anthracene</t>
        </is>
      </c>
      <c r="N242" t="inlineStr">
        <is>
          <t>Virgin Islands, U.S.</t>
        </is>
      </c>
      <c r="P242" t="inlineStr">
        <is>
          <t>ISTA3Aor6ACertified</t>
        </is>
      </c>
    </row>
    <row r="243">
      <c r="L243" t="inlineStr">
        <is>
          <t>7H-Dibenzo[c,g]carbazole</t>
        </is>
      </c>
      <c r="N243" t="inlineStr">
        <is>
          <t>Wallis and Futuna</t>
        </is>
      </c>
      <c r="P243" t="inlineStr">
        <is>
          <t>ITSF Compliant</t>
        </is>
      </c>
    </row>
    <row r="244">
      <c r="L244" t="inlineStr">
        <is>
          <t>Dibenzo[a,e]pyrene</t>
        </is>
      </c>
      <c r="N244" t="inlineStr">
        <is>
          <t>Western Sahara</t>
        </is>
      </c>
      <c r="P244" t="inlineStr">
        <is>
          <t>ITTF Approved</t>
        </is>
      </c>
    </row>
    <row r="245">
      <c r="L245" t="inlineStr">
        <is>
          <t>Dibenzo[a,h]pyrene</t>
        </is>
      </c>
      <c r="N245" t="inlineStr">
        <is>
          <t>Yemen</t>
        </is>
      </c>
      <c r="P245" t="inlineStr">
        <is>
          <t>ITTO Compliant</t>
        </is>
      </c>
    </row>
    <row r="246">
      <c r="L246" t="inlineStr">
        <is>
          <t>Dibenzo[a,i]pyrene</t>
        </is>
      </c>
      <c r="N246" t="inlineStr">
        <is>
          <t>Zambia</t>
        </is>
      </c>
      <c r="P246" t="inlineStr">
        <is>
          <t>Janka Hardness Rating (PSI)</t>
        </is>
      </c>
    </row>
    <row r="247">
      <c r="L247" t="inlineStr">
        <is>
          <t>Dibenzo[a,l]pyrene</t>
        </is>
      </c>
      <c r="N247" t="inlineStr">
        <is>
          <t>Zimbabwe</t>
        </is>
      </c>
      <c r="P247" t="inlineStr">
        <is>
          <t>JPMA Certified</t>
        </is>
      </c>
    </row>
    <row r="248">
      <c r="L248" t="inlineStr">
        <is>
          <t>Dibromoacetic acid</t>
        </is>
      </c>
      <c r="N248" t="inlineStr">
        <is>
          <t>United States - APO/FPO/DPO</t>
        </is>
      </c>
      <c r="P248" t="inlineStr">
        <is>
          <t>Kettles Regulations SOR/2016-181</t>
        </is>
      </c>
    </row>
    <row r="249">
      <c r="L249" t="inlineStr">
        <is>
          <t>Dibromoacetonitrile</t>
        </is>
      </c>
      <c r="P249" t="inlineStr">
        <is>
          <t>Lacey Act Compliant</t>
        </is>
      </c>
    </row>
    <row r="250">
      <c r="L250" t="inlineStr">
        <is>
          <t>2,3-Dibromo-1-propanol</t>
        </is>
      </c>
      <c r="P250" t="inlineStr">
        <is>
          <t>LM-79 Certified</t>
        </is>
      </c>
    </row>
    <row r="251">
      <c r="L251" t="inlineStr">
        <is>
          <t>Dichloroacetic acid</t>
        </is>
      </c>
      <c r="P251" t="inlineStr">
        <is>
          <t>LM-80 Certified</t>
        </is>
      </c>
    </row>
    <row r="252">
      <c r="L252" t="inlineStr">
        <is>
          <t>p-Dichlorobenzene</t>
        </is>
      </c>
      <c r="P252" t="inlineStr">
        <is>
          <t>Low Lead Compliant</t>
        </is>
      </c>
    </row>
    <row r="253">
      <c r="L253" t="inlineStr">
        <is>
          <t>3,3'-Dichlorobenzidine</t>
        </is>
      </c>
      <c r="P253" t="inlineStr">
        <is>
          <t>Mattress Flammability Testing - Public Occupancy Use</t>
        </is>
      </c>
    </row>
    <row r="254">
      <c r="L254" t="inlineStr">
        <is>
          <t>3,3'-Dichlorobenzidine dihydrochloride</t>
        </is>
      </c>
      <c r="P254" t="inlineStr">
        <is>
          <t>MERV Rating</t>
        </is>
      </c>
    </row>
    <row r="255">
      <c r="L255" t="inlineStr">
        <is>
          <t>1,1-Dichloro-2,2-bis(p-chloropheny)ethylene (DDE)</t>
        </is>
      </c>
      <c r="P255" t="inlineStr">
        <is>
          <t>MET Listed</t>
        </is>
      </c>
    </row>
    <row r="256">
      <c r="L256" t="inlineStr">
        <is>
          <t>1,4-Dichloro-2-butene</t>
        </is>
      </c>
      <c r="P256" t="inlineStr">
        <is>
          <t>Minnesota 325F.177 Compliant</t>
        </is>
      </c>
    </row>
    <row r="257">
      <c r="L257" t="inlineStr">
        <is>
          <t>3,3'-Dichloro-4,4'-diamino-diphenyl ether</t>
        </is>
      </c>
      <c r="P257" t="inlineStr">
        <is>
          <t>MOHS - Surface Hardness</t>
        </is>
      </c>
    </row>
    <row r="258">
      <c r="L258" t="inlineStr">
        <is>
          <t>1,1-Dichloroethane</t>
        </is>
      </c>
      <c r="P258" t="inlineStr">
        <is>
          <t>NAECA Certified</t>
        </is>
      </c>
    </row>
    <row r="259">
      <c r="L259" t="inlineStr">
        <is>
          <t>Dichloromethane (Methylene chloride)</t>
        </is>
      </c>
      <c r="P259" t="inlineStr">
        <is>
          <t>NAHB Compliant</t>
        </is>
      </c>
    </row>
    <row r="260">
      <c r="L260" t="inlineStr">
        <is>
          <t>Dichlorophene</t>
        </is>
      </c>
      <c r="P260" t="inlineStr">
        <is>
          <t>NEMA Certified</t>
        </is>
      </c>
    </row>
    <row r="261">
      <c r="L261" t="inlineStr">
        <is>
          <t>Dichlorphenamide</t>
        </is>
      </c>
      <c r="P261" t="inlineStr">
        <is>
          <t>New York City Water Regulation Compliant</t>
        </is>
      </c>
    </row>
    <row r="262">
      <c r="L262" t="inlineStr">
        <is>
          <t>1,2-Dichloropropane</t>
        </is>
      </c>
      <c r="P262" t="inlineStr">
        <is>
          <t>NFPA 211 - Standard for Chimeys/ Fireplaces/ Vents and Solid Fuel-Burning Appliances</t>
        </is>
      </c>
    </row>
    <row r="263">
      <c r="L263" t="inlineStr">
        <is>
          <t>1,3-Dichloro-2-propanol (1,3-DCP)</t>
        </is>
      </c>
      <c r="P263" t="inlineStr">
        <is>
          <t>NFPA 253 or ASTM E648 Compliant</t>
        </is>
      </c>
    </row>
    <row r="264">
      <c r="L264" t="inlineStr">
        <is>
          <t>1,3-Dichloropropene</t>
        </is>
      </c>
      <c r="P264" t="inlineStr">
        <is>
          <t>NFPA Compliant</t>
        </is>
      </c>
    </row>
    <row r="265">
      <c r="L265" t="inlineStr">
        <is>
          <t>Dicumarol</t>
        </is>
      </c>
      <c r="P265" t="inlineStr">
        <is>
          <t>NFSI Certified</t>
        </is>
      </c>
    </row>
    <row r="266">
      <c r="L266" t="inlineStr">
        <is>
          <t>Dieldrin</t>
        </is>
      </c>
      <c r="P266" t="inlineStr">
        <is>
          <t>NOMITE Certified</t>
        </is>
      </c>
    </row>
    <row r="267">
      <c r="L267" t="inlineStr">
        <is>
          <t>Diepoxybutane</t>
        </is>
      </c>
      <c r="P267" t="inlineStr">
        <is>
          <t>NRPA Certified</t>
        </is>
      </c>
    </row>
    <row r="268">
      <c r="L268" t="inlineStr">
        <is>
          <t>Diesel engine exhaust</t>
        </is>
      </c>
      <c r="P268" t="inlineStr">
        <is>
          <t>NSF Certified</t>
        </is>
      </c>
    </row>
    <row r="269">
      <c r="L269" t="inlineStr">
        <is>
          <t>Diethanolamine</t>
        </is>
      </c>
      <c r="P269" t="inlineStr">
        <is>
          <t>NSF/ANSI 184 Certified</t>
        </is>
      </c>
    </row>
    <row r="270">
      <c r="L270" t="inlineStr">
        <is>
          <t>Di(2-ethylhexyl)phthalate (DEHP)</t>
        </is>
      </c>
      <c r="P270" t="inlineStr">
        <is>
          <t>NSF/ANSI 3 Certified</t>
        </is>
      </c>
    </row>
    <row r="271">
      <c r="L271" t="inlineStr">
        <is>
          <t>1,2-Diethylhydrazine</t>
        </is>
      </c>
      <c r="P271" t="inlineStr">
        <is>
          <t>FACTS - NSF/ANSI 336 –Compliant</t>
        </is>
      </c>
    </row>
    <row r="272">
      <c r="L272" t="inlineStr">
        <is>
          <t>Diethylstilbestrol (DES)</t>
        </is>
      </c>
      <c r="P272" t="inlineStr">
        <is>
          <t>NSF/ANSI 61 Certified</t>
        </is>
      </c>
    </row>
    <row r="273">
      <c r="L273" t="inlineStr">
        <is>
          <t>Diethyl sulfate</t>
        </is>
      </c>
      <c r="P273" t="inlineStr">
        <is>
          <t>OEKO-TEX Standard 100 Certified</t>
        </is>
      </c>
    </row>
    <row r="274">
      <c r="L274" t="inlineStr">
        <is>
          <t>Diflunisal</t>
        </is>
      </c>
      <c r="P274" t="inlineStr">
        <is>
          <t>OSHA Compliant</t>
        </is>
      </c>
    </row>
    <row r="275">
      <c r="L275" t="inlineStr">
        <is>
          <t>Diglycidyl resorcinol ether (DGRE)</t>
        </is>
      </c>
      <c r="P275" t="inlineStr">
        <is>
          <t>PAT Tested</t>
        </is>
      </c>
    </row>
    <row r="276">
      <c r="L276" t="inlineStr">
        <is>
          <t xml:space="preserve">Dihydroergotamine mesylate </t>
        </is>
      </c>
      <c r="P276" t="inlineStr">
        <is>
          <t>PEFC Certified</t>
        </is>
      </c>
    </row>
    <row r="277">
      <c r="L277" t="inlineStr">
        <is>
          <t>Dihydrosafrole</t>
        </is>
      </c>
      <c r="P277" t="inlineStr">
        <is>
          <t>PEI Rated</t>
        </is>
      </c>
    </row>
    <row r="278">
      <c r="L278" t="inlineStr">
        <is>
          <t>Diisononyl phthalate (DINP)</t>
        </is>
      </c>
      <c r="P278" t="inlineStr">
        <is>
          <t>PEI Rating</t>
        </is>
      </c>
    </row>
    <row r="279">
      <c r="L279" t="inlineStr">
        <is>
          <t>Diisopropyl sulfate</t>
        </is>
      </c>
      <c r="P279" t="inlineStr">
        <is>
          <t>Responsible Down Standard Certified</t>
        </is>
      </c>
    </row>
    <row r="280">
      <c r="L280" t="inlineStr">
        <is>
          <t>Diltiazem hydrochloride</t>
        </is>
      </c>
      <c r="P280" t="inlineStr">
        <is>
          <t>RoHS Compliant</t>
        </is>
      </c>
    </row>
    <row r="281">
      <c r="L281" t="inlineStr">
        <is>
          <t>3,3'-Dimethoxybenzidine (o-Dianisidine)</t>
        </is>
      </c>
      <c r="P281" t="inlineStr">
        <is>
          <t>SATRA Approved</t>
        </is>
      </c>
    </row>
    <row r="282">
      <c r="L282" t="inlineStr">
        <is>
          <t>3,3'-Dimethoxybenzidine dihydrochloride</t>
        </is>
      </c>
      <c r="P282" t="inlineStr">
        <is>
          <t>SCC Compliant</t>
        </is>
      </c>
    </row>
    <row r="283">
      <c r="L283" t="inlineStr">
        <is>
          <t>3,3'-Dimethoxybenzidine-based dyes metabolized to 3,3'-dimethoxybenzidine</t>
        </is>
      </c>
      <c r="P283" t="inlineStr">
        <is>
          <t>SCS Certified</t>
        </is>
      </c>
    </row>
    <row r="284">
      <c r="L284" t="inlineStr">
        <is>
          <t>N,N-Dimethylacetamide</t>
        </is>
      </c>
      <c r="P284" t="inlineStr">
        <is>
          <t>SDWA Compliant</t>
        </is>
      </c>
    </row>
    <row r="285">
      <c r="L285" t="inlineStr">
        <is>
          <t>4-Dimethylaminoazobenzene</t>
        </is>
      </c>
      <c r="P285" t="inlineStr">
        <is>
          <t>SFI Certified</t>
        </is>
      </c>
    </row>
    <row r="286">
      <c r="L286" t="inlineStr">
        <is>
          <t>trans-2-[(Dimethylamino)methylimino]-5-[2-(5-nitro-2-furyl)vinyl]-1,3,4-oxadiazole</t>
        </is>
      </c>
      <c r="P286" t="inlineStr">
        <is>
          <t>SOR/2016-152 - Canadian Regulation - Cribs/ Cradles and Bassinets</t>
        </is>
      </c>
    </row>
    <row r="287">
      <c r="L287" t="inlineStr">
        <is>
          <t>7,12-Dimethylbenz(a)anthracene</t>
        </is>
      </c>
      <c r="P287" t="inlineStr">
        <is>
          <t>SOR/2016-193 - Surface Coating Materials Regulations</t>
        </is>
      </c>
    </row>
    <row r="288">
      <c r="L288" t="inlineStr">
        <is>
          <t>3,3'-Dimethylbenzidine (ortho-Tolidine)</t>
        </is>
      </c>
      <c r="P288" t="inlineStr">
        <is>
          <t>SOR/2018-83 -Consumer Products Containing Lead Regulations</t>
        </is>
      </c>
    </row>
    <row r="289">
      <c r="L289" t="inlineStr">
        <is>
          <t>3,3'-Dimethylbenzidine-based dyes metabolized to 3,3'-dimethylbenzidine</t>
        </is>
      </c>
      <c r="P289" t="inlineStr">
        <is>
          <t>Stiftung Warentest Note</t>
        </is>
      </c>
    </row>
    <row r="290">
      <c r="L290" t="inlineStr">
        <is>
          <t>3,3'-Dimethylbenzidine dihydrochloride</t>
        </is>
      </c>
      <c r="P290" t="inlineStr">
        <is>
          <t>TAA Compliant</t>
        </is>
      </c>
    </row>
    <row r="291">
      <c r="L291" t="inlineStr">
        <is>
          <t>Dimethylcarbamoyl chloride</t>
        </is>
      </c>
      <c r="P291" t="inlineStr">
        <is>
          <t>TCLP Compliant</t>
        </is>
      </c>
    </row>
    <row r="292">
      <c r="L292" t="inlineStr">
        <is>
          <t>N,N-Dimethylformamide</t>
        </is>
      </c>
      <c r="P292" t="inlineStr">
        <is>
          <t>Textile Flammability Regulations SOR/2016-194</t>
        </is>
      </c>
    </row>
    <row r="293">
      <c r="L293" t="inlineStr">
        <is>
          <t>1,1-Dimethylhydrazine (UDMH)</t>
        </is>
      </c>
      <c r="P293" t="inlineStr">
        <is>
          <t>Textile Labelling and Advertising Regulations (C.R.C./ c. 1551)</t>
        </is>
      </c>
    </row>
    <row r="294">
      <c r="L294" t="inlineStr">
        <is>
          <t>1,2-Dimethylhydrazine</t>
        </is>
      </c>
      <c r="P294" t="inlineStr">
        <is>
          <t>Tipover Restraint Device Included</t>
        </is>
      </c>
    </row>
    <row r="295">
      <c r="L295" t="inlineStr">
        <is>
          <t>2,6-Dimethyl-N-nitrosomorpholine (DMNM)</t>
        </is>
      </c>
      <c r="P295" t="inlineStr">
        <is>
          <t>Title 20 - California Code of Regulations</t>
        </is>
      </c>
    </row>
    <row r="296">
      <c r="L296" t="inlineStr">
        <is>
          <t>Dimethyl sulfate</t>
        </is>
      </c>
      <c r="P296" t="inlineStr">
        <is>
          <t>Title 24 Compliant</t>
        </is>
      </c>
    </row>
    <row r="297">
      <c r="L297" t="inlineStr">
        <is>
          <t>N,N-Dimethyl-p-toluidine</t>
        </is>
      </c>
      <c r="P297" t="inlineStr">
        <is>
          <t>Toys Regulations SOR/2016-195</t>
        </is>
      </c>
    </row>
    <row r="298">
      <c r="L298" t="inlineStr">
        <is>
          <t>Dimethylvinylchloride</t>
        </is>
      </c>
      <c r="P298" t="inlineStr">
        <is>
          <t>TSA Compliant</t>
        </is>
      </c>
    </row>
    <row r="299">
      <c r="L299" t="inlineStr">
        <is>
          <t>Di-n-butyl phthalate (DBP)</t>
        </is>
      </c>
      <c r="P299" t="inlineStr">
        <is>
          <t>TSCA Title VI Compliant (formaldehyde emissions)</t>
        </is>
      </c>
    </row>
    <row r="300">
      <c r="L300" t="inlineStr">
        <is>
          <t>3,7-Dinitrofluoranthene</t>
        </is>
      </c>
      <c r="P300" t="inlineStr">
        <is>
          <t>TÜV Rheinland zertifiziert</t>
        </is>
      </c>
    </row>
    <row r="301">
      <c r="L301" t="inlineStr">
        <is>
          <t>3,9-Dinitrofluoranthene</t>
        </is>
      </c>
      <c r="P301" t="inlineStr">
        <is>
          <t>UL 10B Compliant</t>
        </is>
      </c>
    </row>
    <row r="302">
      <c r="L302" t="inlineStr">
        <is>
          <t>1,3-Dinitropyrene</t>
        </is>
      </c>
      <c r="P302" t="inlineStr">
        <is>
          <t>UL 10C Compliant</t>
        </is>
      </c>
    </row>
    <row r="303">
      <c r="L303" t="inlineStr">
        <is>
          <t>1,6-Dinitropyrene</t>
        </is>
      </c>
      <c r="P303" t="inlineStr">
        <is>
          <t>UL 1678 Listed</t>
        </is>
      </c>
    </row>
    <row r="304">
      <c r="L304" t="inlineStr">
        <is>
          <t>1,8-Dinitropyrene</t>
        </is>
      </c>
      <c r="P304" t="inlineStr">
        <is>
          <t>UL 1951 Listed</t>
        </is>
      </c>
    </row>
    <row r="305">
      <c r="L305" t="inlineStr">
        <is>
          <t>2,4-Dinitrotoluene</t>
        </is>
      </c>
      <c r="P305" t="inlineStr">
        <is>
          <t>UL 2108 Listed</t>
        </is>
      </c>
    </row>
    <row r="306">
      <c r="L306" t="inlineStr">
        <is>
          <t>2,6-Dinitrotoluene</t>
        </is>
      </c>
      <c r="P306" t="inlineStr">
        <is>
          <t>UL 4041 - Safety Standard for Outdoor Furniture</t>
        </is>
      </c>
    </row>
    <row r="307">
      <c r="L307" t="inlineStr">
        <is>
          <t>Dinitrotoluene mixture, 2,4-/2,6-</t>
        </is>
      </c>
      <c r="P307" t="inlineStr">
        <is>
          <t>UL Gas-Fired Mark</t>
        </is>
      </c>
    </row>
    <row r="308">
      <c r="L308" t="inlineStr">
        <is>
          <t>Dinocap</t>
        </is>
      </c>
      <c r="P308" t="inlineStr">
        <is>
          <t>UL Listed</t>
        </is>
      </c>
    </row>
    <row r="309">
      <c r="L309" t="inlineStr">
        <is>
          <t>Dinoseb</t>
        </is>
      </c>
      <c r="P309" t="inlineStr">
        <is>
          <t>UN 38.3 Testing Requirements</t>
        </is>
      </c>
    </row>
    <row r="310">
      <c r="L310" t="inlineStr">
        <is>
          <t>Di-n-propyl isocinchomeronate (MGK Repellent 326)</t>
        </is>
      </c>
      <c r="P310" t="inlineStr">
        <is>
          <t>Uniform Packaging and Labeling Regulations (UPLR) Compliant</t>
        </is>
      </c>
    </row>
    <row r="311">
      <c r="L311" t="inlineStr">
        <is>
          <t>1,4-Dioxane</t>
        </is>
      </c>
      <c r="P311" t="inlineStr">
        <is>
          <t>UPC Certified</t>
        </is>
      </c>
    </row>
    <row r="312">
      <c r="L312" t="inlineStr">
        <is>
          <t>Diphenylhydantoin (Phenytoin)</t>
        </is>
      </c>
      <c r="P312" t="inlineStr">
        <is>
          <t>USATT Approved</t>
        </is>
      </c>
    </row>
    <row r="313">
      <c r="L313" t="inlineStr">
        <is>
          <t>Diphenylhydantoin (Phenytoin), sodium salt</t>
        </is>
      </c>
      <c r="P313" t="inlineStr">
        <is>
          <t>USDA Compliant</t>
        </is>
      </c>
    </row>
    <row r="314">
      <c r="L314" t="inlineStr">
        <is>
          <t>Direct Black 38 (technical grade)</t>
        </is>
      </c>
      <c r="P314" t="inlineStr">
        <is>
          <t>USDA Organic/ NOP Certified</t>
        </is>
      </c>
    </row>
    <row r="315">
      <c r="L315" t="inlineStr">
        <is>
          <t>Direct Blue 6 (technical grade)</t>
        </is>
      </c>
      <c r="P315" t="inlineStr">
        <is>
          <t>USPS Approved</t>
        </is>
      </c>
    </row>
    <row r="316">
      <c r="L316" t="inlineStr">
        <is>
          <t>Direct Brown 95 (technical grade)</t>
        </is>
      </c>
      <c r="P316" t="inlineStr">
        <is>
          <t>Vermont Act 193 Compliant</t>
        </is>
      </c>
    </row>
    <row r="317">
      <c r="L317" t="inlineStr">
        <is>
          <t>Disodium cyanodithioimidocarbonate</t>
        </is>
      </c>
      <c r="P317" t="inlineStr">
        <is>
          <t>Washington Children's Safe Product Act</t>
        </is>
      </c>
    </row>
    <row r="318">
      <c r="L318" t="inlineStr">
        <is>
          <t>Disperse Blue 1</t>
        </is>
      </c>
      <c r="P318" t="inlineStr">
        <is>
          <t>Washington State VIAQ Code Compliant</t>
        </is>
      </c>
    </row>
    <row r="319">
      <c r="L319" t="inlineStr">
        <is>
          <t>Diuron</t>
        </is>
      </c>
      <c r="P319" t="inlineStr">
        <is>
          <t>WQA Gold Seal Certified</t>
        </is>
      </c>
    </row>
    <row r="320">
      <c r="L320" t="inlineStr">
        <is>
          <t>Doxorubicin hydrochloride (Adriamycin)</t>
        </is>
      </c>
      <c r="P320" t="inlineStr">
        <is>
          <t>WW-P-541 Certified</t>
        </is>
      </c>
    </row>
    <row r="321">
      <c r="L321" t="inlineStr">
        <is>
          <t>Doxycycline (internal use)</t>
        </is>
      </c>
      <c r="P321" t="inlineStr">
        <is>
          <t>Safety Data Sheets (SDS)</t>
        </is>
      </c>
    </row>
    <row r="322">
      <c r="L322" t="inlineStr">
        <is>
          <t>Doxycycline calcium (internal use)</t>
        </is>
      </c>
      <c r="P322" t="inlineStr">
        <is>
          <t>Canadian Energy Label (EnerGuide)</t>
        </is>
      </c>
    </row>
    <row r="323">
      <c r="L323" t="inlineStr">
        <is>
          <t>Doxycycline hyclate (internal use)</t>
        </is>
      </c>
      <c r="P323" t="inlineStr">
        <is>
          <t>GS Marked</t>
        </is>
      </c>
    </row>
    <row r="324">
      <c r="L324" t="inlineStr">
        <is>
          <t>Doxycycline monohydrate (internal use)</t>
        </is>
      </c>
      <c r="P324" t="inlineStr">
        <is>
          <t>DIN EN 1860</t>
        </is>
      </c>
    </row>
    <row r="325">
      <c r="L325" t="inlineStr">
        <is>
          <t>Emissions from combustion of coal</t>
        </is>
      </c>
      <c r="P325" t="inlineStr">
        <is>
          <t>EN 17072:2018</t>
        </is>
      </c>
    </row>
    <row r="326">
      <c r="L326" t="inlineStr">
        <is>
          <t>Emissions from high-temperature unrefined rapeseed oil</t>
        </is>
      </c>
      <c r="P326" t="inlineStr">
        <is>
          <t>UKCA Marked</t>
        </is>
      </c>
    </row>
    <row r="327">
      <c r="L327" t="inlineStr">
        <is>
          <t>Endrin</t>
        </is>
      </c>
      <c r="P327" t="inlineStr">
        <is>
          <t>ASTM F1169-19 Compliant - Safety Specification for Full Sized Baby Cribs</t>
        </is>
      </c>
    </row>
    <row r="328">
      <c r="L328" t="inlineStr">
        <is>
          <t>Environmental tobacco smoke (ETS)</t>
        </is>
      </c>
      <c r="P328" t="inlineStr">
        <is>
          <t>ASTM F2933-19 Certified</t>
        </is>
      </c>
    </row>
    <row r="329">
      <c r="L329" t="inlineStr">
        <is>
          <t>Epichlorohydrin</t>
        </is>
      </c>
      <c r="P329" t="inlineStr">
        <is>
          <t>ASTM F1912-19 Certified</t>
        </is>
      </c>
    </row>
    <row r="330">
      <c r="L330" t="inlineStr">
        <is>
          <t>Epoxiconazole</t>
        </is>
      </c>
      <c r="P330" t="inlineStr">
        <is>
          <t>ASTM F2088-20 Certified</t>
        </is>
      </c>
    </row>
    <row r="331">
      <c r="L331" t="inlineStr">
        <is>
          <t>Ergotamine tartrate</t>
        </is>
      </c>
      <c r="P331" t="inlineStr">
        <is>
          <t>ASTM F1427-19 - Consumer Safety Specification for Bunk Beds</t>
        </is>
      </c>
    </row>
    <row r="332">
      <c r="L332" t="inlineStr">
        <is>
          <t>Estradiol 17B</t>
        </is>
      </c>
      <c r="P332" t="inlineStr">
        <is>
          <t>ASTM F2085-19 Certified</t>
        </is>
      </c>
    </row>
    <row r="333">
      <c r="L333" t="inlineStr">
        <is>
          <t>Estragole</t>
        </is>
      </c>
      <c r="P333" t="inlineStr">
        <is>
          <t>ASTM F2613-19 Certified</t>
        </is>
      </c>
    </row>
    <row r="334">
      <c r="L334" t="inlineStr">
        <is>
          <t>Estrogens, steroidal</t>
        </is>
      </c>
      <c r="P334" t="inlineStr">
        <is>
          <t>ASTM F3084-20 Certified</t>
        </is>
      </c>
    </row>
    <row r="335">
      <c r="L335" t="inlineStr">
        <is>
          <t>Estrogen-progestogen (combined) used as menopausal therapy</t>
        </is>
      </c>
      <c r="P335" t="inlineStr">
        <is>
          <t>TÜV SÜD Certified</t>
        </is>
      </c>
    </row>
    <row r="336">
      <c r="L336" t="inlineStr">
        <is>
          <t>Estrone</t>
        </is>
      </c>
      <c r="P336" t="inlineStr">
        <is>
          <t>BS EN 442-1:2014 - Requirements for Radiators and Convectors</t>
        </is>
      </c>
    </row>
    <row r="337">
      <c r="L337" t="inlineStr">
        <is>
          <t>Estropipate</t>
        </is>
      </c>
      <c r="P337" t="inlineStr">
        <is>
          <t>CSA B45.5/IAPMO Z124</t>
        </is>
      </c>
    </row>
    <row r="338">
      <c r="L338" t="inlineStr">
        <is>
          <t>Ethanol in alcoholic beverages</t>
        </is>
      </c>
      <c r="P338" t="inlineStr">
        <is>
          <t>ASTM F3429 / F3429M – 20 Compliant - Standard Specification for Disposable Flammable Liquid Fuel Containers</t>
        </is>
      </c>
    </row>
    <row r="339">
      <c r="L339" t="inlineStr">
        <is>
          <t>Ethinylestradiol</t>
        </is>
      </c>
      <c r="P339" t="inlineStr">
        <is>
          <t>REACH (Registration/ Evaluation/ Authorisation and Restriction of Chemicals) Compliant</t>
        </is>
      </c>
    </row>
    <row r="340">
      <c r="L340" t="inlineStr">
        <is>
          <t>Ethionamide</t>
        </is>
      </c>
      <c r="P340" t="inlineStr">
        <is>
          <t>ASTM F1148-20</t>
        </is>
      </c>
    </row>
    <row r="341">
      <c r="L341" t="inlineStr">
        <is>
          <t>Ethoprop</t>
        </is>
      </c>
      <c r="P341" t="inlineStr">
        <is>
          <t>EN 1130:2019 (Safety Requirements for Cribs and Cradles) - EU ONLY</t>
        </is>
      </c>
    </row>
    <row r="342">
      <c r="L342" t="inlineStr">
        <is>
          <t>Ethyl acrylate</t>
        </is>
      </c>
      <c r="P342" t="inlineStr">
        <is>
          <t>UK General Product Safety Regulation</t>
        </is>
      </c>
    </row>
    <row r="343">
      <c r="L343" t="inlineStr">
        <is>
          <t>Ethyl alcohol in alcoholic beverages</t>
        </is>
      </c>
      <c r="P343" t="inlineStr">
        <is>
          <t>EN 16582 - Requirements for Domestic Swimming Pools</t>
        </is>
      </c>
    </row>
    <row r="344">
      <c r="L344" t="inlineStr">
        <is>
          <t>Ethylbenzene</t>
        </is>
      </c>
      <c r="P344" t="inlineStr">
        <is>
          <t>EN 16713 - Requirements for Filtration Systems/ Circulation Systems/ and Treatment in Domestic Swimming Pools</t>
        </is>
      </c>
    </row>
    <row r="345">
      <c r="L345" t="inlineStr">
        <is>
          <t>Ethyl dipropylthiocarbamate</t>
        </is>
      </c>
      <c r="P345" t="inlineStr">
        <is>
          <t>EN 1021 1&amp;2 - Furniture Flammability Standard</t>
        </is>
      </c>
    </row>
    <row r="346">
      <c r="L346" t="inlineStr">
        <is>
          <t>Ethyl-4,4'-dichlorobenzilate</t>
        </is>
      </c>
      <c r="P346" t="inlineStr">
        <is>
          <t>FIRA/FRQG C001:2016 - General Safety Requirements for Children's Furniture</t>
        </is>
      </c>
    </row>
    <row r="347">
      <c r="L347" t="inlineStr">
        <is>
          <t>Ethylene dibromide</t>
        </is>
      </c>
      <c r="P347" t="inlineStr">
        <is>
          <t>BS 8509 - British Safety Standard for Children's Beds</t>
        </is>
      </c>
    </row>
    <row r="348">
      <c r="L348" t="inlineStr">
        <is>
          <t>Ethylene dichloride (1,2-Dichloroethane)</t>
        </is>
      </c>
      <c r="P348" t="inlineStr">
        <is>
          <t>FIRA/FRQG C002:2016 - Seating: Requirements for Strength/ Stability/ and Durability</t>
        </is>
      </c>
    </row>
    <row r="349">
      <c r="L349" t="inlineStr">
        <is>
          <t>Ethylene glycol (ingested)</t>
        </is>
      </c>
      <c r="P349" t="inlineStr">
        <is>
          <t>FIRA/FRQG C003:2016 - Tables and desks: Requirements for strength/ stability and durability</t>
        </is>
      </c>
    </row>
    <row r="350">
      <c r="L350" t="inlineStr">
        <is>
          <t>Ethylene glycol monoethyl ether</t>
        </is>
      </c>
      <c r="P350" t="inlineStr">
        <is>
          <t>FIRA/FRQG C004:2016 - Storage furniture – Requirements for strength/ stability and durability</t>
        </is>
      </c>
    </row>
    <row r="351">
      <c r="L351" t="inlineStr">
        <is>
          <t>Ethylene glycol monoethyl ether acetate</t>
        </is>
      </c>
      <c r="P351" t="inlineStr">
        <is>
          <t>EN 71-8:2018 Compliant</t>
        </is>
      </c>
    </row>
    <row r="352">
      <c r="L352" t="inlineStr">
        <is>
          <t>Ethylene glycol monomethyl ether</t>
        </is>
      </c>
      <c r="P352" t="inlineStr">
        <is>
          <t>EN 71-1:2014 + A1:2018</t>
        </is>
      </c>
    </row>
    <row r="353">
      <c r="L353" t="inlineStr">
        <is>
          <t>Ethylene glycol monomethyl ether acetate</t>
        </is>
      </c>
      <c r="P353" t="inlineStr">
        <is>
          <t>EN 62115:2005+A11:2012</t>
        </is>
      </c>
    </row>
    <row r="354">
      <c r="L354" t="inlineStr">
        <is>
          <t>Ethyleneimine (Aziridine)</t>
        </is>
      </c>
      <c r="P354" t="inlineStr">
        <is>
          <t>EU: 2006/42/EC - EU Machinery Directive</t>
        </is>
      </c>
    </row>
    <row r="355">
      <c r="L355" t="inlineStr">
        <is>
          <t>Ethylene oxide</t>
        </is>
      </c>
      <c r="P355" t="inlineStr">
        <is>
          <t>CPSC - 16 CFR 1222 Compliant</t>
        </is>
      </c>
    </row>
    <row r="356">
      <c r="L356" t="inlineStr">
        <is>
          <t>Ethylene thiourea</t>
        </is>
      </c>
      <c r="P356" t="inlineStr">
        <is>
          <t>CPSC 16 CFR 1227.2</t>
        </is>
      </c>
    </row>
    <row r="357">
      <c r="L357" t="inlineStr">
        <is>
          <t>Ethyl methanesulfonate</t>
        </is>
      </c>
      <c r="P357" t="inlineStr">
        <is>
          <t>EN 16890: 2017</t>
        </is>
      </c>
    </row>
    <row r="358">
      <c r="L358" t="inlineStr">
        <is>
          <t>Etodolac</t>
        </is>
      </c>
      <c r="P358" t="inlineStr">
        <is>
          <t>SOR/2016-167 - Carriages and Strollers Regulations</t>
        </is>
      </c>
    </row>
    <row r="359">
      <c r="L359" t="inlineStr">
        <is>
          <t>Etoposide</t>
        </is>
      </c>
      <c r="P359" t="inlineStr">
        <is>
          <t>Recycled Content</t>
        </is>
      </c>
    </row>
    <row r="360">
      <c r="L360" t="inlineStr">
        <is>
          <t>Etoposide in combination with cisplatin and bleomycin</t>
        </is>
      </c>
      <c r="P360" t="inlineStr">
        <is>
          <t>Global Recycled Standard (Textile Exchange) Certified</t>
        </is>
      </c>
    </row>
    <row r="361">
      <c r="L361" t="inlineStr">
        <is>
          <t>Etretinate</t>
        </is>
      </c>
      <c r="P361" t="inlineStr">
        <is>
          <t>Recycled Claim Standard (Textile Exchange) Certified</t>
        </is>
      </c>
    </row>
    <row r="362">
      <c r="L362" t="inlineStr">
        <is>
          <t>Fenoxaprop ethyl</t>
        </is>
      </c>
      <c r="P362" t="inlineStr">
        <is>
          <t>ISO 14021 Recycled Content Standard Certified</t>
        </is>
      </c>
    </row>
    <row r="363">
      <c r="L363" t="inlineStr">
        <is>
          <t>Fenoxycarb</t>
        </is>
      </c>
      <c r="P363" t="inlineStr">
        <is>
          <t>Organic Content Standard (Textile Exchange) Certified</t>
        </is>
      </c>
    </row>
    <row r="364">
      <c r="L364" t="inlineStr">
        <is>
          <t>Filgrastim</t>
        </is>
      </c>
      <c r="P364" t="inlineStr">
        <is>
          <t>Asthma and Allergy Friendly Certified</t>
        </is>
      </c>
    </row>
    <row r="365">
      <c r="L365" t="inlineStr">
        <is>
          <t>Fluazifop butyl</t>
        </is>
      </c>
      <c r="P365" t="inlineStr">
        <is>
          <t>British Allergy Foundation Seal of Approval</t>
        </is>
      </c>
    </row>
    <row r="366">
      <c r="L366" t="inlineStr">
        <is>
          <t>Flunisolide</t>
        </is>
      </c>
      <c r="P366" t="inlineStr">
        <is>
          <t>Carbon Neutral Certifications</t>
        </is>
      </c>
    </row>
    <row r="367">
      <c r="L367" t="inlineStr">
        <is>
          <t>Fluorouracil</t>
        </is>
      </c>
      <c r="P367" t="inlineStr">
        <is>
          <t>Golden M Certified</t>
        </is>
      </c>
    </row>
    <row r="368">
      <c r="L368" t="inlineStr">
        <is>
          <t>Fluoxymesterone</t>
        </is>
      </c>
      <c r="P368" t="inlineStr">
        <is>
          <t>MAS Certified Green</t>
        </is>
      </c>
    </row>
    <row r="369">
      <c r="L369" t="inlineStr">
        <is>
          <t>Flurazepam hydrochloride</t>
        </is>
      </c>
      <c r="P369" t="inlineStr">
        <is>
          <t>FloorScore Certified</t>
        </is>
      </c>
    </row>
    <row r="370">
      <c r="L370" t="inlineStr">
        <is>
          <t>Flurbiprofen</t>
        </is>
      </c>
      <c r="P370" t="inlineStr">
        <is>
          <t>CertiPUR-EU Certified</t>
        </is>
      </c>
    </row>
    <row r="371">
      <c r="L371" t="inlineStr">
        <is>
          <t>Flutamide</t>
        </is>
      </c>
      <c r="P371" t="inlineStr">
        <is>
          <t>EU Ecolabel</t>
        </is>
      </c>
    </row>
    <row r="372">
      <c r="L372" t="inlineStr">
        <is>
          <t>Fluticasone propionate</t>
        </is>
      </c>
      <c r="P372" t="inlineStr">
        <is>
          <t>EPA WaterSense Certified</t>
        </is>
      </c>
    </row>
    <row r="373">
      <c r="L373" t="inlineStr">
        <is>
          <t>Fluvalinate</t>
        </is>
      </c>
      <c r="P373" t="inlineStr">
        <is>
          <t>Blue Angel Certified</t>
        </is>
      </c>
    </row>
    <row r="374">
      <c r="L374" t="inlineStr">
        <is>
          <t>Folpet</t>
        </is>
      </c>
      <c r="P374" t="inlineStr">
        <is>
          <t>Responsible Down Standard (Textile Exchange) Certified</t>
        </is>
      </c>
    </row>
    <row r="375">
      <c r="L375" t="inlineStr">
        <is>
          <t>Formaldehyde (gas)</t>
        </is>
      </c>
      <c r="P375" t="inlineStr">
        <is>
          <t>Bluesign Certified</t>
        </is>
      </c>
    </row>
    <row r="376">
      <c r="L376" t="inlineStr">
        <is>
          <t>2-(2-Formylhydrazino)-4-(5-nitro-2-furyl)thiazole</t>
        </is>
      </c>
      <c r="P376" t="inlineStr">
        <is>
          <t>GreenScreen Certified</t>
        </is>
      </c>
    </row>
    <row r="377">
      <c r="L377" t="inlineStr">
        <is>
          <t>Fumonisin B1</t>
        </is>
      </c>
      <c r="P377" t="inlineStr">
        <is>
          <t>MADE SAFE Certified</t>
        </is>
      </c>
    </row>
    <row r="378">
      <c r="L378" t="inlineStr">
        <is>
          <t>Furan</t>
        </is>
      </c>
      <c r="P378" t="inlineStr">
        <is>
          <t>Responsible Wool Standard (Textile Exchange) Certified</t>
        </is>
      </c>
    </row>
    <row r="379">
      <c r="L379" t="inlineStr">
        <is>
          <t>Furazolidone</t>
        </is>
      </c>
      <c r="P379" t="inlineStr">
        <is>
          <t>Das Kork Logo Certified</t>
        </is>
      </c>
    </row>
    <row r="380">
      <c r="L380" t="inlineStr">
        <is>
          <t>Furfuryl alcohol</t>
        </is>
      </c>
      <c r="P380" t="inlineStr">
        <is>
          <t>DGM Emissions Label for Furniture</t>
        </is>
      </c>
    </row>
    <row r="381">
      <c r="L381" t="inlineStr">
        <is>
          <t>Furmecyclox</t>
        </is>
      </c>
      <c r="P381" t="inlineStr">
        <is>
          <t>GUT Label</t>
        </is>
      </c>
    </row>
    <row r="382">
      <c r="L382" t="inlineStr">
        <is>
          <t>Fusarin C</t>
        </is>
      </c>
      <c r="P382" t="inlineStr">
        <is>
          <t>LEVEL - ANSI/BIFMA e3 Furniture Sustainability Standard - Certified</t>
        </is>
      </c>
    </row>
    <row r="383">
      <c r="L383" t="inlineStr">
        <is>
          <t>Gallium arsenide</t>
        </is>
      </c>
      <c r="P383" t="inlineStr">
        <is>
          <t>Natureplus Eco-Label</t>
        </is>
      </c>
    </row>
    <row r="384">
      <c r="L384" t="inlineStr">
        <is>
          <t>Ganciclovir</t>
        </is>
      </c>
      <c r="P384" t="inlineStr">
        <is>
          <t>NATURLEDER IVN Certified</t>
        </is>
      </c>
    </row>
    <row r="385">
      <c r="L385" t="inlineStr">
        <is>
          <t>Ganciclovir sodium</t>
        </is>
      </c>
      <c r="P385" t="inlineStr">
        <is>
          <t>NATURTEXTIL IVN Certified BEST</t>
        </is>
      </c>
    </row>
    <row r="386">
      <c r="L386" t="inlineStr">
        <is>
          <t>Gasoline engine exhaust (condensates/extracts)</t>
        </is>
      </c>
      <c r="P386" t="inlineStr">
        <is>
          <t>ÖkoControl Seal</t>
        </is>
      </c>
    </row>
    <row r="387">
      <c r="L387" t="inlineStr">
        <is>
          <t>Gemfibrozil</t>
        </is>
      </c>
      <c r="P387" t="inlineStr">
        <is>
          <t>Sustainability Assessment for Carpet - NSF/ANSI 140 - Compliant</t>
        </is>
      </c>
    </row>
    <row r="388">
      <c r="L388" t="inlineStr">
        <is>
          <t>Glass wool fibers (inhalable and biopersistent)</t>
        </is>
      </c>
      <c r="P388" t="inlineStr">
        <is>
          <t>Sustainability Assessment for Wallcovering Products - NSF/ANSI 342 - Compliant</t>
        </is>
      </c>
    </row>
    <row r="389">
      <c r="L389" t="inlineStr">
        <is>
          <t>Glu-P-1 (2-Amino-6-methyldipyrido[1,2- a:3',2'-d]imidazole)</t>
        </is>
      </c>
      <c r="P389" t="inlineStr">
        <is>
          <t>Type III Product Specific Environmental Product Declaration (EPD)</t>
        </is>
      </c>
    </row>
    <row r="390">
      <c r="L390" t="inlineStr">
        <is>
          <t>Glu-P-2 (2-Aminodipyrido[1,2-a:3',2'-d]imidazole)</t>
        </is>
      </c>
      <c r="P390" t="inlineStr">
        <is>
          <t>UL ECOLOGO Certified</t>
        </is>
      </c>
    </row>
    <row r="391">
      <c r="L391" t="inlineStr">
        <is>
          <t>Glycidaldehyde</t>
        </is>
      </c>
      <c r="P391" t="inlineStr">
        <is>
          <t>USDA BioBased Product</t>
        </is>
      </c>
    </row>
    <row r="392">
      <c r="L392" t="inlineStr">
        <is>
          <t>Glycidol</t>
        </is>
      </c>
      <c r="P392" t="inlineStr">
        <is>
          <t>DOWNPASS Certified</t>
        </is>
      </c>
    </row>
    <row r="393">
      <c r="L393" t="inlineStr">
        <is>
          <t>Glyphosate</t>
        </is>
      </c>
      <c r="P393" t="inlineStr">
        <is>
          <t>Green Squared (G2) Certified</t>
        </is>
      </c>
    </row>
    <row r="394">
      <c r="L394" t="inlineStr">
        <is>
          <t>Goldenseal root powder</t>
        </is>
      </c>
      <c r="P394" t="inlineStr">
        <is>
          <t>FairTrade Certified</t>
        </is>
      </c>
    </row>
    <row r="395">
      <c r="L395" t="inlineStr">
        <is>
          <t>Goserelin acetate</t>
        </is>
      </c>
      <c r="P395" t="inlineStr">
        <is>
          <t>FairTrade Certified Cotton</t>
        </is>
      </c>
    </row>
    <row r="396">
      <c r="L396" t="inlineStr">
        <is>
          <t>Griseofulvin</t>
        </is>
      </c>
      <c r="P396" t="inlineStr">
        <is>
          <t>FSC 100% Certified</t>
        </is>
      </c>
    </row>
    <row r="397">
      <c r="L397" t="inlineStr">
        <is>
          <t>Gyromitrin (Acetaldehyde methylformylhydrazone)</t>
        </is>
      </c>
      <c r="P397" t="inlineStr">
        <is>
          <t>FSC MIX Certified</t>
        </is>
      </c>
    </row>
    <row r="398">
      <c r="L398" t="inlineStr">
        <is>
          <t>Halazepam</t>
        </is>
      </c>
      <c r="P398" t="inlineStr">
        <is>
          <t>FSC Recycled</t>
        </is>
      </c>
    </row>
    <row r="399">
      <c r="L399" t="inlineStr">
        <is>
          <t>Halobetasol propionate</t>
        </is>
      </c>
      <c r="P399" t="inlineStr">
        <is>
          <t>SFI Certified Sourcing</t>
        </is>
      </c>
    </row>
    <row r="400">
      <c r="L400" t="inlineStr">
        <is>
          <t>Haloperidol</t>
        </is>
      </c>
      <c r="P400" t="inlineStr">
        <is>
          <t>SFI Chain-of-Custody Certified</t>
        </is>
      </c>
    </row>
    <row r="401">
      <c r="L401" t="inlineStr">
        <is>
          <t>Halothane</t>
        </is>
      </c>
      <c r="P401" t="inlineStr">
        <is>
          <t>SFI Fiber Sourcing Certified</t>
        </is>
      </c>
    </row>
    <row r="402">
      <c r="L402" t="inlineStr">
        <is>
          <t>HC Blue 1</t>
        </is>
      </c>
      <c r="P402" t="inlineStr">
        <is>
          <t>ENERGY STAR Canada Certified</t>
        </is>
      </c>
    </row>
    <row r="403">
      <c r="L403" t="inlineStr">
        <is>
          <t>Heptachlor</t>
        </is>
      </c>
      <c r="P403" t="inlineStr">
        <is>
          <t>Carbon Neutral - PAS 2060 - Certified</t>
        </is>
      </c>
    </row>
    <row r="404">
      <c r="L404" t="inlineStr">
        <is>
          <t>Heptachlor epoxide</t>
        </is>
      </c>
      <c r="P404" t="inlineStr">
        <is>
          <t>Carbonfree Product Certification</t>
        </is>
      </c>
    </row>
    <row r="405">
      <c r="L405" t="inlineStr">
        <is>
          <t>Herbal remedies containing plant species of the genus Aristolochia</t>
        </is>
      </c>
      <c r="P405" t="inlineStr">
        <is>
          <t>Indoor Advantage Certified</t>
        </is>
      </c>
    </row>
    <row r="406">
      <c r="L406" t="inlineStr">
        <is>
          <t>Hexachlorobenzene</t>
        </is>
      </c>
      <c r="P406" t="inlineStr">
        <is>
          <t>Indoor Advantage Gold Certified</t>
        </is>
      </c>
    </row>
    <row r="407">
      <c r="L407" t="inlineStr">
        <is>
          <t>Hexachlorobutadiene</t>
        </is>
      </c>
      <c r="P407" t="inlineStr">
        <is>
          <t>Indoor Air Comfort Certified</t>
        </is>
      </c>
    </row>
    <row r="408">
      <c r="L408" t="inlineStr">
        <is>
          <t>Hexachlorodibenzodioxin</t>
        </is>
      </c>
      <c r="P408" t="inlineStr">
        <is>
          <t>Indoor Air Comfort GOLD Certified</t>
        </is>
      </c>
    </row>
    <row r="409">
      <c r="L409" t="inlineStr">
        <is>
          <t>Hexachloroethane</t>
        </is>
      </c>
      <c r="P409" t="inlineStr">
        <is>
          <t>OEKO-TEX LEATHER STANDARD Certified</t>
        </is>
      </c>
    </row>
    <row r="410">
      <c r="L410" t="inlineStr">
        <is>
          <t>2,4-Hexadienal (89% trans, trans isomer; 11% cis, trans isomer)</t>
        </is>
      </c>
      <c r="P410" t="inlineStr">
        <is>
          <t>OEKO-TEX MADE IN GREEN Certified</t>
        </is>
      </c>
    </row>
    <row r="411">
      <c r="L411" t="inlineStr">
        <is>
          <t>Hexafluoroacetone</t>
        </is>
      </c>
      <c r="P411" t="inlineStr">
        <is>
          <t>Cradle to Cradle Material Health Certificate</t>
        </is>
      </c>
    </row>
    <row r="412">
      <c r="L412" t="inlineStr">
        <is>
          <t>Hexamethylphosphoramide</t>
        </is>
      </c>
      <c r="P412" t="inlineStr">
        <is>
          <t>eco-INSTITUT-Label</t>
        </is>
      </c>
    </row>
    <row r="413">
      <c r="L413" t="inlineStr">
        <is>
          <t>Histrelin acetate</t>
        </is>
      </c>
      <c r="P413" t="inlineStr">
        <is>
          <t>CARB Certified (Ozone Emissions for Air Cleaners)</t>
        </is>
      </c>
    </row>
    <row r="414">
      <c r="L414" t="inlineStr">
        <is>
          <t>Hydramethylnon</t>
        </is>
      </c>
      <c r="P414" t="inlineStr">
        <is>
          <t>EN 1103:2006</t>
        </is>
      </c>
    </row>
    <row r="415">
      <c r="L415" t="inlineStr">
        <is>
          <t>Hydrazine</t>
        </is>
      </c>
      <c r="P415" t="inlineStr">
        <is>
          <t>Code of Practice for Fire Safety of Furnishings and Fittings in Places of Assembly</t>
        </is>
      </c>
    </row>
    <row r="416">
      <c r="L416" t="inlineStr">
        <is>
          <t>Hydrazine sulfate</t>
        </is>
      </c>
      <c r="P416" t="inlineStr">
        <is>
          <t>EN 13773</t>
        </is>
      </c>
    </row>
    <row r="417">
      <c r="L417" t="inlineStr">
        <is>
          <t>Hydrazobenzene (1,2-Diphenylhydrazine)</t>
        </is>
      </c>
      <c r="P417" t="inlineStr">
        <is>
          <t>I.S. 419:2011</t>
        </is>
      </c>
    </row>
    <row r="418">
      <c r="L418" t="inlineStr">
        <is>
          <t>1-Hydroxyanthraquinone</t>
        </is>
      </c>
      <c r="P418" t="inlineStr">
        <is>
          <t>ÖNORM A3800-1</t>
        </is>
      </c>
    </row>
    <row r="419">
      <c r="L419" t="inlineStr">
        <is>
          <t>Hydroxyurea</t>
        </is>
      </c>
      <c r="P419" t="inlineStr">
        <is>
          <t>ÖNORM B 3825</t>
        </is>
      </c>
    </row>
    <row r="420">
      <c r="L420" t="inlineStr">
        <is>
          <t>Idarubicin hydrochloride</t>
        </is>
      </c>
      <c r="P420" t="inlineStr">
        <is>
          <t>EN 14619:2019</t>
        </is>
      </c>
    </row>
    <row r="421">
      <c r="L421" t="inlineStr">
        <is>
          <t>Ifosfamide</t>
        </is>
      </c>
      <c r="P421" t="inlineStr">
        <is>
          <t>Product Attestation</t>
        </is>
      </c>
    </row>
    <row r="422">
      <c r="L422" t="inlineStr">
        <is>
          <t>Iodine-131</t>
        </is>
      </c>
      <c r="P422" t="inlineStr">
        <is>
          <t>California Carpet Stewardship Program Compliant</t>
        </is>
      </c>
    </row>
    <row r="423">
      <c r="L423" t="inlineStr">
        <is>
          <t>Imazalil</t>
        </is>
      </c>
      <c r="P423" t="inlineStr">
        <is>
          <t>Is Responsible Person Information Available</t>
        </is>
      </c>
    </row>
    <row r="424">
      <c r="L424" t="inlineStr">
        <is>
          <t>Indeno[1,2,3-cd]pyrene</t>
        </is>
      </c>
      <c r="P424" t="inlineStr">
        <is>
          <t>FIRA/FRQG C001: 2021 Furniture - Children’s Domestic Furniture – General Safety Requirements</t>
        </is>
      </c>
    </row>
    <row r="425">
      <c r="L425" t="inlineStr">
        <is>
          <t>Indium phosphide</t>
        </is>
      </c>
      <c r="P425" t="inlineStr">
        <is>
          <t>BS EN 17191:2021</t>
        </is>
      </c>
    </row>
    <row r="426">
      <c r="L426" t="inlineStr">
        <is>
          <t>IQ (2-Amino-3-methylimidazo[4,5-f] quinoline)</t>
        </is>
      </c>
      <c r="P426" t="inlineStr">
        <is>
          <t>FIRA/FRQG C003: 2021 Furniture - Children’s Domestic Furniture – Tables &amp; Desks – Requirements for Strength/ Stability and Durability</t>
        </is>
      </c>
    </row>
    <row r="427">
      <c r="L427" t="inlineStr">
        <is>
          <t>Iprodione</t>
        </is>
      </c>
      <c r="P427" t="inlineStr">
        <is>
          <t>National Minority Supplier Development Council Certification</t>
        </is>
      </c>
    </row>
    <row r="428">
      <c r="L428" t="inlineStr">
        <is>
          <t>Iron dextran complex</t>
        </is>
      </c>
      <c r="P428" t="inlineStr">
        <is>
          <t>Small Business Administration Certification</t>
        </is>
      </c>
    </row>
    <row r="429">
      <c r="L429" t="inlineStr">
        <is>
          <t>Isobutyl nitrite</t>
        </is>
      </c>
      <c r="P429" t="inlineStr">
        <is>
          <t>SupplierGATEWAY Enhanced Digital Certification</t>
        </is>
      </c>
    </row>
    <row r="430">
      <c r="L430" t="inlineStr">
        <is>
          <t>Isoprene</t>
        </is>
      </c>
      <c r="P430" t="inlineStr">
        <is>
          <t>System for Award Management Certification</t>
        </is>
      </c>
    </row>
    <row r="431">
      <c r="L431" t="inlineStr">
        <is>
          <t>Isopyrazam</t>
        </is>
      </c>
      <c r="P431" t="inlineStr">
        <is>
          <t>Women’s Business Enterprise National Council Certification</t>
        </is>
      </c>
    </row>
    <row r="432">
      <c r="L432" t="inlineStr">
        <is>
          <t>Isotretinoin</t>
        </is>
      </c>
      <c r="P432" t="inlineStr">
        <is>
          <t>Other Minority Business Enterprise Certification</t>
        </is>
      </c>
    </row>
    <row r="433">
      <c r="L433" t="inlineStr">
        <is>
          <t>Isoxaflutole</t>
        </is>
      </c>
      <c r="P433" t="inlineStr">
        <is>
          <t>&gt; 50% Black/ Women or LatinX Certification</t>
        </is>
      </c>
    </row>
    <row r="434">
      <c r="L434" t="inlineStr">
        <is>
          <t>Kresoxim-methyl</t>
        </is>
      </c>
      <c r="P434" t="inlineStr">
        <is>
          <t>EU Food Contact Regulation - Plastics</t>
        </is>
      </c>
    </row>
    <row r="435">
      <c r="L435" t="inlineStr">
        <is>
          <t>Lactofen</t>
        </is>
      </c>
      <c r="P435" t="inlineStr">
        <is>
          <t>Fairtrade International Certified - Sports Ball</t>
        </is>
      </c>
    </row>
    <row r="436">
      <c r="L436" t="inlineStr">
        <is>
          <t>Lasiocarpine</t>
        </is>
      </c>
      <c r="P436" t="inlineStr">
        <is>
          <t>FLOCERT Expiration Date</t>
        </is>
      </c>
    </row>
    <row r="437">
      <c r="L437" t="inlineStr">
        <is>
          <t>Lead</t>
        </is>
      </c>
      <c r="P437" t="inlineStr">
        <is>
          <t>CANFER Compliant</t>
        </is>
      </c>
    </row>
    <row r="438">
      <c r="L438" t="inlineStr">
        <is>
          <t>Lead and lead compounds</t>
        </is>
      </c>
      <c r="P438" t="inlineStr">
        <is>
          <t>ASTM F2710-19 Compliant</t>
        </is>
      </c>
    </row>
    <row r="439">
      <c r="L439" t="inlineStr">
        <is>
          <t>Lead acetate</t>
        </is>
      </c>
      <c r="P439" t="inlineStr">
        <is>
          <t>CPSC 16 CFR 1207</t>
        </is>
      </c>
    </row>
    <row r="440">
      <c r="L440" t="inlineStr">
        <is>
          <t>Lead phosphate</t>
        </is>
      </c>
      <c r="P440" t="inlineStr">
        <is>
          <t>ASTM F1004-22 Compliant</t>
        </is>
      </c>
    </row>
    <row r="441">
      <c r="L441" t="inlineStr">
        <is>
          <t>Lead subacetate</t>
        </is>
      </c>
      <c r="P441" t="inlineStr">
        <is>
          <t>BS EN 14960 Compliant (Inflatables)</t>
        </is>
      </c>
    </row>
    <row r="442">
      <c r="L442" t="inlineStr">
        <is>
          <t>Leather dust</t>
        </is>
      </c>
      <c r="P442" t="inlineStr">
        <is>
          <t>EN 14468-1:2015 Compliant (Table Tennis Tables)</t>
        </is>
      </c>
    </row>
    <row r="443">
      <c r="L443" t="inlineStr">
        <is>
          <t>Leuprolide acetate</t>
        </is>
      </c>
      <c r="P443" t="inlineStr">
        <is>
          <t>BS 7972:2001+A1:2009 Compliant (Children's bedguards)</t>
        </is>
      </c>
    </row>
    <row r="444">
      <c r="L444" t="inlineStr">
        <is>
          <t>Levodopa</t>
        </is>
      </c>
      <c r="P444" t="inlineStr">
        <is>
          <t>Energy Efficiency Regulations Compliant</t>
        </is>
      </c>
    </row>
    <row r="445">
      <c r="L445" t="inlineStr">
        <is>
          <t>Lindane and other hexachlorocyclohexane isomers</t>
        </is>
      </c>
      <c r="P445" t="inlineStr">
        <is>
          <t>EU/UK Timber Compliant</t>
        </is>
      </c>
    </row>
    <row r="446">
      <c r="L446" t="inlineStr">
        <is>
          <t>Linuron</t>
        </is>
      </c>
      <c r="P446" t="inlineStr">
        <is>
          <t>SOR/2023-101 - Carriages and Strollers</t>
        </is>
      </c>
    </row>
    <row r="447">
      <c r="L447" t="inlineStr">
        <is>
          <t>Lithium carbonate</t>
        </is>
      </c>
      <c r="P447" t="inlineStr">
        <is>
          <t>ASTM F2388-21</t>
        </is>
      </c>
    </row>
    <row r="448">
      <c r="L448" t="inlineStr">
        <is>
          <t>Lithium citrate</t>
        </is>
      </c>
      <c r="P448" t="inlineStr">
        <is>
          <t>EN 16779-1: 2018</t>
        </is>
      </c>
    </row>
    <row r="449">
      <c r="L449" t="inlineStr">
        <is>
          <t>Lorazepam</t>
        </is>
      </c>
      <c r="P449" t="inlineStr">
        <is>
          <t>ASTM F406-22</t>
        </is>
      </c>
    </row>
    <row r="450">
      <c r="L450" t="inlineStr">
        <is>
          <t>Lovastatin</t>
        </is>
      </c>
      <c r="P450" t="inlineStr">
        <is>
          <t>ANSI Z21.11.2-2019</t>
        </is>
      </c>
    </row>
    <row r="451">
      <c r="L451" t="inlineStr">
        <is>
          <t>Lynestrenol</t>
        </is>
      </c>
      <c r="P451" t="inlineStr">
        <is>
          <t>ASTM B117-19</t>
        </is>
      </c>
    </row>
    <row r="452">
      <c r="L452" t="inlineStr">
        <is>
          <t>Malathion</t>
        </is>
      </c>
      <c r="P452" t="inlineStr">
        <is>
          <t>CPSC - 40 CFR 60</t>
        </is>
      </c>
    </row>
    <row r="453">
      <c r="L453" t="inlineStr">
        <is>
          <t>Malonaldehyde, sodium salt</t>
        </is>
      </c>
      <c r="P453" t="inlineStr">
        <is>
          <t>CSA / ANSI Z21.58:22</t>
        </is>
      </c>
    </row>
    <row r="454">
      <c r="L454" t="inlineStr">
        <is>
          <t>Mancozeb</t>
        </is>
      </c>
      <c r="P454" t="inlineStr">
        <is>
          <t>CSA / ANSI Z83.26:20</t>
        </is>
      </c>
    </row>
    <row r="455">
      <c r="L455" t="inlineStr">
        <is>
          <t>Maneb</t>
        </is>
      </c>
      <c r="P455" t="inlineStr">
        <is>
          <t>EC No. 1907/2006 Annex XVII</t>
        </is>
      </c>
    </row>
    <row r="456">
      <c r="L456" t="inlineStr">
        <is>
          <t>Marijuana smoke</t>
        </is>
      </c>
      <c r="P456" t="inlineStr">
        <is>
          <t>EC No. 1935/2004</t>
        </is>
      </c>
    </row>
    <row r="457">
      <c r="L457" t="inlineStr">
        <is>
          <t>Me-A-alpha-C (2-Amino-3-methyl-9H-pyrido[2,3-b]indole)</t>
        </is>
      </c>
      <c r="P457" t="inlineStr">
        <is>
          <t>FDA Generally Recognized as Safe (GRAS)</t>
        </is>
      </c>
    </row>
    <row r="458">
      <c r="L458" t="inlineStr">
        <is>
          <t>Mebendazole</t>
        </is>
      </c>
      <c r="P458" t="inlineStr">
        <is>
          <t>UL 1278 4th Ed</t>
        </is>
      </c>
    </row>
    <row r="459">
      <c r="L459" t="inlineStr">
        <is>
          <t>Medroxyprogesterone acetate</t>
        </is>
      </c>
      <c r="P459" t="inlineStr">
        <is>
          <t>UL 2021 4th Ed</t>
        </is>
      </c>
    </row>
    <row r="460">
      <c r="L460" t="inlineStr">
        <is>
          <t>Megestrol acetate</t>
        </is>
      </c>
      <c r="P460" t="inlineStr">
        <is>
          <t>EN 12520</t>
        </is>
      </c>
    </row>
    <row r="461">
      <c r="L461" t="inlineStr">
        <is>
          <t>MeIQ (2-Amino-3,4-dimethylimidazo[4,5-f]quinoline)</t>
        </is>
      </c>
      <c r="P461" t="inlineStr">
        <is>
          <t>BS EN 16781</t>
        </is>
      </c>
    </row>
    <row r="462">
      <c r="L462" t="inlineStr">
        <is>
          <t>MeIQx (2-Amino-3,8-dimethylimidazo[4,5-f]quinoxaline)</t>
        </is>
      </c>
      <c r="P462" t="inlineStr">
        <is>
          <t>ASTM F2057-23 (STURDY)</t>
        </is>
      </c>
    </row>
    <row r="463">
      <c r="L463" t="inlineStr">
        <is>
          <t>Melphalan</t>
        </is>
      </c>
      <c r="P463" t="inlineStr">
        <is>
          <t>EN 16780: 2018</t>
        </is>
      </c>
    </row>
    <row r="464">
      <c r="L464" t="inlineStr">
        <is>
          <t>Menotropins</t>
        </is>
      </c>
      <c r="P464" t="inlineStr">
        <is>
          <t>ASTM F2613-21</t>
        </is>
      </c>
    </row>
    <row r="465">
      <c r="L465" t="inlineStr">
        <is>
          <t>Mepanipyrim</t>
        </is>
      </c>
      <c r="P465" t="inlineStr">
        <is>
          <t>ASTM F1427-21e1</t>
        </is>
      </c>
    </row>
    <row r="466">
      <c r="L466" t="inlineStr">
        <is>
          <t>Meprobamate</t>
        </is>
      </c>
      <c r="P466" t="inlineStr">
        <is>
          <t>Unified Water Label</t>
        </is>
      </c>
    </row>
    <row r="467">
      <c r="L467" t="inlineStr">
        <is>
          <t>2-Mercaptobenzothiazole</t>
        </is>
      </c>
      <c r="P467" t="inlineStr">
        <is>
          <t>CPSC - 16 CFR 1241</t>
        </is>
      </c>
    </row>
    <row r="468">
      <c r="L468" t="inlineStr">
        <is>
          <t>Mercaptopurine</t>
        </is>
      </c>
      <c r="P468" t="inlineStr">
        <is>
          <t>CPSC - 16 CFR 1263 Compliant (Reese's Law)</t>
        </is>
      </c>
    </row>
    <row r="469">
      <c r="L469" t="inlineStr">
        <is>
          <t>Mercury and mercury compounds</t>
        </is>
      </c>
      <c r="P469" t="inlineStr">
        <is>
          <t>Commercial Warranty</t>
        </is>
      </c>
    </row>
    <row r="470">
      <c r="L470" t="inlineStr">
        <is>
          <t>Merphalan</t>
        </is>
      </c>
      <c r="P470" t="inlineStr">
        <is>
          <t>EU 2024/590</t>
        </is>
      </c>
    </row>
    <row r="471">
      <c r="L471" t="inlineStr">
        <is>
          <t>Mestranol</t>
        </is>
      </c>
      <c r="P471" t="inlineStr">
        <is>
          <t>BS EN 597-1</t>
        </is>
      </c>
    </row>
    <row r="472">
      <c r="L472" t="inlineStr">
        <is>
          <t>Metam potassium</t>
        </is>
      </c>
      <c r="P472" t="inlineStr">
        <is>
          <t>ASTM F1912-21 Compliant</t>
        </is>
      </c>
    </row>
    <row r="473">
      <c r="L473" t="inlineStr">
        <is>
          <t>Methacycline hydrochloride</t>
        </is>
      </c>
      <c r="P473" t="inlineStr">
        <is>
          <t>ASTM F963-23 Compliant</t>
        </is>
      </c>
    </row>
    <row r="474">
      <c r="L474" t="inlineStr">
        <is>
          <t>Metham sodium</t>
        </is>
      </c>
      <c r="P474" t="inlineStr">
        <is>
          <t>FIRA/FRQG C004:2016 + A1 2017</t>
        </is>
      </c>
    </row>
    <row r="475">
      <c r="L475" t="inlineStr">
        <is>
          <t>Methanol</t>
        </is>
      </c>
      <c r="P475" t="inlineStr">
        <is>
          <t>EUDR</t>
        </is>
      </c>
    </row>
    <row r="476">
      <c r="L476" t="inlineStr">
        <is>
          <t>Methazole</t>
        </is>
      </c>
      <c r="P476" t="inlineStr">
        <is>
          <t>CA PFAS</t>
        </is>
      </c>
    </row>
    <row r="477">
      <c r="L477" t="inlineStr">
        <is>
          <t>Methimazole</t>
        </is>
      </c>
      <c r="P477" t="inlineStr">
        <is>
          <t>CPSC - 16 CFR 1242</t>
        </is>
      </c>
    </row>
    <row r="478">
      <c r="L478" t="inlineStr">
        <is>
          <t>Methotrexate</t>
        </is>
      </c>
      <c r="P478" t="inlineStr">
        <is>
          <t>EU General Product Safety Regulation</t>
        </is>
      </c>
    </row>
    <row r="479">
      <c r="L479" t="inlineStr">
        <is>
          <t>Methotrexate sodium</t>
        </is>
      </c>
      <c r="P479" t="inlineStr">
        <is>
          <t>EPA Compliant - Step 2 Certified</t>
        </is>
      </c>
    </row>
    <row r="480">
      <c r="L480" t="inlineStr">
        <is>
          <t>5-Methoxypsoralen with ultraviolet A therapy</t>
        </is>
      </c>
      <c r="P480" t="inlineStr">
        <is>
          <t>ANSI/WCMA A100.1-2018 Standard</t>
        </is>
      </c>
    </row>
    <row r="481">
      <c r="L481" t="inlineStr">
        <is>
          <t>8-Methoxypsoralen with ultraviolet A therapy</t>
        </is>
      </c>
      <c r="P481" t="inlineStr">
        <is>
          <t>SOR/2019-97 - Corded Window Coverings Regulations</t>
        </is>
      </c>
    </row>
    <row r="482">
      <c r="L482" t="inlineStr">
        <is>
          <t>2-Methylaziridine (Propyleneimine)</t>
        </is>
      </c>
      <c r="P482" t="inlineStr">
        <is>
          <t>ANSI/BIFMA X6.4 Occasional-Use Seating Standard</t>
        </is>
      </c>
    </row>
    <row r="483">
      <c r="L483" t="inlineStr">
        <is>
          <t>Methylazoxymethanol</t>
        </is>
      </c>
      <c r="P483" t="inlineStr">
        <is>
          <t>ASTM F1148-22</t>
        </is>
      </c>
    </row>
    <row r="484">
      <c r="L484" t="inlineStr">
        <is>
          <t>Methylazoxymethanol acetate</t>
        </is>
      </c>
      <c r="P484" t="inlineStr">
        <is>
          <t>SOR/2016 - 217</t>
        </is>
      </c>
    </row>
    <row r="485">
      <c r="L485" t="inlineStr">
        <is>
          <t>Methyl bromide, as a structural fumigant</t>
        </is>
      </c>
      <c r="P485" t="inlineStr">
        <is>
          <t>16 CFR 1235</t>
        </is>
      </c>
    </row>
    <row r="486">
      <c r="L486" t="inlineStr">
        <is>
          <t>Methyl carbamate</t>
        </is>
      </c>
      <c r="P486" t="inlineStr">
        <is>
          <t>ASTM F2088-24</t>
        </is>
      </c>
    </row>
    <row r="487">
      <c r="L487" t="inlineStr">
        <is>
          <t>Methyl chloride</t>
        </is>
      </c>
      <c r="P487" t="inlineStr">
        <is>
          <t>16 CFR 1243</t>
        </is>
      </c>
    </row>
    <row r="488">
      <c r="L488" t="inlineStr">
        <is>
          <t>3-Methylcholanthrene</t>
        </is>
      </c>
      <c r="P488" t="inlineStr">
        <is>
          <t>IS 419 / EN 1021</t>
        </is>
      </c>
    </row>
    <row r="489">
      <c r="L489" t="inlineStr">
        <is>
          <t>5-Methylchrysene</t>
        </is>
      </c>
      <c r="P489" t="inlineStr">
        <is>
          <t>IS 419 / EN 597/ EN 16890</t>
        </is>
      </c>
    </row>
    <row r="490">
      <c r="L490" t="inlineStr">
        <is>
          <t>4,4'-Methylene bis(2-chloroaniline)</t>
        </is>
      </c>
      <c r="P490" t="inlineStr">
        <is>
          <t>IS 419 / EN 597</t>
        </is>
      </c>
    </row>
    <row r="491">
      <c r="L491" t="inlineStr">
        <is>
          <t>4,4'-Methylene bis(N,N-dimethyl)benzenamine</t>
        </is>
      </c>
      <c r="P491" t="inlineStr">
        <is>
          <t>ASTM-1917-23</t>
        </is>
      </c>
    </row>
    <row r="492">
      <c r="L492" t="inlineStr">
        <is>
          <t>4,4'-Methylene bis(2-methylaniline)</t>
        </is>
      </c>
      <c r="P492" t="inlineStr">
        <is>
          <t>Low Voltage Directive</t>
        </is>
      </c>
    </row>
    <row r="493">
      <c r="L493" t="inlineStr">
        <is>
          <t>4,4'-Methylenedianiline</t>
        </is>
      </c>
      <c r="P493" t="inlineStr">
        <is>
          <t>Children's Furniture Safety and Stability</t>
        </is>
      </c>
    </row>
    <row r="494">
      <c r="L494" t="inlineStr">
        <is>
          <t>4,4'-Methylenedianiline dihydrochloride</t>
        </is>
      </c>
      <c r="P494" t="inlineStr">
        <is>
          <t>CPSC - 16 CFR 1224</t>
        </is>
      </c>
    </row>
    <row r="495">
      <c r="L495" t="inlineStr">
        <is>
          <t>Methyleugenol</t>
        </is>
      </c>
      <c r="P495" t="inlineStr">
        <is>
          <t>ASTM F2276-23 (General Mechanical Requirements)</t>
        </is>
      </c>
    </row>
    <row r="496">
      <c r="L496" t="inlineStr">
        <is>
          <t>Methylhydrazine and its salts</t>
        </is>
      </c>
      <c r="P496" t="inlineStr">
        <is>
          <t>ASTM F2276-23 or ASTM F2810-15</t>
        </is>
      </c>
    </row>
    <row r="497">
      <c r="L497" t="inlineStr">
        <is>
          <t>2-Methylimidazole</t>
        </is>
      </c>
      <c r="P497" t="inlineStr">
        <is>
          <t>ASTM F2276-23 or ASTM F1250-20</t>
        </is>
      </c>
    </row>
    <row r="498">
      <c r="L498" t="inlineStr">
        <is>
          <t>4-Methylimidazole</t>
        </is>
      </c>
      <c r="P498" t="inlineStr">
        <is>
          <t>ASTM F2276-23 or ASTM F2216-17a</t>
        </is>
      </c>
    </row>
    <row r="499">
      <c r="L499" t="inlineStr">
        <is>
          <t>Methyl iodide</t>
        </is>
      </c>
      <c r="P499" t="inlineStr">
        <is>
          <t>ASTM F2276-23 or ASTM F3105-20</t>
        </is>
      </c>
    </row>
    <row r="500">
      <c r="L500" t="inlineStr">
        <is>
          <t>Methyl isobutyl ketone</t>
        </is>
      </c>
      <c r="P500" t="inlineStr">
        <is>
          <t>ASTM F2276-23 or ASTM F2115-25</t>
        </is>
      </c>
    </row>
    <row r="501">
      <c r="L501" t="inlineStr">
        <is>
          <t>Methyl isobutyl ketone (MIBK)</t>
        </is>
      </c>
      <c r="P501" t="inlineStr">
        <is>
          <t>UL 1647 (Electrical Safety)</t>
        </is>
      </c>
    </row>
    <row r="502">
      <c r="L502" t="inlineStr">
        <is>
          <t>Methyl isocyanate (MIC)</t>
        </is>
      </c>
      <c r="P502" t="inlineStr">
        <is>
          <t>In-House Contract-Quality Testing Document</t>
        </is>
      </c>
    </row>
    <row r="503">
      <c r="L503" t="inlineStr">
        <is>
          <t>Methyl mercury</t>
        </is>
      </c>
      <c r="P503" t="inlineStr">
        <is>
          <t>Contract Grade Signed Verification Letter</t>
        </is>
      </c>
    </row>
    <row r="504">
      <c r="L504" t="inlineStr">
        <is>
          <t>Methylmercury compounds</t>
        </is>
      </c>
      <c r="P504" t="inlineStr">
        <is>
          <t>SOR/2018-186</t>
        </is>
      </c>
    </row>
    <row r="505">
      <c r="L505" t="inlineStr">
        <is>
          <t>Methyl methanesulfonate</t>
        </is>
      </c>
      <c r="P505" t="inlineStr">
        <is>
          <t>SOR/2024-217</t>
        </is>
      </c>
    </row>
    <row r="506">
      <c r="L506" t="inlineStr">
        <is>
          <t>Methyl-n-butyl ketone</t>
        </is>
      </c>
      <c r="P506" t="inlineStr">
        <is>
          <t>Certified Egyptian Cotton</t>
        </is>
      </c>
    </row>
    <row r="507">
      <c r="L507" t="inlineStr">
        <is>
          <t>2-Methyl-1-nitroanthraquinone (of uncertain purity)</t>
        </is>
      </c>
    </row>
    <row r="508">
      <c r="L508" t="inlineStr">
        <is>
          <t>N-Methyl-N'-nitro-N-nitrosoguanidine</t>
        </is>
      </c>
    </row>
    <row r="509">
      <c r="L509" t="inlineStr">
        <is>
          <t>N-Methylolacrylamide</t>
        </is>
      </c>
    </row>
    <row r="510">
      <c r="L510" t="inlineStr">
        <is>
          <t>N-Methylpyrrolidone</t>
        </is>
      </c>
    </row>
    <row r="511">
      <c r="L511" t="inlineStr">
        <is>
          <t>α-Methyl styrene (alpha-Methylstyrene)</t>
        </is>
      </c>
    </row>
    <row r="512">
      <c r="L512" t="inlineStr">
        <is>
          <t>Methyltestosterone</t>
        </is>
      </c>
    </row>
    <row r="513">
      <c r="L513" t="inlineStr">
        <is>
          <t>Methylthiouracil</t>
        </is>
      </c>
    </row>
    <row r="514">
      <c r="L514" t="inlineStr">
        <is>
          <t>Metiram</t>
        </is>
      </c>
    </row>
    <row r="515">
      <c r="L515" t="inlineStr">
        <is>
          <t>Metronidazole</t>
        </is>
      </c>
    </row>
    <row r="516">
      <c r="L516" t="inlineStr">
        <is>
          <t>Michler's ketone</t>
        </is>
      </c>
    </row>
    <row r="517">
      <c r="L517" t="inlineStr">
        <is>
          <t>Midazolam hydrochloride</t>
        </is>
      </c>
    </row>
    <row r="518">
      <c r="L518" t="inlineStr">
        <is>
          <t>Minocycline hydrochloride (internal use)</t>
        </is>
      </c>
    </row>
    <row r="519">
      <c r="L519" t="inlineStr">
        <is>
          <t>Mirex</t>
        </is>
      </c>
    </row>
    <row r="520">
      <c r="L520" t="inlineStr">
        <is>
          <t>Misoprostol</t>
        </is>
      </c>
    </row>
    <row r="521">
      <c r="L521" t="inlineStr">
        <is>
          <t>Mitomycin C</t>
        </is>
      </c>
    </row>
    <row r="522">
      <c r="L522" t="inlineStr">
        <is>
          <t>Mitoxantrone hydrochloride</t>
        </is>
      </c>
    </row>
    <row r="523">
      <c r="L523" t="inlineStr">
        <is>
          <t>Molinate</t>
        </is>
      </c>
    </row>
    <row r="524">
      <c r="L524" t="inlineStr">
        <is>
          <t>MON 4660 (dichloroacetyl-1-oxa-4-azaspiro(4,5)-decane</t>
        </is>
      </c>
    </row>
    <row r="525">
      <c r="L525" t="inlineStr">
        <is>
          <t>MON 13900 (furilazole)</t>
        </is>
      </c>
    </row>
    <row r="526">
      <c r="L526" t="inlineStr">
        <is>
          <t>3-Monochloropropane-1,2-diol (3-MCPD)</t>
        </is>
      </c>
    </row>
    <row r="527">
      <c r="L527" t="inlineStr">
        <is>
          <t>Monocrotaline</t>
        </is>
      </c>
    </row>
    <row r="528">
      <c r="L528" t="inlineStr">
        <is>
          <t>MOPP (vincristine-prednisone-nitrogen mustard-procarbazine mixture)</t>
        </is>
      </c>
    </row>
    <row r="529">
      <c r="L529" t="inlineStr">
        <is>
          <t>5-(Morpholinomethyl)-3-[(5-nitrofurfuryl-idene)-amino]-2-oxazolidinone</t>
        </is>
      </c>
    </row>
    <row r="530">
      <c r="L530" t="inlineStr">
        <is>
          <t>Mustard Gas</t>
        </is>
      </c>
    </row>
    <row r="531">
      <c r="L531" t="inlineStr">
        <is>
          <t>MX (3-chloro-4-dichloromethyl-5-hydroxy-2(5H)-furanone)</t>
        </is>
      </c>
    </row>
    <row r="532">
      <c r="L532" t="inlineStr">
        <is>
          <t>Myclobutanil</t>
        </is>
      </c>
    </row>
    <row r="533">
      <c r="L533" t="inlineStr">
        <is>
          <t>beta-Myrcene</t>
        </is>
      </c>
    </row>
    <row r="534">
      <c r="L534" t="inlineStr">
        <is>
          <t>Nabam</t>
        </is>
      </c>
    </row>
    <row r="535">
      <c r="L535" t="inlineStr">
        <is>
          <t>Nafarelin acetate</t>
        </is>
      </c>
    </row>
    <row r="536">
      <c r="L536" t="inlineStr">
        <is>
          <t>Nafenopin</t>
        </is>
      </c>
    </row>
    <row r="537">
      <c r="L537" t="inlineStr">
        <is>
          <t>Nalidixic acid</t>
        </is>
      </c>
    </row>
    <row r="538">
      <c r="L538" t="inlineStr">
        <is>
          <t>Naphthalene</t>
        </is>
      </c>
    </row>
    <row r="539">
      <c r="L539" t="inlineStr">
        <is>
          <t>1-Naphthylamine</t>
        </is>
      </c>
    </row>
    <row r="540">
      <c r="L540" t="inlineStr">
        <is>
          <t>2-Naphthylamine</t>
        </is>
      </c>
    </row>
    <row r="541">
      <c r="L541" t="inlineStr">
        <is>
          <t>Neomycin sulfate (internal use)</t>
        </is>
      </c>
    </row>
    <row r="542">
      <c r="L542" t="inlineStr">
        <is>
          <t>Netilmicin sulfate</t>
        </is>
      </c>
    </row>
    <row r="543">
      <c r="L543" t="inlineStr">
        <is>
          <t>Nickel (Metallic)</t>
        </is>
      </c>
    </row>
    <row r="544">
      <c r="L544" t="inlineStr">
        <is>
          <t>Nickel acetate</t>
        </is>
      </c>
    </row>
    <row r="545">
      <c r="L545" t="inlineStr">
        <is>
          <t>Nickel carbonate</t>
        </is>
      </c>
    </row>
    <row r="546">
      <c r="L546" t="inlineStr">
        <is>
          <t>Nickel carbonyl</t>
        </is>
      </c>
    </row>
    <row r="547">
      <c r="L547" t="inlineStr">
        <is>
          <t>Nickel compounds</t>
        </is>
      </c>
    </row>
    <row r="548">
      <c r="L548" t="inlineStr">
        <is>
          <t>Nickelocene</t>
        </is>
      </c>
    </row>
    <row r="549">
      <c r="L549" t="inlineStr">
        <is>
          <t>Nickel oxide</t>
        </is>
      </c>
    </row>
    <row r="550">
      <c r="L550" t="inlineStr">
        <is>
          <t>Nickel refinery dust from the pyrometallurgical process</t>
        </is>
      </c>
    </row>
    <row r="551">
      <c r="L551" t="inlineStr">
        <is>
          <t>Nickel subsulfide</t>
        </is>
      </c>
    </row>
    <row r="552">
      <c r="L552" t="inlineStr">
        <is>
          <t>Nicotine</t>
        </is>
      </c>
    </row>
    <row r="553">
      <c r="L553" t="inlineStr">
        <is>
          <t>Nifedipine</t>
        </is>
      </c>
    </row>
    <row r="554">
      <c r="L554" t="inlineStr">
        <is>
          <t>Nimodipine</t>
        </is>
      </c>
    </row>
    <row r="555">
      <c r="L555" t="inlineStr">
        <is>
          <t>Niridazole</t>
        </is>
      </c>
    </row>
    <row r="556">
      <c r="L556" t="inlineStr">
        <is>
          <t>Nitrapyrin</t>
        </is>
      </c>
    </row>
    <row r="557">
      <c r="L557" t="inlineStr">
        <is>
          <t>Nitrilotriacetic acid</t>
        </is>
      </c>
    </row>
    <row r="558">
      <c r="L558" t="inlineStr">
        <is>
          <t>Nitrilotriacetic acid, trisodium salt monohydrate</t>
        </is>
      </c>
    </row>
    <row r="559">
      <c r="L559" t="inlineStr">
        <is>
          <t>5-Nitroacenaphthene</t>
        </is>
      </c>
    </row>
    <row r="560">
      <c r="L560" t="inlineStr">
        <is>
          <t>o-Nitroanisole</t>
        </is>
      </c>
    </row>
    <row r="561">
      <c r="L561" t="inlineStr">
        <is>
          <t>Nitrobenzene</t>
        </is>
      </c>
    </row>
    <row r="562">
      <c r="L562" t="inlineStr">
        <is>
          <t>4-Nitrobiphenyl</t>
        </is>
      </c>
    </row>
    <row r="563">
      <c r="L563" t="inlineStr">
        <is>
          <t>6-Nitrochrysene</t>
        </is>
      </c>
    </row>
    <row r="564">
      <c r="L564" t="inlineStr">
        <is>
          <t>Nitrofen (technical grade)</t>
        </is>
      </c>
    </row>
    <row r="565">
      <c r="L565" t="inlineStr">
        <is>
          <t>2-Nitrofluorene</t>
        </is>
      </c>
    </row>
    <row r="566">
      <c r="L566" t="inlineStr">
        <is>
          <t>Nitrofurazone</t>
        </is>
      </c>
    </row>
    <row r="567">
      <c r="L567" t="inlineStr">
        <is>
          <t>1-[(5-Nitrofurfurylidene)-amino]-2-imidazolidinone</t>
        </is>
      </c>
    </row>
    <row r="568">
      <c r="L568" t="inlineStr">
        <is>
          <t>N-[4-(5-Nitro-2-furyl)-2-thiazolyl]acetamide</t>
        </is>
      </c>
    </row>
    <row r="569">
      <c r="L569" t="inlineStr">
        <is>
          <t>Nitrogen mustard (Mechlorethamine)</t>
        </is>
      </c>
    </row>
    <row r="570">
      <c r="L570" t="inlineStr">
        <is>
          <t>Nitrogen mustard hydrochloride (Mechlorethamine hydrochloride)</t>
        </is>
      </c>
    </row>
    <row r="571">
      <c r="L571" t="inlineStr">
        <is>
          <t>Nitrogen mustard N-oxide</t>
        </is>
      </c>
    </row>
    <row r="572">
      <c r="L572" t="inlineStr">
        <is>
          <t>Nitrogen mustard N-oxide hydrochloride</t>
        </is>
      </c>
    </row>
    <row r="573">
      <c r="L573" t="inlineStr">
        <is>
          <t>Nitromethane</t>
        </is>
      </c>
    </row>
    <row r="574">
      <c r="L574" t="inlineStr">
        <is>
          <t>2-Nitropropane</t>
        </is>
      </c>
    </row>
    <row r="575">
      <c r="L575" t="inlineStr">
        <is>
          <t>1-Nitropyrene</t>
        </is>
      </c>
    </row>
    <row r="576">
      <c r="L576" t="inlineStr">
        <is>
          <t>4-Nitropyrene</t>
        </is>
      </c>
    </row>
    <row r="577">
      <c r="L577" t="inlineStr">
        <is>
          <t>N-Nitrosodi-n-butylamine</t>
        </is>
      </c>
    </row>
    <row r="578">
      <c r="L578" t="inlineStr">
        <is>
          <t>N-Nitrosodiethanolamine</t>
        </is>
      </c>
    </row>
    <row r="579">
      <c r="L579" t="inlineStr">
        <is>
          <t>N-Nitrosodiethylamine</t>
        </is>
      </c>
    </row>
    <row r="580">
      <c r="L580" t="inlineStr">
        <is>
          <t>N-Nitrosodimethylamine</t>
        </is>
      </c>
    </row>
    <row r="581">
      <c r="L581" t="inlineStr">
        <is>
          <t>p-Nitrosodiphenylamine</t>
        </is>
      </c>
    </row>
    <row r="582">
      <c r="L582" t="inlineStr">
        <is>
          <t>N-Nitrosodiphenylamine</t>
        </is>
      </c>
    </row>
    <row r="583">
      <c r="L583" t="inlineStr">
        <is>
          <t>N-Nitrosodi-n-propylamine</t>
        </is>
      </c>
    </row>
    <row r="584">
      <c r="L584" t="inlineStr">
        <is>
          <t>N-Nitroso-N-ethylurea</t>
        </is>
      </c>
    </row>
    <row r="585">
      <c r="L585" t="inlineStr">
        <is>
          <t>3-(N-Nitrosomethylamino) propionitrile</t>
        </is>
      </c>
    </row>
    <row r="586">
      <c r="L586" t="inlineStr">
        <is>
          <t>4-(N-Nitrosomethylamino)-1-(3-pyridyl)1-butanone</t>
        </is>
      </c>
    </row>
    <row r="587">
      <c r="L587" t="inlineStr">
        <is>
          <t>N-Nitrosomethyl-n-butylamine</t>
        </is>
      </c>
    </row>
    <row r="588">
      <c r="L588" t="inlineStr">
        <is>
          <t>N-Nitrosomethyl-n-decylamine</t>
        </is>
      </c>
    </row>
    <row r="589">
      <c r="L589" t="inlineStr">
        <is>
          <t>N-Nitrosomethyl-n-dodecylamine</t>
        </is>
      </c>
    </row>
    <row r="590">
      <c r="L590" t="inlineStr">
        <is>
          <t>N-Nitrosomethylethylamine</t>
        </is>
      </c>
    </row>
    <row r="591">
      <c r="L591" t="inlineStr">
        <is>
          <t>N-Nitrosomethyl-n-heptylamine</t>
        </is>
      </c>
    </row>
    <row r="592">
      <c r="L592" t="inlineStr">
        <is>
          <t>N-Nitrosomethyl-n-hexylamine</t>
        </is>
      </c>
    </row>
    <row r="593">
      <c r="L593" t="inlineStr">
        <is>
          <t>N-Nitrosomethyl-n-nonylamine</t>
        </is>
      </c>
    </row>
    <row r="594">
      <c r="L594" t="inlineStr">
        <is>
          <t>N-Nitrosomethyl-n-octylamine</t>
        </is>
      </c>
    </row>
    <row r="595">
      <c r="L595" t="inlineStr">
        <is>
          <t>N-Nitrosomethyl-n-pentylamine</t>
        </is>
      </c>
    </row>
    <row r="596">
      <c r="L596" t="inlineStr">
        <is>
          <t>N-Nitrosomethyl-n-propylamine</t>
        </is>
      </c>
    </row>
    <row r="597">
      <c r="L597" t="inlineStr">
        <is>
          <t>N-Nitrosomethyl-n-tetradecylamine</t>
        </is>
      </c>
    </row>
    <row r="598">
      <c r="L598" t="inlineStr">
        <is>
          <t>N-Nitrosomethyl-n-undecylamine</t>
        </is>
      </c>
    </row>
    <row r="599">
      <c r="L599" t="inlineStr">
        <is>
          <t>N-Nitroso-N-methylurea</t>
        </is>
      </c>
    </row>
    <row r="600">
      <c r="L600" t="inlineStr">
        <is>
          <t>N-Nitroso-N-methylurethane</t>
        </is>
      </c>
    </row>
    <row r="601">
      <c r="L601" t="inlineStr">
        <is>
          <t>N-Nitrosomethylvinylamine</t>
        </is>
      </c>
    </row>
    <row r="602">
      <c r="L602" t="inlineStr">
        <is>
          <t>N-Nitrosomorpholine</t>
        </is>
      </c>
    </row>
    <row r="603">
      <c r="L603" t="inlineStr">
        <is>
          <t>N-Nitrosonornicotine</t>
        </is>
      </c>
    </row>
    <row r="604">
      <c r="L604" t="inlineStr">
        <is>
          <t>N-Nitrosopiperidine</t>
        </is>
      </c>
    </row>
    <row r="605">
      <c r="L605" t="inlineStr">
        <is>
          <t>N-Nitrosopyrrolidine</t>
        </is>
      </c>
    </row>
    <row r="606">
      <c r="L606" t="inlineStr">
        <is>
          <t>N-Nitrososarcosine</t>
        </is>
      </c>
    </row>
    <row r="607">
      <c r="L607" t="inlineStr">
        <is>
          <t>o-Nitrotoluene</t>
        </is>
      </c>
    </row>
    <row r="608">
      <c r="L608" t="inlineStr">
        <is>
          <t>Nitrous oxide</t>
        </is>
      </c>
    </row>
    <row r="609">
      <c r="L609" t="inlineStr">
        <is>
          <t>Norethisterone (Norethindrone)</t>
        </is>
      </c>
    </row>
    <row r="610">
      <c r="L610" t="inlineStr">
        <is>
          <t>Norethisterone acetate (Norethindrone acetate)</t>
        </is>
      </c>
    </row>
    <row r="611">
      <c r="L611" t="inlineStr">
        <is>
          <t>Norethisterone (Norethindrone)/Ethinyl estradiol</t>
        </is>
      </c>
    </row>
    <row r="612">
      <c r="L612" t="inlineStr">
        <is>
          <t>Norethynodrel</t>
        </is>
      </c>
    </row>
    <row r="613">
      <c r="L613" t="inlineStr">
        <is>
          <t>Norgestrel</t>
        </is>
      </c>
    </row>
    <row r="614">
      <c r="L614" t="inlineStr">
        <is>
          <t>Ochratoxin A</t>
        </is>
      </c>
    </row>
    <row r="615">
      <c r="L615" t="inlineStr">
        <is>
          <t>Oil Orange SS</t>
        </is>
      </c>
    </row>
    <row r="616">
      <c r="L616" t="inlineStr">
        <is>
          <t>Oral contraceptives, combined</t>
        </is>
      </c>
    </row>
    <row r="617">
      <c r="L617" t="inlineStr">
        <is>
          <t>Oral contraceptives, sequential</t>
        </is>
      </c>
    </row>
    <row r="618">
      <c r="L618" t="inlineStr">
        <is>
          <t>Oryzalin</t>
        </is>
      </c>
    </row>
    <row r="619">
      <c r="L619" t="inlineStr">
        <is>
          <t>Oxadiazon</t>
        </is>
      </c>
    </row>
    <row r="620">
      <c r="L620" t="inlineStr">
        <is>
          <t>Oxazepam</t>
        </is>
      </c>
    </row>
    <row r="621">
      <c r="L621" t="inlineStr">
        <is>
          <t>Oxymetholone</t>
        </is>
      </c>
    </row>
    <row r="622">
      <c r="L622" t="inlineStr">
        <is>
          <t>Oxytetracycline (internal use)</t>
        </is>
      </c>
    </row>
    <row r="623">
      <c r="L623" t="inlineStr">
        <is>
          <t>Oxytetracycline hydrochloride (internal use)</t>
        </is>
      </c>
    </row>
    <row r="624">
      <c r="L624" t="inlineStr">
        <is>
          <t>Oxythioquinox (Chinomethionat)</t>
        </is>
      </c>
    </row>
    <row r="625">
      <c r="L625" t="inlineStr">
        <is>
          <t>Paclitaxel</t>
        </is>
      </c>
    </row>
    <row r="626">
      <c r="L626" t="inlineStr">
        <is>
          <t>Palygorskite fibers (&gt; 5mm in length)</t>
        </is>
      </c>
    </row>
    <row r="627">
      <c r="L627" t="inlineStr">
        <is>
          <t>Panfuran S</t>
        </is>
      </c>
    </row>
    <row r="628">
      <c r="L628" t="inlineStr">
        <is>
          <t>Paramethadione</t>
        </is>
      </c>
    </row>
    <row r="629">
      <c r="L629" t="inlineStr">
        <is>
          <t>Parathion</t>
        </is>
      </c>
    </row>
    <row r="630">
      <c r="L630" t="inlineStr">
        <is>
          <t>Penicillamine</t>
        </is>
      </c>
    </row>
    <row r="631">
      <c r="L631" t="inlineStr">
        <is>
          <t>pentabromodiphenyl ether mixture [DE-71 (technical grade)]</t>
        </is>
      </c>
    </row>
    <row r="632">
      <c r="L632" t="inlineStr">
        <is>
          <t>Pentachlorophenol</t>
        </is>
      </c>
    </row>
    <row r="633">
      <c r="L633" t="inlineStr">
        <is>
          <t>Pentachlorophenol and by-products of its synthesis (complex mixture)</t>
        </is>
      </c>
    </row>
    <row r="634">
      <c r="L634" t="inlineStr">
        <is>
          <t>Pentobarbital sodium</t>
        </is>
      </c>
    </row>
    <row r="635">
      <c r="L635" t="inlineStr">
        <is>
          <t>Pentosan polysulfate sodium</t>
        </is>
      </c>
    </row>
    <row r="636">
      <c r="L636" t="inlineStr">
        <is>
          <t>Pentostatin</t>
        </is>
      </c>
    </row>
    <row r="637">
      <c r="L637" t="inlineStr">
        <is>
          <t>Perfluorooctane sulfonate (PFOS)</t>
        </is>
      </c>
    </row>
    <row r="638">
      <c r="L638" t="inlineStr">
        <is>
          <t>Perfluorooctanoic acid (PFOA)</t>
        </is>
      </c>
    </row>
    <row r="639">
      <c r="L639" t="inlineStr">
        <is>
          <t>Pertuzumab</t>
        </is>
      </c>
    </row>
    <row r="640">
      <c r="L640" t="inlineStr">
        <is>
          <t>Phenacemide</t>
        </is>
      </c>
    </row>
    <row r="641">
      <c r="L641" t="inlineStr">
        <is>
          <t>Phenacetin</t>
        </is>
      </c>
    </row>
    <row r="642">
      <c r="L642" t="inlineStr">
        <is>
          <t>Phenazopyridine</t>
        </is>
      </c>
    </row>
    <row r="643">
      <c r="L643" t="inlineStr">
        <is>
          <t>Phenazopyridine hydrochloride</t>
        </is>
      </c>
    </row>
    <row r="644">
      <c r="L644" t="inlineStr">
        <is>
          <t>Phenesterin</t>
        </is>
      </c>
    </row>
    <row r="645">
      <c r="L645" t="inlineStr">
        <is>
          <t>Phenobarbital</t>
        </is>
      </c>
    </row>
    <row r="646">
      <c r="L646" t="inlineStr">
        <is>
          <t>Phenolphthalein</t>
        </is>
      </c>
    </row>
    <row r="647">
      <c r="L647" t="inlineStr">
        <is>
          <t>Phenoxybenzamine</t>
        </is>
      </c>
    </row>
    <row r="648">
      <c r="L648" t="inlineStr">
        <is>
          <t>Phenoxybenzamine hydrochloride</t>
        </is>
      </c>
    </row>
    <row r="649">
      <c r="L649" t="inlineStr">
        <is>
          <t>Phenprocoumon</t>
        </is>
      </c>
    </row>
    <row r="650">
      <c r="L650" t="inlineStr">
        <is>
          <t>o-Phenylenediamine and its salts</t>
        </is>
      </c>
    </row>
    <row r="651">
      <c r="L651" t="inlineStr">
        <is>
          <t>Phenylhydrazine and its salts</t>
        </is>
      </c>
    </row>
    <row r="652">
      <c r="L652" t="inlineStr">
        <is>
          <t>o-Phenylphenate, sodium</t>
        </is>
      </c>
    </row>
    <row r="653">
      <c r="L653" t="inlineStr">
        <is>
          <t>o-Phenylphenol</t>
        </is>
      </c>
    </row>
    <row r="654">
      <c r="L654" t="inlineStr">
        <is>
          <t>Phenylphosphine</t>
        </is>
      </c>
    </row>
    <row r="655">
      <c r="L655" t="inlineStr">
        <is>
          <t>PhiP(2-Amino-1-methyl-6-phenylimidazol[4,5-b]pyridine)</t>
        </is>
      </c>
    </row>
    <row r="656">
      <c r="L656" t="inlineStr">
        <is>
          <t>Pimozide</t>
        </is>
      </c>
    </row>
    <row r="657">
      <c r="L657" t="inlineStr">
        <is>
          <t>Pioglitazone</t>
        </is>
      </c>
    </row>
    <row r="658">
      <c r="L658" t="inlineStr">
        <is>
          <t>Pipobroman</t>
        </is>
      </c>
    </row>
    <row r="659">
      <c r="L659" t="inlineStr">
        <is>
          <t>Pirimicarb</t>
        </is>
      </c>
    </row>
    <row r="660">
      <c r="L660" t="inlineStr">
        <is>
          <t>Plicamycin</t>
        </is>
      </c>
    </row>
    <row r="661">
      <c r="L661" t="inlineStr">
        <is>
          <t>Polybrominated biphenyls</t>
        </is>
      </c>
    </row>
    <row r="662">
      <c r="L662" t="inlineStr">
        <is>
          <t>Polychlorinated biphenyls</t>
        </is>
      </c>
    </row>
    <row r="663">
      <c r="L663" t="inlineStr">
        <is>
          <t>Polychlorinated biphenyls (containing 60 or more percent chlorine by molecular weight)</t>
        </is>
      </c>
    </row>
    <row r="664">
      <c r="L664" t="inlineStr">
        <is>
          <t>Polychlorinated dibenzo-p-dioxins</t>
        </is>
      </c>
    </row>
    <row r="665">
      <c r="L665" t="inlineStr">
        <is>
          <t>Polychlorinated dibenzofurans</t>
        </is>
      </c>
    </row>
    <row r="666">
      <c r="L666" t="inlineStr">
        <is>
          <t>Polygeenan</t>
        </is>
      </c>
    </row>
    <row r="667">
      <c r="L667" t="inlineStr">
        <is>
          <t>Ponceau MX</t>
        </is>
      </c>
    </row>
    <row r="668">
      <c r="L668" t="inlineStr">
        <is>
          <t>Ponceau 3R</t>
        </is>
      </c>
    </row>
    <row r="669">
      <c r="L669" t="inlineStr">
        <is>
          <t>Potassium bromate</t>
        </is>
      </c>
    </row>
    <row r="670">
      <c r="L670" t="inlineStr">
        <is>
          <t>Potassium dimethyldithiocarbamate</t>
        </is>
      </c>
    </row>
    <row r="671">
      <c r="L671" t="inlineStr">
        <is>
          <t>Pravastatin sodium</t>
        </is>
      </c>
    </row>
    <row r="672">
      <c r="L672" t="inlineStr">
        <is>
          <t>Prednisolone sodium phosphate</t>
        </is>
      </c>
    </row>
    <row r="673">
      <c r="L673" t="inlineStr">
        <is>
          <t>Primidone</t>
        </is>
      </c>
    </row>
    <row r="674">
      <c r="L674" t="inlineStr">
        <is>
          <t>Procarbazine</t>
        </is>
      </c>
    </row>
    <row r="675">
      <c r="L675" t="inlineStr">
        <is>
          <t>Procarbazine hydrochloride</t>
        </is>
      </c>
    </row>
    <row r="676">
      <c r="L676" t="inlineStr">
        <is>
          <t>Procymidone</t>
        </is>
      </c>
    </row>
    <row r="677">
      <c r="L677" t="inlineStr">
        <is>
          <t>Progesterone</t>
        </is>
      </c>
    </row>
    <row r="678">
      <c r="L678" t="inlineStr">
        <is>
          <t>Pronamide</t>
        </is>
      </c>
    </row>
    <row r="679">
      <c r="L679" t="inlineStr">
        <is>
          <t>Propachlor</t>
        </is>
      </c>
    </row>
    <row r="680">
      <c r="L680" t="inlineStr">
        <is>
          <t>1,3-Propane sultone</t>
        </is>
      </c>
    </row>
    <row r="681">
      <c r="L681" t="inlineStr">
        <is>
          <t>Propargite</t>
        </is>
      </c>
    </row>
    <row r="682">
      <c r="L682" t="inlineStr">
        <is>
          <t>Propazine</t>
        </is>
      </c>
    </row>
    <row r="683">
      <c r="L683" t="inlineStr">
        <is>
          <t>beta-Propiolactone</t>
        </is>
      </c>
    </row>
    <row r="684">
      <c r="L684" t="inlineStr">
        <is>
          <t>Propoxur</t>
        </is>
      </c>
    </row>
    <row r="685">
      <c r="L685" t="inlineStr">
        <is>
          <t>Propylene glycol mono-t-butyl ether</t>
        </is>
      </c>
    </row>
    <row r="686">
      <c r="L686" t="inlineStr">
        <is>
          <t>Propylene oxide</t>
        </is>
      </c>
    </row>
    <row r="687">
      <c r="L687" t="inlineStr">
        <is>
          <t>Propylthiouracil</t>
        </is>
      </c>
    </row>
    <row r="688">
      <c r="L688" t="inlineStr">
        <is>
          <t>Pulegone</t>
        </is>
      </c>
    </row>
    <row r="689">
      <c r="L689" t="inlineStr">
        <is>
          <t>Pymetrozine</t>
        </is>
      </c>
    </row>
    <row r="690">
      <c r="L690" t="inlineStr">
        <is>
          <t>Pyridine</t>
        </is>
      </c>
    </row>
    <row r="691">
      <c r="L691" t="inlineStr">
        <is>
          <t>Pyrimethamine</t>
        </is>
      </c>
    </row>
    <row r="692">
      <c r="L692" t="inlineStr">
        <is>
          <t>Quazepam</t>
        </is>
      </c>
    </row>
    <row r="693">
      <c r="L693" t="inlineStr">
        <is>
          <t>Quinoline and its strong acid salts</t>
        </is>
      </c>
    </row>
    <row r="694">
      <c r="L694" t="inlineStr">
        <is>
          <t>Radionuclides</t>
        </is>
      </c>
    </row>
    <row r="695">
      <c r="L695" t="inlineStr">
        <is>
          <t>Reserpine</t>
        </is>
      </c>
    </row>
    <row r="696">
      <c r="L696" t="inlineStr">
        <is>
          <t>Residual (heavy) fuel oils</t>
        </is>
      </c>
    </row>
    <row r="697">
      <c r="L697" t="inlineStr">
        <is>
          <t>Resmethrin</t>
        </is>
      </c>
    </row>
    <row r="698">
      <c r="L698" t="inlineStr">
        <is>
          <t>Retinol/retinyl esters, when in daily dosages in excess of 10,000 IU, or 3,000 retinol equivalents.</t>
        </is>
      </c>
    </row>
    <row r="699">
      <c r="L699" t="inlineStr">
        <is>
          <t>Ribavirin</t>
        </is>
      </c>
    </row>
    <row r="700">
      <c r="L700" t="inlineStr">
        <is>
          <t>Riddelliine</t>
        </is>
      </c>
    </row>
    <row r="701">
      <c r="L701" t="inlineStr">
        <is>
          <t>Rifampin</t>
        </is>
      </c>
    </row>
    <row r="702">
      <c r="L702" t="inlineStr">
        <is>
          <t>Safrole</t>
        </is>
      </c>
    </row>
    <row r="703">
      <c r="L703" t="inlineStr">
        <is>
          <t>Salted fish, Chinese-style</t>
        </is>
      </c>
    </row>
    <row r="704">
      <c r="L704" t="inlineStr">
        <is>
          <t>Secobarbital sodium</t>
        </is>
      </c>
    </row>
    <row r="705">
      <c r="L705" t="inlineStr">
        <is>
          <t>Sedaxane</t>
        </is>
      </c>
    </row>
    <row r="706">
      <c r="L706" t="inlineStr">
        <is>
          <t>Selenium sulfide</t>
        </is>
      </c>
    </row>
    <row r="707">
      <c r="L707" t="inlineStr">
        <is>
          <t>Sermorelin acetate</t>
        </is>
      </c>
    </row>
    <row r="708">
      <c r="L708" t="inlineStr">
        <is>
          <t>Shale-oils</t>
        </is>
      </c>
    </row>
    <row r="709">
      <c r="L709" t="inlineStr">
        <is>
          <t>Silica, crystalline (airborne particles of respirable size)</t>
        </is>
      </c>
    </row>
    <row r="710">
      <c r="L710" t="inlineStr">
        <is>
          <t>Simazine</t>
        </is>
      </c>
    </row>
    <row r="711">
      <c r="L711" t="inlineStr">
        <is>
          <t>Sodium dimethyldithiocarbamate</t>
        </is>
      </c>
    </row>
    <row r="712">
      <c r="L712" t="inlineStr">
        <is>
          <t>Soots, tars, and mineral oils (untreated and mildly treated oils and used engine oils)</t>
        </is>
      </c>
    </row>
    <row r="713">
      <c r="L713" t="inlineStr">
        <is>
          <t>Spirodiclofen</t>
        </is>
      </c>
    </row>
    <row r="714">
      <c r="L714" t="inlineStr">
        <is>
          <t>Spironolactone</t>
        </is>
      </c>
    </row>
    <row r="715">
      <c r="L715" t="inlineStr">
        <is>
          <t>Stanozolol</t>
        </is>
      </c>
    </row>
    <row r="716">
      <c r="L716" t="inlineStr">
        <is>
          <t>Sterigmatocystin</t>
        </is>
      </c>
    </row>
    <row r="717">
      <c r="L717" t="inlineStr">
        <is>
          <t>Streptomycin sulfate</t>
        </is>
      </c>
    </row>
    <row r="718">
      <c r="L718" t="inlineStr">
        <is>
          <t>Streptozocin (streptozotocin)</t>
        </is>
      </c>
    </row>
    <row r="719">
      <c r="L719" t="inlineStr">
        <is>
          <t>Streptozotocin (streptozocin)</t>
        </is>
      </c>
    </row>
    <row r="720">
      <c r="L720" t="inlineStr">
        <is>
          <t>Strong inorganic acid mists containing sulfuric acid</t>
        </is>
      </c>
    </row>
    <row r="721">
      <c r="L721" t="inlineStr">
        <is>
          <t>Styrene</t>
        </is>
      </c>
    </row>
    <row r="722">
      <c r="L722" t="inlineStr">
        <is>
          <t>Styrene oxide</t>
        </is>
      </c>
    </row>
    <row r="723">
      <c r="L723" t="inlineStr">
        <is>
          <t>Sulfallate</t>
        </is>
      </c>
    </row>
    <row r="724">
      <c r="L724" t="inlineStr">
        <is>
          <t>Sulfasalazine (Salicylazosulfapyridine)</t>
        </is>
      </c>
    </row>
    <row r="725">
      <c r="L725" t="inlineStr">
        <is>
          <t>Sulfur dioxidee</t>
        </is>
      </c>
    </row>
    <row r="726">
      <c r="L726" t="inlineStr">
        <is>
          <t>Sulindac</t>
        </is>
      </c>
    </row>
    <row r="727">
      <c r="L727" t="inlineStr">
        <is>
          <t>Talc containing asbestiform fibers</t>
        </is>
      </c>
    </row>
    <row r="728">
      <c r="L728" t="inlineStr">
        <is>
          <t>Tamoxifen and its salts</t>
        </is>
      </c>
    </row>
    <row r="729">
      <c r="L729" t="inlineStr">
        <is>
          <t>Tamoxifen citrate</t>
        </is>
      </c>
    </row>
    <row r="730">
      <c r="L730" t="inlineStr">
        <is>
          <t>Temazepam</t>
        </is>
      </c>
    </row>
    <row r="731">
      <c r="L731" t="inlineStr">
        <is>
          <t>Teniposide</t>
        </is>
      </c>
    </row>
    <row r="732">
      <c r="L732" t="inlineStr">
        <is>
          <t>Terbacil</t>
        </is>
      </c>
    </row>
    <row r="733">
      <c r="L733" t="inlineStr">
        <is>
          <t>Teriparatide</t>
        </is>
      </c>
    </row>
    <row r="734">
      <c r="L734" t="inlineStr">
        <is>
          <t>Terrazole</t>
        </is>
      </c>
    </row>
    <row r="735">
      <c r="L735" t="inlineStr">
        <is>
          <t>Testosterone and its esters</t>
        </is>
      </c>
    </row>
    <row r="736">
      <c r="L736" t="inlineStr">
        <is>
          <t>Testosterone cypionate</t>
        </is>
      </c>
    </row>
    <row r="737">
      <c r="L737" t="inlineStr">
        <is>
          <t>Testosterone enanthate</t>
        </is>
      </c>
    </row>
    <row r="738">
      <c r="L738" t="inlineStr">
        <is>
          <t>Tetrabromobisphenol A</t>
        </is>
      </c>
    </row>
    <row r="739">
      <c r="L739" t="inlineStr">
        <is>
          <t>3,3',4,4'-Tetrachloroazobenzene</t>
        </is>
      </c>
    </row>
    <row r="740">
      <c r="L740" t="inlineStr">
        <is>
          <t>2,3,7,8-Tetrachlorodibenzo-p-dioxin (TCDD)</t>
        </is>
      </c>
    </row>
    <row r="741">
      <c r="L741" t="inlineStr">
        <is>
          <t>1,1,1,2-Tetrachloroethane</t>
        </is>
      </c>
    </row>
    <row r="742">
      <c r="L742" t="inlineStr">
        <is>
          <t>1,1,2,2-Tetrachloroethane</t>
        </is>
      </c>
    </row>
    <row r="743">
      <c r="L743" t="inlineStr">
        <is>
          <t>Tetrachloroethylene (Perchloroethylene)</t>
        </is>
      </c>
    </row>
    <row r="744">
      <c r="L744" t="inlineStr">
        <is>
          <t>p-a,a,a-Tetrachlorotoluene</t>
        </is>
      </c>
    </row>
    <row r="745">
      <c r="L745" t="inlineStr">
        <is>
          <t>Tetrachlorvinphos</t>
        </is>
      </c>
    </row>
    <row r="746">
      <c r="L746" t="inlineStr">
        <is>
          <t>Tetracycline (internal use)</t>
        </is>
      </c>
    </row>
    <row r="747">
      <c r="L747" t="inlineStr">
        <is>
          <t>Tetracyclines (internal use)</t>
        </is>
      </c>
    </row>
    <row r="748">
      <c r="L748" t="inlineStr">
        <is>
          <t>Tetracycline hydrochloride (internal use)</t>
        </is>
      </c>
    </row>
    <row r="749">
      <c r="L749" t="inlineStr">
        <is>
          <t>Tetrafluoroethylene</t>
        </is>
      </c>
    </row>
    <row r="750">
      <c r="L750" t="inlineStr">
        <is>
          <t>Tetranitromethane</t>
        </is>
      </c>
    </row>
    <row r="751">
      <c r="L751" t="inlineStr">
        <is>
          <t>Thalidomide</t>
        </is>
      </c>
    </row>
    <row r="752">
      <c r="L752" t="inlineStr">
        <is>
          <t>Thioacetamide</t>
        </is>
      </c>
    </row>
    <row r="753">
      <c r="L753" t="inlineStr">
        <is>
          <t>4,4'-Thiodianiline</t>
        </is>
      </c>
    </row>
    <row r="754">
      <c r="L754" t="inlineStr">
        <is>
          <t>Thiodicarb</t>
        </is>
      </c>
    </row>
    <row r="755">
      <c r="L755" t="inlineStr">
        <is>
          <t>Thioguanine</t>
        </is>
      </c>
    </row>
    <row r="756">
      <c r="L756" t="inlineStr">
        <is>
          <t>Thiouracil</t>
        </is>
      </c>
    </row>
    <row r="757">
      <c r="L757" t="inlineStr">
        <is>
          <t>Thiourea</t>
        </is>
      </c>
    </row>
    <row r="758">
      <c r="L758" t="inlineStr">
        <is>
          <t>Thorium dioxide</t>
        </is>
      </c>
    </row>
    <row r="759">
      <c r="L759" t="inlineStr">
        <is>
          <t>Titanium dioxide (airborne, unbound particles of respirable size)</t>
        </is>
      </c>
    </row>
    <row r="760">
      <c r="L760" t="inlineStr">
        <is>
          <t>Tobacco, oral use of smokeless products</t>
        </is>
      </c>
    </row>
    <row r="761">
      <c r="L761" t="inlineStr">
        <is>
          <t>Tobacco smoke</t>
        </is>
      </c>
    </row>
    <row r="762">
      <c r="L762" t="inlineStr">
        <is>
          <t>Tobacco smoke (primary)</t>
        </is>
      </c>
    </row>
    <row r="763">
      <c r="L763" t="inlineStr">
        <is>
          <t>Tobramycin sulfate</t>
        </is>
      </c>
    </row>
    <row r="764">
      <c r="L764" t="inlineStr">
        <is>
          <t>Toluene</t>
        </is>
      </c>
    </row>
    <row r="765">
      <c r="L765" t="inlineStr">
        <is>
          <t>Toluene diisocyanate</t>
        </is>
      </c>
    </row>
    <row r="766">
      <c r="L766" t="inlineStr">
        <is>
          <t>o-Toluidine</t>
        </is>
      </c>
    </row>
    <row r="767">
      <c r="L767" t="inlineStr">
        <is>
          <t>o-Toluidine hydrochloride</t>
        </is>
      </c>
    </row>
    <row r="768">
      <c r="L768" t="inlineStr">
        <is>
          <t>Topiramate</t>
        </is>
      </c>
    </row>
    <row r="769">
      <c r="L769" t="inlineStr">
        <is>
          <t>Toxaphene (Polychlorinated camphenes)</t>
        </is>
      </c>
    </row>
    <row r="770">
      <c r="L770" t="inlineStr">
        <is>
          <t>Toxins derived from Fusarium moniliforme (Fusarium verticillioides)</t>
        </is>
      </c>
    </row>
    <row r="771">
      <c r="L771" t="inlineStr">
        <is>
          <t>Treosulfan</t>
        </is>
      </c>
    </row>
    <row r="772">
      <c r="L772" t="inlineStr">
        <is>
          <t>Triadimefon</t>
        </is>
      </c>
    </row>
    <row r="773">
      <c r="L773" t="inlineStr">
        <is>
          <t>Triamterene</t>
        </is>
      </c>
    </row>
    <row r="774">
      <c r="L774" t="inlineStr">
        <is>
          <t>Triazolam</t>
        </is>
      </c>
    </row>
    <row r="775">
      <c r="L775" t="inlineStr">
        <is>
          <t>S,S,S-Tributyl phosphorotrithioate (Tribufos, DEF)</t>
        </is>
      </c>
    </row>
    <row r="776">
      <c r="L776" t="inlineStr">
        <is>
          <t>Tributyltin methacrylate</t>
        </is>
      </c>
    </row>
    <row r="777">
      <c r="L777" t="inlineStr">
        <is>
          <t>Trichlormethine (Trimustine hydrochloride)</t>
        </is>
      </c>
    </row>
    <row r="778">
      <c r="L778" t="inlineStr">
        <is>
          <t>Trichloroacetic acid</t>
        </is>
      </c>
    </row>
    <row r="779">
      <c r="L779" t="inlineStr">
        <is>
          <t>Trichloroethylene</t>
        </is>
      </c>
    </row>
    <row r="780">
      <c r="L780" t="inlineStr">
        <is>
          <t>2,4,6-Trichlorophenol</t>
        </is>
      </c>
    </row>
    <row r="781">
      <c r="L781" t="inlineStr">
        <is>
          <t>1,2,3-Trichloropropane</t>
        </is>
      </c>
    </row>
    <row r="782">
      <c r="L782" t="inlineStr">
        <is>
          <t>Trientine hydrochloride</t>
        </is>
      </c>
    </row>
    <row r="783">
      <c r="L783" t="inlineStr">
        <is>
          <t>Triforine</t>
        </is>
      </c>
    </row>
    <row r="784">
      <c r="L784" t="inlineStr">
        <is>
          <t>Trilostane</t>
        </is>
      </c>
    </row>
    <row r="785">
      <c r="L785" t="inlineStr">
        <is>
          <t>Trimethadione</t>
        </is>
      </c>
    </row>
    <row r="786">
      <c r="L786" t="inlineStr">
        <is>
          <t>2,4,5-Trimethylaniline and its strong acid salts</t>
        </is>
      </c>
    </row>
    <row r="787">
      <c r="L787" t="inlineStr">
        <is>
          <t>Trimethyl phosphate</t>
        </is>
      </c>
    </row>
    <row r="788">
      <c r="L788" t="inlineStr">
        <is>
          <t>Trimetrexate glucuronate</t>
        </is>
      </c>
    </row>
    <row r="789">
      <c r="L789" t="inlineStr">
        <is>
          <t>2,4,6-Trinitrotoluene (TNT)</t>
        </is>
      </c>
    </row>
    <row r="790">
      <c r="L790" t="inlineStr">
        <is>
          <t>Triphenyltin hydroxide</t>
        </is>
      </c>
    </row>
    <row r="791">
      <c r="L791" t="inlineStr">
        <is>
          <t>Tris(1-aziridinyl)phosphine sulfide (Thiotepa)</t>
        </is>
      </c>
    </row>
    <row r="792">
      <c r="L792" t="inlineStr">
        <is>
          <t>Tris(2-chloroethyl) phosphate</t>
        </is>
      </c>
    </row>
    <row r="793">
      <c r="L793" t="inlineStr">
        <is>
          <t>Tris(2,3-dibromopropyl)phosphate</t>
        </is>
      </c>
    </row>
    <row r="794">
      <c r="L794" t="inlineStr">
        <is>
          <t>Tris(1,3-dichloro-2-propyl) phosphate (TDCPP)</t>
        </is>
      </c>
    </row>
    <row r="795">
      <c r="L795" t="inlineStr">
        <is>
          <t>Trp-P-1 (Tryptophan-P-1)</t>
        </is>
      </c>
    </row>
    <row r="796">
      <c r="L796" t="inlineStr">
        <is>
          <t>Trp-P-2 (Tryptophan-P-2)</t>
        </is>
      </c>
    </row>
    <row r="797">
      <c r="L797" t="inlineStr">
        <is>
          <t>Trypan blue (commercial grade)</t>
        </is>
      </c>
    </row>
    <row r="798">
      <c r="L798" t="inlineStr">
        <is>
          <t>Unleaded gasoline (wholly vaporized)</t>
        </is>
      </c>
    </row>
    <row r="799">
      <c r="L799" t="inlineStr">
        <is>
          <t>Uracil mustard</t>
        </is>
      </c>
    </row>
    <row r="800">
      <c r="L800" t="inlineStr">
        <is>
          <t>Urethane (Ethyl carbamate)</t>
        </is>
      </c>
    </row>
    <row r="801">
      <c r="L801" t="inlineStr">
        <is>
          <t>Urofollitropin</t>
        </is>
      </c>
    </row>
    <row r="802">
      <c r="L802" t="inlineStr">
        <is>
          <t>Valproate (Valproic acid)</t>
        </is>
      </c>
    </row>
    <row r="803">
      <c r="L803" t="inlineStr">
        <is>
          <t>Vanadium pentoxide (orthorhombic crystalline form)</t>
        </is>
      </c>
    </row>
    <row r="804">
      <c r="L804" t="inlineStr">
        <is>
          <t>Vinblastine sulfate</t>
        </is>
      </c>
    </row>
    <row r="805">
      <c r="L805" t="inlineStr">
        <is>
          <t>Vinclozolin</t>
        </is>
      </c>
    </row>
    <row r="806">
      <c r="L806" t="inlineStr">
        <is>
          <t>Vincristine sulfate</t>
        </is>
      </c>
    </row>
    <row r="807">
      <c r="L807" t="inlineStr">
        <is>
          <t>Vinyl bromide</t>
        </is>
      </c>
    </row>
    <row r="808">
      <c r="L808" t="inlineStr">
        <is>
          <t>Vinyl chloride</t>
        </is>
      </c>
    </row>
    <row r="809">
      <c r="L809" t="inlineStr">
        <is>
          <t>4-Vinylcyclohexene</t>
        </is>
      </c>
    </row>
    <row r="810">
      <c r="L810" t="inlineStr">
        <is>
          <t>4-Vinyl-1-cyclohexene diepoxide (Vinyl cyclohexenedioxide)</t>
        </is>
      </c>
    </row>
    <row r="811">
      <c r="L811" t="inlineStr">
        <is>
          <t>Vinyl fluoride</t>
        </is>
      </c>
    </row>
    <row r="812">
      <c r="L812" t="inlineStr">
        <is>
          <t>Vinylidene chloride (1,1-Dichloroethylene)</t>
        </is>
      </c>
    </row>
    <row r="813">
      <c r="L813" t="inlineStr">
        <is>
          <t>Vinyl trichloride (1,1,2-Trichloroethane)</t>
        </is>
      </c>
    </row>
    <row r="814">
      <c r="L814" t="inlineStr">
        <is>
          <t>Warfarin</t>
        </is>
      </c>
    </row>
    <row r="815">
      <c r="L815" t="inlineStr">
        <is>
          <t>Wood dust</t>
        </is>
      </c>
    </row>
    <row r="816">
      <c r="L816" t="inlineStr">
        <is>
          <t>2,6-Xylidine (2,6-Dimethylaniline)</t>
        </is>
      </c>
    </row>
    <row r="817">
      <c r="L817" t="inlineStr">
        <is>
          <t>Zalcitabine</t>
        </is>
      </c>
    </row>
    <row r="818">
      <c r="L818" t="inlineStr">
        <is>
          <t>Zidovudine (AZT)</t>
        </is>
      </c>
    </row>
    <row r="819">
      <c r="L819" t="inlineStr">
        <is>
          <t>Zileuton</t>
        </is>
      </c>
    </row>
    <row r="820">
      <c r="L820" t="inlineStr">
        <is>
          <t>2-Bromopropane (2-BP)</t>
        </is>
      </c>
    </row>
    <row r="821">
      <c r="L821" t="inlineStr">
        <is>
          <t>2-Chloropropionic acid</t>
        </is>
      </c>
    </row>
    <row r="822">
      <c r="L822" t="inlineStr">
        <is>
          <t>Di-n-hexyl phthalate (DnHP)</t>
        </is>
      </c>
    </row>
    <row r="823">
      <c r="L823" t="inlineStr">
        <is>
          <t>m-Dinitrobenzene</t>
        </is>
      </c>
    </row>
    <row r="824">
      <c r="L824" t="inlineStr">
        <is>
          <t>o-Dinitrobenzene</t>
        </is>
      </c>
    </row>
    <row r="825">
      <c r="L825" t="inlineStr">
        <is>
          <t>p-Dinitrobenzene</t>
        </is>
      </c>
    </row>
    <row r="826">
      <c r="L826" t="inlineStr">
        <is>
          <t>Dinitrotoluene (technical grade)</t>
        </is>
      </c>
    </row>
    <row r="827">
      <c r="L827" t="inlineStr">
        <is>
          <t>n-Hexane</t>
        </is>
      </c>
    </row>
    <row r="828">
      <c r="L828" t="inlineStr">
        <is>
          <t>2,5-Hexanedione</t>
        </is>
      </c>
    </row>
    <row r="829">
      <c r="L829" t="inlineStr">
        <is>
          <t>Hydrogen cyanide (HCN) and cyanide salts (CN salts)</t>
        </is>
      </c>
    </row>
    <row r="830">
      <c r="L830" t="inlineStr">
        <is>
          <t>Levonorgestrel implants</t>
        </is>
      </c>
    </row>
    <row r="831">
      <c r="L831" t="inlineStr">
        <is>
          <t>Nitrofurantoin</t>
        </is>
      </c>
    </row>
    <row r="832">
      <c r="L832" t="inlineStr">
        <is>
          <t>Oxydemeton methyl</t>
        </is>
      </c>
    </row>
    <row r="833">
      <c r="L833" t="inlineStr">
        <is>
          <t>Quizalofop-ethyl</t>
        </is>
      </c>
    </row>
    <row r="834">
      <c r="L834" t="inlineStr">
        <is>
          <t>Sodium fluoroacetate</t>
        </is>
      </c>
    </row>
    <row r="835">
      <c r="L835" t="inlineStr">
        <is>
          <t>Thiophanate methyl</t>
        </is>
      </c>
    </row>
    <row r="836">
      <c r="L836" t="inlineStr">
        <is>
          <t>Vinyl cyclohexene dioxide (4-Vinyl-1-cyclohexene diepoxide)</t>
        </is>
      </c>
    </row>
    <row r="837">
      <c r="L837" t="inlineStr">
        <is>
          <t>Chloroform</t>
        </is>
      </c>
    </row>
    <row r="838">
      <c r="L838" t="inlineStr">
        <is>
          <t>1,2-Dibromo-3-chloropropane (DBCP)</t>
        </is>
      </c>
    </row>
    <row r="839">
      <c r="L839" t="inlineStr">
        <is>
          <t>Diclofop-methyl</t>
        </is>
      </c>
    </row>
    <row r="840">
      <c r="L840" t="inlineStr">
        <is>
          <t>Phenyl glycidyl ether</t>
        </is>
      </c>
    </row>
    <row r="841">
      <c r="L841" t="inlineStr">
        <is>
          <t>Di-isodecyl phthalate (DIDP)</t>
        </is>
      </c>
    </row>
    <row r="842">
      <c r="L842" t="inlineStr">
        <is>
          <t>Erionite</t>
        </is>
      </c>
    </row>
    <row r="843">
      <c r="L843" t="inlineStr">
        <is>
          <t>Iprovalicarb</t>
        </is>
      </c>
    </row>
    <row r="844">
      <c r="L844" t="inlineStr">
        <is>
          <t>Nickel hydroxide</t>
        </is>
      </c>
    </row>
    <row r="845">
      <c r="L845" t="inlineStr">
        <is>
          <t>Norethisterone (Norethindrone) /Mestranol</t>
        </is>
      </c>
    </row>
    <row r="846">
      <c r="L846" t="inlineStr">
        <is>
          <t>Anabolic steroids</t>
        </is>
      </c>
    </row>
    <row r="847">
      <c r="L847" t="inlineStr">
        <is>
          <t>Altretamine</t>
        </is>
      </c>
    </row>
    <row r="848">
      <c r="L848" t="inlineStr">
        <is>
          <t>Beryllium</t>
        </is>
      </c>
    </row>
    <row r="849">
      <c r="L849" t="inlineStr">
        <is>
          <t>Beryllium Oxide</t>
        </is>
      </c>
    </row>
    <row r="850">
      <c r="L850" t="inlineStr">
        <is>
          <t>Beryllium Sulfate</t>
        </is>
      </c>
    </row>
    <row r="851">
      <c r="L851" t="inlineStr">
        <is>
          <t>Hexachlorocyclohexane (alpha isomer)</t>
        </is>
      </c>
    </row>
    <row r="852">
      <c r="L852" t="inlineStr">
        <is>
          <t>Hexachlorocyclohexane (beta isomer)</t>
        </is>
      </c>
    </row>
    <row r="853">
      <c r="L853" t="inlineStr">
        <is>
          <t>Hexachlorocyclohexane (gamma isomer)</t>
        </is>
      </c>
    </row>
    <row r="854">
      <c r="L854" t="inlineStr">
        <is>
          <t>Cyanide salts that readily dissociate in solution (expressed as cyanide)</t>
        </is>
      </c>
    </row>
    <row r="855">
      <c r="L855" t="inlineStr">
        <is>
          <t>Hydrogen cyanide</t>
        </is>
      </c>
    </row>
    <row r="856">
      <c r="L856" t="inlineStr">
        <is>
          <t>Potassium cyanide</t>
        </is>
      </c>
    </row>
    <row r="857">
      <c r="L857" t="inlineStr">
        <is>
          <t>Methylhydrazine</t>
        </is>
      </c>
    </row>
    <row r="858">
      <c r="L858" t="inlineStr">
        <is>
          <t>Methylhydrazine sulfate</t>
        </is>
      </c>
    </row>
    <row r="859">
      <c r="L859" t="inlineStr">
        <is>
          <t>o-Phenylenediamine</t>
        </is>
      </c>
    </row>
    <row r="860">
      <c r="L860" t="inlineStr">
        <is>
          <t>o-Phenylenediamine dihydochloride</t>
        </is>
      </c>
    </row>
    <row r="861">
      <c r="L861" t="inlineStr">
        <is>
          <t>Phenylhydrazine</t>
        </is>
      </c>
    </row>
    <row r="862">
      <c r="L862" t="inlineStr">
        <is>
          <t>Phenylhydrazine hydrochloride</t>
        </is>
      </c>
    </row>
    <row r="863">
      <c r="L863" t="inlineStr">
        <is>
          <t>Sodium cyanide</t>
        </is>
      </c>
    </row>
    <row r="864">
      <c r="L864" t="inlineStr">
        <is>
          <t>Short form warning</t>
        </is>
      </c>
    </row>
    <row r="865">
      <c r="L865" t="inlineStr">
        <is>
          <t>Nickel (soluble compounds)</t>
        </is>
      </c>
    </row>
    <row r="866">
      <c r="L866" t="inlineStr">
        <is>
          <t>TRIM VX</t>
        </is>
      </c>
    </row>
    <row r="867">
      <c r="L867" t="inlineStr">
        <is>
          <t>N-Nitrosohexamethyleneimine</t>
        </is>
      </c>
    </row>
    <row r="868">
      <c r="L868" t="inlineStr">
        <is>
          <t>Gentian violet (Crystal violet)</t>
        </is>
      </c>
    </row>
    <row r="869">
      <c r="L869" t="inlineStr">
        <is>
          <t>Custom warning</t>
        </is>
      </c>
    </row>
    <row r="870">
      <c r="L870" t="inlineStr">
        <is>
          <t>2-Amino-4-chlorophenol</t>
        </is>
      </c>
    </row>
    <row r="871">
      <c r="L871" t="inlineStr">
        <is>
          <t>2-Chloronitrobenzene</t>
        </is>
      </c>
    </row>
    <row r="872">
      <c r="L872" t="inlineStr">
        <is>
          <t>1,4-Dichloro-2-nitrobenzene</t>
        </is>
      </c>
    </row>
    <row r="873">
      <c r="L873" t="inlineStr">
        <is>
          <t>2,4-Dichloro-1-nitrobenzene</t>
        </is>
      </c>
    </row>
    <row r="874">
      <c r="L874" t="inlineStr">
        <is>
          <t>Bevacizumab</t>
        </is>
      </c>
    </row>
    <row r="875">
      <c r="L875" t="inlineStr">
        <is>
          <t>p-chloro-?,?,?-trifluorotoluene (para-Chlorobenzotrifluoride, PCBTF)</t>
        </is>
      </c>
    </row>
    <row r="876">
      <c r="L876" t="inlineStr">
        <is>
          <t>para-Nitroanisole</t>
        </is>
      </c>
    </row>
    <row r="877">
      <c r="L877" t="inlineStr">
        <is>
          <t>Cannabis (marijuana) smoke</t>
        </is>
      </c>
    </row>
    <row r="878">
      <c r="L878" t="inlineStr">
        <is>
          <t>?9 -Tetrahydrocannabinol (?9 -THC)</t>
        </is>
      </c>
    </row>
    <row r="879">
      <c r="L879" t="inlineStr">
        <is>
          <t>1,1,1-Trichloroethane</t>
        </is>
      </c>
    </row>
    <row r="880">
      <c r="L880" t="inlineStr">
        <is>
          <t>1-Bromo-3-chloropropane</t>
        </is>
      </c>
    </row>
    <row r="881">
      <c r="L881" t="inlineStr">
        <is>
          <t>1-Butyl glycidyl ether</t>
        </is>
      </c>
    </row>
    <row r="882">
      <c r="L882" t="inlineStr">
        <is>
          <t>2-Ethylhexyl acrylate</t>
        </is>
      </c>
    </row>
    <row r="883">
      <c r="L883" t="inlineStr">
        <is>
          <t>Alcoholic beverages</t>
        </is>
      </c>
    </row>
    <row r="884">
      <c r="L884" t="inlineStr">
        <is>
          <t>Anthracene</t>
        </is>
      </c>
    </row>
    <row r="885">
      <c r="L885" t="inlineStr">
        <is>
          <t>Bisphenol S (BPS)</t>
        </is>
      </c>
    </row>
    <row r="886">
      <c r="L886" t="inlineStr">
        <is>
          <t>Coal-tar pitch</t>
        </is>
      </c>
    </row>
    <row r="887">
      <c r="L887" t="inlineStr">
        <is>
          <t>Dimethyl hydrogen phosphite</t>
        </is>
      </c>
    </row>
    <row r="888">
      <c r="L888" t="inlineStr">
        <is>
          <t>Fluoro-edenite fibrous amphibole</t>
        </is>
      </c>
    </row>
    <row r="889">
      <c r="L889" t="inlineStr">
        <is>
          <t>Glycidyl methacrylate</t>
        </is>
      </c>
    </row>
    <row r="890">
      <c r="L890" t="inlineStr">
        <is>
          <t>Hexachlorocyclohexane (technical grade)</t>
        </is>
      </c>
    </row>
    <row r="891">
      <c r="L891" t="inlineStr">
        <is>
          <t>Indium tin oxide</t>
        </is>
      </c>
    </row>
    <row r="892">
      <c r="L892" t="inlineStr">
        <is>
          <t>Leucomalachite green</t>
        </is>
      </c>
    </row>
    <row r="893">
      <c r="L893" t="inlineStr">
        <is>
          <t>Methyl acrylate</t>
        </is>
      </c>
    </row>
    <row r="894">
      <c r="L894" t="inlineStr">
        <is>
          <t>Molybdenum trioxide</t>
        </is>
      </c>
    </row>
    <row r="895">
      <c r="L895" t="inlineStr">
        <is>
          <t>p-Chloro-o-toluidine, hydrochloride</t>
        </is>
      </c>
    </row>
    <row r="896">
      <c r="L896" t="inlineStr">
        <is>
          <t>Perfluorononanoic acid (PFNA) and its salts</t>
        </is>
      </c>
    </row>
    <row r="897">
      <c r="L897" t="inlineStr">
        <is>
          <t>Perfluorooctane sulfonic acid (PFOS) and its salts and transformation and degradation precursors</t>
        </is>
      </c>
    </row>
    <row r="898">
      <c r="L898"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899">
      <c r="L899" t="inlineStr">
        <is>
          <t>Silicon carbide whiskers</t>
        </is>
      </c>
    </row>
    <row r="900">
      <c r="L900" t="inlineStr">
        <is>
          <t>Tetrahydrofuran</t>
        </is>
      </c>
    </row>
    <row r="901">
      <c r="L901" t="inlineStr">
        <is>
          <t>Trimethylolpropane triacrylate, technical grade</t>
        </is>
      </c>
    </row>
    <row r="902">
      <c r="L902" t="inlineStr">
        <is>
          <t>Vismodegib</t>
        </is>
      </c>
    </row>
  </sheetData>
  <hyperlinks>
    <hyperlink ref="A1" location="#'3 - Carts &amp; Stands'!D6" display="Brand"/>
    <hyperlink ref="B1" location="#'3 - Carts &amp; Stands'!J6" display="Variant Type"/>
    <hyperlink ref="C1" location="#'3 - Carts &amp; Stands'!L6" display="Variant Details - Variant Grouping (Class 3)"/>
    <hyperlink ref="D1" location="#'6 - TV Stands &amp; Enterta'!L6" display="Variant Details - Variant Grouping (Class 6)"/>
    <hyperlink ref="E1" location="#'10 - Office Chairs'!L6" display="Variant Details - Variant Grouping (Class 10)"/>
    <hyperlink ref="F1" location="#'12 - Beds'!L6" display="Variant Details - Variant Grouping (Class 12)"/>
    <hyperlink ref="G1" location="#'13 - Dressers &amp; Chests'!L6" display="Variant Details - Variant Grouping (Class 13)"/>
    <hyperlink ref="H1" location="#'3 - Carts &amp; Stands'!AE6" display="Ship Type"/>
    <hyperlink ref="I1" location="#'3 - Carts &amp; Stands'!AF6" display="Freight Class"/>
    <hyperlink ref="J1" location="#'3 - Carts &amp; Stands'!AG6" display="Lead Time"/>
    <hyperlink ref="K1" location="#'3 - Carts &amp; Stands'!AH6" display="Replacement Lead Time"/>
    <hyperlink ref="L1" location="#'Additional Chemicals'!C6" display="Chemical"/>
    <hyperlink ref="M1" location="#'Additional Chemicals'!D6" display="Toxicity"/>
    <hyperlink ref="N1" location="#'3 - Carts &amp; Stands'!AS6" display="Country Of Manufacturer"/>
    <hyperlink ref="O1" location="#'Additional Documents'!D6" display="Document Type"/>
    <hyperlink ref="P1" location="#'Additional Documents'!E6" display="Legal Document Type"/>
    <hyperlink ref="Q1" location="#'Additional Documents'!F6" display="Document Region"/>
    <hyperlink ref="R1" location="#'Additional Documents'!G6" display="Document Language"/>
    <hyperlink ref="S1" location="#'3 - Carts &amp; Stands'!BO6" display="Product Type"/>
    <hyperlink ref="T1" location="#'3 - Carts &amp; Stands'!BP6" display="Material"/>
    <hyperlink ref="U1" location="#'3 - Carts &amp; Stands'!BR6" display="Wood Species"/>
    <hyperlink ref="V1" location="#'3 - Carts &amp; Stands'!BZ6" display="Supplier Intended and Approved Use"/>
    <hyperlink ref="W1" location="#'3 - Carts &amp; Stands'!CA6" display="Country of Origin - Additional Details"/>
    <hyperlink ref="X1" location="#'3 - Carts &amp; Stands'!CC6" display="Battery Type"/>
    <hyperlink ref="Y1" location="#'3 - Carts &amp; Stands'!CD6" display="Battery Composition"/>
    <hyperlink ref="Z1" location="#'3 - Carts &amp; Stands'!CE6" display="Number of Batteries"/>
    <hyperlink ref="AA1" location="#'3 - Carts &amp; Stands'!CF6" display="Battery Shipment"/>
    <hyperlink ref="AB1" location="#'3 - Carts &amp; Stands'!CG6" display="Lithium Content"/>
    <hyperlink ref="AC1" location="#'3 - Carts &amp; Stands'!CH6" display="Watt Rating of Cells / Battery"/>
    <hyperlink ref="AD1" location="#'3 - Carts &amp; Stands'!CI6" display="Weight of Cells / Battery"/>
    <hyperlink ref="AE1" location="#'3 - Carts &amp; Stands'!CJ6" display="Removable Components"/>
    <hyperlink ref="AF1" location="#'3 - Carts &amp; Stands'!CM6" display="Mount Type"/>
    <hyperlink ref="AG1" location="#'3 - Carts &amp; Stands'!CN6" display="Color / Finish"/>
    <hyperlink ref="AH1" location="#'3 - Carts &amp; Stands'!CQ6" display="Shelf Type"/>
    <hyperlink ref="AI1" location="#'3 - Carts &amp; Stands'!CR6" display="Pieces Included"/>
    <hyperlink ref="AJ1" location="#'3 - Carts &amp; Stands'!CU6" display="CPSC - 16 CFR 1303 Compliant"/>
    <hyperlink ref="AK1" location="#'3 - Carts &amp; Stands'!CX6" display="CARB Phase II Compliant (formaldehyde emissions)"/>
    <hyperlink ref="AL1" location="#'3 - Carts &amp; Stands'!CY6" display="TSCA Title VI Compliant (formaldehyde emissions)"/>
    <hyperlink ref="AM1" location="#'3 - Carts &amp; Stands'!CZ6" display="CANFER Compliant"/>
    <hyperlink ref="AN1" location="#'3 - Carts &amp; Stands'!DA6" display="Uniform Packaging and Labeling Regulations (UPLR) Compliant"/>
    <hyperlink ref="AO1" location="#'3 - Carts &amp; Stands'!DC6" display="Reason for Restriction"/>
    <hyperlink ref="AP1" location="#'3 - Carts &amp; Stands'!DD6" display="Lacey Act Compliant"/>
    <hyperlink ref="AQ1" location="#'3 - Carts &amp; Stands'!DE6" display="General Certificate of Conformity (GCC)"/>
    <hyperlink ref="AR1" location="#'3 - Carts &amp; Stands'!DG6" display="UN or ID number"/>
    <hyperlink ref="AS1" location="#'3 - Carts &amp; Stands'!DH6" display="Hazard Class(es)"/>
    <hyperlink ref="AT1" location="#'3 - Carts &amp; Stands'!DI6" display="Packing Group"/>
    <hyperlink ref="AU1" location="#'3 - Carts &amp; Stands'!DJ6" display="Hazardous Material Weight"/>
    <hyperlink ref="AV1" location="#'3 - Carts &amp; Stands'!DK6" display="Energy Efficiency Regulations Compliant"/>
    <hyperlink ref="AW1" location="#'3 - Carts &amp; Stands'!DL6" display="Safety Listing(s)"/>
    <hyperlink ref="AX1" location="#'3 - Carts &amp; Stands'!DN6" display="ISTA Certified"/>
    <hyperlink ref="AY1" location="#'3 - Carts &amp; Stands'!DV6" display="Commercial Warranty Length"/>
    <hyperlink ref="AZ1" location="#'3 - Carts &amp; Stands'!DX6" display="Warranty Length"/>
    <hyperlink ref="BA1" location="#'6 - TV Stands &amp; Enterta'!BO6" display="Product Type"/>
    <hyperlink ref="BB1" location="#'6 - TV Stands &amp; Enterta'!BX6" display="Furniture Design"/>
    <hyperlink ref="BC1" location="#'6 - TV Stands &amp; Enterta'!BY6" display="Material"/>
    <hyperlink ref="BD1" location="#'6 - TV Stands &amp; Enterta'!BZ6" display="Purposeful Distressing Type"/>
    <hyperlink ref="BE1" location="#'6 - TV Stands &amp; Enterta'!CA6" display="Natural Variation Type"/>
    <hyperlink ref="BF1" location="#'6 - TV Stands &amp; Enterta'!CK6" display="Tipover Restraint Device Included"/>
    <hyperlink ref="BG1" location="#'6 - TV Stands &amp; Enterta'!CN6" display="Supplier Intended and Approved Use"/>
    <hyperlink ref="BH1" location="#'6 - TV Stands &amp; Enterta'!CO6" display="Country of Origin - Additional Details"/>
    <hyperlink ref="BI1" location="#'6 - TV Stands &amp; Enterta'!CP6" display="Main Wood Joinery Method"/>
    <hyperlink ref="BJ1" location="#'6 - TV Stands &amp; Enterta'!CR6" display="Wood Species"/>
    <hyperlink ref="BK1" location="#'6 - TV Stands &amp; Enterta'!CT6" display="Battery Composition"/>
    <hyperlink ref="BL1" location="#'6 - TV Stands &amp; Enterta'!CU6" display="Battery Type"/>
    <hyperlink ref="BM1" location="#'6 - TV Stands &amp; Enterta'!CV6" display="Number of Batteries"/>
    <hyperlink ref="BN1" location="#'6 - TV Stands &amp; Enterta'!CW6" display="Battery Shipment"/>
    <hyperlink ref="BO1" location="#'6 - TV Stands &amp; Enterta'!CX6" display="Lithium Content"/>
    <hyperlink ref="BP1" location="#'6 - TV Stands &amp; Enterta'!CY6" display="Watt Rating of Cells / Battery"/>
    <hyperlink ref="BQ1" location="#'6 - TV Stands &amp; Enterta'!CZ6" display="Weight of Cells / Battery"/>
    <hyperlink ref="BR1" location="#'6 - TV Stands &amp; Enterta'!DD6" display="Product Care"/>
    <hyperlink ref="BS1" location="#'6 - TV Stands &amp; Enterta'!DF6" display="Shelf Material"/>
    <hyperlink ref="BT1" location="#'6 - TV Stands &amp; Enterta'!DG6" display="Color / Finish"/>
    <hyperlink ref="BU1" location="#'6 - TV Stands &amp; Enterta'!DH6" display="Drawer Glide Type &amp; Extension"/>
    <hyperlink ref="BV1" location="#'6 - TV Stands &amp; Enterta'!DI6" display="Vent Type"/>
    <hyperlink ref="BW1" location="#'6 - TV Stands &amp; Enterta'!DJ6" display="Fuel Type"/>
    <hyperlink ref="BX1" location="#'6 - TV Stands &amp; Enterta'!DK6" display="Door Design"/>
    <hyperlink ref="BY1" location="#'6 - TV Stands &amp; Enterta'!DN6" display="Pieces Included"/>
    <hyperlink ref="BZ1" location="#'6 - TV Stands &amp; Enterta'!DQ6" display="Fireplace Type"/>
    <hyperlink ref="CA1" location="#'6 - TV Stands &amp; Enterta'!DR6" display="General Certificate of Conformity (GCC)"/>
    <hyperlink ref="CB1" location="#'6 - TV Stands &amp; Enterta'!DT6" display="CARB Phase II Compliant (formaldehyde emissions)"/>
    <hyperlink ref="CC1" location="#'6 - TV Stands &amp; Enterta'!DU6" display="TSCA Title VI Compliant (formaldehyde emissions)"/>
    <hyperlink ref="CD1" location="#'6 - TV Stands &amp; Enterta'!DV6" display="CANFER Compliant"/>
    <hyperlink ref="CE1" location="#'6 - TV Stands &amp; Enterta'!DW6" display="Uniform Packaging and Labeling Regulations (UPLR) Compliant"/>
    <hyperlink ref="CF1" location="#'6 - TV Stands &amp; Enterta'!DY6" display="Reason for Restriction"/>
    <hyperlink ref="CG1" location="#'6 - TV Stands &amp; Enterta'!DZ6" display="UL 1678 Listed"/>
    <hyperlink ref="CH1" location="#'6 - TV Stands &amp; Enterta'!EB6" display="UN or ID number"/>
    <hyperlink ref="CI1" location="#'6 - TV Stands &amp; Enterta'!EC6" display="Hazard Class(es)"/>
    <hyperlink ref="CJ1" location="#'6 - TV Stands &amp; Enterta'!ED6" display="Packing Group"/>
    <hyperlink ref="CK1" location="#'6 - TV Stands &amp; Enterta'!EE6" display="Hazardous Material Weight"/>
    <hyperlink ref="CL1" location="#'6 - TV Stands &amp; Enterta'!EF6" display="Energy Efficiency Regulations Compliant"/>
    <hyperlink ref="CM1" location="#'6 - TV Stands &amp; Enterta'!EG6" display="Safety Listing(s)"/>
    <hyperlink ref="CN1" location="#'6 - TV Stands &amp; Enterta'!EI6" display="CPSC - 16 CFR 1263 Compliant (Reese's Law)"/>
    <hyperlink ref="CO1" location="#'6 - TV Stands &amp; Enterta'!EJ6" display="ISTA Certified"/>
    <hyperlink ref="CP1" location="#'6 - TV Stands &amp; Enterta'!EL6" display="Commercial Certifications"/>
    <hyperlink ref="CQ1" location="#'6 - TV Stands &amp; Enterta'!ES6" display="Maximum TV Screen Size Accommodated"/>
    <hyperlink ref="CR1" location="#'6 - TV Stands &amp; Enterta'!EV6" display="Level of Assembly"/>
    <hyperlink ref="CS1" location="#'6 - TV Stands &amp; Enterta'!EW6" display="Additional Tools Required (Not Included)"/>
    <hyperlink ref="CT1" location="#'6 - TV Stands &amp; Enterta'!EY6" display="Commercial Warranty Length"/>
    <hyperlink ref="CU1" location="#'6 - TV Stands &amp; Enterta'!FA6" display="Full or Limited Warranty"/>
    <hyperlink ref="CV1" location="#'6 - TV Stands &amp; Enterta'!FB6" display="Warranty Length"/>
    <hyperlink ref="CW1" location="#'10 - Office Chairs'!BO6" display="Product Type"/>
    <hyperlink ref="CX1" location="#'10 - Office Chairs'!BP6" display="Frame Material"/>
    <hyperlink ref="CY1" location="#'10 - Office Chairs'!BQ6" display="Back Construction"/>
    <hyperlink ref="CZ1" location="#'10 - Office Chairs'!BR6" display="Seat Material"/>
    <hyperlink ref="DA1" location="#'10 - Office Chairs'!BT6" display="Upholstery Material"/>
    <hyperlink ref="DB1" location="#'10 - Office Chairs'!BW6" display="Back Material"/>
    <hyperlink ref="DC1" location="#'10 - Office Chairs'!BX6" display="Back Upholstery Material"/>
    <hyperlink ref="DD1" location="#'10 - Office Chairs'!BY6" display="Back Fill Material"/>
    <hyperlink ref="DE1" location="#'10 - Office Chairs'!BZ6" display="Purposeful Distressing Type"/>
    <hyperlink ref="DF1" location="#'10 - Office Chairs'!CA6" display="Natural Variation Type"/>
    <hyperlink ref="DG1" location="#'10 - Office Chairs'!CC6" display="Adjustable Armrest Type"/>
    <hyperlink ref="DH1" location="#'10 - Office Chairs'!CR6" display="Compatible Floor Type"/>
    <hyperlink ref="DI1" location="#'10 - Office Chairs'!CT6" display="Supplier Intended and Approved Use"/>
    <hyperlink ref="DJ1" location="#'10 - Office Chairs'!CU6" display="Country of Origin - Additional Details"/>
    <hyperlink ref="DK1" location="#'10 - Office Chairs'!CV6" display="Main Wood Joinery Method"/>
    <hyperlink ref="DL1" location="#'10 - Office Chairs'!CZ6" display="Battery Composition"/>
    <hyperlink ref="DM1" location="#'10 - Office Chairs'!DA6" display="Battery Type"/>
    <hyperlink ref="DN1" location="#'10 - Office Chairs'!DB6" display="Number of Batteries"/>
    <hyperlink ref="DO1" location="#'10 - Office Chairs'!DC6" display="Battery Shipment"/>
    <hyperlink ref="DP1" location="#'10 - Office Chairs'!DD6" display="Lithium Content"/>
    <hyperlink ref="DQ1" location="#'10 - Office Chairs'!DE6" display="Watt Rating of Cells / Battery"/>
    <hyperlink ref="DR1" location="#'10 - Office Chairs'!DF6" display="Weight of Cells / Battery"/>
    <hyperlink ref="DS1" location="#'10 - Office Chairs'!DJ6" display="Product Care"/>
    <hyperlink ref="DT1" location="#'10 - Office Chairs'!DK6" display="Seat Color"/>
    <hyperlink ref="DU1" location="#'10 - Office Chairs'!DL6" display="Arm Material"/>
    <hyperlink ref="DV1" location="#'10 - Office Chairs'!DM6" display="Upholstery Fill Material"/>
    <hyperlink ref="DW1" location="#'10 - Office Chairs'!DN6" display="Frame Color / Finish"/>
    <hyperlink ref="DX1" location="#'10 - Office Chairs'!DP6" display="Wood Species"/>
    <hyperlink ref="DY1" location="#'10 - Office Chairs'!DS6" display="Arm Type"/>
    <hyperlink ref="DZ1" location="#'10 - Office Chairs'!DU6" display="Durability"/>
    <hyperlink ref="EA1" location="#'10 - Office Chairs'!DV6" display="Tilt Mechanism Type"/>
    <hyperlink ref="EB1" location="#'10 - Office Chairs'!DW6" display="Pieces Included"/>
    <hyperlink ref="EC1" location="#'10 - Office Chairs'!DX6" display="Rub Count"/>
    <hyperlink ref="ED1" location="#'10 - Office Chairs'!DY6" display="CPSC - 16 CFR 1303 Compliant"/>
    <hyperlink ref="EE1" location="#'10 - Office Chairs'!EA6" display="CARB Phase II Compliant (formaldehyde emissions)"/>
    <hyperlink ref="EF1" location="#'10 - Office Chairs'!EB6" display="TSCA Title VI Compliant (formaldehyde emissions)"/>
    <hyperlink ref="EG1" location="#'10 - Office Chairs'!EC6" display="CANFER Compliant"/>
    <hyperlink ref="EH1" location="#'10 - Office Chairs'!EF6" display="CAL TB 116 Compliant"/>
    <hyperlink ref="EI1" location="#'10 - Office Chairs'!EG6" display="CAL TB 117-2013 Compliant"/>
    <hyperlink ref="EJ1" location="#'10 - Office Chairs'!EH6" display="General Certificate of Conformity (GCC)"/>
    <hyperlink ref="EK1" location="#'10 - Office Chairs'!EI6" display="Uniform Packaging and Labeling Regulations (UPLR) Compliant"/>
    <hyperlink ref="EL1" location="#'10 - Office Chairs'!EK6" display="Reason for Restriction"/>
    <hyperlink ref="EM1" location="#'10 - Office Chairs'!EL6" display="Lacey Act Compliant"/>
    <hyperlink ref="EN1" location="#'10 - Office Chairs'!EO6" display="UN or ID number"/>
    <hyperlink ref="EO1" location="#'10 - Office Chairs'!EP6" display="Hazard Class(es)"/>
    <hyperlink ref="EP1" location="#'10 - Office Chairs'!EQ6" display="Packing Group"/>
    <hyperlink ref="EQ1" location="#'10 - Office Chairs'!ER6" display="Hazardous Material Weight"/>
    <hyperlink ref="ER1" location="#'10 - Office Chairs'!ES6" display="Energy Efficiency Regulations Compliant"/>
    <hyperlink ref="ES1" location="#'10 - Office Chairs'!ET6" display="SOR/2016-193 - Surface Coating Materials Regulations"/>
    <hyperlink ref="ET1" location="#'10 - Office Chairs'!EU6" display="ISTA Certified"/>
    <hyperlink ref="EU1" location="#'10 - Office Chairs'!EV6" display="California AB-1817 Compliant (CA PFAS)"/>
    <hyperlink ref="EV1" location="#'10 - Office Chairs'!EX6" display="Commercial Certifications"/>
    <hyperlink ref="EW1" location="#'10 - Office Chairs'!FK6" display="Level of Assembly"/>
    <hyperlink ref="EX1" location="#'10 - Office Chairs'!FL6" display="Additional Tools Required (Not Included)"/>
    <hyperlink ref="EY1" location="#'10 - Office Chairs'!FN6" display="Commercial Warranty Length"/>
    <hyperlink ref="EZ1" location="#'10 - Office Chairs'!FP6" display="Full or Limited Warranty"/>
    <hyperlink ref="FA1" location="#'13 - Dressers &amp; Chests'!BO6" display="Product Type"/>
    <hyperlink ref="FB1" location="#'13 - Dressers &amp; Chests'!BP6" display="Material"/>
    <hyperlink ref="FC1" location="#'13 - Dressers &amp; Chests'!BT6" display="Drawer Glide Type &amp; Extension"/>
    <hyperlink ref="FD1" location="#'13 - Dressers &amp; Chests'!BW6" display="Tipover Restraint Device Included"/>
    <hyperlink ref="FE1" location="#'13 - Dressers &amp; Chests'!BZ6" display="Purposeful Distressing Type"/>
    <hyperlink ref="FF1" location="#'13 - Dressers &amp; Chests'!CA6" display="Natural Variation Type"/>
    <hyperlink ref="FG1" location="#'13 - Dressers &amp; Chests'!CB6" display="Supplier Intended and Approved Use"/>
    <hyperlink ref="FH1" location="#'13 - Dressers &amp; Chests'!CC6" display="Handle Material"/>
    <hyperlink ref="FI1" location="#'13 - Dressers &amp; Chests'!CE6" display="Country of Origin - Additional Details"/>
    <hyperlink ref="FJ1" location="#'13 - Dressers &amp; Chests'!CF6" display="Main Wood Joinery Method"/>
    <hyperlink ref="FK1" location="#'13 - Dressers &amp; Chests'!CH6" display="Wood Species"/>
    <hyperlink ref="FL1" location="#'13 - Dressers &amp; Chests'!CI6" display="Product Care"/>
    <hyperlink ref="FM1" location="#'13 - Dressers &amp; Chests'!CM6" display="Color"/>
    <hyperlink ref="FN1" location="#'13 - Dressers &amp; Chests'!CN6" display="Manufactured Wood Type"/>
    <hyperlink ref="FO1" location="#'13 - Dressers &amp; Chests'!CR6" display="Pieces Included"/>
    <hyperlink ref="FP1" location="#'13 - Dressers &amp; Chests'!CU6" display="Consumer Product Safety Improvement Act (CPSIA) Compliant"/>
    <hyperlink ref="FQ1" location="#'13 - Dressers &amp; Chests'!CV6" display="CPSC - 16 CFR 1303 Compliant"/>
    <hyperlink ref="FR1" location="#'13 - Dressers &amp; Chests'!CW6" display="Children’s Product Certificate (CPC)"/>
    <hyperlink ref="FS1" location="#'13 - Dressers &amp; Chests'!CX6" display="General Certificate of Conformity (GCC)"/>
    <hyperlink ref="FT1" location="#'13 - Dressers &amp; Chests'!CZ6" display="CARB Phase II Compliant (formaldehyde emissions)"/>
    <hyperlink ref="FU1" location="#'13 - Dressers &amp; Chests'!DA6" display="TSCA Title VI Compliant (formaldehyde emissions)"/>
    <hyperlink ref="FV1" location="#'13 - Dressers &amp; Chests'!DB6" display="CANFER Compliant"/>
    <hyperlink ref="FW1" location="#'13 - Dressers &amp; Chests'!DD6" display="Uniform Packaging and Labeling Regulations (UPLR) Compliant"/>
    <hyperlink ref="FX1" location="#'13 - Dressers &amp; Chests'!DF6" display="Reason for Restriction"/>
    <hyperlink ref="FY1" location="#'13 - Dressers &amp; Chests'!DG6" display="ASTM F2057-23 (STURDY)"/>
    <hyperlink ref="FZ1" location="#'13 - Dressers &amp; Chests'!DH6" display="ISTA Certified"/>
    <hyperlink ref="GA1" location="#'13 - Dressers &amp; Chests'!DI6" display="California AB-1817 Compliant (CA PFAS)"/>
    <hyperlink ref="GB1" location="#'13 - Dressers &amp; Chests'!DK6" display="Commercial Certifications"/>
    <hyperlink ref="GC1" location="#'13 - Dressers &amp; Chests'!DT6" display="Level of Assembly"/>
    <hyperlink ref="GD1" location="#'13 - Dressers &amp; Chests'!DU6" display="Additional Tools Required (Not Included)"/>
    <hyperlink ref="GE1" location="#'13 - Dressers &amp; Chests'!DW6" display="Commercial Warranty Length"/>
    <hyperlink ref="GF1" location="#'13 - Dressers &amp; Chests'!DY6" display="Full or Limited Warranty"/>
    <hyperlink ref="GG1" location="#'12 - Beds'!BO6" display="Mattress Size"/>
    <hyperlink ref="GH1" location="#'12 - Beds'!BP6" display="Color"/>
    <hyperlink ref="GI1" location="#'12 - Beds'!BQ6" display="Bed Design"/>
    <hyperlink ref="GJ1" location="#'12 - Beds'!BR6" display="Bed Frame Material"/>
    <hyperlink ref="GK1" location="#'12 - Beds'!BU6" display="Upholstery Material"/>
    <hyperlink ref="GL1" location="#'12 - Beds'!BV6" display="Faux Leather Type"/>
    <hyperlink ref="GM1" location="#'12 - Beds'!BX6" display="Slat Material"/>
    <hyperlink ref="GN1" location="#'12 - Beds'!CB6" display="Type of Storage Included"/>
    <hyperlink ref="GO1" location="#'12 - Beds'!CF6" display="Natural Variation Type"/>
    <hyperlink ref="GP1" location="#'12 - Beds'!CG6" display="Purposeful Distressing Type"/>
    <hyperlink ref="GQ1" location="#'12 - Beds'!CH6" display="Supplier Intended and Approved Use"/>
    <hyperlink ref="GR1" location="#'12 - Beds'!CI6" display="Country of Origin - Additional Details"/>
    <hyperlink ref="GS1" location="#'12 - Beds'!CJ6" display="Main Wood Joinery Method"/>
    <hyperlink ref="GT1" location="#'12 - Beds'!CL6" display="Wood Species"/>
    <hyperlink ref="GU1" location="#'12 - Beds'!CM6" display="Pattern"/>
    <hyperlink ref="GV1" location="#'12 - Beds'!CO6" display="Battery Composition"/>
    <hyperlink ref="GW1" location="#'12 - Beds'!CP6" display="Battery Type"/>
    <hyperlink ref="GX1" location="#'12 - Beds'!CQ6" display="Number of Batteries"/>
    <hyperlink ref="GY1" location="#'12 - Beds'!CR6" display="Battery Shipment"/>
    <hyperlink ref="GZ1" location="#'12 - Beds'!CS6" display="Lithium Content"/>
    <hyperlink ref="HA1" location="#'12 - Beds'!CT6" display="Watt Rating of Cells / Battery"/>
    <hyperlink ref="HB1" location="#'12 - Beds'!CU6" display="Weight of Cells / Battery"/>
    <hyperlink ref="HC1" location="#'12 - Beds'!CZ6" display="Manufactured Wood Type"/>
    <hyperlink ref="HD1" location="#'12 - Beds'!DB6" display="Leather Type"/>
    <hyperlink ref="HE1" location="#'12 - Beds'!DC6" display="Upholstery Fabric Quality"/>
    <hyperlink ref="HF1" location="#'12 - Beds'!DD6" display="Headboard Shape"/>
    <hyperlink ref="HG1" location="#'12 - Beds'!DE6" display="Additional Technology Features"/>
    <hyperlink ref="HH1" location="#'12 - Beds'!DH6" display="Pieces Included"/>
    <hyperlink ref="HI1" location="#'12 - Beds'!DJ6" display="Upholstery Material Performance Brand"/>
    <hyperlink ref="HJ1" location="#'12 - Beds'!DM6" display="CARB Phase II Compliant (formaldehyde emissions)"/>
    <hyperlink ref="HK1" location="#'12 - Beds'!DN6" display="TSCA Title VI Compliant (formaldehyde emissions)"/>
    <hyperlink ref="HL1" location="#'12 - Beds'!DO6" display="CANFER Compliant"/>
    <hyperlink ref="HM1" location="#'12 - Beds'!DP6" display="SOR/2016-183 Compliant"/>
    <hyperlink ref="HN1" location="#'12 - Beds'!DQ6" display="CAL TB 116 Compliant"/>
    <hyperlink ref="HO1" location="#'12 - Beds'!DR6" display="CAL TB 117-2013 Compliant"/>
    <hyperlink ref="HP1" location="#'12 - Beds'!DS6" display="Uniform Packaging and Labeling Regulations (UPLR) Compliant"/>
    <hyperlink ref="HQ1" location="#'12 - Beds'!DU6" display="Reason for Restriction"/>
    <hyperlink ref="HR1" location="#'12 - Beds'!DV6" display="Textile Labelling and Advertising Regulations (C.R.C., c. 1551)"/>
    <hyperlink ref="HS1" location="#'12 - Beds'!DW6" display="SOR/2016-194 - Textile Flammability Regulations"/>
    <hyperlink ref="HT1" location="#'12 - Beds'!DY6" display="Children’s Product Certificate (CPC)"/>
    <hyperlink ref="HU1" location="#'12 - Beds'!DZ6" display="General Certificate of Conformity (GCC)"/>
    <hyperlink ref="HV1" location="#'12 - Beds'!EB6" display="UN or ID number"/>
    <hyperlink ref="HW1" location="#'12 - Beds'!EC6" display="Hazard Class(es)"/>
    <hyperlink ref="HX1" location="#'12 - Beds'!ED6" display="Packing Group"/>
    <hyperlink ref="HY1" location="#'12 - Beds'!EE6" display="Hazardous Material Weight"/>
    <hyperlink ref="HZ1" location="#'12 - Beds'!EF6" display="CPSC - 16 CFR 1263 Compliant (Reese's Law)"/>
    <hyperlink ref="IA1" location="#'12 - Beds'!EG6" display="ISTA Certified"/>
    <hyperlink ref="IB1" location="#'12 - Beds'!EH6" display="California AB-1817 Compliant (CA PFAS)"/>
    <hyperlink ref="IC1" location="#'12 - Beds'!EI6" display="SOR/2016-193 - Surface Coating Materials Regulations"/>
    <hyperlink ref="ID1" location="#'12 - Beds'!EJ6" display="Consumer Product Safety Improvement Act (CPSIA) Compliant"/>
    <hyperlink ref="IE1" location="#'12 - Beds'!EK6" display="CPSC - 16 CFR 1303 Compliant"/>
    <hyperlink ref="IF1" location="#'12 - Beds'!EM6" display="US Mattress Flammability Regulations Compliant"/>
    <hyperlink ref="IG1" location="#'12 - Beds'!EW6" display="Level of Assembly"/>
    <hyperlink ref="IH1" location="#'12 - Beds'!EX6" display="Additional Tools Required (Not Included)"/>
    <hyperlink ref="II1" location="#'12 - Beds'!EZ6" display="Commercial Warranty Length"/>
    <hyperlink ref="IJ1" location="#'12 - Beds'!FB6" display="Full or Limited Warranty"/>
    <hyperlink ref="IK1" location="#'12 - Beds'!FC6" display="Warranty Length"/>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2026-02-24T19:48:02Z</dcterms:created>
  <dcterms:modified xsi:type="dcterms:W3CDTF">2026-02-24T19:55:00Z</dcterms:modified>
</cp:coreProperties>
</file>