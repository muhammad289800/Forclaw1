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Instructions" sheetId="1" state="visible" r:id="rId1"/>
    <sheet name="Error Summary" sheetId="2" state="visible" r:id="rId2"/>
    <sheet name="WAYFAIR_USE_ONLY" sheetId="3" state="hidden" r:id="rId3"/>
    <sheet name="6 - TV Stands &amp; Enterta" sheetId="4" state="visible" r:id="rId4"/>
    <sheet name="6 - TV Stands &amp; Enterta-WUO_ERR" sheetId="5" state="hidden" r:id="rId5"/>
    <sheet name="6 - TV Stands &amp; Enterta-WUO_TRK" sheetId="6" state="hidden" r:id="rId6"/>
    <sheet name="Additional Cartons" sheetId="7" state="visible" r:id="rId7"/>
    <sheet name="Additional Cartons-WUO_ERR" sheetId="8" state="hidden" r:id="rId8"/>
    <sheet name="Additional Cartons-WUO_TRK" sheetId="9" state="hidden" r:id="rId9"/>
    <sheet name="Additional Chemicals" sheetId="10" state="visible" r:id="rId10"/>
    <sheet name="Additional Chemicals-WUO_ERR" sheetId="11" state="hidden" r:id="rId11"/>
    <sheet name="Additional Chemicals-WUO_TRK" sheetId="12" state="hidden" r:id="rId12"/>
    <sheet name="Additional Images" sheetId="13" state="visible" r:id="rId13"/>
    <sheet name="Additional Images-WUO_ERR" sheetId="14" state="hidden" r:id="rId14"/>
    <sheet name="Additional Images-WUO_TRK" sheetId="15" state="hidden" r:id="rId15"/>
    <sheet name="Additional Videos" sheetId="16" state="visible" r:id="rId16"/>
    <sheet name="Additional Videos-WUO_ERR" sheetId="17" state="hidden" r:id="rId17"/>
    <sheet name="Additional Videos-WUO_TRK" sheetId="18" state="hidden" r:id="rId18"/>
    <sheet name="Additional Documents" sheetId="19" state="visible" r:id="rId19"/>
    <sheet name="Additional Documents-WUO_ERR" sheetId="20" state="hidden" r:id="rId20"/>
    <sheet name="Additional Documents-WUO_TRK" sheetId="21" state="hidden" r:id="rId21"/>
    <sheet name="Valid Values" sheetId="22" state="visible" r:id="rId22"/>
    <sheet name="6 - TV Stands &amp; Enterta-WUO_SSV" sheetId="23" state="hidden" r:id="rId23"/>
    <sheet name="6 - TV Stands &amp; Enterta-WUO_SER" sheetId="24" state="hidden" r:id="rId24"/>
  </sheets>
  <definedNames>
    <definedName name="allowed185254">'Valid Values'!$V$2:$V$70</definedName>
    <definedName name="allowed201479">'Valid Values'!$R$2:$R$3</definedName>
    <definedName name="allowed217965">'Valid Values'!$BC$2:$BC$20</definedName>
    <definedName name="allowed220265">'Valid Values'!$AI$2:$AI$16</definedName>
    <definedName name="allowed220267">'Valid Values'!$AH$2:$AH$9</definedName>
    <definedName name="allowed222775">'Valid Values'!$BD$2:$BD$5</definedName>
    <definedName name="allowed222778">'Valid Values'!$BE$2:$BE$61</definedName>
    <definedName name="allowed222860">'Valid Values'!$P$2:$P$12</definedName>
    <definedName name="allowed222861">'Valid Values'!$Q$2:$Q$7</definedName>
    <definedName name="allowed224759">'Valid Values'!$AN$2:$AN$4</definedName>
    <definedName name="allowed224980">'Valid Values'!$AO$2:$AO$4</definedName>
    <definedName name="allowed227966">'Valid Values'!$S$2:$S$3</definedName>
    <definedName name="allowed236083">'Valid Values'!$AQ$2:$AQ$3</definedName>
    <definedName name="allowed244566">'Valid Values'!$T$2:$T$6</definedName>
    <definedName name="allowed251110">'Valid Values'!$AR$2:$AR$5</definedName>
    <definedName name="allowed255305">'Valid Values'!$BG$2:$BG$4</definedName>
    <definedName name="allowed256090">'Valid Values'!$BH$2:$BH$22</definedName>
    <definedName name="allowed292794">'Valid Values'!$AG$2:$AG$17</definedName>
    <definedName name="allowed293480">'Valid Values'!$U$2:$U$20</definedName>
    <definedName name="allowed310560">'Valid Values'!$AS$2:$AS$5</definedName>
    <definedName name="allowed333812">'Valid Values'!$BF$2:$BF$26</definedName>
    <definedName name="allowed340810">'Valid Values'!$AU$2:$AU$17</definedName>
    <definedName name="allowed341070">'Valid Values'!$AV$2:$AV$6</definedName>
    <definedName name="allowed346869">'Valid Values'!$W$2:$W$11</definedName>
    <definedName name="allowed351619">'Valid Values'!$X$2:$X$5</definedName>
    <definedName name="allowed351641">'Valid Values'!$Z$2:$Z$5</definedName>
    <definedName name="allowed351649">'Valid Values'!$AC$2:$AC$6</definedName>
    <definedName name="allowed352342">'Valid Values'!$AB$2:$AB$8</definedName>
    <definedName name="allowed352351">'Valid Values'!$AA$2:$AA$8</definedName>
    <definedName name="allowed364708">'Valid Values'!$AP$2:$AP$5</definedName>
    <definedName name="allowed367149">'Valid Values'!$Y$2:$Y$13</definedName>
    <definedName name="allowed368262">'Valid Values'!$AX$2:$AX$6</definedName>
    <definedName name="allowed368645">'Valid Values'!$AD$2:$AD$100</definedName>
    <definedName name="allowed369614">'Valid Values'!$AW$2:$AW$13</definedName>
    <definedName name="allowed373560">'Valid Values'!$AT$2:$AT$35</definedName>
    <definedName name="allowed375302">'Valid Values'!$AY$2:$AY$13</definedName>
    <definedName name="allowed379875">'Valid Values'!$AF$2:$AF$55</definedName>
    <definedName name="allowed382060">'Valid Values'!$AZ$2:$AZ$5</definedName>
    <definedName name="allowed384286">'Valid Values'!$AJ$2:$AJ$14</definedName>
    <definedName name="allowed385921">'Valid Values'!$BA$2:$BA$4</definedName>
    <definedName name="allowed420139">'Valid Values'!$AK$2:$AK$18</definedName>
    <definedName name="allowed421601">'Valid Values'!$BB$2:$BB$6</definedName>
    <definedName name="allowed5620">'Valid Values'!$M$2:$M$3</definedName>
    <definedName name="allowed5621">'Valid Values'!$N$2:$N$26</definedName>
    <definedName name="allowed5625">'Valid Values'!$O$2:$O$22</definedName>
    <definedName name="allowed5671">'Valid Values'!$AM$2:$AM$4</definedName>
    <definedName name="allowed5910">'Valid Values'!$AE$2:$AE$31</definedName>
    <definedName name="allowed5938">'Valid Values'!$AL$2:$AL$7</definedName>
    <definedName name="allowedcore__manufacturerId">'Valid Values'!$A$2:$A$2</definedName>
    <definedName name="allowedmedia__documentType">'Valid Values'!$I$2:$I$16</definedName>
    <definedName name="allowedmedia__language">'Valid Values'!$L$2:$L$30</definedName>
    <definedName name="allowedmedia__legalDocumentType">'Valid Values'!$J$2:$J$506</definedName>
    <definedName name="allowedmedia__regionType">'Valid Values'!$K$2:$K$5</definedName>
    <definedName name="allowedpropSixtyFive__chemicalId">'Valid Values'!$F$2:$F$902</definedName>
    <definedName name="allowedpropSixtyFive__countryOfManufacturer">'Valid Values'!$H$2:$H$248</definedName>
    <definedName name="allowedpropSixtyFive__toxicity">'Valid Values'!$G$2:$G$3</definedName>
    <definedName name="allowedshippingAndFulfillment__freightClass">'Valid Values'!$C$2:$C$19</definedName>
    <definedName name="allowedshippingAndFulfillment__leadTime">'Valid Values'!$D$2:$D$18</definedName>
    <definedName name="allowedshippingAndFulfillment__replacementLeadTime">'Valid Values'!$E$2:$E$7</definedName>
    <definedName name="allowedshippingAndFulfillment__shipType">'Valid Values'!$B$2:$B$3</definedName>
    <definedName name="Class6Answers">'6 - TV Stands &amp; Enterta'!$B$8:$EU$22</definedName>
    <definedName name="Class6Errors">'6 - TV Stands &amp; Enterta-WUO_ERR'!$B$8:$EU$22</definedName>
    <definedName name="Class6Headers">'6 - TV Stands &amp; Enterta'!$B$4:$EU$4</definedName>
    <definedName name="Class6Tracker">'6 - TV Stands &amp; Enterta-WUO_TRK'!$B$8:$EU$22</definedName>
    <definedName name="GetErrorQuestionDisplayNames">_xlfn.LAMBDA(_xlpm.headers,_xlpm.tracker,_xlpm.errors,   _xlfn.LET(     _xlpm.colSeq, _xlfn.SEQUENCE(1, COLUMNS(_xlpm.tracker)),     _xlpm.colMatrix, _xlfn.MAKEARRAY(ROWS(_xlpm.tracker), COLUMNS(_xlpm.tracker), _xlfn.LAMBDA(_xlpm.r,_xlpm.c, INDEX(_xlpm.colSeq, 1, _xlpm.c))),     _xlpm.filteredCols, _xlfn._xlws.FILTER(       _xlfn.TOCOL(_xlpm.colMatrix),       _xlfn.TOCOL((_xlpm.errors &lt;&gt; "") * (_xlpm.tracker &lt;&gt; "Valid") * (_xlpm.tracker &lt;&gt; "Disabled")),       "QUESTION_PLACEHOLDER"     ),     IF(       AND(ROWS(_xlpm.filteredCols)*COLUMNS(_xlpm.filteredCols)=1, INDEX(_xlpm.filteredCols,1,1)="QUESTION_PLACEHOLDER"),       "",       _xlfn.LET(         _xlpm.cleanColNums, _xlfn.TOCOL(_xlpm.filteredCols, 2),         _xlpm.rawHeaders, INDEX(_xlpm.headers, 1, _xlpm.cleanColNums),         IFERROR(IF(_xlpm.rawHeaders = "", "", _xlpm.rawHeaders), "")       )     )   ) )</definedName>
    <definedName name="GetFilteredProvidedAnswers">_xlfn.LAMBDA(_xlpm.answers,_xlpm.errors,_xlpm.tracker,     _xlfn.LET( _xlpm.filtered, _xlfn._xlws.FILTER(_xlfn.TOCOL(_xlpm.answers), _xlfn.TOCOL((_xlpm.errors &lt;&gt; "") * (_xlpm.tracker &lt;&gt; "Valid") * (_xlpm.tracker &lt;&gt; "Disabled")), "EMPTY_FILTER_PLACEHOLDER"),   _xlpm.final, IF(ROWS(_xlpm.filtered)*COLUMNS(_xlpm.filtered)=1, IF(INDEX(_xlpm.filtered,1,1)="EMPTY_FILTER_PLACEHOLDER", "EMPTY_ERROR", _xlpm.filtered), _xlpm.filtered), _xlpm.result, IF( _xlpm.final="EMPTY_ERROR", "EMPTY_ERROR",  IFERROR(IF(_xlpm.final="", "", _xlpm.final), "EMPTY_ERROR") ),         _xlpm.result     ) )</definedName>
    <definedName name="GetSheetLocationAddresses">_xlfn.LAMBDA(_xlpm.tracker,_xlpm.errors,   _xlfn.LET(     _xlpm.filterCondition, _xlfn.TOCOL((_xlpm.errors &lt;&gt; "") * (_xlpm.tracker &lt;&gt; "Valid") * (_xlpm.tracker &lt;&gt; "Disabled")),     _xlfn._xlws.FILTER(       _xlfn.TOCOL(ADDRESS(_xlfn.SEQUENCE(ROWS(_xlpm.tracker), 1, 8), _xlfn.SEQUENCE(1, COLUMNS(_xlpm.tracker), 2), 4), 2),       _xlpm.filterCondition, ""     )   ) )</definedName>
    <definedName name="GetSheetNameData">_xlfn.LAMBDA(_xlpm.tracker,_xlpm.errors,_xlpm.sheetTitle,   _xlfn.LET(     _xlpm.filterCondition, _xlfn.TOCOL((_xlpm.errors &lt;&gt; "") * (_xlpm.tracker &lt;&gt; "Valid") * (_xlpm.tracker &lt;&gt; "Disabled")),     _xlpm.filteredData, _xlfn._xlws.FILTER(_xlfn.TOCOL(_xlpm.tracker), _xlpm.filterCondition, ""),     IF(_xlpm.filteredData&lt;&gt;"", _xlpm.sheetTitle, "")   ) )</definedName>
    <definedName name="GetSheetProductName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"EMPTY_ERROR",       _xlfn.LET(         _xlpm.rawVals, INDEX(_xlpm.sheetRef, _xlpm.rowNumbers),         IFERROR(IF(_xlpm.rawVals = "", "", _xlpm.rawVals), "EMPTY_ERROR")       )     )   ) )</definedName>
    <definedName name="GetSheetStatusData">_xlfn.LAMBDA(_xlpm.tracker,_xlpm.errors,   _xlfn.LET(     _xlpm.filterCondition, _xlfn.TOCOL((_xlpm.errors &lt;&gt; "") * (_xlpm.tracker &lt;&gt; "Valid") * (_xlpm.tracker &lt;&gt; "Disabled")),     _xlfn._xlws.FILTER(_xlfn.TOCOL(_xlpm.tracker), _xlpm.filterCondition, "")   ) )</definedName>
    <definedName name="GetSheetSupplierPartNumber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       _xlfn.LET(         _xlpm.rawVals, INDEX(_xlpm.sheetRef, _xlpm.rowNumbers),         IFERROR(IF(_xlpm.rawVals = "", "", _xlpm.rawVals), "")       )     )   ) )</definedName>
    <definedName name="media__documentsAnswers">'Additional Documents'!$B$7:$H$7</definedName>
    <definedName name="media__documentsErrors">'Additional Documents-WUO_ERR'!$B$7:$H$7</definedName>
    <definedName name="media__documentsHeaders">'Additional Documents'!$B$4:$H$4</definedName>
    <definedName name="media__documentsTracker">'Additional Documents-WUO_TRK'!$B$7:$H$7</definedName>
    <definedName name="media__imagesAnswers">'Additional Images'!$B$7:$D$7</definedName>
    <definedName name="media__imagesErrors">'Additional Images-WUO_ERR'!$B$7:$D$7</definedName>
    <definedName name="media__imagesHeaders">'Additional Images'!$B$4:$D$4</definedName>
    <definedName name="media__imagesTracker">'Additional Images-WUO_TRK'!$B$7:$D$7</definedName>
    <definedName name="media__videosAnswers">'Additional Videos'!$B$7:$D$7</definedName>
    <definedName name="media__videosErrors">'Additional Videos-WUO_ERR'!$B$7:$D$7</definedName>
    <definedName name="media__videosHeaders">'Additional Videos'!$B$4:$D$4</definedName>
    <definedName name="media__videosTracker">'Additional Videos-WUO_TRK'!$B$7:$D$7</definedName>
    <definedName name="propSixtyFive__chemicalsAnswers">'Additional Chemicals'!$B$7:$E$7</definedName>
    <definedName name="propSixtyFive__chemicalsErrors">'Additional Chemicals-WUO_ERR'!$B$7:$E$7</definedName>
    <definedName name="propSixtyFive__chemicalsHeaders">'Additional Chemicals'!$B$4:$E$4</definedName>
    <definedName name="propSixtyFive__chemicalsTracker">'Additional Chemicals-WUO_TRK'!$B$7:$E$7</definedName>
    <definedName name="shippingAndFulfillment__cartonsAnswers">'Additional Cartons'!$B$7:$G$7</definedName>
    <definedName name="shippingAndFulfillment__cartonsErrors">'Additional Cartons-WUO_ERR'!$B$7:$G$7</definedName>
    <definedName name="shippingAndFulfillment__cartonsHeaders">'Additional Cartons'!$B$4:$G$4</definedName>
    <definedName name="shippingAndFulfillment__cartonsTracker">'Additional Cartons-WUO_TRK'!$B$7:$G$7</definedName>
    <definedName name="_xlnm._FilterDatabase" localSheetId="1" hidden="1">'Error Summary'!$A$2:$H$2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Helvetica"/>
      <family val="2"/>
      <b val="1"/>
      <color theme="1"/>
      <sz val="12"/>
    </font>
    <font>
      <name val="Helvetica"/>
      <family val="2"/>
      <color rgb="FF0000FF"/>
      <sz val="11"/>
    </font>
    <font>
      <name val="Helvetica"/>
      <family val="2"/>
      <b val="1"/>
      <color theme="1"/>
      <sz val="11"/>
    </font>
    <font>
      <name val="Helvetica"/>
      <family val="2"/>
      <color theme="1"/>
      <sz val="11"/>
    </font>
    <font>
      <name val="Helvetica"/>
      <family val="2"/>
      <b val="1"/>
      <i val="1"/>
      <color theme="1"/>
      <sz val="11"/>
    </font>
    <font>
      <name val="Helvetica"/>
      <family val="2"/>
      <b val="1"/>
      <color rgb="FF0000FF"/>
      <sz val="11"/>
      <u val="single"/>
    </font>
    <font>
      <name val="Helvetica"/>
      <family val="2"/>
      <b val="1"/>
      <color rgb="FFFFFFFF"/>
      <sz val="11"/>
    </font>
    <font>
      <name val="Calibri"/>
      <family val="2"/>
      <color rgb="FFFFFFFF"/>
      <sz val="11"/>
      <scheme val="minor"/>
    </font>
    <font>
      <name val="Calibri"/>
      <family val="2"/>
      <color theme="10"/>
      <sz val="11"/>
      <u val="single"/>
    </font>
    <font>
      <name val="Tahoma"/>
      <family val="2"/>
      <color indexed="81"/>
      <sz val="8"/>
    </font>
  </fonts>
  <fills count="20">
    <fill>
      <patternFill/>
    </fill>
    <fill>
      <patternFill patternType="gray125"/>
    </fill>
    <fill>
      <patternFill patternType="solid">
        <fgColor rgb="FFDAE9D3"/>
        <bgColor indexed="64"/>
      </patternFill>
    </fill>
    <fill>
      <patternFill patternType="solid">
        <fgColor rgb="FFD8D8D8"/>
        <bgColor indexed="64"/>
      </patternFill>
    </fill>
    <fill>
      <patternFill patternType="solid">
        <fgColor rgb="FFFFABA7"/>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9D86FE"/>
        <bgColor indexed="64"/>
      </patternFill>
    </fill>
    <fill>
      <patternFill patternType="solid">
        <fgColor rgb="FFCCFF66"/>
        <bgColor indexed="64"/>
      </patternFill>
    </fill>
    <fill>
      <patternFill patternType="solid">
        <fgColor rgb="FFCC99FF"/>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2">
    <xf numFmtId="0" fontId="0" fillId="0" borderId="0"/>
    <xf numFmtId="0" fontId="9" fillId="0" borderId="0" applyAlignment="1" applyProtection="1">
      <alignment vertical="top"/>
      <protection locked="0" hidden="0"/>
    </xf>
  </cellStyleXfs>
  <cellXfs count="43">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 fillId="3" borderId="0" applyAlignment="1" pivotButton="0" quotePrefix="0" xfId="0">
      <alignment wrapText="1"/>
    </xf>
    <xf numFmtId="0" fontId="3" fillId="3" borderId="1" applyAlignment="1" pivotButton="0" quotePrefix="0" xfId="0">
      <alignment wrapText="1"/>
    </xf>
    <xf numFmtId="0" fontId="4" fillId="3" borderId="2" applyAlignment="1" pivotButton="0" quotePrefix="0" xfId="0">
      <alignment wrapText="1"/>
    </xf>
    <xf numFmtId="0" fontId="4" fillId="4" borderId="3" applyAlignment="1" pivotButton="0" quotePrefix="0" xfId="0">
      <alignment wrapText="1"/>
    </xf>
    <xf numFmtId="0" fontId="4" fillId="0" borderId="4" applyAlignment="1" pivotButton="0" quotePrefix="0" xfId="0">
      <alignment wrapText="1"/>
    </xf>
    <xf numFmtId="0" fontId="4" fillId="3" borderId="3" applyAlignment="1" pivotButton="0" quotePrefix="0" xfId="0">
      <alignment wrapText="1"/>
    </xf>
    <xf numFmtId="0" fontId="4" fillId="5" borderId="3" applyAlignment="1" pivotButton="0" quotePrefix="0" xfId="0">
      <alignment wrapText="1"/>
    </xf>
    <xf numFmtId="0" fontId="4" fillId="6" borderId="3" applyAlignment="1" pivotButton="0" quotePrefix="0" xfId="0">
      <alignment wrapText="1"/>
    </xf>
    <xf numFmtId="0" fontId="4" fillId="7" borderId="3" applyAlignment="1" pivotButton="0" quotePrefix="0" xfId="0">
      <alignment wrapText="1"/>
    </xf>
    <xf numFmtId="0" fontId="4" fillId="0" borderId="5" applyAlignment="1" pivotButton="0" quotePrefix="0" xfId="0">
      <alignment wrapText="1"/>
    </xf>
    <xf numFmtId="0" fontId="4" fillId="0" borderId="6" applyAlignment="1" pivotButton="0" quotePrefix="0" xfId="0">
      <alignment wrapText="1"/>
    </xf>
    <xf numFmtId="0" fontId="5" fillId="0" borderId="0" applyAlignment="1" pivotButton="0" quotePrefix="0" xfId="0">
      <alignment wrapText="1"/>
    </xf>
    <xf numFmtId="0" fontId="4" fillId="0" borderId="7" applyAlignment="1" pivotButton="0" quotePrefix="0" xfId="0">
      <alignment wrapText="1"/>
    </xf>
    <xf numFmtId="0" fontId="3" fillId="0" borderId="8" applyAlignment="1" pivotButton="0" quotePrefix="0" xfId="0">
      <alignment horizontal="center" vertical="center" wrapText="1"/>
    </xf>
    <xf numFmtId="0" fontId="3" fillId="0" borderId="8" applyAlignment="1" pivotButton="0" quotePrefix="0" xfId="0">
      <alignment horizontal="center" vertical="center"/>
    </xf>
    <xf numFmtId="0" fontId="0" fillId="0" borderId="0" applyAlignment="1" applyProtection="1" pivotButton="0" quotePrefix="0" xfId="0">
      <alignment vertical="center" wrapText="1"/>
      <protection locked="1" hidden="1"/>
    </xf>
    <xf numFmtId="0" fontId="6" fillId="0" borderId="0" applyAlignment="1" applyProtection="1" pivotButton="0" quotePrefix="0" xfId="0">
      <alignment vertical="center" wrapText="1"/>
      <protection locked="1" hidden="1"/>
    </xf>
    <xf numFmtId="0" fontId="3" fillId="8" borderId="8" pivotButton="0" quotePrefix="0" xfId="0"/>
    <xf numFmtId="0" fontId="3" fillId="9" borderId="8" pivotButton="0" quotePrefix="0" xfId="0"/>
    <xf numFmtId="0" fontId="3" fillId="10" borderId="8" pivotButton="0" quotePrefix="0" xfId="0"/>
    <xf numFmtId="0" fontId="3" fillId="11" borderId="8" pivotButton="0" quotePrefix="0" xfId="0"/>
    <xf numFmtId="0" fontId="3" fillId="12" borderId="8" pivotButton="0" quotePrefix="0" xfId="0"/>
    <xf numFmtId="0" fontId="3" fillId="13" borderId="8" pivotButton="0" quotePrefix="0" xfId="0"/>
    <xf numFmtId="0" fontId="3" fillId="14" borderId="8" pivotButton="0" quotePrefix="0" xfId="0"/>
    <xf numFmtId="0" fontId="3" fillId="15" borderId="8" pivotButton="0" quotePrefix="0" xfId="0"/>
    <xf numFmtId="0" fontId="0" fillId="16" borderId="9" applyAlignment="1" pivotButton="0" quotePrefix="0" xfId="0">
      <alignment horizontal="center" vertical="top" wrapText="1"/>
    </xf>
    <xf numFmtId="0" fontId="7" fillId="17" borderId="8" applyAlignment="1" pivotButton="0" quotePrefix="0" xfId="0">
      <alignment horizontal="center" vertical="center"/>
    </xf>
    <xf numFmtId="0" fontId="3" fillId="18" borderId="8" applyAlignment="1" pivotButton="0" quotePrefix="0" xfId="0">
      <alignment horizontal="center" vertical="center"/>
    </xf>
    <xf numFmtId="0" fontId="3" fillId="0" borderId="9" applyAlignment="1" pivotButton="0" quotePrefix="0" xfId="0">
      <alignment horizontal="center" vertical="top" wrapText="1"/>
    </xf>
    <xf numFmtId="0" fontId="6" fillId="0" borderId="9" applyAlignment="1" pivotButton="0" quotePrefix="0" xfId="0">
      <alignment horizontal="center" vertical="top" wrapText="1"/>
    </xf>
    <xf numFmtId="0" fontId="8" fillId="19" borderId="9" applyAlignment="1" pivotButton="0" quotePrefix="0" xfId="0">
      <alignment horizontal="center"/>
    </xf>
    <xf numFmtId="0" fontId="0" fillId="3" borderId="10" applyProtection="1" pivotButton="0" quotePrefix="0" xfId="0">
      <protection locked="0" hidden="0"/>
    </xf>
    <xf numFmtId="0" fontId="0" fillId="0" borderId="0" applyProtection="1" pivotButton="0" quotePrefix="0" xfId="0">
      <protection locked="1" hidden="1"/>
    </xf>
    <xf numFmtId="0" fontId="0" fillId="0" borderId="0" applyProtection="1" pivotButton="0" quotePrefix="0" xfId="0">
      <protection locked="0" hidden="0"/>
    </xf>
    <xf numFmtId="0" fontId="6" fillId="18" borderId="9" applyAlignment="1" pivotButton="0" quotePrefix="0" xfId="0">
      <alignment horizontal="center" vertical="center" wrapText="1"/>
    </xf>
    <xf numFmtId="0" fontId="9" fillId="0" borderId="0" pivotButton="0" quotePrefix="0" xfId="1"/>
    <xf numFmtId="0" fontId="0" fillId="0" borderId="13" pivotButton="0" quotePrefix="0" xfId="0"/>
    <xf numFmtId="0" fontId="0" fillId="0" borderId="14" pivotButton="0" quotePrefix="0" xfId="0"/>
  </cellXfs>
  <cellStyles count="2">
    <cellStyle name="Normal" xfId="0" builtinId="0"/>
    <cellStyle name="Hyperlink" xfId="1" builtinId="8"/>
  </cellStyles>
  <dxfs count="12">
    <dxf>
      <fill>
        <patternFill>
          <bgColor rgb="FFFF484F"/>
        </patternFill>
      </fill>
    </dxf>
    <dxf>
      <fill>
        <patternFill>
          <bgColor rgb="FFFFABA7"/>
        </patternFill>
      </fill>
    </dxf>
    <dxf>
      <fill>
        <patternFill>
          <bgColor rgb="FFFFFFCC"/>
        </patternFill>
      </fill>
    </dxf>
    <dxf>
      <fill>
        <patternFill>
          <bgColor rgb="FFD9D9D9"/>
        </patternFill>
      </fill>
    </dxf>
    <dxf>
      <font>
        <color rgb="FF000000"/>
      </font>
      <fill>
        <patternFill>
          <bgColor rgb="FFB7E2CD"/>
        </patternFill>
      </fill>
    </dxf>
    <dxf>
      <font>
        <color rgb="FF0000FF"/>
        <u val="single"/>
      </font>
      <fill>
        <patternFill>
          <bgColor rgb="FFF4C7C3"/>
        </patternFill>
      </fill>
    </dxf>
    <dxf>
      <font>
        <color rgb="FF0000FF"/>
        <u val="single"/>
      </font>
      <fill>
        <patternFill>
          <bgColor rgb="FFFFFFCC"/>
        </patternFill>
      </fill>
    </dxf>
    <dxf>
      <fill>
        <patternFill>
          <bgColor rgb="FFD8D8D8"/>
        </patternFill>
      </fill>
      <border>
        <left style="thin">
          <color rgb="FF000000"/>
        </left>
        <right style="thin">
          <color rgb="FF000000"/>
        </right>
        <top style="thin">
          <color rgb="FF000000"/>
        </top>
        <bottom style="thin">
          <color rgb="FF000000"/>
        </bottom>
        <vertical/>
        <horizontal/>
      </border>
    </dxf>
    <dxf>
      <fill>
        <patternFill>
          <bgColor rgb="FFEEECE1"/>
        </patternFill>
      </fill>
      <border>
        <left style="thin">
          <color rgb="FF000000"/>
        </left>
        <right style="thin">
          <color rgb="FF000000"/>
        </right>
        <top style="thin">
          <color rgb="FF000000"/>
        </top>
        <bottom style="thin">
          <color rgb="FF000000"/>
        </bottom>
        <vertical/>
        <horizontal/>
      </border>
    </dxf>
    <dxf>
      <fill>
        <patternFill>
          <bgColor rgb="FFFF484F"/>
        </patternFill>
      </fill>
      <border>
        <left style="thin">
          <color rgb="FF808080"/>
        </left>
        <right style="thin">
          <color rgb="FF808080"/>
        </right>
        <top style="thin">
          <color rgb="FF808080"/>
        </top>
        <bottom style="thin">
          <color rgb="FF808080"/>
        </bottom>
        <vertical/>
        <horizontal/>
      </border>
    </dxf>
    <dxf>
      <fill>
        <patternFill>
          <bgColor rgb="FFFFFFCC"/>
        </patternFill>
      </fill>
      <border>
        <left style="thin">
          <color rgb="FF808080"/>
        </left>
        <right style="thin">
          <color rgb="FF808080"/>
        </right>
        <top style="thin">
          <color rgb="FF808080"/>
        </top>
        <bottom style="thin">
          <color rgb="FF808080"/>
        </bottom>
        <vertical/>
        <horizontal/>
      </border>
    </dxf>
    <dxf>
      <fill>
        <patternFill>
          <bgColor rgb="FFFFABA7"/>
        </patternFill>
      </fill>
      <border>
        <left style="thin">
          <color rgb="FF808080"/>
        </left>
        <right style="thin">
          <color rgb="FF808080"/>
        </right>
        <top style="thin">
          <color rgb="FF808080"/>
        </top>
        <bottom style="thin">
          <color rgb="FF808080"/>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rtners.wayfair.com/help/2/article/3221" TargetMode="External" Id="rId1" /></Relationships>
</file>

<file path=xl/worksheets/_rels/sheet4.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s>
</file>

<file path=xl/worksheets/sheet1.xml><?xml version="1.0" encoding="utf-8"?>
<worksheet xmlns="http://schemas.openxmlformats.org/spreadsheetml/2006/main">
  <sheetPr>
    <outlinePr summaryBelow="1" summaryRight="1"/>
    <pageSetUpPr/>
  </sheetPr>
  <dimension ref="A1:D40"/>
  <sheetViews>
    <sheetView showGridLines="0" tabSelected="1" workbookViewId="0">
      <selection activeCell="A1" sqref="A1"/>
    </sheetView>
  </sheetViews>
  <sheetFormatPr baseColWidth="8" defaultRowHeight="15"/>
  <cols>
    <col width="149.5703125" bestFit="1" customWidth="1" min="1" max="1"/>
    <col width="15.5703125" bestFit="1" customWidth="1" min="3" max="3"/>
    <col width="105" bestFit="1" customWidth="1" min="4" max="4"/>
  </cols>
  <sheetData>
    <row r="1">
      <c r="A1" s="1" t="inlineStr">
        <is>
          <t>New Features</t>
        </is>
      </c>
      <c r="D1" s="2" t="inlineStr">
        <is>
          <t>For Mandarin translations of product questions, please click here. All answer inputs should still be provided in English.
点击此处查看所有产品相关问题的中文翻译。</t>
        </is>
      </c>
    </row>
    <row r="2">
      <c r="A2" s="3" t="inlineStr">
        <is>
          <t>Conditional Formatting</t>
        </is>
      </c>
    </row>
    <row r="3">
      <c r="A3" s="4" t="inlineStr">
        <is>
          <t>Some answers to questions on the spec sheet are dependent on upstream responses, whether they are related to attributes like material type, existence of features</t>
        </is>
      </c>
      <c r="C3" s="5" t="inlineStr">
        <is>
          <t>Legends</t>
        </is>
      </c>
      <c r="D3" s="5" t="n"/>
    </row>
    <row r="4">
      <c r="A4" s="4" t="inlineStr">
        <is>
          <t>or compliance. Real-time cell coloring per the legend indicates whether an input is required, has an error or has a conditional rule applied.</t>
        </is>
      </c>
      <c r="C4" s="6" t="inlineStr">
        <is>
          <t>Cell Fill Colors</t>
        </is>
      </c>
      <c r="D4" s="7" t="n"/>
    </row>
    <row r="5">
      <c r="A5" s="3" t="inlineStr">
        <is>
          <t>Error Guidance</t>
        </is>
      </c>
      <c r="C5" s="8" t="inlineStr">
        <is>
          <t>Light Red</t>
        </is>
      </c>
      <c r="D5" s="9" t="inlineStr">
        <is>
          <t>Missing required data</t>
        </is>
      </c>
    </row>
    <row r="6">
      <c r="A6" s="4" t="inlineStr">
        <is>
          <t>Errors are highlighted on the Error Summary Tab which shows a summary of all errors across all sheets with high level details and hyperlinks to the corresponding</t>
        </is>
      </c>
      <c r="C6" s="10" t="inlineStr">
        <is>
          <t>Gray</t>
        </is>
      </c>
      <c r="D6" s="9" t="inlineStr">
        <is>
          <t>Not required/will be autofilled*</t>
        </is>
      </c>
    </row>
    <row r="7">
      <c r="A7" s="4" t="inlineStr">
        <is>
          <t>cell where the error occurred. Additionally, a new Error Status Column at the beginning of each class sheet will show the status of each row and will display the first error</t>
        </is>
      </c>
      <c r="C7" s="11" t="inlineStr">
        <is>
          <t>Red</t>
        </is>
      </c>
      <c r="D7" s="9" t="inlineStr">
        <is>
          <t>Error/incorrect answer</t>
        </is>
      </c>
    </row>
    <row r="8">
      <c r="A8" s="4" t="inlineStr">
        <is>
          <t>error message in that row, and will update as errors are resolved from left to right.</t>
        </is>
      </c>
      <c r="C8" s="12" t="inlineStr">
        <is>
          <t>Blue</t>
        </is>
      </c>
      <c r="D8" s="9" t="inlineStr">
        <is>
          <t>Autofill suggested by Wayfair (review needed)</t>
        </is>
      </c>
    </row>
    <row r="9">
      <c r="C9" s="13" t="inlineStr">
        <is>
          <t>Yellow</t>
        </is>
      </c>
      <c r="D9" s="9" t="inlineStr">
        <is>
          <t>Warning</t>
        </is>
      </c>
    </row>
    <row r="10">
      <c r="A10" s="5" t="inlineStr">
        <is>
          <t>Class Sheet Instructions</t>
        </is>
      </c>
      <c r="C10" s="14" t="inlineStr">
        <is>
          <t>No fill</t>
        </is>
      </c>
      <c r="D10" s="15" t="inlineStr">
        <is>
          <t>Validated/no action required</t>
        </is>
      </c>
    </row>
    <row r="11">
      <c r="D11" s="4" t="inlineStr">
        <is>
          <t>* For products that have already been submitted, the entire row will be filled gray and cannot be edited further</t>
        </is>
      </c>
    </row>
    <row r="12">
      <c r="A12" s="4" t="inlineStr">
        <is>
          <t>All data provided in the class sheet feeds directly to the customer-facing Product Details Page (PDP), optimizes search and enables order fulfillment. Please ensure the</t>
        </is>
      </c>
    </row>
    <row r="13">
      <c r="A13" s="4" t="inlineStr">
        <is>
          <t>data provided is accurate and as detailed as possible.</t>
        </is>
      </c>
      <c r="C13" s="6" t="inlineStr">
        <is>
          <t>Data Priority</t>
        </is>
      </c>
      <c r="D13" s="7" t="n"/>
    </row>
    <row r="14">
      <c r="A14" s="16" t="inlineStr">
        <is>
          <t>Notes:</t>
        </is>
      </c>
      <c r="C14" s="17" t="inlineStr">
        <is>
          <t>Required</t>
        </is>
      </c>
      <c r="D14" s="9" t="inlineStr">
        <is>
          <t>Data required for product to be live on site</t>
        </is>
      </c>
    </row>
    <row r="15">
      <c r="A15" s="4" t="inlineStr">
        <is>
          <t xml:space="preserve">  •  Column headers provide additional information on the data required for each column.</t>
        </is>
      </c>
      <c r="C15" s="17" t="inlineStr">
        <is>
          <t>Recommended</t>
        </is>
      </c>
      <c r="D15" s="9" t="inlineStr">
        <is>
          <t>Not required but recommended to improve search and browse</t>
        </is>
      </c>
    </row>
    <row r="16">
      <c r="A16" s="4" t="inlineStr">
        <is>
          <t xml:space="preserve">  •  Completing Recommended and Additional fields further enhances the customer experience and improves the quality of listings for better product discovery.</t>
        </is>
      </c>
      <c r="C16" s="17" t="inlineStr">
        <is>
          <t>Additional</t>
        </is>
      </c>
      <c r="D16" s="9" t="inlineStr">
        <is>
          <t>Optional but enhances listings for customers</t>
        </is>
      </c>
    </row>
    <row r="17">
      <c r="A17" s="4" t="inlineStr">
        <is>
          <t xml:space="preserve">  •  Marketing Copy should provide a compelling, informative overview of the product, ensuring it effectively highlights key features, benefits, and use cases.</t>
        </is>
      </c>
      <c r="C17" s="14" t="inlineStr">
        <is>
          <t>Conditional</t>
        </is>
      </c>
      <c r="D17" s="15" t="inlineStr">
        <is>
          <t>Data may be required based on prior responses</t>
        </is>
      </c>
    </row>
    <row r="18">
      <c r="A18" s="4" t="inlineStr">
        <is>
          <t xml:space="preserve">       Incorporating comprehensive, descriptive language will enable future enhancements for capturing and improving product tagging.</t>
        </is>
      </c>
    </row>
    <row r="19">
      <c r="A19" s="4" t="inlineStr">
        <is>
          <t xml:space="preserve">       ◦  Provide key selling point(s)/feature(s) that differentiate your product and inform customers about your product and encourage purchase.</t>
        </is>
      </c>
      <c r="C19" s="6" t="inlineStr">
        <is>
          <t>Data Type</t>
        </is>
      </c>
      <c r="D19" s="7" t="n"/>
    </row>
    <row r="20">
      <c r="A20" s="4" t="inlineStr">
        <is>
          <t xml:space="preserve">       ◦  Either Marketing Copy OR at least 3 Feature Bullets are required. Feature bullets will be displayed on Wayfair PDP in bulleted form.</t>
        </is>
      </c>
      <c r="C20" s="17" t="inlineStr">
        <is>
          <t>Text</t>
        </is>
      </c>
      <c r="D20" s="9" t="inlineStr">
        <is>
          <t>Enter a text-based response</t>
        </is>
      </c>
    </row>
    <row r="21">
      <c r="A21" s="4" t="inlineStr">
        <is>
          <t xml:space="preserve">  •  The order in which media is input may not be reflected in order of imagery on the product page.</t>
        </is>
      </c>
      <c r="C21" s="17" t="inlineStr">
        <is>
          <t>Single-Select</t>
        </is>
      </c>
      <c r="D21" s="9" t="inlineStr">
        <is>
          <t>Select one option from a list of provided options (listed in a dropdown on the cell)</t>
        </is>
      </c>
    </row>
    <row r="22">
      <c r="A22" s="4" t="inlineStr">
        <is>
          <t xml:space="preserve">  •  If all products in a class have the same answer to a question, a default value can be set. An answer entered in the Default Answer row will be applied to all products</t>
        </is>
      </c>
      <c r="C22" s="17" t="inlineStr">
        <is>
          <t>Multi-Select</t>
        </is>
      </c>
      <c r="D22" s="9" t="inlineStr">
        <is>
          <t>Enter one or more options from a list of provided options, separated using a semi-colon (;)</t>
        </is>
      </c>
    </row>
    <row r="23">
      <c r="A23" s="4" t="inlineStr">
        <is>
          <t xml:space="preserve">      in that class automatically. Additional products added to this class in the future will have the same default value applied as well. For any products that have a</t>
        </is>
      </c>
      <c r="C23" s="17" t="inlineStr">
        <is>
          <t>Number*</t>
        </is>
      </c>
      <c r="D23" s="9" t="inlineStr">
        <is>
          <t>Enter a decimal numeric response with up to 2 decimal points</t>
        </is>
      </c>
    </row>
    <row r="24">
      <c r="A24" s="4" t="inlineStr">
        <is>
          <t xml:space="preserve">      different answer than others in the class, enter the answer manually to the applicable row to bypass the default just for that question and product.</t>
        </is>
      </c>
      <c r="C24" s="17" t="inlineStr">
        <is>
          <t>Whole Number*</t>
        </is>
      </c>
      <c r="D24" s="9" t="inlineStr">
        <is>
          <t>Enter an integer (whole number) numeric response</t>
        </is>
      </c>
    </row>
    <row r="25">
      <c r="C25" s="14" t="inlineStr">
        <is>
          <t>Yes or No</t>
        </is>
      </c>
      <c r="D25" s="15" t="inlineStr">
        <is>
          <t>Enter a Yes, No or Does Not Apply response (listed in a dropdown on the cell)</t>
        </is>
      </c>
    </row>
    <row r="26">
      <c r="A26" s="5" t="inlineStr">
        <is>
          <t>Additional Tabs Instructions</t>
        </is>
      </c>
      <c r="D26" s="4" t="inlineStr">
        <is>
          <t>* Does Not Apply is a valid response when applicable</t>
        </is>
      </c>
    </row>
    <row r="27">
      <c r="A27" s="3" t="inlineStr">
        <is>
          <t>Additional Cartons</t>
        </is>
      </c>
    </row>
    <row r="28">
      <c r="A28" s="4" t="inlineStr">
        <is>
          <t>If a product ships in more than 5 cartons, use the Additional Cartons tab to submit data for cartons 6 and beyond. To add additional cartons, provide the Supplier Part</t>
        </is>
      </c>
    </row>
    <row r="29">
      <c r="A29" s="4" t="inlineStr">
        <is>
          <t>Number followed by corresponding data for each carton.</t>
        </is>
      </c>
    </row>
    <row r="30">
      <c r="A30" s="3" t="inlineStr">
        <is>
          <t>Additional Chemicals</t>
        </is>
      </c>
    </row>
    <row r="31">
      <c r="A31" s="4" t="inlineStr">
        <is>
          <t>If your product contains more than 5 chemicals that need to be reported for Proposition 65, use the Additional Chemicals tab to add additional data.</t>
        </is>
      </c>
    </row>
    <row r="32">
      <c r="A32" s="3" t="inlineStr">
        <is>
          <t>Additional Media</t>
        </is>
      </c>
    </row>
    <row r="33">
      <c r="A33" s="4" t="inlineStr">
        <is>
          <t>If a product has more media files than there are columns for in the class sheet, use the Additional Images, Videos or Documents tabs to add additional data.</t>
        </is>
      </c>
    </row>
    <row r="34">
      <c r="A34" s="16" t="inlineStr">
        <is>
          <t>Notes:</t>
        </is>
      </c>
    </row>
    <row r="35">
      <c r="A35" s="4" t="inlineStr">
        <is>
          <t xml:space="preserve">  •  A maximum of 3 videos can be shown on a product display page in the media tray. Additional videos can be showcased within Waymore content.</t>
        </is>
      </c>
    </row>
    <row r="36">
      <c r="A36" s="3" t="inlineStr">
        <is>
          <t>Valid Values</t>
        </is>
      </c>
    </row>
    <row r="37">
      <c r="A37" s="4" t="inlineStr">
        <is>
          <t>The Valid Values tab shows all acceptable answers to single- and multi-select questions. Hyperlinks below each column header will bring you to the corresponding</t>
        </is>
      </c>
    </row>
    <row r="38">
      <c r="A38" s="4" t="inlineStr">
        <is>
          <t>values list on this tab.</t>
        </is>
      </c>
    </row>
    <row r="39">
      <c r="A39" s="3" t="inlineStr">
        <is>
          <t>Failed Products</t>
        </is>
      </c>
    </row>
    <row r="40">
      <c r="A40" s="4" t="inlineStr">
        <is>
          <t>The Failed Products tab will only show if products in your template failed to upload. These products will need to be added to a new template and uploaded again.</t>
        </is>
      </c>
    </row>
  </sheetData>
  <sheetProtection selectLockedCells="0" selectUnlockedCells="0" sheet="1" objects="1" insertRows="1" insertHyperlinks="1" autoFilter="1" scenarios="1" formatColumns="1" deleteColumns="1" insertColumns="1" pivotTables="1" deleteRows="1" formatCells="1" formatRows="1" sort="1" password="B33F"/>
  <hyperlinks>
    <hyperlink xmlns:r="http://schemas.openxmlformats.org/officeDocument/2006/relationships" ref="D1"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002"/>
  <sheetViews>
    <sheetView workbookViewId="0">
      <selection activeCell="A1" sqref="A1"/>
    </sheetView>
  </sheetViews>
  <sheetFormatPr baseColWidth="8" defaultRowHeight="15"/>
  <cols>
    <col width="30.7109375" customWidth="1" min="1" max="2"/>
    <col width="20.7109375" customWidth="1" min="3" max="3"/>
    <col width="30.7109375" customWidth="1" min="4" max="6"/>
    <col width="50.7109375" customWidth="1" min="7" max="8"/>
    <col hidden="1" min="10" max="10"/>
  </cols>
  <sheetData>
    <row r="1" ht="50" customHeight="1">
      <c r="A1" s="18" t="inlineStr">
        <is>
          <t>This Error Summary tab lists all errors and warnings in the spec sheet. Each entry includes a link to the specific cell and detailed information about the issue.</t>
        </is>
      </c>
      <c r="B1" s="41" t="n"/>
      <c r="C1" s="41" t="n"/>
      <c r="D1" s="41" t="n"/>
      <c r="E1" s="41" t="n"/>
      <c r="F1" s="41" t="n"/>
      <c r="G1" s="41" t="n"/>
      <c r="H1" s="42" t="n"/>
    </row>
    <row r="2" ht="50" customHeight="1">
      <c r="A2" s="19" t="inlineStr">
        <is>
          <t>Status</t>
        </is>
      </c>
      <c r="B2" s="19" t="inlineStr">
        <is>
          <t>Location</t>
        </is>
      </c>
      <c r="C2" s="19" t="inlineStr">
        <is>
          <t>Sheet Name</t>
        </is>
      </c>
      <c r="D2" s="19" t="inlineStr">
        <is>
          <t>Supplier Part Number</t>
        </is>
      </c>
      <c r="E2" s="19" t="inlineStr">
        <is>
          <t>Product Name</t>
        </is>
      </c>
      <c r="F2" s="19" t="inlineStr">
        <is>
          <t>Field</t>
        </is>
      </c>
      <c r="G2" s="19" t="inlineStr">
        <is>
          <t>Provided Answer</t>
        </is>
      </c>
      <c r="H2" s="19" t="inlineStr">
        <is>
          <t>Error Message</t>
        </is>
      </c>
    </row>
    <row r="3">
      <c r="A3" s="20">
        <f t="array" ref="A3">_xlfn.LET(_xlpm.class6Data, GetSheetStatusData(Class6Tracker, Class6Errors), _xlpm.shippingAndFulfillment__cartonsData, GetSheetStatusData(shippingAndFulfillment__cartonsTracker, shippingAndFulfillment__cartonsErrors), _xlpm.propSixtyFive__chemicalsData, GetSheetStatusData(propSixtyFive__chemicalsTracker, propSixtyFive__chemicalsErrors), _xlpm.media__imagesData, GetSheetStatusData(media__imagesTracker, media__imagesErrors), _xlpm.media__videosData, GetSheetStatusData(media__videosTracker, media__videosErrors), _xlpm.media__documentsData, GetSheetStatusData(media__documentsTracker, media__documentsErrors), _xlpm.stackedData, _xlfn.VSTACK(_xlpm.class6Data, _xlpm.shippingAndFulfillment__cartonsData, _xlpm.propSixtyFive__chemicalsData, _xlpm.media__imagesData, _xlpm.media__videosData, _xlpm.media__documentsData), _xlfn._xlws.FILTER(_xlpm.stackedData, _xlpm.stackedData&lt;&gt;"", ""))</f>
        <v/>
      </c>
      <c r="B3" s="21">
        <f>IF(AND(C3&lt;&gt;"", J3&lt;&gt;""), HYPERLINK("#'" &amp; C3 &amp; "'!" &amp; J3, J3), "")</f>
        <v/>
      </c>
      <c r="C3" s="20">
        <f t="array" ref="C3">_xlfn.LET(_xlpm.class6Data, GetSheetNameData(Class6Tracker, Class6Errors, "6 - TV Stands &amp; Enterta"), _xlpm.shippingAndFulfillment__cartonsData, GetSheetNameData(shippingAndFulfillment__cartonsTracker, shippingAndFulfillment__cartonsErrors, "Additional Cartons"), _xlpm.propSixtyFive__chemicalsData, GetSheetNameData(propSixtyFive__chemicalsTracker, propSixtyFive__chemicalsErrors, "Additional Chemicals"), _xlpm.media__imagesData, GetSheetNameData(media__imagesTracker, media__imagesErrors, "Additional Images"), _xlpm.media__videosData, GetSheetNameData(media__videosTracker, media__videosErrors, "Additional Videos"), _xlpm.media__documentsData, GetSheetNameData(media__documentsTracker, media__documentsErrors, "Additional Documents"), _xlpm.stackedData, _xlfn.VSTACK(_xlpm.class6Data, _xlpm.shippingAndFulfillment__cartonsData, _xlpm.propSixtyFive__chemicalsData, _xlpm.media__imagesData, _xlpm.media__videosData, _xlpm.media__documentsData), _xlfn._xlws.FILTER(_xlpm.stackedData, _xlpm.stackedData&lt;&gt;"", ""))</f>
        <v/>
      </c>
      <c r="D3" s="20">
        <f t="array" ref="D3">_xlfn.LET(_xlpm.class6PartNumbers, GetSheetSupplierPartNumbers(Class6Tracker, Class6Errors, '6 - TV Stands &amp; Enterta'!B:B), _xlpm.shippingAndFulfillment__cartonsPartNumbers, GetSheetSupplierPartNumbers(shippingAndFulfillment__cartonsTracker, shippingAndFulfillment__cartonsErrors, 'Additional Cartons'!B:B), _xlpm.propSixtyFive__chemicalsPartNumbers, GetSheetSupplierPartNumbers(propSixtyFive__chemicalsTracker, propSixtyFive__chemicalsErrors, 'Additional Chemicals'!B:B), _xlpm.media__imagesPartNumbers, GetSheetSupplierPartNumbers(media__imagesTracker, media__imagesErrors, 'Additional Images'!B:B), _xlpm.media__videosPartNumbers, GetSheetSupplierPartNumbers(media__videosTracker, media__videosErrors, 'Additional Videos'!B:B), _xlpm.media__documentsPartNumbers, GetSheetSupplierPartNumbers(media__documentsTracker, media__documentsErrors, 'Additional Documents'!B:B), _xlpm.stackedPartNumbers, _xlfn.VSTACK(_xlpm.class6PartNumbers, _xlpm.shippingAndFulfillment__cartonsPartNumbers, _xlpm.propSixtyFive__chemicalsPartNumbers, _xlpm.media__imagesPartNumbers, _xlpm.media__videosPartNumbers, _xlpm.media__documentsPartNumbers), _xlfn._xlws.FILTER(_xlpm.stackedPartNumbers, _xlpm.stackedPartNumbers&lt;&gt;"", ""))</f>
        <v/>
      </c>
      <c r="E3" s="20">
        <f t="array" ref="E3">_xlfn.LET(_xlpm.class6ProductNames, GetSheetProductNames(Class6Tracker, Class6Errors, '6 - TV Stands &amp; Enterta'!G:G), _xlpm.shippingAndFulfillment__cartonsProductNames, GetSheetProductNames(shippingAndFulfillment__cartonsTracker, shippingAndFulfillment__cartonsErrors, 'Additional Cartons'!Z:Z), _xlpm.propSixtyFive__chemicalsProductNames, GetSheetProductNames(propSixtyFive__chemicalsTracker, propSixtyFive__chemicalsErrors, 'Additional Chemicals'!Z:Z), _xlpm.media__imagesProductNames, GetSheetProductNames(media__imagesTracker, media__imagesErrors, 'Additional Images'!Z:Z), _xlpm.media__videosProductNames, GetSheetProductNames(media__videosTracker, media__videosErrors, 'Additional Videos'!Z:Z), _xlpm.media__documentsProductNames, GetSheetProductNames(media__documentsTracker, media__documentsErrors, 'Additional Documents'!Z:Z), _xlpm.stackedProductNames, _xlfn.VSTACK(_xlpm.class6ProductNames, _xlpm.shippingAndFulfillment__cartonsProductNames, _xlpm.propSixtyFive__chemicalsProductNames, _xlpm.media__imagesProductNames, _xlpm.media__videosProductNames, _xlpm.media__documentsProductNames), _xlfn._xlws.FILTER(_xlpm.stackedProductNames, _xlpm.stackedProductNames&lt;&gt;"EMPTY_ERROR", ""))</f>
        <v/>
      </c>
      <c r="F3" s="20">
        <f t="array" ref="F3">_xlfn.LET(
                                     _xlpm.class6QuestionDisplayNames, GetErrorQuestionDisplayNames(Class6Headers, Class6Tracker, Class6Errors)
                , 
                                     _xlpm.shippingAndFulfillment__cartonsQuestionDisplayNames, GetErrorQuestionDisplayNames(shippingAndFulfillment__cartonsHeaders, shippingAndFulfillment__cartonsTracker, shippingAndFulfillment__cartonsErrors)
                , 
                                     _xlpm.propSixtyFive__chemicalsQuestionDisplayNames, GetErrorQuestionDisplayNames(propSixtyFive__chemicalsHeaders, propSixtyFive__chemicalsTracker, propSixtyFive__chemicalsErrors)
                , 
                                     _xlpm.media__imagesQuestionDisplayNames, GetErrorQuestionDisplayNames(media__imagesHeaders, media__imagesTracker, media__imagesErrors)
                , 
                                     _xlpm.media__videosQuestionDisplayNames, GetErrorQuestionDisplayNames(media__videosHeaders, media__videosTracker, media__videosErrors)
                , 
                                     _xlpm.media__documentsQuestionDisplayNames, GetErrorQuestionDisplayNames(media__documentsHeaders, media__documentsTracker, media__documentsErrors)
                , _xlpm.stackedQuestionDisplayNames, _xlfn.VSTACK(_xlpm.class6QuestionDisplayNames, _xlpm.shippingAndFulfillment__cartonsQuestionDisplayNames, _xlpm.propSixtyFive__chemicalsQuestionDisplayNames, _xlpm.media__imagesQuestionDisplayNames, _xlpm.media__videosQuestionDisplayNames, _xlpm.media__documentsQuestionDisplayNames), _xlfn._xlws.FILTER(_xlpm.stackedQuestionDisplayNames, _xlpm.stackedQuestionDisplayNames&lt;&gt;"", ""))</f>
        <v/>
      </c>
      <c r="G3" s="20">
        <f t="array" ref="G3">_xlfn.LET(
                         _xlpm.class6ProvidedAnswers, GetFilteredProvidedAnswers(Class6Answers, Class6Errors, Class6Tracker)
    , 
                         _xlpm.shippingAndFulfillment__cartonsProvidedAnswers, GetFilteredProvidedAnswers(shippingAndFulfillment__cartonsAnswers, shippingAndFulfillment__cartonsErrors, shippingAndFulfillment__cartonsTracker)
    , 
                         _xlpm.propSixtyFive__chemicalsProvidedAnswers, GetFilteredProvidedAnswers(propSixtyFive__chemicalsAnswers, propSixtyFive__chemicalsErrors, propSixtyFive__chemicalsTracker)
    , 
                         _xlpm.media__imagesProvidedAnswers, GetFilteredProvidedAnswers(media__imagesAnswers, media__imagesErrors, media__imagesTracker)
    , 
                         _xlpm.media__videosProvidedAnswers, GetFilteredProvidedAnswers(media__videosAnswers, media__videosErrors, media__videosTracker)
    , 
                         _xlpm.media__documentsProvidedAnswers, GetFilteredProvidedAnswers(media__documentsAnswers, media__documentsErrors, media__documentsTracker)
    , _xlpm.stackedProvidedAnswers, _xlfn.VSTACK(_xlpm.class6ProvidedAnswers, _xlpm.shippingAndFulfillment__cartonsProvidedAnswers, _xlpm.propSixtyFive__chemicalsProvidedAnswers, _xlpm.media__imagesProvidedAnswers, _xlpm.media__videosProvidedAnswers, _xlpm.media__documentsProvidedAnswers), _xlfn._xlws.FILTER(_xlpm.stackedProvidedAnswers, _xlpm.stackedProvidedAnswers&lt;&gt;"EMPTY_ERROR", ""))</f>
        <v/>
      </c>
      <c r="H3" s="20">
        <f t="array" ref="H3">_xlfn.LET(_xlpm.class6ErrorMessages, _xlfn.FILTER(
                    _xlfn.TOCOL(Class6Errors),
                    _xlfn.TOCOL((Class6Errors &lt;&gt; "") * (Class6Tracker &lt;&gt; "Valid") * (Class6Tracker &lt;&gt; "Disabled")), ""
                ), _xlpm.shippingAndFulfillment__cartonsErrorMessages, _xlfn.FILTER(
                    _xlfn.TOCOL(shippingAndFulfillment__cartonsErrors),
                    _xlfn.TOCOL((shippingAndFulfillment__cartonsErrors &lt;&gt; "") * (shippingAndFulfillment__cartonsTracker &lt;&gt; "Valid") * (shippingAndFulfillment__cartonsTracker &lt;&gt; "Disabled")), ""
                ), _xlpm.propSixtyFive__chemicalsErrorMessages, _xlfn.FILTER(
                    _xlfn.TOCOL(propSixtyFive__chemicalsErrors),
                    _xlfn.TOCOL((propSixtyFive__chemicalsErrors &lt;&gt; "") * (propSixtyFive__chemicalsTracker &lt;&gt; "Valid") * (propSixtyFive__chemicalsTracker &lt;&gt; "Disabled")), ""
                ), _xlpm.media__imagesErrorMessages, _xlfn.FILTER(
                    _xlfn.TOCOL(media__imagesErrors),
                    _xlfn.TOCOL((media__imagesErrors &lt;&gt; "") * (media__imagesTracker &lt;&gt; "Valid") * (media__imagesTracker &lt;&gt; "Disabled")), ""
                ), _xlpm.media__videosErrorMessages, _xlfn.FILTER(
                    _xlfn.TOCOL(media__videosErrors),
                    _xlfn.TOCOL((media__videosErrors &lt;&gt; "") * (media__videosTracker &lt;&gt; "Valid") * (media__videosTracker &lt;&gt; "Disabled")), ""
                ), _xlpm.media__documentsErrorMessages, _xlfn.FILTER(
                    _xlfn.TOCOL(media__documentsErrors),
                    _xlfn.TOCOL((media__documentsErrors &lt;&gt; "") * (media__documentsTracker &lt;&gt; "Valid") * (media__documentsTracker &lt;&gt; "Disabled")), ""
                ), _xlpm.stackedErrorMessages, _xlfn.VSTACK(_xlpm.class6ErrorMessages, _xlpm.shippingAndFulfillment__cartonsErrorMessages, _xlpm.propSixtyFive__chemicalsErrorMessages, _xlpm.media__imagesErrorMessages, _xlpm.media__videosErrorMessages, _xlpm.media__documentsErrorMessages), _xlpm.filteredMessages, _xlfn._xlws.FILTER(_xlpm.stackedErrorMessages, _xlpm.stackedErrorMessages&lt;&gt;"", ""), IFERROR(_xlfn.TEXTAFTER(_xlpm.filteredMessages, ":"), _xlpm.filteredMessages))</f>
        <v/>
      </c>
      <c r="J3">
        <f t="array" ref="J3">_xlfn.LET(_xlpm.class6Addresses, GetSheetLocationAddresses(Class6Tracker, Class6Errors), _xlpm.shippingAndFulfillment__cartonsAddresses, GetSheetLocationAddresses(shippingAndFulfillment__cartonsTracker, shippingAndFulfillment__cartonsErrors), _xlpm.propSixtyFive__chemicalsAddresses, GetSheetLocationAddresses(propSixtyFive__chemicalsTracker, propSixtyFive__chemicalsErrors), _xlpm.media__imagesAddresses, GetSheetLocationAddresses(media__imagesTracker, media__imagesErrors), _xlpm.media__videosAddresses, GetSheetLocationAddresses(media__videosTracker, media__videosErrors), _xlpm.media__documentsAddresses, GetSheetLocationAddresses(media__documentsTracker, media__documentsErrors), _xlpm.stackedAddresses, _xlfn.VSTACK(_xlpm.class6Addresses, _xlpm.shippingAndFulfillment__cartonsAddresses, _xlpm.propSixtyFive__chemicalsAddresses, _xlpm.media__imagesAddresses, _xlpm.media__videosAddresses, _xlpm.media__documentsAddresses), _xlfn._xlws.FILTER(_xlpm.stackedAddresses, _xlpm.stackedAddresses&lt;&gt;"", ""))</f>
        <v/>
      </c>
    </row>
    <row r="4">
      <c r="B4" s="21">
        <f>IF(AND(C4&lt;&gt;"", J4&lt;&gt;""), HYPERLINK("#'" &amp; C4 &amp; "'!" &amp; J4, J4), "")</f>
        <v/>
      </c>
    </row>
    <row r="5">
      <c r="B5" s="21">
        <f>IF(AND(C5&lt;&gt;"", J5&lt;&gt;""), HYPERLINK("#'" &amp; C5 &amp; "'!" &amp; J5, J5), "")</f>
        <v/>
      </c>
    </row>
    <row r="6">
      <c r="B6" s="21">
        <f>IF(AND(C6&lt;&gt;"", J6&lt;&gt;""), HYPERLINK("#'" &amp; C6 &amp; "'!" &amp; J6, J6), "")</f>
        <v/>
      </c>
    </row>
    <row r="7">
      <c r="B7" s="21">
        <f>IF(AND(C7&lt;&gt;"", J7&lt;&gt;""), HYPERLINK("#'" &amp; C7 &amp; "'!" &amp; J7, J7), "")</f>
        <v/>
      </c>
    </row>
    <row r="8">
      <c r="B8" s="21">
        <f>IF(AND(C8&lt;&gt;"", J8&lt;&gt;""), HYPERLINK("#'" &amp; C8 &amp; "'!" &amp; J8, J8), "")</f>
        <v/>
      </c>
    </row>
    <row r="9">
      <c r="B9" s="21">
        <f>IF(AND(C9&lt;&gt;"", J9&lt;&gt;""), HYPERLINK("#'" &amp; C9 &amp; "'!" &amp; J9, J9), "")</f>
        <v/>
      </c>
    </row>
    <row r="10">
      <c r="B10" s="21">
        <f>IF(AND(C10&lt;&gt;"", J10&lt;&gt;""), HYPERLINK("#'" &amp; C10 &amp; "'!" &amp; J10, J10), "")</f>
        <v/>
      </c>
    </row>
    <row r="11">
      <c r="B11" s="21">
        <f>IF(AND(C11&lt;&gt;"", J11&lt;&gt;""), HYPERLINK("#'" &amp; C11 &amp; "'!" &amp; J11, J11), "")</f>
        <v/>
      </c>
    </row>
    <row r="12">
      <c r="B12" s="21">
        <f>IF(AND(C12&lt;&gt;"", J12&lt;&gt;""), HYPERLINK("#'" &amp; C12 &amp; "'!" &amp; J12, J12), "")</f>
        <v/>
      </c>
    </row>
    <row r="13">
      <c r="B13" s="21">
        <f>IF(AND(C13&lt;&gt;"", J13&lt;&gt;""), HYPERLINK("#'" &amp; C13 &amp; "'!" &amp; J13, J13), "")</f>
        <v/>
      </c>
    </row>
    <row r="14">
      <c r="B14" s="21">
        <f>IF(AND(C14&lt;&gt;"", J14&lt;&gt;""), HYPERLINK("#'" &amp; C14 &amp; "'!" &amp; J14, J14), "")</f>
        <v/>
      </c>
    </row>
    <row r="15">
      <c r="B15" s="21">
        <f>IF(AND(C15&lt;&gt;"", J15&lt;&gt;""), HYPERLINK("#'" &amp; C15 &amp; "'!" &amp; J15, J15), "")</f>
        <v/>
      </c>
    </row>
    <row r="16">
      <c r="B16" s="21">
        <f>IF(AND(C16&lt;&gt;"", J16&lt;&gt;""), HYPERLINK("#'" &amp; C16 &amp; "'!" &amp; J16, J16), "")</f>
        <v/>
      </c>
    </row>
    <row r="17">
      <c r="B17" s="21">
        <f>IF(AND(C17&lt;&gt;"", J17&lt;&gt;""), HYPERLINK("#'" &amp; C17 &amp; "'!" &amp; J17, J17), "")</f>
        <v/>
      </c>
    </row>
    <row r="18">
      <c r="B18" s="21">
        <f>IF(AND(C18&lt;&gt;"", J18&lt;&gt;""), HYPERLINK("#'" &amp; C18 &amp; "'!" &amp; J18, J18), "")</f>
        <v/>
      </c>
    </row>
    <row r="19">
      <c r="B19" s="21">
        <f>IF(AND(C19&lt;&gt;"", J19&lt;&gt;""), HYPERLINK("#'" &amp; C19 &amp; "'!" &amp; J19, J19), "")</f>
        <v/>
      </c>
    </row>
    <row r="20">
      <c r="B20" s="21">
        <f>IF(AND(C20&lt;&gt;"", J20&lt;&gt;""), HYPERLINK("#'" &amp; C20 &amp; "'!" &amp; J20, J20), "")</f>
        <v/>
      </c>
    </row>
    <row r="21">
      <c r="B21" s="21">
        <f>IF(AND(C21&lt;&gt;"", J21&lt;&gt;""), HYPERLINK("#'" &amp; C21 &amp; "'!" &amp; J21, J21), "")</f>
        <v/>
      </c>
    </row>
    <row r="22">
      <c r="B22" s="21">
        <f>IF(AND(C22&lt;&gt;"", J22&lt;&gt;""), HYPERLINK("#'" &amp; C22 &amp; "'!" &amp; J22, J22), "")</f>
        <v/>
      </c>
    </row>
    <row r="23">
      <c r="B23" s="21">
        <f>IF(AND(C23&lt;&gt;"", J23&lt;&gt;""), HYPERLINK("#'" &amp; C23 &amp; "'!" &amp; J23, J23), "")</f>
        <v/>
      </c>
    </row>
    <row r="24">
      <c r="B24" s="21">
        <f>IF(AND(C24&lt;&gt;"", J24&lt;&gt;""), HYPERLINK("#'" &amp; C24 &amp; "'!" &amp; J24, J24), "")</f>
        <v/>
      </c>
    </row>
    <row r="25">
      <c r="B25" s="21">
        <f>IF(AND(C25&lt;&gt;"", J25&lt;&gt;""), HYPERLINK("#'" &amp; C25 &amp; "'!" &amp; J25, J25), "")</f>
        <v/>
      </c>
    </row>
    <row r="26">
      <c r="B26" s="21">
        <f>IF(AND(C26&lt;&gt;"", J26&lt;&gt;""), HYPERLINK("#'" &amp; C26 &amp; "'!" &amp; J26, J26), "")</f>
        <v/>
      </c>
    </row>
    <row r="27">
      <c r="B27" s="21">
        <f>IF(AND(C27&lt;&gt;"", J27&lt;&gt;""), HYPERLINK("#'" &amp; C27 &amp; "'!" &amp; J27, J27), "")</f>
        <v/>
      </c>
    </row>
    <row r="28">
      <c r="B28" s="21">
        <f>IF(AND(C28&lt;&gt;"", J28&lt;&gt;""), HYPERLINK("#'" &amp; C28 &amp; "'!" &amp; J28, J28), "")</f>
        <v/>
      </c>
    </row>
    <row r="29">
      <c r="B29" s="21">
        <f>IF(AND(C29&lt;&gt;"", J29&lt;&gt;""), HYPERLINK("#'" &amp; C29 &amp; "'!" &amp; J29, J29), "")</f>
        <v/>
      </c>
    </row>
    <row r="30">
      <c r="B30" s="21">
        <f>IF(AND(C30&lt;&gt;"", J30&lt;&gt;""), HYPERLINK("#'" &amp; C30 &amp; "'!" &amp; J30, J30), "")</f>
        <v/>
      </c>
    </row>
    <row r="31">
      <c r="B31" s="21">
        <f>IF(AND(C31&lt;&gt;"", J31&lt;&gt;""), HYPERLINK("#'" &amp; C31 &amp; "'!" &amp; J31, J31), "")</f>
        <v/>
      </c>
    </row>
    <row r="32">
      <c r="B32" s="21">
        <f>IF(AND(C32&lt;&gt;"", J32&lt;&gt;""), HYPERLINK("#'" &amp; C32 &amp; "'!" &amp; J32, J32), "")</f>
        <v/>
      </c>
    </row>
    <row r="33">
      <c r="B33" s="21">
        <f>IF(AND(C33&lt;&gt;"", J33&lt;&gt;""), HYPERLINK("#'" &amp; C33 &amp; "'!" &amp; J33, J33), "")</f>
        <v/>
      </c>
    </row>
    <row r="34">
      <c r="B34" s="21">
        <f>IF(AND(C34&lt;&gt;"", J34&lt;&gt;""), HYPERLINK("#'" &amp; C34 &amp; "'!" &amp; J34, J34), "")</f>
        <v/>
      </c>
    </row>
    <row r="35">
      <c r="B35" s="21">
        <f>IF(AND(C35&lt;&gt;"", J35&lt;&gt;""), HYPERLINK("#'" &amp; C35 &amp; "'!" &amp; J35, J35), "")</f>
        <v/>
      </c>
    </row>
    <row r="36">
      <c r="B36" s="21">
        <f>IF(AND(C36&lt;&gt;"", J36&lt;&gt;""), HYPERLINK("#'" &amp; C36 &amp; "'!" &amp; J36, J36), "")</f>
        <v/>
      </c>
    </row>
    <row r="37">
      <c r="B37" s="21">
        <f>IF(AND(C37&lt;&gt;"", J37&lt;&gt;""), HYPERLINK("#'" &amp; C37 &amp; "'!" &amp; J37, J37), "")</f>
        <v/>
      </c>
    </row>
    <row r="38">
      <c r="B38" s="21">
        <f>IF(AND(C38&lt;&gt;"", J38&lt;&gt;""), HYPERLINK("#'" &amp; C38 &amp; "'!" &amp; J38, J38), "")</f>
        <v/>
      </c>
    </row>
    <row r="39">
      <c r="B39" s="21">
        <f>IF(AND(C39&lt;&gt;"", J39&lt;&gt;""), HYPERLINK("#'" &amp; C39 &amp; "'!" &amp; J39, J39), "")</f>
        <v/>
      </c>
    </row>
    <row r="40">
      <c r="B40" s="21">
        <f>IF(AND(C40&lt;&gt;"", J40&lt;&gt;""), HYPERLINK("#'" &amp; C40 &amp; "'!" &amp; J40, J40), "")</f>
        <v/>
      </c>
    </row>
    <row r="41">
      <c r="B41" s="21">
        <f>IF(AND(C41&lt;&gt;"", J41&lt;&gt;""), HYPERLINK("#'" &amp; C41 &amp; "'!" &amp; J41, J41), "")</f>
        <v/>
      </c>
    </row>
    <row r="42">
      <c r="B42" s="21">
        <f>IF(AND(C42&lt;&gt;"", J42&lt;&gt;""), HYPERLINK("#'" &amp; C42 &amp; "'!" &amp; J42, J42), "")</f>
        <v/>
      </c>
    </row>
    <row r="43">
      <c r="B43" s="21">
        <f>IF(AND(C43&lt;&gt;"", J43&lt;&gt;""), HYPERLINK("#'" &amp; C43 &amp; "'!" &amp; J43, J43), "")</f>
        <v/>
      </c>
    </row>
    <row r="44">
      <c r="B44" s="21">
        <f>IF(AND(C44&lt;&gt;"", J44&lt;&gt;""), HYPERLINK("#'" &amp; C44 &amp; "'!" &amp; J44, J44), "")</f>
        <v/>
      </c>
    </row>
    <row r="45">
      <c r="B45" s="21">
        <f>IF(AND(C45&lt;&gt;"", J45&lt;&gt;""), HYPERLINK("#'" &amp; C45 &amp; "'!" &amp; J45, J45), "")</f>
        <v/>
      </c>
    </row>
    <row r="46">
      <c r="B46" s="21">
        <f>IF(AND(C46&lt;&gt;"", J46&lt;&gt;""), HYPERLINK("#'" &amp; C46 &amp; "'!" &amp; J46, J46), "")</f>
        <v/>
      </c>
    </row>
    <row r="47">
      <c r="B47" s="21">
        <f>IF(AND(C47&lt;&gt;"", J47&lt;&gt;""), HYPERLINK("#'" &amp; C47 &amp; "'!" &amp; J47, J47), "")</f>
        <v/>
      </c>
    </row>
    <row r="48">
      <c r="B48" s="21">
        <f>IF(AND(C48&lt;&gt;"", J48&lt;&gt;""), HYPERLINK("#'" &amp; C48 &amp; "'!" &amp; J48, J48), "")</f>
        <v/>
      </c>
    </row>
    <row r="49">
      <c r="B49" s="21">
        <f>IF(AND(C49&lt;&gt;"", J49&lt;&gt;""), HYPERLINK("#'" &amp; C49 &amp; "'!" &amp; J49, J49), "")</f>
        <v/>
      </c>
    </row>
    <row r="50">
      <c r="B50" s="21">
        <f>IF(AND(C50&lt;&gt;"", J50&lt;&gt;""), HYPERLINK("#'" &amp; C50 &amp; "'!" &amp; J50, J50), "")</f>
        <v/>
      </c>
    </row>
    <row r="51">
      <c r="B51" s="21">
        <f>IF(AND(C51&lt;&gt;"", J51&lt;&gt;""), HYPERLINK("#'" &amp; C51 &amp; "'!" &amp; J51, J51), "")</f>
        <v/>
      </c>
    </row>
    <row r="52">
      <c r="B52" s="21">
        <f>IF(AND(C52&lt;&gt;"", J52&lt;&gt;""), HYPERLINK("#'" &amp; C52 &amp; "'!" &amp; J52, J52), "")</f>
        <v/>
      </c>
    </row>
    <row r="53">
      <c r="B53" s="21">
        <f>IF(AND(C53&lt;&gt;"", J53&lt;&gt;""), HYPERLINK("#'" &amp; C53 &amp; "'!" &amp; J53, J53), "")</f>
        <v/>
      </c>
    </row>
    <row r="54">
      <c r="B54" s="21">
        <f>IF(AND(C54&lt;&gt;"", J54&lt;&gt;""), HYPERLINK("#'" &amp; C54 &amp; "'!" &amp; J54, J54), "")</f>
        <v/>
      </c>
    </row>
    <row r="55">
      <c r="B55" s="21">
        <f>IF(AND(C55&lt;&gt;"", J55&lt;&gt;""), HYPERLINK("#'" &amp; C55 &amp; "'!" &amp; J55, J55), "")</f>
        <v/>
      </c>
    </row>
    <row r="56">
      <c r="B56" s="21">
        <f>IF(AND(C56&lt;&gt;"", J56&lt;&gt;""), HYPERLINK("#'" &amp; C56 &amp; "'!" &amp; J56, J56), "")</f>
        <v/>
      </c>
    </row>
    <row r="57">
      <c r="B57" s="21">
        <f>IF(AND(C57&lt;&gt;"", J57&lt;&gt;""), HYPERLINK("#'" &amp; C57 &amp; "'!" &amp; J57, J57), "")</f>
        <v/>
      </c>
    </row>
    <row r="58">
      <c r="B58" s="21">
        <f>IF(AND(C58&lt;&gt;"", J58&lt;&gt;""), HYPERLINK("#'" &amp; C58 &amp; "'!" &amp; J58, J58), "")</f>
        <v/>
      </c>
    </row>
    <row r="59">
      <c r="B59" s="21">
        <f>IF(AND(C59&lt;&gt;"", J59&lt;&gt;""), HYPERLINK("#'" &amp; C59 &amp; "'!" &amp; J59, J59), "")</f>
        <v/>
      </c>
    </row>
    <row r="60">
      <c r="B60" s="21">
        <f>IF(AND(C60&lt;&gt;"", J60&lt;&gt;""), HYPERLINK("#'" &amp; C60 &amp; "'!" &amp; J60, J60), "")</f>
        <v/>
      </c>
    </row>
    <row r="61">
      <c r="B61" s="21">
        <f>IF(AND(C61&lt;&gt;"", J61&lt;&gt;""), HYPERLINK("#'" &amp; C61 &amp; "'!" &amp; J61, J61), "")</f>
        <v/>
      </c>
    </row>
    <row r="62">
      <c r="B62" s="21">
        <f>IF(AND(C62&lt;&gt;"", J62&lt;&gt;""), HYPERLINK("#'" &amp; C62 &amp; "'!" &amp; J62, J62), "")</f>
        <v/>
      </c>
    </row>
    <row r="63">
      <c r="B63" s="21">
        <f>IF(AND(C63&lt;&gt;"", J63&lt;&gt;""), HYPERLINK("#'" &amp; C63 &amp; "'!" &amp; J63, J63), "")</f>
        <v/>
      </c>
    </row>
    <row r="64">
      <c r="B64" s="21">
        <f>IF(AND(C64&lt;&gt;"", J64&lt;&gt;""), HYPERLINK("#'" &amp; C64 &amp; "'!" &amp; J64, J64), "")</f>
        <v/>
      </c>
    </row>
    <row r="65">
      <c r="B65" s="21">
        <f>IF(AND(C65&lt;&gt;"", J65&lt;&gt;""), HYPERLINK("#'" &amp; C65 &amp; "'!" &amp; J65, J65), "")</f>
        <v/>
      </c>
    </row>
    <row r="66">
      <c r="B66" s="21">
        <f>IF(AND(C66&lt;&gt;"", J66&lt;&gt;""), HYPERLINK("#'" &amp; C66 &amp; "'!" &amp; J66, J66), "")</f>
        <v/>
      </c>
    </row>
    <row r="67">
      <c r="B67" s="21">
        <f>IF(AND(C67&lt;&gt;"", J67&lt;&gt;""), HYPERLINK("#'" &amp; C67 &amp; "'!" &amp; J67, J67), "")</f>
        <v/>
      </c>
    </row>
    <row r="68">
      <c r="B68" s="21">
        <f>IF(AND(C68&lt;&gt;"", J68&lt;&gt;""), HYPERLINK("#'" &amp; C68 &amp; "'!" &amp; J68, J68), "")</f>
        <v/>
      </c>
    </row>
    <row r="69">
      <c r="B69" s="21">
        <f>IF(AND(C69&lt;&gt;"", J69&lt;&gt;""), HYPERLINK("#'" &amp; C69 &amp; "'!" &amp; J69, J69), "")</f>
        <v/>
      </c>
    </row>
    <row r="70">
      <c r="B70" s="21">
        <f>IF(AND(C70&lt;&gt;"", J70&lt;&gt;""), HYPERLINK("#'" &amp; C70 &amp; "'!" &amp; J70, J70), "")</f>
        <v/>
      </c>
    </row>
    <row r="71">
      <c r="B71" s="21">
        <f>IF(AND(C71&lt;&gt;"", J71&lt;&gt;""), HYPERLINK("#'" &amp; C71 &amp; "'!" &amp; J71, J71), "")</f>
        <v/>
      </c>
    </row>
    <row r="72">
      <c r="B72" s="21">
        <f>IF(AND(C72&lt;&gt;"", J72&lt;&gt;""), HYPERLINK("#'" &amp; C72 &amp; "'!" &amp; J72, J72), "")</f>
        <v/>
      </c>
    </row>
    <row r="73">
      <c r="B73" s="21">
        <f>IF(AND(C73&lt;&gt;"", J73&lt;&gt;""), HYPERLINK("#'" &amp; C73 &amp; "'!" &amp; J73, J73), "")</f>
        <v/>
      </c>
    </row>
    <row r="74">
      <c r="B74" s="21">
        <f>IF(AND(C74&lt;&gt;"", J74&lt;&gt;""), HYPERLINK("#'" &amp; C74 &amp; "'!" &amp; J74, J74), "")</f>
        <v/>
      </c>
    </row>
    <row r="75">
      <c r="B75" s="21">
        <f>IF(AND(C75&lt;&gt;"", J75&lt;&gt;""), HYPERLINK("#'" &amp; C75 &amp; "'!" &amp; J75, J75), "")</f>
        <v/>
      </c>
    </row>
    <row r="76">
      <c r="B76" s="21">
        <f>IF(AND(C76&lt;&gt;"", J76&lt;&gt;""), HYPERLINK("#'" &amp; C76 &amp; "'!" &amp; J76, J76), "")</f>
        <v/>
      </c>
    </row>
    <row r="77">
      <c r="B77" s="21">
        <f>IF(AND(C77&lt;&gt;"", J77&lt;&gt;""), HYPERLINK("#'" &amp; C77 &amp; "'!" &amp; J77, J77), "")</f>
        <v/>
      </c>
    </row>
    <row r="78">
      <c r="B78" s="21">
        <f>IF(AND(C78&lt;&gt;"", J78&lt;&gt;""), HYPERLINK("#'" &amp; C78 &amp; "'!" &amp; J78, J78), "")</f>
        <v/>
      </c>
    </row>
    <row r="79">
      <c r="B79" s="21">
        <f>IF(AND(C79&lt;&gt;"", J79&lt;&gt;""), HYPERLINK("#'" &amp; C79 &amp; "'!" &amp; J79, J79), "")</f>
        <v/>
      </c>
    </row>
    <row r="80">
      <c r="B80" s="21">
        <f>IF(AND(C80&lt;&gt;"", J80&lt;&gt;""), HYPERLINK("#'" &amp; C80 &amp; "'!" &amp; J80, J80), "")</f>
        <v/>
      </c>
    </row>
    <row r="81">
      <c r="B81" s="21">
        <f>IF(AND(C81&lt;&gt;"", J81&lt;&gt;""), HYPERLINK("#'" &amp; C81 &amp; "'!" &amp; J81, J81), "")</f>
        <v/>
      </c>
    </row>
    <row r="82">
      <c r="B82" s="21">
        <f>IF(AND(C82&lt;&gt;"", J82&lt;&gt;""), HYPERLINK("#'" &amp; C82 &amp; "'!" &amp; J82, J82), "")</f>
        <v/>
      </c>
    </row>
    <row r="83">
      <c r="B83" s="21">
        <f>IF(AND(C83&lt;&gt;"", J83&lt;&gt;""), HYPERLINK("#'" &amp; C83 &amp; "'!" &amp; J83, J83), "")</f>
        <v/>
      </c>
    </row>
    <row r="84">
      <c r="B84" s="21">
        <f>IF(AND(C84&lt;&gt;"", J84&lt;&gt;""), HYPERLINK("#'" &amp; C84 &amp; "'!" &amp; J84, J84), "")</f>
        <v/>
      </c>
    </row>
    <row r="85">
      <c r="B85" s="21">
        <f>IF(AND(C85&lt;&gt;"", J85&lt;&gt;""), HYPERLINK("#'" &amp; C85 &amp; "'!" &amp; J85, J85), "")</f>
        <v/>
      </c>
    </row>
    <row r="86">
      <c r="B86" s="21">
        <f>IF(AND(C86&lt;&gt;"", J86&lt;&gt;""), HYPERLINK("#'" &amp; C86 &amp; "'!" &amp; J86, J86), "")</f>
        <v/>
      </c>
    </row>
    <row r="87">
      <c r="B87" s="21">
        <f>IF(AND(C87&lt;&gt;"", J87&lt;&gt;""), HYPERLINK("#'" &amp; C87 &amp; "'!" &amp; J87, J87), "")</f>
        <v/>
      </c>
    </row>
    <row r="88">
      <c r="B88" s="21">
        <f>IF(AND(C88&lt;&gt;"", J88&lt;&gt;""), HYPERLINK("#'" &amp; C88 &amp; "'!" &amp; J88, J88), "")</f>
        <v/>
      </c>
    </row>
    <row r="89">
      <c r="B89" s="21">
        <f>IF(AND(C89&lt;&gt;"", J89&lt;&gt;""), HYPERLINK("#'" &amp; C89 &amp; "'!" &amp; J89, J89), "")</f>
        <v/>
      </c>
    </row>
    <row r="90">
      <c r="B90" s="21">
        <f>IF(AND(C90&lt;&gt;"", J90&lt;&gt;""), HYPERLINK("#'" &amp; C90 &amp; "'!" &amp; J90, J90), "")</f>
        <v/>
      </c>
    </row>
    <row r="91">
      <c r="B91" s="21">
        <f>IF(AND(C91&lt;&gt;"", J91&lt;&gt;""), HYPERLINK("#'" &amp; C91 &amp; "'!" &amp; J91, J91), "")</f>
        <v/>
      </c>
    </row>
    <row r="92">
      <c r="B92" s="21">
        <f>IF(AND(C92&lt;&gt;"", J92&lt;&gt;""), HYPERLINK("#'" &amp; C92 &amp; "'!" &amp; J92, J92), "")</f>
        <v/>
      </c>
    </row>
    <row r="93">
      <c r="B93" s="21">
        <f>IF(AND(C93&lt;&gt;"", J93&lt;&gt;""), HYPERLINK("#'" &amp; C93 &amp; "'!" &amp; J93, J93), "")</f>
        <v/>
      </c>
    </row>
    <row r="94">
      <c r="B94" s="21">
        <f>IF(AND(C94&lt;&gt;"", J94&lt;&gt;""), HYPERLINK("#'" &amp; C94 &amp; "'!" &amp; J94, J94), "")</f>
        <v/>
      </c>
    </row>
    <row r="95">
      <c r="B95" s="21">
        <f>IF(AND(C95&lt;&gt;"", J95&lt;&gt;""), HYPERLINK("#'" &amp; C95 &amp; "'!" &amp; J95, J95), "")</f>
        <v/>
      </c>
    </row>
    <row r="96">
      <c r="B96" s="21">
        <f>IF(AND(C96&lt;&gt;"", J96&lt;&gt;""), HYPERLINK("#'" &amp; C96 &amp; "'!" &amp; J96, J96), "")</f>
        <v/>
      </c>
    </row>
    <row r="97">
      <c r="B97" s="21">
        <f>IF(AND(C97&lt;&gt;"", J97&lt;&gt;""), HYPERLINK("#'" &amp; C97 &amp; "'!" &amp; J97, J97), "")</f>
        <v/>
      </c>
    </row>
    <row r="98">
      <c r="B98" s="21">
        <f>IF(AND(C98&lt;&gt;"", J98&lt;&gt;""), HYPERLINK("#'" &amp; C98 &amp; "'!" &amp; J98, J98), "")</f>
        <v/>
      </c>
    </row>
    <row r="99">
      <c r="B99" s="21">
        <f>IF(AND(C99&lt;&gt;"", J99&lt;&gt;""), HYPERLINK("#'" &amp; C99 &amp; "'!" &amp; J99, J99), "")</f>
        <v/>
      </c>
    </row>
    <row r="100">
      <c r="B100" s="21">
        <f>IF(AND(C100&lt;&gt;"", J100&lt;&gt;""), HYPERLINK("#'" &amp; C100 &amp; "'!" &amp; J100, J100), "")</f>
        <v/>
      </c>
    </row>
    <row r="101">
      <c r="B101" s="21">
        <f>IF(AND(C101&lt;&gt;"", J101&lt;&gt;""), HYPERLINK("#'" &amp; C101 &amp; "'!" &amp; J101, J101), "")</f>
        <v/>
      </c>
    </row>
    <row r="102">
      <c r="B102" s="21">
        <f>IF(AND(C102&lt;&gt;"", J102&lt;&gt;""), HYPERLINK("#'" &amp; C102 &amp; "'!" &amp; J102, J102), "")</f>
        <v/>
      </c>
    </row>
    <row r="103">
      <c r="B103" s="21">
        <f>IF(AND(C103&lt;&gt;"", J103&lt;&gt;""), HYPERLINK("#'" &amp; C103 &amp; "'!" &amp; J103, J103), "")</f>
        <v/>
      </c>
    </row>
    <row r="104">
      <c r="B104" s="21">
        <f>IF(AND(C104&lt;&gt;"", J104&lt;&gt;""), HYPERLINK("#'" &amp; C104 &amp; "'!" &amp; J104, J104), "")</f>
        <v/>
      </c>
    </row>
    <row r="105">
      <c r="B105" s="21">
        <f>IF(AND(C105&lt;&gt;"", J105&lt;&gt;""), HYPERLINK("#'" &amp; C105 &amp; "'!" &amp; J105, J105), "")</f>
        <v/>
      </c>
    </row>
    <row r="106">
      <c r="B106" s="21">
        <f>IF(AND(C106&lt;&gt;"", J106&lt;&gt;""), HYPERLINK("#'" &amp; C106 &amp; "'!" &amp; J106, J106), "")</f>
        <v/>
      </c>
    </row>
    <row r="107">
      <c r="B107" s="21">
        <f>IF(AND(C107&lt;&gt;"", J107&lt;&gt;""), HYPERLINK("#'" &amp; C107 &amp; "'!" &amp; J107, J107), "")</f>
        <v/>
      </c>
    </row>
    <row r="108">
      <c r="B108" s="21">
        <f>IF(AND(C108&lt;&gt;"", J108&lt;&gt;""), HYPERLINK("#'" &amp; C108 &amp; "'!" &amp; J108, J108), "")</f>
        <v/>
      </c>
    </row>
    <row r="109">
      <c r="B109" s="21">
        <f>IF(AND(C109&lt;&gt;"", J109&lt;&gt;""), HYPERLINK("#'" &amp; C109 &amp; "'!" &amp; J109, J109), "")</f>
        <v/>
      </c>
    </row>
    <row r="110">
      <c r="B110" s="21">
        <f>IF(AND(C110&lt;&gt;"", J110&lt;&gt;""), HYPERLINK("#'" &amp; C110 &amp; "'!" &amp; J110, J110), "")</f>
        <v/>
      </c>
    </row>
    <row r="111">
      <c r="B111" s="21">
        <f>IF(AND(C111&lt;&gt;"", J111&lt;&gt;""), HYPERLINK("#'" &amp; C111 &amp; "'!" &amp; J111, J111), "")</f>
        <v/>
      </c>
    </row>
    <row r="112">
      <c r="B112" s="21">
        <f>IF(AND(C112&lt;&gt;"", J112&lt;&gt;""), HYPERLINK("#'" &amp; C112 &amp; "'!" &amp; J112, J112), "")</f>
        <v/>
      </c>
    </row>
    <row r="113">
      <c r="B113" s="21">
        <f>IF(AND(C113&lt;&gt;"", J113&lt;&gt;""), HYPERLINK("#'" &amp; C113 &amp; "'!" &amp; J113, J113), "")</f>
        <v/>
      </c>
    </row>
    <row r="114">
      <c r="B114" s="21">
        <f>IF(AND(C114&lt;&gt;"", J114&lt;&gt;""), HYPERLINK("#'" &amp; C114 &amp; "'!" &amp; J114, J114), "")</f>
        <v/>
      </c>
    </row>
    <row r="115">
      <c r="B115" s="21">
        <f>IF(AND(C115&lt;&gt;"", J115&lt;&gt;""), HYPERLINK("#'" &amp; C115 &amp; "'!" &amp; J115, J115), "")</f>
        <v/>
      </c>
    </row>
    <row r="116">
      <c r="B116" s="21">
        <f>IF(AND(C116&lt;&gt;"", J116&lt;&gt;""), HYPERLINK("#'" &amp; C116 &amp; "'!" &amp; J116, J116), "")</f>
        <v/>
      </c>
    </row>
    <row r="117">
      <c r="B117" s="21">
        <f>IF(AND(C117&lt;&gt;"", J117&lt;&gt;""), HYPERLINK("#'" &amp; C117 &amp; "'!" &amp; J117, J117), "")</f>
        <v/>
      </c>
    </row>
    <row r="118">
      <c r="B118" s="21">
        <f>IF(AND(C118&lt;&gt;"", J118&lt;&gt;""), HYPERLINK("#'" &amp; C118 &amp; "'!" &amp; J118, J118), "")</f>
        <v/>
      </c>
    </row>
    <row r="119">
      <c r="B119" s="21">
        <f>IF(AND(C119&lt;&gt;"", J119&lt;&gt;""), HYPERLINK("#'" &amp; C119 &amp; "'!" &amp; J119, J119), "")</f>
        <v/>
      </c>
    </row>
    <row r="120">
      <c r="B120" s="21">
        <f>IF(AND(C120&lt;&gt;"", J120&lt;&gt;""), HYPERLINK("#'" &amp; C120 &amp; "'!" &amp; J120, J120), "")</f>
        <v/>
      </c>
    </row>
    <row r="121">
      <c r="B121" s="21">
        <f>IF(AND(C121&lt;&gt;"", J121&lt;&gt;""), HYPERLINK("#'" &amp; C121 &amp; "'!" &amp; J121, J121), "")</f>
        <v/>
      </c>
    </row>
    <row r="122">
      <c r="B122" s="21">
        <f>IF(AND(C122&lt;&gt;"", J122&lt;&gt;""), HYPERLINK("#'" &amp; C122 &amp; "'!" &amp; J122, J122), "")</f>
        <v/>
      </c>
    </row>
    <row r="123">
      <c r="B123" s="21">
        <f>IF(AND(C123&lt;&gt;"", J123&lt;&gt;""), HYPERLINK("#'" &amp; C123 &amp; "'!" &amp; J123, J123), "")</f>
        <v/>
      </c>
    </row>
    <row r="124">
      <c r="B124" s="21">
        <f>IF(AND(C124&lt;&gt;"", J124&lt;&gt;""), HYPERLINK("#'" &amp; C124 &amp; "'!" &amp; J124, J124), "")</f>
        <v/>
      </c>
    </row>
    <row r="125">
      <c r="B125" s="21">
        <f>IF(AND(C125&lt;&gt;"", J125&lt;&gt;""), HYPERLINK("#'" &amp; C125 &amp; "'!" &amp; J125, J125), "")</f>
        <v/>
      </c>
    </row>
    <row r="126">
      <c r="B126" s="21">
        <f>IF(AND(C126&lt;&gt;"", J126&lt;&gt;""), HYPERLINK("#'" &amp; C126 &amp; "'!" &amp; J126, J126), "")</f>
        <v/>
      </c>
    </row>
    <row r="127">
      <c r="B127" s="21">
        <f>IF(AND(C127&lt;&gt;"", J127&lt;&gt;""), HYPERLINK("#'" &amp; C127 &amp; "'!" &amp; J127, J127), "")</f>
        <v/>
      </c>
    </row>
    <row r="128">
      <c r="B128" s="21">
        <f>IF(AND(C128&lt;&gt;"", J128&lt;&gt;""), HYPERLINK("#'" &amp; C128 &amp; "'!" &amp; J128, J128), "")</f>
        <v/>
      </c>
    </row>
    <row r="129">
      <c r="B129" s="21">
        <f>IF(AND(C129&lt;&gt;"", J129&lt;&gt;""), HYPERLINK("#'" &amp; C129 &amp; "'!" &amp; J129, J129), "")</f>
        <v/>
      </c>
    </row>
    <row r="130">
      <c r="B130" s="21">
        <f>IF(AND(C130&lt;&gt;"", J130&lt;&gt;""), HYPERLINK("#'" &amp; C130 &amp; "'!" &amp; J130, J130), "")</f>
        <v/>
      </c>
    </row>
    <row r="131">
      <c r="B131" s="21">
        <f>IF(AND(C131&lt;&gt;"", J131&lt;&gt;""), HYPERLINK("#'" &amp; C131 &amp; "'!" &amp; J131, J131), "")</f>
        <v/>
      </c>
    </row>
    <row r="132">
      <c r="B132" s="21">
        <f>IF(AND(C132&lt;&gt;"", J132&lt;&gt;""), HYPERLINK("#'" &amp; C132 &amp; "'!" &amp; J132, J132), "")</f>
        <v/>
      </c>
    </row>
    <row r="133">
      <c r="B133" s="21">
        <f>IF(AND(C133&lt;&gt;"", J133&lt;&gt;""), HYPERLINK("#'" &amp; C133 &amp; "'!" &amp; J133, J133), "")</f>
        <v/>
      </c>
    </row>
    <row r="134">
      <c r="B134" s="21">
        <f>IF(AND(C134&lt;&gt;"", J134&lt;&gt;""), HYPERLINK("#'" &amp; C134 &amp; "'!" &amp; J134, J134), "")</f>
        <v/>
      </c>
    </row>
    <row r="135">
      <c r="B135" s="21">
        <f>IF(AND(C135&lt;&gt;"", J135&lt;&gt;""), HYPERLINK("#'" &amp; C135 &amp; "'!" &amp; J135, J135), "")</f>
        <v/>
      </c>
    </row>
    <row r="136">
      <c r="B136" s="21">
        <f>IF(AND(C136&lt;&gt;"", J136&lt;&gt;""), HYPERLINK("#'" &amp; C136 &amp; "'!" &amp; J136, J136), "")</f>
        <v/>
      </c>
    </row>
    <row r="137">
      <c r="B137" s="21">
        <f>IF(AND(C137&lt;&gt;"", J137&lt;&gt;""), HYPERLINK("#'" &amp; C137 &amp; "'!" &amp; J137, J137), "")</f>
        <v/>
      </c>
    </row>
    <row r="138">
      <c r="B138" s="21">
        <f>IF(AND(C138&lt;&gt;"", J138&lt;&gt;""), HYPERLINK("#'" &amp; C138 &amp; "'!" &amp; J138, J138), "")</f>
        <v/>
      </c>
    </row>
    <row r="139">
      <c r="B139" s="21">
        <f>IF(AND(C139&lt;&gt;"", J139&lt;&gt;""), HYPERLINK("#'" &amp; C139 &amp; "'!" &amp; J139, J139), "")</f>
        <v/>
      </c>
    </row>
    <row r="140">
      <c r="B140" s="21">
        <f>IF(AND(C140&lt;&gt;"", J140&lt;&gt;""), HYPERLINK("#'" &amp; C140 &amp; "'!" &amp; J140, J140), "")</f>
        <v/>
      </c>
    </row>
    <row r="141">
      <c r="B141" s="21">
        <f>IF(AND(C141&lt;&gt;"", J141&lt;&gt;""), HYPERLINK("#'" &amp; C141 &amp; "'!" &amp; J141, J141), "")</f>
        <v/>
      </c>
    </row>
    <row r="142">
      <c r="B142" s="21">
        <f>IF(AND(C142&lt;&gt;"", J142&lt;&gt;""), HYPERLINK("#'" &amp; C142 &amp; "'!" &amp; J142, J142), "")</f>
        <v/>
      </c>
    </row>
    <row r="143">
      <c r="B143" s="21">
        <f>IF(AND(C143&lt;&gt;"", J143&lt;&gt;""), HYPERLINK("#'" &amp; C143 &amp; "'!" &amp; J143, J143), "")</f>
        <v/>
      </c>
    </row>
    <row r="144">
      <c r="B144" s="21">
        <f>IF(AND(C144&lt;&gt;"", J144&lt;&gt;""), HYPERLINK("#'" &amp; C144 &amp; "'!" &amp; J144, J144), "")</f>
        <v/>
      </c>
    </row>
    <row r="145">
      <c r="B145" s="21">
        <f>IF(AND(C145&lt;&gt;"", J145&lt;&gt;""), HYPERLINK("#'" &amp; C145 &amp; "'!" &amp; J145, J145), "")</f>
        <v/>
      </c>
    </row>
    <row r="146">
      <c r="B146" s="21">
        <f>IF(AND(C146&lt;&gt;"", J146&lt;&gt;""), HYPERLINK("#'" &amp; C146 &amp; "'!" &amp; J146, J146), "")</f>
        <v/>
      </c>
    </row>
    <row r="147">
      <c r="B147" s="21">
        <f>IF(AND(C147&lt;&gt;"", J147&lt;&gt;""), HYPERLINK("#'" &amp; C147 &amp; "'!" &amp; J147, J147), "")</f>
        <v/>
      </c>
    </row>
    <row r="148">
      <c r="B148" s="21">
        <f>IF(AND(C148&lt;&gt;"", J148&lt;&gt;""), HYPERLINK("#'" &amp; C148 &amp; "'!" &amp; J148, J148), "")</f>
        <v/>
      </c>
    </row>
    <row r="149">
      <c r="B149" s="21">
        <f>IF(AND(C149&lt;&gt;"", J149&lt;&gt;""), HYPERLINK("#'" &amp; C149 &amp; "'!" &amp; J149, J149), "")</f>
        <v/>
      </c>
    </row>
    <row r="150">
      <c r="B150" s="21">
        <f>IF(AND(C150&lt;&gt;"", J150&lt;&gt;""), HYPERLINK("#'" &amp; C150 &amp; "'!" &amp; J150, J150), "")</f>
        <v/>
      </c>
    </row>
    <row r="151">
      <c r="B151" s="21">
        <f>IF(AND(C151&lt;&gt;"", J151&lt;&gt;""), HYPERLINK("#'" &amp; C151 &amp; "'!" &amp; J151, J151), "")</f>
        <v/>
      </c>
    </row>
    <row r="152">
      <c r="B152" s="21">
        <f>IF(AND(C152&lt;&gt;"", J152&lt;&gt;""), HYPERLINK("#'" &amp; C152 &amp; "'!" &amp; J152, J152), "")</f>
        <v/>
      </c>
    </row>
    <row r="153">
      <c r="B153" s="21">
        <f>IF(AND(C153&lt;&gt;"", J153&lt;&gt;""), HYPERLINK("#'" &amp; C153 &amp; "'!" &amp; J153, J153), "")</f>
        <v/>
      </c>
    </row>
    <row r="154">
      <c r="B154" s="21">
        <f>IF(AND(C154&lt;&gt;"", J154&lt;&gt;""), HYPERLINK("#'" &amp; C154 &amp; "'!" &amp; J154, J154), "")</f>
        <v/>
      </c>
    </row>
    <row r="155">
      <c r="B155" s="21">
        <f>IF(AND(C155&lt;&gt;"", J155&lt;&gt;""), HYPERLINK("#'" &amp; C155 &amp; "'!" &amp; J155, J155), "")</f>
        <v/>
      </c>
    </row>
    <row r="156">
      <c r="B156" s="21">
        <f>IF(AND(C156&lt;&gt;"", J156&lt;&gt;""), HYPERLINK("#'" &amp; C156 &amp; "'!" &amp; J156, J156), "")</f>
        <v/>
      </c>
    </row>
    <row r="157">
      <c r="B157" s="21">
        <f>IF(AND(C157&lt;&gt;"", J157&lt;&gt;""), HYPERLINK("#'" &amp; C157 &amp; "'!" &amp; J157, J157), "")</f>
        <v/>
      </c>
    </row>
    <row r="158">
      <c r="B158" s="21">
        <f>IF(AND(C158&lt;&gt;"", J158&lt;&gt;""), HYPERLINK("#'" &amp; C158 &amp; "'!" &amp; J158, J158), "")</f>
        <v/>
      </c>
    </row>
    <row r="159">
      <c r="B159" s="21">
        <f>IF(AND(C159&lt;&gt;"", J159&lt;&gt;""), HYPERLINK("#'" &amp; C159 &amp; "'!" &amp; J159, J159), "")</f>
        <v/>
      </c>
    </row>
    <row r="160">
      <c r="B160" s="21">
        <f>IF(AND(C160&lt;&gt;"", J160&lt;&gt;""), HYPERLINK("#'" &amp; C160 &amp; "'!" &amp; J160, J160), "")</f>
        <v/>
      </c>
    </row>
    <row r="161">
      <c r="B161" s="21">
        <f>IF(AND(C161&lt;&gt;"", J161&lt;&gt;""), HYPERLINK("#'" &amp; C161 &amp; "'!" &amp; J161, J161), "")</f>
        <v/>
      </c>
    </row>
    <row r="162">
      <c r="B162" s="21">
        <f>IF(AND(C162&lt;&gt;"", J162&lt;&gt;""), HYPERLINK("#'" &amp; C162 &amp; "'!" &amp; J162, J162), "")</f>
        <v/>
      </c>
    </row>
    <row r="163">
      <c r="B163" s="21">
        <f>IF(AND(C163&lt;&gt;"", J163&lt;&gt;""), HYPERLINK("#'" &amp; C163 &amp; "'!" &amp; J163, J163), "")</f>
        <v/>
      </c>
    </row>
    <row r="164">
      <c r="B164" s="21">
        <f>IF(AND(C164&lt;&gt;"", J164&lt;&gt;""), HYPERLINK("#'" &amp; C164 &amp; "'!" &amp; J164, J164), "")</f>
        <v/>
      </c>
    </row>
    <row r="165">
      <c r="B165" s="21">
        <f>IF(AND(C165&lt;&gt;"", J165&lt;&gt;""), HYPERLINK("#'" &amp; C165 &amp; "'!" &amp; J165, J165), "")</f>
        <v/>
      </c>
    </row>
    <row r="166">
      <c r="B166" s="21">
        <f>IF(AND(C166&lt;&gt;"", J166&lt;&gt;""), HYPERLINK("#'" &amp; C166 &amp; "'!" &amp; J166, J166), "")</f>
        <v/>
      </c>
    </row>
    <row r="167">
      <c r="B167" s="21">
        <f>IF(AND(C167&lt;&gt;"", J167&lt;&gt;""), HYPERLINK("#'" &amp; C167 &amp; "'!" &amp; J167, J167), "")</f>
        <v/>
      </c>
    </row>
    <row r="168">
      <c r="B168" s="21">
        <f>IF(AND(C168&lt;&gt;"", J168&lt;&gt;""), HYPERLINK("#'" &amp; C168 &amp; "'!" &amp; J168, J168), "")</f>
        <v/>
      </c>
    </row>
    <row r="169">
      <c r="B169" s="21">
        <f>IF(AND(C169&lt;&gt;"", J169&lt;&gt;""), HYPERLINK("#'" &amp; C169 &amp; "'!" &amp; J169, J169), "")</f>
        <v/>
      </c>
    </row>
    <row r="170">
      <c r="B170" s="21">
        <f>IF(AND(C170&lt;&gt;"", J170&lt;&gt;""), HYPERLINK("#'" &amp; C170 &amp; "'!" &amp; J170, J170), "")</f>
        <v/>
      </c>
    </row>
    <row r="171">
      <c r="B171" s="21">
        <f>IF(AND(C171&lt;&gt;"", J171&lt;&gt;""), HYPERLINK("#'" &amp; C171 &amp; "'!" &amp; J171, J171), "")</f>
        <v/>
      </c>
    </row>
    <row r="172">
      <c r="B172" s="21">
        <f>IF(AND(C172&lt;&gt;"", J172&lt;&gt;""), HYPERLINK("#'" &amp; C172 &amp; "'!" &amp; J172, J172), "")</f>
        <v/>
      </c>
    </row>
    <row r="173">
      <c r="B173" s="21">
        <f>IF(AND(C173&lt;&gt;"", J173&lt;&gt;""), HYPERLINK("#'" &amp; C173 &amp; "'!" &amp; J173, J173), "")</f>
        <v/>
      </c>
    </row>
    <row r="174">
      <c r="B174" s="21">
        <f>IF(AND(C174&lt;&gt;"", J174&lt;&gt;""), HYPERLINK("#'" &amp; C174 &amp; "'!" &amp; J174, J174), "")</f>
        <v/>
      </c>
    </row>
    <row r="175">
      <c r="B175" s="21">
        <f>IF(AND(C175&lt;&gt;"", J175&lt;&gt;""), HYPERLINK("#'" &amp; C175 &amp; "'!" &amp; J175, J175), "")</f>
        <v/>
      </c>
    </row>
    <row r="176">
      <c r="B176" s="21">
        <f>IF(AND(C176&lt;&gt;"", J176&lt;&gt;""), HYPERLINK("#'" &amp; C176 &amp; "'!" &amp; J176, J176), "")</f>
        <v/>
      </c>
    </row>
    <row r="177">
      <c r="B177" s="21">
        <f>IF(AND(C177&lt;&gt;"", J177&lt;&gt;""), HYPERLINK("#'" &amp; C177 &amp; "'!" &amp; J177, J177), "")</f>
        <v/>
      </c>
    </row>
    <row r="178">
      <c r="B178" s="21">
        <f>IF(AND(C178&lt;&gt;"", J178&lt;&gt;""), HYPERLINK("#'" &amp; C178 &amp; "'!" &amp; J178, J178), "")</f>
        <v/>
      </c>
    </row>
    <row r="179">
      <c r="B179" s="21">
        <f>IF(AND(C179&lt;&gt;"", J179&lt;&gt;""), HYPERLINK("#'" &amp; C179 &amp; "'!" &amp; J179, J179), "")</f>
        <v/>
      </c>
    </row>
    <row r="180">
      <c r="B180" s="21">
        <f>IF(AND(C180&lt;&gt;"", J180&lt;&gt;""), HYPERLINK("#'" &amp; C180 &amp; "'!" &amp; J180, J180), "")</f>
        <v/>
      </c>
    </row>
    <row r="181">
      <c r="B181" s="21">
        <f>IF(AND(C181&lt;&gt;"", J181&lt;&gt;""), HYPERLINK("#'" &amp; C181 &amp; "'!" &amp; J181, J181), "")</f>
        <v/>
      </c>
    </row>
    <row r="182">
      <c r="B182" s="21">
        <f>IF(AND(C182&lt;&gt;"", J182&lt;&gt;""), HYPERLINK("#'" &amp; C182 &amp; "'!" &amp; J182, J182), "")</f>
        <v/>
      </c>
    </row>
    <row r="183">
      <c r="B183" s="21">
        <f>IF(AND(C183&lt;&gt;"", J183&lt;&gt;""), HYPERLINK("#'" &amp; C183 &amp; "'!" &amp; J183, J183), "")</f>
        <v/>
      </c>
    </row>
    <row r="184">
      <c r="B184" s="21">
        <f>IF(AND(C184&lt;&gt;"", J184&lt;&gt;""), HYPERLINK("#'" &amp; C184 &amp; "'!" &amp; J184, J184), "")</f>
        <v/>
      </c>
    </row>
    <row r="185">
      <c r="B185" s="21">
        <f>IF(AND(C185&lt;&gt;"", J185&lt;&gt;""), HYPERLINK("#'" &amp; C185 &amp; "'!" &amp; J185, J185), "")</f>
        <v/>
      </c>
    </row>
    <row r="186">
      <c r="B186" s="21">
        <f>IF(AND(C186&lt;&gt;"", J186&lt;&gt;""), HYPERLINK("#'" &amp; C186 &amp; "'!" &amp; J186, J186), "")</f>
        <v/>
      </c>
    </row>
    <row r="187">
      <c r="B187" s="21">
        <f>IF(AND(C187&lt;&gt;"", J187&lt;&gt;""), HYPERLINK("#'" &amp; C187 &amp; "'!" &amp; J187, J187), "")</f>
        <v/>
      </c>
    </row>
    <row r="188">
      <c r="B188" s="21">
        <f>IF(AND(C188&lt;&gt;"", J188&lt;&gt;""), HYPERLINK("#'" &amp; C188 &amp; "'!" &amp; J188, J188), "")</f>
        <v/>
      </c>
    </row>
    <row r="189">
      <c r="B189" s="21">
        <f>IF(AND(C189&lt;&gt;"", J189&lt;&gt;""), HYPERLINK("#'" &amp; C189 &amp; "'!" &amp; J189, J189), "")</f>
        <v/>
      </c>
    </row>
    <row r="190">
      <c r="B190" s="21">
        <f>IF(AND(C190&lt;&gt;"", J190&lt;&gt;""), HYPERLINK("#'" &amp; C190 &amp; "'!" &amp; J190, J190), "")</f>
        <v/>
      </c>
    </row>
    <row r="191">
      <c r="B191" s="21">
        <f>IF(AND(C191&lt;&gt;"", J191&lt;&gt;""), HYPERLINK("#'" &amp; C191 &amp; "'!" &amp; J191, J191), "")</f>
        <v/>
      </c>
    </row>
    <row r="192">
      <c r="B192" s="21">
        <f>IF(AND(C192&lt;&gt;"", J192&lt;&gt;""), HYPERLINK("#'" &amp; C192 &amp; "'!" &amp; J192, J192), "")</f>
        <v/>
      </c>
    </row>
    <row r="193">
      <c r="B193" s="21">
        <f>IF(AND(C193&lt;&gt;"", J193&lt;&gt;""), HYPERLINK("#'" &amp; C193 &amp; "'!" &amp; J193, J193), "")</f>
        <v/>
      </c>
    </row>
    <row r="194">
      <c r="B194" s="21">
        <f>IF(AND(C194&lt;&gt;"", J194&lt;&gt;""), HYPERLINK("#'" &amp; C194 &amp; "'!" &amp; J194, J194), "")</f>
        <v/>
      </c>
    </row>
    <row r="195">
      <c r="B195" s="21">
        <f>IF(AND(C195&lt;&gt;"", J195&lt;&gt;""), HYPERLINK("#'" &amp; C195 &amp; "'!" &amp; J195, J195), "")</f>
        <v/>
      </c>
    </row>
    <row r="196">
      <c r="B196" s="21">
        <f>IF(AND(C196&lt;&gt;"", J196&lt;&gt;""), HYPERLINK("#'" &amp; C196 &amp; "'!" &amp; J196, J196), "")</f>
        <v/>
      </c>
    </row>
    <row r="197">
      <c r="B197" s="21">
        <f>IF(AND(C197&lt;&gt;"", J197&lt;&gt;""), HYPERLINK("#'" &amp; C197 &amp; "'!" &amp; J197, J197), "")</f>
        <v/>
      </c>
    </row>
    <row r="198">
      <c r="B198" s="21">
        <f>IF(AND(C198&lt;&gt;"", J198&lt;&gt;""), HYPERLINK("#'" &amp; C198 &amp; "'!" &amp; J198, J198), "")</f>
        <v/>
      </c>
    </row>
    <row r="199">
      <c r="B199" s="21">
        <f>IF(AND(C199&lt;&gt;"", J199&lt;&gt;""), HYPERLINK("#'" &amp; C199 &amp; "'!" &amp; J199, J199), "")</f>
        <v/>
      </c>
    </row>
    <row r="200">
      <c r="B200" s="21">
        <f>IF(AND(C200&lt;&gt;"", J200&lt;&gt;""), HYPERLINK("#'" &amp; C200 &amp; "'!" &amp; J200, J200), "")</f>
        <v/>
      </c>
    </row>
    <row r="201">
      <c r="B201" s="21">
        <f>IF(AND(C201&lt;&gt;"", J201&lt;&gt;""), HYPERLINK("#'" &amp; C201 &amp; "'!" &amp; J201, J201), "")</f>
        <v/>
      </c>
    </row>
    <row r="202">
      <c r="B202" s="21">
        <f>IF(AND(C202&lt;&gt;"", J202&lt;&gt;""), HYPERLINK("#'" &amp; C202 &amp; "'!" &amp; J202, J202), "")</f>
        <v/>
      </c>
    </row>
    <row r="203">
      <c r="B203" s="21">
        <f>IF(AND(C203&lt;&gt;"", J203&lt;&gt;""), HYPERLINK("#'" &amp; C203 &amp; "'!" &amp; J203, J203), "")</f>
        <v/>
      </c>
    </row>
    <row r="204">
      <c r="B204" s="21">
        <f>IF(AND(C204&lt;&gt;"", J204&lt;&gt;""), HYPERLINK("#'" &amp; C204 &amp; "'!" &amp; J204, J204), "")</f>
        <v/>
      </c>
    </row>
    <row r="205">
      <c r="B205" s="21">
        <f>IF(AND(C205&lt;&gt;"", J205&lt;&gt;""), HYPERLINK("#'" &amp; C205 &amp; "'!" &amp; J205, J205), "")</f>
        <v/>
      </c>
    </row>
    <row r="206">
      <c r="B206" s="21">
        <f>IF(AND(C206&lt;&gt;"", J206&lt;&gt;""), HYPERLINK("#'" &amp; C206 &amp; "'!" &amp; J206, J206), "")</f>
        <v/>
      </c>
    </row>
    <row r="207">
      <c r="B207" s="21">
        <f>IF(AND(C207&lt;&gt;"", J207&lt;&gt;""), HYPERLINK("#'" &amp; C207 &amp; "'!" &amp; J207, J207), "")</f>
        <v/>
      </c>
    </row>
    <row r="208">
      <c r="B208" s="21">
        <f>IF(AND(C208&lt;&gt;"", J208&lt;&gt;""), HYPERLINK("#'" &amp; C208 &amp; "'!" &amp; J208, J208), "")</f>
        <v/>
      </c>
    </row>
    <row r="209">
      <c r="B209" s="21">
        <f>IF(AND(C209&lt;&gt;"", J209&lt;&gt;""), HYPERLINK("#'" &amp; C209 &amp; "'!" &amp; J209, J209), "")</f>
        <v/>
      </c>
    </row>
    <row r="210">
      <c r="B210" s="21">
        <f>IF(AND(C210&lt;&gt;"", J210&lt;&gt;""), HYPERLINK("#'" &amp; C210 &amp; "'!" &amp; J210, J210), "")</f>
        <v/>
      </c>
    </row>
    <row r="211">
      <c r="B211" s="21">
        <f>IF(AND(C211&lt;&gt;"", J211&lt;&gt;""), HYPERLINK("#'" &amp; C211 &amp; "'!" &amp; J211, J211), "")</f>
        <v/>
      </c>
    </row>
    <row r="212">
      <c r="B212" s="21">
        <f>IF(AND(C212&lt;&gt;"", J212&lt;&gt;""), HYPERLINK("#'" &amp; C212 &amp; "'!" &amp; J212, J212), "")</f>
        <v/>
      </c>
    </row>
    <row r="213">
      <c r="B213" s="21">
        <f>IF(AND(C213&lt;&gt;"", J213&lt;&gt;""), HYPERLINK("#'" &amp; C213 &amp; "'!" &amp; J213, J213), "")</f>
        <v/>
      </c>
    </row>
    <row r="214">
      <c r="B214" s="21">
        <f>IF(AND(C214&lt;&gt;"", J214&lt;&gt;""), HYPERLINK("#'" &amp; C214 &amp; "'!" &amp; J214, J214), "")</f>
        <v/>
      </c>
    </row>
    <row r="215">
      <c r="B215" s="21">
        <f>IF(AND(C215&lt;&gt;"", J215&lt;&gt;""), HYPERLINK("#'" &amp; C215 &amp; "'!" &amp; J215, J215), "")</f>
        <v/>
      </c>
    </row>
    <row r="216">
      <c r="B216" s="21">
        <f>IF(AND(C216&lt;&gt;"", J216&lt;&gt;""), HYPERLINK("#'" &amp; C216 &amp; "'!" &amp; J216, J216), "")</f>
        <v/>
      </c>
    </row>
    <row r="217">
      <c r="B217" s="21">
        <f>IF(AND(C217&lt;&gt;"", J217&lt;&gt;""), HYPERLINK("#'" &amp; C217 &amp; "'!" &amp; J217, J217), "")</f>
        <v/>
      </c>
    </row>
    <row r="218">
      <c r="B218" s="21">
        <f>IF(AND(C218&lt;&gt;"", J218&lt;&gt;""), HYPERLINK("#'" &amp; C218 &amp; "'!" &amp; J218, J218), "")</f>
        <v/>
      </c>
    </row>
    <row r="219">
      <c r="B219" s="21">
        <f>IF(AND(C219&lt;&gt;"", J219&lt;&gt;""), HYPERLINK("#'" &amp; C219 &amp; "'!" &amp; J219, J219), "")</f>
        <v/>
      </c>
    </row>
    <row r="220">
      <c r="B220" s="21">
        <f>IF(AND(C220&lt;&gt;"", J220&lt;&gt;""), HYPERLINK("#'" &amp; C220 &amp; "'!" &amp; J220, J220), "")</f>
        <v/>
      </c>
    </row>
    <row r="221">
      <c r="B221" s="21">
        <f>IF(AND(C221&lt;&gt;"", J221&lt;&gt;""), HYPERLINK("#'" &amp; C221 &amp; "'!" &amp; J221, J221), "")</f>
        <v/>
      </c>
    </row>
    <row r="222">
      <c r="B222" s="21">
        <f>IF(AND(C222&lt;&gt;"", J222&lt;&gt;""), HYPERLINK("#'" &amp; C222 &amp; "'!" &amp; J222, J222), "")</f>
        <v/>
      </c>
    </row>
    <row r="223">
      <c r="B223" s="21">
        <f>IF(AND(C223&lt;&gt;"", J223&lt;&gt;""), HYPERLINK("#'" &amp; C223 &amp; "'!" &amp; J223, J223), "")</f>
        <v/>
      </c>
    </row>
    <row r="224">
      <c r="B224" s="21">
        <f>IF(AND(C224&lt;&gt;"", J224&lt;&gt;""), HYPERLINK("#'" &amp; C224 &amp; "'!" &amp; J224, J224), "")</f>
        <v/>
      </c>
    </row>
    <row r="225">
      <c r="B225" s="21">
        <f>IF(AND(C225&lt;&gt;"", J225&lt;&gt;""), HYPERLINK("#'" &amp; C225 &amp; "'!" &amp; J225, J225), "")</f>
        <v/>
      </c>
    </row>
    <row r="226">
      <c r="B226" s="21">
        <f>IF(AND(C226&lt;&gt;"", J226&lt;&gt;""), HYPERLINK("#'" &amp; C226 &amp; "'!" &amp; J226, J226), "")</f>
        <v/>
      </c>
    </row>
    <row r="227">
      <c r="B227" s="21">
        <f>IF(AND(C227&lt;&gt;"", J227&lt;&gt;""), HYPERLINK("#'" &amp; C227 &amp; "'!" &amp; J227, J227), "")</f>
        <v/>
      </c>
    </row>
    <row r="228">
      <c r="B228" s="21">
        <f>IF(AND(C228&lt;&gt;"", J228&lt;&gt;""), HYPERLINK("#'" &amp; C228 &amp; "'!" &amp; J228, J228), "")</f>
        <v/>
      </c>
    </row>
    <row r="229">
      <c r="B229" s="21">
        <f>IF(AND(C229&lt;&gt;"", J229&lt;&gt;""), HYPERLINK("#'" &amp; C229 &amp; "'!" &amp; J229, J229), "")</f>
        <v/>
      </c>
    </row>
    <row r="230">
      <c r="B230" s="21">
        <f>IF(AND(C230&lt;&gt;"", J230&lt;&gt;""), HYPERLINK("#'" &amp; C230 &amp; "'!" &amp; J230, J230), "")</f>
        <v/>
      </c>
    </row>
    <row r="231">
      <c r="B231" s="21">
        <f>IF(AND(C231&lt;&gt;"", J231&lt;&gt;""), HYPERLINK("#'" &amp; C231 &amp; "'!" &amp; J231, J231), "")</f>
        <v/>
      </c>
    </row>
    <row r="232">
      <c r="B232" s="21">
        <f>IF(AND(C232&lt;&gt;"", J232&lt;&gt;""), HYPERLINK("#'" &amp; C232 &amp; "'!" &amp; J232, J232), "")</f>
        <v/>
      </c>
    </row>
    <row r="233">
      <c r="B233" s="21">
        <f>IF(AND(C233&lt;&gt;"", J233&lt;&gt;""), HYPERLINK("#'" &amp; C233 &amp; "'!" &amp; J233, J233), "")</f>
        <v/>
      </c>
    </row>
    <row r="234">
      <c r="B234" s="21">
        <f>IF(AND(C234&lt;&gt;"", J234&lt;&gt;""), HYPERLINK("#'" &amp; C234 &amp; "'!" &amp; J234, J234), "")</f>
        <v/>
      </c>
    </row>
    <row r="235">
      <c r="B235" s="21">
        <f>IF(AND(C235&lt;&gt;"", J235&lt;&gt;""), HYPERLINK("#'" &amp; C235 &amp; "'!" &amp; J235, J235), "")</f>
        <v/>
      </c>
    </row>
    <row r="236">
      <c r="B236" s="21">
        <f>IF(AND(C236&lt;&gt;"", J236&lt;&gt;""), HYPERLINK("#'" &amp; C236 &amp; "'!" &amp; J236, J236), "")</f>
        <v/>
      </c>
    </row>
    <row r="237">
      <c r="B237" s="21">
        <f>IF(AND(C237&lt;&gt;"", J237&lt;&gt;""), HYPERLINK("#'" &amp; C237 &amp; "'!" &amp; J237, J237), "")</f>
        <v/>
      </c>
    </row>
    <row r="238">
      <c r="B238" s="21">
        <f>IF(AND(C238&lt;&gt;"", J238&lt;&gt;""), HYPERLINK("#'" &amp; C238 &amp; "'!" &amp; J238, J238), "")</f>
        <v/>
      </c>
    </row>
    <row r="239">
      <c r="B239" s="21">
        <f>IF(AND(C239&lt;&gt;"", J239&lt;&gt;""), HYPERLINK("#'" &amp; C239 &amp; "'!" &amp; J239, J239), "")</f>
        <v/>
      </c>
    </row>
    <row r="240">
      <c r="B240" s="21">
        <f>IF(AND(C240&lt;&gt;"", J240&lt;&gt;""), HYPERLINK("#'" &amp; C240 &amp; "'!" &amp; J240, J240), "")</f>
        <v/>
      </c>
    </row>
    <row r="241">
      <c r="B241" s="21">
        <f>IF(AND(C241&lt;&gt;"", J241&lt;&gt;""), HYPERLINK("#'" &amp; C241 &amp; "'!" &amp; J241, J241), "")</f>
        <v/>
      </c>
    </row>
    <row r="242">
      <c r="B242" s="21">
        <f>IF(AND(C242&lt;&gt;"", J242&lt;&gt;""), HYPERLINK("#'" &amp; C242 &amp; "'!" &amp; J242, J242), "")</f>
        <v/>
      </c>
    </row>
    <row r="243">
      <c r="B243" s="21">
        <f>IF(AND(C243&lt;&gt;"", J243&lt;&gt;""), HYPERLINK("#'" &amp; C243 &amp; "'!" &amp; J243, J243), "")</f>
        <v/>
      </c>
    </row>
    <row r="244">
      <c r="B244" s="21">
        <f>IF(AND(C244&lt;&gt;"", J244&lt;&gt;""), HYPERLINK("#'" &amp; C244 &amp; "'!" &amp; J244, J244), "")</f>
        <v/>
      </c>
    </row>
    <row r="245">
      <c r="B245" s="21">
        <f>IF(AND(C245&lt;&gt;"", J245&lt;&gt;""), HYPERLINK("#'" &amp; C245 &amp; "'!" &amp; J245, J245), "")</f>
        <v/>
      </c>
    </row>
    <row r="246">
      <c r="B246" s="21">
        <f>IF(AND(C246&lt;&gt;"", J246&lt;&gt;""), HYPERLINK("#'" &amp; C246 &amp; "'!" &amp; J246, J246), "")</f>
        <v/>
      </c>
    </row>
    <row r="247">
      <c r="B247" s="21">
        <f>IF(AND(C247&lt;&gt;"", J247&lt;&gt;""), HYPERLINK("#'" &amp; C247 &amp; "'!" &amp; J247, J247), "")</f>
        <v/>
      </c>
    </row>
    <row r="248">
      <c r="B248" s="21">
        <f>IF(AND(C248&lt;&gt;"", J248&lt;&gt;""), HYPERLINK("#'" &amp; C248 &amp; "'!" &amp; J248, J248), "")</f>
        <v/>
      </c>
    </row>
    <row r="249">
      <c r="B249" s="21">
        <f>IF(AND(C249&lt;&gt;"", J249&lt;&gt;""), HYPERLINK("#'" &amp; C249 &amp; "'!" &amp; J249, J249), "")</f>
        <v/>
      </c>
    </row>
    <row r="250">
      <c r="B250" s="21">
        <f>IF(AND(C250&lt;&gt;"", J250&lt;&gt;""), HYPERLINK("#'" &amp; C250 &amp; "'!" &amp; J250, J250), "")</f>
        <v/>
      </c>
    </row>
    <row r="251">
      <c r="B251" s="21">
        <f>IF(AND(C251&lt;&gt;"", J251&lt;&gt;""), HYPERLINK("#'" &amp; C251 &amp; "'!" &amp; J251, J251), "")</f>
        <v/>
      </c>
    </row>
    <row r="252">
      <c r="B252" s="21">
        <f>IF(AND(C252&lt;&gt;"", J252&lt;&gt;""), HYPERLINK("#'" &amp; C252 &amp; "'!" &amp; J252, J252), "")</f>
        <v/>
      </c>
    </row>
    <row r="253">
      <c r="B253" s="21">
        <f>IF(AND(C253&lt;&gt;"", J253&lt;&gt;""), HYPERLINK("#'" &amp; C253 &amp; "'!" &amp; J253, J253), "")</f>
        <v/>
      </c>
    </row>
    <row r="254">
      <c r="B254" s="21">
        <f>IF(AND(C254&lt;&gt;"", J254&lt;&gt;""), HYPERLINK("#'" &amp; C254 &amp; "'!" &amp; J254, J254), "")</f>
        <v/>
      </c>
    </row>
    <row r="255">
      <c r="B255" s="21">
        <f>IF(AND(C255&lt;&gt;"", J255&lt;&gt;""), HYPERLINK("#'" &amp; C255 &amp; "'!" &amp; J255, J255), "")</f>
        <v/>
      </c>
    </row>
    <row r="256">
      <c r="B256" s="21">
        <f>IF(AND(C256&lt;&gt;"", J256&lt;&gt;""), HYPERLINK("#'" &amp; C256 &amp; "'!" &amp; J256, J256), "")</f>
        <v/>
      </c>
    </row>
    <row r="257">
      <c r="B257" s="21">
        <f>IF(AND(C257&lt;&gt;"", J257&lt;&gt;""), HYPERLINK("#'" &amp; C257 &amp; "'!" &amp; J257, J257), "")</f>
        <v/>
      </c>
    </row>
    <row r="258">
      <c r="B258" s="21">
        <f>IF(AND(C258&lt;&gt;"", J258&lt;&gt;""), HYPERLINK("#'" &amp; C258 &amp; "'!" &amp; J258, J258), "")</f>
        <v/>
      </c>
    </row>
    <row r="259">
      <c r="B259" s="21">
        <f>IF(AND(C259&lt;&gt;"", J259&lt;&gt;""), HYPERLINK("#'" &amp; C259 &amp; "'!" &amp; J259, J259), "")</f>
        <v/>
      </c>
    </row>
    <row r="260">
      <c r="B260" s="21">
        <f>IF(AND(C260&lt;&gt;"", J260&lt;&gt;""), HYPERLINK("#'" &amp; C260 &amp; "'!" &amp; J260, J260), "")</f>
        <v/>
      </c>
    </row>
    <row r="261">
      <c r="B261" s="21">
        <f>IF(AND(C261&lt;&gt;"", J261&lt;&gt;""), HYPERLINK("#'" &amp; C261 &amp; "'!" &amp; J261, J261), "")</f>
        <v/>
      </c>
    </row>
    <row r="262">
      <c r="B262" s="21">
        <f>IF(AND(C262&lt;&gt;"", J262&lt;&gt;""), HYPERLINK("#'" &amp; C262 &amp; "'!" &amp; J262, J262), "")</f>
        <v/>
      </c>
    </row>
    <row r="263">
      <c r="B263" s="21">
        <f>IF(AND(C263&lt;&gt;"", J263&lt;&gt;""), HYPERLINK("#'" &amp; C263 &amp; "'!" &amp; J263, J263), "")</f>
        <v/>
      </c>
    </row>
    <row r="264">
      <c r="B264" s="21">
        <f>IF(AND(C264&lt;&gt;"", J264&lt;&gt;""), HYPERLINK("#'" &amp; C264 &amp; "'!" &amp; J264, J264), "")</f>
        <v/>
      </c>
    </row>
    <row r="265">
      <c r="B265" s="21">
        <f>IF(AND(C265&lt;&gt;"", J265&lt;&gt;""), HYPERLINK("#'" &amp; C265 &amp; "'!" &amp; J265, J265), "")</f>
        <v/>
      </c>
    </row>
    <row r="266">
      <c r="B266" s="21">
        <f>IF(AND(C266&lt;&gt;"", J266&lt;&gt;""), HYPERLINK("#'" &amp; C266 &amp; "'!" &amp; J266, J266), "")</f>
        <v/>
      </c>
    </row>
    <row r="267">
      <c r="B267" s="21">
        <f>IF(AND(C267&lt;&gt;"", J267&lt;&gt;""), HYPERLINK("#'" &amp; C267 &amp; "'!" &amp; J267, J267), "")</f>
        <v/>
      </c>
    </row>
    <row r="268">
      <c r="B268" s="21">
        <f>IF(AND(C268&lt;&gt;"", J268&lt;&gt;""), HYPERLINK("#'" &amp; C268 &amp; "'!" &amp; J268, J268), "")</f>
        <v/>
      </c>
    </row>
    <row r="269">
      <c r="B269" s="21">
        <f>IF(AND(C269&lt;&gt;"", J269&lt;&gt;""), HYPERLINK("#'" &amp; C269 &amp; "'!" &amp; J269, J269), "")</f>
        <v/>
      </c>
    </row>
    <row r="270">
      <c r="B270" s="21">
        <f>IF(AND(C270&lt;&gt;"", J270&lt;&gt;""), HYPERLINK("#'" &amp; C270 &amp; "'!" &amp; J270, J270), "")</f>
        <v/>
      </c>
    </row>
    <row r="271">
      <c r="B271" s="21">
        <f>IF(AND(C271&lt;&gt;"", J271&lt;&gt;""), HYPERLINK("#'" &amp; C271 &amp; "'!" &amp; J271, J271), "")</f>
        <v/>
      </c>
    </row>
    <row r="272">
      <c r="B272" s="21">
        <f>IF(AND(C272&lt;&gt;"", J272&lt;&gt;""), HYPERLINK("#'" &amp; C272 &amp; "'!" &amp; J272, J272), "")</f>
        <v/>
      </c>
    </row>
    <row r="273">
      <c r="B273" s="21">
        <f>IF(AND(C273&lt;&gt;"", J273&lt;&gt;""), HYPERLINK("#'" &amp; C273 &amp; "'!" &amp; J273, J273), "")</f>
        <v/>
      </c>
    </row>
    <row r="274">
      <c r="B274" s="21">
        <f>IF(AND(C274&lt;&gt;"", J274&lt;&gt;""), HYPERLINK("#'" &amp; C274 &amp; "'!" &amp; J274, J274), "")</f>
        <v/>
      </c>
    </row>
    <row r="275">
      <c r="B275" s="21">
        <f>IF(AND(C275&lt;&gt;"", J275&lt;&gt;""), HYPERLINK("#'" &amp; C275 &amp; "'!" &amp; J275, J275), "")</f>
        <v/>
      </c>
    </row>
    <row r="276">
      <c r="B276" s="21">
        <f>IF(AND(C276&lt;&gt;"", J276&lt;&gt;""), HYPERLINK("#'" &amp; C276 &amp; "'!" &amp; J276, J276), "")</f>
        <v/>
      </c>
    </row>
    <row r="277">
      <c r="B277" s="21">
        <f>IF(AND(C277&lt;&gt;"", J277&lt;&gt;""), HYPERLINK("#'" &amp; C277 &amp; "'!" &amp; J277, J277), "")</f>
        <v/>
      </c>
    </row>
    <row r="278">
      <c r="B278" s="21">
        <f>IF(AND(C278&lt;&gt;"", J278&lt;&gt;""), HYPERLINK("#'" &amp; C278 &amp; "'!" &amp; J278, J278), "")</f>
        <v/>
      </c>
    </row>
    <row r="279">
      <c r="B279" s="21">
        <f>IF(AND(C279&lt;&gt;"", J279&lt;&gt;""), HYPERLINK("#'" &amp; C279 &amp; "'!" &amp; J279, J279), "")</f>
        <v/>
      </c>
    </row>
    <row r="280">
      <c r="B280" s="21">
        <f>IF(AND(C280&lt;&gt;"", J280&lt;&gt;""), HYPERLINK("#'" &amp; C280 &amp; "'!" &amp; J280, J280), "")</f>
        <v/>
      </c>
    </row>
    <row r="281">
      <c r="B281" s="21">
        <f>IF(AND(C281&lt;&gt;"", J281&lt;&gt;""), HYPERLINK("#'" &amp; C281 &amp; "'!" &amp; J281, J281), "")</f>
        <v/>
      </c>
    </row>
    <row r="282">
      <c r="B282" s="21">
        <f>IF(AND(C282&lt;&gt;"", J282&lt;&gt;""), HYPERLINK("#'" &amp; C282 &amp; "'!" &amp; J282, J282), "")</f>
        <v/>
      </c>
    </row>
    <row r="283">
      <c r="B283" s="21">
        <f>IF(AND(C283&lt;&gt;"", J283&lt;&gt;""), HYPERLINK("#'" &amp; C283 &amp; "'!" &amp; J283, J283), "")</f>
        <v/>
      </c>
    </row>
    <row r="284">
      <c r="B284" s="21">
        <f>IF(AND(C284&lt;&gt;"", J284&lt;&gt;""), HYPERLINK("#'" &amp; C284 &amp; "'!" &amp; J284, J284), "")</f>
        <v/>
      </c>
    </row>
    <row r="285">
      <c r="B285" s="21">
        <f>IF(AND(C285&lt;&gt;"", J285&lt;&gt;""), HYPERLINK("#'" &amp; C285 &amp; "'!" &amp; J285, J285), "")</f>
        <v/>
      </c>
    </row>
    <row r="286">
      <c r="B286" s="21">
        <f>IF(AND(C286&lt;&gt;"", J286&lt;&gt;""), HYPERLINK("#'" &amp; C286 &amp; "'!" &amp; J286, J286), "")</f>
        <v/>
      </c>
    </row>
    <row r="287">
      <c r="B287" s="21">
        <f>IF(AND(C287&lt;&gt;"", J287&lt;&gt;""), HYPERLINK("#'" &amp; C287 &amp; "'!" &amp; J287, J287), "")</f>
        <v/>
      </c>
    </row>
    <row r="288">
      <c r="B288" s="21">
        <f>IF(AND(C288&lt;&gt;"", J288&lt;&gt;""), HYPERLINK("#'" &amp; C288 &amp; "'!" &amp; J288, J288), "")</f>
        <v/>
      </c>
    </row>
    <row r="289">
      <c r="B289" s="21">
        <f>IF(AND(C289&lt;&gt;"", J289&lt;&gt;""), HYPERLINK("#'" &amp; C289 &amp; "'!" &amp; J289, J289), "")</f>
        <v/>
      </c>
    </row>
    <row r="290">
      <c r="B290" s="21">
        <f>IF(AND(C290&lt;&gt;"", J290&lt;&gt;""), HYPERLINK("#'" &amp; C290 &amp; "'!" &amp; J290, J290), "")</f>
        <v/>
      </c>
    </row>
    <row r="291">
      <c r="B291" s="21">
        <f>IF(AND(C291&lt;&gt;"", J291&lt;&gt;""), HYPERLINK("#'" &amp; C291 &amp; "'!" &amp; J291, J291), "")</f>
        <v/>
      </c>
    </row>
    <row r="292">
      <c r="B292" s="21">
        <f>IF(AND(C292&lt;&gt;"", J292&lt;&gt;""), HYPERLINK("#'" &amp; C292 &amp; "'!" &amp; J292, J292), "")</f>
        <v/>
      </c>
    </row>
    <row r="293">
      <c r="B293" s="21">
        <f>IF(AND(C293&lt;&gt;"", J293&lt;&gt;""), HYPERLINK("#'" &amp; C293 &amp; "'!" &amp; J293, J293), "")</f>
        <v/>
      </c>
    </row>
    <row r="294">
      <c r="B294" s="21">
        <f>IF(AND(C294&lt;&gt;"", J294&lt;&gt;""), HYPERLINK("#'" &amp; C294 &amp; "'!" &amp; J294, J294), "")</f>
        <v/>
      </c>
    </row>
    <row r="295">
      <c r="B295" s="21">
        <f>IF(AND(C295&lt;&gt;"", J295&lt;&gt;""), HYPERLINK("#'" &amp; C295 &amp; "'!" &amp; J295, J295), "")</f>
        <v/>
      </c>
    </row>
    <row r="296">
      <c r="B296" s="21">
        <f>IF(AND(C296&lt;&gt;"", J296&lt;&gt;""), HYPERLINK("#'" &amp; C296 &amp; "'!" &amp; J296, J296), "")</f>
        <v/>
      </c>
    </row>
    <row r="297">
      <c r="B297" s="21">
        <f>IF(AND(C297&lt;&gt;"", J297&lt;&gt;""), HYPERLINK("#'" &amp; C297 &amp; "'!" &amp; J297, J297), "")</f>
        <v/>
      </c>
    </row>
    <row r="298">
      <c r="B298" s="21">
        <f>IF(AND(C298&lt;&gt;"", J298&lt;&gt;""), HYPERLINK("#'" &amp; C298 &amp; "'!" &amp; J298, J298), "")</f>
        <v/>
      </c>
    </row>
    <row r="299">
      <c r="B299" s="21">
        <f>IF(AND(C299&lt;&gt;"", J299&lt;&gt;""), HYPERLINK("#'" &amp; C299 &amp; "'!" &amp; J299, J299), "")</f>
        <v/>
      </c>
    </row>
    <row r="300">
      <c r="B300" s="21">
        <f>IF(AND(C300&lt;&gt;"", J300&lt;&gt;""), HYPERLINK("#'" &amp; C300 &amp; "'!" &amp; J300, J300), "")</f>
        <v/>
      </c>
    </row>
    <row r="301">
      <c r="B301" s="21">
        <f>IF(AND(C301&lt;&gt;"", J301&lt;&gt;""), HYPERLINK("#'" &amp; C301 &amp; "'!" &amp; J301, J301), "")</f>
        <v/>
      </c>
    </row>
    <row r="302">
      <c r="B302" s="21">
        <f>IF(AND(C302&lt;&gt;"", J302&lt;&gt;""), HYPERLINK("#'" &amp; C302 &amp; "'!" &amp; J302, J302), "")</f>
        <v/>
      </c>
    </row>
    <row r="303">
      <c r="B303" s="21">
        <f>IF(AND(C303&lt;&gt;"", J303&lt;&gt;""), HYPERLINK("#'" &amp; C303 &amp; "'!" &amp; J303, J303), "")</f>
        <v/>
      </c>
    </row>
    <row r="304">
      <c r="B304" s="21">
        <f>IF(AND(C304&lt;&gt;"", J304&lt;&gt;""), HYPERLINK("#'" &amp; C304 &amp; "'!" &amp; J304, J304), "")</f>
        <v/>
      </c>
    </row>
    <row r="305">
      <c r="B305" s="21">
        <f>IF(AND(C305&lt;&gt;"", J305&lt;&gt;""), HYPERLINK("#'" &amp; C305 &amp; "'!" &amp; J305, J305), "")</f>
        <v/>
      </c>
    </row>
    <row r="306">
      <c r="B306" s="21">
        <f>IF(AND(C306&lt;&gt;"", J306&lt;&gt;""), HYPERLINK("#'" &amp; C306 &amp; "'!" &amp; J306, J306), "")</f>
        <v/>
      </c>
    </row>
    <row r="307">
      <c r="B307" s="21">
        <f>IF(AND(C307&lt;&gt;"", J307&lt;&gt;""), HYPERLINK("#'" &amp; C307 &amp; "'!" &amp; J307, J307), "")</f>
        <v/>
      </c>
    </row>
    <row r="308">
      <c r="B308" s="21">
        <f>IF(AND(C308&lt;&gt;"", J308&lt;&gt;""), HYPERLINK("#'" &amp; C308 &amp; "'!" &amp; J308, J308), "")</f>
        <v/>
      </c>
    </row>
    <row r="309">
      <c r="B309" s="21">
        <f>IF(AND(C309&lt;&gt;"", J309&lt;&gt;""), HYPERLINK("#'" &amp; C309 &amp; "'!" &amp; J309, J309), "")</f>
        <v/>
      </c>
    </row>
    <row r="310">
      <c r="B310" s="21">
        <f>IF(AND(C310&lt;&gt;"", J310&lt;&gt;""), HYPERLINK("#'" &amp; C310 &amp; "'!" &amp; J310, J310), "")</f>
        <v/>
      </c>
    </row>
    <row r="311">
      <c r="B311" s="21">
        <f>IF(AND(C311&lt;&gt;"", J311&lt;&gt;""), HYPERLINK("#'" &amp; C311 &amp; "'!" &amp; J311, J311), "")</f>
        <v/>
      </c>
    </row>
    <row r="312">
      <c r="B312" s="21">
        <f>IF(AND(C312&lt;&gt;"", J312&lt;&gt;""), HYPERLINK("#'" &amp; C312 &amp; "'!" &amp; J312, J312), "")</f>
        <v/>
      </c>
    </row>
    <row r="313">
      <c r="B313" s="21">
        <f>IF(AND(C313&lt;&gt;"", J313&lt;&gt;""), HYPERLINK("#'" &amp; C313 &amp; "'!" &amp; J313, J313), "")</f>
        <v/>
      </c>
    </row>
    <row r="314">
      <c r="B314" s="21">
        <f>IF(AND(C314&lt;&gt;"", J314&lt;&gt;""), HYPERLINK("#'" &amp; C314 &amp; "'!" &amp; J314, J314), "")</f>
        <v/>
      </c>
    </row>
    <row r="315">
      <c r="B315" s="21">
        <f>IF(AND(C315&lt;&gt;"", J315&lt;&gt;""), HYPERLINK("#'" &amp; C315 &amp; "'!" &amp; J315, J315), "")</f>
        <v/>
      </c>
    </row>
    <row r="316">
      <c r="B316" s="21">
        <f>IF(AND(C316&lt;&gt;"", J316&lt;&gt;""), HYPERLINK("#'" &amp; C316 &amp; "'!" &amp; J316, J316), "")</f>
        <v/>
      </c>
    </row>
    <row r="317">
      <c r="B317" s="21">
        <f>IF(AND(C317&lt;&gt;"", J317&lt;&gt;""), HYPERLINK("#'" &amp; C317 &amp; "'!" &amp; J317, J317), "")</f>
        <v/>
      </c>
    </row>
    <row r="318">
      <c r="B318" s="21">
        <f>IF(AND(C318&lt;&gt;"", J318&lt;&gt;""), HYPERLINK("#'" &amp; C318 &amp; "'!" &amp; J318, J318), "")</f>
        <v/>
      </c>
    </row>
    <row r="319">
      <c r="B319" s="21">
        <f>IF(AND(C319&lt;&gt;"", J319&lt;&gt;""), HYPERLINK("#'" &amp; C319 &amp; "'!" &amp; J319, J319), "")</f>
        <v/>
      </c>
    </row>
    <row r="320">
      <c r="B320" s="21">
        <f>IF(AND(C320&lt;&gt;"", J320&lt;&gt;""), HYPERLINK("#'" &amp; C320 &amp; "'!" &amp; J320, J320), "")</f>
        <v/>
      </c>
    </row>
    <row r="321">
      <c r="B321" s="21">
        <f>IF(AND(C321&lt;&gt;"", J321&lt;&gt;""), HYPERLINK("#'" &amp; C321 &amp; "'!" &amp; J321, J321), "")</f>
        <v/>
      </c>
    </row>
    <row r="322">
      <c r="B322" s="21">
        <f>IF(AND(C322&lt;&gt;"", J322&lt;&gt;""), HYPERLINK("#'" &amp; C322 &amp; "'!" &amp; J322, J322), "")</f>
        <v/>
      </c>
    </row>
    <row r="323">
      <c r="B323" s="21">
        <f>IF(AND(C323&lt;&gt;"", J323&lt;&gt;""), HYPERLINK("#'" &amp; C323 &amp; "'!" &amp; J323, J323), "")</f>
        <v/>
      </c>
    </row>
    <row r="324">
      <c r="B324" s="21">
        <f>IF(AND(C324&lt;&gt;"", J324&lt;&gt;""), HYPERLINK("#'" &amp; C324 &amp; "'!" &amp; J324, J324), "")</f>
        <v/>
      </c>
    </row>
    <row r="325">
      <c r="B325" s="21">
        <f>IF(AND(C325&lt;&gt;"", J325&lt;&gt;""), HYPERLINK("#'" &amp; C325 &amp; "'!" &amp; J325, J325), "")</f>
        <v/>
      </c>
    </row>
    <row r="326">
      <c r="B326" s="21">
        <f>IF(AND(C326&lt;&gt;"", J326&lt;&gt;""), HYPERLINK("#'" &amp; C326 &amp; "'!" &amp; J326, J326), "")</f>
        <v/>
      </c>
    </row>
    <row r="327">
      <c r="B327" s="21">
        <f>IF(AND(C327&lt;&gt;"", J327&lt;&gt;""), HYPERLINK("#'" &amp; C327 &amp; "'!" &amp; J327, J327), "")</f>
        <v/>
      </c>
    </row>
    <row r="328">
      <c r="B328" s="21">
        <f>IF(AND(C328&lt;&gt;"", J328&lt;&gt;""), HYPERLINK("#'" &amp; C328 &amp; "'!" &amp; J328, J328), "")</f>
        <v/>
      </c>
    </row>
    <row r="329">
      <c r="B329" s="21">
        <f>IF(AND(C329&lt;&gt;"", J329&lt;&gt;""), HYPERLINK("#'" &amp; C329 &amp; "'!" &amp; J329, J329), "")</f>
        <v/>
      </c>
    </row>
    <row r="330">
      <c r="B330" s="21">
        <f>IF(AND(C330&lt;&gt;"", J330&lt;&gt;""), HYPERLINK("#'" &amp; C330 &amp; "'!" &amp; J330, J330), "")</f>
        <v/>
      </c>
    </row>
    <row r="331">
      <c r="B331" s="21">
        <f>IF(AND(C331&lt;&gt;"", J331&lt;&gt;""), HYPERLINK("#'" &amp; C331 &amp; "'!" &amp; J331, J331), "")</f>
        <v/>
      </c>
    </row>
    <row r="332">
      <c r="B332" s="21">
        <f>IF(AND(C332&lt;&gt;"", J332&lt;&gt;""), HYPERLINK("#'" &amp; C332 &amp; "'!" &amp; J332, J332), "")</f>
        <v/>
      </c>
    </row>
    <row r="333">
      <c r="B333" s="21">
        <f>IF(AND(C333&lt;&gt;"", J333&lt;&gt;""), HYPERLINK("#'" &amp; C333 &amp; "'!" &amp; J333, J333), "")</f>
        <v/>
      </c>
    </row>
    <row r="334">
      <c r="B334" s="21">
        <f>IF(AND(C334&lt;&gt;"", J334&lt;&gt;""), HYPERLINK("#'" &amp; C334 &amp; "'!" &amp; J334, J334), "")</f>
        <v/>
      </c>
    </row>
    <row r="335">
      <c r="B335" s="21">
        <f>IF(AND(C335&lt;&gt;"", J335&lt;&gt;""), HYPERLINK("#'" &amp; C335 &amp; "'!" &amp; J335, J335), "")</f>
        <v/>
      </c>
    </row>
    <row r="336">
      <c r="B336" s="21">
        <f>IF(AND(C336&lt;&gt;"", J336&lt;&gt;""), HYPERLINK("#'" &amp; C336 &amp; "'!" &amp; J336, J336), "")</f>
        <v/>
      </c>
    </row>
    <row r="337">
      <c r="B337" s="21">
        <f>IF(AND(C337&lt;&gt;"", J337&lt;&gt;""), HYPERLINK("#'" &amp; C337 &amp; "'!" &amp; J337, J337), "")</f>
        <v/>
      </c>
    </row>
    <row r="338">
      <c r="B338" s="21">
        <f>IF(AND(C338&lt;&gt;"", J338&lt;&gt;""), HYPERLINK("#'" &amp; C338 &amp; "'!" &amp; J338, J338), "")</f>
        <v/>
      </c>
    </row>
    <row r="339">
      <c r="B339" s="21">
        <f>IF(AND(C339&lt;&gt;"", J339&lt;&gt;""), HYPERLINK("#'" &amp; C339 &amp; "'!" &amp; J339, J339), "")</f>
        <v/>
      </c>
    </row>
    <row r="340">
      <c r="B340" s="21">
        <f>IF(AND(C340&lt;&gt;"", J340&lt;&gt;""), HYPERLINK("#'" &amp; C340 &amp; "'!" &amp; J340, J340), "")</f>
        <v/>
      </c>
    </row>
    <row r="341">
      <c r="B341" s="21">
        <f>IF(AND(C341&lt;&gt;"", J341&lt;&gt;""), HYPERLINK("#'" &amp; C341 &amp; "'!" &amp; J341, J341), "")</f>
        <v/>
      </c>
    </row>
    <row r="342">
      <c r="B342" s="21">
        <f>IF(AND(C342&lt;&gt;"", J342&lt;&gt;""), HYPERLINK("#'" &amp; C342 &amp; "'!" &amp; J342, J342), "")</f>
        <v/>
      </c>
    </row>
    <row r="343">
      <c r="B343" s="21">
        <f>IF(AND(C343&lt;&gt;"", J343&lt;&gt;""), HYPERLINK("#'" &amp; C343 &amp; "'!" &amp; J343, J343), "")</f>
        <v/>
      </c>
    </row>
    <row r="344">
      <c r="B344" s="21">
        <f>IF(AND(C344&lt;&gt;"", J344&lt;&gt;""), HYPERLINK("#'" &amp; C344 &amp; "'!" &amp; J344, J344), "")</f>
        <v/>
      </c>
    </row>
    <row r="345">
      <c r="B345" s="21">
        <f>IF(AND(C345&lt;&gt;"", J345&lt;&gt;""), HYPERLINK("#'" &amp; C345 &amp; "'!" &amp; J345, J345), "")</f>
        <v/>
      </c>
    </row>
    <row r="346">
      <c r="B346" s="21">
        <f>IF(AND(C346&lt;&gt;"", J346&lt;&gt;""), HYPERLINK("#'" &amp; C346 &amp; "'!" &amp; J346, J346), "")</f>
        <v/>
      </c>
    </row>
    <row r="347">
      <c r="B347" s="21">
        <f>IF(AND(C347&lt;&gt;"", J347&lt;&gt;""), HYPERLINK("#'" &amp; C347 &amp; "'!" &amp; J347, J347), "")</f>
        <v/>
      </c>
    </row>
    <row r="348">
      <c r="B348" s="21">
        <f>IF(AND(C348&lt;&gt;"", J348&lt;&gt;""), HYPERLINK("#'" &amp; C348 &amp; "'!" &amp; J348, J348), "")</f>
        <v/>
      </c>
    </row>
    <row r="349">
      <c r="B349" s="21">
        <f>IF(AND(C349&lt;&gt;"", J349&lt;&gt;""), HYPERLINK("#'" &amp; C349 &amp; "'!" &amp; J349, J349), "")</f>
        <v/>
      </c>
    </row>
    <row r="350">
      <c r="B350" s="21">
        <f>IF(AND(C350&lt;&gt;"", J350&lt;&gt;""), HYPERLINK("#'" &amp; C350 &amp; "'!" &amp; J350, J350), "")</f>
        <v/>
      </c>
    </row>
    <row r="351">
      <c r="B351" s="21">
        <f>IF(AND(C351&lt;&gt;"", J351&lt;&gt;""), HYPERLINK("#'" &amp; C351 &amp; "'!" &amp; J351, J351), "")</f>
        <v/>
      </c>
    </row>
    <row r="352">
      <c r="B352" s="21">
        <f>IF(AND(C352&lt;&gt;"", J352&lt;&gt;""), HYPERLINK("#'" &amp; C352 &amp; "'!" &amp; J352, J352), "")</f>
        <v/>
      </c>
    </row>
    <row r="353">
      <c r="B353" s="21">
        <f>IF(AND(C353&lt;&gt;"", J353&lt;&gt;""), HYPERLINK("#'" &amp; C353 &amp; "'!" &amp; J353, J353), "")</f>
        <v/>
      </c>
    </row>
    <row r="354">
      <c r="B354" s="21">
        <f>IF(AND(C354&lt;&gt;"", J354&lt;&gt;""), HYPERLINK("#'" &amp; C354 &amp; "'!" &amp; J354, J354), "")</f>
        <v/>
      </c>
    </row>
    <row r="355">
      <c r="B355" s="21">
        <f>IF(AND(C355&lt;&gt;"", J355&lt;&gt;""), HYPERLINK("#'" &amp; C355 &amp; "'!" &amp; J355, J355), "")</f>
        <v/>
      </c>
    </row>
    <row r="356">
      <c r="B356" s="21">
        <f>IF(AND(C356&lt;&gt;"", J356&lt;&gt;""), HYPERLINK("#'" &amp; C356 &amp; "'!" &amp; J356, J356), "")</f>
        <v/>
      </c>
    </row>
    <row r="357">
      <c r="B357" s="21">
        <f>IF(AND(C357&lt;&gt;"", J357&lt;&gt;""), HYPERLINK("#'" &amp; C357 &amp; "'!" &amp; J357, J357), "")</f>
        <v/>
      </c>
    </row>
    <row r="358">
      <c r="B358" s="21">
        <f>IF(AND(C358&lt;&gt;"", J358&lt;&gt;""), HYPERLINK("#'" &amp; C358 &amp; "'!" &amp; J358, J358), "")</f>
        <v/>
      </c>
    </row>
    <row r="359">
      <c r="B359" s="21">
        <f>IF(AND(C359&lt;&gt;"", J359&lt;&gt;""), HYPERLINK("#'" &amp; C359 &amp; "'!" &amp; J359, J359), "")</f>
        <v/>
      </c>
    </row>
    <row r="360">
      <c r="B360" s="21">
        <f>IF(AND(C360&lt;&gt;"", J360&lt;&gt;""), HYPERLINK("#'" &amp; C360 &amp; "'!" &amp; J360, J360), "")</f>
        <v/>
      </c>
    </row>
    <row r="361">
      <c r="B361" s="21">
        <f>IF(AND(C361&lt;&gt;"", J361&lt;&gt;""), HYPERLINK("#'" &amp; C361 &amp; "'!" &amp; J361, J361), "")</f>
        <v/>
      </c>
    </row>
    <row r="362">
      <c r="B362" s="21">
        <f>IF(AND(C362&lt;&gt;"", J362&lt;&gt;""), HYPERLINK("#'" &amp; C362 &amp; "'!" &amp; J362, J362), "")</f>
        <v/>
      </c>
    </row>
    <row r="363">
      <c r="B363" s="21">
        <f>IF(AND(C363&lt;&gt;"", J363&lt;&gt;""), HYPERLINK("#'" &amp; C363 &amp; "'!" &amp; J363, J363), "")</f>
        <v/>
      </c>
    </row>
    <row r="364">
      <c r="B364" s="21">
        <f>IF(AND(C364&lt;&gt;"", J364&lt;&gt;""), HYPERLINK("#'" &amp; C364 &amp; "'!" &amp; J364, J364), "")</f>
        <v/>
      </c>
    </row>
    <row r="365">
      <c r="B365" s="21">
        <f>IF(AND(C365&lt;&gt;"", J365&lt;&gt;""), HYPERLINK("#'" &amp; C365 &amp; "'!" &amp; J365, J365), "")</f>
        <v/>
      </c>
    </row>
    <row r="366">
      <c r="B366" s="21">
        <f>IF(AND(C366&lt;&gt;"", J366&lt;&gt;""), HYPERLINK("#'" &amp; C366 &amp; "'!" &amp; J366, J366), "")</f>
        <v/>
      </c>
    </row>
    <row r="367">
      <c r="B367" s="21">
        <f>IF(AND(C367&lt;&gt;"", J367&lt;&gt;""), HYPERLINK("#'" &amp; C367 &amp; "'!" &amp; J367, J367), "")</f>
        <v/>
      </c>
    </row>
    <row r="368">
      <c r="B368" s="21">
        <f>IF(AND(C368&lt;&gt;"", J368&lt;&gt;""), HYPERLINK("#'" &amp; C368 &amp; "'!" &amp; J368, J368), "")</f>
        <v/>
      </c>
    </row>
    <row r="369">
      <c r="B369" s="21">
        <f>IF(AND(C369&lt;&gt;"", J369&lt;&gt;""), HYPERLINK("#'" &amp; C369 &amp; "'!" &amp; J369, J369), "")</f>
        <v/>
      </c>
    </row>
    <row r="370">
      <c r="B370" s="21">
        <f>IF(AND(C370&lt;&gt;"", J370&lt;&gt;""), HYPERLINK("#'" &amp; C370 &amp; "'!" &amp; J370, J370), "")</f>
        <v/>
      </c>
    </row>
    <row r="371">
      <c r="B371" s="21">
        <f>IF(AND(C371&lt;&gt;"", J371&lt;&gt;""), HYPERLINK("#'" &amp; C371 &amp; "'!" &amp; J371, J371), "")</f>
        <v/>
      </c>
    </row>
    <row r="372">
      <c r="B372" s="21">
        <f>IF(AND(C372&lt;&gt;"", J372&lt;&gt;""), HYPERLINK("#'" &amp; C372 &amp; "'!" &amp; J372, J372), "")</f>
        <v/>
      </c>
    </row>
    <row r="373">
      <c r="B373" s="21">
        <f>IF(AND(C373&lt;&gt;"", J373&lt;&gt;""), HYPERLINK("#'" &amp; C373 &amp; "'!" &amp; J373, J373), "")</f>
        <v/>
      </c>
    </row>
    <row r="374">
      <c r="B374" s="21">
        <f>IF(AND(C374&lt;&gt;"", J374&lt;&gt;""), HYPERLINK("#'" &amp; C374 &amp; "'!" &amp; J374, J374), "")</f>
        <v/>
      </c>
    </row>
    <row r="375">
      <c r="B375" s="21">
        <f>IF(AND(C375&lt;&gt;"", J375&lt;&gt;""), HYPERLINK("#'" &amp; C375 &amp; "'!" &amp; J375, J375), "")</f>
        <v/>
      </c>
    </row>
    <row r="376">
      <c r="B376" s="21">
        <f>IF(AND(C376&lt;&gt;"", J376&lt;&gt;""), HYPERLINK("#'" &amp; C376 &amp; "'!" &amp; J376, J376), "")</f>
        <v/>
      </c>
    </row>
    <row r="377">
      <c r="B377" s="21">
        <f>IF(AND(C377&lt;&gt;"", J377&lt;&gt;""), HYPERLINK("#'" &amp; C377 &amp; "'!" &amp; J377, J377), "")</f>
        <v/>
      </c>
    </row>
    <row r="378">
      <c r="B378" s="21">
        <f>IF(AND(C378&lt;&gt;"", J378&lt;&gt;""), HYPERLINK("#'" &amp; C378 &amp; "'!" &amp; J378, J378), "")</f>
        <v/>
      </c>
    </row>
    <row r="379">
      <c r="B379" s="21">
        <f>IF(AND(C379&lt;&gt;"", J379&lt;&gt;""), HYPERLINK("#'" &amp; C379 &amp; "'!" &amp; J379, J379), "")</f>
        <v/>
      </c>
    </row>
    <row r="380">
      <c r="B380" s="21">
        <f>IF(AND(C380&lt;&gt;"", J380&lt;&gt;""), HYPERLINK("#'" &amp; C380 &amp; "'!" &amp; J380, J380), "")</f>
        <v/>
      </c>
    </row>
    <row r="381">
      <c r="B381" s="21">
        <f>IF(AND(C381&lt;&gt;"", J381&lt;&gt;""), HYPERLINK("#'" &amp; C381 &amp; "'!" &amp; J381, J381), "")</f>
        <v/>
      </c>
    </row>
    <row r="382">
      <c r="B382" s="21">
        <f>IF(AND(C382&lt;&gt;"", J382&lt;&gt;""), HYPERLINK("#'" &amp; C382 &amp; "'!" &amp; J382, J382), "")</f>
        <v/>
      </c>
    </row>
    <row r="383">
      <c r="B383" s="21">
        <f>IF(AND(C383&lt;&gt;"", J383&lt;&gt;""), HYPERLINK("#'" &amp; C383 &amp; "'!" &amp; J383, J383), "")</f>
        <v/>
      </c>
    </row>
    <row r="384">
      <c r="B384" s="21">
        <f>IF(AND(C384&lt;&gt;"", J384&lt;&gt;""), HYPERLINK("#'" &amp; C384 &amp; "'!" &amp; J384, J384), "")</f>
        <v/>
      </c>
    </row>
    <row r="385">
      <c r="B385" s="21">
        <f>IF(AND(C385&lt;&gt;"", J385&lt;&gt;""), HYPERLINK("#'" &amp; C385 &amp; "'!" &amp; J385, J385), "")</f>
        <v/>
      </c>
    </row>
    <row r="386">
      <c r="B386" s="21">
        <f>IF(AND(C386&lt;&gt;"", J386&lt;&gt;""), HYPERLINK("#'" &amp; C386 &amp; "'!" &amp; J386, J386), "")</f>
        <v/>
      </c>
    </row>
    <row r="387">
      <c r="B387" s="21">
        <f>IF(AND(C387&lt;&gt;"", J387&lt;&gt;""), HYPERLINK("#'" &amp; C387 &amp; "'!" &amp; J387, J387), "")</f>
        <v/>
      </c>
    </row>
    <row r="388">
      <c r="B388" s="21">
        <f>IF(AND(C388&lt;&gt;"", J388&lt;&gt;""), HYPERLINK("#'" &amp; C388 &amp; "'!" &amp; J388, J388), "")</f>
        <v/>
      </c>
    </row>
    <row r="389">
      <c r="B389" s="21">
        <f>IF(AND(C389&lt;&gt;"", J389&lt;&gt;""), HYPERLINK("#'" &amp; C389 &amp; "'!" &amp; J389, J389), "")</f>
        <v/>
      </c>
    </row>
    <row r="390">
      <c r="B390" s="21">
        <f>IF(AND(C390&lt;&gt;"", J390&lt;&gt;""), HYPERLINK("#'" &amp; C390 &amp; "'!" &amp; J390, J390), "")</f>
        <v/>
      </c>
    </row>
    <row r="391">
      <c r="B391" s="21">
        <f>IF(AND(C391&lt;&gt;"", J391&lt;&gt;""), HYPERLINK("#'" &amp; C391 &amp; "'!" &amp; J391, J391), "")</f>
        <v/>
      </c>
    </row>
    <row r="392">
      <c r="B392" s="21">
        <f>IF(AND(C392&lt;&gt;"", J392&lt;&gt;""), HYPERLINK("#'" &amp; C392 &amp; "'!" &amp; J392, J392), "")</f>
        <v/>
      </c>
    </row>
    <row r="393">
      <c r="B393" s="21">
        <f>IF(AND(C393&lt;&gt;"", J393&lt;&gt;""), HYPERLINK("#'" &amp; C393 &amp; "'!" &amp; J393, J393), "")</f>
        <v/>
      </c>
    </row>
    <row r="394">
      <c r="B394" s="21">
        <f>IF(AND(C394&lt;&gt;"", J394&lt;&gt;""), HYPERLINK("#'" &amp; C394 &amp; "'!" &amp; J394, J394), "")</f>
        <v/>
      </c>
    </row>
    <row r="395">
      <c r="B395" s="21">
        <f>IF(AND(C395&lt;&gt;"", J395&lt;&gt;""), HYPERLINK("#'" &amp; C395 &amp; "'!" &amp; J395, J395), "")</f>
        <v/>
      </c>
    </row>
    <row r="396">
      <c r="B396" s="21">
        <f>IF(AND(C396&lt;&gt;"", J396&lt;&gt;""), HYPERLINK("#'" &amp; C396 &amp; "'!" &amp; J396, J396), "")</f>
        <v/>
      </c>
    </row>
    <row r="397">
      <c r="B397" s="21">
        <f>IF(AND(C397&lt;&gt;"", J397&lt;&gt;""), HYPERLINK("#'" &amp; C397 &amp; "'!" &amp; J397, J397), "")</f>
        <v/>
      </c>
    </row>
    <row r="398">
      <c r="B398" s="21">
        <f>IF(AND(C398&lt;&gt;"", J398&lt;&gt;""), HYPERLINK("#'" &amp; C398 &amp; "'!" &amp; J398, J398), "")</f>
        <v/>
      </c>
    </row>
    <row r="399">
      <c r="B399" s="21">
        <f>IF(AND(C399&lt;&gt;"", J399&lt;&gt;""), HYPERLINK("#'" &amp; C399 &amp; "'!" &amp; J399, J399), "")</f>
        <v/>
      </c>
    </row>
    <row r="400">
      <c r="B400" s="21">
        <f>IF(AND(C400&lt;&gt;"", J400&lt;&gt;""), HYPERLINK("#'" &amp; C400 &amp; "'!" &amp; J400, J400), "")</f>
        <v/>
      </c>
    </row>
    <row r="401">
      <c r="B401" s="21">
        <f>IF(AND(C401&lt;&gt;"", J401&lt;&gt;""), HYPERLINK("#'" &amp; C401 &amp; "'!" &amp; J401, J401), "")</f>
        <v/>
      </c>
    </row>
    <row r="402">
      <c r="B402" s="21">
        <f>IF(AND(C402&lt;&gt;"", J402&lt;&gt;""), HYPERLINK("#'" &amp; C402 &amp; "'!" &amp; J402, J402), "")</f>
        <v/>
      </c>
    </row>
    <row r="403">
      <c r="B403" s="21">
        <f>IF(AND(C403&lt;&gt;"", J403&lt;&gt;""), HYPERLINK("#'" &amp; C403 &amp; "'!" &amp; J403, J403), "")</f>
        <v/>
      </c>
    </row>
    <row r="404">
      <c r="B404" s="21">
        <f>IF(AND(C404&lt;&gt;"", J404&lt;&gt;""), HYPERLINK("#'" &amp; C404 &amp; "'!" &amp; J404, J404), "")</f>
        <v/>
      </c>
    </row>
    <row r="405">
      <c r="B405" s="21">
        <f>IF(AND(C405&lt;&gt;"", J405&lt;&gt;""), HYPERLINK("#'" &amp; C405 &amp; "'!" &amp; J405, J405), "")</f>
        <v/>
      </c>
    </row>
    <row r="406">
      <c r="B406" s="21">
        <f>IF(AND(C406&lt;&gt;"", J406&lt;&gt;""), HYPERLINK("#'" &amp; C406 &amp; "'!" &amp; J406, J406), "")</f>
        <v/>
      </c>
    </row>
    <row r="407">
      <c r="B407" s="21">
        <f>IF(AND(C407&lt;&gt;"", J407&lt;&gt;""), HYPERLINK("#'" &amp; C407 &amp; "'!" &amp; J407, J407), "")</f>
        <v/>
      </c>
    </row>
    <row r="408">
      <c r="B408" s="21">
        <f>IF(AND(C408&lt;&gt;"", J408&lt;&gt;""), HYPERLINK("#'" &amp; C408 &amp; "'!" &amp; J408, J408), "")</f>
        <v/>
      </c>
    </row>
    <row r="409">
      <c r="B409" s="21">
        <f>IF(AND(C409&lt;&gt;"", J409&lt;&gt;""), HYPERLINK("#'" &amp; C409 &amp; "'!" &amp; J409, J409), "")</f>
        <v/>
      </c>
    </row>
    <row r="410">
      <c r="B410" s="21">
        <f>IF(AND(C410&lt;&gt;"", J410&lt;&gt;""), HYPERLINK("#'" &amp; C410 &amp; "'!" &amp; J410, J410), "")</f>
        <v/>
      </c>
    </row>
    <row r="411">
      <c r="B411" s="21">
        <f>IF(AND(C411&lt;&gt;"", J411&lt;&gt;""), HYPERLINK("#'" &amp; C411 &amp; "'!" &amp; J411, J411), "")</f>
        <v/>
      </c>
    </row>
    <row r="412">
      <c r="B412" s="21">
        <f>IF(AND(C412&lt;&gt;"", J412&lt;&gt;""), HYPERLINK("#'" &amp; C412 &amp; "'!" &amp; J412, J412), "")</f>
        <v/>
      </c>
    </row>
    <row r="413">
      <c r="B413" s="21">
        <f>IF(AND(C413&lt;&gt;"", J413&lt;&gt;""), HYPERLINK("#'" &amp; C413 &amp; "'!" &amp; J413, J413), "")</f>
        <v/>
      </c>
    </row>
    <row r="414">
      <c r="B414" s="21">
        <f>IF(AND(C414&lt;&gt;"", J414&lt;&gt;""), HYPERLINK("#'" &amp; C414 &amp; "'!" &amp; J414, J414), "")</f>
        <v/>
      </c>
    </row>
    <row r="415">
      <c r="B415" s="21">
        <f>IF(AND(C415&lt;&gt;"", J415&lt;&gt;""), HYPERLINK("#'" &amp; C415 &amp; "'!" &amp; J415, J415), "")</f>
        <v/>
      </c>
    </row>
    <row r="416">
      <c r="B416" s="21">
        <f>IF(AND(C416&lt;&gt;"", J416&lt;&gt;""), HYPERLINK("#'" &amp; C416 &amp; "'!" &amp; J416, J416), "")</f>
        <v/>
      </c>
    </row>
    <row r="417">
      <c r="B417" s="21">
        <f>IF(AND(C417&lt;&gt;"", J417&lt;&gt;""), HYPERLINK("#'" &amp; C417 &amp; "'!" &amp; J417, J417), "")</f>
        <v/>
      </c>
    </row>
    <row r="418">
      <c r="B418" s="21">
        <f>IF(AND(C418&lt;&gt;"", J418&lt;&gt;""), HYPERLINK("#'" &amp; C418 &amp; "'!" &amp; J418, J418), "")</f>
        <v/>
      </c>
    </row>
    <row r="419">
      <c r="B419" s="21">
        <f>IF(AND(C419&lt;&gt;"", J419&lt;&gt;""), HYPERLINK("#'" &amp; C419 &amp; "'!" &amp; J419, J419), "")</f>
        <v/>
      </c>
    </row>
    <row r="420">
      <c r="B420" s="21">
        <f>IF(AND(C420&lt;&gt;"", J420&lt;&gt;""), HYPERLINK("#'" &amp; C420 &amp; "'!" &amp; J420, J420), "")</f>
        <v/>
      </c>
    </row>
    <row r="421">
      <c r="B421" s="21">
        <f>IF(AND(C421&lt;&gt;"", J421&lt;&gt;""), HYPERLINK("#'" &amp; C421 &amp; "'!" &amp; J421, J421), "")</f>
        <v/>
      </c>
    </row>
    <row r="422">
      <c r="B422" s="21">
        <f>IF(AND(C422&lt;&gt;"", J422&lt;&gt;""), HYPERLINK("#'" &amp; C422 &amp; "'!" &amp; J422, J422), "")</f>
        <v/>
      </c>
    </row>
    <row r="423">
      <c r="B423" s="21">
        <f>IF(AND(C423&lt;&gt;"", J423&lt;&gt;""), HYPERLINK("#'" &amp; C423 &amp; "'!" &amp; J423, J423), "")</f>
        <v/>
      </c>
    </row>
    <row r="424">
      <c r="B424" s="21">
        <f>IF(AND(C424&lt;&gt;"", J424&lt;&gt;""), HYPERLINK("#'" &amp; C424 &amp; "'!" &amp; J424, J424), "")</f>
        <v/>
      </c>
    </row>
    <row r="425">
      <c r="B425" s="21">
        <f>IF(AND(C425&lt;&gt;"", J425&lt;&gt;""), HYPERLINK("#'" &amp; C425 &amp; "'!" &amp; J425, J425), "")</f>
        <v/>
      </c>
    </row>
    <row r="426">
      <c r="B426" s="21">
        <f>IF(AND(C426&lt;&gt;"", J426&lt;&gt;""), HYPERLINK("#'" &amp; C426 &amp; "'!" &amp; J426, J426), "")</f>
        <v/>
      </c>
    </row>
    <row r="427">
      <c r="B427" s="21">
        <f>IF(AND(C427&lt;&gt;"", J427&lt;&gt;""), HYPERLINK("#'" &amp; C427 &amp; "'!" &amp; J427, J427), "")</f>
        <v/>
      </c>
    </row>
    <row r="428">
      <c r="B428" s="21">
        <f>IF(AND(C428&lt;&gt;"", J428&lt;&gt;""), HYPERLINK("#'" &amp; C428 &amp; "'!" &amp; J428, J428), "")</f>
        <v/>
      </c>
    </row>
    <row r="429">
      <c r="B429" s="21">
        <f>IF(AND(C429&lt;&gt;"", J429&lt;&gt;""), HYPERLINK("#'" &amp; C429 &amp; "'!" &amp; J429, J429), "")</f>
        <v/>
      </c>
    </row>
    <row r="430">
      <c r="B430" s="21">
        <f>IF(AND(C430&lt;&gt;"", J430&lt;&gt;""), HYPERLINK("#'" &amp; C430 &amp; "'!" &amp; J430, J430), "")</f>
        <v/>
      </c>
    </row>
    <row r="431">
      <c r="B431" s="21">
        <f>IF(AND(C431&lt;&gt;"", J431&lt;&gt;""), HYPERLINK("#'" &amp; C431 &amp; "'!" &amp; J431, J431), "")</f>
        <v/>
      </c>
    </row>
    <row r="432">
      <c r="B432" s="21">
        <f>IF(AND(C432&lt;&gt;"", J432&lt;&gt;""), HYPERLINK("#'" &amp; C432 &amp; "'!" &amp; J432, J432), "")</f>
        <v/>
      </c>
    </row>
    <row r="433">
      <c r="B433" s="21">
        <f>IF(AND(C433&lt;&gt;"", J433&lt;&gt;""), HYPERLINK("#'" &amp; C433 &amp; "'!" &amp; J433, J433), "")</f>
        <v/>
      </c>
    </row>
    <row r="434">
      <c r="B434" s="21">
        <f>IF(AND(C434&lt;&gt;"", J434&lt;&gt;""), HYPERLINK("#'" &amp; C434 &amp; "'!" &amp; J434, J434), "")</f>
        <v/>
      </c>
    </row>
    <row r="435">
      <c r="B435" s="21">
        <f>IF(AND(C435&lt;&gt;"", J435&lt;&gt;""), HYPERLINK("#'" &amp; C435 &amp; "'!" &amp; J435, J435), "")</f>
        <v/>
      </c>
    </row>
    <row r="436">
      <c r="B436" s="21">
        <f>IF(AND(C436&lt;&gt;"", J436&lt;&gt;""), HYPERLINK("#'" &amp; C436 &amp; "'!" &amp; J436, J436), "")</f>
        <v/>
      </c>
    </row>
    <row r="437">
      <c r="B437" s="21">
        <f>IF(AND(C437&lt;&gt;"", J437&lt;&gt;""), HYPERLINK("#'" &amp; C437 &amp; "'!" &amp; J437, J437), "")</f>
        <v/>
      </c>
    </row>
    <row r="438">
      <c r="B438" s="21">
        <f>IF(AND(C438&lt;&gt;"", J438&lt;&gt;""), HYPERLINK("#'" &amp; C438 &amp; "'!" &amp; J438, J438), "")</f>
        <v/>
      </c>
    </row>
    <row r="439">
      <c r="B439" s="21">
        <f>IF(AND(C439&lt;&gt;"", J439&lt;&gt;""), HYPERLINK("#'" &amp; C439 &amp; "'!" &amp; J439, J439), "")</f>
        <v/>
      </c>
    </row>
    <row r="440">
      <c r="B440" s="21">
        <f>IF(AND(C440&lt;&gt;"", J440&lt;&gt;""), HYPERLINK("#'" &amp; C440 &amp; "'!" &amp; J440, J440), "")</f>
        <v/>
      </c>
    </row>
    <row r="441">
      <c r="B441" s="21">
        <f>IF(AND(C441&lt;&gt;"", J441&lt;&gt;""), HYPERLINK("#'" &amp; C441 &amp; "'!" &amp; J441, J441), "")</f>
        <v/>
      </c>
    </row>
    <row r="442">
      <c r="B442" s="21">
        <f>IF(AND(C442&lt;&gt;"", J442&lt;&gt;""), HYPERLINK("#'" &amp; C442 &amp; "'!" &amp; J442, J442), "")</f>
        <v/>
      </c>
    </row>
    <row r="443">
      <c r="B443" s="21">
        <f>IF(AND(C443&lt;&gt;"", J443&lt;&gt;""), HYPERLINK("#'" &amp; C443 &amp; "'!" &amp; J443, J443), "")</f>
        <v/>
      </c>
    </row>
    <row r="444">
      <c r="B444" s="21">
        <f>IF(AND(C444&lt;&gt;"", J444&lt;&gt;""), HYPERLINK("#'" &amp; C444 &amp; "'!" &amp; J444, J444), "")</f>
        <v/>
      </c>
    </row>
    <row r="445">
      <c r="B445" s="21">
        <f>IF(AND(C445&lt;&gt;"", J445&lt;&gt;""), HYPERLINK("#'" &amp; C445 &amp; "'!" &amp; J445, J445), "")</f>
        <v/>
      </c>
    </row>
    <row r="446">
      <c r="B446" s="21">
        <f>IF(AND(C446&lt;&gt;"", J446&lt;&gt;""), HYPERLINK("#'" &amp; C446 &amp; "'!" &amp; J446, J446), "")</f>
        <v/>
      </c>
    </row>
    <row r="447">
      <c r="B447" s="21">
        <f>IF(AND(C447&lt;&gt;"", J447&lt;&gt;""), HYPERLINK("#'" &amp; C447 &amp; "'!" &amp; J447, J447), "")</f>
        <v/>
      </c>
    </row>
    <row r="448">
      <c r="B448" s="21">
        <f>IF(AND(C448&lt;&gt;"", J448&lt;&gt;""), HYPERLINK("#'" &amp; C448 &amp; "'!" &amp; J448, J448), "")</f>
        <v/>
      </c>
    </row>
    <row r="449">
      <c r="B449" s="21">
        <f>IF(AND(C449&lt;&gt;"", J449&lt;&gt;""), HYPERLINK("#'" &amp; C449 &amp; "'!" &amp; J449, J449), "")</f>
        <v/>
      </c>
    </row>
    <row r="450">
      <c r="B450" s="21">
        <f>IF(AND(C450&lt;&gt;"", J450&lt;&gt;""), HYPERLINK("#'" &amp; C450 &amp; "'!" &amp; J450, J450), "")</f>
        <v/>
      </c>
    </row>
    <row r="451">
      <c r="B451" s="21">
        <f>IF(AND(C451&lt;&gt;"", J451&lt;&gt;""), HYPERLINK("#'" &amp; C451 &amp; "'!" &amp; J451, J451), "")</f>
        <v/>
      </c>
    </row>
    <row r="452">
      <c r="B452" s="21">
        <f>IF(AND(C452&lt;&gt;"", J452&lt;&gt;""), HYPERLINK("#'" &amp; C452 &amp; "'!" &amp; J452, J452), "")</f>
        <v/>
      </c>
    </row>
    <row r="453">
      <c r="B453" s="21">
        <f>IF(AND(C453&lt;&gt;"", J453&lt;&gt;""), HYPERLINK("#'" &amp; C453 &amp; "'!" &amp; J453, J453), "")</f>
        <v/>
      </c>
    </row>
    <row r="454">
      <c r="B454" s="21">
        <f>IF(AND(C454&lt;&gt;"", J454&lt;&gt;""), HYPERLINK("#'" &amp; C454 &amp; "'!" &amp; J454, J454), "")</f>
        <v/>
      </c>
    </row>
    <row r="455">
      <c r="B455" s="21">
        <f>IF(AND(C455&lt;&gt;"", J455&lt;&gt;""), HYPERLINK("#'" &amp; C455 &amp; "'!" &amp; J455, J455), "")</f>
        <v/>
      </c>
    </row>
    <row r="456">
      <c r="B456" s="21">
        <f>IF(AND(C456&lt;&gt;"", J456&lt;&gt;""), HYPERLINK("#'" &amp; C456 &amp; "'!" &amp; J456, J456), "")</f>
        <v/>
      </c>
    </row>
    <row r="457">
      <c r="B457" s="21">
        <f>IF(AND(C457&lt;&gt;"", J457&lt;&gt;""), HYPERLINK("#'" &amp; C457 &amp; "'!" &amp; J457, J457), "")</f>
        <v/>
      </c>
    </row>
    <row r="458">
      <c r="B458" s="21">
        <f>IF(AND(C458&lt;&gt;"", J458&lt;&gt;""), HYPERLINK("#'" &amp; C458 &amp; "'!" &amp; J458, J458), "")</f>
        <v/>
      </c>
    </row>
    <row r="459">
      <c r="B459" s="21">
        <f>IF(AND(C459&lt;&gt;"", J459&lt;&gt;""), HYPERLINK("#'" &amp; C459 &amp; "'!" &amp; J459, J459), "")</f>
        <v/>
      </c>
    </row>
    <row r="460">
      <c r="B460" s="21">
        <f>IF(AND(C460&lt;&gt;"", J460&lt;&gt;""), HYPERLINK("#'" &amp; C460 &amp; "'!" &amp; J460, J460), "")</f>
        <v/>
      </c>
    </row>
    <row r="461">
      <c r="B461" s="21">
        <f>IF(AND(C461&lt;&gt;"", J461&lt;&gt;""), HYPERLINK("#'" &amp; C461 &amp; "'!" &amp; J461, J461), "")</f>
        <v/>
      </c>
    </row>
    <row r="462">
      <c r="B462" s="21">
        <f>IF(AND(C462&lt;&gt;"", J462&lt;&gt;""), HYPERLINK("#'" &amp; C462 &amp; "'!" &amp; J462, J462), "")</f>
        <v/>
      </c>
    </row>
    <row r="463">
      <c r="B463" s="21">
        <f>IF(AND(C463&lt;&gt;"", J463&lt;&gt;""), HYPERLINK("#'" &amp; C463 &amp; "'!" &amp; J463, J463), "")</f>
        <v/>
      </c>
    </row>
    <row r="464">
      <c r="B464" s="21">
        <f>IF(AND(C464&lt;&gt;"", J464&lt;&gt;""), HYPERLINK("#'" &amp; C464 &amp; "'!" &amp; J464, J464), "")</f>
        <v/>
      </c>
    </row>
    <row r="465">
      <c r="B465" s="21">
        <f>IF(AND(C465&lt;&gt;"", J465&lt;&gt;""), HYPERLINK("#'" &amp; C465 &amp; "'!" &amp; J465, J465), "")</f>
        <v/>
      </c>
    </row>
    <row r="466">
      <c r="B466" s="21">
        <f>IF(AND(C466&lt;&gt;"", J466&lt;&gt;""), HYPERLINK("#'" &amp; C466 &amp; "'!" &amp; J466, J466), "")</f>
        <v/>
      </c>
    </row>
    <row r="467">
      <c r="B467" s="21">
        <f>IF(AND(C467&lt;&gt;"", J467&lt;&gt;""), HYPERLINK("#'" &amp; C467 &amp; "'!" &amp; J467, J467), "")</f>
        <v/>
      </c>
    </row>
    <row r="468">
      <c r="B468" s="21">
        <f>IF(AND(C468&lt;&gt;"", J468&lt;&gt;""), HYPERLINK("#'" &amp; C468 &amp; "'!" &amp; J468, J468), "")</f>
        <v/>
      </c>
    </row>
    <row r="469">
      <c r="B469" s="21">
        <f>IF(AND(C469&lt;&gt;"", J469&lt;&gt;""), HYPERLINK("#'" &amp; C469 &amp; "'!" &amp; J469, J469), "")</f>
        <v/>
      </c>
    </row>
    <row r="470">
      <c r="B470" s="21">
        <f>IF(AND(C470&lt;&gt;"", J470&lt;&gt;""), HYPERLINK("#'" &amp; C470 &amp; "'!" &amp; J470, J470), "")</f>
        <v/>
      </c>
    </row>
    <row r="471">
      <c r="B471" s="21">
        <f>IF(AND(C471&lt;&gt;"", J471&lt;&gt;""), HYPERLINK("#'" &amp; C471 &amp; "'!" &amp; J471, J471), "")</f>
        <v/>
      </c>
    </row>
    <row r="472">
      <c r="B472" s="21">
        <f>IF(AND(C472&lt;&gt;"", J472&lt;&gt;""), HYPERLINK("#'" &amp; C472 &amp; "'!" &amp; J472, J472), "")</f>
        <v/>
      </c>
    </row>
    <row r="473">
      <c r="B473" s="21">
        <f>IF(AND(C473&lt;&gt;"", J473&lt;&gt;""), HYPERLINK("#'" &amp; C473 &amp; "'!" &amp; J473, J473), "")</f>
        <v/>
      </c>
    </row>
    <row r="474">
      <c r="B474" s="21">
        <f>IF(AND(C474&lt;&gt;"", J474&lt;&gt;""), HYPERLINK("#'" &amp; C474 &amp; "'!" &amp; J474, J474), "")</f>
        <v/>
      </c>
    </row>
    <row r="475">
      <c r="B475" s="21">
        <f>IF(AND(C475&lt;&gt;"", J475&lt;&gt;""), HYPERLINK("#'" &amp; C475 &amp; "'!" &amp; J475, J475), "")</f>
        <v/>
      </c>
    </row>
    <row r="476">
      <c r="B476" s="21">
        <f>IF(AND(C476&lt;&gt;"", J476&lt;&gt;""), HYPERLINK("#'" &amp; C476 &amp; "'!" &amp; J476, J476), "")</f>
        <v/>
      </c>
    </row>
    <row r="477">
      <c r="B477" s="21">
        <f>IF(AND(C477&lt;&gt;"", J477&lt;&gt;""), HYPERLINK("#'" &amp; C477 &amp; "'!" &amp; J477, J477), "")</f>
        <v/>
      </c>
    </row>
    <row r="478">
      <c r="B478" s="21">
        <f>IF(AND(C478&lt;&gt;"", J478&lt;&gt;""), HYPERLINK("#'" &amp; C478 &amp; "'!" &amp; J478, J478), "")</f>
        <v/>
      </c>
    </row>
    <row r="479">
      <c r="B479" s="21">
        <f>IF(AND(C479&lt;&gt;"", J479&lt;&gt;""), HYPERLINK("#'" &amp; C479 &amp; "'!" &amp; J479, J479), "")</f>
        <v/>
      </c>
    </row>
    <row r="480">
      <c r="B480" s="21">
        <f>IF(AND(C480&lt;&gt;"", J480&lt;&gt;""), HYPERLINK("#'" &amp; C480 &amp; "'!" &amp; J480, J480), "")</f>
        <v/>
      </c>
    </row>
    <row r="481">
      <c r="B481" s="21">
        <f>IF(AND(C481&lt;&gt;"", J481&lt;&gt;""), HYPERLINK("#'" &amp; C481 &amp; "'!" &amp; J481, J481), "")</f>
        <v/>
      </c>
    </row>
    <row r="482">
      <c r="B482" s="21">
        <f>IF(AND(C482&lt;&gt;"", J482&lt;&gt;""), HYPERLINK("#'" &amp; C482 &amp; "'!" &amp; J482, J482), "")</f>
        <v/>
      </c>
    </row>
    <row r="483">
      <c r="B483" s="21">
        <f>IF(AND(C483&lt;&gt;"", J483&lt;&gt;""), HYPERLINK("#'" &amp; C483 &amp; "'!" &amp; J483, J483), "")</f>
        <v/>
      </c>
    </row>
    <row r="484">
      <c r="B484" s="21">
        <f>IF(AND(C484&lt;&gt;"", J484&lt;&gt;""), HYPERLINK("#'" &amp; C484 &amp; "'!" &amp; J484, J484), "")</f>
        <v/>
      </c>
    </row>
    <row r="485">
      <c r="B485" s="21">
        <f>IF(AND(C485&lt;&gt;"", J485&lt;&gt;""), HYPERLINK("#'" &amp; C485 &amp; "'!" &amp; J485, J485), "")</f>
        <v/>
      </c>
    </row>
    <row r="486">
      <c r="B486" s="21">
        <f>IF(AND(C486&lt;&gt;"", J486&lt;&gt;""), HYPERLINK("#'" &amp; C486 &amp; "'!" &amp; J486, J486), "")</f>
        <v/>
      </c>
    </row>
    <row r="487">
      <c r="B487" s="21">
        <f>IF(AND(C487&lt;&gt;"", J487&lt;&gt;""), HYPERLINK("#'" &amp; C487 &amp; "'!" &amp; J487, J487), "")</f>
        <v/>
      </c>
    </row>
    <row r="488">
      <c r="B488" s="21">
        <f>IF(AND(C488&lt;&gt;"", J488&lt;&gt;""), HYPERLINK("#'" &amp; C488 &amp; "'!" &amp; J488, J488), "")</f>
        <v/>
      </c>
    </row>
    <row r="489">
      <c r="B489" s="21">
        <f>IF(AND(C489&lt;&gt;"", J489&lt;&gt;""), HYPERLINK("#'" &amp; C489 &amp; "'!" &amp; J489, J489), "")</f>
        <v/>
      </c>
    </row>
    <row r="490">
      <c r="B490" s="21">
        <f>IF(AND(C490&lt;&gt;"", J490&lt;&gt;""), HYPERLINK("#'" &amp; C490 &amp; "'!" &amp; J490, J490), "")</f>
        <v/>
      </c>
    </row>
    <row r="491">
      <c r="B491" s="21">
        <f>IF(AND(C491&lt;&gt;"", J491&lt;&gt;""), HYPERLINK("#'" &amp; C491 &amp; "'!" &amp; J491, J491), "")</f>
        <v/>
      </c>
    </row>
    <row r="492">
      <c r="B492" s="21">
        <f>IF(AND(C492&lt;&gt;"", J492&lt;&gt;""), HYPERLINK("#'" &amp; C492 &amp; "'!" &amp; J492, J492), "")</f>
        <v/>
      </c>
    </row>
    <row r="493">
      <c r="B493" s="21">
        <f>IF(AND(C493&lt;&gt;"", J493&lt;&gt;""), HYPERLINK("#'" &amp; C493 &amp; "'!" &amp; J493, J493), "")</f>
        <v/>
      </c>
    </row>
    <row r="494">
      <c r="B494" s="21">
        <f>IF(AND(C494&lt;&gt;"", J494&lt;&gt;""), HYPERLINK("#'" &amp; C494 &amp; "'!" &amp; J494, J494), "")</f>
        <v/>
      </c>
    </row>
    <row r="495">
      <c r="B495" s="21">
        <f>IF(AND(C495&lt;&gt;"", J495&lt;&gt;""), HYPERLINK("#'" &amp; C495 &amp; "'!" &amp; J495, J495), "")</f>
        <v/>
      </c>
    </row>
    <row r="496">
      <c r="B496" s="21">
        <f>IF(AND(C496&lt;&gt;"", J496&lt;&gt;""), HYPERLINK("#'" &amp; C496 &amp; "'!" &amp; J496, J496), "")</f>
        <v/>
      </c>
    </row>
    <row r="497">
      <c r="B497" s="21">
        <f>IF(AND(C497&lt;&gt;"", J497&lt;&gt;""), HYPERLINK("#'" &amp; C497 &amp; "'!" &amp; J497, J497), "")</f>
        <v/>
      </c>
    </row>
    <row r="498">
      <c r="B498" s="21">
        <f>IF(AND(C498&lt;&gt;"", J498&lt;&gt;""), HYPERLINK("#'" &amp; C498 &amp; "'!" &amp; J498, J498), "")</f>
        <v/>
      </c>
    </row>
    <row r="499">
      <c r="B499" s="21">
        <f>IF(AND(C499&lt;&gt;"", J499&lt;&gt;""), HYPERLINK("#'" &amp; C499 &amp; "'!" &amp; J499, J499), "")</f>
        <v/>
      </c>
    </row>
    <row r="500">
      <c r="B500" s="21">
        <f>IF(AND(C500&lt;&gt;"", J500&lt;&gt;""), HYPERLINK("#'" &amp; C500 &amp; "'!" &amp; J500, J500), "")</f>
        <v/>
      </c>
    </row>
    <row r="501">
      <c r="B501" s="21">
        <f>IF(AND(C501&lt;&gt;"", J501&lt;&gt;""), HYPERLINK("#'" &amp; C501 &amp; "'!" &amp; J501, J501), "")</f>
        <v/>
      </c>
    </row>
    <row r="502">
      <c r="B502" s="21">
        <f>IF(AND(C502&lt;&gt;"", J502&lt;&gt;""), HYPERLINK("#'" &amp; C502 &amp; "'!" &amp; J502, J502), "")</f>
        <v/>
      </c>
    </row>
    <row r="503">
      <c r="B503" s="21">
        <f>IF(AND(C503&lt;&gt;"", J503&lt;&gt;""), HYPERLINK("#'" &amp; C503 &amp; "'!" &amp; J503, J503), "")</f>
        <v/>
      </c>
    </row>
    <row r="504">
      <c r="B504" s="21">
        <f>IF(AND(C504&lt;&gt;"", J504&lt;&gt;""), HYPERLINK("#'" &amp; C504 &amp; "'!" &amp; J504, J504), "")</f>
        <v/>
      </c>
    </row>
    <row r="505">
      <c r="B505" s="21">
        <f>IF(AND(C505&lt;&gt;"", J505&lt;&gt;""), HYPERLINK("#'" &amp; C505 &amp; "'!" &amp; J505, J505), "")</f>
        <v/>
      </c>
    </row>
    <row r="506">
      <c r="B506" s="21">
        <f>IF(AND(C506&lt;&gt;"", J506&lt;&gt;""), HYPERLINK("#'" &amp; C506 &amp; "'!" &amp; J506, J506), "")</f>
        <v/>
      </c>
    </row>
    <row r="507">
      <c r="B507" s="21">
        <f>IF(AND(C507&lt;&gt;"", J507&lt;&gt;""), HYPERLINK("#'" &amp; C507 &amp; "'!" &amp; J507, J507), "")</f>
        <v/>
      </c>
    </row>
    <row r="508">
      <c r="B508" s="21">
        <f>IF(AND(C508&lt;&gt;"", J508&lt;&gt;""), HYPERLINK("#'" &amp; C508 &amp; "'!" &amp; J508, J508), "")</f>
        <v/>
      </c>
    </row>
    <row r="509">
      <c r="B509" s="21">
        <f>IF(AND(C509&lt;&gt;"", J509&lt;&gt;""), HYPERLINK("#'" &amp; C509 &amp; "'!" &amp; J509, J509), "")</f>
        <v/>
      </c>
    </row>
    <row r="510">
      <c r="B510" s="21">
        <f>IF(AND(C510&lt;&gt;"", J510&lt;&gt;""), HYPERLINK("#'" &amp; C510 &amp; "'!" &amp; J510, J510), "")</f>
        <v/>
      </c>
    </row>
    <row r="511">
      <c r="B511" s="21">
        <f>IF(AND(C511&lt;&gt;"", J511&lt;&gt;""), HYPERLINK("#'" &amp; C511 &amp; "'!" &amp; J511, J511), "")</f>
        <v/>
      </c>
    </row>
    <row r="512">
      <c r="B512" s="21">
        <f>IF(AND(C512&lt;&gt;"", J512&lt;&gt;""), HYPERLINK("#'" &amp; C512 &amp; "'!" &amp; J512, J512), "")</f>
        <v/>
      </c>
    </row>
    <row r="513">
      <c r="B513" s="21">
        <f>IF(AND(C513&lt;&gt;"", J513&lt;&gt;""), HYPERLINK("#'" &amp; C513 &amp; "'!" &amp; J513, J513), "")</f>
        <v/>
      </c>
    </row>
    <row r="514">
      <c r="B514" s="21">
        <f>IF(AND(C514&lt;&gt;"", J514&lt;&gt;""), HYPERLINK("#'" &amp; C514 &amp; "'!" &amp; J514, J514), "")</f>
        <v/>
      </c>
    </row>
    <row r="515">
      <c r="B515" s="21">
        <f>IF(AND(C515&lt;&gt;"", J515&lt;&gt;""), HYPERLINK("#'" &amp; C515 &amp; "'!" &amp; J515, J515), "")</f>
        <v/>
      </c>
    </row>
    <row r="516">
      <c r="B516" s="21">
        <f>IF(AND(C516&lt;&gt;"", J516&lt;&gt;""), HYPERLINK("#'" &amp; C516 &amp; "'!" &amp; J516, J516), "")</f>
        <v/>
      </c>
    </row>
    <row r="517">
      <c r="B517" s="21">
        <f>IF(AND(C517&lt;&gt;"", J517&lt;&gt;""), HYPERLINK("#'" &amp; C517 &amp; "'!" &amp; J517, J517), "")</f>
        <v/>
      </c>
    </row>
    <row r="518">
      <c r="B518" s="21">
        <f>IF(AND(C518&lt;&gt;"", J518&lt;&gt;""), HYPERLINK("#'" &amp; C518 &amp; "'!" &amp; J518, J518), "")</f>
        <v/>
      </c>
    </row>
    <row r="519">
      <c r="B519" s="21">
        <f>IF(AND(C519&lt;&gt;"", J519&lt;&gt;""), HYPERLINK("#'" &amp; C519 &amp; "'!" &amp; J519, J519), "")</f>
        <v/>
      </c>
    </row>
    <row r="520">
      <c r="B520" s="21">
        <f>IF(AND(C520&lt;&gt;"", J520&lt;&gt;""), HYPERLINK("#'" &amp; C520 &amp; "'!" &amp; J520, J520), "")</f>
        <v/>
      </c>
    </row>
    <row r="521">
      <c r="B521" s="21">
        <f>IF(AND(C521&lt;&gt;"", J521&lt;&gt;""), HYPERLINK("#'" &amp; C521 &amp; "'!" &amp; J521, J521), "")</f>
        <v/>
      </c>
    </row>
    <row r="522">
      <c r="B522" s="21">
        <f>IF(AND(C522&lt;&gt;"", J522&lt;&gt;""), HYPERLINK("#'" &amp; C522 &amp; "'!" &amp; J522, J522), "")</f>
        <v/>
      </c>
    </row>
    <row r="523">
      <c r="B523" s="21">
        <f>IF(AND(C523&lt;&gt;"", J523&lt;&gt;""), HYPERLINK("#'" &amp; C523 &amp; "'!" &amp; J523, J523), "")</f>
        <v/>
      </c>
    </row>
    <row r="524">
      <c r="B524" s="21">
        <f>IF(AND(C524&lt;&gt;"", J524&lt;&gt;""), HYPERLINK("#'" &amp; C524 &amp; "'!" &amp; J524, J524), "")</f>
        <v/>
      </c>
    </row>
    <row r="525">
      <c r="B525" s="21">
        <f>IF(AND(C525&lt;&gt;"", J525&lt;&gt;""), HYPERLINK("#'" &amp; C525 &amp; "'!" &amp; J525, J525), "")</f>
        <v/>
      </c>
    </row>
    <row r="526">
      <c r="B526" s="21">
        <f>IF(AND(C526&lt;&gt;"", J526&lt;&gt;""), HYPERLINK("#'" &amp; C526 &amp; "'!" &amp; J526, J526), "")</f>
        <v/>
      </c>
    </row>
    <row r="527">
      <c r="B527" s="21">
        <f>IF(AND(C527&lt;&gt;"", J527&lt;&gt;""), HYPERLINK("#'" &amp; C527 &amp; "'!" &amp; J527, J527), "")</f>
        <v/>
      </c>
    </row>
    <row r="528">
      <c r="B528" s="21">
        <f>IF(AND(C528&lt;&gt;"", J528&lt;&gt;""), HYPERLINK("#'" &amp; C528 &amp; "'!" &amp; J528, J528), "")</f>
        <v/>
      </c>
    </row>
    <row r="529">
      <c r="B529" s="21">
        <f>IF(AND(C529&lt;&gt;"", J529&lt;&gt;""), HYPERLINK("#'" &amp; C529 &amp; "'!" &amp; J529, J529), "")</f>
        <v/>
      </c>
    </row>
    <row r="530">
      <c r="B530" s="21">
        <f>IF(AND(C530&lt;&gt;"", J530&lt;&gt;""), HYPERLINK("#'" &amp; C530 &amp; "'!" &amp; J530, J530), "")</f>
        <v/>
      </c>
    </row>
    <row r="531">
      <c r="B531" s="21">
        <f>IF(AND(C531&lt;&gt;"", J531&lt;&gt;""), HYPERLINK("#'" &amp; C531 &amp; "'!" &amp; J531, J531), "")</f>
        <v/>
      </c>
    </row>
    <row r="532">
      <c r="B532" s="21">
        <f>IF(AND(C532&lt;&gt;"", J532&lt;&gt;""), HYPERLINK("#'" &amp; C532 &amp; "'!" &amp; J532, J532), "")</f>
        <v/>
      </c>
    </row>
    <row r="533">
      <c r="B533" s="21">
        <f>IF(AND(C533&lt;&gt;"", J533&lt;&gt;""), HYPERLINK("#'" &amp; C533 &amp; "'!" &amp; J533, J533), "")</f>
        <v/>
      </c>
    </row>
    <row r="534">
      <c r="B534" s="21">
        <f>IF(AND(C534&lt;&gt;"", J534&lt;&gt;""), HYPERLINK("#'" &amp; C534 &amp; "'!" &amp; J534, J534), "")</f>
        <v/>
      </c>
    </row>
    <row r="535">
      <c r="B535" s="21">
        <f>IF(AND(C535&lt;&gt;"", J535&lt;&gt;""), HYPERLINK("#'" &amp; C535 &amp; "'!" &amp; J535, J535), "")</f>
        <v/>
      </c>
    </row>
    <row r="536">
      <c r="B536" s="21">
        <f>IF(AND(C536&lt;&gt;"", J536&lt;&gt;""), HYPERLINK("#'" &amp; C536 &amp; "'!" &amp; J536, J536), "")</f>
        <v/>
      </c>
    </row>
    <row r="537">
      <c r="B537" s="21">
        <f>IF(AND(C537&lt;&gt;"", J537&lt;&gt;""), HYPERLINK("#'" &amp; C537 &amp; "'!" &amp; J537, J537), "")</f>
        <v/>
      </c>
    </row>
    <row r="538">
      <c r="B538" s="21">
        <f>IF(AND(C538&lt;&gt;"", J538&lt;&gt;""), HYPERLINK("#'" &amp; C538 &amp; "'!" &amp; J538, J538), "")</f>
        <v/>
      </c>
    </row>
    <row r="539">
      <c r="B539" s="21">
        <f>IF(AND(C539&lt;&gt;"", J539&lt;&gt;""), HYPERLINK("#'" &amp; C539 &amp; "'!" &amp; J539, J539), "")</f>
        <v/>
      </c>
    </row>
    <row r="540">
      <c r="B540" s="21">
        <f>IF(AND(C540&lt;&gt;"", J540&lt;&gt;""), HYPERLINK("#'" &amp; C540 &amp; "'!" &amp; J540, J540), "")</f>
        <v/>
      </c>
    </row>
    <row r="541">
      <c r="B541" s="21">
        <f>IF(AND(C541&lt;&gt;"", J541&lt;&gt;""), HYPERLINK("#'" &amp; C541 &amp; "'!" &amp; J541, J541), "")</f>
        <v/>
      </c>
    </row>
    <row r="542">
      <c r="B542" s="21">
        <f>IF(AND(C542&lt;&gt;"", J542&lt;&gt;""), HYPERLINK("#'" &amp; C542 &amp; "'!" &amp; J542, J542), "")</f>
        <v/>
      </c>
    </row>
    <row r="543">
      <c r="B543" s="21">
        <f>IF(AND(C543&lt;&gt;"", J543&lt;&gt;""), HYPERLINK("#'" &amp; C543 &amp; "'!" &amp; J543, J543), "")</f>
        <v/>
      </c>
    </row>
    <row r="544">
      <c r="B544" s="21">
        <f>IF(AND(C544&lt;&gt;"", J544&lt;&gt;""), HYPERLINK("#'" &amp; C544 &amp; "'!" &amp; J544, J544), "")</f>
        <v/>
      </c>
    </row>
    <row r="545">
      <c r="B545" s="21">
        <f>IF(AND(C545&lt;&gt;"", J545&lt;&gt;""), HYPERLINK("#'" &amp; C545 &amp; "'!" &amp; J545, J545), "")</f>
        <v/>
      </c>
    </row>
    <row r="546">
      <c r="B546" s="21">
        <f>IF(AND(C546&lt;&gt;"", J546&lt;&gt;""), HYPERLINK("#'" &amp; C546 &amp; "'!" &amp; J546, J546), "")</f>
        <v/>
      </c>
    </row>
    <row r="547">
      <c r="B547" s="21">
        <f>IF(AND(C547&lt;&gt;"", J547&lt;&gt;""), HYPERLINK("#'" &amp; C547 &amp; "'!" &amp; J547, J547), "")</f>
        <v/>
      </c>
    </row>
    <row r="548">
      <c r="B548" s="21">
        <f>IF(AND(C548&lt;&gt;"", J548&lt;&gt;""), HYPERLINK("#'" &amp; C548 &amp; "'!" &amp; J548, J548), "")</f>
        <v/>
      </c>
    </row>
    <row r="549">
      <c r="B549" s="21">
        <f>IF(AND(C549&lt;&gt;"", J549&lt;&gt;""), HYPERLINK("#'" &amp; C549 &amp; "'!" &amp; J549, J549), "")</f>
        <v/>
      </c>
    </row>
    <row r="550">
      <c r="B550" s="21">
        <f>IF(AND(C550&lt;&gt;"", J550&lt;&gt;""), HYPERLINK("#'" &amp; C550 &amp; "'!" &amp; J550, J550), "")</f>
        <v/>
      </c>
    </row>
    <row r="551">
      <c r="B551" s="21">
        <f>IF(AND(C551&lt;&gt;"", J551&lt;&gt;""), HYPERLINK("#'" &amp; C551 &amp; "'!" &amp; J551, J551), "")</f>
        <v/>
      </c>
    </row>
    <row r="552">
      <c r="B552" s="21">
        <f>IF(AND(C552&lt;&gt;"", J552&lt;&gt;""), HYPERLINK("#'" &amp; C552 &amp; "'!" &amp; J552, J552), "")</f>
        <v/>
      </c>
    </row>
    <row r="553">
      <c r="B553" s="21">
        <f>IF(AND(C553&lt;&gt;"", J553&lt;&gt;""), HYPERLINK("#'" &amp; C553 &amp; "'!" &amp; J553, J553), "")</f>
        <v/>
      </c>
    </row>
    <row r="554">
      <c r="B554" s="21">
        <f>IF(AND(C554&lt;&gt;"", J554&lt;&gt;""), HYPERLINK("#'" &amp; C554 &amp; "'!" &amp; J554, J554), "")</f>
        <v/>
      </c>
    </row>
    <row r="555">
      <c r="B555" s="21">
        <f>IF(AND(C555&lt;&gt;"", J555&lt;&gt;""), HYPERLINK("#'" &amp; C555 &amp; "'!" &amp; J555, J555), "")</f>
        <v/>
      </c>
    </row>
    <row r="556">
      <c r="B556" s="21">
        <f>IF(AND(C556&lt;&gt;"", J556&lt;&gt;""), HYPERLINK("#'" &amp; C556 &amp; "'!" &amp; J556, J556), "")</f>
        <v/>
      </c>
    </row>
    <row r="557">
      <c r="B557" s="21">
        <f>IF(AND(C557&lt;&gt;"", J557&lt;&gt;""), HYPERLINK("#'" &amp; C557 &amp; "'!" &amp; J557, J557), "")</f>
        <v/>
      </c>
    </row>
    <row r="558">
      <c r="B558" s="21">
        <f>IF(AND(C558&lt;&gt;"", J558&lt;&gt;""), HYPERLINK("#'" &amp; C558 &amp; "'!" &amp; J558, J558), "")</f>
        <v/>
      </c>
    </row>
    <row r="559">
      <c r="B559" s="21">
        <f>IF(AND(C559&lt;&gt;"", J559&lt;&gt;""), HYPERLINK("#'" &amp; C559 &amp; "'!" &amp; J559, J559), "")</f>
        <v/>
      </c>
    </row>
    <row r="560">
      <c r="B560" s="21">
        <f>IF(AND(C560&lt;&gt;"", J560&lt;&gt;""), HYPERLINK("#'" &amp; C560 &amp; "'!" &amp; J560, J560), "")</f>
        <v/>
      </c>
    </row>
    <row r="561">
      <c r="B561" s="21">
        <f>IF(AND(C561&lt;&gt;"", J561&lt;&gt;""), HYPERLINK("#'" &amp; C561 &amp; "'!" &amp; J561, J561), "")</f>
        <v/>
      </c>
    </row>
    <row r="562">
      <c r="B562" s="21">
        <f>IF(AND(C562&lt;&gt;"", J562&lt;&gt;""), HYPERLINK("#'" &amp; C562 &amp; "'!" &amp; J562, J562), "")</f>
        <v/>
      </c>
    </row>
    <row r="563">
      <c r="B563" s="21">
        <f>IF(AND(C563&lt;&gt;"", J563&lt;&gt;""), HYPERLINK("#'" &amp; C563 &amp; "'!" &amp; J563, J563), "")</f>
        <v/>
      </c>
    </row>
    <row r="564">
      <c r="B564" s="21">
        <f>IF(AND(C564&lt;&gt;"", J564&lt;&gt;""), HYPERLINK("#'" &amp; C564 &amp; "'!" &amp; J564, J564), "")</f>
        <v/>
      </c>
    </row>
    <row r="565">
      <c r="B565" s="21">
        <f>IF(AND(C565&lt;&gt;"", J565&lt;&gt;""), HYPERLINK("#'" &amp; C565 &amp; "'!" &amp; J565, J565), "")</f>
        <v/>
      </c>
    </row>
    <row r="566">
      <c r="B566" s="21">
        <f>IF(AND(C566&lt;&gt;"", J566&lt;&gt;""), HYPERLINK("#'" &amp; C566 &amp; "'!" &amp; J566, J566), "")</f>
        <v/>
      </c>
    </row>
    <row r="567">
      <c r="B567" s="21">
        <f>IF(AND(C567&lt;&gt;"", J567&lt;&gt;""), HYPERLINK("#'" &amp; C567 &amp; "'!" &amp; J567, J567), "")</f>
        <v/>
      </c>
    </row>
    <row r="568">
      <c r="B568" s="21">
        <f>IF(AND(C568&lt;&gt;"", J568&lt;&gt;""), HYPERLINK("#'" &amp; C568 &amp; "'!" &amp; J568, J568), "")</f>
        <v/>
      </c>
    </row>
    <row r="569">
      <c r="B569" s="21">
        <f>IF(AND(C569&lt;&gt;"", J569&lt;&gt;""), HYPERLINK("#'" &amp; C569 &amp; "'!" &amp; J569, J569), "")</f>
        <v/>
      </c>
    </row>
    <row r="570">
      <c r="B570" s="21">
        <f>IF(AND(C570&lt;&gt;"", J570&lt;&gt;""), HYPERLINK("#'" &amp; C570 &amp; "'!" &amp; J570, J570), "")</f>
        <v/>
      </c>
    </row>
    <row r="571">
      <c r="B571" s="21">
        <f>IF(AND(C571&lt;&gt;"", J571&lt;&gt;""), HYPERLINK("#'" &amp; C571 &amp; "'!" &amp; J571, J571), "")</f>
        <v/>
      </c>
    </row>
    <row r="572">
      <c r="B572" s="21">
        <f>IF(AND(C572&lt;&gt;"", J572&lt;&gt;""), HYPERLINK("#'" &amp; C572 &amp; "'!" &amp; J572, J572), "")</f>
        <v/>
      </c>
    </row>
    <row r="573">
      <c r="B573" s="21">
        <f>IF(AND(C573&lt;&gt;"", J573&lt;&gt;""), HYPERLINK("#'" &amp; C573 &amp; "'!" &amp; J573, J573), "")</f>
        <v/>
      </c>
    </row>
    <row r="574">
      <c r="B574" s="21">
        <f>IF(AND(C574&lt;&gt;"", J574&lt;&gt;""), HYPERLINK("#'" &amp; C574 &amp; "'!" &amp; J574, J574), "")</f>
        <v/>
      </c>
    </row>
    <row r="575">
      <c r="B575" s="21">
        <f>IF(AND(C575&lt;&gt;"", J575&lt;&gt;""), HYPERLINK("#'" &amp; C575 &amp; "'!" &amp; J575, J575), "")</f>
        <v/>
      </c>
    </row>
    <row r="576">
      <c r="B576" s="21">
        <f>IF(AND(C576&lt;&gt;"", J576&lt;&gt;""), HYPERLINK("#'" &amp; C576 &amp; "'!" &amp; J576, J576), "")</f>
        <v/>
      </c>
    </row>
    <row r="577">
      <c r="B577" s="21">
        <f>IF(AND(C577&lt;&gt;"", J577&lt;&gt;""), HYPERLINK("#'" &amp; C577 &amp; "'!" &amp; J577, J577), "")</f>
        <v/>
      </c>
    </row>
    <row r="578">
      <c r="B578" s="21">
        <f>IF(AND(C578&lt;&gt;"", J578&lt;&gt;""), HYPERLINK("#'" &amp; C578 &amp; "'!" &amp; J578, J578), "")</f>
        <v/>
      </c>
    </row>
    <row r="579">
      <c r="B579" s="21">
        <f>IF(AND(C579&lt;&gt;"", J579&lt;&gt;""), HYPERLINK("#'" &amp; C579 &amp; "'!" &amp; J579, J579), "")</f>
        <v/>
      </c>
    </row>
    <row r="580">
      <c r="B580" s="21">
        <f>IF(AND(C580&lt;&gt;"", J580&lt;&gt;""), HYPERLINK("#'" &amp; C580 &amp; "'!" &amp; J580, J580), "")</f>
        <v/>
      </c>
    </row>
    <row r="581">
      <c r="B581" s="21">
        <f>IF(AND(C581&lt;&gt;"", J581&lt;&gt;""), HYPERLINK("#'" &amp; C581 &amp; "'!" &amp; J581, J581), "")</f>
        <v/>
      </c>
    </row>
    <row r="582">
      <c r="B582" s="21">
        <f>IF(AND(C582&lt;&gt;"", J582&lt;&gt;""), HYPERLINK("#'" &amp; C582 &amp; "'!" &amp; J582, J582), "")</f>
        <v/>
      </c>
    </row>
    <row r="583">
      <c r="B583" s="21">
        <f>IF(AND(C583&lt;&gt;"", J583&lt;&gt;""), HYPERLINK("#'" &amp; C583 &amp; "'!" &amp; J583, J583), "")</f>
        <v/>
      </c>
    </row>
    <row r="584">
      <c r="B584" s="21">
        <f>IF(AND(C584&lt;&gt;"", J584&lt;&gt;""), HYPERLINK("#'" &amp; C584 &amp; "'!" &amp; J584, J584), "")</f>
        <v/>
      </c>
    </row>
    <row r="585">
      <c r="B585" s="21">
        <f>IF(AND(C585&lt;&gt;"", J585&lt;&gt;""), HYPERLINK("#'" &amp; C585 &amp; "'!" &amp; J585, J585), "")</f>
        <v/>
      </c>
    </row>
    <row r="586">
      <c r="B586" s="21">
        <f>IF(AND(C586&lt;&gt;"", J586&lt;&gt;""), HYPERLINK("#'" &amp; C586 &amp; "'!" &amp; J586, J586), "")</f>
        <v/>
      </c>
    </row>
    <row r="587">
      <c r="B587" s="21">
        <f>IF(AND(C587&lt;&gt;"", J587&lt;&gt;""), HYPERLINK("#'" &amp; C587 &amp; "'!" &amp; J587, J587), "")</f>
        <v/>
      </c>
    </row>
    <row r="588">
      <c r="B588" s="21">
        <f>IF(AND(C588&lt;&gt;"", J588&lt;&gt;""), HYPERLINK("#'" &amp; C588 &amp; "'!" &amp; J588, J588), "")</f>
        <v/>
      </c>
    </row>
    <row r="589">
      <c r="B589" s="21">
        <f>IF(AND(C589&lt;&gt;"", J589&lt;&gt;""), HYPERLINK("#'" &amp; C589 &amp; "'!" &amp; J589, J589), "")</f>
        <v/>
      </c>
    </row>
    <row r="590">
      <c r="B590" s="21">
        <f>IF(AND(C590&lt;&gt;"", J590&lt;&gt;""), HYPERLINK("#'" &amp; C590 &amp; "'!" &amp; J590, J590), "")</f>
        <v/>
      </c>
    </row>
    <row r="591">
      <c r="B591" s="21">
        <f>IF(AND(C591&lt;&gt;"", J591&lt;&gt;""), HYPERLINK("#'" &amp; C591 &amp; "'!" &amp; J591, J591), "")</f>
        <v/>
      </c>
    </row>
    <row r="592">
      <c r="B592" s="21">
        <f>IF(AND(C592&lt;&gt;"", J592&lt;&gt;""), HYPERLINK("#'" &amp; C592 &amp; "'!" &amp; J592, J592), "")</f>
        <v/>
      </c>
    </row>
    <row r="593">
      <c r="B593" s="21">
        <f>IF(AND(C593&lt;&gt;"", J593&lt;&gt;""), HYPERLINK("#'" &amp; C593 &amp; "'!" &amp; J593, J593), "")</f>
        <v/>
      </c>
    </row>
    <row r="594">
      <c r="B594" s="21">
        <f>IF(AND(C594&lt;&gt;"", J594&lt;&gt;""), HYPERLINK("#'" &amp; C594 &amp; "'!" &amp; J594, J594), "")</f>
        <v/>
      </c>
    </row>
    <row r="595">
      <c r="B595" s="21">
        <f>IF(AND(C595&lt;&gt;"", J595&lt;&gt;""), HYPERLINK("#'" &amp; C595 &amp; "'!" &amp; J595, J595), "")</f>
        <v/>
      </c>
    </row>
    <row r="596">
      <c r="B596" s="21">
        <f>IF(AND(C596&lt;&gt;"", J596&lt;&gt;""), HYPERLINK("#'" &amp; C596 &amp; "'!" &amp; J596, J596), "")</f>
        <v/>
      </c>
    </row>
    <row r="597">
      <c r="B597" s="21">
        <f>IF(AND(C597&lt;&gt;"", J597&lt;&gt;""), HYPERLINK("#'" &amp; C597 &amp; "'!" &amp; J597, J597), "")</f>
        <v/>
      </c>
    </row>
    <row r="598">
      <c r="B598" s="21">
        <f>IF(AND(C598&lt;&gt;"", J598&lt;&gt;""), HYPERLINK("#'" &amp; C598 &amp; "'!" &amp; J598, J598), "")</f>
        <v/>
      </c>
    </row>
    <row r="599">
      <c r="B599" s="21">
        <f>IF(AND(C599&lt;&gt;"", J599&lt;&gt;""), HYPERLINK("#'" &amp; C599 &amp; "'!" &amp; J599, J599), "")</f>
        <v/>
      </c>
    </row>
    <row r="600">
      <c r="B600" s="21">
        <f>IF(AND(C600&lt;&gt;"", J600&lt;&gt;""), HYPERLINK("#'" &amp; C600 &amp; "'!" &amp; J600, J600), "")</f>
        <v/>
      </c>
    </row>
    <row r="601">
      <c r="B601" s="21">
        <f>IF(AND(C601&lt;&gt;"", J601&lt;&gt;""), HYPERLINK("#'" &amp; C601 &amp; "'!" &amp; J601, J601), "")</f>
        <v/>
      </c>
    </row>
    <row r="602">
      <c r="B602" s="21">
        <f>IF(AND(C602&lt;&gt;"", J602&lt;&gt;""), HYPERLINK("#'" &amp; C602 &amp; "'!" &amp; J602, J602), "")</f>
        <v/>
      </c>
    </row>
    <row r="603">
      <c r="B603" s="21">
        <f>IF(AND(C603&lt;&gt;"", J603&lt;&gt;""), HYPERLINK("#'" &amp; C603 &amp; "'!" &amp; J603, J603), "")</f>
        <v/>
      </c>
    </row>
    <row r="604">
      <c r="B604" s="21">
        <f>IF(AND(C604&lt;&gt;"", J604&lt;&gt;""), HYPERLINK("#'" &amp; C604 &amp; "'!" &amp; J604, J604), "")</f>
        <v/>
      </c>
    </row>
    <row r="605">
      <c r="B605" s="21">
        <f>IF(AND(C605&lt;&gt;"", J605&lt;&gt;""), HYPERLINK("#'" &amp; C605 &amp; "'!" &amp; J605, J605), "")</f>
        <v/>
      </c>
    </row>
    <row r="606">
      <c r="B606" s="21">
        <f>IF(AND(C606&lt;&gt;"", J606&lt;&gt;""), HYPERLINK("#'" &amp; C606 &amp; "'!" &amp; J606, J606), "")</f>
        <v/>
      </c>
    </row>
    <row r="607">
      <c r="B607" s="21">
        <f>IF(AND(C607&lt;&gt;"", J607&lt;&gt;""), HYPERLINK("#'" &amp; C607 &amp; "'!" &amp; J607, J607), "")</f>
        <v/>
      </c>
    </row>
    <row r="608">
      <c r="B608" s="21">
        <f>IF(AND(C608&lt;&gt;"", J608&lt;&gt;""), HYPERLINK("#'" &amp; C608 &amp; "'!" &amp; J608, J608), "")</f>
        <v/>
      </c>
    </row>
    <row r="609">
      <c r="B609" s="21">
        <f>IF(AND(C609&lt;&gt;"", J609&lt;&gt;""), HYPERLINK("#'" &amp; C609 &amp; "'!" &amp; J609, J609), "")</f>
        <v/>
      </c>
    </row>
    <row r="610">
      <c r="B610" s="21">
        <f>IF(AND(C610&lt;&gt;"", J610&lt;&gt;""), HYPERLINK("#'" &amp; C610 &amp; "'!" &amp; J610, J610), "")</f>
        <v/>
      </c>
    </row>
    <row r="611">
      <c r="B611" s="21">
        <f>IF(AND(C611&lt;&gt;"", J611&lt;&gt;""), HYPERLINK("#'" &amp; C611 &amp; "'!" &amp; J611, J611), "")</f>
        <v/>
      </c>
    </row>
    <row r="612">
      <c r="B612" s="21">
        <f>IF(AND(C612&lt;&gt;"", J612&lt;&gt;""), HYPERLINK("#'" &amp; C612 &amp; "'!" &amp; J612, J612), "")</f>
        <v/>
      </c>
    </row>
    <row r="613">
      <c r="B613" s="21">
        <f>IF(AND(C613&lt;&gt;"", J613&lt;&gt;""), HYPERLINK("#'" &amp; C613 &amp; "'!" &amp; J613, J613), "")</f>
        <v/>
      </c>
    </row>
    <row r="614">
      <c r="B614" s="21">
        <f>IF(AND(C614&lt;&gt;"", J614&lt;&gt;""), HYPERLINK("#'" &amp; C614 &amp; "'!" &amp; J614, J614), "")</f>
        <v/>
      </c>
    </row>
    <row r="615">
      <c r="B615" s="21">
        <f>IF(AND(C615&lt;&gt;"", J615&lt;&gt;""), HYPERLINK("#'" &amp; C615 &amp; "'!" &amp; J615, J615), "")</f>
        <v/>
      </c>
    </row>
    <row r="616">
      <c r="B616" s="21">
        <f>IF(AND(C616&lt;&gt;"", J616&lt;&gt;""), HYPERLINK("#'" &amp; C616 &amp; "'!" &amp; J616, J616), "")</f>
        <v/>
      </c>
    </row>
    <row r="617">
      <c r="B617" s="21">
        <f>IF(AND(C617&lt;&gt;"", J617&lt;&gt;""), HYPERLINK("#'" &amp; C617 &amp; "'!" &amp; J617, J617), "")</f>
        <v/>
      </c>
    </row>
    <row r="618">
      <c r="B618" s="21">
        <f>IF(AND(C618&lt;&gt;"", J618&lt;&gt;""), HYPERLINK("#'" &amp; C618 &amp; "'!" &amp; J618, J618), "")</f>
        <v/>
      </c>
    </row>
    <row r="619">
      <c r="B619" s="21">
        <f>IF(AND(C619&lt;&gt;"", J619&lt;&gt;""), HYPERLINK("#'" &amp; C619 &amp; "'!" &amp; J619, J619), "")</f>
        <v/>
      </c>
    </row>
    <row r="620">
      <c r="B620" s="21">
        <f>IF(AND(C620&lt;&gt;"", J620&lt;&gt;""), HYPERLINK("#'" &amp; C620 &amp; "'!" &amp; J620, J620), "")</f>
        <v/>
      </c>
    </row>
    <row r="621">
      <c r="B621" s="21">
        <f>IF(AND(C621&lt;&gt;"", J621&lt;&gt;""), HYPERLINK("#'" &amp; C621 &amp; "'!" &amp; J621, J621), "")</f>
        <v/>
      </c>
    </row>
    <row r="622">
      <c r="B622" s="21">
        <f>IF(AND(C622&lt;&gt;"", J622&lt;&gt;""), HYPERLINK("#'" &amp; C622 &amp; "'!" &amp; J622, J622), "")</f>
        <v/>
      </c>
    </row>
    <row r="623">
      <c r="B623" s="21">
        <f>IF(AND(C623&lt;&gt;"", J623&lt;&gt;""), HYPERLINK("#'" &amp; C623 &amp; "'!" &amp; J623, J623), "")</f>
        <v/>
      </c>
    </row>
    <row r="624">
      <c r="B624" s="21">
        <f>IF(AND(C624&lt;&gt;"", J624&lt;&gt;""), HYPERLINK("#'" &amp; C624 &amp; "'!" &amp; J624, J624), "")</f>
        <v/>
      </c>
    </row>
    <row r="625">
      <c r="B625" s="21">
        <f>IF(AND(C625&lt;&gt;"", J625&lt;&gt;""), HYPERLINK("#'" &amp; C625 &amp; "'!" &amp; J625, J625), "")</f>
        <v/>
      </c>
    </row>
    <row r="626">
      <c r="B626" s="21">
        <f>IF(AND(C626&lt;&gt;"", J626&lt;&gt;""), HYPERLINK("#'" &amp; C626 &amp; "'!" &amp; J626, J626), "")</f>
        <v/>
      </c>
    </row>
    <row r="627">
      <c r="B627" s="21">
        <f>IF(AND(C627&lt;&gt;"", J627&lt;&gt;""), HYPERLINK("#'" &amp; C627 &amp; "'!" &amp; J627, J627), "")</f>
        <v/>
      </c>
    </row>
    <row r="628">
      <c r="B628" s="21">
        <f>IF(AND(C628&lt;&gt;"", J628&lt;&gt;""), HYPERLINK("#'" &amp; C628 &amp; "'!" &amp; J628, J628), "")</f>
        <v/>
      </c>
    </row>
    <row r="629">
      <c r="B629" s="21">
        <f>IF(AND(C629&lt;&gt;"", J629&lt;&gt;""), HYPERLINK("#'" &amp; C629 &amp; "'!" &amp; J629, J629), "")</f>
        <v/>
      </c>
    </row>
    <row r="630">
      <c r="B630" s="21">
        <f>IF(AND(C630&lt;&gt;"", J630&lt;&gt;""), HYPERLINK("#'" &amp; C630 &amp; "'!" &amp; J630, J630), "")</f>
        <v/>
      </c>
    </row>
    <row r="631">
      <c r="B631" s="21">
        <f>IF(AND(C631&lt;&gt;"", J631&lt;&gt;""), HYPERLINK("#'" &amp; C631 &amp; "'!" &amp; J631, J631), "")</f>
        <v/>
      </c>
    </row>
    <row r="632">
      <c r="B632" s="21">
        <f>IF(AND(C632&lt;&gt;"", J632&lt;&gt;""), HYPERLINK("#'" &amp; C632 &amp; "'!" &amp; J632, J632), "")</f>
        <v/>
      </c>
    </row>
    <row r="633">
      <c r="B633" s="21">
        <f>IF(AND(C633&lt;&gt;"", J633&lt;&gt;""), HYPERLINK("#'" &amp; C633 &amp; "'!" &amp; J633, J633), "")</f>
        <v/>
      </c>
    </row>
    <row r="634">
      <c r="B634" s="21">
        <f>IF(AND(C634&lt;&gt;"", J634&lt;&gt;""), HYPERLINK("#'" &amp; C634 &amp; "'!" &amp; J634, J634), "")</f>
        <v/>
      </c>
    </row>
    <row r="635">
      <c r="B635" s="21">
        <f>IF(AND(C635&lt;&gt;"", J635&lt;&gt;""), HYPERLINK("#'" &amp; C635 &amp; "'!" &amp; J635, J635), "")</f>
        <v/>
      </c>
    </row>
    <row r="636">
      <c r="B636" s="21">
        <f>IF(AND(C636&lt;&gt;"", J636&lt;&gt;""), HYPERLINK("#'" &amp; C636 &amp; "'!" &amp; J636, J636), "")</f>
        <v/>
      </c>
    </row>
    <row r="637">
      <c r="B637" s="21">
        <f>IF(AND(C637&lt;&gt;"", J637&lt;&gt;""), HYPERLINK("#'" &amp; C637 &amp; "'!" &amp; J637, J637), "")</f>
        <v/>
      </c>
    </row>
    <row r="638">
      <c r="B638" s="21">
        <f>IF(AND(C638&lt;&gt;"", J638&lt;&gt;""), HYPERLINK("#'" &amp; C638 &amp; "'!" &amp; J638, J638), "")</f>
        <v/>
      </c>
    </row>
    <row r="639">
      <c r="B639" s="21">
        <f>IF(AND(C639&lt;&gt;"", J639&lt;&gt;""), HYPERLINK("#'" &amp; C639 &amp; "'!" &amp; J639, J639), "")</f>
        <v/>
      </c>
    </row>
    <row r="640">
      <c r="B640" s="21">
        <f>IF(AND(C640&lt;&gt;"", J640&lt;&gt;""), HYPERLINK("#'" &amp; C640 &amp; "'!" &amp; J640, J640), "")</f>
        <v/>
      </c>
    </row>
    <row r="641">
      <c r="B641" s="21">
        <f>IF(AND(C641&lt;&gt;"", J641&lt;&gt;""), HYPERLINK("#'" &amp; C641 &amp; "'!" &amp; J641, J641), "")</f>
        <v/>
      </c>
    </row>
    <row r="642">
      <c r="B642" s="21">
        <f>IF(AND(C642&lt;&gt;"", J642&lt;&gt;""), HYPERLINK("#'" &amp; C642 &amp; "'!" &amp; J642, J642), "")</f>
        <v/>
      </c>
    </row>
    <row r="643">
      <c r="B643" s="21">
        <f>IF(AND(C643&lt;&gt;"", J643&lt;&gt;""), HYPERLINK("#'" &amp; C643 &amp; "'!" &amp; J643, J643), "")</f>
        <v/>
      </c>
    </row>
    <row r="644">
      <c r="B644" s="21">
        <f>IF(AND(C644&lt;&gt;"", J644&lt;&gt;""), HYPERLINK("#'" &amp; C644 &amp; "'!" &amp; J644, J644), "")</f>
        <v/>
      </c>
    </row>
    <row r="645">
      <c r="B645" s="21">
        <f>IF(AND(C645&lt;&gt;"", J645&lt;&gt;""), HYPERLINK("#'" &amp; C645 &amp; "'!" &amp; J645, J645), "")</f>
        <v/>
      </c>
    </row>
    <row r="646">
      <c r="B646" s="21">
        <f>IF(AND(C646&lt;&gt;"", J646&lt;&gt;""), HYPERLINK("#'" &amp; C646 &amp; "'!" &amp; J646, J646), "")</f>
        <v/>
      </c>
    </row>
    <row r="647">
      <c r="B647" s="21">
        <f>IF(AND(C647&lt;&gt;"", J647&lt;&gt;""), HYPERLINK("#'" &amp; C647 &amp; "'!" &amp; J647, J647), "")</f>
        <v/>
      </c>
    </row>
    <row r="648">
      <c r="B648" s="21">
        <f>IF(AND(C648&lt;&gt;"", J648&lt;&gt;""), HYPERLINK("#'" &amp; C648 &amp; "'!" &amp; J648, J648), "")</f>
        <v/>
      </c>
    </row>
    <row r="649">
      <c r="B649" s="21">
        <f>IF(AND(C649&lt;&gt;"", J649&lt;&gt;""), HYPERLINK("#'" &amp; C649 &amp; "'!" &amp; J649, J649), "")</f>
        <v/>
      </c>
    </row>
    <row r="650">
      <c r="B650" s="21">
        <f>IF(AND(C650&lt;&gt;"", J650&lt;&gt;""), HYPERLINK("#'" &amp; C650 &amp; "'!" &amp; J650, J650), "")</f>
        <v/>
      </c>
    </row>
    <row r="651">
      <c r="B651" s="21">
        <f>IF(AND(C651&lt;&gt;"", J651&lt;&gt;""), HYPERLINK("#'" &amp; C651 &amp; "'!" &amp; J651, J651), "")</f>
        <v/>
      </c>
    </row>
    <row r="652">
      <c r="B652" s="21">
        <f>IF(AND(C652&lt;&gt;"", J652&lt;&gt;""), HYPERLINK("#'" &amp; C652 &amp; "'!" &amp; J652, J652), "")</f>
        <v/>
      </c>
    </row>
    <row r="653">
      <c r="B653" s="21">
        <f>IF(AND(C653&lt;&gt;"", J653&lt;&gt;""), HYPERLINK("#'" &amp; C653 &amp; "'!" &amp; J653, J653), "")</f>
        <v/>
      </c>
    </row>
    <row r="654">
      <c r="B654" s="21">
        <f>IF(AND(C654&lt;&gt;"", J654&lt;&gt;""), HYPERLINK("#'" &amp; C654 &amp; "'!" &amp; J654, J654), "")</f>
        <v/>
      </c>
    </row>
    <row r="655">
      <c r="B655" s="21">
        <f>IF(AND(C655&lt;&gt;"", J655&lt;&gt;""), HYPERLINK("#'" &amp; C655 &amp; "'!" &amp; J655, J655), "")</f>
        <v/>
      </c>
    </row>
    <row r="656">
      <c r="B656" s="21">
        <f>IF(AND(C656&lt;&gt;"", J656&lt;&gt;""), HYPERLINK("#'" &amp; C656 &amp; "'!" &amp; J656, J656), "")</f>
        <v/>
      </c>
    </row>
    <row r="657">
      <c r="B657" s="21">
        <f>IF(AND(C657&lt;&gt;"", J657&lt;&gt;""), HYPERLINK("#'" &amp; C657 &amp; "'!" &amp; J657, J657), "")</f>
        <v/>
      </c>
    </row>
    <row r="658">
      <c r="B658" s="21">
        <f>IF(AND(C658&lt;&gt;"", J658&lt;&gt;""), HYPERLINK("#'" &amp; C658 &amp; "'!" &amp; J658, J658), "")</f>
        <v/>
      </c>
    </row>
    <row r="659">
      <c r="B659" s="21">
        <f>IF(AND(C659&lt;&gt;"", J659&lt;&gt;""), HYPERLINK("#'" &amp; C659 &amp; "'!" &amp; J659, J659), "")</f>
        <v/>
      </c>
    </row>
    <row r="660">
      <c r="B660" s="21">
        <f>IF(AND(C660&lt;&gt;"", J660&lt;&gt;""), HYPERLINK("#'" &amp; C660 &amp; "'!" &amp; J660, J660), "")</f>
        <v/>
      </c>
    </row>
    <row r="661">
      <c r="B661" s="21">
        <f>IF(AND(C661&lt;&gt;"", J661&lt;&gt;""), HYPERLINK("#'" &amp; C661 &amp; "'!" &amp; J661, J661), "")</f>
        <v/>
      </c>
    </row>
    <row r="662">
      <c r="B662" s="21">
        <f>IF(AND(C662&lt;&gt;"", J662&lt;&gt;""), HYPERLINK("#'" &amp; C662 &amp; "'!" &amp; J662, J662), "")</f>
        <v/>
      </c>
    </row>
    <row r="663">
      <c r="B663" s="21">
        <f>IF(AND(C663&lt;&gt;"", J663&lt;&gt;""), HYPERLINK("#'" &amp; C663 &amp; "'!" &amp; J663, J663), "")</f>
        <v/>
      </c>
    </row>
    <row r="664">
      <c r="B664" s="21">
        <f>IF(AND(C664&lt;&gt;"", J664&lt;&gt;""), HYPERLINK("#'" &amp; C664 &amp; "'!" &amp; J664, J664), "")</f>
        <v/>
      </c>
    </row>
    <row r="665">
      <c r="B665" s="21">
        <f>IF(AND(C665&lt;&gt;"", J665&lt;&gt;""), HYPERLINK("#'" &amp; C665 &amp; "'!" &amp; J665, J665), "")</f>
        <v/>
      </c>
    </row>
    <row r="666">
      <c r="B666" s="21">
        <f>IF(AND(C666&lt;&gt;"", J666&lt;&gt;""), HYPERLINK("#'" &amp; C666 &amp; "'!" &amp; J666, J666), "")</f>
        <v/>
      </c>
    </row>
    <row r="667">
      <c r="B667" s="21">
        <f>IF(AND(C667&lt;&gt;"", J667&lt;&gt;""), HYPERLINK("#'" &amp; C667 &amp; "'!" &amp; J667, J667), "")</f>
        <v/>
      </c>
    </row>
    <row r="668">
      <c r="B668" s="21">
        <f>IF(AND(C668&lt;&gt;"", J668&lt;&gt;""), HYPERLINK("#'" &amp; C668 &amp; "'!" &amp; J668, J668), "")</f>
        <v/>
      </c>
    </row>
    <row r="669">
      <c r="B669" s="21">
        <f>IF(AND(C669&lt;&gt;"", J669&lt;&gt;""), HYPERLINK("#'" &amp; C669 &amp; "'!" &amp; J669, J669), "")</f>
        <v/>
      </c>
    </row>
    <row r="670">
      <c r="B670" s="21">
        <f>IF(AND(C670&lt;&gt;"", J670&lt;&gt;""), HYPERLINK("#'" &amp; C670 &amp; "'!" &amp; J670, J670), "")</f>
        <v/>
      </c>
    </row>
    <row r="671">
      <c r="B671" s="21">
        <f>IF(AND(C671&lt;&gt;"", J671&lt;&gt;""), HYPERLINK("#'" &amp; C671 &amp; "'!" &amp; J671, J671), "")</f>
        <v/>
      </c>
    </row>
    <row r="672">
      <c r="B672" s="21">
        <f>IF(AND(C672&lt;&gt;"", J672&lt;&gt;""), HYPERLINK("#'" &amp; C672 &amp; "'!" &amp; J672, J672), "")</f>
        <v/>
      </c>
    </row>
    <row r="673">
      <c r="B673" s="21">
        <f>IF(AND(C673&lt;&gt;"", J673&lt;&gt;""), HYPERLINK("#'" &amp; C673 &amp; "'!" &amp; J673, J673), "")</f>
        <v/>
      </c>
    </row>
    <row r="674">
      <c r="B674" s="21">
        <f>IF(AND(C674&lt;&gt;"", J674&lt;&gt;""), HYPERLINK("#'" &amp; C674 &amp; "'!" &amp; J674, J674), "")</f>
        <v/>
      </c>
    </row>
    <row r="675">
      <c r="B675" s="21">
        <f>IF(AND(C675&lt;&gt;"", J675&lt;&gt;""), HYPERLINK("#'" &amp; C675 &amp; "'!" &amp; J675, J675), "")</f>
        <v/>
      </c>
    </row>
    <row r="676">
      <c r="B676" s="21">
        <f>IF(AND(C676&lt;&gt;"", J676&lt;&gt;""), HYPERLINK("#'" &amp; C676 &amp; "'!" &amp; J676, J676), "")</f>
        <v/>
      </c>
    </row>
    <row r="677">
      <c r="B677" s="21">
        <f>IF(AND(C677&lt;&gt;"", J677&lt;&gt;""), HYPERLINK("#'" &amp; C677 &amp; "'!" &amp; J677, J677), "")</f>
        <v/>
      </c>
    </row>
    <row r="678">
      <c r="B678" s="21">
        <f>IF(AND(C678&lt;&gt;"", J678&lt;&gt;""), HYPERLINK("#'" &amp; C678 &amp; "'!" &amp; J678, J678), "")</f>
        <v/>
      </c>
    </row>
    <row r="679">
      <c r="B679" s="21">
        <f>IF(AND(C679&lt;&gt;"", J679&lt;&gt;""), HYPERLINK("#'" &amp; C679 &amp; "'!" &amp; J679, J679), "")</f>
        <v/>
      </c>
    </row>
    <row r="680">
      <c r="B680" s="21">
        <f>IF(AND(C680&lt;&gt;"", J680&lt;&gt;""), HYPERLINK("#'" &amp; C680 &amp; "'!" &amp; J680, J680), "")</f>
        <v/>
      </c>
    </row>
    <row r="681">
      <c r="B681" s="21">
        <f>IF(AND(C681&lt;&gt;"", J681&lt;&gt;""), HYPERLINK("#'" &amp; C681 &amp; "'!" &amp; J681, J681), "")</f>
        <v/>
      </c>
    </row>
    <row r="682">
      <c r="B682" s="21">
        <f>IF(AND(C682&lt;&gt;"", J682&lt;&gt;""), HYPERLINK("#'" &amp; C682 &amp; "'!" &amp; J682, J682), "")</f>
        <v/>
      </c>
    </row>
    <row r="683">
      <c r="B683" s="21">
        <f>IF(AND(C683&lt;&gt;"", J683&lt;&gt;""), HYPERLINK("#'" &amp; C683 &amp; "'!" &amp; J683, J683), "")</f>
        <v/>
      </c>
    </row>
    <row r="684">
      <c r="B684" s="21">
        <f>IF(AND(C684&lt;&gt;"", J684&lt;&gt;""), HYPERLINK("#'" &amp; C684 &amp; "'!" &amp; J684, J684), "")</f>
        <v/>
      </c>
    </row>
    <row r="685">
      <c r="B685" s="21">
        <f>IF(AND(C685&lt;&gt;"", J685&lt;&gt;""), HYPERLINK("#'" &amp; C685 &amp; "'!" &amp; J685, J685), "")</f>
        <v/>
      </c>
    </row>
    <row r="686">
      <c r="B686" s="21">
        <f>IF(AND(C686&lt;&gt;"", J686&lt;&gt;""), HYPERLINK("#'" &amp; C686 &amp; "'!" &amp; J686, J686), "")</f>
        <v/>
      </c>
    </row>
    <row r="687">
      <c r="B687" s="21">
        <f>IF(AND(C687&lt;&gt;"", J687&lt;&gt;""), HYPERLINK("#'" &amp; C687 &amp; "'!" &amp; J687, J687), "")</f>
        <v/>
      </c>
    </row>
    <row r="688">
      <c r="B688" s="21">
        <f>IF(AND(C688&lt;&gt;"", J688&lt;&gt;""), HYPERLINK("#'" &amp; C688 &amp; "'!" &amp; J688, J688), "")</f>
        <v/>
      </c>
    </row>
    <row r="689">
      <c r="B689" s="21">
        <f>IF(AND(C689&lt;&gt;"", J689&lt;&gt;""), HYPERLINK("#'" &amp; C689 &amp; "'!" &amp; J689, J689), "")</f>
        <v/>
      </c>
    </row>
    <row r="690">
      <c r="B690" s="21">
        <f>IF(AND(C690&lt;&gt;"", J690&lt;&gt;""), HYPERLINK("#'" &amp; C690 &amp; "'!" &amp; J690, J690), "")</f>
        <v/>
      </c>
    </row>
    <row r="691">
      <c r="B691" s="21">
        <f>IF(AND(C691&lt;&gt;"", J691&lt;&gt;""), HYPERLINK("#'" &amp; C691 &amp; "'!" &amp; J691, J691), "")</f>
        <v/>
      </c>
    </row>
    <row r="692">
      <c r="B692" s="21">
        <f>IF(AND(C692&lt;&gt;"", J692&lt;&gt;""), HYPERLINK("#'" &amp; C692 &amp; "'!" &amp; J692, J692), "")</f>
        <v/>
      </c>
    </row>
    <row r="693">
      <c r="B693" s="21">
        <f>IF(AND(C693&lt;&gt;"", J693&lt;&gt;""), HYPERLINK("#'" &amp; C693 &amp; "'!" &amp; J693, J693), "")</f>
        <v/>
      </c>
    </row>
    <row r="694">
      <c r="B694" s="21">
        <f>IF(AND(C694&lt;&gt;"", J694&lt;&gt;""), HYPERLINK("#'" &amp; C694 &amp; "'!" &amp; J694, J694), "")</f>
        <v/>
      </c>
    </row>
    <row r="695">
      <c r="B695" s="21">
        <f>IF(AND(C695&lt;&gt;"", J695&lt;&gt;""), HYPERLINK("#'" &amp; C695 &amp; "'!" &amp; J695, J695), "")</f>
        <v/>
      </c>
    </row>
    <row r="696">
      <c r="B696" s="21">
        <f>IF(AND(C696&lt;&gt;"", J696&lt;&gt;""), HYPERLINK("#'" &amp; C696 &amp; "'!" &amp; J696, J696), "")</f>
        <v/>
      </c>
    </row>
    <row r="697">
      <c r="B697" s="21">
        <f>IF(AND(C697&lt;&gt;"", J697&lt;&gt;""), HYPERLINK("#'" &amp; C697 &amp; "'!" &amp; J697, J697), "")</f>
        <v/>
      </c>
    </row>
    <row r="698">
      <c r="B698" s="21">
        <f>IF(AND(C698&lt;&gt;"", J698&lt;&gt;""), HYPERLINK("#'" &amp; C698 &amp; "'!" &amp; J698, J698), "")</f>
        <v/>
      </c>
    </row>
    <row r="699">
      <c r="B699" s="21">
        <f>IF(AND(C699&lt;&gt;"", J699&lt;&gt;""), HYPERLINK("#'" &amp; C699 &amp; "'!" &amp; J699, J699), "")</f>
        <v/>
      </c>
    </row>
    <row r="700">
      <c r="B700" s="21">
        <f>IF(AND(C700&lt;&gt;"", J700&lt;&gt;""), HYPERLINK("#'" &amp; C700 &amp; "'!" &amp; J700, J700), "")</f>
        <v/>
      </c>
    </row>
    <row r="701">
      <c r="B701" s="21">
        <f>IF(AND(C701&lt;&gt;"", J701&lt;&gt;""), HYPERLINK("#'" &amp; C701 &amp; "'!" &amp; J701, J701), "")</f>
        <v/>
      </c>
    </row>
    <row r="702">
      <c r="B702" s="21">
        <f>IF(AND(C702&lt;&gt;"", J702&lt;&gt;""), HYPERLINK("#'" &amp; C702 &amp; "'!" &amp; J702, J702), "")</f>
        <v/>
      </c>
    </row>
    <row r="703">
      <c r="B703" s="21">
        <f>IF(AND(C703&lt;&gt;"", J703&lt;&gt;""), HYPERLINK("#'" &amp; C703 &amp; "'!" &amp; J703, J703), "")</f>
        <v/>
      </c>
    </row>
    <row r="704">
      <c r="B704" s="21">
        <f>IF(AND(C704&lt;&gt;"", J704&lt;&gt;""), HYPERLINK("#'" &amp; C704 &amp; "'!" &amp; J704, J704), "")</f>
        <v/>
      </c>
    </row>
    <row r="705">
      <c r="B705" s="21">
        <f>IF(AND(C705&lt;&gt;"", J705&lt;&gt;""), HYPERLINK("#'" &amp; C705 &amp; "'!" &amp; J705, J705), "")</f>
        <v/>
      </c>
    </row>
    <row r="706">
      <c r="B706" s="21">
        <f>IF(AND(C706&lt;&gt;"", J706&lt;&gt;""), HYPERLINK("#'" &amp; C706 &amp; "'!" &amp; J706, J706), "")</f>
        <v/>
      </c>
    </row>
    <row r="707">
      <c r="B707" s="21">
        <f>IF(AND(C707&lt;&gt;"", J707&lt;&gt;""), HYPERLINK("#'" &amp; C707 &amp; "'!" &amp; J707, J707), "")</f>
        <v/>
      </c>
    </row>
    <row r="708">
      <c r="B708" s="21">
        <f>IF(AND(C708&lt;&gt;"", J708&lt;&gt;""), HYPERLINK("#'" &amp; C708 &amp; "'!" &amp; J708, J708), "")</f>
        <v/>
      </c>
    </row>
    <row r="709">
      <c r="B709" s="21">
        <f>IF(AND(C709&lt;&gt;"", J709&lt;&gt;""), HYPERLINK("#'" &amp; C709 &amp; "'!" &amp; J709, J709), "")</f>
        <v/>
      </c>
    </row>
    <row r="710">
      <c r="B710" s="21">
        <f>IF(AND(C710&lt;&gt;"", J710&lt;&gt;""), HYPERLINK("#'" &amp; C710 &amp; "'!" &amp; J710, J710), "")</f>
        <v/>
      </c>
    </row>
    <row r="711">
      <c r="B711" s="21">
        <f>IF(AND(C711&lt;&gt;"", J711&lt;&gt;""), HYPERLINK("#'" &amp; C711 &amp; "'!" &amp; J711, J711), "")</f>
        <v/>
      </c>
    </row>
    <row r="712">
      <c r="B712" s="21">
        <f>IF(AND(C712&lt;&gt;"", J712&lt;&gt;""), HYPERLINK("#'" &amp; C712 &amp; "'!" &amp; J712, J712), "")</f>
        <v/>
      </c>
    </row>
    <row r="713">
      <c r="B713" s="21">
        <f>IF(AND(C713&lt;&gt;"", J713&lt;&gt;""), HYPERLINK("#'" &amp; C713 &amp; "'!" &amp; J713, J713), "")</f>
        <v/>
      </c>
    </row>
    <row r="714">
      <c r="B714" s="21">
        <f>IF(AND(C714&lt;&gt;"", J714&lt;&gt;""), HYPERLINK("#'" &amp; C714 &amp; "'!" &amp; J714, J714), "")</f>
        <v/>
      </c>
    </row>
    <row r="715">
      <c r="B715" s="21">
        <f>IF(AND(C715&lt;&gt;"", J715&lt;&gt;""), HYPERLINK("#'" &amp; C715 &amp; "'!" &amp; J715, J715), "")</f>
        <v/>
      </c>
    </row>
    <row r="716">
      <c r="B716" s="21">
        <f>IF(AND(C716&lt;&gt;"", J716&lt;&gt;""), HYPERLINK("#'" &amp; C716 &amp; "'!" &amp; J716, J716), "")</f>
        <v/>
      </c>
    </row>
    <row r="717">
      <c r="B717" s="21">
        <f>IF(AND(C717&lt;&gt;"", J717&lt;&gt;""), HYPERLINK("#'" &amp; C717 &amp; "'!" &amp; J717, J717), "")</f>
        <v/>
      </c>
    </row>
    <row r="718">
      <c r="B718" s="21">
        <f>IF(AND(C718&lt;&gt;"", J718&lt;&gt;""), HYPERLINK("#'" &amp; C718 &amp; "'!" &amp; J718, J718), "")</f>
        <v/>
      </c>
    </row>
    <row r="719">
      <c r="B719" s="21">
        <f>IF(AND(C719&lt;&gt;"", J719&lt;&gt;""), HYPERLINK("#'" &amp; C719 &amp; "'!" &amp; J719, J719), "")</f>
        <v/>
      </c>
    </row>
    <row r="720">
      <c r="B720" s="21">
        <f>IF(AND(C720&lt;&gt;"", J720&lt;&gt;""), HYPERLINK("#'" &amp; C720 &amp; "'!" &amp; J720, J720), "")</f>
        <v/>
      </c>
    </row>
    <row r="721">
      <c r="B721" s="21">
        <f>IF(AND(C721&lt;&gt;"", J721&lt;&gt;""), HYPERLINK("#'" &amp; C721 &amp; "'!" &amp; J721, J721), "")</f>
        <v/>
      </c>
    </row>
    <row r="722">
      <c r="B722" s="21">
        <f>IF(AND(C722&lt;&gt;"", J722&lt;&gt;""), HYPERLINK("#'" &amp; C722 &amp; "'!" &amp; J722, J722), "")</f>
        <v/>
      </c>
    </row>
    <row r="723">
      <c r="B723" s="21">
        <f>IF(AND(C723&lt;&gt;"", J723&lt;&gt;""), HYPERLINK("#'" &amp; C723 &amp; "'!" &amp; J723, J723), "")</f>
        <v/>
      </c>
    </row>
    <row r="724">
      <c r="B724" s="21">
        <f>IF(AND(C724&lt;&gt;"", J724&lt;&gt;""), HYPERLINK("#'" &amp; C724 &amp; "'!" &amp; J724, J724), "")</f>
        <v/>
      </c>
    </row>
    <row r="725">
      <c r="B725" s="21">
        <f>IF(AND(C725&lt;&gt;"", J725&lt;&gt;""), HYPERLINK("#'" &amp; C725 &amp; "'!" &amp; J725, J725), "")</f>
        <v/>
      </c>
    </row>
    <row r="726">
      <c r="B726" s="21">
        <f>IF(AND(C726&lt;&gt;"", J726&lt;&gt;""), HYPERLINK("#'" &amp; C726 &amp; "'!" &amp; J726, J726), "")</f>
        <v/>
      </c>
    </row>
    <row r="727">
      <c r="B727" s="21">
        <f>IF(AND(C727&lt;&gt;"", J727&lt;&gt;""), HYPERLINK("#'" &amp; C727 &amp; "'!" &amp; J727, J727), "")</f>
        <v/>
      </c>
    </row>
    <row r="728">
      <c r="B728" s="21">
        <f>IF(AND(C728&lt;&gt;"", J728&lt;&gt;""), HYPERLINK("#'" &amp; C728 &amp; "'!" &amp; J728, J728), "")</f>
        <v/>
      </c>
    </row>
    <row r="729">
      <c r="B729" s="21">
        <f>IF(AND(C729&lt;&gt;"", J729&lt;&gt;""), HYPERLINK("#'" &amp; C729 &amp; "'!" &amp; J729, J729), "")</f>
        <v/>
      </c>
    </row>
    <row r="730">
      <c r="B730" s="21">
        <f>IF(AND(C730&lt;&gt;"", J730&lt;&gt;""), HYPERLINK("#'" &amp; C730 &amp; "'!" &amp; J730, J730), "")</f>
        <v/>
      </c>
    </row>
    <row r="731">
      <c r="B731" s="21">
        <f>IF(AND(C731&lt;&gt;"", J731&lt;&gt;""), HYPERLINK("#'" &amp; C731 &amp; "'!" &amp; J731, J731), "")</f>
        <v/>
      </c>
    </row>
    <row r="732">
      <c r="B732" s="21">
        <f>IF(AND(C732&lt;&gt;"", J732&lt;&gt;""), HYPERLINK("#'" &amp; C732 &amp; "'!" &amp; J732, J732), "")</f>
        <v/>
      </c>
    </row>
    <row r="733">
      <c r="B733" s="21">
        <f>IF(AND(C733&lt;&gt;"", J733&lt;&gt;""), HYPERLINK("#'" &amp; C733 &amp; "'!" &amp; J733, J733), "")</f>
        <v/>
      </c>
    </row>
    <row r="734">
      <c r="B734" s="21">
        <f>IF(AND(C734&lt;&gt;"", J734&lt;&gt;""), HYPERLINK("#'" &amp; C734 &amp; "'!" &amp; J734, J734), "")</f>
        <v/>
      </c>
    </row>
    <row r="735">
      <c r="B735" s="21">
        <f>IF(AND(C735&lt;&gt;"", J735&lt;&gt;""), HYPERLINK("#'" &amp; C735 &amp; "'!" &amp; J735, J735), "")</f>
        <v/>
      </c>
    </row>
    <row r="736">
      <c r="B736" s="21">
        <f>IF(AND(C736&lt;&gt;"", J736&lt;&gt;""), HYPERLINK("#'" &amp; C736 &amp; "'!" &amp; J736, J736), "")</f>
        <v/>
      </c>
    </row>
    <row r="737">
      <c r="B737" s="21">
        <f>IF(AND(C737&lt;&gt;"", J737&lt;&gt;""), HYPERLINK("#'" &amp; C737 &amp; "'!" &amp; J737, J737), "")</f>
        <v/>
      </c>
    </row>
    <row r="738">
      <c r="B738" s="21">
        <f>IF(AND(C738&lt;&gt;"", J738&lt;&gt;""), HYPERLINK("#'" &amp; C738 &amp; "'!" &amp; J738, J738), "")</f>
        <v/>
      </c>
    </row>
    <row r="739">
      <c r="B739" s="21">
        <f>IF(AND(C739&lt;&gt;"", J739&lt;&gt;""), HYPERLINK("#'" &amp; C739 &amp; "'!" &amp; J739, J739), "")</f>
        <v/>
      </c>
    </row>
    <row r="740">
      <c r="B740" s="21">
        <f>IF(AND(C740&lt;&gt;"", J740&lt;&gt;""), HYPERLINK("#'" &amp; C740 &amp; "'!" &amp; J740, J740), "")</f>
        <v/>
      </c>
    </row>
    <row r="741">
      <c r="B741" s="21">
        <f>IF(AND(C741&lt;&gt;"", J741&lt;&gt;""), HYPERLINK("#'" &amp; C741 &amp; "'!" &amp; J741, J741), "")</f>
        <v/>
      </c>
    </row>
    <row r="742">
      <c r="B742" s="21">
        <f>IF(AND(C742&lt;&gt;"", J742&lt;&gt;""), HYPERLINK("#'" &amp; C742 &amp; "'!" &amp; J742, J742), "")</f>
        <v/>
      </c>
    </row>
    <row r="743">
      <c r="B743" s="21">
        <f>IF(AND(C743&lt;&gt;"", J743&lt;&gt;""), HYPERLINK("#'" &amp; C743 &amp; "'!" &amp; J743, J743), "")</f>
        <v/>
      </c>
    </row>
    <row r="744">
      <c r="B744" s="21">
        <f>IF(AND(C744&lt;&gt;"", J744&lt;&gt;""), HYPERLINK("#'" &amp; C744 &amp; "'!" &amp; J744, J744), "")</f>
        <v/>
      </c>
    </row>
    <row r="745">
      <c r="B745" s="21">
        <f>IF(AND(C745&lt;&gt;"", J745&lt;&gt;""), HYPERLINK("#'" &amp; C745 &amp; "'!" &amp; J745, J745), "")</f>
        <v/>
      </c>
    </row>
    <row r="746">
      <c r="B746" s="21">
        <f>IF(AND(C746&lt;&gt;"", J746&lt;&gt;""), HYPERLINK("#'" &amp; C746 &amp; "'!" &amp; J746, J746), "")</f>
        <v/>
      </c>
    </row>
    <row r="747">
      <c r="B747" s="21">
        <f>IF(AND(C747&lt;&gt;"", J747&lt;&gt;""), HYPERLINK("#'" &amp; C747 &amp; "'!" &amp; J747, J747), "")</f>
        <v/>
      </c>
    </row>
    <row r="748">
      <c r="B748" s="21">
        <f>IF(AND(C748&lt;&gt;"", J748&lt;&gt;""), HYPERLINK("#'" &amp; C748 &amp; "'!" &amp; J748, J748), "")</f>
        <v/>
      </c>
    </row>
    <row r="749">
      <c r="B749" s="21">
        <f>IF(AND(C749&lt;&gt;"", J749&lt;&gt;""), HYPERLINK("#'" &amp; C749 &amp; "'!" &amp; J749, J749), "")</f>
        <v/>
      </c>
    </row>
    <row r="750">
      <c r="B750" s="21">
        <f>IF(AND(C750&lt;&gt;"", J750&lt;&gt;""), HYPERLINK("#'" &amp; C750 &amp; "'!" &amp; J750, J750), "")</f>
        <v/>
      </c>
    </row>
    <row r="751">
      <c r="B751" s="21">
        <f>IF(AND(C751&lt;&gt;"", J751&lt;&gt;""), HYPERLINK("#'" &amp; C751 &amp; "'!" &amp; J751, J751), "")</f>
        <v/>
      </c>
    </row>
    <row r="752">
      <c r="B752" s="21">
        <f>IF(AND(C752&lt;&gt;"", J752&lt;&gt;""), HYPERLINK("#'" &amp; C752 &amp; "'!" &amp; J752, J752), "")</f>
        <v/>
      </c>
    </row>
    <row r="753">
      <c r="B753" s="21">
        <f>IF(AND(C753&lt;&gt;"", J753&lt;&gt;""), HYPERLINK("#'" &amp; C753 &amp; "'!" &amp; J753, J753), "")</f>
        <v/>
      </c>
    </row>
    <row r="754">
      <c r="B754" s="21">
        <f>IF(AND(C754&lt;&gt;"", J754&lt;&gt;""), HYPERLINK("#'" &amp; C754 &amp; "'!" &amp; J754, J754), "")</f>
        <v/>
      </c>
    </row>
    <row r="755">
      <c r="B755" s="21">
        <f>IF(AND(C755&lt;&gt;"", J755&lt;&gt;""), HYPERLINK("#'" &amp; C755 &amp; "'!" &amp; J755, J755), "")</f>
        <v/>
      </c>
    </row>
    <row r="756">
      <c r="B756" s="21">
        <f>IF(AND(C756&lt;&gt;"", J756&lt;&gt;""), HYPERLINK("#'" &amp; C756 &amp; "'!" &amp; J756, J756), "")</f>
        <v/>
      </c>
    </row>
    <row r="757">
      <c r="B757" s="21">
        <f>IF(AND(C757&lt;&gt;"", J757&lt;&gt;""), HYPERLINK("#'" &amp; C757 &amp; "'!" &amp; J757, J757), "")</f>
        <v/>
      </c>
    </row>
    <row r="758">
      <c r="B758" s="21">
        <f>IF(AND(C758&lt;&gt;"", J758&lt;&gt;""), HYPERLINK("#'" &amp; C758 &amp; "'!" &amp; J758, J758), "")</f>
        <v/>
      </c>
    </row>
    <row r="759">
      <c r="B759" s="21">
        <f>IF(AND(C759&lt;&gt;"", J759&lt;&gt;""), HYPERLINK("#'" &amp; C759 &amp; "'!" &amp; J759, J759), "")</f>
        <v/>
      </c>
    </row>
    <row r="760">
      <c r="B760" s="21">
        <f>IF(AND(C760&lt;&gt;"", J760&lt;&gt;""), HYPERLINK("#'" &amp; C760 &amp; "'!" &amp; J760, J760), "")</f>
        <v/>
      </c>
    </row>
    <row r="761">
      <c r="B761" s="21">
        <f>IF(AND(C761&lt;&gt;"", J761&lt;&gt;""), HYPERLINK("#'" &amp; C761 &amp; "'!" &amp; J761, J761), "")</f>
        <v/>
      </c>
    </row>
    <row r="762">
      <c r="B762" s="21">
        <f>IF(AND(C762&lt;&gt;"", J762&lt;&gt;""), HYPERLINK("#'" &amp; C762 &amp; "'!" &amp; J762, J762), "")</f>
        <v/>
      </c>
    </row>
    <row r="763">
      <c r="B763" s="21">
        <f>IF(AND(C763&lt;&gt;"", J763&lt;&gt;""), HYPERLINK("#'" &amp; C763 &amp; "'!" &amp; J763, J763), "")</f>
        <v/>
      </c>
    </row>
    <row r="764">
      <c r="B764" s="21">
        <f>IF(AND(C764&lt;&gt;"", J764&lt;&gt;""), HYPERLINK("#'" &amp; C764 &amp; "'!" &amp; J764, J764), "")</f>
        <v/>
      </c>
    </row>
    <row r="765">
      <c r="B765" s="21">
        <f>IF(AND(C765&lt;&gt;"", J765&lt;&gt;""), HYPERLINK("#'" &amp; C765 &amp; "'!" &amp; J765, J765), "")</f>
        <v/>
      </c>
    </row>
    <row r="766">
      <c r="B766" s="21">
        <f>IF(AND(C766&lt;&gt;"", J766&lt;&gt;""), HYPERLINK("#'" &amp; C766 &amp; "'!" &amp; J766, J766), "")</f>
        <v/>
      </c>
    </row>
    <row r="767">
      <c r="B767" s="21">
        <f>IF(AND(C767&lt;&gt;"", J767&lt;&gt;""), HYPERLINK("#'" &amp; C767 &amp; "'!" &amp; J767, J767), "")</f>
        <v/>
      </c>
    </row>
    <row r="768">
      <c r="B768" s="21">
        <f>IF(AND(C768&lt;&gt;"", J768&lt;&gt;""), HYPERLINK("#'" &amp; C768 &amp; "'!" &amp; J768, J768), "")</f>
        <v/>
      </c>
    </row>
    <row r="769">
      <c r="B769" s="21">
        <f>IF(AND(C769&lt;&gt;"", J769&lt;&gt;""), HYPERLINK("#'" &amp; C769 &amp; "'!" &amp; J769, J769), "")</f>
        <v/>
      </c>
    </row>
    <row r="770">
      <c r="B770" s="21">
        <f>IF(AND(C770&lt;&gt;"", J770&lt;&gt;""), HYPERLINK("#'" &amp; C770 &amp; "'!" &amp; J770, J770), "")</f>
        <v/>
      </c>
    </row>
    <row r="771">
      <c r="B771" s="21">
        <f>IF(AND(C771&lt;&gt;"", J771&lt;&gt;""), HYPERLINK("#'" &amp; C771 &amp; "'!" &amp; J771, J771), "")</f>
        <v/>
      </c>
    </row>
    <row r="772">
      <c r="B772" s="21">
        <f>IF(AND(C772&lt;&gt;"", J772&lt;&gt;""), HYPERLINK("#'" &amp; C772 &amp; "'!" &amp; J772, J772), "")</f>
        <v/>
      </c>
    </row>
    <row r="773">
      <c r="B773" s="21">
        <f>IF(AND(C773&lt;&gt;"", J773&lt;&gt;""), HYPERLINK("#'" &amp; C773 &amp; "'!" &amp; J773, J773), "")</f>
        <v/>
      </c>
    </row>
    <row r="774">
      <c r="B774" s="21">
        <f>IF(AND(C774&lt;&gt;"", J774&lt;&gt;""), HYPERLINK("#'" &amp; C774 &amp; "'!" &amp; J774, J774), "")</f>
        <v/>
      </c>
    </row>
    <row r="775">
      <c r="B775" s="21">
        <f>IF(AND(C775&lt;&gt;"", J775&lt;&gt;""), HYPERLINK("#'" &amp; C775 &amp; "'!" &amp; J775, J775), "")</f>
        <v/>
      </c>
    </row>
    <row r="776">
      <c r="B776" s="21">
        <f>IF(AND(C776&lt;&gt;"", J776&lt;&gt;""), HYPERLINK("#'" &amp; C776 &amp; "'!" &amp; J776, J776), "")</f>
        <v/>
      </c>
    </row>
    <row r="777">
      <c r="B777" s="21">
        <f>IF(AND(C777&lt;&gt;"", J777&lt;&gt;""), HYPERLINK("#'" &amp; C777 &amp; "'!" &amp; J777, J777), "")</f>
        <v/>
      </c>
    </row>
    <row r="778">
      <c r="B778" s="21">
        <f>IF(AND(C778&lt;&gt;"", J778&lt;&gt;""), HYPERLINK("#'" &amp; C778 &amp; "'!" &amp; J778, J778), "")</f>
        <v/>
      </c>
    </row>
    <row r="779">
      <c r="B779" s="21">
        <f>IF(AND(C779&lt;&gt;"", J779&lt;&gt;""), HYPERLINK("#'" &amp; C779 &amp; "'!" &amp; J779, J779), "")</f>
        <v/>
      </c>
    </row>
    <row r="780">
      <c r="B780" s="21">
        <f>IF(AND(C780&lt;&gt;"", J780&lt;&gt;""), HYPERLINK("#'" &amp; C780 &amp; "'!" &amp; J780, J780), "")</f>
        <v/>
      </c>
    </row>
    <row r="781">
      <c r="B781" s="21">
        <f>IF(AND(C781&lt;&gt;"", J781&lt;&gt;""), HYPERLINK("#'" &amp; C781 &amp; "'!" &amp; J781, J781), "")</f>
        <v/>
      </c>
    </row>
    <row r="782">
      <c r="B782" s="21">
        <f>IF(AND(C782&lt;&gt;"", J782&lt;&gt;""), HYPERLINK("#'" &amp; C782 &amp; "'!" &amp; J782, J782), "")</f>
        <v/>
      </c>
    </row>
    <row r="783">
      <c r="B783" s="21">
        <f>IF(AND(C783&lt;&gt;"", J783&lt;&gt;""), HYPERLINK("#'" &amp; C783 &amp; "'!" &amp; J783, J783), "")</f>
        <v/>
      </c>
    </row>
    <row r="784">
      <c r="B784" s="21">
        <f>IF(AND(C784&lt;&gt;"", J784&lt;&gt;""), HYPERLINK("#'" &amp; C784 &amp; "'!" &amp; J784, J784), "")</f>
        <v/>
      </c>
    </row>
    <row r="785">
      <c r="B785" s="21">
        <f>IF(AND(C785&lt;&gt;"", J785&lt;&gt;""), HYPERLINK("#'" &amp; C785 &amp; "'!" &amp; J785, J785), "")</f>
        <v/>
      </c>
    </row>
    <row r="786">
      <c r="B786" s="21">
        <f>IF(AND(C786&lt;&gt;"", J786&lt;&gt;""), HYPERLINK("#'" &amp; C786 &amp; "'!" &amp; J786, J786), "")</f>
        <v/>
      </c>
    </row>
    <row r="787">
      <c r="B787" s="21">
        <f>IF(AND(C787&lt;&gt;"", J787&lt;&gt;""), HYPERLINK("#'" &amp; C787 &amp; "'!" &amp; J787, J787), "")</f>
        <v/>
      </c>
    </row>
    <row r="788">
      <c r="B788" s="21">
        <f>IF(AND(C788&lt;&gt;"", J788&lt;&gt;""), HYPERLINK("#'" &amp; C788 &amp; "'!" &amp; J788, J788), "")</f>
        <v/>
      </c>
    </row>
    <row r="789">
      <c r="B789" s="21">
        <f>IF(AND(C789&lt;&gt;"", J789&lt;&gt;""), HYPERLINK("#'" &amp; C789 &amp; "'!" &amp; J789, J789), "")</f>
        <v/>
      </c>
    </row>
    <row r="790">
      <c r="B790" s="21">
        <f>IF(AND(C790&lt;&gt;"", J790&lt;&gt;""), HYPERLINK("#'" &amp; C790 &amp; "'!" &amp; J790, J790), "")</f>
        <v/>
      </c>
    </row>
    <row r="791">
      <c r="B791" s="21">
        <f>IF(AND(C791&lt;&gt;"", J791&lt;&gt;""), HYPERLINK("#'" &amp; C791 &amp; "'!" &amp; J791, J791), "")</f>
        <v/>
      </c>
    </row>
    <row r="792">
      <c r="B792" s="21">
        <f>IF(AND(C792&lt;&gt;"", J792&lt;&gt;""), HYPERLINK("#'" &amp; C792 &amp; "'!" &amp; J792, J792), "")</f>
        <v/>
      </c>
    </row>
    <row r="793">
      <c r="B793" s="21">
        <f>IF(AND(C793&lt;&gt;"", J793&lt;&gt;""), HYPERLINK("#'" &amp; C793 &amp; "'!" &amp; J793, J793), "")</f>
        <v/>
      </c>
    </row>
    <row r="794">
      <c r="B794" s="21">
        <f>IF(AND(C794&lt;&gt;"", J794&lt;&gt;""), HYPERLINK("#'" &amp; C794 &amp; "'!" &amp; J794, J794), "")</f>
        <v/>
      </c>
    </row>
    <row r="795">
      <c r="B795" s="21">
        <f>IF(AND(C795&lt;&gt;"", J795&lt;&gt;""), HYPERLINK("#'" &amp; C795 &amp; "'!" &amp; J795, J795), "")</f>
        <v/>
      </c>
    </row>
    <row r="796">
      <c r="B796" s="21">
        <f>IF(AND(C796&lt;&gt;"", J796&lt;&gt;""), HYPERLINK("#'" &amp; C796 &amp; "'!" &amp; J796, J796), "")</f>
        <v/>
      </c>
    </row>
    <row r="797">
      <c r="B797" s="21">
        <f>IF(AND(C797&lt;&gt;"", J797&lt;&gt;""), HYPERLINK("#'" &amp; C797 &amp; "'!" &amp; J797, J797), "")</f>
        <v/>
      </c>
    </row>
    <row r="798">
      <c r="B798" s="21">
        <f>IF(AND(C798&lt;&gt;"", J798&lt;&gt;""), HYPERLINK("#'" &amp; C798 &amp; "'!" &amp; J798, J798), "")</f>
        <v/>
      </c>
    </row>
    <row r="799">
      <c r="B799" s="21">
        <f>IF(AND(C799&lt;&gt;"", J799&lt;&gt;""), HYPERLINK("#'" &amp; C799 &amp; "'!" &amp; J799, J799), "")</f>
        <v/>
      </c>
    </row>
    <row r="800">
      <c r="B800" s="21">
        <f>IF(AND(C800&lt;&gt;"", J800&lt;&gt;""), HYPERLINK("#'" &amp; C800 &amp; "'!" &amp; J800, J800), "")</f>
        <v/>
      </c>
    </row>
    <row r="801">
      <c r="B801" s="21">
        <f>IF(AND(C801&lt;&gt;"", J801&lt;&gt;""), HYPERLINK("#'" &amp; C801 &amp; "'!" &amp; J801, J801), "")</f>
        <v/>
      </c>
    </row>
    <row r="802">
      <c r="B802" s="21">
        <f>IF(AND(C802&lt;&gt;"", J802&lt;&gt;""), HYPERLINK("#'" &amp; C802 &amp; "'!" &amp; J802, J802), "")</f>
        <v/>
      </c>
    </row>
    <row r="803">
      <c r="B803" s="21">
        <f>IF(AND(C803&lt;&gt;"", J803&lt;&gt;""), HYPERLINK("#'" &amp; C803 &amp; "'!" &amp; J803, J803), "")</f>
        <v/>
      </c>
    </row>
    <row r="804">
      <c r="B804" s="21">
        <f>IF(AND(C804&lt;&gt;"", J804&lt;&gt;""), HYPERLINK("#'" &amp; C804 &amp; "'!" &amp; J804, J804), "")</f>
        <v/>
      </c>
    </row>
    <row r="805">
      <c r="B805" s="21">
        <f>IF(AND(C805&lt;&gt;"", J805&lt;&gt;""), HYPERLINK("#'" &amp; C805 &amp; "'!" &amp; J805, J805), "")</f>
        <v/>
      </c>
    </row>
    <row r="806">
      <c r="B806" s="21">
        <f>IF(AND(C806&lt;&gt;"", J806&lt;&gt;""), HYPERLINK("#'" &amp; C806 &amp; "'!" &amp; J806, J806), "")</f>
        <v/>
      </c>
    </row>
    <row r="807">
      <c r="B807" s="21">
        <f>IF(AND(C807&lt;&gt;"", J807&lt;&gt;""), HYPERLINK("#'" &amp; C807 &amp; "'!" &amp; J807, J807), "")</f>
        <v/>
      </c>
    </row>
    <row r="808">
      <c r="B808" s="21">
        <f>IF(AND(C808&lt;&gt;"", J808&lt;&gt;""), HYPERLINK("#'" &amp; C808 &amp; "'!" &amp; J808, J808), "")</f>
        <v/>
      </c>
    </row>
    <row r="809">
      <c r="B809" s="21">
        <f>IF(AND(C809&lt;&gt;"", J809&lt;&gt;""), HYPERLINK("#'" &amp; C809 &amp; "'!" &amp; J809, J809), "")</f>
        <v/>
      </c>
    </row>
    <row r="810">
      <c r="B810" s="21">
        <f>IF(AND(C810&lt;&gt;"", J810&lt;&gt;""), HYPERLINK("#'" &amp; C810 &amp; "'!" &amp; J810, J810), "")</f>
        <v/>
      </c>
    </row>
    <row r="811">
      <c r="B811" s="21">
        <f>IF(AND(C811&lt;&gt;"", J811&lt;&gt;""), HYPERLINK("#'" &amp; C811 &amp; "'!" &amp; J811, J811), "")</f>
        <v/>
      </c>
    </row>
    <row r="812">
      <c r="B812" s="21">
        <f>IF(AND(C812&lt;&gt;"", J812&lt;&gt;""), HYPERLINK("#'" &amp; C812 &amp; "'!" &amp; J812, J812), "")</f>
        <v/>
      </c>
    </row>
    <row r="813">
      <c r="B813" s="21">
        <f>IF(AND(C813&lt;&gt;"", J813&lt;&gt;""), HYPERLINK("#'" &amp; C813 &amp; "'!" &amp; J813, J813), "")</f>
        <v/>
      </c>
    </row>
    <row r="814">
      <c r="B814" s="21">
        <f>IF(AND(C814&lt;&gt;"", J814&lt;&gt;""), HYPERLINK("#'" &amp; C814 &amp; "'!" &amp; J814, J814), "")</f>
        <v/>
      </c>
    </row>
    <row r="815">
      <c r="B815" s="21">
        <f>IF(AND(C815&lt;&gt;"", J815&lt;&gt;""), HYPERLINK("#'" &amp; C815 &amp; "'!" &amp; J815, J815), "")</f>
        <v/>
      </c>
    </row>
    <row r="816">
      <c r="B816" s="21">
        <f>IF(AND(C816&lt;&gt;"", J816&lt;&gt;""), HYPERLINK("#'" &amp; C816 &amp; "'!" &amp; J816, J816), "")</f>
        <v/>
      </c>
    </row>
    <row r="817">
      <c r="B817" s="21">
        <f>IF(AND(C817&lt;&gt;"", J817&lt;&gt;""), HYPERLINK("#'" &amp; C817 &amp; "'!" &amp; J817, J817), "")</f>
        <v/>
      </c>
    </row>
    <row r="818">
      <c r="B818" s="21">
        <f>IF(AND(C818&lt;&gt;"", J818&lt;&gt;""), HYPERLINK("#'" &amp; C818 &amp; "'!" &amp; J818, J818), "")</f>
        <v/>
      </c>
    </row>
    <row r="819">
      <c r="B819" s="21">
        <f>IF(AND(C819&lt;&gt;"", J819&lt;&gt;""), HYPERLINK("#'" &amp; C819 &amp; "'!" &amp; J819, J819), "")</f>
        <v/>
      </c>
    </row>
    <row r="820">
      <c r="B820" s="21">
        <f>IF(AND(C820&lt;&gt;"", J820&lt;&gt;""), HYPERLINK("#'" &amp; C820 &amp; "'!" &amp; J820, J820), "")</f>
        <v/>
      </c>
    </row>
    <row r="821">
      <c r="B821" s="21">
        <f>IF(AND(C821&lt;&gt;"", J821&lt;&gt;""), HYPERLINK("#'" &amp; C821 &amp; "'!" &amp; J821, J821), "")</f>
        <v/>
      </c>
    </row>
    <row r="822">
      <c r="B822" s="21">
        <f>IF(AND(C822&lt;&gt;"", J822&lt;&gt;""), HYPERLINK("#'" &amp; C822 &amp; "'!" &amp; J822, J822), "")</f>
        <v/>
      </c>
    </row>
    <row r="823">
      <c r="B823" s="21">
        <f>IF(AND(C823&lt;&gt;"", J823&lt;&gt;""), HYPERLINK("#'" &amp; C823 &amp; "'!" &amp; J823, J823), "")</f>
        <v/>
      </c>
    </row>
    <row r="824">
      <c r="B824" s="21">
        <f>IF(AND(C824&lt;&gt;"", J824&lt;&gt;""), HYPERLINK("#'" &amp; C824 &amp; "'!" &amp; J824, J824), "")</f>
        <v/>
      </c>
    </row>
    <row r="825">
      <c r="B825" s="21">
        <f>IF(AND(C825&lt;&gt;"", J825&lt;&gt;""), HYPERLINK("#'" &amp; C825 &amp; "'!" &amp; J825, J825), "")</f>
        <v/>
      </c>
    </row>
    <row r="826">
      <c r="B826" s="21">
        <f>IF(AND(C826&lt;&gt;"", J826&lt;&gt;""), HYPERLINK("#'" &amp; C826 &amp; "'!" &amp; J826, J826), "")</f>
        <v/>
      </c>
    </row>
    <row r="827">
      <c r="B827" s="21">
        <f>IF(AND(C827&lt;&gt;"", J827&lt;&gt;""), HYPERLINK("#'" &amp; C827 &amp; "'!" &amp; J827, J827), "")</f>
        <v/>
      </c>
    </row>
    <row r="828">
      <c r="B828" s="21">
        <f>IF(AND(C828&lt;&gt;"", J828&lt;&gt;""), HYPERLINK("#'" &amp; C828 &amp; "'!" &amp; J828, J828), "")</f>
        <v/>
      </c>
    </row>
    <row r="829">
      <c r="B829" s="21">
        <f>IF(AND(C829&lt;&gt;"", J829&lt;&gt;""), HYPERLINK("#'" &amp; C829 &amp; "'!" &amp; J829, J829), "")</f>
        <v/>
      </c>
    </row>
    <row r="830">
      <c r="B830" s="21">
        <f>IF(AND(C830&lt;&gt;"", J830&lt;&gt;""), HYPERLINK("#'" &amp; C830 &amp; "'!" &amp; J830, J830), "")</f>
        <v/>
      </c>
    </row>
    <row r="831">
      <c r="B831" s="21">
        <f>IF(AND(C831&lt;&gt;"", J831&lt;&gt;""), HYPERLINK("#'" &amp; C831 &amp; "'!" &amp; J831, J831), "")</f>
        <v/>
      </c>
    </row>
    <row r="832">
      <c r="B832" s="21">
        <f>IF(AND(C832&lt;&gt;"", J832&lt;&gt;""), HYPERLINK("#'" &amp; C832 &amp; "'!" &amp; J832, J832), "")</f>
        <v/>
      </c>
    </row>
    <row r="833">
      <c r="B833" s="21">
        <f>IF(AND(C833&lt;&gt;"", J833&lt;&gt;""), HYPERLINK("#'" &amp; C833 &amp; "'!" &amp; J833, J833), "")</f>
        <v/>
      </c>
    </row>
    <row r="834">
      <c r="B834" s="21">
        <f>IF(AND(C834&lt;&gt;"", J834&lt;&gt;""), HYPERLINK("#'" &amp; C834 &amp; "'!" &amp; J834, J834), "")</f>
        <v/>
      </c>
    </row>
    <row r="835">
      <c r="B835" s="21">
        <f>IF(AND(C835&lt;&gt;"", J835&lt;&gt;""), HYPERLINK("#'" &amp; C835 &amp; "'!" &amp; J835, J835), "")</f>
        <v/>
      </c>
    </row>
    <row r="836">
      <c r="B836" s="21">
        <f>IF(AND(C836&lt;&gt;"", J836&lt;&gt;""), HYPERLINK("#'" &amp; C836 &amp; "'!" &amp; J836, J836), "")</f>
        <v/>
      </c>
    </row>
    <row r="837">
      <c r="B837" s="21">
        <f>IF(AND(C837&lt;&gt;"", J837&lt;&gt;""), HYPERLINK("#'" &amp; C837 &amp; "'!" &amp; J837, J837), "")</f>
        <v/>
      </c>
    </row>
    <row r="838">
      <c r="B838" s="21">
        <f>IF(AND(C838&lt;&gt;"", J838&lt;&gt;""), HYPERLINK("#'" &amp; C838 &amp; "'!" &amp; J838, J838), "")</f>
        <v/>
      </c>
    </row>
    <row r="839">
      <c r="B839" s="21">
        <f>IF(AND(C839&lt;&gt;"", J839&lt;&gt;""), HYPERLINK("#'" &amp; C839 &amp; "'!" &amp; J839, J839), "")</f>
        <v/>
      </c>
    </row>
    <row r="840">
      <c r="B840" s="21">
        <f>IF(AND(C840&lt;&gt;"", J840&lt;&gt;""), HYPERLINK("#'" &amp; C840 &amp; "'!" &amp; J840, J840), "")</f>
        <v/>
      </c>
    </row>
    <row r="841">
      <c r="B841" s="21">
        <f>IF(AND(C841&lt;&gt;"", J841&lt;&gt;""), HYPERLINK("#'" &amp; C841 &amp; "'!" &amp; J841, J841), "")</f>
        <v/>
      </c>
    </row>
    <row r="842">
      <c r="B842" s="21">
        <f>IF(AND(C842&lt;&gt;"", J842&lt;&gt;""), HYPERLINK("#'" &amp; C842 &amp; "'!" &amp; J842, J842), "")</f>
        <v/>
      </c>
    </row>
    <row r="843">
      <c r="B843" s="21">
        <f>IF(AND(C843&lt;&gt;"", J843&lt;&gt;""), HYPERLINK("#'" &amp; C843 &amp; "'!" &amp; J843, J843), "")</f>
        <v/>
      </c>
    </row>
    <row r="844">
      <c r="B844" s="21">
        <f>IF(AND(C844&lt;&gt;"", J844&lt;&gt;""), HYPERLINK("#'" &amp; C844 &amp; "'!" &amp; J844, J844), "")</f>
        <v/>
      </c>
    </row>
    <row r="845">
      <c r="B845" s="21">
        <f>IF(AND(C845&lt;&gt;"", J845&lt;&gt;""), HYPERLINK("#'" &amp; C845 &amp; "'!" &amp; J845, J845), "")</f>
        <v/>
      </c>
    </row>
    <row r="846">
      <c r="B846" s="21">
        <f>IF(AND(C846&lt;&gt;"", J846&lt;&gt;""), HYPERLINK("#'" &amp; C846 &amp; "'!" &amp; J846, J846), "")</f>
        <v/>
      </c>
    </row>
    <row r="847">
      <c r="B847" s="21">
        <f>IF(AND(C847&lt;&gt;"", J847&lt;&gt;""), HYPERLINK("#'" &amp; C847 &amp; "'!" &amp; J847, J847), "")</f>
        <v/>
      </c>
    </row>
    <row r="848">
      <c r="B848" s="21">
        <f>IF(AND(C848&lt;&gt;"", J848&lt;&gt;""), HYPERLINK("#'" &amp; C848 &amp; "'!" &amp; J848, J848), "")</f>
        <v/>
      </c>
    </row>
    <row r="849">
      <c r="B849" s="21">
        <f>IF(AND(C849&lt;&gt;"", J849&lt;&gt;""), HYPERLINK("#'" &amp; C849 &amp; "'!" &amp; J849, J849), "")</f>
        <v/>
      </c>
    </row>
    <row r="850">
      <c r="B850" s="21">
        <f>IF(AND(C850&lt;&gt;"", J850&lt;&gt;""), HYPERLINK("#'" &amp; C850 &amp; "'!" &amp; J850, J850), "")</f>
        <v/>
      </c>
    </row>
    <row r="851">
      <c r="B851" s="21">
        <f>IF(AND(C851&lt;&gt;"", J851&lt;&gt;""), HYPERLINK("#'" &amp; C851 &amp; "'!" &amp; J851, J851), "")</f>
        <v/>
      </c>
    </row>
    <row r="852">
      <c r="B852" s="21">
        <f>IF(AND(C852&lt;&gt;"", J852&lt;&gt;""), HYPERLINK("#'" &amp; C852 &amp; "'!" &amp; J852, J852), "")</f>
        <v/>
      </c>
    </row>
    <row r="853">
      <c r="B853" s="21">
        <f>IF(AND(C853&lt;&gt;"", J853&lt;&gt;""), HYPERLINK("#'" &amp; C853 &amp; "'!" &amp; J853, J853), "")</f>
        <v/>
      </c>
    </row>
    <row r="854">
      <c r="B854" s="21">
        <f>IF(AND(C854&lt;&gt;"", J854&lt;&gt;""), HYPERLINK("#'" &amp; C854 &amp; "'!" &amp; J854, J854), "")</f>
        <v/>
      </c>
    </row>
    <row r="855">
      <c r="B855" s="21">
        <f>IF(AND(C855&lt;&gt;"", J855&lt;&gt;""), HYPERLINK("#'" &amp; C855 &amp; "'!" &amp; J855, J855), "")</f>
        <v/>
      </c>
    </row>
    <row r="856">
      <c r="B856" s="21">
        <f>IF(AND(C856&lt;&gt;"", J856&lt;&gt;""), HYPERLINK("#'" &amp; C856 &amp; "'!" &amp; J856, J856), "")</f>
        <v/>
      </c>
    </row>
    <row r="857">
      <c r="B857" s="21">
        <f>IF(AND(C857&lt;&gt;"", J857&lt;&gt;""), HYPERLINK("#'" &amp; C857 &amp; "'!" &amp; J857, J857), "")</f>
        <v/>
      </c>
    </row>
    <row r="858">
      <c r="B858" s="21">
        <f>IF(AND(C858&lt;&gt;"", J858&lt;&gt;""), HYPERLINK("#'" &amp; C858 &amp; "'!" &amp; J858, J858), "")</f>
        <v/>
      </c>
    </row>
    <row r="859">
      <c r="B859" s="21">
        <f>IF(AND(C859&lt;&gt;"", J859&lt;&gt;""), HYPERLINK("#'" &amp; C859 &amp; "'!" &amp; J859, J859), "")</f>
        <v/>
      </c>
    </row>
    <row r="860">
      <c r="B860" s="21">
        <f>IF(AND(C860&lt;&gt;"", J860&lt;&gt;""), HYPERLINK("#'" &amp; C860 &amp; "'!" &amp; J860, J860), "")</f>
        <v/>
      </c>
    </row>
    <row r="861">
      <c r="B861" s="21">
        <f>IF(AND(C861&lt;&gt;"", J861&lt;&gt;""), HYPERLINK("#'" &amp; C861 &amp; "'!" &amp; J861, J861), "")</f>
        <v/>
      </c>
    </row>
    <row r="862">
      <c r="B862" s="21">
        <f>IF(AND(C862&lt;&gt;"", J862&lt;&gt;""), HYPERLINK("#'" &amp; C862 &amp; "'!" &amp; J862, J862), "")</f>
        <v/>
      </c>
    </row>
    <row r="863">
      <c r="B863" s="21">
        <f>IF(AND(C863&lt;&gt;"", J863&lt;&gt;""), HYPERLINK("#'" &amp; C863 &amp; "'!" &amp; J863, J863), "")</f>
        <v/>
      </c>
    </row>
    <row r="864">
      <c r="B864" s="21">
        <f>IF(AND(C864&lt;&gt;"", J864&lt;&gt;""), HYPERLINK("#'" &amp; C864 &amp; "'!" &amp; J864, J864), "")</f>
        <v/>
      </c>
    </row>
    <row r="865">
      <c r="B865" s="21">
        <f>IF(AND(C865&lt;&gt;"", J865&lt;&gt;""), HYPERLINK("#'" &amp; C865 &amp; "'!" &amp; J865, J865), "")</f>
        <v/>
      </c>
    </row>
    <row r="866">
      <c r="B866" s="21">
        <f>IF(AND(C866&lt;&gt;"", J866&lt;&gt;""), HYPERLINK("#'" &amp; C866 &amp; "'!" &amp; J866, J866), "")</f>
        <v/>
      </c>
    </row>
    <row r="867">
      <c r="B867" s="21">
        <f>IF(AND(C867&lt;&gt;"", J867&lt;&gt;""), HYPERLINK("#'" &amp; C867 &amp; "'!" &amp; J867, J867), "")</f>
        <v/>
      </c>
    </row>
    <row r="868">
      <c r="B868" s="21">
        <f>IF(AND(C868&lt;&gt;"", J868&lt;&gt;""), HYPERLINK("#'" &amp; C868 &amp; "'!" &amp; J868, J868), "")</f>
        <v/>
      </c>
    </row>
    <row r="869">
      <c r="B869" s="21">
        <f>IF(AND(C869&lt;&gt;"", J869&lt;&gt;""), HYPERLINK("#'" &amp; C869 &amp; "'!" &amp; J869, J869), "")</f>
        <v/>
      </c>
    </row>
    <row r="870">
      <c r="B870" s="21">
        <f>IF(AND(C870&lt;&gt;"", J870&lt;&gt;""), HYPERLINK("#'" &amp; C870 &amp; "'!" &amp; J870, J870), "")</f>
        <v/>
      </c>
    </row>
    <row r="871">
      <c r="B871" s="21">
        <f>IF(AND(C871&lt;&gt;"", J871&lt;&gt;""), HYPERLINK("#'" &amp; C871 &amp; "'!" &amp; J871, J871), "")</f>
        <v/>
      </c>
    </row>
    <row r="872">
      <c r="B872" s="21">
        <f>IF(AND(C872&lt;&gt;"", J872&lt;&gt;""), HYPERLINK("#'" &amp; C872 &amp; "'!" &amp; J872, J872), "")</f>
        <v/>
      </c>
    </row>
    <row r="873">
      <c r="B873" s="21">
        <f>IF(AND(C873&lt;&gt;"", J873&lt;&gt;""), HYPERLINK("#'" &amp; C873 &amp; "'!" &amp; J873, J873), "")</f>
        <v/>
      </c>
    </row>
    <row r="874">
      <c r="B874" s="21">
        <f>IF(AND(C874&lt;&gt;"", J874&lt;&gt;""), HYPERLINK("#'" &amp; C874 &amp; "'!" &amp; J874, J874), "")</f>
        <v/>
      </c>
    </row>
    <row r="875">
      <c r="B875" s="21">
        <f>IF(AND(C875&lt;&gt;"", J875&lt;&gt;""), HYPERLINK("#'" &amp; C875 &amp; "'!" &amp; J875, J875), "")</f>
        <v/>
      </c>
    </row>
    <row r="876">
      <c r="B876" s="21">
        <f>IF(AND(C876&lt;&gt;"", J876&lt;&gt;""), HYPERLINK("#'" &amp; C876 &amp; "'!" &amp; J876, J876), "")</f>
        <v/>
      </c>
    </row>
    <row r="877">
      <c r="B877" s="21">
        <f>IF(AND(C877&lt;&gt;"", J877&lt;&gt;""), HYPERLINK("#'" &amp; C877 &amp; "'!" &amp; J877, J877), "")</f>
        <v/>
      </c>
    </row>
    <row r="878">
      <c r="B878" s="21">
        <f>IF(AND(C878&lt;&gt;"", J878&lt;&gt;""), HYPERLINK("#'" &amp; C878 &amp; "'!" &amp; J878, J878), "")</f>
        <v/>
      </c>
    </row>
    <row r="879">
      <c r="B879" s="21">
        <f>IF(AND(C879&lt;&gt;"", J879&lt;&gt;""), HYPERLINK("#'" &amp; C879 &amp; "'!" &amp; J879, J879), "")</f>
        <v/>
      </c>
    </row>
    <row r="880">
      <c r="B880" s="21">
        <f>IF(AND(C880&lt;&gt;"", J880&lt;&gt;""), HYPERLINK("#'" &amp; C880 &amp; "'!" &amp; J880, J880), "")</f>
        <v/>
      </c>
    </row>
    <row r="881">
      <c r="B881" s="21">
        <f>IF(AND(C881&lt;&gt;"", J881&lt;&gt;""), HYPERLINK("#'" &amp; C881 &amp; "'!" &amp; J881, J881), "")</f>
        <v/>
      </c>
    </row>
    <row r="882">
      <c r="B882" s="21">
        <f>IF(AND(C882&lt;&gt;"", J882&lt;&gt;""), HYPERLINK("#'" &amp; C882 &amp; "'!" &amp; J882, J882), "")</f>
        <v/>
      </c>
    </row>
    <row r="883">
      <c r="B883" s="21">
        <f>IF(AND(C883&lt;&gt;"", J883&lt;&gt;""), HYPERLINK("#'" &amp; C883 &amp; "'!" &amp; J883, J883), "")</f>
        <v/>
      </c>
    </row>
    <row r="884">
      <c r="B884" s="21">
        <f>IF(AND(C884&lt;&gt;"", J884&lt;&gt;""), HYPERLINK("#'" &amp; C884 &amp; "'!" &amp; J884, J884), "")</f>
        <v/>
      </c>
    </row>
    <row r="885">
      <c r="B885" s="21">
        <f>IF(AND(C885&lt;&gt;"", J885&lt;&gt;""), HYPERLINK("#'" &amp; C885 &amp; "'!" &amp; J885, J885), "")</f>
        <v/>
      </c>
    </row>
    <row r="886">
      <c r="B886" s="21">
        <f>IF(AND(C886&lt;&gt;"", J886&lt;&gt;""), HYPERLINK("#'" &amp; C886 &amp; "'!" &amp; J886, J886), "")</f>
        <v/>
      </c>
    </row>
    <row r="887">
      <c r="B887" s="21">
        <f>IF(AND(C887&lt;&gt;"", J887&lt;&gt;""), HYPERLINK("#'" &amp; C887 &amp; "'!" &amp; J887, J887), "")</f>
        <v/>
      </c>
    </row>
    <row r="888">
      <c r="B888" s="21">
        <f>IF(AND(C888&lt;&gt;"", J888&lt;&gt;""), HYPERLINK("#'" &amp; C888 &amp; "'!" &amp; J888, J888), "")</f>
        <v/>
      </c>
    </row>
    <row r="889">
      <c r="B889" s="21">
        <f>IF(AND(C889&lt;&gt;"", J889&lt;&gt;""), HYPERLINK("#'" &amp; C889 &amp; "'!" &amp; J889, J889), "")</f>
        <v/>
      </c>
    </row>
    <row r="890">
      <c r="B890" s="21">
        <f>IF(AND(C890&lt;&gt;"", J890&lt;&gt;""), HYPERLINK("#'" &amp; C890 &amp; "'!" &amp; J890, J890), "")</f>
        <v/>
      </c>
    </row>
    <row r="891">
      <c r="B891" s="21">
        <f>IF(AND(C891&lt;&gt;"", J891&lt;&gt;""), HYPERLINK("#'" &amp; C891 &amp; "'!" &amp; J891, J891), "")</f>
        <v/>
      </c>
    </row>
    <row r="892">
      <c r="B892" s="21">
        <f>IF(AND(C892&lt;&gt;"", J892&lt;&gt;""), HYPERLINK("#'" &amp; C892 &amp; "'!" &amp; J892, J892), "")</f>
        <v/>
      </c>
    </row>
    <row r="893">
      <c r="B893" s="21">
        <f>IF(AND(C893&lt;&gt;"", J893&lt;&gt;""), HYPERLINK("#'" &amp; C893 &amp; "'!" &amp; J893, J893), "")</f>
        <v/>
      </c>
    </row>
    <row r="894">
      <c r="B894" s="21">
        <f>IF(AND(C894&lt;&gt;"", J894&lt;&gt;""), HYPERLINK("#'" &amp; C894 &amp; "'!" &amp; J894, J894), "")</f>
        <v/>
      </c>
    </row>
    <row r="895">
      <c r="B895" s="21">
        <f>IF(AND(C895&lt;&gt;"", J895&lt;&gt;""), HYPERLINK("#'" &amp; C895 &amp; "'!" &amp; J895, J895), "")</f>
        <v/>
      </c>
    </row>
    <row r="896">
      <c r="B896" s="21">
        <f>IF(AND(C896&lt;&gt;"", J896&lt;&gt;""), HYPERLINK("#'" &amp; C896 &amp; "'!" &amp; J896, J896), "")</f>
        <v/>
      </c>
    </row>
    <row r="897">
      <c r="B897" s="21">
        <f>IF(AND(C897&lt;&gt;"", J897&lt;&gt;""), HYPERLINK("#'" &amp; C897 &amp; "'!" &amp; J897, J897), "")</f>
        <v/>
      </c>
    </row>
    <row r="898">
      <c r="B898" s="21">
        <f>IF(AND(C898&lt;&gt;"", J898&lt;&gt;""), HYPERLINK("#'" &amp; C898 &amp; "'!" &amp; J898, J898), "")</f>
        <v/>
      </c>
    </row>
    <row r="899">
      <c r="B899" s="21">
        <f>IF(AND(C899&lt;&gt;"", J899&lt;&gt;""), HYPERLINK("#'" &amp; C899 &amp; "'!" &amp; J899, J899), "")</f>
        <v/>
      </c>
    </row>
    <row r="900">
      <c r="B900" s="21">
        <f>IF(AND(C900&lt;&gt;"", J900&lt;&gt;""), HYPERLINK("#'" &amp; C900 &amp; "'!" &amp; J900, J900), "")</f>
        <v/>
      </c>
    </row>
    <row r="901">
      <c r="B901" s="21">
        <f>IF(AND(C901&lt;&gt;"", J901&lt;&gt;""), HYPERLINK("#'" &amp; C901 &amp; "'!" &amp; J901, J901), "")</f>
        <v/>
      </c>
    </row>
    <row r="902">
      <c r="B902" s="21">
        <f>IF(AND(C902&lt;&gt;"", J902&lt;&gt;""), HYPERLINK("#'" &amp; C902 &amp; "'!" &amp; J902, J902), "")</f>
        <v/>
      </c>
    </row>
    <row r="903">
      <c r="B903" s="21">
        <f>IF(AND(C903&lt;&gt;"", J903&lt;&gt;""), HYPERLINK("#'" &amp; C903 &amp; "'!" &amp; J903, J903), "")</f>
        <v/>
      </c>
    </row>
    <row r="904">
      <c r="B904" s="21">
        <f>IF(AND(C904&lt;&gt;"", J904&lt;&gt;""), HYPERLINK("#'" &amp; C904 &amp; "'!" &amp; J904, J904), "")</f>
        <v/>
      </c>
    </row>
    <row r="905">
      <c r="B905" s="21">
        <f>IF(AND(C905&lt;&gt;"", J905&lt;&gt;""), HYPERLINK("#'" &amp; C905 &amp; "'!" &amp; J905, J905), "")</f>
        <v/>
      </c>
    </row>
    <row r="906">
      <c r="B906" s="21">
        <f>IF(AND(C906&lt;&gt;"", J906&lt;&gt;""), HYPERLINK("#'" &amp; C906 &amp; "'!" &amp; J906, J906), "")</f>
        <v/>
      </c>
    </row>
    <row r="907">
      <c r="B907" s="21">
        <f>IF(AND(C907&lt;&gt;"", J907&lt;&gt;""), HYPERLINK("#'" &amp; C907 &amp; "'!" &amp; J907, J907), "")</f>
        <v/>
      </c>
    </row>
    <row r="908">
      <c r="B908" s="21">
        <f>IF(AND(C908&lt;&gt;"", J908&lt;&gt;""), HYPERLINK("#'" &amp; C908 &amp; "'!" &amp; J908, J908), "")</f>
        <v/>
      </c>
    </row>
    <row r="909">
      <c r="B909" s="21">
        <f>IF(AND(C909&lt;&gt;"", J909&lt;&gt;""), HYPERLINK("#'" &amp; C909 &amp; "'!" &amp; J909, J909), "")</f>
        <v/>
      </c>
    </row>
    <row r="910">
      <c r="B910" s="21">
        <f>IF(AND(C910&lt;&gt;"", J910&lt;&gt;""), HYPERLINK("#'" &amp; C910 &amp; "'!" &amp; J910, J910), "")</f>
        <v/>
      </c>
    </row>
    <row r="911">
      <c r="B911" s="21">
        <f>IF(AND(C911&lt;&gt;"", J911&lt;&gt;""), HYPERLINK("#'" &amp; C911 &amp; "'!" &amp; J911, J911), "")</f>
        <v/>
      </c>
    </row>
    <row r="912">
      <c r="B912" s="21">
        <f>IF(AND(C912&lt;&gt;"", J912&lt;&gt;""), HYPERLINK("#'" &amp; C912 &amp; "'!" &amp; J912, J912), "")</f>
        <v/>
      </c>
    </row>
    <row r="913">
      <c r="B913" s="21">
        <f>IF(AND(C913&lt;&gt;"", J913&lt;&gt;""), HYPERLINK("#'" &amp; C913 &amp; "'!" &amp; J913, J913), "")</f>
        <v/>
      </c>
    </row>
    <row r="914">
      <c r="B914" s="21">
        <f>IF(AND(C914&lt;&gt;"", J914&lt;&gt;""), HYPERLINK("#'" &amp; C914 &amp; "'!" &amp; J914, J914), "")</f>
        <v/>
      </c>
    </row>
    <row r="915">
      <c r="B915" s="21">
        <f>IF(AND(C915&lt;&gt;"", J915&lt;&gt;""), HYPERLINK("#'" &amp; C915 &amp; "'!" &amp; J915, J915), "")</f>
        <v/>
      </c>
    </row>
    <row r="916">
      <c r="B916" s="21">
        <f>IF(AND(C916&lt;&gt;"", J916&lt;&gt;""), HYPERLINK("#'" &amp; C916 &amp; "'!" &amp; J916, J916), "")</f>
        <v/>
      </c>
    </row>
    <row r="917">
      <c r="B917" s="21">
        <f>IF(AND(C917&lt;&gt;"", J917&lt;&gt;""), HYPERLINK("#'" &amp; C917 &amp; "'!" &amp; J917, J917), "")</f>
        <v/>
      </c>
    </row>
    <row r="918">
      <c r="B918" s="21">
        <f>IF(AND(C918&lt;&gt;"", J918&lt;&gt;""), HYPERLINK("#'" &amp; C918 &amp; "'!" &amp; J918, J918), "")</f>
        <v/>
      </c>
    </row>
    <row r="919">
      <c r="B919" s="21">
        <f>IF(AND(C919&lt;&gt;"", J919&lt;&gt;""), HYPERLINK("#'" &amp; C919 &amp; "'!" &amp; J919, J919), "")</f>
        <v/>
      </c>
    </row>
    <row r="920">
      <c r="B920" s="21">
        <f>IF(AND(C920&lt;&gt;"", J920&lt;&gt;""), HYPERLINK("#'" &amp; C920 &amp; "'!" &amp; J920, J920), "")</f>
        <v/>
      </c>
    </row>
    <row r="921">
      <c r="B921" s="21">
        <f>IF(AND(C921&lt;&gt;"", J921&lt;&gt;""), HYPERLINK("#'" &amp; C921 &amp; "'!" &amp; J921, J921), "")</f>
        <v/>
      </c>
    </row>
    <row r="922">
      <c r="B922" s="21">
        <f>IF(AND(C922&lt;&gt;"", J922&lt;&gt;""), HYPERLINK("#'" &amp; C922 &amp; "'!" &amp; J922, J922), "")</f>
        <v/>
      </c>
    </row>
    <row r="923">
      <c r="B923" s="21">
        <f>IF(AND(C923&lt;&gt;"", J923&lt;&gt;""), HYPERLINK("#'" &amp; C923 &amp; "'!" &amp; J923, J923), "")</f>
        <v/>
      </c>
    </row>
    <row r="924">
      <c r="B924" s="21">
        <f>IF(AND(C924&lt;&gt;"", J924&lt;&gt;""), HYPERLINK("#'" &amp; C924 &amp; "'!" &amp; J924, J924), "")</f>
        <v/>
      </c>
    </row>
    <row r="925">
      <c r="B925" s="21">
        <f>IF(AND(C925&lt;&gt;"", J925&lt;&gt;""), HYPERLINK("#'" &amp; C925 &amp; "'!" &amp; J925, J925), "")</f>
        <v/>
      </c>
    </row>
    <row r="926">
      <c r="B926" s="21">
        <f>IF(AND(C926&lt;&gt;"", J926&lt;&gt;""), HYPERLINK("#'" &amp; C926 &amp; "'!" &amp; J926, J926), "")</f>
        <v/>
      </c>
    </row>
    <row r="927">
      <c r="B927" s="21">
        <f>IF(AND(C927&lt;&gt;"", J927&lt;&gt;""), HYPERLINK("#'" &amp; C927 &amp; "'!" &amp; J927, J927), "")</f>
        <v/>
      </c>
    </row>
    <row r="928">
      <c r="B928" s="21">
        <f>IF(AND(C928&lt;&gt;"", J928&lt;&gt;""), HYPERLINK("#'" &amp; C928 &amp; "'!" &amp; J928, J928), "")</f>
        <v/>
      </c>
    </row>
    <row r="929">
      <c r="B929" s="21">
        <f>IF(AND(C929&lt;&gt;"", J929&lt;&gt;""), HYPERLINK("#'" &amp; C929 &amp; "'!" &amp; J929, J929), "")</f>
        <v/>
      </c>
    </row>
    <row r="930">
      <c r="B930" s="21">
        <f>IF(AND(C930&lt;&gt;"", J930&lt;&gt;""), HYPERLINK("#'" &amp; C930 &amp; "'!" &amp; J930, J930), "")</f>
        <v/>
      </c>
    </row>
    <row r="931">
      <c r="B931" s="21">
        <f>IF(AND(C931&lt;&gt;"", J931&lt;&gt;""), HYPERLINK("#'" &amp; C931 &amp; "'!" &amp; J931, J931), "")</f>
        <v/>
      </c>
    </row>
    <row r="932">
      <c r="B932" s="21">
        <f>IF(AND(C932&lt;&gt;"", J932&lt;&gt;""), HYPERLINK("#'" &amp; C932 &amp; "'!" &amp; J932, J932), "")</f>
        <v/>
      </c>
    </row>
    <row r="933">
      <c r="B933" s="21">
        <f>IF(AND(C933&lt;&gt;"", J933&lt;&gt;""), HYPERLINK("#'" &amp; C933 &amp; "'!" &amp; J933, J933), "")</f>
        <v/>
      </c>
    </row>
    <row r="934">
      <c r="B934" s="21">
        <f>IF(AND(C934&lt;&gt;"", J934&lt;&gt;""), HYPERLINK("#'" &amp; C934 &amp; "'!" &amp; J934, J934), "")</f>
        <v/>
      </c>
    </row>
    <row r="935">
      <c r="B935" s="21">
        <f>IF(AND(C935&lt;&gt;"", J935&lt;&gt;""), HYPERLINK("#'" &amp; C935 &amp; "'!" &amp; J935, J935), "")</f>
        <v/>
      </c>
    </row>
    <row r="936">
      <c r="B936" s="21">
        <f>IF(AND(C936&lt;&gt;"", J936&lt;&gt;""), HYPERLINK("#'" &amp; C936 &amp; "'!" &amp; J936, J936), "")</f>
        <v/>
      </c>
    </row>
    <row r="937">
      <c r="B937" s="21">
        <f>IF(AND(C937&lt;&gt;"", J937&lt;&gt;""), HYPERLINK("#'" &amp; C937 &amp; "'!" &amp; J937, J937), "")</f>
        <v/>
      </c>
    </row>
    <row r="938">
      <c r="B938" s="21">
        <f>IF(AND(C938&lt;&gt;"", J938&lt;&gt;""), HYPERLINK("#'" &amp; C938 &amp; "'!" &amp; J938, J938), "")</f>
        <v/>
      </c>
    </row>
    <row r="939">
      <c r="B939" s="21">
        <f>IF(AND(C939&lt;&gt;"", J939&lt;&gt;""), HYPERLINK("#'" &amp; C939 &amp; "'!" &amp; J939, J939), "")</f>
        <v/>
      </c>
    </row>
    <row r="940">
      <c r="B940" s="21">
        <f>IF(AND(C940&lt;&gt;"", J940&lt;&gt;""), HYPERLINK("#'" &amp; C940 &amp; "'!" &amp; J940, J940), "")</f>
        <v/>
      </c>
    </row>
    <row r="941">
      <c r="B941" s="21">
        <f>IF(AND(C941&lt;&gt;"", J941&lt;&gt;""), HYPERLINK("#'" &amp; C941 &amp; "'!" &amp; J941, J941), "")</f>
        <v/>
      </c>
    </row>
    <row r="942">
      <c r="B942" s="21">
        <f>IF(AND(C942&lt;&gt;"", J942&lt;&gt;""), HYPERLINK("#'" &amp; C942 &amp; "'!" &amp; J942, J942), "")</f>
        <v/>
      </c>
    </row>
    <row r="943">
      <c r="B943" s="21">
        <f>IF(AND(C943&lt;&gt;"", J943&lt;&gt;""), HYPERLINK("#'" &amp; C943 &amp; "'!" &amp; J943, J943), "")</f>
        <v/>
      </c>
    </row>
    <row r="944">
      <c r="B944" s="21">
        <f>IF(AND(C944&lt;&gt;"", J944&lt;&gt;""), HYPERLINK("#'" &amp; C944 &amp; "'!" &amp; J944, J944), "")</f>
        <v/>
      </c>
    </row>
    <row r="945">
      <c r="B945" s="21">
        <f>IF(AND(C945&lt;&gt;"", J945&lt;&gt;""), HYPERLINK("#'" &amp; C945 &amp; "'!" &amp; J945, J945), "")</f>
        <v/>
      </c>
    </row>
    <row r="946">
      <c r="B946" s="21">
        <f>IF(AND(C946&lt;&gt;"", J946&lt;&gt;""), HYPERLINK("#'" &amp; C946 &amp; "'!" &amp; J946, J946), "")</f>
        <v/>
      </c>
    </row>
    <row r="947">
      <c r="B947" s="21">
        <f>IF(AND(C947&lt;&gt;"", J947&lt;&gt;""), HYPERLINK("#'" &amp; C947 &amp; "'!" &amp; J947, J947), "")</f>
        <v/>
      </c>
    </row>
    <row r="948">
      <c r="B948" s="21">
        <f>IF(AND(C948&lt;&gt;"", J948&lt;&gt;""), HYPERLINK("#'" &amp; C948 &amp; "'!" &amp; J948, J948), "")</f>
        <v/>
      </c>
    </row>
    <row r="949">
      <c r="B949" s="21">
        <f>IF(AND(C949&lt;&gt;"", J949&lt;&gt;""), HYPERLINK("#'" &amp; C949 &amp; "'!" &amp; J949, J949), "")</f>
        <v/>
      </c>
    </row>
    <row r="950">
      <c r="B950" s="21">
        <f>IF(AND(C950&lt;&gt;"", J950&lt;&gt;""), HYPERLINK("#'" &amp; C950 &amp; "'!" &amp; J950, J950), "")</f>
        <v/>
      </c>
    </row>
    <row r="951">
      <c r="B951" s="21">
        <f>IF(AND(C951&lt;&gt;"", J951&lt;&gt;""), HYPERLINK("#'" &amp; C951 &amp; "'!" &amp; J951, J951), "")</f>
        <v/>
      </c>
    </row>
    <row r="952">
      <c r="B952" s="21">
        <f>IF(AND(C952&lt;&gt;"", J952&lt;&gt;""), HYPERLINK("#'" &amp; C952 &amp; "'!" &amp; J952, J952), "")</f>
        <v/>
      </c>
    </row>
    <row r="953">
      <c r="B953" s="21">
        <f>IF(AND(C953&lt;&gt;"", J953&lt;&gt;""), HYPERLINK("#'" &amp; C953 &amp; "'!" &amp; J953, J953), "")</f>
        <v/>
      </c>
    </row>
    <row r="954">
      <c r="B954" s="21">
        <f>IF(AND(C954&lt;&gt;"", J954&lt;&gt;""), HYPERLINK("#'" &amp; C954 &amp; "'!" &amp; J954, J954), "")</f>
        <v/>
      </c>
    </row>
    <row r="955">
      <c r="B955" s="21">
        <f>IF(AND(C955&lt;&gt;"", J955&lt;&gt;""), HYPERLINK("#'" &amp; C955 &amp; "'!" &amp; J955, J955), "")</f>
        <v/>
      </c>
    </row>
    <row r="956">
      <c r="B956" s="21">
        <f>IF(AND(C956&lt;&gt;"", J956&lt;&gt;""), HYPERLINK("#'" &amp; C956 &amp; "'!" &amp; J956, J956), "")</f>
        <v/>
      </c>
    </row>
    <row r="957">
      <c r="B957" s="21">
        <f>IF(AND(C957&lt;&gt;"", J957&lt;&gt;""), HYPERLINK("#'" &amp; C957 &amp; "'!" &amp; J957, J957), "")</f>
        <v/>
      </c>
    </row>
    <row r="958">
      <c r="B958" s="21">
        <f>IF(AND(C958&lt;&gt;"", J958&lt;&gt;""), HYPERLINK("#'" &amp; C958 &amp; "'!" &amp; J958, J958), "")</f>
        <v/>
      </c>
    </row>
    <row r="959">
      <c r="B959" s="21">
        <f>IF(AND(C959&lt;&gt;"", J959&lt;&gt;""), HYPERLINK("#'" &amp; C959 &amp; "'!" &amp; J959, J959), "")</f>
        <v/>
      </c>
    </row>
    <row r="960">
      <c r="B960" s="21">
        <f>IF(AND(C960&lt;&gt;"", J960&lt;&gt;""), HYPERLINK("#'" &amp; C960 &amp; "'!" &amp; J960, J960), "")</f>
        <v/>
      </c>
    </row>
    <row r="961">
      <c r="B961" s="21">
        <f>IF(AND(C961&lt;&gt;"", J961&lt;&gt;""), HYPERLINK("#'" &amp; C961 &amp; "'!" &amp; J961, J961), "")</f>
        <v/>
      </c>
    </row>
    <row r="962">
      <c r="B962" s="21">
        <f>IF(AND(C962&lt;&gt;"", J962&lt;&gt;""), HYPERLINK("#'" &amp; C962 &amp; "'!" &amp; J962, J962), "")</f>
        <v/>
      </c>
    </row>
    <row r="963">
      <c r="B963" s="21">
        <f>IF(AND(C963&lt;&gt;"", J963&lt;&gt;""), HYPERLINK("#'" &amp; C963 &amp; "'!" &amp; J963, J963), "")</f>
        <v/>
      </c>
    </row>
    <row r="964">
      <c r="B964" s="21">
        <f>IF(AND(C964&lt;&gt;"", J964&lt;&gt;""), HYPERLINK("#'" &amp; C964 &amp; "'!" &amp; J964, J964), "")</f>
        <v/>
      </c>
    </row>
    <row r="965">
      <c r="B965" s="21">
        <f>IF(AND(C965&lt;&gt;"", J965&lt;&gt;""), HYPERLINK("#'" &amp; C965 &amp; "'!" &amp; J965, J965), "")</f>
        <v/>
      </c>
    </row>
    <row r="966">
      <c r="B966" s="21">
        <f>IF(AND(C966&lt;&gt;"", J966&lt;&gt;""), HYPERLINK("#'" &amp; C966 &amp; "'!" &amp; J966, J966), "")</f>
        <v/>
      </c>
    </row>
    <row r="967">
      <c r="B967" s="21">
        <f>IF(AND(C967&lt;&gt;"", J967&lt;&gt;""), HYPERLINK("#'" &amp; C967 &amp; "'!" &amp; J967, J967), "")</f>
        <v/>
      </c>
    </row>
    <row r="968">
      <c r="B968" s="21">
        <f>IF(AND(C968&lt;&gt;"", J968&lt;&gt;""), HYPERLINK("#'" &amp; C968 &amp; "'!" &amp; J968, J968), "")</f>
        <v/>
      </c>
    </row>
    <row r="969">
      <c r="B969" s="21">
        <f>IF(AND(C969&lt;&gt;"", J969&lt;&gt;""), HYPERLINK("#'" &amp; C969 &amp; "'!" &amp; J969, J969), "")</f>
        <v/>
      </c>
    </row>
    <row r="970">
      <c r="B970" s="21">
        <f>IF(AND(C970&lt;&gt;"", J970&lt;&gt;""), HYPERLINK("#'" &amp; C970 &amp; "'!" &amp; J970, J970), "")</f>
        <v/>
      </c>
    </row>
    <row r="971">
      <c r="B971" s="21">
        <f>IF(AND(C971&lt;&gt;"", J971&lt;&gt;""), HYPERLINK("#'" &amp; C971 &amp; "'!" &amp; J971, J971), "")</f>
        <v/>
      </c>
    </row>
    <row r="972">
      <c r="B972" s="21">
        <f>IF(AND(C972&lt;&gt;"", J972&lt;&gt;""), HYPERLINK("#'" &amp; C972 &amp; "'!" &amp; J972, J972), "")</f>
        <v/>
      </c>
    </row>
    <row r="973">
      <c r="B973" s="21">
        <f>IF(AND(C973&lt;&gt;"", J973&lt;&gt;""), HYPERLINK("#'" &amp; C973 &amp; "'!" &amp; J973, J973), "")</f>
        <v/>
      </c>
    </row>
    <row r="974">
      <c r="B974" s="21">
        <f>IF(AND(C974&lt;&gt;"", J974&lt;&gt;""), HYPERLINK("#'" &amp; C974 &amp; "'!" &amp; J974, J974), "")</f>
        <v/>
      </c>
    </row>
    <row r="975">
      <c r="B975" s="21">
        <f>IF(AND(C975&lt;&gt;"", J975&lt;&gt;""), HYPERLINK("#'" &amp; C975 &amp; "'!" &amp; J975, J975), "")</f>
        <v/>
      </c>
    </row>
    <row r="976">
      <c r="B976" s="21">
        <f>IF(AND(C976&lt;&gt;"", J976&lt;&gt;""), HYPERLINK("#'" &amp; C976 &amp; "'!" &amp; J976, J976), "")</f>
        <v/>
      </c>
    </row>
    <row r="977">
      <c r="B977" s="21">
        <f>IF(AND(C977&lt;&gt;"", J977&lt;&gt;""), HYPERLINK("#'" &amp; C977 &amp; "'!" &amp; J977, J977), "")</f>
        <v/>
      </c>
    </row>
    <row r="978">
      <c r="B978" s="21">
        <f>IF(AND(C978&lt;&gt;"", J978&lt;&gt;""), HYPERLINK("#'" &amp; C978 &amp; "'!" &amp; J978, J978), "")</f>
        <v/>
      </c>
    </row>
    <row r="979">
      <c r="B979" s="21">
        <f>IF(AND(C979&lt;&gt;"", J979&lt;&gt;""), HYPERLINK("#'" &amp; C979 &amp; "'!" &amp; J979, J979), "")</f>
        <v/>
      </c>
    </row>
    <row r="980">
      <c r="B980" s="21">
        <f>IF(AND(C980&lt;&gt;"", J980&lt;&gt;""), HYPERLINK("#'" &amp; C980 &amp; "'!" &amp; J980, J980), "")</f>
        <v/>
      </c>
    </row>
    <row r="981">
      <c r="B981" s="21">
        <f>IF(AND(C981&lt;&gt;"", J981&lt;&gt;""), HYPERLINK("#'" &amp; C981 &amp; "'!" &amp; J981, J981), "")</f>
        <v/>
      </c>
    </row>
    <row r="982">
      <c r="B982" s="21">
        <f>IF(AND(C982&lt;&gt;"", J982&lt;&gt;""), HYPERLINK("#'" &amp; C982 &amp; "'!" &amp; J982, J982), "")</f>
        <v/>
      </c>
    </row>
    <row r="983">
      <c r="B983" s="21">
        <f>IF(AND(C983&lt;&gt;"", J983&lt;&gt;""), HYPERLINK("#'" &amp; C983 &amp; "'!" &amp; J983, J983), "")</f>
        <v/>
      </c>
    </row>
    <row r="984">
      <c r="B984" s="21">
        <f>IF(AND(C984&lt;&gt;"", J984&lt;&gt;""), HYPERLINK("#'" &amp; C984 &amp; "'!" &amp; J984, J984), "")</f>
        <v/>
      </c>
    </row>
    <row r="985">
      <c r="B985" s="21">
        <f>IF(AND(C985&lt;&gt;"", J985&lt;&gt;""), HYPERLINK("#'" &amp; C985 &amp; "'!" &amp; J985, J985), "")</f>
        <v/>
      </c>
    </row>
    <row r="986">
      <c r="B986" s="21">
        <f>IF(AND(C986&lt;&gt;"", J986&lt;&gt;""), HYPERLINK("#'" &amp; C986 &amp; "'!" &amp; J986, J986), "")</f>
        <v/>
      </c>
    </row>
    <row r="987">
      <c r="B987" s="21">
        <f>IF(AND(C987&lt;&gt;"", J987&lt;&gt;""), HYPERLINK("#'" &amp; C987 &amp; "'!" &amp; J987, J987), "")</f>
        <v/>
      </c>
    </row>
    <row r="988">
      <c r="B988" s="21">
        <f>IF(AND(C988&lt;&gt;"", J988&lt;&gt;""), HYPERLINK("#'" &amp; C988 &amp; "'!" &amp; J988, J988), "")</f>
        <v/>
      </c>
    </row>
    <row r="989">
      <c r="B989" s="21">
        <f>IF(AND(C989&lt;&gt;"", J989&lt;&gt;""), HYPERLINK("#'" &amp; C989 &amp; "'!" &amp; J989, J989), "")</f>
        <v/>
      </c>
    </row>
    <row r="990">
      <c r="B990" s="21">
        <f>IF(AND(C990&lt;&gt;"", J990&lt;&gt;""), HYPERLINK("#'" &amp; C990 &amp; "'!" &amp; J990, J990), "")</f>
        <v/>
      </c>
    </row>
    <row r="991">
      <c r="B991" s="21">
        <f>IF(AND(C991&lt;&gt;"", J991&lt;&gt;""), HYPERLINK("#'" &amp; C991 &amp; "'!" &amp; J991, J991), "")</f>
        <v/>
      </c>
    </row>
    <row r="992">
      <c r="B992" s="21">
        <f>IF(AND(C992&lt;&gt;"", J992&lt;&gt;""), HYPERLINK("#'" &amp; C992 &amp; "'!" &amp; J992, J992), "")</f>
        <v/>
      </c>
    </row>
    <row r="993">
      <c r="B993" s="21">
        <f>IF(AND(C993&lt;&gt;"", J993&lt;&gt;""), HYPERLINK("#'" &amp; C993 &amp; "'!" &amp; J993, J993), "")</f>
        <v/>
      </c>
    </row>
    <row r="994">
      <c r="B994" s="21">
        <f>IF(AND(C994&lt;&gt;"", J994&lt;&gt;""), HYPERLINK("#'" &amp; C994 &amp; "'!" &amp; J994, J994), "")</f>
        <v/>
      </c>
    </row>
    <row r="995">
      <c r="B995" s="21">
        <f>IF(AND(C995&lt;&gt;"", J995&lt;&gt;""), HYPERLINK("#'" &amp; C995 &amp; "'!" &amp; J995, J995), "")</f>
        <v/>
      </c>
    </row>
    <row r="996">
      <c r="B996" s="21">
        <f>IF(AND(C996&lt;&gt;"", J996&lt;&gt;""), HYPERLINK("#'" &amp; C996 &amp; "'!" &amp; J996, J996), "")</f>
        <v/>
      </c>
    </row>
    <row r="997">
      <c r="B997" s="21">
        <f>IF(AND(C997&lt;&gt;"", J997&lt;&gt;""), HYPERLINK("#'" &amp; C997 &amp; "'!" &amp; J997, J997), "")</f>
        <v/>
      </c>
    </row>
    <row r="998">
      <c r="B998" s="21">
        <f>IF(AND(C998&lt;&gt;"", J998&lt;&gt;""), HYPERLINK("#'" &amp; C998 &amp; "'!" &amp; J998, J998), "")</f>
        <v/>
      </c>
    </row>
    <row r="999">
      <c r="B999" s="21">
        <f>IF(AND(C999&lt;&gt;"", J999&lt;&gt;""), HYPERLINK("#'" &amp; C999 &amp; "'!" &amp; J999, J999), "")</f>
        <v/>
      </c>
    </row>
    <row r="1000">
      <c r="B1000" s="21">
        <f>IF(AND(C1000&lt;&gt;"", J1000&lt;&gt;""), HYPERLINK("#'" &amp; C1000 &amp; "'!" &amp; J1000, J1000), "")</f>
        <v/>
      </c>
    </row>
    <row r="1001">
      <c r="B1001" s="21">
        <f>IF(AND(C1001&lt;&gt;"", J1001&lt;&gt;""), HYPERLINK("#'" &amp; C1001 &amp; "'!" &amp; J1001, J1001), "")</f>
        <v/>
      </c>
    </row>
    <row r="1002">
      <c r="B1002" s="21">
        <f>IF(AND(C1002&lt;&gt;"", J1002&lt;&gt;""), HYPERLINK("#'" &amp; C1002 &amp; "'!" &amp; J1002, J1002), "")</f>
        <v/>
      </c>
    </row>
    <row r="1003">
      <c r="B1003" s="21">
        <f>IF(AND(C1003&lt;&gt;"", J1003&lt;&gt;""), HYPERLINK("#'" &amp; C1003 &amp; "'!" &amp; J1003, J1003), "")</f>
        <v/>
      </c>
    </row>
    <row r="1004">
      <c r="B1004" s="21">
        <f>IF(AND(C1004&lt;&gt;"", J1004&lt;&gt;""), HYPERLINK("#'" &amp; C1004 &amp; "'!" &amp; J1004, J1004), "")</f>
        <v/>
      </c>
    </row>
    <row r="1005">
      <c r="B1005" s="21">
        <f>IF(AND(C1005&lt;&gt;"", J1005&lt;&gt;""), HYPERLINK("#'" &amp; C1005 &amp; "'!" &amp; J1005, J1005), "")</f>
        <v/>
      </c>
    </row>
    <row r="1006">
      <c r="B1006" s="21">
        <f>IF(AND(C1006&lt;&gt;"", J1006&lt;&gt;""), HYPERLINK("#'" &amp; C1006 &amp; "'!" &amp; J1006, J1006), "")</f>
        <v/>
      </c>
    </row>
    <row r="1007">
      <c r="B1007" s="21">
        <f>IF(AND(C1007&lt;&gt;"", J1007&lt;&gt;""), HYPERLINK("#'" &amp; C1007 &amp; "'!" &amp; J1007, J1007), "")</f>
        <v/>
      </c>
    </row>
    <row r="1008">
      <c r="B1008" s="21">
        <f>IF(AND(C1008&lt;&gt;"", J1008&lt;&gt;""), HYPERLINK("#'" &amp; C1008 &amp; "'!" &amp; J1008, J1008), "")</f>
        <v/>
      </c>
    </row>
    <row r="1009">
      <c r="B1009" s="21">
        <f>IF(AND(C1009&lt;&gt;"", J1009&lt;&gt;""), HYPERLINK("#'" &amp; C1009 &amp; "'!" &amp; J1009, J1009), "")</f>
        <v/>
      </c>
    </row>
    <row r="1010">
      <c r="B1010" s="21">
        <f>IF(AND(C1010&lt;&gt;"", J1010&lt;&gt;""), HYPERLINK("#'" &amp; C1010 &amp; "'!" &amp; J1010, J1010), "")</f>
        <v/>
      </c>
    </row>
    <row r="1011">
      <c r="B1011" s="21">
        <f>IF(AND(C1011&lt;&gt;"", J1011&lt;&gt;""), HYPERLINK("#'" &amp; C1011 &amp; "'!" &amp; J1011, J1011), "")</f>
        <v/>
      </c>
    </row>
    <row r="1012">
      <c r="B1012" s="21">
        <f>IF(AND(C1012&lt;&gt;"", J1012&lt;&gt;""), HYPERLINK("#'" &amp; C1012 &amp; "'!" &amp; J1012, J1012), "")</f>
        <v/>
      </c>
    </row>
    <row r="1013">
      <c r="B1013" s="21">
        <f>IF(AND(C1013&lt;&gt;"", J1013&lt;&gt;""), HYPERLINK("#'" &amp; C1013 &amp; "'!" &amp; J1013, J1013), "")</f>
        <v/>
      </c>
    </row>
    <row r="1014">
      <c r="B1014" s="21">
        <f>IF(AND(C1014&lt;&gt;"", J1014&lt;&gt;""), HYPERLINK("#'" &amp; C1014 &amp; "'!" &amp; J1014, J1014), "")</f>
        <v/>
      </c>
    </row>
    <row r="1015">
      <c r="B1015" s="21">
        <f>IF(AND(C1015&lt;&gt;"", J1015&lt;&gt;""), HYPERLINK("#'" &amp; C1015 &amp; "'!" &amp; J1015, J1015), "")</f>
        <v/>
      </c>
    </row>
    <row r="1016">
      <c r="B1016" s="21">
        <f>IF(AND(C1016&lt;&gt;"", J1016&lt;&gt;""), HYPERLINK("#'" &amp; C1016 &amp; "'!" &amp; J1016, J1016), "")</f>
        <v/>
      </c>
    </row>
    <row r="1017">
      <c r="B1017" s="21">
        <f>IF(AND(C1017&lt;&gt;"", J1017&lt;&gt;""), HYPERLINK("#'" &amp; C1017 &amp; "'!" &amp; J1017, J1017), "")</f>
        <v/>
      </c>
    </row>
    <row r="1018">
      <c r="B1018" s="21">
        <f>IF(AND(C1018&lt;&gt;"", J1018&lt;&gt;""), HYPERLINK("#'" &amp; C1018 &amp; "'!" &amp; J1018, J1018), "")</f>
        <v/>
      </c>
    </row>
    <row r="1019">
      <c r="B1019" s="21">
        <f>IF(AND(C1019&lt;&gt;"", J1019&lt;&gt;""), HYPERLINK("#'" &amp; C1019 &amp; "'!" &amp; J1019, J1019), "")</f>
        <v/>
      </c>
    </row>
    <row r="1020">
      <c r="B1020" s="21">
        <f>IF(AND(C1020&lt;&gt;"", J1020&lt;&gt;""), HYPERLINK("#'" &amp; C1020 &amp; "'!" &amp; J1020, J1020), "")</f>
        <v/>
      </c>
    </row>
    <row r="1021">
      <c r="B1021" s="21">
        <f>IF(AND(C1021&lt;&gt;"", J1021&lt;&gt;""), HYPERLINK("#'" &amp; C1021 &amp; "'!" &amp; J1021, J1021), "")</f>
        <v/>
      </c>
    </row>
    <row r="1022">
      <c r="B1022" s="21">
        <f>IF(AND(C1022&lt;&gt;"", J1022&lt;&gt;""), HYPERLINK("#'" &amp; C1022 &amp; "'!" &amp; J1022, J1022), "")</f>
        <v/>
      </c>
    </row>
    <row r="1023">
      <c r="B1023" s="21">
        <f>IF(AND(C1023&lt;&gt;"", J1023&lt;&gt;""), HYPERLINK("#'" &amp; C1023 &amp; "'!" &amp; J1023, J1023), "")</f>
        <v/>
      </c>
    </row>
    <row r="1024">
      <c r="B1024" s="21">
        <f>IF(AND(C1024&lt;&gt;"", J1024&lt;&gt;""), HYPERLINK("#'" &amp; C1024 &amp; "'!" &amp; J1024, J1024), "")</f>
        <v/>
      </c>
    </row>
    <row r="1025">
      <c r="B1025" s="21">
        <f>IF(AND(C1025&lt;&gt;"", J1025&lt;&gt;""), HYPERLINK("#'" &amp; C1025 &amp; "'!" &amp; J1025, J1025), "")</f>
        <v/>
      </c>
    </row>
    <row r="1026">
      <c r="B1026" s="21">
        <f>IF(AND(C1026&lt;&gt;"", J1026&lt;&gt;""), HYPERLINK("#'" &amp; C1026 &amp; "'!" &amp; J1026, J1026), "")</f>
        <v/>
      </c>
    </row>
    <row r="1027">
      <c r="B1027" s="21">
        <f>IF(AND(C1027&lt;&gt;"", J1027&lt;&gt;""), HYPERLINK("#'" &amp; C1027 &amp; "'!" &amp; J1027, J1027), "")</f>
        <v/>
      </c>
    </row>
    <row r="1028">
      <c r="B1028" s="21">
        <f>IF(AND(C1028&lt;&gt;"", J1028&lt;&gt;""), HYPERLINK("#'" &amp; C1028 &amp; "'!" &amp; J1028, J1028), "")</f>
        <v/>
      </c>
    </row>
    <row r="1029">
      <c r="B1029" s="21">
        <f>IF(AND(C1029&lt;&gt;"", J1029&lt;&gt;""), HYPERLINK("#'" &amp; C1029 &amp; "'!" &amp; J1029, J1029), "")</f>
        <v/>
      </c>
    </row>
    <row r="1030">
      <c r="B1030" s="21">
        <f>IF(AND(C1030&lt;&gt;"", J1030&lt;&gt;""), HYPERLINK("#'" &amp; C1030 &amp; "'!" &amp; J1030, J1030), "")</f>
        <v/>
      </c>
    </row>
    <row r="1031">
      <c r="B1031" s="21">
        <f>IF(AND(C1031&lt;&gt;"", J1031&lt;&gt;""), HYPERLINK("#'" &amp; C1031 &amp; "'!" &amp; J1031, J1031), "")</f>
        <v/>
      </c>
    </row>
    <row r="1032">
      <c r="B1032" s="21">
        <f>IF(AND(C1032&lt;&gt;"", J1032&lt;&gt;""), HYPERLINK("#'" &amp; C1032 &amp; "'!" &amp; J1032, J1032), "")</f>
        <v/>
      </c>
    </row>
    <row r="1033">
      <c r="B1033" s="21">
        <f>IF(AND(C1033&lt;&gt;"", J1033&lt;&gt;""), HYPERLINK("#'" &amp; C1033 &amp; "'!" &amp; J1033, J1033), "")</f>
        <v/>
      </c>
    </row>
    <row r="1034">
      <c r="B1034" s="21">
        <f>IF(AND(C1034&lt;&gt;"", J1034&lt;&gt;""), HYPERLINK("#'" &amp; C1034 &amp; "'!" &amp; J1034, J1034), "")</f>
        <v/>
      </c>
    </row>
    <row r="1035">
      <c r="B1035" s="21">
        <f>IF(AND(C1035&lt;&gt;"", J1035&lt;&gt;""), HYPERLINK("#'" &amp; C1035 &amp; "'!" &amp; J1035, J1035), "")</f>
        <v/>
      </c>
    </row>
    <row r="1036">
      <c r="B1036" s="21">
        <f>IF(AND(C1036&lt;&gt;"", J1036&lt;&gt;""), HYPERLINK("#'" &amp; C1036 &amp; "'!" &amp; J1036, J1036), "")</f>
        <v/>
      </c>
    </row>
    <row r="1037">
      <c r="B1037" s="21">
        <f>IF(AND(C1037&lt;&gt;"", J1037&lt;&gt;""), HYPERLINK("#'" &amp; C1037 &amp; "'!" &amp; J1037, J1037), "")</f>
        <v/>
      </c>
    </row>
    <row r="1038">
      <c r="B1038" s="21">
        <f>IF(AND(C1038&lt;&gt;"", J1038&lt;&gt;""), HYPERLINK("#'" &amp; C1038 &amp; "'!" &amp; J1038, J1038), "")</f>
        <v/>
      </c>
    </row>
    <row r="1039">
      <c r="B1039" s="21">
        <f>IF(AND(C1039&lt;&gt;"", J1039&lt;&gt;""), HYPERLINK("#'" &amp; C1039 &amp; "'!" &amp; J1039, J1039), "")</f>
        <v/>
      </c>
    </row>
    <row r="1040">
      <c r="B1040" s="21">
        <f>IF(AND(C1040&lt;&gt;"", J1040&lt;&gt;""), HYPERLINK("#'" &amp; C1040 &amp; "'!" &amp; J1040, J1040), "")</f>
        <v/>
      </c>
    </row>
    <row r="1041">
      <c r="B1041" s="21">
        <f>IF(AND(C1041&lt;&gt;"", J1041&lt;&gt;""), HYPERLINK("#'" &amp; C1041 &amp; "'!" &amp; J1041, J1041), "")</f>
        <v/>
      </c>
    </row>
    <row r="1042">
      <c r="B1042" s="21">
        <f>IF(AND(C1042&lt;&gt;"", J1042&lt;&gt;""), HYPERLINK("#'" &amp; C1042 &amp; "'!" &amp; J1042, J1042), "")</f>
        <v/>
      </c>
    </row>
    <row r="1043">
      <c r="B1043" s="21">
        <f>IF(AND(C1043&lt;&gt;"", J1043&lt;&gt;""), HYPERLINK("#'" &amp; C1043 &amp; "'!" &amp; J1043, J1043), "")</f>
        <v/>
      </c>
    </row>
    <row r="1044">
      <c r="B1044" s="21">
        <f>IF(AND(C1044&lt;&gt;"", J1044&lt;&gt;""), HYPERLINK("#'" &amp; C1044 &amp; "'!" &amp; J1044, J1044), "")</f>
        <v/>
      </c>
    </row>
    <row r="1045">
      <c r="B1045" s="21">
        <f>IF(AND(C1045&lt;&gt;"", J1045&lt;&gt;""), HYPERLINK("#'" &amp; C1045 &amp; "'!" &amp; J1045, J1045), "")</f>
        <v/>
      </c>
    </row>
    <row r="1046">
      <c r="B1046" s="21">
        <f>IF(AND(C1046&lt;&gt;"", J1046&lt;&gt;""), HYPERLINK("#'" &amp; C1046 &amp; "'!" &amp; J1046, J1046), "")</f>
        <v/>
      </c>
    </row>
    <row r="1047">
      <c r="B1047" s="21">
        <f>IF(AND(C1047&lt;&gt;"", J1047&lt;&gt;""), HYPERLINK("#'" &amp; C1047 &amp; "'!" &amp; J1047, J1047), "")</f>
        <v/>
      </c>
    </row>
    <row r="1048">
      <c r="B1048" s="21">
        <f>IF(AND(C1048&lt;&gt;"", J1048&lt;&gt;""), HYPERLINK("#'" &amp; C1048 &amp; "'!" &amp; J1048, J1048), "")</f>
        <v/>
      </c>
    </row>
    <row r="1049">
      <c r="B1049" s="21">
        <f>IF(AND(C1049&lt;&gt;"", J1049&lt;&gt;""), HYPERLINK("#'" &amp; C1049 &amp; "'!" &amp; J1049, J1049), "")</f>
        <v/>
      </c>
    </row>
    <row r="1050">
      <c r="B1050" s="21">
        <f>IF(AND(C1050&lt;&gt;"", J1050&lt;&gt;""), HYPERLINK("#'" &amp; C1050 &amp; "'!" &amp; J1050, J1050), "")</f>
        <v/>
      </c>
    </row>
    <row r="1051">
      <c r="B1051" s="21">
        <f>IF(AND(C1051&lt;&gt;"", J1051&lt;&gt;""), HYPERLINK("#'" &amp; C1051 &amp; "'!" &amp; J1051, J1051), "")</f>
        <v/>
      </c>
    </row>
    <row r="1052">
      <c r="B1052" s="21">
        <f>IF(AND(C1052&lt;&gt;"", J1052&lt;&gt;""), HYPERLINK("#'" &amp; C1052 &amp; "'!" &amp; J1052, J1052), "")</f>
        <v/>
      </c>
    </row>
    <row r="1053">
      <c r="B1053" s="21">
        <f>IF(AND(C1053&lt;&gt;"", J1053&lt;&gt;""), HYPERLINK("#'" &amp; C1053 &amp; "'!" &amp; J1053, J1053), "")</f>
        <v/>
      </c>
    </row>
    <row r="1054">
      <c r="B1054" s="21">
        <f>IF(AND(C1054&lt;&gt;"", J1054&lt;&gt;""), HYPERLINK("#'" &amp; C1054 &amp; "'!" &amp; J1054, J1054), "")</f>
        <v/>
      </c>
    </row>
    <row r="1055">
      <c r="B1055" s="21">
        <f>IF(AND(C1055&lt;&gt;"", J1055&lt;&gt;""), HYPERLINK("#'" &amp; C1055 &amp; "'!" &amp; J1055, J1055), "")</f>
        <v/>
      </c>
    </row>
    <row r="1056">
      <c r="B1056" s="21">
        <f>IF(AND(C1056&lt;&gt;"", J1056&lt;&gt;""), HYPERLINK("#'" &amp; C1056 &amp; "'!" &amp; J1056, J1056), "")</f>
        <v/>
      </c>
    </row>
    <row r="1057">
      <c r="B1057" s="21">
        <f>IF(AND(C1057&lt;&gt;"", J1057&lt;&gt;""), HYPERLINK("#'" &amp; C1057 &amp; "'!" &amp; J1057, J1057), "")</f>
        <v/>
      </c>
    </row>
    <row r="1058">
      <c r="B1058" s="21">
        <f>IF(AND(C1058&lt;&gt;"", J1058&lt;&gt;""), HYPERLINK("#'" &amp; C1058 &amp; "'!" &amp; J1058, J1058), "")</f>
        <v/>
      </c>
    </row>
    <row r="1059">
      <c r="B1059" s="21">
        <f>IF(AND(C1059&lt;&gt;"", J1059&lt;&gt;""), HYPERLINK("#'" &amp; C1059 &amp; "'!" &amp; J1059, J1059), "")</f>
        <v/>
      </c>
    </row>
    <row r="1060">
      <c r="B1060" s="21">
        <f>IF(AND(C1060&lt;&gt;"", J1060&lt;&gt;""), HYPERLINK("#'" &amp; C1060 &amp; "'!" &amp; J1060, J1060), "")</f>
        <v/>
      </c>
    </row>
    <row r="1061">
      <c r="B1061" s="21">
        <f>IF(AND(C1061&lt;&gt;"", J1061&lt;&gt;""), HYPERLINK("#'" &amp; C1061 &amp; "'!" &amp; J1061, J1061), "")</f>
        <v/>
      </c>
    </row>
    <row r="1062">
      <c r="B1062" s="21">
        <f>IF(AND(C1062&lt;&gt;"", J1062&lt;&gt;""), HYPERLINK("#'" &amp; C1062 &amp; "'!" &amp; J1062, J1062), "")</f>
        <v/>
      </c>
    </row>
    <row r="1063">
      <c r="B1063" s="21">
        <f>IF(AND(C1063&lt;&gt;"", J1063&lt;&gt;""), HYPERLINK("#'" &amp; C1063 &amp; "'!" &amp; J1063, J1063), "")</f>
        <v/>
      </c>
    </row>
    <row r="1064">
      <c r="B1064" s="21">
        <f>IF(AND(C1064&lt;&gt;"", J1064&lt;&gt;""), HYPERLINK("#'" &amp; C1064 &amp; "'!" &amp; J1064, J1064), "")</f>
        <v/>
      </c>
    </row>
    <row r="1065">
      <c r="B1065" s="21">
        <f>IF(AND(C1065&lt;&gt;"", J1065&lt;&gt;""), HYPERLINK("#'" &amp; C1065 &amp; "'!" &amp; J1065, J1065), "")</f>
        <v/>
      </c>
    </row>
    <row r="1066">
      <c r="B1066" s="21">
        <f>IF(AND(C1066&lt;&gt;"", J1066&lt;&gt;""), HYPERLINK("#'" &amp; C1066 &amp; "'!" &amp; J1066, J1066), "")</f>
        <v/>
      </c>
    </row>
    <row r="1067">
      <c r="B1067" s="21">
        <f>IF(AND(C1067&lt;&gt;"", J1067&lt;&gt;""), HYPERLINK("#'" &amp; C1067 &amp; "'!" &amp; J1067, J1067), "")</f>
        <v/>
      </c>
    </row>
    <row r="1068">
      <c r="B1068" s="21">
        <f>IF(AND(C1068&lt;&gt;"", J1068&lt;&gt;""), HYPERLINK("#'" &amp; C1068 &amp; "'!" &amp; J1068, J1068), "")</f>
        <v/>
      </c>
    </row>
    <row r="1069">
      <c r="B1069" s="21">
        <f>IF(AND(C1069&lt;&gt;"", J1069&lt;&gt;""), HYPERLINK("#'" &amp; C1069 &amp; "'!" &amp; J1069, J1069), "")</f>
        <v/>
      </c>
    </row>
    <row r="1070">
      <c r="B1070" s="21">
        <f>IF(AND(C1070&lt;&gt;"", J1070&lt;&gt;""), HYPERLINK("#'" &amp; C1070 &amp; "'!" &amp; J1070, J1070), "")</f>
        <v/>
      </c>
    </row>
    <row r="1071">
      <c r="B1071" s="21">
        <f>IF(AND(C1071&lt;&gt;"", J1071&lt;&gt;""), HYPERLINK("#'" &amp; C1071 &amp; "'!" &amp; J1071, J1071), "")</f>
        <v/>
      </c>
    </row>
    <row r="1072">
      <c r="B1072" s="21">
        <f>IF(AND(C1072&lt;&gt;"", J1072&lt;&gt;""), HYPERLINK("#'" &amp; C1072 &amp; "'!" &amp; J1072, J1072), "")</f>
        <v/>
      </c>
    </row>
    <row r="1073">
      <c r="B1073" s="21">
        <f>IF(AND(C1073&lt;&gt;"", J1073&lt;&gt;""), HYPERLINK("#'" &amp; C1073 &amp; "'!" &amp; J1073, J1073), "")</f>
        <v/>
      </c>
    </row>
    <row r="1074">
      <c r="B1074" s="21">
        <f>IF(AND(C1074&lt;&gt;"", J1074&lt;&gt;""), HYPERLINK("#'" &amp; C1074 &amp; "'!" &amp; J1074, J1074), "")</f>
        <v/>
      </c>
    </row>
    <row r="1075">
      <c r="B1075" s="21">
        <f>IF(AND(C1075&lt;&gt;"", J1075&lt;&gt;""), HYPERLINK("#'" &amp; C1075 &amp; "'!" &amp; J1075, J1075), "")</f>
        <v/>
      </c>
    </row>
    <row r="1076">
      <c r="B1076" s="21">
        <f>IF(AND(C1076&lt;&gt;"", J1076&lt;&gt;""), HYPERLINK("#'" &amp; C1076 &amp; "'!" &amp; J1076, J1076), "")</f>
        <v/>
      </c>
    </row>
    <row r="1077">
      <c r="B1077" s="21">
        <f>IF(AND(C1077&lt;&gt;"", J1077&lt;&gt;""), HYPERLINK("#'" &amp; C1077 &amp; "'!" &amp; J1077, J1077), "")</f>
        <v/>
      </c>
    </row>
    <row r="1078">
      <c r="B1078" s="21">
        <f>IF(AND(C1078&lt;&gt;"", J1078&lt;&gt;""), HYPERLINK("#'" &amp; C1078 &amp; "'!" &amp; J1078, J1078), "")</f>
        <v/>
      </c>
    </row>
    <row r="1079">
      <c r="B1079" s="21">
        <f>IF(AND(C1079&lt;&gt;"", J1079&lt;&gt;""), HYPERLINK("#'" &amp; C1079 &amp; "'!" &amp; J1079, J1079), "")</f>
        <v/>
      </c>
    </row>
    <row r="1080">
      <c r="B1080" s="21">
        <f>IF(AND(C1080&lt;&gt;"", J1080&lt;&gt;""), HYPERLINK("#'" &amp; C1080 &amp; "'!" &amp; J1080, J1080), "")</f>
        <v/>
      </c>
    </row>
    <row r="1081">
      <c r="B1081" s="21">
        <f>IF(AND(C1081&lt;&gt;"", J1081&lt;&gt;""), HYPERLINK("#'" &amp; C1081 &amp; "'!" &amp; J1081, J1081), "")</f>
        <v/>
      </c>
    </row>
    <row r="1082">
      <c r="B1082" s="21">
        <f>IF(AND(C1082&lt;&gt;"", J1082&lt;&gt;""), HYPERLINK("#'" &amp; C1082 &amp; "'!" &amp; J1082, J1082), "")</f>
        <v/>
      </c>
    </row>
    <row r="1083">
      <c r="B1083" s="21">
        <f>IF(AND(C1083&lt;&gt;"", J1083&lt;&gt;""), HYPERLINK("#'" &amp; C1083 &amp; "'!" &amp; J1083, J1083), "")</f>
        <v/>
      </c>
    </row>
    <row r="1084">
      <c r="B1084" s="21">
        <f>IF(AND(C1084&lt;&gt;"", J1084&lt;&gt;""), HYPERLINK("#'" &amp; C1084 &amp; "'!" &amp; J1084, J1084), "")</f>
        <v/>
      </c>
    </row>
    <row r="1085">
      <c r="B1085" s="21">
        <f>IF(AND(C1085&lt;&gt;"", J1085&lt;&gt;""), HYPERLINK("#'" &amp; C1085 &amp; "'!" &amp; J1085, J1085), "")</f>
        <v/>
      </c>
    </row>
    <row r="1086">
      <c r="B1086" s="21">
        <f>IF(AND(C1086&lt;&gt;"", J1086&lt;&gt;""), HYPERLINK("#'" &amp; C1086 &amp; "'!" &amp; J1086, J1086), "")</f>
        <v/>
      </c>
    </row>
    <row r="1087">
      <c r="B1087" s="21">
        <f>IF(AND(C1087&lt;&gt;"", J1087&lt;&gt;""), HYPERLINK("#'" &amp; C1087 &amp; "'!" &amp; J1087, J1087), "")</f>
        <v/>
      </c>
    </row>
    <row r="1088">
      <c r="B1088" s="21">
        <f>IF(AND(C1088&lt;&gt;"", J1088&lt;&gt;""), HYPERLINK("#'" &amp; C1088 &amp; "'!" &amp; J1088, J1088), "")</f>
        <v/>
      </c>
    </row>
    <row r="1089">
      <c r="B1089" s="21">
        <f>IF(AND(C1089&lt;&gt;"", J1089&lt;&gt;""), HYPERLINK("#'" &amp; C1089 &amp; "'!" &amp; J1089, J1089), "")</f>
        <v/>
      </c>
    </row>
    <row r="1090">
      <c r="B1090" s="21">
        <f>IF(AND(C1090&lt;&gt;"", J1090&lt;&gt;""), HYPERLINK("#'" &amp; C1090 &amp; "'!" &amp; J1090, J1090), "")</f>
        <v/>
      </c>
    </row>
    <row r="1091">
      <c r="B1091" s="21">
        <f>IF(AND(C1091&lt;&gt;"", J1091&lt;&gt;""), HYPERLINK("#'" &amp; C1091 &amp; "'!" &amp; J1091, J1091), "")</f>
        <v/>
      </c>
    </row>
    <row r="1092">
      <c r="B1092" s="21">
        <f>IF(AND(C1092&lt;&gt;"", J1092&lt;&gt;""), HYPERLINK("#'" &amp; C1092 &amp; "'!" &amp; J1092, J1092), "")</f>
        <v/>
      </c>
    </row>
    <row r="1093">
      <c r="B1093" s="21">
        <f>IF(AND(C1093&lt;&gt;"", J1093&lt;&gt;""), HYPERLINK("#'" &amp; C1093 &amp; "'!" &amp; J1093, J1093), "")</f>
        <v/>
      </c>
    </row>
    <row r="1094">
      <c r="B1094" s="21">
        <f>IF(AND(C1094&lt;&gt;"", J1094&lt;&gt;""), HYPERLINK("#'" &amp; C1094 &amp; "'!" &amp; J1094, J1094), "")</f>
        <v/>
      </c>
    </row>
    <row r="1095">
      <c r="B1095" s="21">
        <f>IF(AND(C1095&lt;&gt;"", J1095&lt;&gt;""), HYPERLINK("#'" &amp; C1095 &amp; "'!" &amp; J1095, J1095), "")</f>
        <v/>
      </c>
    </row>
    <row r="1096">
      <c r="B1096" s="21">
        <f>IF(AND(C1096&lt;&gt;"", J1096&lt;&gt;""), HYPERLINK("#'" &amp; C1096 &amp; "'!" &amp; J1096, J1096), "")</f>
        <v/>
      </c>
    </row>
    <row r="1097">
      <c r="B1097" s="21">
        <f>IF(AND(C1097&lt;&gt;"", J1097&lt;&gt;""), HYPERLINK("#'" &amp; C1097 &amp; "'!" &amp; J1097, J1097), "")</f>
        <v/>
      </c>
    </row>
    <row r="1098">
      <c r="B1098" s="21">
        <f>IF(AND(C1098&lt;&gt;"", J1098&lt;&gt;""), HYPERLINK("#'" &amp; C1098 &amp; "'!" &amp; J1098, J1098), "")</f>
        <v/>
      </c>
    </row>
    <row r="1099">
      <c r="B1099" s="21">
        <f>IF(AND(C1099&lt;&gt;"", J1099&lt;&gt;""), HYPERLINK("#'" &amp; C1099 &amp; "'!" &amp; J1099, J1099), "")</f>
        <v/>
      </c>
    </row>
    <row r="1100">
      <c r="B1100" s="21">
        <f>IF(AND(C1100&lt;&gt;"", J1100&lt;&gt;""), HYPERLINK("#'" &amp; C1100 &amp; "'!" &amp; J1100, J1100), "")</f>
        <v/>
      </c>
    </row>
    <row r="1101">
      <c r="B1101" s="21">
        <f>IF(AND(C1101&lt;&gt;"", J1101&lt;&gt;""), HYPERLINK("#'" &amp; C1101 &amp; "'!" &amp; J1101, J1101), "")</f>
        <v/>
      </c>
    </row>
    <row r="1102">
      <c r="B1102" s="21">
        <f>IF(AND(C1102&lt;&gt;"", J1102&lt;&gt;""), HYPERLINK("#'" &amp; C1102 &amp; "'!" &amp; J1102, J1102), "")</f>
        <v/>
      </c>
    </row>
    <row r="1103">
      <c r="B1103" s="21">
        <f>IF(AND(C1103&lt;&gt;"", J1103&lt;&gt;""), HYPERLINK("#'" &amp; C1103 &amp; "'!" &amp; J1103, J1103), "")</f>
        <v/>
      </c>
    </row>
    <row r="1104">
      <c r="B1104" s="21">
        <f>IF(AND(C1104&lt;&gt;"", J1104&lt;&gt;""), HYPERLINK("#'" &amp; C1104 &amp; "'!" &amp; J1104, J1104), "")</f>
        <v/>
      </c>
    </row>
    <row r="1105">
      <c r="B1105" s="21">
        <f>IF(AND(C1105&lt;&gt;"", J1105&lt;&gt;""), HYPERLINK("#'" &amp; C1105 &amp; "'!" &amp; J1105, J1105), "")</f>
        <v/>
      </c>
    </row>
    <row r="1106">
      <c r="B1106" s="21">
        <f>IF(AND(C1106&lt;&gt;"", J1106&lt;&gt;""), HYPERLINK("#'" &amp; C1106 &amp; "'!" &amp; J1106, J1106), "")</f>
        <v/>
      </c>
    </row>
    <row r="1107">
      <c r="B1107" s="21">
        <f>IF(AND(C1107&lt;&gt;"", J1107&lt;&gt;""), HYPERLINK("#'" &amp; C1107 &amp; "'!" &amp; J1107, J1107), "")</f>
        <v/>
      </c>
    </row>
    <row r="1108">
      <c r="B1108" s="21">
        <f>IF(AND(C1108&lt;&gt;"", J1108&lt;&gt;""), HYPERLINK("#'" &amp; C1108 &amp; "'!" &amp; J1108, J1108), "")</f>
        <v/>
      </c>
    </row>
    <row r="1109">
      <c r="B1109" s="21">
        <f>IF(AND(C1109&lt;&gt;"", J1109&lt;&gt;""), HYPERLINK("#'" &amp; C1109 &amp; "'!" &amp; J1109, J1109), "")</f>
        <v/>
      </c>
    </row>
    <row r="1110">
      <c r="B1110" s="21">
        <f>IF(AND(C1110&lt;&gt;"", J1110&lt;&gt;""), HYPERLINK("#'" &amp; C1110 &amp; "'!" &amp; J1110, J1110), "")</f>
        <v/>
      </c>
    </row>
    <row r="1111">
      <c r="B1111" s="21">
        <f>IF(AND(C1111&lt;&gt;"", J1111&lt;&gt;""), HYPERLINK("#'" &amp; C1111 &amp; "'!" &amp; J1111, J1111), "")</f>
        <v/>
      </c>
    </row>
    <row r="1112">
      <c r="B1112" s="21">
        <f>IF(AND(C1112&lt;&gt;"", J1112&lt;&gt;""), HYPERLINK("#'" &amp; C1112 &amp; "'!" &amp; J1112, J1112), "")</f>
        <v/>
      </c>
    </row>
    <row r="1113">
      <c r="B1113" s="21">
        <f>IF(AND(C1113&lt;&gt;"", J1113&lt;&gt;""), HYPERLINK("#'" &amp; C1113 &amp; "'!" &amp; J1113, J1113), "")</f>
        <v/>
      </c>
    </row>
    <row r="1114">
      <c r="B1114" s="21">
        <f>IF(AND(C1114&lt;&gt;"", J1114&lt;&gt;""), HYPERLINK("#'" &amp; C1114 &amp; "'!" &amp; J1114, J1114), "")</f>
        <v/>
      </c>
    </row>
    <row r="1115">
      <c r="B1115" s="21">
        <f>IF(AND(C1115&lt;&gt;"", J1115&lt;&gt;""), HYPERLINK("#'" &amp; C1115 &amp; "'!" &amp; J1115, J1115), "")</f>
        <v/>
      </c>
    </row>
    <row r="1116">
      <c r="B1116" s="21">
        <f>IF(AND(C1116&lt;&gt;"", J1116&lt;&gt;""), HYPERLINK("#'" &amp; C1116 &amp; "'!" &amp; J1116, J1116), "")</f>
        <v/>
      </c>
    </row>
    <row r="1117">
      <c r="B1117" s="21">
        <f>IF(AND(C1117&lt;&gt;"", J1117&lt;&gt;""), HYPERLINK("#'" &amp; C1117 &amp; "'!" &amp; J1117, J1117), "")</f>
        <v/>
      </c>
    </row>
    <row r="1118">
      <c r="B1118" s="21">
        <f>IF(AND(C1118&lt;&gt;"", J1118&lt;&gt;""), HYPERLINK("#'" &amp; C1118 &amp; "'!" &amp; J1118, J1118), "")</f>
        <v/>
      </c>
    </row>
    <row r="1119">
      <c r="B1119" s="21">
        <f>IF(AND(C1119&lt;&gt;"", J1119&lt;&gt;""), HYPERLINK("#'" &amp; C1119 &amp; "'!" &amp; J1119, J1119), "")</f>
        <v/>
      </c>
    </row>
    <row r="1120">
      <c r="B1120" s="21">
        <f>IF(AND(C1120&lt;&gt;"", J1120&lt;&gt;""), HYPERLINK("#'" &amp; C1120 &amp; "'!" &amp; J1120, J1120), "")</f>
        <v/>
      </c>
    </row>
    <row r="1121">
      <c r="B1121" s="21">
        <f>IF(AND(C1121&lt;&gt;"", J1121&lt;&gt;""), HYPERLINK("#'" &amp; C1121 &amp; "'!" &amp; J1121, J1121), "")</f>
        <v/>
      </c>
    </row>
    <row r="1122">
      <c r="B1122" s="21">
        <f>IF(AND(C1122&lt;&gt;"", J1122&lt;&gt;""), HYPERLINK("#'" &amp; C1122 &amp; "'!" &amp; J1122, J1122), "")</f>
        <v/>
      </c>
    </row>
    <row r="1123">
      <c r="B1123" s="21">
        <f>IF(AND(C1123&lt;&gt;"", J1123&lt;&gt;""), HYPERLINK("#'" &amp; C1123 &amp; "'!" &amp; J1123, J1123), "")</f>
        <v/>
      </c>
    </row>
    <row r="1124">
      <c r="B1124" s="21">
        <f>IF(AND(C1124&lt;&gt;"", J1124&lt;&gt;""), HYPERLINK("#'" &amp; C1124 &amp; "'!" &amp; J1124, J1124), "")</f>
        <v/>
      </c>
    </row>
    <row r="1125">
      <c r="B1125" s="21">
        <f>IF(AND(C1125&lt;&gt;"", J1125&lt;&gt;""), HYPERLINK("#'" &amp; C1125 &amp; "'!" &amp; J1125, J1125), "")</f>
        <v/>
      </c>
    </row>
    <row r="1126">
      <c r="B1126" s="21">
        <f>IF(AND(C1126&lt;&gt;"", J1126&lt;&gt;""), HYPERLINK("#'" &amp; C1126 &amp; "'!" &amp; J1126, J1126), "")</f>
        <v/>
      </c>
    </row>
    <row r="1127">
      <c r="B1127" s="21">
        <f>IF(AND(C1127&lt;&gt;"", J1127&lt;&gt;""), HYPERLINK("#'" &amp; C1127 &amp; "'!" &amp; J1127, J1127), "")</f>
        <v/>
      </c>
    </row>
    <row r="1128">
      <c r="B1128" s="21">
        <f>IF(AND(C1128&lt;&gt;"", J1128&lt;&gt;""), HYPERLINK("#'" &amp; C1128 &amp; "'!" &amp; J1128, J1128), "")</f>
        <v/>
      </c>
    </row>
    <row r="1129">
      <c r="B1129" s="21">
        <f>IF(AND(C1129&lt;&gt;"", J1129&lt;&gt;""), HYPERLINK("#'" &amp; C1129 &amp; "'!" &amp; J1129, J1129), "")</f>
        <v/>
      </c>
    </row>
    <row r="1130">
      <c r="B1130" s="21">
        <f>IF(AND(C1130&lt;&gt;"", J1130&lt;&gt;""), HYPERLINK("#'" &amp; C1130 &amp; "'!" &amp; J1130, J1130), "")</f>
        <v/>
      </c>
    </row>
    <row r="1131">
      <c r="B1131" s="21">
        <f>IF(AND(C1131&lt;&gt;"", J1131&lt;&gt;""), HYPERLINK("#'" &amp; C1131 &amp; "'!" &amp; J1131, J1131), "")</f>
        <v/>
      </c>
    </row>
    <row r="1132">
      <c r="B1132" s="21">
        <f>IF(AND(C1132&lt;&gt;"", J1132&lt;&gt;""), HYPERLINK("#'" &amp; C1132 &amp; "'!" &amp; J1132, J1132), "")</f>
        <v/>
      </c>
    </row>
    <row r="1133">
      <c r="B1133" s="21">
        <f>IF(AND(C1133&lt;&gt;"", J1133&lt;&gt;""), HYPERLINK("#'" &amp; C1133 &amp; "'!" &amp; J1133, J1133), "")</f>
        <v/>
      </c>
    </row>
    <row r="1134">
      <c r="B1134" s="21">
        <f>IF(AND(C1134&lt;&gt;"", J1134&lt;&gt;""), HYPERLINK("#'" &amp; C1134 &amp; "'!" &amp; J1134, J1134), "")</f>
        <v/>
      </c>
    </row>
    <row r="1135">
      <c r="B1135" s="21">
        <f>IF(AND(C1135&lt;&gt;"", J1135&lt;&gt;""), HYPERLINK("#'" &amp; C1135 &amp; "'!" &amp; J1135, J1135), "")</f>
        <v/>
      </c>
    </row>
    <row r="1136">
      <c r="B1136" s="21">
        <f>IF(AND(C1136&lt;&gt;"", J1136&lt;&gt;""), HYPERLINK("#'" &amp; C1136 &amp; "'!" &amp; J1136, J1136), "")</f>
        <v/>
      </c>
    </row>
    <row r="1137">
      <c r="B1137" s="21">
        <f>IF(AND(C1137&lt;&gt;"", J1137&lt;&gt;""), HYPERLINK("#'" &amp; C1137 &amp; "'!" &amp; J1137, J1137), "")</f>
        <v/>
      </c>
    </row>
    <row r="1138">
      <c r="B1138" s="21">
        <f>IF(AND(C1138&lt;&gt;"", J1138&lt;&gt;""), HYPERLINK("#'" &amp; C1138 &amp; "'!" &amp; J1138, J1138), "")</f>
        <v/>
      </c>
    </row>
    <row r="1139">
      <c r="B1139" s="21">
        <f>IF(AND(C1139&lt;&gt;"", J1139&lt;&gt;""), HYPERLINK("#'" &amp; C1139 &amp; "'!" &amp; J1139, J1139), "")</f>
        <v/>
      </c>
    </row>
    <row r="1140">
      <c r="B1140" s="21">
        <f>IF(AND(C1140&lt;&gt;"", J1140&lt;&gt;""), HYPERLINK("#'" &amp; C1140 &amp; "'!" &amp; J1140, J1140), "")</f>
        <v/>
      </c>
    </row>
    <row r="1141">
      <c r="B1141" s="21">
        <f>IF(AND(C1141&lt;&gt;"", J1141&lt;&gt;""), HYPERLINK("#'" &amp; C1141 &amp; "'!" &amp; J1141, J1141), "")</f>
        <v/>
      </c>
    </row>
    <row r="1142">
      <c r="B1142" s="21">
        <f>IF(AND(C1142&lt;&gt;"", J1142&lt;&gt;""), HYPERLINK("#'" &amp; C1142 &amp; "'!" &amp; J1142, J1142), "")</f>
        <v/>
      </c>
    </row>
    <row r="1143">
      <c r="B1143" s="21">
        <f>IF(AND(C1143&lt;&gt;"", J1143&lt;&gt;""), HYPERLINK("#'" &amp; C1143 &amp; "'!" &amp; J1143, J1143), "")</f>
        <v/>
      </c>
    </row>
    <row r="1144">
      <c r="B1144" s="21">
        <f>IF(AND(C1144&lt;&gt;"", J1144&lt;&gt;""), HYPERLINK("#'" &amp; C1144 &amp; "'!" &amp; J1144, J1144), "")</f>
        <v/>
      </c>
    </row>
    <row r="1145">
      <c r="B1145" s="21">
        <f>IF(AND(C1145&lt;&gt;"", J1145&lt;&gt;""), HYPERLINK("#'" &amp; C1145 &amp; "'!" &amp; J1145, J1145), "")</f>
        <v/>
      </c>
    </row>
    <row r="1146">
      <c r="B1146" s="21">
        <f>IF(AND(C1146&lt;&gt;"", J1146&lt;&gt;""), HYPERLINK("#'" &amp; C1146 &amp; "'!" &amp; J1146, J1146), "")</f>
        <v/>
      </c>
    </row>
    <row r="1147">
      <c r="B1147" s="21">
        <f>IF(AND(C1147&lt;&gt;"", J1147&lt;&gt;""), HYPERLINK("#'" &amp; C1147 &amp; "'!" &amp; J1147, J1147), "")</f>
        <v/>
      </c>
    </row>
    <row r="1148">
      <c r="B1148" s="21">
        <f>IF(AND(C1148&lt;&gt;"", J1148&lt;&gt;""), HYPERLINK("#'" &amp; C1148 &amp; "'!" &amp; J1148, J1148), "")</f>
        <v/>
      </c>
    </row>
    <row r="1149">
      <c r="B1149" s="21">
        <f>IF(AND(C1149&lt;&gt;"", J1149&lt;&gt;""), HYPERLINK("#'" &amp; C1149 &amp; "'!" &amp; J1149, J1149), "")</f>
        <v/>
      </c>
    </row>
    <row r="1150">
      <c r="B1150" s="21">
        <f>IF(AND(C1150&lt;&gt;"", J1150&lt;&gt;""), HYPERLINK("#'" &amp; C1150 &amp; "'!" &amp; J1150, J1150), "")</f>
        <v/>
      </c>
    </row>
    <row r="1151">
      <c r="B1151" s="21">
        <f>IF(AND(C1151&lt;&gt;"", J1151&lt;&gt;""), HYPERLINK("#'" &amp; C1151 &amp; "'!" &amp; J1151, J1151), "")</f>
        <v/>
      </c>
    </row>
    <row r="1152">
      <c r="B1152" s="21">
        <f>IF(AND(C1152&lt;&gt;"", J1152&lt;&gt;""), HYPERLINK("#'" &amp; C1152 &amp; "'!" &amp; J1152, J1152), "")</f>
        <v/>
      </c>
    </row>
    <row r="1153">
      <c r="B1153" s="21">
        <f>IF(AND(C1153&lt;&gt;"", J1153&lt;&gt;""), HYPERLINK("#'" &amp; C1153 &amp; "'!" &amp; J1153, J1153), "")</f>
        <v/>
      </c>
    </row>
    <row r="1154">
      <c r="B1154" s="21">
        <f>IF(AND(C1154&lt;&gt;"", J1154&lt;&gt;""), HYPERLINK("#'" &amp; C1154 &amp; "'!" &amp; J1154, J1154), "")</f>
        <v/>
      </c>
    </row>
    <row r="1155">
      <c r="B1155" s="21">
        <f>IF(AND(C1155&lt;&gt;"", J1155&lt;&gt;""), HYPERLINK("#'" &amp; C1155 &amp; "'!" &amp; J1155, J1155), "")</f>
        <v/>
      </c>
    </row>
    <row r="1156">
      <c r="B1156" s="21">
        <f>IF(AND(C1156&lt;&gt;"", J1156&lt;&gt;""), HYPERLINK("#'" &amp; C1156 &amp; "'!" &amp; J1156, J1156), "")</f>
        <v/>
      </c>
    </row>
    <row r="1157">
      <c r="B1157" s="21">
        <f>IF(AND(C1157&lt;&gt;"", J1157&lt;&gt;""), HYPERLINK("#'" &amp; C1157 &amp; "'!" &amp; J1157, J1157), "")</f>
        <v/>
      </c>
    </row>
    <row r="1158">
      <c r="B1158" s="21">
        <f>IF(AND(C1158&lt;&gt;"", J1158&lt;&gt;""), HYPERLINK("#'" &amp; C1158 &amp; "'!" &amp; J1158, J1158), "")</f>
        <v/>
      </c>
    </row>
    <row r="1159">
      <c r="B1159" s="21">
        <f>IF(AND(C1159&lt;&gt;"", J1159&lt;&gt;""), HYPERLINK("#'" &amp; C1159 &amp; "'!" &amp; J1159, J1159), "")</f>
        <v/>
      </c>
    </row>
    <row r="1160">
      <c r="B1160" s="21">
        <f>IF(AND(C1160&lt;&gt;"", J1160&lt;&gt;""), HYPERLINK("#'" &amp; C1160 &amp; "'!" &amp; J1160, J1160), "")</f>
        <v/>
      </c>
    </row>
    <row r="1161">
      <c r="B1161" s="21">
        <f>IF(AND(C1161&lt;&gt;"", J1161&lt;&gt;""), HYPERLINK("#'" &amp; C1161 &amp; "'!" &amp; J1161, J1161), "")</f>
        <v/>
      </c>
    </row>
    <row r="1162">
      <c r="B1162" s="21">
        <f>IF(AND(C1162&lt;&gt;"", J1162&lt;&gt;""), HYPERLINK("#'" &amp; C1162 &amp; "'!" &amp; J1162, J1162), "")</f>
        <v/>
      </c>
    </row>
    <row r="1163">
      <c r="B1163" s="21">
        <f>IF(AND(C1163&lt;&gt;"", J1163&lt;&gt;""), HYPERLINK("#'" &amp; C1163 &amp; "'!" &amp; J1163, J1163), "")</f>
        <v/>
      </c>
    </row>
    <row r="1164">
      <c r="B1164" s="21">
        <f>IF(AND(C1164&lt;&gt;"", J1164&lt;&gt;""), HYPERLINK("#'" &amp; C1164 &amp; "'!" &amp; J1164, J1164), "")</f>
        <v/>
      </c>
    </row>
    <row r="1165">
      <c r="B1165" s="21">
        <f>IF(AND(C1165&lt;&gt;"", J1165&lt;&gt;""), HYPERLINK("#'" &amp; C1165 &amp; "'!" &amp; J1165, J1165), "")</f>
        <v/>
      </c>
    </row>
    <row r="1166">
      <c r="B1166" s="21">
        <f>IF(AND(C1166&lt;&gt;"", J1166&lt;&gt;""), HYPERLINK("#'" &amp; C1166 &amp; "'!" &amp; J1166, J1166), "")</f>
        <v/>
      </c>
    </row>
    <row r="1167">
      <c r="B1167" s="21">
        <f>IF(AND(C1167&lt;&gt;"", J1167&lt;&gt;""), HYPERLINK("#'" &amp; C1167 &amp; "'!" &amp; J1167, J1167), "")</f>
        <v/>
      </c>
    </row>
    <row r="1168">
      <c r="B1168" s="21">
        <f>IF(AND(C1168&lt;&gt;"", J1168&lt;&gt;""), HYPERLINK("#'" &amp; C1168 &amp; "'!" &amp; J1168, J1168), "")</f>
        <v/>
      </c>
    </row>
    <row r="1169">
      <c r="B1169" s="21">
        <f>IF(AND(C1169&lt;&gt;"", J1169&lt;&gt;""), HYPERLINK("#'" &amp; C1169 &amp; "'!" &amp; J1169, J1169), "")</f>
        <v/>
      </c>
    </row>
    <row r="1170">
      <c r="B1170" s="21">
        <f>IF(AND(C1170&lt;&gt;"", J1170&lt;&gt;""), HYPERLINK("#'" &amp; C1170 &amp; "'!" &amp; J1170, J1170), "")</f>
        <v/>
      </c>
    </row>
    <row r="1171">
      <c r="B1171" s="21">
        <f>IF(AND(C1171&lt;&gt;"", J1171&lt;&gt;""), HYPERLINK("#'" &amp; C1171 &amp; "'!" &amp; J1171, J1171), "")</f>
        <v/>
      </c>
    </row>
    <row r="1172">
      <c r="B1172" s="21">
        <f>IF(AND(C1172&lt;&gt;"", J1172&lt;&gt;""), HYPERLINK("#'" &amp; C1172 &amp; "'!" &amp; J1172, J1172), "")</f>
        <v/>
      </c>
    </row>
    <row r="1173">
      <c r="B1173" s="21">
        <f>IF(AND(C1173&lt;&gt;"", J1173&lt;&gt;""), HYPERLINK("#'" &amp; C1173 &amp; "'!" &amp; J1173, J1173), "")</f>
        <v/>
      </c>
    </row>
    <row r="1174">
      <c r="B1174" s="21">
        <f>IF(AND(C1174&lt;&gt;"", J1174&lt;&gt;""), HYPERLINK("#'" &amp; C1174 &amp; "'!" &amp; J1174, J1174), "")</f>
        <v/>
      </c>
    </row>
    <row r="1175">
      <c r="B1175" s="21">
        <f>IF(AND(C1175&lt;&gt;"", J1175&lt;&gt;""), HYPERLINK("#'" &amp; C1175 &amp; "'!" &amp; J1175, J1175), "")</f>
        <v/>
      </c>
    </row>
    <row r="1176">
      <c r="B1176" s="21">
        <f>IF(AND(C1176&lt;&gt;"", J1176&lt;&gt;""), HYPERLINK("#'" &amp; C1176 &amp; "'!" &amp; J1176, J1176), "")</f>
        <v/>
      </c>
    </row>
    <row r="1177">
      <c r="B1177" s="21">
        <f>IF(AND(C1177&lt;&gt;"", J1177&lt;&gt;""), HYPERLINK("#'" &amp; C1177 &amp; "'!" &amp; J1177, J1177), "")</f>
        <v/>
      </c>
    </row>
    <row r="1178">
      <c r="B1178" s="21">
        <f>IF(AND(C1178&lt;&gt;"", J1178&lt;&gt;""), HYPERLINK("#'" &amp; C1178 &amp; "'!" &amp; J1178, J1178), "")</f>
        <v/>
      </c>
    </row>
    <row r="1179">
      <c r="B1179" s="21">
        <f>IF(AND(C1179&lt;&gt;"", J1179&lt;&gt;""), HYPERLINK("#'" &amp; C1179 &amp; "'!" &amp; J1179, J1179), "")</f>
        <v/>
      </c>
    </row>
    <row r="1180">
      <c r="B1180" s="21">
        <f>IF(AND(C1180&lt;&gt;"", J1180&lt;&gt;""), HYPERLINK("#'" &amp; C1180 &amp; "'!" &amp; J1180, J1180), "")</f>
        <v/>
      </c>
    </row>
    <row r="1181">
      <c r="B1181" s="21">
        <f>IF(AND(C1181&lt;&gt;"", J1181&lt;&gt;""), HYPERLINK("#'" &amp; C1181 &amp; "'!" &amp; J1181, J1181), "")</f>
        <v/>
      </c>
    </row>
    <row r="1182">
      <c r="B1182" s="21">
        <f>IF(AND(C1182&lt;&gt;"", J1182&lt;&gt;""), HYPERLINK("#'" &amp; C1182 &amp; "'!" &amp; J1182, J1182), "")</f>
        <v/>
      </c>
    </row>
    <row r="1183">
      <c r="B1183" s="21">
        <f>IF(AND(C1183&lt;&gt;"", J1183&lt;&gt;""), HYPERLINK("#'" &amp; C1183 &amp; "'!" &amp; J1183, J1183), "")</f>
        <v/>
      </c>
    </row>
    <row r="1184">
      <c r="B1184" s="21">
        <f>IF(AND(C1184&lt;&gt;"", J1184&lt;&gt;""), HYPERLINK("#'" &amp; C1184 &amp; "'!" &amp; J1184, J1184), "")</f>
        <v/>
      </c>
    </row>
    <row r="1185">
      <c r="B1185" s="21">
        <f>IF(AND(C1185&lt;&gt;"", J1185&lt;&gt;""), HYPERLINK("#'" &amp; C1185 &amp; "'!" &amp; J1185, J1185), "")</f>
        <v/>
      </c>
    </row>
    <row r="1186">
      <c r="B1186" s="21">
        <f>IF(AND(C1186&lt;&gt;"", J1186&lt;&gt;""), HYPERLINK("#'" &amp; C1186 &amp; "'!" &amp; J1186, J1186), "")</f>
        <v/>
      </c>
    </row>
    <row r="1187">
      <c r="B1187" s="21">
        <f>IF(AND(C1187&lt;&gt;"", J1187&lt;&gt;""), HYPERLINK("#'" &amp; C1187 &amp; "'!" &amp; J1187, J1187), "")</f>
        <v/>
      </c>
    </row>
    <row r="1188">
      <c r="B1188" s="21">
        <f>IF(AND(C1188&lt;&gt;"", J1188&lt;&gt;""), HYPERLINK("#'" &amp; C1188 &amp; "'!" &amp; J1188, J1188), "")</f>
        <v/>
      </c>
    </row>
    <row r="1189">
      <c r="B1189" s="21">
        <f>IF(AND(C1189&lt;&gt;"", J1189&lt;&gt;""), HYPERLINK("#'" &amp; C1189 &amp; "'!" &amp; J1189, J1189), "")</f>
        <v/>
      </c>
    </row>
    <row r="1190">
      <c r="B1190" s="21">
        <f>IF(AND(C1190&lt;&gt;"", J1190&lt;&gt;""), HYPERLINK("#'" &amp; C1190 &amp; "'!" &amp; J1190, J1190), "")</f>
        <v/>
      </c>
    </row>
    <row r="1191">
      <c r="B1191" s="21">
        <f>IF(AND(C1191&lt;&gt;"", J1191&lt;&gt;""), HYPERLINK("#'" &amp; C1191 &amp; "'!" &amp; J1191, J1191), "")</f>
        <v/>
      </c>
    </row>
    <row r="1192">
      <c r="B1192" s="21">
        <f>IF(AND(C1192&lt;&gt;"", J1192&lt;&gt;""), HYPERLINK("#'" &amp; C1192 &amp; "'!" &amp; J1192, J1192), "")</f>
        <v/>
      </c>
    </row>
    <row r="1193">
      <c r="B1193" s="21">
        <f>IF(AND(C1193&lt;&gt;"", J1193&lt;&gt;""), HYPERLINK("#'" &amp; C1193 &amp; "'!" &amp; J1193, J1193), "")</f>
        <v/>
      </c>
    </row>
    <row r="1194">
      <c r="B1194" s="21">
        <f>IF(AND(C1194&lt;&gt;"", J1194&lt;&gt;""), HYPERLINK("#'" &amp; C1194 &amp; "'!" &amp; J1194, J1194), "")</f>
        <v/>
      </c>
    </row>
    <row r="1195">
      <c r="B1195" s="21">
        <f>IF(AND(C1195&lt;&gt;"", J1195&lt;&gt;""), HYPERLINK("#'" &amp; C1195 &amp; "'!" &amp; J1195, J1195), "")</f>
        <v/>
      </c>
    </row>
    <row r="1196">
      <c r="B1196" s="21">
        <f>IF(AND(C1196&lt;&gt;"", J1196&lt;&gt;""), HYPERLINK("#'" &amp; C1196 &amp; "'!" &amp; J1196, J1196), "")</f>
        <v/>
      </c>
    </row>
    <row r="1197">
      <c r="B1197" s="21">
        <f>IF(AND(C1197&lt;&gt;"", J1197&lt;&gt;""), HYPERLINK("#'" &amp; C1197 &amp; "'!" &amp; J1197, J1197), "")</f>
        <v/>
      </c>
    </row>
    <row r="1198">
      <c r="B1198" s="21">
        <f>IF(AND(C1198&lt;&gt;"", J1198&lt;&gt;""), HYPERLINK("#'" &amp; C1198 &amp; "'!" &amp; J1198, J1198), "")</f>
        <v/>
      </c>
    </row>
    <row r="1199">
      <c r="B1199" s="21">
        <f>IF(AND(C1199&lt;&gt;"", J1199&lt;&gt;""), HYPERLINK("#'" &amp; C1199 &amp; "'!" &amp; J1199, J1199), "")</f>
        <v/>
      </c>
    </row>
    <row r="1200">
      <c r="B1200" s="21">
        <f>IF(AND(C1200&lt;&gt;"", J1200&lt;&gt;""), HYPERLINK("#'" &amp; C1200 &amp; "'!" &amp; J1200, J1200), "")</f>
        <v/>
      </c>
    </row>
    <row r="1201">
      <c r="B1201" s="21">
        <f>IF(AND(C1201&lt;&gt;"", J1201&lt;&gt;""), HYPERLINK("#'" &amp; C1201 &amp; "'!" &amp; J1201, J1201), "")</f>
        <v/>
      </c>
    </row>
    <row r="1202">
      <c r="B1202" s="21">
        <f>IF(AND(C1202&lt;&gt;"", J1202&lt;&gt;""), HYPERLINK("#'" &amp; C1202 &amp; "'!" &amp; J1202, J1202), "")</f>
        <v/>
      </c>
    </row>
    <row r="1203">
      <c r="B1203" s="21">
        <f>IF(AND(C1203&lt;&gt;"", J1203&lt;&gt;""), HYPERLINK("#'" &amp; C1203 &amp; "'!" &amp; J1203, J1203), "")</f>
        <v/>
      </c>
    </row>
    <row r="1204">
      <c r="B1204" s="21">
        <f>IF(AND(C1204&lt;&gt;"", J1204&lt;&gt;""), HYPERLINK("#'" &amp; C1204 &amp; "'!" &amp; J1204, J1204), "")</f>
        <v/>
      </c>
    </row>
    <row r="1205">
      <c r="B1205" s="21">
        <f>IF(AND(C1205&lt;&gt;"", J1205&lt;&gt;""), HYPERLINK("#'" &amp; C1205 &amp; "'!" &amp; J1205, J1205), "")</f>
        <v/>
      </c>
    </row>
    <row r="1206">
      <c r="B1206" s="21">
        <f>IF(AND(C1206&lt;&gt;"", J1206&lt;&gt;""), HYPERLINK("#'" &amp; C1206 &amp; "'!" &amp; J1206, J1206), "")</f>
        <v/>
      </c>
    </row>
    <row r="1207">
      <c r="B1207" s="21">
        <f>IF(AND(C1207&lt;&gt;"", J1207&lt;&gt;""), HYPERLINK("#'" &amp; C1207 &amp; "'!" &amp; J1207, J1207), "")</f>
        <v/>
      </c>
    </row>
    <row r="1208">
      <c r="B1208" s="21">
        <f>IF(AND(C1208&lt;&gt;"", J1208&lt;&gt;""), HYPERLINK("#'" &amp; C1208 &amp; "'!" &amp; J1208, J1208), "")</f>
        <v/>
      </c>
    </row>
    <row r="1209">
      <c r="B1209" s="21">
        <f>IF(AND(C1209&lt;&gt;"", J1209&lt;&gt;""), HYPERLINK("#'" &amp; C1209 &amp; "'!" &amp; J1209, J1209), "")</f>
        <v/>
      </c>
    </row>
    <row r="1210">
      <c r="B1210" s="21">
        <f>IF(AND(C1210&lt;&gt;"", J1210&lt;&gt;""), HYPERLINK("#'" &amp; C1210 &amp; "'!" &amp; J1210, J1210), "")</f>
        <v/>
      </c>
    </row>
    <row r="1211">
      <c r="B1211" s="21">
        <f>IF(AND(C1211&lt;&gt;"", J1211&lt;&gt;""), HYPERLINK("#'" &amp; C1211 &amp; "'!" &amp; J1211, J1211), "")</f>
        <v/>
      </c>
    </row>
    <row r="1212">
      <c r="B1212" s="21">
        <f>IF(AND(C1212&lt;&gt;"", J1212&lt;&gt;""), HYPERLINK("#'" &amp; C1212 &amp; "'!" &amp; J1212, J1212), "")</f>
        <v/>
      </c>
    </row>
    <row r="1213">
      <c r="B1213" s="21">
        <f>IF(AND(C1213&lt;&gt;"", J1213&lt;&gt;""), HYPERLINK("#'" &amp; C1213 &amp; "'!" &amp; J1213, J1213), "")</f>
        <v/>
      </c>
    </row>
    <row r="1214">
      <c r="B1214" s="21">
        <f>IF(AND(C1214&lt;&gt;"", J1214&lt;&gt;""), HYPERLINK("#'" &amp; C1214 &amp; "'!" &amp; J1214, J1214), "")</f>
        <v/>
      </c>
    </row>
    <row r="1215">
      <c r="B1215" s="21">
        <f>IF(AND(C1215&lt;&gt;"", J1215&lt;&gt;""), HYPERLINK("#'" &amp; C1215 &amp; "'!" &amp; J1215, J1215), "")</f>
        <v/>
      </c>
    </row>
    <row r="1216">
      <c r="B1216" s="21">
        <f>IF(AND(C1216&lt;&gt;"", J1216&lt;&gt;""), HYPERLINK("#'" &amp; C1216 &amp; "'!" &amp; J1216, J1216), "")</f>
        <v/>
      </c>
    </row>
    <row r="1217">
      <c r="B1217" s="21">
        <f>IF(AND(C1217&lt;&gt;"", J1217&lt;&gt;""), HYPERLINK("#'" &amp; C1217 &amp; "'!" &amp; J1217, J1217), "")</f>
        <v/>
      </c>
    </row>
    <row r="1218">
      <c r="B1218" s="21">
        <f>IF(AND(C1218&lt;&gt;"", J1218&lt;&gt;""), HYPERLINK("#'" &amp; C1218 &amp; "'!" &amp; J1218, J1218), "")</f>
        <v/>
      </c>
    </row>
    <row r="1219">
      <c r="B1219" s="21">
        <f>IF(AND(C1219&lt;&gt;"", J1219&lt;&gt;""), HYPERLINK("#'" &amp; C1219 &amp; "'!" &amp; J1219, J1219), "")</f>
        <v/>
      </c>
    </row>
    <row r="1220">
      <c r="B1220" s="21">
        <f>IF(AND(C1220&lt;&gt;"", J1220&lt;&gt;""), HYPERLINK("#'" &amp; C1220 &amp; "'!" &amp; J1220, J1220), "")</f>
        <v/>
      </c>
    </row>
    <row r="1221">
      <c r="B1221" s="21">
        <f>IF(AND(C1221&lt;&gt;"", J1221&lt;&gt;""), HYPERLINK("#'" &amp; C1221 &amp; "'!" &amp; J1221, J1221), "")</f>
        <v/>
      </c>
    </row>
    <row r="1222">
      <c r="B1222" s="21">
        <f>IF(AND(C1222&lt;&gt;"", J1222&lt;&gt;""), HYPERLINK("#'" &amp; C1222 &amp; "'!" &amp; J1222, J1222), "")</f>
        <v/>
      </c>
    </row>
    <row r="1223">
      <c r="B1223" s="21">
        <f>IF(AND(C1223&lt;&gt;"", J1223&lt;&gt;""), HYPERLINK("#'" &amp; C1223 &amp; "'!" &amp; J1223, J1223), "")</f>
        <v/>
      </c>
    </row>
    <row r="1224">
      <c r="B1224" s="21">
        <f>IF(AND(C1224&lt;&gt;"", J1224&lt;&gt;""), HYPERLINK("#'" &amp; C1224 &amp; "'!" &amp; J1224, J1224), "")</f>
        <v/>
      </c>
    </row>
    <row r="1225">
      <c r="B1225" s="21">
        <f>IF(AND(C1225&lt;&gt;"", J1225&lt;&gt;""), HYPERLINK("#'" &amp; C1225 &amp; "'!" &amp; J1225, J1225), "")</f>
        <v/>
      </c>
    </row>
    <row r="1226">
      <c r="B1226" s="21">
        <f>IF(AND(C1226&lt;&gt;"", J1226&lt;&gt;""), HYPERLINK("#'" &amp; C1226 &amp; "'!" &amp; J1226, J1226), "")</f>
        <v/>
      </c>
    </row>
    <row r="1227">
      <c r="B1227" s="21">
        <f>IF(AND(C1227&lt;&gt;"", J1227&lt;&gt;""), HYPERLINK("#'" &amp; C1227 &amp; "'!" &amp; J1227, J1227), "")</f>
        <v/>
      </c>
    </row>
    <row r="1228">
      <c r="B1228" s="21">
        <f>IF(AND(C1228&lt;&gt;"", J1228&lt;&gt;""), HYPERLINK("#'" &amp; C1228 &amp; "'!" &amp; J1228, J1228), "")</f>
        <v/>
      </c>
    </row>
    <row r="1229">
      <c r="B1229" s="21">
        <f>IF(AND(C1229&lt;&gt;"", J1229&lt;&gt;""), HYPERLINK("#'" &amp; C1229 &amp; "'!" &amp; J1229, J1229), "")</f>
        <v/>
      </c>
    </row>
    <row r="1230">
      <c r="B1230" s="21">
        <f>IF(AND(C1230&lt;&gt;"", J1230&lt;&gt;""), HYPERLINK("#'" &amp; C1230 &amp; "'!" &amp; J1230, J1230), "")</f>
        <v/>
      </c>
    </row>
    <row r="1231">
      <c r="B1231" s="21">
        <f>IF(AND(C1231&lt;&gt;"", J1231&lt;&gt;""), HYPERLINK("#'" &amp; C1231 &amp; "'!" &amp; J1231, J1231), "")</f>
        <v/>
      </c>
    </row>
    <row r="1232">
      <c r="B1232" s="21">
        <f>IF(AND(C1232&lt;&gt;"", J1232&lt;&gt;""), HYPERLINK("#'" &amp; C1232 &amp; "'!" &amp; J1232, J1232), "")</f>
        <v/>
      </c>
    </row>
    <row r="1233">
      <c r="B1233" s="21">
        <f>IF(AND(C1233&lt;&gt;"", J1233&lt;&gt;""), HYPERLINK("#'" &amp; C1233 &amp; "'!" &amp; J1233, J1233), "")</f>
        <v/>
      </c>
    </row>
    <row r="1234">
      <c r="B1234" s="21">
        <f>IF(AND(C1234&lt;&gt;"", J1234&lt;&gt;""), HYPERLINK("#'" &amp; C1234 &amp; "'!" &amp; J1234, J1234), "")</f>
        <v/>
      </c>
    </row>
    <row r="1235">
      <c r="B1235" s="21">
        <f>IF(AND(C1235&lt;&gt;"", J1235&lt;&gt;""), HYPERLINK("#'" &amp; C1235 &amp; "'!" &amp; J1235, J1235), "")</f>
        <v/>
      </c>
    </row>
    <row r="1236">
      <c r="B1236" s="21">
        <f>IF(AND(C1236&lt;&gt;"", J1236&lt;&gt;""), HYPERLINK("#'" &amp; C1236 &amp; "'!" &amp; J1236, J1236), "")</f>
        <v/>
      </c>
    </row>
    <row r="1237">
      <c r="B1237" s="21">
        <f>IF(AND(C1237&lt;&gt;"", J1237&lt;&gt;""), HYPERLINK("#'" &amp; C1237 &amp; "'!" &amp; J1237, J1237), "")</f>
        <v/>
      </c>
    </row>
    <row r="1238">
      <c r="B1238" s="21">
        <f>IF(AND(C1238&lt;&gt;"", J1238&lt;&gt;""), HYPERLINK("#'" &amp; C1238 &amp; "'!" &amp; J1238, J1238), "")</f>
        <v/>
      </c>
    </row>
    <row r="1239">
      <c r="B1239" s="21">
        <f>IF(AND(C1239&lt;&gt;"", J1239&lt;&gt;""), HYPERLINK("#'" &amp; C1239 &amp; "'!" &amp; J1239, J1239), "")</f>
        <v/>
      </c>
    </row>
    <row r="1240">
      <c r="B1240" s="21">
        <f>IF(AND(C1240&lt;&gt;"", J1240&lt;&gt;""), HYPERLINK("#'" &amp; C1240 &amp; "'!" &amp; J1240, J1240), "")</f>
        <v/>
      </c>
    </row>
    <row r="1241">
      <c r="B1241" s="21">
        <f>IF(AND(C1241&lt;&gt;"", J1241&lt;&gt;""), HYPERLINK("#'" &amp; C1241 &amp; "'!" &amp; J1241, J1241), "")</f>
        <v/>
      </c>
    </row>
    <row r="1242">
      <c r="B1242" s="21">
        <f>IF(AND(C1242&lt;&gt;"", J1242&lt;&gt;""), HYPERLINK("#'" &amp; C1242 &amp; "'!" &amp; J1242, J1242), "")</f>
        <v/>
      </c>
    </row>
    <row r="1243">
      <c r="B1243" s="21">
        <f>IF(AND(C1243&lt;&gt;"", J1243&lt;&gt;""), HYPERLINK("#'" &amp; C1243 &amp; "'!" &amp; J1243, J1243), "")</f>
        <v/>
      </c>
    </row>
    <row r="1244">
      <c r="B1244" s="21">
        <f>IF(AND(C1244&lt;&gt;"", J1244&lt;&gt;""), HYPERLINK("#'" &amp; C1244 &amp; "'!" &amp; J1244, J1244), "")</f>
        <v/>
      </c>
    </row>
    <row r="1245">
      <c r="B1245" s="21">
        <f>IF(AND(C1245&lt;&gt;"", J1245&lt;&gt;""), HYPERLINK("#'" &amp; C1245 &amp; "'!" &amp; J1245, J1245), "")</f>
        <v/>
      </c>
    </row>
    <row r="1246">
      <c r="B1246" s="21">
        <f>IF(AND(C1246&lt;&gt;"", J1246&lt;&gt;""), HYPERLINK("#'" &amp; C1246 &amp; "'!" &amp; J1246, J1246), "")</f>
        <v/>
      </c>
    </row>
    <row r="1247">
      <c r="B1247" s="21">
        <f>IF(AND(C1247&lt;&gt;"", J1247&lt;&gt;""), HYPERLINK("#'" &amp; C1247 &amp; "'!" &amp; J1247, J1247), "")</f>
        <v/>
      </c>
    </row>
    <row r="1248">
      <c r="B1248" s="21">
        <f>IF(AND(C1248&lt;&gt;"", J1248&lt;&gt;""), HYPERLINK("#'" &amp; C1248 &amp; "'!" &amp; J1248, J1248), "")</f>
        <v/>
      </c>
    </row>
    <row r="1249">
      <c r="B1249" s="21">
        <f>IF(AND(C1249&lt;&gt;"", J1249&lt;&gt;""), HYPERLINK("#'" &amp; C1249 &amp; "'!" &amp; J1249, J1249), "")</f>
        <v/>
      </c>
    </row>
    <row r="1250">
      <c r="B1250" s="21">
        <f>IF(AND(C1250&lt;&gt;"", J1250&lt;&gt;""), HYPERLINK("#'" &amp; C1250 &amp; "'!" &amp; J1250, J1250), "")</f>
        <v/>
      </c>
    </row>
    <row r="1251">
      <c r="B1251" s="21">
        <f>IF(AND(C1251&lt;&gt;"", J1251&lt;&gt;""), HYPERLINK("#'" &amp; C1251 &amp; "'!" &amp; J1251, J1251), "")</f>
        <v/>
      </c>
    </row>
    <row r="1252">
      <c r="B1252" s="21">
        <f>IF(AND(C1252&lt;&gt;"", J1252&lt;&gt;""), HYPERLINK("#'" &amp; C1252 &amp; "'!" &amp; J1252, J1252), "")</f>
        <v/>
      </c>
    </row>
    <row r="1253">
      <c r="B1253" s="21">
        <f>IF(AND(C1253&lt;&gt;"", J1253&lt;&gt;""), HYPERLINK("#'" &amp; C1253 &amp; "'!" &amp; J1253, J1253), "")</f>
        <v/>
      </c>
    </row>
    <row r="1254">
      <c r="B1254" s="21">
        <f>IF(AND(C1254&lt;&gt;"", J1254&lt;&gt;""), HYPERLINK("#'" &amp; C1254 &amp; "'!" &amp; J1254, J1254), "")</f>
        <v/>
      </c>
    </row>
    <row r="1255">
      <c r="B1255" s="21">
        <f>IF(AND(C1255&lt;&gt;"", J1255&lt;&gt;""), HYPERLINK("#'" &amp; C1255 &amp; "'!" &amp; J1255, J1255), "")</f>
        <v/>
      </c>
    </row>
    <row r="1256">
      <c r="B1256" s="21">
        <f>IF(AND(C1256&lt;&gt;"", J1256&lt;&gt;""), HYPERLINK("#'" &amp; C1256 &amp; "'!" &amp; J1256, J1256), "")</f>
        <v/>
      </c>
    </row>
    <row r="1257">
      <c r="B1257" s="21">
        <f>IF(AND(C1257&lt;&gt;"", J1257&lt;&gt;""), HYPERLINK("#'" &amp; C1257 &amp; "'!" &amp; J1257, J1257), "")</f>
        <v/>
      </c>
    </row>
    <row r="1258">
      <c r="B1258" s="21">
        <f>IF(AND(C1258&lt;&gt;"", J1258&lt;&gt;""), HYPERLINK("#'" &amp; C1258 &amp; "'!" &amp; J1258, J1258), "")</f>
        <v/>
      </c>
    </row>
    <row r="1259">
      <c r="B1259" s="21">
        <f>IF(AND(C1259&lt;&gt;"", J1259&lt;&gt;""), HYPERLINK("#'" &amp; C1259 &amp; "'!" &amp; J1259, J1259), "")</f>
        <v/>
      </c>
    </row>
    <row r="1260">
      <c r="B1260" s="21">
        <f>IF(AND(C1260&lt;&gt;"", J1260&lt;&gt;""), HYPERLINK("#'" &amp; C1260 &amp; "'!" &amp; J1260, J1260), "")</f>
        <v/>
      </c>
    </row>
    <row r="1261">
      <c r="B1261" s="21">
        <f>IF(AND(C1261&lt;&gt;"", J1261&lt;&gt;""), HYPERLINK("#'" &amp; C1261 &amp; "'!" &amp; J1261, J1261), "")</f>
        <v/>
      </c>
    </row>
    <row r="1262">
      <c r="B1262" s="21">
        <f>IF(AND(C1262&lt;&gt;"", J1262&lt;&gt;""), HYPERLINK("#'" &amp; C1262 &amp; "'!" &amp; J1262, J1262), "")</f>
        <v/>
      </c>
    </row>
    <row r="1263">
      <c r="B1263" s="21">
        <f>IF(AND(C1263&lt;&gt;"", J1263&lt;&gt;""), HYPERLINK("#'" &amp; C1263 &amp; "'!" &amp; J1263, J1263), "")</f>
        <v/>
      </c>
    </row>
    <row r="1264">
      <c r="B1264" s="21">
        <f>IF(AND(C1264&lt;&gt;"", J1264&lt;&gt;""), HYPERLINK("#'" &amp; C1264 &amp; "'!" &amp; J1264, J1264), "")</f>
        <v/>
      </c>
    </row>
    <row r="1265">
      <c r="B1265" s="21">
        <f>IF(AND(C1265&lt;&gt;"", J1265&lt;&gt;""), HYPERLINK("#'" &amp; C1265 &amp; "'!" &amp; J1265, J1265), "")</f>
        <v/>
      </c>
    </row>
    <row r="1266">
      <c r="B1266" s="21">
        <f>IF(AND(C1266&lt;&gt;"", J1266&lt;&gt;""), HYPERLINK("#'" &amp; C1266 &amp; "'!" &amp; J1266, J1266), "")</f>
        <v/>
      </c>
    </row>
    <row r="1267">
      <c r="B1267" s="21">
        <f>IF(AND(C1267&lt;&gt;"", J1267&lt;&gt;""), HYPERLINK("#'" &amp; C1267 &amp; "'!" &amp; J1267, J1267), "")</f>
        <v/>
      </c>
    </row>
    <row r="1268">
      <c r="B1268" s="21">
        <f>IF(AND(C1268&lt;&gt;"", J1268&lt;&gt;""), HYPERLINK("#'" &amp; C1268 &amp; "'!" &amp; J1268, J1268), "")</f>
        <v/>
      </c>
    </row>
    <row r="1269">
      <c r="B1269" s="21">
        <f>IF(AND(C1269&lt;&gt;"", J1269&lt;&gt;""), HYPERLINK("#'" &amp; C1269 &amp; "'!" &amp; J1269, J1269), "")</f>
        <v/>
      </c>
    </row>
    <row r="1270">
      <c r="B1270" s="21">
        <f>IF(AND(C1270&lt;&gt;"", J1270&lt;&gt;""), HYPERLINK("#'" &amp; C1270 &amp; "'!" &amp; J1270, J1270), "")</f>
        <v/>
      </c>
    </row>
    <row r="1271">
      <c r="B1271" s="21">
        <f>IF(AND(C1271&lt;&gt;"", J1271&lt;&gt;""), HYPERLINK("#'" &amp; C1271 &amp; "'!" &amp; J1271, J1271), "")</f>
        <v/>
      </c>
    </row>
    <row r="1272">
      <c r="B1272" s="21">
        <f>IF(AND(C1272&lt;&gt;"", J1272&lt;&gt;""), HYPERLINK("#'" &amp; C1272 &amp; "'!" &amp; J1272, J1272), "")</f>
        <v/>
      </c>
    </row>
    <row r="1273">
      <c r="B1273" s="21">
        <f>IF(AND(C1273&lt;&gt;"", J1273&lt;&gt;""), HYPERLINK("#'" &amp; C1273 &amp; "'!" &amp; J1273, J1273), "")</f>
        <v/>
      </c>
    </row>
    <row r="1274">
      <c r="B1274" s="21">
        <f>IF(AND(C1274&lt;&gt;"", J1274&lt;&gt;""), HYPERLINK("#'" &amp; C1274 &amp; "'!" &amp; J1274, J1274), "")</f>
        <v/>
      </c>
    </row>
    <row r="1275">
      <c r="B1275" s="21">
        <f>IF(AND(C1275&lt;&gt;"", J1275&lt;&gt;""), HYPERLINK("#'" &amp; C1275 &amp; "'!" &amp; J1275, J1275), "")</f>
        <v/>
      </c>
    </row>
    <row r="1276">
      <c r="B1276" s="21">
        <f>IF(AND(C1276&lt;&gt;"", J1276&lt;&gt;""), HYPERLINK("#'" &amp; C1276 &amp; "'!" &amp; J1276, J1276), "")</f>
        <v/>
      </c>
    </row>
    <row r="1277">
      <c r="B1277" s="21">
        <f>IF(AND(C1277&lt;&gt;"", J1277&lt;&gt;""), HYPERLINK("#'" &amp; C1277 &amp; "'!" &amp; J1277, J1277), "")</f>
        <v/>
      </c>
    </row>
    <row r="1278">
      <c r="B1278" s="21">
        <f>IF(AND(C1278&lt;&gt;"", J1278&lt;&gt;""), HYPERLINK("#'" &amp; C1278 &amp; "'!" &amp; J1278, J1278), "")</f>
        <v/>
      </c>
    </row>
    <row r="1279">
      <c r="B1279" s="21">
        <f>IF(AND(C1279&lt;&gt;"", J1279&lt;&gt;""), HYPERLINK("#'" &amp; C1279 &amp; "'!" &amp; J1279, J1279), "")</f>
        <v/>
      </c>
    </row>
    <row r="1280">
      <c r="B1280" s="21">
        <f>IF(AND(C1280&lt;&gt;"", J1280&lt;&gt;""), HYPERLINK("#'" &amp; C1280 &amp; "'!" &amp; J1280, J1280), "")</f>
        <v/>
      </c>
    </row>
    <row r="1281">
      <c r="B1281" s="21">
        <f>IF(AND(C1281&lt;&gt;"", J1281&lt;&gt;""), HYPERLINK("#'" &amp; C1281 &amp; "'!" &amp; J1281, J1281), "")</f>
        <v/>
      </c>
    </row>
    <row r="1282">
      <c r="B1282" s="21">
        <f>IF(AND(C1282&lt;&gt;"", J1282&lt;&gt;""), HYPERLINK("#'" &amp; C1282 &amp; "'!" &amp; J1282, J1282), "")</f>
        <v/>
      </c>
    </row>
    <row r="1283">
      <c r="B1283" s="21">
        <f>IF(AND(C1283&lt;&gt;"", J1283&lt;&gt;""), HYPERLINK("#'" &amp; C1283 &amp; "'!" &amp; J1283, J1283), "")</f>
        <v/>
      </c>
    </row>
    <row r="1284">
      <c r="B1284" s="21">
        <f>IF(AND(C1284&lt;&gt;"", J1284&lt;&gt;""), HYPERLINK("#'" &amp; C1284 &amp; "'!" &amp; J1284, J1284), "")</f>
        <v/>
      </c>
    </row>
    <row r="1285">
      <c r="B1285" s="21">
        <f>IF(AND(C1285&lt;&gt;"", J1285&lt;&gt;""), HYPERLINK("#'" &amp; C1285 &amp; "'!" &amp; J1285, J1285), "")</f>
        <v/>
      </c>
    </row>
    <row r="1286">
      <c r="B1286" s="21">
        <f>IF(AND(C1286&lt;&gt;"", J1286&lt;&gt;""), HYPERLINK("#'" &amp; C1286 &amp; "'!" &amp; J1286, J1286), "")</f>
        <v/>
      </c>
    </row>
    <row r="1287">
      <c r="B1287" s="21">
        <f>IF(AND(C1287&lt;&gt;"", J1287&lt;&gt;""), HYPERLINK("#'" &amp; C1287 &amp; "'!" &amp; J1287, J1287), "")</f>
        <v/>
      </c>
    </row>
    <row r="1288">
      <c r="B1288" s="21">
        <f>IF(AND(C1288&lt;&gt;"", J1288&lt;&gt;""), HYPERLINK("#'" &amp; C1288 &amp; "'!" &amp; J1288, J1288), "")</f>
        <v/>
      </c>
    </row>
    <row r="1289">
      <c r="B1289" s="21">
        <f>IF(AND(C1289&lt;&gt;"", J1289&lt;&gt;""), HYPERLINK("#'" &amp; C1289 &amp; "'!" &amp; J1289, J1289), "")</f>
        <v/>
      </c>
    </row>
    <row r="1290">
      <c r="B1290" s="21">
        <f>IF(AND(C1290&lt;&gt;"", J1290&lt;&gt;""), HYPERLINK("#'" &amp; C1290 &amp; "'!" &amp; J1290, J1290), "")</f>
        <v/>
      </c>
    </row>
    <row r="1291">
      <c r="B1291" s="21">
        <f>IF(AND(C1291&lt;&gt;"", J1291&lt;&gt;""), HYPERLINK("#'" &amp; C1291 &amp; "'!" &amp; J1291, J1291), "")</f>
        <v/>
      </c>
    </row>
    <row r="1292">
      <c r="B1292" s="21">
        <f>IF(AND(C1292&lt;&gt;"", J1292&lt;&gt;""), HYPERLINK("#'" &amp; C1292 &amp; "'!" &amp; J1292, J1292), "")</f>
        <v/>
      </c>
    </row>
    <row r="1293">
      <c r="B1293" s="21">
        <f>IF(AND(C1293&lt;&gt;"", J1293&lt;&gt;""), HYPERLINK("#'" &amp; C1293 &amp; "'!" &amp; J1293, J1293), "")</f>
        <v/>
      </c>
    </row>
    <row r="1294">
      <c r="B1294" s="21">
        <f>IF(AND(C1294&lt;&gt;"", J1294&lt;&gt;""), HYPERLINK("#'" &amp; C1294 &amp; "'!" &amp; J1294, J1294), "")</f>
        <v/>
      </c>
    </row>
    <row r="1295">
      <c r="B1295" s="21">
        <f>IF(AND(C1295&lt;&gt;"", J1295&lt;&gt;""), HYPERLINK("#'" &amp; C1295 &amp; "'!" &amp; J1295, J1295), "")</f>
        <v/>
      </c>
    </row>
    <row r="1296">
      <c r="B1296" s="21">
        <f>IF(AND(C1296&lt;&gt;"", J1296&lt;&gt;""), HYPERLINK("#'" &amp; C1296 &amp; "'!" &amp; J1296, J1296), "")</f>
        <v/>
      </c>
    </row>
    <row r="1297">
      <c r="B1297" s="21">
        <f>IF(AND(C1297&lt;&gt;"", J1297&lt;&gt;""), HYPERLINK("#'" &amp; C1297 &amp; "'!" &amp; J1297, J1297), "")</f>
        <v/>
      </c>
    </row>
    <row r="1298">
      <c r="B1298" s="21">
        <f>IF(AND(C1298&lt;&gt;"", J1298&lt;&gt;""), HYPERLINK("#'" &amp; C1298 &amp; "'!" &amp; J1298, J1298), "")</f>
        <v/>
      </c>
    </row>
    <row r="1299">
      <c r="B1299" s="21">
        <f>IF(AND(C1299&lt;&gt;"", J1299&lt;&gt;""), HYPERLINK("#'" &amp; C1299 &amp; "'!" &amp; J1299, J1299), "")</f>
        <v/>
      </c>
    </row>
    <row r="1300">
      <c r="B1300" s="21">
        <f>IF(AND(C1300&lt;&gt;"", J1300&lt;&gt;""), HYPERLINK("#'" &amp; C1300 &amp; "'!" &amp; J1300, J1300), "")</f>
        <v/>
      </c>
    </row>
    <row r="1301">
      <c r="B1301" s="21">
        <f>IF(AND(C1301&lt;&gt;"", J1301&lt;&gt;""), HYPERLINK("#'" &amp; C1301 &amp; "'!" &amp; J1301, J1301), "")</f>
        <v/>
      </c>
    </row>
    <row r="1302">
      <c r="B1302" s="21">
        <f>IF(AND(C1302&lt;&gt;"", J1302&lt;&gt;""), HYPERLINK("#'" &amp; C1302 &amp; "'!" &amp; J1302, J1302), "")</f>
        <v/>
      </c>
    </row>
    <row r="1303">
      <c r="B1303" s="21">
        <f>IF(AND(C1303&lt;&gt;"", J1303&lt;&gt;""), HYPERLINK("#'" &amp; C1303 &amp; "'!" &amp; J1303, J1303), "")</f>
        <v/>
      </c>
    </row>
    <row r="1304">
      <c r="B1304" s="21">
        <f>IF(AND(C1304&lt;&gt;"", J1304&lt;&gt;""), HYPERLINK("#'" &amp; C1304 &amp; "'!" &amp; J1304, J1304), "")</f>
        <v/>
      </c>
    </row>
    <row r="1305">
      <c r="B1305" s="21">
        <f>IF(AND(C1305&lt;&gt;"", J1305&lt;&gt;""), HYPERLINK("#'" &amp; C1305 &amp; "'!" &amp; J1305, J1305), "")</f>
        <v/>
      </c>
    </row>
    <row r="1306">
      <c r="B1306" s="21">
        <f>IF(AND(C1306&lt;&gt;"", J1306&lt;&gt;""), HYPERLINK("#'" &amp; C1306 &amp; "'!" &amp; J1306, J1306), "")</f>
        <v/>
      </c>
    </row>
    <row r="1307">
      <c r="B1307" s="21">
        <f>IF(AND(C1307&lt;&gt;"", J1307&lt;&gt;""), HYPERLINK("#'" &amp; C1307 &amp; "'!" &amp; J1307, J1307), "")</f>
        <v/>
      </c>
    </row>
    <row r="1308">
      <c r="B1308" s="21">
        <f>IF(AND(C1308&lt;&gt;"", J1308&lt;&gt;""), HYPERLINK("#'" &amp; C1308 &amp; "'!" &amp; J1308, J1308), "")</f>
        <v/>
      </c>
    </row>
    <row r="1309">
      <c r="B1309" s="21">
        <f>IF(AND(C1309&lt;&gt;"", J1309&lt;&gt;""), HYPERLINK("#'" &amp; C1309 &amp; "'!" &amp; J1309, J1309), "")</f>
        <v/>
      </c>
    </row>
    <row r="1310">
      <c r="B1310" s="21">
        <f>IF(AND(C1310&lt;&gt;"", J1310&lt;&gt;""), HYPERLINK("#'" &amp; C1310 &amp; "'!" &amp; J1310, J1310), "")</f>
        <v/>
      </c>
    </row>
    <row r="1311">
      <c r="B1311" s="21">
        <f>IF(AND(C1311&lt;&gt;"", J1311&lt;&gt;""), HYPERLINK("#'" &amp; C1311 &amp; "'!" &amp; J1311, J1311), "")</f>
        <v/>
      </c>
    </row>
    <row r="1312">
      <c r="B1312" s="21">
        <f>IF(AND(C1312&lt;&gt;"", J1312&lt;&gt;""), HYPERLINK("#'" &amp; C1312 &amp; "'!" &amp; J1312, J1312), "")</f>
        <v/>
      </c>
    </row>
    <row r="1313">
      <c r="B1313" s="21">
        <f>IF(AND(C1313&lt;&gt;"", J1313&lt;&gt;""), HYPERLINK("#'" &amp; C1313 &amp; "'!" &amp; J1313, J1313), "")</f>
        <v/>
      </c>
    </row>
    <row r="1314">
      <c r="B1314" s="21">
        <f>IF(AND(C1314&lt;&gt;"", J1314&lt;&gt;""), HYPERLINK("#'" &amp; C1314 &amp; "'!" &amp; J1314, J1314), "")</f>
        <v/>
      </c>
    </row>
    <row r="1315">
      <c r="B1315" s="21">
        <f>IF(AND(C1315&lt;&gt;"", J1315&lt;&gt;""), HYPERLINK("#'" &amp; C1315 &amp; "'!" &amp; J1315, J1315), "")</f>
        <v/>
      </c>
    </row>
    <row r="1316">
      <c r="B1316" s="21">
        <f>IF(AND(C1316&lt;&gt;"", J1316&lt;&gt;""), HYPERLINK("#'" &amp; C1316 &amp; "'!" &amp; J1316, J1316), "")</f>
        <v/>
      </c>
    </row>
    <row r="1317">
      <c r="B1317" s="21">
        <f>IF(AND(C1317&lt;&gt;"", J1317&lt;&gt;""), HYPERLINK("#'" &amp; C1317 &amp; "'!" &amp; J1317, J1317), "")</f>
        <v/>
      </c>
    </row>
    <row r="1318">
      <c r="B1318" s="21">
        <f>IF(AND(C1318&lt;&gt;"", J1318&lt;&gt;""), HYPERLINK("#'" &amp; C1318 &amp; "'!" &amp; J1318, J1318), "")</f>
        <v/>
      </c>
    </row>
    <row r="1319">
      <c r="B1319" s="21">
        <f>IF(AND(C1319&lt;&gt;"", J1319&lt;&gt;""), HYPERLINK("#'" &amp; C1319 &amp; "'!" &amp; J1319, J1319), "")</f>
        <v/>
      </c>
    </row>
    <row r="1320">
      <c r="B1320" s="21">
        <f>IF(AND(C1320&lt;&gt;"", J1320&lt;&gt;""), HYPERLINK("#'" &amp; C1320 &amp; "'!" &amp; J1320, J1320), "")</f>
        <v/>
      </c>
    </row>
    <row r="1321">
      <c r="B1321" s="21">
        <f>IF(AND(C1321&lt;&gt;"", J1321&lt;&gt;""), HYPERLINK("#'" &amp; C1321 &amp; "'!" &amp; J1321, J1321), "")</f>
        <v/>
      </c>
    </row>
    <row r="1322">
      <c r="B1322" s="21">
        <f>IF(AND(C1322&lt;&gt;"", J1322&lt;&gt;""), HYPERLINK("#'" &amp; C1322 &amp; "'!" &amp; J1322, J1322), "")</f>
        <v/>
      </c>
    </row>
    <row r="1323">
      <c r="B1323" s="21">
        <f>IF(AND(C1323&lt;&gt;"", J1323&lt;&gt;""), HYPERLINK("#'" &amp; C1323 &amp; "'!" &amp; J1323, J1323), "")</f>
        <v/>
      </c>
    </row>
    <row r="1324">
      <c r="B1324" s="21">
        <f>IF(AND(C1324&lt;&gt;"", J1324&lt;&gt;""), HYPERLINK("#'" &amp; C1324 &amp; "'!" &amp; J1324, J1324), "")</f>
        <v/>
      </c>
    </row>
    <row r="1325">
      <c r="B1325" s="21">
        <f>IF(AND(C1325&lt;&gt;"", J1325&lt;&gt;""), HYPERLINK("#'" &amp; C1325 &amp; "'!" &amp; J1325, J1325), "")</f>
        <v/>
      </c>
    </row>
    <row r="1326">
      <c r="B1326" s="21">
        <f>IF(AND(C1326&lt;&gt;"", J1326&lt;&gt;""), HYPERLINK("#'" &amp; C1326 &amp; "'!" &amp; J1326, J1326), "")</f>
        <v/>
      </c>
    </row>
    <row r="1327">
      <c r="B1327" s="21">
        <f>IF(AND(C1327&lt;&gt;"", J1327&lt;&gt;""), HYPERLINK("#'" &amp; C1327 &amp; "'!" &amp; J1327, J1327), "")</f>
        <v/>
      </c>
    </row>
    <row r="1328">
      <c r="B1328" s="21">
        <f>IF(AND(C1328&lt;&gt;"", J1328&lt;&gt;""), HYPERLINK("#'" &amp; C1328 &amp; "'!" &amp; J1328, J1328), "")</f>
        <v/>
      </c>
    </row>
    <row r="1329">
      <c r="B1329" s="21">
        <f>IF(AND(C1329&lt;&gt;"", J1329&lt;&gt;""), HYPERLINK("#'" &amp; C1329 &amp; "'!" &amp; J1329, J1329), "")</f>
        <v/>
      </c>
    </row>
    <row r="1330">
      <c r="B1330" s="21">
        <f>IF(AND(C1330&lt;&gt;"", J1330&lt;&gt;""), HYPERLINK("#'" &amp; C1330 &amp; "'!" &amp; J1330, J1330), "")</f>
        <v/>
      </c>
    </row>
    <row r="1331">
      <c r="B1331" s="21">
        <f>IF(AND(C1331&lt;&gt;"", J1331&lt;&gt;""), HYPERLINK("#'" &amp; C1331 &amp; "'!" &amp; J1331, J1331), "")</f>
        <v/>
      </c>
    </row>
    <row r="1332">
      <c r="B1332" s="21">
        <f>IF(AND(C1332&lt;&gt;"", J1332&lt;&gt;""), HYPERLINK("#'" &amp; C1332 &amp; "'!" &amp; J1332, J1332), "")</f>
        <v/>
      </c>
    </row>
    <row r="1333">
      <c r="B1333" s="21">
        <f>IF(AND(C1333&lt;&gt;"", J1333&lt;&gt;""), HYPERLINK("#'" &amp; C1333 &amp; "'!" &amp; J1333, J1333), "")</f>
        <v/>
      </c>
    </row>
    <row r="1334">
      <c r="B1334" s="21">
        <f>IF(AND(C1334&lt;&gt;"", J1334&lt;&gt;""), HYPERLINK("#'" &amp; C1334 &amp; "'!" &amp; J1334, J1334), "")</f>
        <v/>
      </c>
    </row>
    <row r="1335">
      <c r="B1335" s="21">
        <f>IF(AND(C1335&lt;&gt;"", J1335&lt;&gt;""), HYPERLINK("#'" &amp; C1335 &amp; "'!" &amp; J1335, J1335), "")</f>
        <v/>
      </c>
    </row>
    <row r="1336">
      <c r="B1336" s="21">
        <f>IF(AND(C1336&lt;&gt;"", J1336&lt;&gt;""), HYPERLINK("#'" &amp; C1336 &amp; "'!" &amp; J1336, J1336), "")</f>
        <v/>
      </c>
    </row>
    <row r="1337">
      <c r="B1337" s="21">
        <f>IF(AND(C1337&lt;&gt;"", J1337&lt;&gt;""), HYPERLINK("#'" &amp; C1337 &amp; "'!" &amp; J1337, J1337), "")</f>
        <v/>
      </c>
    </row>
    <row r="1338">
      <c r="B1338" s="21">
        <f>IF(AND(C1338&lt;&gt;"", J1338&lt;&gt;""), HYPERLINK("#'" &amp; C1338 &amp; "'!" &amp; J1338, J1338), "")</f>
        <v/>
      </c>
    </row>
    <row r="1339">
      <c r="B1339" s="21">
        <f>IF(AND(C1339&lt;&gt;"", J1339&lt;&gt;""), HYPERLINK("#'" &amp; C1339 &amp; "'!" &amp; J1339, J1339), "")</f>
        <v/>
      </c>
    </row>
    <row r="1340">
      <c r="B1340" s="21">
        <f>IF(AND(C1340&lt;&gt;"", J1340&lt;&gt;""), HYPERLINK("#'" &amp; C1340 &amp; "'!" &amp; J1340, J1340), "")</f>
        <v/>
      </c>
    </row>
    <row r="1341">
      <c r="B1341" s="21">
        <f>IF(AND(C1341&lt;&gt;"", J1341&lt;&gt;""), HYPERLINK("#'" &amp; C1341 &amp; "'!" &amp; J1341, J1341), "")</f>
        <v/>
      </c>
    </row>
    <row r="1342">
      <c r="B1342" s="21">
        <f>IF(AND(C1342&lt;&gt;"", J1342&lt;&gt;""), HYPERLINK("#'" &amp; C1342 &amp; "'!" &amp; J1342, J1342), "")</f>
        <v/>
      </c>
    </row>
    <row r="1343">
      <c r="B1343" s="21">
        <f>IF(AND(C1343&lt;&gt;"", J1343&lt;&gt;""), HYPERLINK("#'" &amp; C1343 &amp; "'!" &amp; J1343, J1343), "")</f>
        <v/>
      </c>
    </row>
    <row r="1344">
      <c r="B1344" s="21">
        <f>IF(AND(C1344&lt;&gt;"", J1344&lt;&gt;""), HYPERLINK("#'" &amp; C1344 &amp; "'!" &amp; J1344, J1344), "")</f>
        <v/>
      </c>
    </row>
    <row r="1345">
      <c r="B1345" s="21">
        <f>IF(AND(C1345&lt;&gt;"", J1345&lt;&gt;""), HYPERLINK("#'" &amp; C1345 &amp; "'!" &amp; J1345, J1345), "")</f>
        <v/>
      </c>
    </row>
    <row r="1346">
      <c r="B1346" s="21">
        <f>IF(AND(C1346&lt;&gt;"", J1346&lt;&gt;""), HYPERLINK("#'" &amp; C1346 &amp; "'!" &amp; J1346, J1346), "")</f>
        <v/>
      </c>
    </row>
    <row r="1347">
      <c r="B1347" s="21">
        <f>IF(AND(C1347&lt;&gt;"", J1347&lt;&gt;""), HYPERLINK("#'" &amp; C1347 &amp; "'!" &amp; J1347, J1347), "")</f>
        <v/>
      </c>
    </row>
    <row r="1348">
      <c r="B1348" s="21">
        <f>IF(AND(C1348&lt;&gt;"", J1348&lt;&gt;""), HYPERLINK("#'" &amp; C1348 &amp; "'!" &amp; J1348, J1348), "")</f>
        <v/>
      </c>
    </row>
    <row r="1349">
      <c r="B1349" s="21">
        <f>IF(AND(C1349&lt;&gt;"", J1349&lt;&gt;""), HYPERLINK("#'" &amp; C1349 &amp; "'!" &amp; J1349, J1349), "")</f>
        <v/>
      </c>
    </row>
    <row r="1350">
      <c r="B1350" s="21">
        <f>IF(AND(C1350&lt;&gt;"", J1350&lt;&gt;""), HYPERLINK("#'" &amp; C1350 &amp; "'!" &amp; J1350, J1350), "")</f>
        <v/>
      </c>
    </row>
    <row r="1351">
      <c r="B1351" s="21">
        <f>IF(AND(C1351&lt;&gt;"", J1351&lt;&gt;""), HYPERLINK("#'" &amp; C1351 &amp; "'!" &amp; J1351, J1351), "")</f>
        <v/>
      </c>
    </row>
    <row r="1352">
      <c r="B1352" s="21">
        <f>IF(AND(C1352&lt;&gt;"", J1352&lt;&gt;""), HYPERLINK("#'" &amp; C1352 &amp; "'!" &amp; J1352, J1352), "")</f>
        <v/>
      </c>
    </row>
    <row r="1353">
      <c r="B1353" s="21">
        <f>IF(AND(C1353&lt;&gt;"", J1353&lt;&gt;""), HYPERLINK("#'" &amp; C1353 &amp; "'!" &amp; J1353, J1353), "")</f>
        <v/>
      </c>
    </row>
    <row r="1354">
      <c r="B1354" s="21">
        <f>IF(AND(C1354&lt;&gt;"", J1354&lt;&gt;""), HYPERLINK("#'" &amp; C1354 &amp; "'!" &amp; J1354, J1354), "")</f>
        <v/>
      </c>
    </row>
    <row r="1355">
      <c r="B1355" s="21">
        <f>IF(AND(C1355&lt;&gt;"", J1355&lt;&gt;""), HYPERLINK("#'" &amp; C1355 &amp; "'!" &amp; J1355, J1355), "")</f>
        <v/>
      </c>
    </row>
    <row r="1356">
      <c r="B1356" s="21">
        <f>IF(AND(C1356&lt;&gt;"", J1356&lt;&gt;""), HYPERLINK("#'" &amp; C1356 &amp; "'!" &amp; J1356, J1356), "")</f>
        <v/>
      </c>
    </row>
    <row r="1357">
      <c r="B1357" s="21">
        <f>IF(AND(C1357&lt;&gt;"", J1357&lt;&gt;""), HYPERLINK("#'" &amp; C1357 &amp; "'!" &amp; J1357, J1357), "")</f>
        <v/>
      </c>
    </row>
    <row r="1358">
      <c r="B1358" s="21">
        <f>IF(AND(C1358&lt;&gt;"", J1358&lt;&gt;""), HYPERLINK("#'" &amp; C1358 &amp; "'!" &amp; J1358, J1358), "")</f>
        <v/>
      </c>
    </row>
    <row r="1359">
      <c r="B1359" s="21">
        <f>IF(AND(C1359&lt;&gt;"", J1359&lt;&gt;""), HYPERLINK("#'" &amp; C1359 &amp; "'!" &amp; J1359, J1359), "")</f>
        <v/>
      </c>
    </row>
    <row r="1360">
      <c r="B1360" s="21">
        <f>IF(AND(C1360&lt;&gt;"", J1360&lt;&gt;""), HYPERLINK("#'" &amp; C1360 &amp; "'!" &amp; J1360, J1360), "")</f>
        <v/>
      </c>
    </row>
    <row r="1361">
      <c r="B1361" s="21">
        <f>IF(AND(C1361&lt;&gt;"", J1361&lt;&gt;""), HYPERLINK("#'" &amp; C1361 &amp; "'!" &amp; J1361, J1361), "")</f>
        <v/>
      </c>
    </row>
    <row r="1362">
      <c r="B1362" s="21">
        <f>IF(AND(C1362&lt;&gt;"", J1362&lt;&gt;""), HYPERLINK("#'" &amp; C1362 &amp; "'!" &amp; J1362, J1362), "")</f>
        <v/>
      </c>
    </row>
    <row r="1363">
      <c r="B1363" s="21">
        <f>IF(AND(C1363&lt;&gt;"", J1363&lt;&gt;""), HYPERLINK("#'" &amp; C1363 &amp; "'!" &amp; J1363, J1363), "")</f>
        <v/>
      </c>
    </row>
    <row r="1364">
      <c r="B1364" s="21">
        <f>IF(AND(C1364&lt;&gt;"", J1364&lt;&gt;""), HYPERLINK("#'" &amp; C1364 &amp; "'!" &amp; J1364, J1364), "")</f>
        <v/>
      </c>
    </row>
    <row r="1365">
      <c r="B1365" s="21">
        <f>IF(AND(C1365&lt;&gt;"", J1365&lt;&gt;""), HYPERLINK("#'" &amp; C1365 &amp; "'!" &amp; J1365, J1365), "")</f>
        <v/>
      </c>
    </row>
    <row r="1366">
      <c r="B1366" s="21">
        <f>IF(AND(C1366&lt;&gt;"", J1366&lt;&gt;""), HYPERLINK("#'" &amp; C1366 &amp; "'!" &amp; J1366, J1366), "")</f>
        <v/>
      </c>
    </row>
    <row r="1367">
      <c r="B1367" s="21">
        <f>IF(AND(C1367&lt;&gt;"", J1367&lt;&gt;""), HYPERLINK("#'" &amp; C1367 &amp; "'!" &amp; J1367, J1367), "")</f>
        <v/>
      </c>
    </row>
    <row r="1368">
      <c r="B1368" s="21">
        <f>IF(AND(C1368&lt;&gt;"", J1368&lt;&gt;""), HYPERLINK("#'" &amp; C1368 &amp; "'!" &amp; J1368, J1368), "")</f>
        <v/>
      </c>
    </row>
    <row r="1369">
      <c r="B1369" s="21">
        <f>IF(AND(C1369&lt;&gt;"", J1369&lt;&gt;""), HYPERLINK("#'" &amp; C1369 &amp; "'!" &amp; J1369, J1369), "")</f>
        <v/>
      </c>
    </row>
    <row r="1370">
      <c r="B1370" s="21">
        <f>IF(AND(C1370&lt;&gt;"", J1370&lt;&gt;""), HYPERLINK("#'" &amp; C1370 &amp; "'!" &amp; J1370, J1370), "")</f>
        <v/>
      </c>
    </row>
    <row r="1371">
      <c r="B1371" s="21">
        <f>IF(AND(C1371&lt;&gt;"", J1371&lt;&gt;""), HYPERLINK("#'" &amp; C1371 &amp; "'!" &amp; J1371, J1371), "")</f>
        <v/>
      </c>
    </row>
    <row r="1372">
      <c r="B1372" s="21">
        <f>IF(AND(C1372&lt;&gt;"", J1372&lt;&gt;""), HYPERLINK("#'" &amp; C1372 &amp; "'!" &amp; J1372, J1372), "")</f>
        <v/>
      </c>
    </row>
    <row r="1373">
      <c r="B1373" s="21">
        <f>IF(AND(C1373&lt;&gt;"", J1373&lt;&gt;""), HYPERLINK("#'" &amp; C1373 &amp; "'!" &amp; J1373, J1373), "")</f>
        <v/>
      </c>
    </row>
    <row r="1374">
      <c r="B1374" s="21">
        <f>IF(AND(C1374&lt;&gt;"", J1374&lt;&gt;""), HYPERLINK("#'" &amp; C1374 &amp; "'!" &amp; J1374, J1374), "")</f>
        <v/>
      </c>
    </row>
    <row r="1375">
      <c r="B1375" s="21">
        <f>IF(AND(C1375&lt;&gt;"", J1375&lt;&gt;""), HYPERLINK("#'" &amp; C1375 &amp; "'!" &amp; J1375, J1375), "")</f>
        <v/>
      </c>
    </row>
    <row r="1376">
      <c r="B1376" s="21">
        <f>IF(AND(C1376&lt;&gt;"", J1376&lt;&gt;""), HYPERLINK("#'" &amp; C1376 &amp; "'!" &amp; J1376, J1376), "")</f>
        <v/>
      </c>
    </row>
    <row r="1377">
      <c r="B1377" s="21">
        <f>IF(AND(C1377&lt;&gt;"", J1377&lt;&gt;""), HYPERLINK("#'" &amp; C1377 &amp; "'!" &amp; J1377, J1377), "")</f>
        <v/>
      </c>
    </row>
    <row r="1378">
      <c r="B1378" s="21">
        <f>IF(AND(C1378&lt;&gt;"", J1378&lt;&gt;""), HYPERLINK("#'" &amp; C1378 &amp; "'!" &amp; J1378, J1378), "")</f>
        <v/>
      </c>
    </row>
    <row r="1379">
      <c r="B1379" s="21">
        <f>IF(AND(C1379&lt;&gt;"", J1379&lt;&gt;""), HYPERLINK("#'" &amp; C1379 &amp; "'!" &amp; J1379, J1379), "")</f>
        <v/>
      </c>
    </row>
    <row r="1380">
      <c r="B1380" s="21">
        <f>IF(AND(C1380&lt;&gt;"", J1380&lt;&gt;""), HYPERLINK("#'" &amp; C1380 &amp; "'!" &amp; J1380, J1380), "")</f>
        <v/>
      </c>
    </row>
    <row r="1381">
      <c r="B1381" s="21">
        <f>IF(AND(C1381&lt;&gt;"", J1381&lt;&gt;""), HYPERLINK("#'" &amp; C1381 &amp; "'!" &amp; J1381, J1381), "")</f>
        <v/>
      </c>
    </row>
    <row r="1382">
      <c r="B1382" s="21">
        <f>IF(AND(C1382&lt;&gt;"", J1382&lt;&gt;""), HYPERLINK("#'" &amp; C1382 &amp; "'!" &amp; J1382, J1382), "")</f>
        <v/>
      </c>
    </row>
    <row r="1383">
      <c r="B1383" s="21">
        <f>IF(AND(C1383&lt;&gt;"", J1383&lt;&gt;""), HYPERLINK("#'" &amp; C1383 &amp; "'!" &amp; J1383, J1383), "")</f>
        <v/>
      </c>
    </row>
    <row r="1384">
      <c r="B1384" s="21">
        <f>IF(AND(C1384&lt;&gt;"", J1384&lt;&gt;""), HYPERLINK("#'" &amp; C1384 &amp; "'!" &amp; J1384, J1384), "")</f>
        <v/>
      </c>
    </row>
    <row r="1385">
      <c r="B1385" s="21">
        <f>IF(AND(C1385&lt;&gt;"", J1385&lt;&gt;""), HYPERLINK("#'" &amp; C1385 &amp; "'!" &amp; J1385, J1385), "")</f>
        <v/>
      </c>
    </row>
    <row r="1386">
      <c r="B1386" s="21">
        <f>IF(AND(C1386&lt;&gt;"", J1386&lt;&gt;""), HYPERLINK("#'" &amp; C1386 &amp; "'!" &amp; J1386, J1386), "")</f>
        <v/>
      </c>
    </row>
    <row r="1387">
      <c r="B1387" s="21">
        <f>IF(AND(C1387&lt;&gt;"", J1387&lt;&gt;""), HYPERLINK("#'" &amp; C1387 &amp; "'!" &amp; J1387, J1387), "")</f>
        <v/>
      </c>
    </row>
    <row r="1388">
      <c r="B1388" s="21">
        <f>IF(AND(C1388&lt;&gt;"", J1388&lt;&gt;""), HYPERLINK("#'" &amp; C1388 &amp; "'!" &amp; J1388, J1388), "")</f>
        <v/>
      </c>
    </row>
    <row r="1389">
      <c r="B1389" s="21">
        <f>IF(AND(C1389&lt;&gt;"", J1389&lt;&gt;""), HYPERLINK("#'" &amp; C1389 &amp; "'!" &amp; J1389, J1389), "")</f>
        <v/>
      </c>
    </row>
    <row r="1390">
      <c r="B1390" s="21">
        <f>IF(AND(C1390&lt;&gt;"", J1390&lt;&gt;""), HYPERLINK("#'" &amp; C1390 &amp; "'!" &amp; J1390, J1390), "")</f>
        <v/>
      </c>
    </row>
    <row r="1391">
      <c r="B1391" s="21">
        <f>IF(AND(C1391&lt;&gt;"", J1391&lt;&gt;""), HYPERLINK("#'" &amp; C1391 &amp; "'!" &amp; J1391, J1391), "")</f>
        <v/>
      </c>
    </row>
    <row r="1392">
      <c r="B1392" s="21">
        <f>IF(AND(C1392&lt;&gt;"", J1392&lt;&gt;""), HYPERLINK("#'" &amp; C1392 &amp; "'!" &amp; J1392, J1392), "")</f>
        <v/>
      </c>
    </row>
    <row r="1393">
      <c r="B1393" s="21">
        <f>IF(AND(C1393&lt;&gt;"", J1393&lt;&gt;""), HYPERLINK("#'" &amp; C1393 &amp; "'!" &amp; J1393, J1393), "")</f>
        <v/>
      </c>
    </row>
    <row r="1394">
      <c r="B1394" s="21">
        <f>IF(AND(C1394&lt;&gt;"", J1394&lt;&gt;""), HYPERLINK("#'" &amp; C1394 &amp; "'!" &amp; J1394, J1394), "")</f>
        <v/>
      </c>
    </row>
    <row r="1395">
      <c r="B1395" s="21">
        <f>IF(AND(C1395&lt;&gt;"", J1395&lt;&gt;""), HYPERLINK("#'" &amp; C1395 &amp; "'!" &amp; J1395, J1395), "")</f>
        <v/>
      </c>
    </row>
    <row r="1396">
      <c r="B1396" s="21">
        <f>IF(AND(C1396&lt;&gt;"", J1396&lt;&gt;""), HYPERLINK("#'" &amp; C1396 &amp; "'!" &amp; J1396, J1396), "")</f>
        <v/>
      </c>
    </row>
    <row r="1397">
      <c r="B1397" s="21">
        <f>IF(AND(C1397&lt;&gt;"", J1397&lt;&gt;""), HYPERLINK("#'" &amp; C1397 &amp; "'!" &amp; J1397, J1397), "")</f>
        <v/>
      </c>
    </row>
    <row r="1398">
      <c r="B1398" s="21">
        <f>IF(AND(C1398&lt;&gt;"", J1398&lt;&gt;""), HYPERLINK("#'" &amp; C1398 &amp; "'!" &amp; J1398, J1398), "")</f>
        <v/>
      </c>
    </row>
    <row r="1399">
      <c r="B1399" s="21">
        <f>IF(AND(C1399&lt;&gt;"", J1399&lt;&gt;""), HYPERLINK("#'" &amp; C1399 &amp; "'!" &amp; J1399, J1399), "")</f>
        <v/>
      </c>
    </row>
    <row r="1400">
      <c r="B1400" s="21">
        <f>IF(AND(C1400&lt;&gt;"", J1400&lt;&gt;""), HYPERLINK("#'" &amp; C1400 &amp; "'!" &amp; J1400, J1400), "")</f>
        <v/>
      </c>
    </row>
    <row r="1401">
      <c r="B1401" s="21">
        <f>IF(AND(C1401&lt;&gt;"", J1401&lt;&gt;""), HYPERLINK("#'" &amp; C1401 &amp; "'!" &amp; J1401, J1401), "")</f>
        <v/>
      </c>
    </row>
    <row r="1402">
      <c r="B1402" s="21">
        <f>IF(AND(C1402&lt;&gt;"", J1402&lt;&gt;""), HYPERLINK("#'" &amp; C1402 &amp; "'!" &amp; J1402, J1402), "")</f>
        <v/>
      </c>
    </row>
    <row r="1403">
      <c r="B1403" s="21">
        <f>IF(AND(C1403&lt;&gt;"", J1403&lt;&gt;""), HYPERLINK("#'" &amp; C1403 &amp; "'!" &amp; J1403, J1403), "")</f>
        <v/>
      </c>
    </row>
    <row r="1404">
      <c r="B1404" s="21">
        <f>IF(AND(C1404&lt;&gt;"", J1404&lt;&gt;""), HYPERLINK("#'" &amp; C1404 &amp; "'!" &amp; J1404, J1404), "")</f>
        <v/>
      </c>
    </row>
    <row r="1405">
      <c r="B1405" s="21">
        <f>IF(AND(C1405&lt;&gt;"", J1405&lt;&gt;""), HYPERLINK("#'" &amp; C1405 &amp; "'!" &amp; J1405, J1405), "")</f>
        <v/>
      </c>
    </row>
    <row r="1406">
      <c r="B1406" s="21">
        <f>IF(AND(C1406&lt;&gt;"", J1406&lt;&gt;""), HYPERLINK("#'" &amp; C1406 &amp; "'!" &amp; J1406, J1406), "")</f>
        <v/>
      </c>
    </row>
    <row r="1407">
      <c r="B1407" s="21">
        <f>IF(AND(C1407&lt;&gt;"", J1407&lt;&gt;""), HYPERLINK("#'" &amp; C1407 &amp; "'!" &amp; J1407, J1407), "")</f>
        <v/>
      </c>
    </row>
    <row r="1408">
      <c r="B1408" s="21">
        <f>IF(AND(C1408&lt;&gt;"", J1408&lt;&gt;""), HYPERLINK("#'" &amp; C1408 &amp; "'!" &amp; J1408, J1408), "")</f>
        <v/>
      </c>
    </row>
    <row r="1409">
      <c r="B1409" s="21">
        <f>IF(AND(C1409&lt;&gt;"", J1409&lt;&gt;""), HYPERLINK("#'" &amp; C1409 &amp; "'!" &amp; J1409, J1409), "")</f>
        <v/>
      </c>
    </row>
    <row r="1410">
      <c r="B1410" s="21">
        <f>IF(AND(C1410&lt;&gt;"", J1410&lt;&gt;""), HYPERLINK("#'" &amp; C1410 &amp; "'!" &amp; J1410, J1410), "")</f>
        <v/>
      </c>
    </row>
    <row r="1411">
      <c r="B1411" s="21">
        <f>IF(AND(C1411&lt;&gt;"", J1411&lt;&gt;""), HYPERLINK("#'" &amp; C1411 &amp; "'!" &amp; J1411, J1411), "")</f>
        <v/>
      </c>
    </row>
    <row r="1412">
      <c r="B1412" s="21">
        <f>IF(AND(C1412&lt;&gt;"", J1412&lt;&gt;""), HYPERLINK("#'" &amp; C1412 &amp; "'!" &amp; J1412, J1412), "")</f>
        <v/>
      </c>
    </row>
    <row r="1413">
      <c r="B1413" s="21">
        <f>IF(AND(C1413&lt;&gt;"", J1413&lt;&gt;""), HYPERLINK("#'" &amp; C1413 &amp; "'!" &amp; J1413, J1413), "")</f>
        <v/>
      </c>
    </row>
    <row r="1414">
      <c r="B1414" s="21">
        <f>IF(AND(C1414&lt;&gt;"", J1414&lt;&gt;""), HYPERLINK("#'" &amp; C1414 &amp; "'!" &amp; J1414, J1414), "")</f>
        <v/>
      </c>
    </row>
    <row r="1415">
      <c r="B1415" s="21">
        <f>IF(AND(C1415&lt;&gt;"", J1415&lt;&gt;""), HYPERLINK("#'" &amp; C1415 &amp; "'!" &amp; J1415, J1415), "")</f>
        <v/>
      </c>
    </row>
    <row r="1416">
      <c r="B1416" s="21">
        <f>IF(AND(C1416&lt;&gt;"", J1416&lt;&gt;""), HYPERLINK("#'" &amp; C1416 &amp; "'!" &amp; J1416, J1416), "")</f>
        <v/>
      </c>
    </row>
    <row r="1417">
      <c r="B1417" s="21">
        <f>IF(AND(C1417&lt;&gt;"", J1417&lt;&gt;""), HYPERLINK("#'" &amp; C1417 &amp; "'!" &amp; J1417, J1417), "")</f>
        <v/>
      </c>
    </row>
    <row r="1418">
      <c r="B1418" s="21">
        <f>IF(AND(C1418&lt;&gt;"", J1418&lt;&gt;""), HYPERLINK("#'" &amp; C1418 &amp; "'!" &amp; J1418, J1418), "")</f>
        <v/>
      </c>
    </row>
    <row r="1419">
      <c r="B1419" s="21">
        <f>IF(AND(C1419&lt;&gt;"", J1419&lt;&gt;""), HYPERLINK("#'" &amp; C1419 &amp; "'!" &amp; J1419, J1419), "")</f>
        <v/>
      </c>
    </row>
    <row r="1420">
      <c r="B1420" s="21">
        <f>IF(AND(C1420&lt;&gt;"", J1420&lt;&gt;""), HYPERLINK("#'" &amp; C1420 &amp; "'!" &amp; J1420, J1420), "")</f>
        <v/>
      </c>
    </row>
    <row r="1421">
      <c r="B1421" s="21">
        <f>IF(AND(C1421&lt;&gt;"", J1421&lt;&gt;""), HYPERLINK("#'" &amp; C1421 &amp; "'!" &amp; J1421, J1421), "")</f>
        <v/>
      </c>
    </row>
    <row r="1422">
      <c r="B1422" s="21">
        <f>IF(AND(C1422&lt;&gt;"", J1422&lt;&gt;""), HYPERLINK("#'" &amp; C1422 &amp; "'!" &amp; J1422, J1422), "")</f>
        <v/>
      </c>
    </row>
    <row r="1423">
      <c r="B1423" s="21">
        <f>IF(AND(C1423&lt;&gt;"", J1423&lt;&gt;""), HYPERLINK("#'" &amp; C1423 &amp; "'!" &amp; J1423, J1423), "")</f>
        <v/>
      </c>
    </row>
    <row r="1424">
      <c r="B1424" s="21">
        <f>IF(AND(C1424&lt;&gt;"", J1424&lt;&gt;""), HYPERLINK("#'" &amp; C1424 &amp; "'!" &amp; J1424, J1424), "")</f>
        <v/>
      </c>
    </row>
    <row r="1425">
      <c r="B1425" s="21">
        <f>IF(AND(C1425&lt;&gt;"", J1425&lt;&gt;""), HYPERLINK("#'" &amp; C1425 &amp; "'!" &amp; J1425, J1425), "")</f>
        <v/>
      </c>
    </row>
    <row r="1426">
      <c r="B1426" s="21">
        <f>IF(AND(C1426&lt;&gt;"", J1426&lt;&gt;""), HYPERLINK("#'" &amp; C1426 &amp; "'!" &amp; J1426, J1426), "")</f>
        <v/>
      </c>
    </row>
    <row r="1427">
      <c r="B1427" s="21">
        <f>IF(AND(C1427&lt;&gt;"", J1427&lt;&gt;""), HYPERLINK("#'" &amp; C1427 &amp; "'!" &amp; J1427, J1427), "")</f>
        <v/>
      </c>
    </row>
    <row r="1428">
      <c r="B1428" s="21">
        <f>IF(AND(C1428&lt;&gt;"", J1428&lt;&gt;""), HYPERLINK("#'" &amp; C1428 &amp; "'!" &amp; J1428, J1428), "")</f>
        <v/>
      </c>
    </row>
    <row r="1429">
      <c r="B1429" s="21">
        <f>IF(AND(C1429&lt;&gt;"", J1429&lt;&gt;""), HYPERLINK("#'" &amp; C1429 &amp; "'!" &amp; J1429, J1429), "")</f>
        <v/>
      </c>
    </row>
    <row r="1430">
      <c r="B1430" s="21">
        <f>IF(AND(C1430&lt;&gt;"", J1430&lt;&gt;""), HYPERLINK("#'" &amp; C1430 &amp; "'!" &amp; J1430, J1430), "")</f>
        <v/>
      </c>
    </row>
    <row r="1431">
      <c r="B1431" s="21">
        <f>IF(AND(C1431&lt;&gt;"", J1431&lt;&gt;""), HYPERLINK("#'" &amp; C1431 &amp; "'!" &amp; J1431, J1431), "")</f>
        <v/>
      </c>
    </row>
    <row r="1432">
      <c r="B1432" s="21">
        <f>IF(AND(C1432&lt;&gt;"", J1432&lt;&gt;""), HYPERLINK("#'" &amp; C1432 &amp; "'!" &amp; J1432, J1432), "")</f>
        <v/>
      </c>
    </row>
    <row r="1433">
      <c r="B1433" s="21">
        <f>IF(AND(C1433&lt;&gt;"", J1433&lt;&gt;""), HYPERLINK("#'" &amp; C1433 &amp; "'!" &amp; J1433, J1433), "")</f>
        <v/>
      </c>
    </row>
    <row r="1434">
      <c r="B1434" s="21">
        <f>IF(AND(C1434&lt;&gt;"", J1434&lt;&gt;""), HYPERLINK("#'" &amp; C1434 &amp; "'!" &amp; J1434, J1434), "")</f>
        <v/>
      </c>
    </row>
    <row r="1435">
      <c r="B1435" s="21">
        <f>IF(AND(C1435&lt;&gt;"", J1435&lt;&gt;""), HYPERLINK("#'" &amp; C1435 &amp; "'!" &amp; J1435, J1435), "")</f>
        <v/>
      </c>
    </row>
    <row r="1436">
      <c r="B1436" s="21">
        <f>IF(AND(C1436&lt;&gt;"", J1436&lt;&gt;""), HYPERLINK("#'" &amp; C1436 &amp; "'!" &amp; J1436, J1436), "")</f>
        <v/>
      </c>
    </row>
    <row r="1437">
      <c r="B1437" s="21">
        <f>IF(AND(C1437&lt;&gt;"", J1437&lt;&gt;""), HYPERLINK("#'" &amp; C1437 &amp; "'!" &amp; J1437, J1437), "")</f>
        <v/>
      </c>
    </row>
    <row r="1438">
      <c r="B1438" s="21">
        <f>IF(AND(C1438&lt;&gt;"", J1438&lt;&gt;""), HYPERLINK("#'" &amp; C1438 &amp; "'!" &amp; J1438, J1438), "")</f>
        <v/>
      </c>
    </row>
    <row r="1439">
      <c r="B1439" s="21">
        <f>IF(AND(C1439&lt;&gt;"", J1439&lt;&gt;""), HYPERLINK("#'" &amp; C1439 &amp; "'!" &amp; J1439, J1439), "")</f>
        <v/>
      </c>
    </row>
    <row r="1440">
      <c r="B1440" s="21">
        <f>IF(AND(C1440&lt;&gt;"", J1440&lt;&gt;""), HYPERLINK("#'" &amp; C1440 &amp; "'!" &amp; J1440, J1440), "")</f>
        <v/>
      </c>
    </row>
    <row r="1441">
      <c r="B1441" s="21">
        <f>IF(AND(C1441&lt;&gt;"", J1441&lt;&gt;""), HYPERLINK("#'" &amp; C1441 &amp; "'!" &amp; J1441, J1441), "")</f>
        <v/>
      </c>
    </row>
    <row r="1442">
      <c r="B1442" s="21">
        <f>IF(AND(C1442&lt;&gt;"", J1442&lt;&gt;""), HYPERLINK("#'" &amp; C1442 &amp; "'!" &amp; J1442, J1442), "")</f>
        <v/>
      </c>
    </row>
    <row r="1443">
      <c r="B1443" s="21">
        <f>IF(AND(C1443&lt;&gt;"", J1443&lt;&gt;""), HYPERLINK("#'" &amp; C1443 &amp; "'!" &amp; J1443, J1443), "")</f>
        <v/>
      </c>
    </row>
    <row r="1444">
      <c r="B1444" s="21">
        <f>IF(AND(C1444&lt;&gt;"", J1444&lt;&gt;""), HYPERLINK("#'" &amp; C1444 &amp; "'!" &amp; J1444, J1444), "")</f>
        <v/>
      </c>
    </row>
    <row r="1445">
      <c r="B1445" s="21">
        <f>IF(AND(C1445&lt;&gt;"", J1445&lt;&gt;""), HYPERLINK("#'" &amp; C1445 &amp; "'!" &amp; J1445, J1445), "")</f>
        <v/>
      </c>
    </row>
    <row r="1446">
      <c r="B1446" s="21">
        <f>IF(AND(C1446&lt;&gt;"", J1446&lt;&gt;""), HYPERLINK("#'" &amp; C1446 &amp; "'!" &amp; J1446, J1446), "")</f>
        <v/>
      </c>
    </row>
    <row r="1447">
      <c r="B1447" s="21">
        <f>IF(AND(C1447&lt;&gt;"", J1447&lt;&gt;""), HYPERLINK("#'" &amp; C1447 &amp; "'!" &amp; J1447, J1447), "")</f>
        <v/>
      </c>
    </row>
    <row r="1448">
      <c r="B1448" s="21">
        <f>IF(AND(C1448&lt;&gt;"", J1448&lt;&gt;""), HYPERLINK("#'" &amp; C1448 &amp; "'!" &amp; J1448, J1448), "")</f>
        <v/>
      </c>
    </row>
    <row r="1449">
      <c r="B1449" s="21">
        <f>IF(AND(C1449&lt;&gt;"", J1449&lt;&gt;""), HYPERLINK("#'" &amp; C1449 &amp; "'!" &amp; J1449, J1449), "")</f>
        <v/>
      </c>
    </row>
    <row r="1450">
      <c r="B1450" s="21">
        <f>IF(AND(C1450&lt;&gt;"", J1450&lt;&gt;""), HYPERLINK("#'" &amp; C1450 &amp; "'!" &amp; J1450, J1450), "")</f>
        <v/>
      </c>
    </row>
    <row r="1451">
      <c r="B1451" s="21">
        <f>IF(AND(C1451&lt;&gt;"", J1451&lt;&gt;""), HYPERLINK("#'" &amp; C1451 &amp; "'!" &amp; J1451, J1451), "")</f>
        <v/>
      </c>
    </row>
    <row r="1452">
      <c r="B1452" s="21">
        <f>IF(AND(C1452&lt;&gt;"", J1452&lt;&gt;""), HYPERLINK("#'" &amp; C1452 &amp; "'!" &amp; J1452, J1452), "")</f>
        <v/>
      </c>
    </row>
    <row r="1453">
      <c r="B1453" s="21">
        <f>IF(AND(C1453&lt;&gt;"", J1453&lt;&gt;""), HYPERLINK("#'" &amp; C1453 &amp; "'!" &amp; J1453, J1453), "")</f>
        <v/>
      </c>
    </row>
    <row r="1454">
      <c r="B1454" s="21">
        <f>IF(AND(C1454&lt;&gt;"", J1454&lt;&gt;""), HYPERLINK("#'" &amp; C1454 &amp; "'!" &amp; J1454, J1454), "")</f>
        <v/>
      </c>
    </row>
    <row r="1455">
      <c r="B1455" s="21">
        <f>IF(AND(C1455&lt;&gt;"", J1455&lt;&gt;""), HYPERLINK("#'" &amp; C1455 &amp; "'!" &amp; J1455, J1455), "")</f>
        <v/>
      </c>
    </row>
    <row r="1456">
      <c r="B1456" s="21">
        <f>IF(AND(C1456&lt;&gt;"", J1456&lt;&gt;""), HYPERLINK("#'" &amp; C1456 &amp; "'!" &amp; J1456, J1456), "")</f>
        <v/>
      </c>
    </row>
    <row r="1457">
      <c r="B1457" s="21">
        <f>IF(AND(C1457&lt;&gt;"", J1457&lt;&gt;""), HYPERLINK("#'" &amp; C1457 &amp; "'!" &amp; J1457, J1457), "")</f>
        <v/>
      </c>
    </row>
    <row r="1458">
      <c r="B1458" s="21">
        <f>IF(AND(C1458&lt;&gt;"", J1458&lt;&gt;""), HYPERLINK("#'" &amp; C1458 &amp; "'!" &amp; J1458, J1458), "")</f>
        <v/>
      </c>
    </row>
    <row r="1459">
      <c r="B1459" s="21">
        <f>IF(AND(C1459&lt;&gt;"", J1459&lt;&gt;""), HYPERLINK("#'" &amp; C1459 &amp; "'!" &amp; J1459, J1459), "")</f>
        <v/>
      </c>
    </row>
    <row r="1460">
      <c r="B1460" s="21">
        <f>IF(AND(C1460&lt;&gt;"", J1460&lt;&gt;""), HYPERLINK("#'" &amp; C1460 &amp; "'!" &amp; J1460, J1460), "")</f>
        <v/>
      </c>
    </row>
    <row r="1461">
      <c r="B1461" s="21">
        <f>IF(AND(C1461&lt;&gt;"", J1461&lt;&gt;""), HYPERLINK("#'" &amp; C1461 &amp; "'!" &amp; J1461, J1461), "")</f>
        <v/>
      </c>
    </row>
    <row r="1462">
      <c r="B1462" s="21">
        <f>IF(AND(C1462&lt;&gt;"", J1462&lt;&gt;""), HYPERLINK("#'" &amp; C1462 &amp; "'!" &amp; J1462, J1462), "")</f>
        <v/>
      </c>
    </row>
    <row r="1463">
      <c r="B1463" s="21">
        <f>IF(AND(C1463&lt;&gt;"", J1463&lt;&gt;""), HYPERLINK("#'" &amp; C1463 &amp; "'!" &amp; J1463, J1463), "")</f>
        <v/>
      </c>
    </row>
    <row r="1464">
      <c r="B1464" s="21">
        <f>IF(AND(C1464&lt;&gt;"", J1464&lt;&gt;""), HYPERLINK("#'" &amp; C1464 &amp; "'!" &amp; J1464, J1464), "")</f>
        <v/>
      </c>
    </row>
    <row r="1465">
      <c r="B1465" s="21">
        <f>IF(AND(C1465&lt;&gt;"", J1465&lt;&gt;""), HYPERLINK("#'" &amp; C1465 &amp; "'!" &amp; J1465, J1465), "")</f>
        <v/>
      </c>
    </row>
    <row r="1466">
      <c r="B1466" s="21">
        <f>IF(AND(C1466&lt;&gt;"", J1466&lt;&gt;""), HYPERLINK("#'" &amp; C1466 &amp; "'!" &amp; J1466, J1466), "")</f>
        <v/>
      </c>
    </row>
    <row r="1467">
      <c r="B1467" s="21">
        <f>IF(AND(C1467&lt;&gt;"", J1467&lt;&gt;""), HYPERLINK("#'" &amp; C1467 &amp; "'!" &amp; J1467, J1467), "")</f>
        <v/>
      </c>
    </row>
    <row r="1468">
      <c r="B1468" s="21">
        <f>IF(AND(C1468&lt;&gt;"", J1468&lt;&gt;""), HYPERLINK("#'" &amp; C1468 &amp; "'!" &amp; J1468, J1468), "")</f>
        <v/>
      </c>
    </row>
    <row r="1469">
      <c r="B1469" s="21">
        <f>IF(AND(C1469&lt;&gt;"", J1469&lt;&gt;""), HYPERLINK("#'" &amp; C1469 &amp; "'!" &amp; J1469, J1469), "")</f>
        <v/>
      </c>
    </row>
    <row r="1470">
      <c r="B1470" s="21">
        <f>IF(AND(C1470&lt;&gt;"", J1470&lt;&gt;""), HYPERLINK("#'" &amp; C1470 &amp; "'!" &amp; J1470, J1470), "")</f>
        <v/>
      </c>
    </row>
    <row r="1471">
      <c r="B1471" s="21">
        <f>IF(AND(C1471&lt;&gt;"", J1471&lt;&gt;""), HYPERLINK("#'" &amp; C1471 &amp; "'!" &amp; J1471, J1471), "")</f>
        <v/>
      </c>
    </row>
    <row r="1472">
      <c r="B1472" s="21">
        <f>IF(AND(C1472&lt;&gt;"", J1472&lt;&gt;""), HYPERLINK("#'" &amp; C1472 &amp; "'!" &amp; J1472, J1472), "")</f>
        <v/>
      </c>
    </row>
    <row r="1473">
      <c r="B1473" s="21">
        <f>IF(AND(C1473&lt;&gt;"", J1473&lt;&gt;""), HYPERLINK("#'" &amp; C1473 &amp; "'!" &amp; J1473, J1473), "")</f>
        <v/>
      </c>
    </row>
    <row r="1474">
      <c r="B1474" s="21">
        <f>IF(AND(C1474&lt;&gt;"", J1474&lt;&gt;""), HYPERLINK("#'" &amp; C1474 &amp; "'!" &amp; J1474, J1474), "")</f>
        <v/>
      </c>
    </row>
    <row r="1475">
      <c r="B1475" s="21">
        <f>IF(AND(C1475&lt;&gt;"", J1475&lt;&gt;""), HYPERLINK("#'" &amp; C1475 &amp; "'!" &amp; J1475, J1475), "")</f>
        <v/>
      </c>
    </row>
    <row r="1476">
      <c r="B1476" s="21">
        <f>IF(AND(C1476&lt;&gt;"", J1476&lt;&gt;""), HYPERLINK("#'" &amp; C1476 &amp; "'!" &amp; J1476, J1476), "")</f>
        <v/>
      </c>
    </row>
    <row r="1477">
      <c r="B1477" s="21">
        <f>IF(AND(C1477&lt;&gt;"", J1477&lt;&gt;""), HYPERLINK("#'" &amp; C1477 &amp; "'!" &amp; J1477, J1477), "")</f>
        <v/>
      </c>
    </row>
    <row r="1478">
      <c r="B1478" s="21">
        <f>IF(AND(C1478&lt;&gt;"", J1478&lt;&gt;""), HYPERLINK("#'" &amp; C1478 &amp; "'!" &amp; J1478, J1478), "")</f>
        <v/>
      </c>
    </row>
    <row r="1479">
      <c r="B1479" s="21">
        <f>IF(AND(C1479&lt;&gt;"", J1479&lt;&gt;""), HYPERLINK("#'" &amp; C1479 &amp; "'!" &amp; J1479, J1479), "")</f>
        <v/>
      </c>
    </row>
    <row r="1480">
      <c r="B1480" s="21">
        <f>IF(AND(C1480&lt;&gt;"", J1480&lt;&gt;""), HYPERLINK("#'" &amp; C1480 &amp; "'!" &amp; J1480, J1480), "")</f>
        <v/>
      </c>
    </row>
    <row r="1481">
      <c r="B1481" s="21">
        <f>IF(AND(C1481&lt;&gt;"", J1481&lt;&gt;""), HYPERLINK("#'" &amp; C1481 &amp; "'!" &amp; J1481, J1481), "")</f>
        <v/>
      </c>
    </row>
    <row r="1482">
      <c r="B1482" s="21">
        <f>IF(AND(C1482&lt;&gt;"", J1482&lt;&gt;""), HYPERLINK("#'" &amp; C1482 &amp; "'!" &amp; J1482, J1482), "")</f>
        <v/>
      </c>
    </row>
    <row r="1483">
      <c r="B1483" s="21">
        <f>IF(AND(C1483&lt;&gt;"", J1483&lt;&gt;""), HYPERLINK("#'" &amp; C1483 &amp; "'!" &amp; J1483, J1483), "")</f>
        <v/>
      </c>
    </row>
    <row r="1484">
      <c r="B1484" s="21">
        <f>IF(AND(C1484&lt;&gt;"", J1484&lt;&gt;""), HYPERLINK("#'" &amp; C1484 &amp; "'!" &amp; J1484, J1484), "")</f>
        <v/>
      </c>
    </row>
    <row r="1485">
      <c r="B1485" s="21">
        <f>IF(AND(C1485&lt;&gt;"", J1485&lt;&gt;""), HYPERLINK("#'" &amp; C1485 &amp; "'!" &amp; J1485, J1485), "")</f>
        <v/>
      </c>
    </row>
    <row r="1486">
      <c r="B1486" s="21">
        <f>IF(AND(C1486&lt;&gt;"", J1486&lt;&gt;""), HYPERLINK("#'" &amp; C1486 &amp; "'!" &amp; J1486, J1486), "")</f>
        <v/>
      </c>
    </row>
    <row r="1487">
      <c r="B1487" s="21">
        <f>IF(AND(C1487&lt;&gt;"", J1487&lt;&gt;""), HYPERLINK("#'" &amp; C1487 &amp; "'!" &amp; J1487, J1487), "")</f>
        <v/>
      </c>
    </row>
    <row r="1488">
      <c r="B1488" s="21">
        <f>IF(AND(C1488&lt;&gt;"", J1488&lt;&gt;""), HYPERLINK("#'" &amp; C1488 &amp; "'!" &amp; J1488, J1488), "")</f>
        <v/>
      </c>
    </row>
    <row r="1489">
      <c r="B1489" s="21">
        <f>IF(AND(C1489&lt;&gt;"", J1489&lt;&gt;""), HYPERLINK("#'" &amp; C1489 &amp; "'!" &amp; J1489, J1489), "")</f>
        <v/>
      </c>
    </row>
    <row r="1490">
      <c r="B1490" s="21">
        <f>IF(AND(C1490&lt;&gt;"", J1490&lt;&gt;""), HYPERLINK("#'" &amp; C1490 &amp; "'!" &amp; J1490, J1490), "")</f>
        <v/>
      </c>
    </row>
    <row r="1491">
      <c r="B1491" s="21">
        <f>IF(AND(C1491&lt;&gt;"", J1491&lt;&gt;""), HYPERLINK("#'" &amp; C1491 &amp; "'!" &amp; J1491, J1491), "")</f>
        <v/>
      </c>
    </row>
    <row r="1492">
      <c r="B1492" s="21">
        <f>IF(AND(C1492&lt;&gt;"", J1492&lt;&gt;""), HYPERLINK("#'" &amp; C1492 &amp; "'!" &amp; J1492, J1492), "")</f>
        <v/>
      </c>
    </row>
    <row r="1493">
      <c r="B1493" s="21">
        <f>IF(AND(C1493&lt;&gt;"", J1493&lt;&gt;""), HYPERLINK("#'" &amp; C1493 &amp; "'!" &amp; J1493, J1493), "")</f>
        <v/>
      </c>
    </row>
    <row r="1494">
      <c r="B1494" s="21">
        <f>IF(AND(C1494&lt;&gt;"", J1494&lt;&gt;""), HYPERLINK("#'" &amp; C1494 &amp; "'!" &amp; J1494, J1494), "")</f>
        <v/>
      </c>
    </row>
    <row r="1495">
      <c r="B1495" s="21">
        <f>IF(AND(C1495&lt;&gt;"", J1495&lt;&gt;""), HYPERLINK("#'" &amp; C1495 &amp; "'!" &amp; J1495, J1495), "")</f>
        <v/>
      </c>
    </row>
    <row r="1496">
      <c r="B1496" s="21">
        <f>IF(AND(C1496&lt;&gt;"", J1496&lt;&gt;""), HYPERLINK("#'" &amp; C1496 &amp; "'!" &amp; J1496, J1496), "")</f>
        <v/>
      </c>
    </row>
    <row r="1497">
      <c r="B1497" s="21">
        <f>IF(AND(C1497&lt;&gt;"", J1497&lt;&gt;""), HYPERLINK("#'" &amp; C1497 &amp; "'!" &amp; J1497, J1497), "")</f>
        <v/>
      </c>
    </row>
    <row r="1498">
      <c r="B1498" s="21">
        <f>IF(AND(C1498&lt;&gt;"", J1498&lt;&gt;""), HYPERLINK("#'" &amp; C1498 &amp; "'!" &amp; J1498, J1498), "")</f>
        <v/>
      </c>
    </row>
    <row r="1499">
      <c r="B1499" s="21">
        <f>IF(AND(C1499&lt;&gt;"", J1499&lt;&gt;""), HYPERLINK("#'" &amp; C1499 &amp; "'!" &amp; J1499, J1499), "")</f>
        <v/>
      </c>
    </row>
    <row r="1500">
      <c r="B1500" s="21">
        <f>IF(AND(C1500&lt;&gt;"", J1500&lt;&gt;""), HYPERLINK("#'" &amp; C1500 &amp; "'!" &amp; J1500, J1500), "")</f>
        <v/>
      </c>
    </row>
    <row r="1501">
      <c r="B1501" s="21">
        <f>IF(AND(C1501&lt;&gt;"", J1501&lt;&gt;""), HYPERLINK("#'" &amp; C1501 &amp; "'!" &amp; J1501, J1501), "")</f>
        <v/>
      </c>
    </row>
    <row r="1502">
      <c r="B1502" s="21">
        <f>IF(AND(C1502&lt;&gt;"", J1502&lt;&gt;""), HYPERLINK("#'" &amp; C1502 &amp; "'!" &amp; J1502, J1502), "")</f>
        <v/>
      </c>
    </row>
    <row r="1503">
      <c r="B1503" s="21">
        <f>IF(AND(C1503&lt;&gt;"", J1503&lt;&gt;""), HYPERLINK("#'" &amp; C1503 &amp; "'!" &amp; J1503, J1503), "")</f>
        <v/>
      </c>
    </row>
    <row r="1504">
      <c r="B1504" s="21">
        <f>IF(AND(C1504&lt;&gt;"", J1504&lt;&gt;""), HYPERLINK("#'" &amp; C1504 &amp; "'!" &amp; J1504, J1504), "")</f>
        <v/>
      </c>
    </row>
    <row r="1505">
      <c r="B1505" s="21">
        <f>IF(AND(C1505&lt;&gt;"", J1505&lt;&gt;""), HYPERLINK("#'" &amp; C1505 &amp; "'!" &amp; J1505, J1505), "")</f>
        <v/>
      </c>
    </row>
    <row r="1506">
      <c r="B1506" s="21">
        <f>IF(AND(C1506&lt;&gt;"", J1506&lt;&gt;""), HYPERLINK("#'" &amp; C1506 &amp; "'!" &amp; J1506, J1506), "")</f>
        <v/>
      </c>
    </row>
    <row r="1507">
      <c r="B1507" s="21">
        <f>IF(AND(C1507&lt;&gt;"", J1507&lt;&gt;""), HYPERLINK("#'" &amp; C1507 &amp; "'!" &amp; J1507, J1507), "")</f>
        <v/>
      </c>
    </row>
    <row r="1508">
      <c r="B1508" s="21">
        <f>IF(AND(C1508&lt;&gt;"", J1508&lt;&gt;""), HYPERLINK("#'" &amp; C1508 &amp; "'!" &amp; J1508, J1508), "")</f>
        <v/>
      </c>
    </row>
    <row r="1509">
      <c r="B1509" s="21">
        <f>IF(AND(C1509&lt;&gt;"", J1509&lt;&gt;""), HYPERLINK("#'" &amp; C1509 &amp; "'!" &amp; J1509, J1509), "")</f>
        <v/>
      </c>
    </row>
    <row r="1510">
      <c r="B1510" s="21">
        <f>IF(AND(C1510&lt;&gt;"", J1510&lt;&gt;""), HYPERLINK("#'" &amp; C1510 &amp; "'!" &amp; J1510, J1510), "")</f>
        <v/>
      </c>
    </row>
    <row r="1511">
      <c r="B1511" s="21">
        <f>IF(AND(C1511&lt;&gt;"", J1511&lt;&gt;""), HYPERLINK("#'" &amp; C1511 &amp; "'!" &amp; J1511, J1511), "")</f>
        <v/>
      </c>
    </row>
    <row r="1512">
      <c r="B1512" s="21">
        <f>IF(AND(C1512&lt;&gt;"", J1512&lt;&gt;""), HYPERLINK("#'" &amp; C1512 &amp; "'!" &amp; J1512, J1512), "")</f>
        <v/>
      </c>
    </row>
    <row r="1513">
      <c r="B1513" s="21">
        <f>IF(AND(C1513&lt;&gt;"", J1513&lt;&gt;""), HYPERLINK("#'" &amp; C1513 &amp; "'!" &amp; J1513, J1513), "")</f>
        <v/>
      </c>
    </row>
    <row r="1514">
      <c r="B1514" s="21">
        <f>IF(AND(C1514&lt;&gt;"", J1514&lt;&gt;""), HYPERLINK("#'" &amp; C1514 &amp; "'!" &amp; J1514, J1514), "")</f>
        <v/>
      </c>
    </row>
    <row r="1515">
      <c r="B1515" s="21">
        <f>IF(AND(C1515&lt;&gt;"", J1515&lt;&gt;""), HYPERLINK("#'" &amp; C1515 &amp; "'!" &amp; J1515, J1515), "")</f>
        <v/>
      </c>
    </row>
    <row r="1516">
      <c r="B1516" s="21">
        <f>IF(AND(C1516&lt;&gt;"", J1516&lt;&gt;""), HYPERLINK("#'" &amp; C1516 &amp; "'!" &amp; J1516, J1516), "")</f>
        <v/>
      </c>
    </row>
    <row r="1517">
      <c r="B1517" s="21">
        <f>IF(AND(C1517&lt;&gt;"", J1517&lt;&gt;""), HYPERLINK("#'" &amp; C1517 &amp; "'!" &amp; J1517, J1517), "")</f>
        <v/>
      </c>
    </row>
    <row r="1518">
      <c r="B1518" s="21">
        <f>IF(AND(C1518&lt;&gt;"", J1518&lt;&gt;""), HYPERLINK("#'" &amp; C1518 &amp; "'!" &amp; J1518, J1518), "")</f>
        <v/>
      </c>
    </row>
    <row r="1519">
      <c r="B1519" s="21">
        <f>IF(AND(C1519&lt;&gt;"", J1519&lt;&gt;""), HYPERLINK("#'" &amp; C1519 &amp; "'!" &amp; J1519, J1519), "")</f>
        <v/>
      </c>
    </row>
    <row r="1520">
      <c r="B1520" s="21">
        <f>IF(AND(C1520&lt;&gt;"", J1520&lt;&gt;""), HYPERLINK("#'" &amp; C1520 &amp; "'!" &amp; J1520, J1520), "")</f>
        <v/>
      </c>
    </row>
    <row r="1521">
      <c r="B1521" s="21">
        <f>IF(AND(C1521&lt;&gt;"", J1521&lt;&gt;""), HYPERLINK("#'" &amp; C1521 &amp; "'!" &amp; J1521, J1521), "")</f>
        <v/>
      </c>
    </row>
    <row r="1522">
      <c r="B1522" s="21">
        <f>IF(AND(C1522&lt;&gt;"", J1522&lt;&gt;""), HYPERLINK("#'" &amp; C1522 &amp; "'!" &amp; J1522, J1522), "")</f>
        <v/>
      </c>
    </row>
    <row r="1523">
      <c r="B1523" s="21">
        <f>IF(AND(C1523&lt;&gt;"", J1523&lt;&gt;""), HYPERLINK("#'" &amp; C1523 &amp; "'!" &amp; J1523, J1523), "")</f>
        <v/>
      </c>
    </row>
    <row r="1524">
      <c r="B1524" s="21">
        <f>IF(AND(C1524&lt;&gt;"", J1524&lt;&gt;""), HYPERLINK("#'" &amp; C1524 &amp; "'!" &amp; J1524, J1524), "")</f>
        <v/>
      </c>
    </row>
    <row r="1525">
      <c r="B1525" s="21">
        <f>IF(AND(C1525&lt;&gt;"", J1525&lt;&gt;""), HYPERLINK("#'" &amp; C1525 &amp; "'!" &amp; J1525, J1525), "")</f>
        <v/>
      </c>
    </row>
    <row r="1526">
      <c r="B1526" s="21">
        <f>IF(AND(C1526&lt;&gt;"", J1526&lt;&gt;""), HYPERLINK("#'" &amp; C1526 &amp; "'!" &amp; J1526, J1526), "")</f>
        <v/>
      </c>
    </row>
    <row r="1527">
      <c r="B1527" s="21">
        <f>IF(AND(C1527&lt;&gt;"", J1527&lt;&gt;""), HYPERLINK("#'" &amp; C1527 &amp; "'!" &amp; J1527, J1527), "")</f>
        <v/>
      </c>
    </row>
    <row r="1528">
      <c r="B1528" s="21">
        <f>IF(AND(C1528&lt;&gt;"", J1528&lt;&gt;""), HYPERLINK("#'" &amp; C1528 &amp; "'!" &amp; J1528, J1528), "")</f>
        <v/>
      </c>
    </row>
    <row r="1529">
      <c r="B1529" s="21">
        <f>IF(AND(C1529&lt;&gt;"", J1529&lt;&gt;""), HYPERLINK("#'" &amp; C1529 &amp; "'!" &amp; J1529, J1529), "")</f>
        <v/>
      </c>
    </row>
    <row r="1530">
      <c r="B1530" s="21">
        <f>IF(AND(C1530&lt;&gt;"", J1530&lt;&gt;""), HYPERLINK("#'" &amp; C1530 &amp; "'!" &amp; J1530, J1530), "")</f>
        <v/>
      </c>
    </row>
    <row r="1531">
      <c r="B1531" s="21">
        <f>IF(AND(C1531&lt;&gt;"", J1531&lt;&gt;""), HYPERLINK("#'" &amp; C1531 &amp; "'!" &amp; J1531, J1531), "")</f>
        <v/>
      </c>
    </row>
    <row r="1532">
      <c r="B1532" s="21">
        <f>IF(AND(C1532&lt;&gt;"", J1532&lt;&gt;""), HYPERLINK("#'" &amp; C1532 &amp; "'!" &amp; J1532, J1532), "")</f>
        <v/>
      </c>
    </row>
    <row r="1533">
      <c r="B1533" s="21">
        <f>IF(AND(C1533&lt;&gt;"", J1533&lt;&gt;""), HYPERLINK("#'" &amp; C1533 &amp; "'!" &amp; J1533, J1533), "")</f>
        <v/>
      </c>
    </row>
    <row r="1534">
      <c r="B1534" s="21">
        <f>IF(AND(C1534&lt;&gt;"", J1534&lt;&gt;""), HYPERLINK("#'" &amp; C1534 &amp; "'!" &amp; J1534, J1534), "")</f>
        <v/>
      </c>
    </row>
    <row r="1535">
      <c r="B1535" s="21">
        <f>IF(AND(C1535&lt;&gt;"", J1535&lt;&gt;""), HYPERLINK("#'" &amp; C1535 &amp; "'!" &amp; J1535, J1535), "")</f>
        <v/>
      </c>
    </row>
    <row r="1536">
      <c r="B1536" s="21">
        <f>IF(AND(C1536&lt;&gt;"", J1536&lt;&gt;""), HYPERLINK("#'" &amp; C1536 &amp; "'!" &amp; J1536, J1536), "")</f>
        <v/>
      </c>
    </row>
    <row r="1537">
      <c r="B1537" s="21">
        <f>IF(AND(C1537&lt;&gt;"", J1537&lt;&gt;""), HYPERLINK("#'" &amp; C1537 &amp; "'!" &amp; J1537, J1537), "")</f>
        <v/>
      </c>
    </row>
    <row r="1538">
      <c r="B1538" s="21">
        <f>IF(AND(C1538&lt;&gt;"", J1538&lt;&gt;""), HYPERLINK("#'" &amp; C1538 &amp; "'!" &amp; J1538, J1538), "")</f>
        <v/>
      </c>
    </row>
    <row r="1539">
      <c r="B1539" s="21">
        <f>IF(AND(C1539&lt;&gt;"", J1539&lt;&gt;""), HYPERLINK("#'" &amp; C1539 &amp; "'!" &amp; J1539, J1539), "")</f>
        <v/>
      </c>
    </row>
    <row r="1540">
      <c r="B1540" s="21">
        <f>IF(AND(C1540&lt;&gt;"", J1540&lt;&gt;""), HYPERLINK("#'" &amp; C1540 &amp; "'!" &amp; J1540, J1540), "")</f>
        <v/>
      </c>
    </row>
    <row r="1541">
      <c r="B1541" s="21">
        <f>IF(AND(C1541&lt;&gt;"", J1541&lt;&gt;""), HYPERLINK("#'" &amp; C1541 &amp; "'!" &amp; J1541, J1541), "")</f>
        <v/>
      </c>
    </row>
    <row r="1542">
      <c r="B1542" s="21">
        <f>IF(AND(C1542&lt;&gt;"", J1542&lt;&gt;""), HYPERLINK("#'" &amp; C1542 &amp; "'!" &amp; J1542, J1542), "")</f>
        <v/>
      </c>
    </row>
    <row r="1543">
      <c r="B1543" s="21">
        <f>IF(AND(C1543&lt;&gt;"", J1543&lt;&gt;""), HYPERLINK("#'" &amp; C1543 &amp; "'!" &amp; J1543, J1543), "")</f>
        <v/>
      </c>
    </row>
    <row r="1544">
      <c r="B1544" s="21">
        <f>IF(AND(C1544&lt;&gt;"", J1544&lt;&gt;""), HYPERLINK("#'" &amp; C1544 &amp; "'!" &amp; J1544, J1544), "")</f>
        <v/>
      </c>
    </row>
    <row r="1545">
      <c r="B1545" s="21">
        <f>IF(AND(C1545&lt;&gt;"", J1545&lt;&gt;""), HYPERLINK("#'" &amp; C1545 &amp; "'!" &amp; J1545, J1545), "")</f>
        <v/>
      </c>
    </row>
    <row r="1546">
      <c r="B1546" s="21">
        <f>IF(AND(C1546&lt;&gt;"", J1546&lt;&gt;""), HYPERLINK("#'" &amp; C1546 &amp; "'!" &amp; J1546, J1546), "")</f>
        <v/>
      </c>
    </row>
    <row r="1547">
      <c r="B1547" s="21">
        <f>IF(AND(C1547&lt;&gt;"", J1547&lt;&gt;""), HYPERLINK("#'" &amp; C1547 &amp; "'!" &amp; J1547, J1547), "")</f>
        <v/>
      </c>
    </row>
    <row r="1548">
      <c r="B1548" s="21">
        <f>IF(AND(C1548&lt;&gt;"", J1548&lt;&gt;""), HYPERLINK("#'" &amp; C1548 &amp; "'!" &amp; J1548, J1548), "")</f>
        <v/>
      </c>
    </row>
    <row r="1549">
      <c r="B1549" s="21">
        <f>IF(AND(C1549&lt;&gt;"", J1549&lt;&gt;""), HYPERLINK("#'" &amp; C1549 &amp; "'!" &amp; J1549, J1549), "")</f>
        <v/>
      </c>
    </row>
    <row r="1550">
      <c r="B1550" s="21">
        <f>IF(AND(C1550&lt;&gt;"", J1550&lt;&gt;""), HYPERLINK("#'" &amp; C1550 &amp; "'!" &amp; J1550, J1550), "")</f>
        <v/>
      </c>
    </row>
    <row r="1551">
      <c r="B1551" s="21">
        <f>IF(AND(C1551&lt;&gt;"", J1551&lt;&gt;""), HYPERLINK("#'" &amp; C1551 &amp; "'!" &amp; J1551, J1551), "")</f>
        <v/>
      </c>
    </row>
    <row r="1552">
      <c r="B1552" s="21">
        <f>IF(AND(C1552&lt;&gt;"", J1552&lt;&gt;""), HYPERLINK("#'" &amp; C1552 &amp; "'!" &amp; J1552, J1552), "")</f>
        <v/>
      </c>
    </row>
    <row r="1553">
      <c r="B1553" s="21">
        <f>IF(AND(C1553&lt;&gt;"", J1553&lt;&gt;""), HYPERLINK("#'" &amp; C1553 &amp; "'!" &amp; J1553, J1553), "")</f>
        <v/>
      </c>
    </row>
    <row r="1554">
      <c r="B1554" s="21">
        <f>IF(AND(C1554&lt;&gt;"", J1554&lt;&gt;""), HYPERLINK("#'" &amp; C1554 &amp; "'!" &amp; J1554, J1554), "")</f>
        <v/>
      </c>
    </row>
    <row r="1555">
      <c r="B1555" s="21">
        <f>IF(AND(C1555&lt;&gt;"", J1555&lt;&gt;""), HYPERLINK("#'" &amp; C1555 &amp; "'!" &amp; J1555, J1555), "")</f>
        <v/>
      </c>
    </row>
    <row r="1556">
      <c r="B1556" s="21">
        <f>IF(AND(C1556&lt;&gt;"", J1556&lt;&gt;""), HYPERLINK("#'" &amp; C1556 &amp; "'!" &amp; J1556, J1556), "")</f>
        <v/>
      </c>
    </row>
    <row r="1557">
      <c r="B1557" s="21">
        <f>IF(AND(C1557&lt;&gt;"", J1557&lt;&gt;""), HYPERLINK("#'" &amp; C1557 &amp; "'!" &amp; J1557, J1557), "")</f>
        <v/>
      </c>
    </row>
    <row r="1558">
      <c r="B1558" s="21">
        <f>IF(AND(C1558&lt;&gt;"", J1558&lt;&gt;""), HYPERLINK("#'" &amp; C1558 &amp; "'!" &amp; J1558, J1558), "")</f>
        <v/>
      </c>
    </row>
    <row r="1559">
      <c r="B1559" s="21">
        <f>IF(AND(C1559&lt;&gt;"", J1559&lt;&gt;""), HYPERLINK("#'" &amp; C1559 &amp; "'!" &amp; J1559, J1559), "")</f>
        <v/>
      </c>
    </row>
    <row r="1560">
      <c r="B1560" s="21">
        <f>IF(AND(C1560&lt;&gt;"", J1560&lt;&gt;""), HYPERLINK("#'" &amp; C1560 &amp; "'!" &amp; J1560, J1560), "")</f>
        <v/>
      </c>
    </row>
    <row r="1561">
      <c r="B1561" s="21">
        <f>IF(AND(C1561&lt;&gt;"", J1561&lt;&gt;""), HYPERLINK("#'" &amp; C1561 &amp; "'!" &amp; J1561, J1561), "")</f>
        <v/>
      </c>
    </row>
    <row r="1562">
      <c r="B1562" s="21">
        <f>IF(AND(C1562&lt;&gt;"", J1562&lt;&gt;""), HYPERLINK("#'" &amp; C1562 &amp; "'!" &amp; J1562, J1562), "")</f>
        <v/>
      </c>
    </row>
    <row r="1563">
      <c r="B1563" s="21">
        <f>IF(AND(C1563&lt;&gt;"", J1563&lt;&gt;""), HYPERLINK("#'" &amp; C1563 &amp; "'!" &amp; J1563, J1563), "")</f>
        <v/>
      </c>
    </row>
    <row r="1564">
      <c r="B1564" s="21">
        <f>IF(AND(C1564&lt;&gt;"", J1564&lt;&gt;""), HYPERLINK("#'" &amp; C1564 &amp; "'!" &amp; J1564, J1564), "")</f>
        <v/>
      </c>
    </row>
    <row r="1565">
      <c r="B1565" s="21">
        <f>IF(AND(C1565&lt;&gt;"", J1565&lt;&gt;""), HYPERLINK("#'" &amp; C1565 &amp; "'!" &amp; J1565, J1565), "")</f>
        <v/>
      </c>
    </row>
    <row r="1566">
      <c r="B1566" s="21">
        <f>IF(AND(C1566&lt;&gt;"", J1566&lt;&gt;""), HYPERLINK("#'" &amp; C1566 &amp; "'!" &amp; J1566, J1566), "")</f>
        <v/>
      </c>
    </row>
    <row r="1567">
      <c r="B1567" s="21">
        <f>IF(AND(C1567&lt;&gt;"", J1567&lt;&gt;""), HYPERLINK("#'" &amp; C1567 &amp; "'!" &amp; J1567, J1567), "")</f>
        <v/>
      </c>
    </row>
    <row r="1568">
      <c r="B1568" s="21">
        <f>IF(AND(C1568&lt;&gt;"", J1568&lt;&gt;""), HYPERLINK("#'" &amp; C1568 &amp; "'!" &amp; J1568, J1568), "")</f>
        <v/>
      </c>
    </row>
    <row r="1569">
      <c r="B1569" s="21">
        <f>IF(AND(C1569&lt;&gt;"", J1569&lt;&gt;""), HYPERLINK("#'" &amp; C1569 &amp; "'!" &amp; J1569, J1569), "")</f>
        <v/>
      </c>
    </row>
    <row r="1570">
      <c r="B1570" s="21">
        <f>IF(AND(C1570&lt;&gt;"", J1570&lt;&gt;""), HYPERLINK("#'" &amp; C1570 &amp; "'!" &amp; J1570, J1570), "")</f>
        <v/>
      </c>
    </row>
    <row r="1571">
      <c r="B1571" s="21">
        <f>IF(AND(C1571&lt;&gt;"", J1571&lt;&gt;""), HYPERLINK("#'" &amp; C1571 &amp; "'!" &amp; J1571, J1571), "")</f>
        <v/>
      </c>
    </row>
    <row r="1572">
      <c r="B1572" s="21">
        <f>IF(AND(C1572&lt;&gt;"", J1572&lt;&gt;""), HYPERLINK("#'" &amp; C1572 &amp; "'!" &amp; J1572, J1572), "")</f>
        <v/>
      </c>
    </row>
    <row r="1573">
      <c r="B1573" s="21">
        <f>IF(AND(C1573&lt;&gt;"", J1573&lt;&gt;""), HYPERLINK("#'" &amp; C1573 &amp; "'!" &amp; J1573, J1573), "")</f>
        <v/>
      </c>
    </row>
    <row r="1574">
      <c r="B1574" s="21">
        <f>IF(AND(C1574&lt;&gt;"", J1574&lt;&gt;""), HYPERLINK("#'" &amp; C1574 &amp; "'!" &amp; J1574, J1574), "")</f>
        <v/>
      </c>
    </row>
    <row r="1575">
      <c r="B1575" s="21">
        <f>IF(AND(C1575&lt;&gt;"", J1575&lt;&gt;""), HYPERLINK("#'" &amp; C1575 &amp; "'!" &amp; J1575, J1575), "")</f>
        <v/>
      </c>
    </row>
    <row r="1576">
      <c r="B1576" s="21">
        <f>IF(AND(C1576&lt;&gt;"", J1576&lt;&gt;""), HYPERLINK("#'" &amp; C1576 &amp; "'!" &amp; J1576, J1576), "")</f>
        <v/>
      </c>
    </row>
    <row r="1577">
      <c r="B1577" s="21">
        <f>IF(AND(C1577&lt;&gt;"", J1577&lt;&gt;""), HYPERLINK("#'" &amp; C1577 &amp; "'!" &amp; J1577, J1577), "")</f>
        <v/>
      </c>
    </row>
    <row r="1578">
      <c r="B1578" s="21">
        <f>IF(AND(C1578&lt;&gt;"", J1578&lt;&gt;""), HYPERLINK("#'" &amp; C1578 &amp; "'!" &amp; J1578, J1578), "")</f>
        <v/>
      </c>
    </row>
    <row r="1579">
      <c r="B1579" s="21">
        <f>IF(AND(C1579&lt;&gt;"", J1579&lt;&gt;""), HYPERLINK("#'" &amp; C1579 &amp; "'!" &amp; J1579, J1579), "")</f>
        <v/>
      </c>
    </row>
    <row r="1580">
      <c r="B1580" s="21">
        <f>IF(AND(C1580&lt;&gt;"", J1580&lt;&gt;""), HYPERLINK("#'" &amp; C1580 &amp; "'!" &amp; J1580, J1580), "")</f>
        <v/>
      </c>
    </row>
    <row r="1581">
      <c r="B1581" s="21">
        <f>IF(AND(C1581&lt;&gt;"", J1581&lt;&gt;""), HYPERLINK("#'" &amp; C1581 &amp; "'!" &amp; J1581, J1581), "")</f>
        <v/>
      </c>
    </row>
    <row r="1582">
      <c r="B1582" s="21">
        <f>IF(AND(C1582&lt;&gt;"", J1582&lt;&gt;""), HYPERLINK("#'" &amp; C1582 &amp; "'!" &amp; J1582, J1582), "")</f>
        <v/>
      </c>
    </row>
    <row r="1583">
      <c r="B1583" s="21">
        <f>IF(AND(C1583&lt;&gt;"", J1583&lt;&gt;""), HYPERLINK("#'" &amp; C1583 &amp; "'!" &amp; J1583, J1583), "")</f>
        <v/>
      </c>
    </row>
    <row r="1584">
      <c r="B1584" s="21">
        <f>IF(AND(C1584&lt;&gt;"", J1584&lt;&gt;""), HYPERLINK("#'" &amp; C1584 &amp; "'!" &amp; J1584, J1584), "")</f>
        <v/>
      </c>
    </row>
    <row r="1585">
      <c r="B1585" s="21">
        <f>IF(AND(C1585&lt;&gt;"", J1585&lt;&gt;""), HYPERLINK("#'" &amp; C1585 &amp; "'!" &amp; J1585, J1585), "")</f>
        <v/>
      </c>
    </row>
    <row r="1586">
      <c r="B1586" s="21">
        <f>IF(AND(C1586&lt;&gt;"", J1586&lt;&gt;""), HYPERLINK("#'" &amp; C1586 &amp; "'!" &amp; J1586, J1586), "")</f>
        <v/>
      </c>
    </row>
    <row r="1587">
      <c r="B1587" s="21">
        <f>IF(AND(C1587&lt;&gt;"", J1587&lt;&gt;""), HYPERLINK("#'" &amp; C1587 &amp; "'!" &amp; J1587, J1587), "")</f>
        <v/>
      </c>
    </row>
    <row r="1588">
      <c r="B1588" s="21">
        <f>IF(AND(C1588&lt;&gt;"", J1588&lt;&gt;""), HYPERLINK("#'" &amp; C1588 &amp; "'!" &amp; J1588, J1588), "")</f>
        <v/>
      </c>
    </row>
    <row r="1589">
      <c r="B1589" s="21">
        <f>IF(AND(C1589&lt;&gt;"", J1589&lt;&gt;""), HYPERLINK("#'" &amp; C1589 &amp; "'!" &amp; J1589, J1589), "")</f>
        <v/>
      </c>
    </row>
    <row r="1590">
      <c r="B1590" s="21">
        <f>IF(AND(C1590&lt;&gt;"", J1590&lt;&gt;""), HYPERLINK("#'" &amp; C1590 &amp; "'!" &amp; J1590, J1590), "")</f>
        <v/>
      </c>
    </row>
    <row r="1591">
      <c r="B1591" s="21">
        <f>IF(AND(C1591&lt;&gt;"", J1591&lt;&gt;""), HYPERLINK("#'" &amp; C1591 &amp; "'!" &amp; J1591, J1591), "")</f>
        <v/>
      </c>
    </row>
    <row r="1592">
      <c r="B1592" s="21">
        <f>IF(AND(C1592&lt;&gt;"", J1592&lt;&gt;""), HYPERLINK("#'" &amp; C1592 &amp; "'!" &amp; J1592, J1592), "")</f>
        <v/>
      </c>
    </row>
    <row r="1593">
      <c r="B1593" s="21">
        <f>IF(AND(C1593&lt;&gt;"", J1593&lt;&gt;""), HYPERLINK("#'" &amp; C1593 &amp; "'!" &amp; J1593, J1593), "")</f>
        <v/>
      </c>
    </row>
    <row r="1594">
      <c r="B1594" s="21">
        <f>IF(AND(C1594&lt;&gt;"", J1594&lt;&gt;""), HYPERLINK("#'" &amp; C1594 &amp; "'!" &amp; J1594, J1594), "")</f>
        <v/>
      </c>
    </row>
    <row r="1595">
      <c r="B1595" s="21">
        <f>IF(AND(C1595&lt;&gt;"", J1595&lt;&gt;""), HYPERLINK("#'" &amp; C1595 &amp; "'!" &amp; J1595, J1595), "")</f>
        <v/>
      </c>
    </row>
    <row r="1596">
      <c r="B1596" s="21">
        <f>IF(AND(C1596&lt;&gt;"", J1596&lt;&gt;""), HYPERLINK("#'" &amp; C1596 &amp; "'!" &amp; J1596, J1596), "")</f>
        <v/>
      </c>
    </row>
    <row r="1597">
      <c r="B1597" s="21">
        <f>IF(AND(C1597&lt;&gt;"", J1597&lt;&gt;""), HYPERLINK("#'" &amp; C1597 &amp; "'!" &amp; J1597, J1597), "")</f>
        <v/>
      </c>
    </row>
    <row r="1598">
      <c r="B1598" s="21">
        <f>IF(AND(C1598&lt;&gt;"", J1598&lt;&gt;""), HYPERLINK("#'" &amp; C1598 &amp; "'!" &amp; J1598, J1598), "")</f>
        <v/>
      </c>
    </row>
    <row r="1599">
      <c r="B1599" s="21">
        <f>IF(AND(C1599&lt;&gt;"", J1599&lt;&gt;""), HYPERLINK("#'" &amp; C1599 &amp; "'!" &amp; J1599, J1599), "")</f>
        <v/>
      </c>
    </row>
    <row r="1600">
      <c r="B1600" s="21">
        <f>IF(AND(C1600&lt;&gt;"", J1600&lt;&gt;""), HYPERLINK("#'" &amp; C1600 &amp; "'!" &amp; J1600, J1600), "")</f>
        <v/>
      </c>
    </row>
    <row r="1601">
      <c r="B1601" s="21">
        <f>IF(AND(C1601&lt;&gt;"", J1601&lt;&gt;""), HYPERLINK("#'" &amp; C1601 &amp; "'!" &amp; J1601, J1601), "")</f>
        <v/>
      </c>
    </row>
    <row r="1602">
      <c r="B1602" s="21">
        <f>IF(AND(C1602&lt;&gt;"", J1602&lt;&gt;""), HYPERLINK("#'" &amp; C1602 &amp; "'!" &amp; J1602, J1602), "")</f>
        <v/>
      </c>
    </row>
    <row r="1603">
      <c r="B1603" s="21">
        <f>IF(AND(C1603&lt;&gt;"", J1603&lt;&gt;""), HYPERLINK("#'" &amp; C1603 &amp; "'!" &amp; J1603, J1603), "")</f>
        <v/>
      </c>
    </row>
    <row r="1604">
      <c r="B1604" s="21">
        <f>IF(AND(C1604&lt;&gt;"", J1604&lt;&gt;""), HYPERLINK("#'" &amp; C1604 &amp; "'!" &amp; J1604, J1604), "")</f>
        <v/>
      </c>
    </row>
    <row r="1605">
      <c r="B1605" s="21">
        <f>IF(AND(C1605&lt;&gt;"", J1605&lt;&gt;""), HYPERLINK("#'" &amp; C1605 &amp; "'!" &amp; J1605, J1605), "")</f>
        <v/>
      </c>
    </row>
    <row r="1606">
      <c r="B1606" s="21">
        <f>IF(AND(C1606&lt;&gt;"", J1606&lt;&gt;""), HYPERLINK("#'" &amp; C1606 &amp; "'!" &amp; J1606, J1606), "")</f>
        <v/>
      </c>
    </row>
    <row r="1607">
      <c r="B1607" s="21">
        <f>IF(AND(C1607&lt;&gt;"", J1607&lt;&gt;""), HYPERLINK("#'" &amp; C1607 &amp; "'!" &amp; J1607, J1607), "")</f>
        <v/>
      </c>
    </row>
    <row r="1608">
      <c r="B1608" s="21">
        <f>IF(AND(C1608&lt;&gt;"", J1608&lt;&gt;""), HYPERLINK("#'" &amp; C1608 &amp; "'!" &amp; J1608, J1608), "")</f>
        <v/>
      </c>
    </row>
    <row r="1609">
      <c r="B1609" s="21">
        <f>IF(AND(C1609&lt;&gt;"", J1609&lt;&gt;""), HYPERLINK("#'" &amp; C1609 &amp; "'!" &amp; J1609, J1609), "")</f>
        <v/>
      </c>
    </row>
    <row r="1610">
      <c r="B1610" s="21">
        <f>IF(AND(C1610&lt;&gt;"", J1610&lt;&gt;""), HYPERLINK("#'" &amp; C1610 &amp; "'!" &amp; J1610, J1610), "")</f>
        <v/>
      </c>
    </row>
    <row r="1611">
      <c r="B1611" s="21">
        <f>IF(AND(C1611&lt;&gt;"", J1611&lt;&gt;""), HYPERLINK("#'" &amp; C1611 &amp; "'!" &amp; J1611, J1611), "")</f>
        <v/>
      </c>
    </row>
    <row r="1612">
      <c r="B1612" s="21">
        <f>IF(AND(C1612&lt;&gt;"", J1612&lt;&gt;""), HYPERLINK("#'" &amp; C1612 &amp; "'!" &amp; J1612, J1612), "")</f>
        <v/>
      </c>
    </row>
    <row r="1613">
      <c r="B1613" s="21">
        <f>IF(AND(C1613&lt;&gt;"", J1613&lt;&gt;""), HYPERLINK("#'" &amp; C1613 &amp; "'!" &amp; J1613, J1613), "")</f>
        <v/>
      </c>
    </row>
    <row r="1614">
      <c r="B1614" s="21">
        <f>IF(AND(C1614&lt;&gt;"", J1614&lt;&gt;""), HYPERLINK("#'" &amp; C1614 &amp; "'!" &amp; J1614, J1614), "")</f>
        <v/>
      </c>
    </row>
    <row r="1615">
      <c r="B1615" s="21">
        <f>IF(AND(C1615&lt;&gt;"", J1615&lt;&gt;""), HYPERLINK("#'" &amp; C1615 &amp; "'!" &amp; J1615, J1615), "")</f>
        <v/>
      </c>
    </row>
    <row r="1616">
      <c r="B1616" s="21">
        <f>IF(AND(C1616&lt;&gt;"", J1616&lt;&gt;""), HYPERLINK("#'" &amp; C1616 &amp; "'!" &amp; J1616, J1616), "")</f>
        <v/>
      </c>
    </row>
    <row r="1617">
      <c r="B1617" s="21">
        <f>IF(AND(C1617&lt;&gt;"", J1617&lt;&gt;""), HYPERLINK("#'" &amp; C1617 &amp; "'!" &amp; J1617, J1617), "")</f>
        <v/>
      </c>
    </row>
    <row r="1618">
      <c r="B1618" s="21">
        <f>IF(AND(C1618&lt;&gt;"", J1618&lt;&gt;""), HYPERLINK("#'" &amp; C1618 &amp; "'!" &amp; J1618, J1618), "")</f>
        <v/>
      </c>
    </row>
    <row r="1619">
      <c r="B1619" s="21">
        <f>IF(AND(C1619&lt;&gt;"", J1619&lt;&gt;""), HYPERLINK("#'" &amp; C1619 &amp; "'!" &amp; J1619, J1619), "")</f>
        <v/>
      </c>
    </row>
    <row r="1620">
      <c r="B1620" s="21">
        <f>IF(AND(C1620&lt;&gt;"", J1620&lt;&gt;""), HYPERLINK("#'" &amp; C1620 &amp; "'!" &amp; J1620, J1620), "")</f>
        <v/>
      </c>
    </row>
    <row r="1621">
      <c r="B1621" s="21">
        <f>IF(AND(C1621&lt;&gt;"", J1621&lt;&gt;""), HYPERLINK("#'" &amp; C1621 &amp; "'!" &amp; J1621, J1621), "")</f>
        <v/>
      </c>
    </row>
    <row r="1622">
      <c r="B1622" s="21">
        <f>IF(AND(C1622&lt;&gt;"", J1622&lt;&gt;""), HYPERLINK("#'" &amp; C1622 &amp; "'!" &amp; J1622, J1622), "")</f>
        <v/>
      </c>
    </row>
    <row r="1623">
      <c r="B1623" s="21">
        <f>IF(AND(C1623&lt;&gt;"", J1623&lt;&gt;""), HYPERLINK("#'" &amp; C1623 &amp; "'!" &amp; J1623, J1623), "")</f>
        <v/>
      </c>
    </row>
    <row r="1624">
      <c r="B1624" s="21">
        <f>IF(AND(C1624&lt;&gt;"", J1624&lt;&gt;""), HYPERLINK("#'" &amp; C1624 &amp; "'!" &amp; J1624, J1624), "")</f>
        <v/>
      </c>
    </row>
    <row r="1625">
      <c r="B1625" s="21">
        <f>IF(AND(C1625&lt;&gt;"", J1625&lt;&gt;""), HYPERLINK("#'" &amp; C1625 &amp; "'!" &amp; J1625, J1625), "")</f>
        <v/>
      </c>
    </row>
    <row r="1626">
      <c r="B1626" s="21">
        <f>IF(AND(C1626&lt;&gt;"", J1626&lt;&gt;""), HYPERLINK("#'" &amp; C1626 &amp; "'!" &amp; J1626, J1626), "")</f>
        <v/>
      </c>
    </row>
    <row r="1627">
      <c r="B1627" s="21">
        <f>IF(AND(C1627&lt;&gt;"", J1627&lt;&gt;""), HYPERLINK("#'" &amp; C1627 &amp; "'!" &amp; J1627, J1627), "")</f>
        <v/>
      </c>
    </row>
    <row r="1628">
      <c r="B1628" s="21">
        <f>IF(AND(C1628&lt;&gt;"", J1628&lt;&gt;""), HYPERLINK("#'" &amp; C1628 &amp; "'!" &amp; J1628, J1628), "")</f>
        <v/>
      </c>
    </row>
    <row r="1629">
      <c r="B1629" s="21">
        <f>IF(AND(C1629&lt;&gt;"", J1629&lt;&gt;""), HYPERLINK("#'" &amp; C1629 &amp; "'!" &amp; J1629, J1629), "")</f>
        <v/>
      </c>
    </row>
    <row r="1630">
      <c r="B1630" s="21">
        <f>IF(AND(C1630&lt;&gt;"", J1630&lt;&gt;""), HYPERLINK("#'" &amp; C1630 &amp; "'!" &amp; J1630, J1630), "")</f>
        <v/>
      </c>
    </row>
    <row r="1631">
      <c r="B1631" s="21">
        <f>IF(AND(C1631&lt;&gt;"", J1631&lt;&gt;""), HYPERLINK("#'" &amp; C1631 &amp; "'!" &amp; J1631, J1631), "")</f>
        <v/>
      </c>
    </row>
    <row r="1632">
      <c r="B1632" s="21">
        <f>IF(AND(C1632&lt;&gt;"", J1632&lt;&gt;""), HYPERLINK("#'" &amp; C1632 &amp; "'!" &amp; J1632, J1632), "")</f>
        <v/>
      </c>
    </row>
    <row r="1633">
      <c r="B1633" s="21">
        <f>IF(AND(C1633&lt;&gt;"", J1633&lt;&gt;""), HYPERLINK("#'" &amp; C1633 &amp; "'!" &amp; J1633, J1633), "")</f>
        <v/>
      </c>
    </row>
    <row r="1634">
      <c r="B1634" s="21">
        <f>IF(AND(C1634&lt;&gt;"", J1634&lt;&gt;""), HYPERLINK("#'" &amp; C1634 &amp; "'!" &amp; J1634, J1634), "")</f>
        <v/>
      </c>
    </row>
    <row r="1635">
      <c r="B1635" s="21">
        <f>IF(AND(C1635&lt;&gt;"", J1635&lt;&gt;""), HYPERLINK("#'" &amp; C1635 &amp; "'!" &amp; J1635, J1635), "")</f>
        <v/>
      </c>
    </row>
    <row r="1636">
      <c r="B1636" s="21">
        <f>IF(AND(C1636&lt;&gt;"", J1636&lt;&gt;""), HYPERLINK("#'" &amp; C1636 &amp; "'!" &amp; J1636, J1636), "")</f>
        <v/>
      </c>
    </row>
    <row r="1637">
      <c r="B1637" s="21">
        <f>IF(AND(C1637&lt;&gt;"", J1637&lt;&gt;""), HYPERLINK("#'" &amp; C1637 &amp; "'!" &amp; J1637, J1637), "")</f>
        <v/>
      </c>
    </row>
    <row r="1638">
      <c r="B1638" s="21">
        <f>IF(AND(C1638&lt;&gt;"", J1638&lt;&gt;""), HYPERLINK("#'" &amp; C1638 &amp; "'!" &amp; J1638, J1638), "")</f>
        <v/>
      </c>
    </row>
    <row r="1639">
      <c r="B1639" s="21">
        <f>IF(AND(C1639&lt;&gt;"", J1639&lt;&gt;""), HYPERLINK("#'" &amp; C1639 &amp; "'!" &amp; J1639, J1639), "")</f>
        <v/>
      </c>
    </row>
    <row r="1640">
      <c r="B1640" s="21">
        <f>IF(AND(C1640&lt;&gt;"", J1640&lt;&gt;""), HYPERLINK("#'" &amp; C1640 &amp; "'!" &amp; J1640, J1640), "")</f>
        <v/>
      </c>
    </row>
    <row r="1641">
      <c r="B1641" s="21">
        <f>IF(AND(C1641&lt;&gt;"", J1641&lt;&gt;""), HYPERLINK("#'" &amp; C1641 &amp; "'!" &amp; J1641, J1641), "")</f>
        <v/>
      </c>
    </row>
    <row r="1642">
      <c r="B1642" s="21">
        <f>IF(AND(C1642&lt;&gt;"", J1642&lt;&gt;""), HYPERLINK("#'" &amp; C1642 &amp; "'!" &amp; J1642, J1642), "")</f>
        <v/>
      </c>
    </row>
    <row r="1643">
      <c r="B1643" s="21">
        <f>IF(AND(C1643&lt;&gt;"", J1643&lt;&gt;""), HYPERLINK("#'" &amp; C1643 &amp; "'!" &amp; J1643, J1643), "")</f>
        <v/>
      </c>
    </row>
    <row r="1644">
      <c r="B1644" s="21">
        <f>IF(AND(C1644&lt;&gt;"", J1644&lt;&gt;""), HYPERLINK("#'" &amp; C1644 &amp; "'!" &amp; J1644, J1644), "")</f>
        <v/>
      </c>
    </row>
    <row r="1645">
      <c r="B1645" s="21">
        <f>IF(AND(C1645&lt;&gt;"", J1645&lt;&gt;""), HYPERLINK("#'" &amp; C1645 &amp; "'!" &amp; J1645, J1645), "")</f>
        <v/>
      </c>
    </row>
    <row r="1646">
      <c r="B1646" s="21">
        <f>IF(AND(C1646&lt;&gt;"", J1646&lt;&gt;""), HYPERLINK("#'" &amp; C1646 &amp; "'!" &amp; J1646, J1646), "")</f>
        <v/>
      </c>
    </row>
    <row r="1647">
      <c r="B1647" s="21">
        <f>IF(AND(C1647&lt;&gt;"", J1647&lt;&gt;""), HYPERLINK("#'" &amp; C1647 &amp; "'!" &amp; J1647, J1647), "")</f>
        <v/>
      </c>
    </row>
    <row r="1648">
      <c r="B1648" s="21">
        <f>IF(AND(C1648&lt;&gt;"", J1648&lt;&gt;""), HYPERLINK("#'" &amp; C1648 &amp; "'!" &amp; J1648, J1648), "")</f>
        <v/>
      </c>
    </row>
    <row r="1649">
      <c r="B1649" s="21">
        <f>IF(AND(C1649&lt;&gt;"", J1649&lt;&gt;""), HYPERLINK("#'" &amp; C1649 &amp; "'!" &amp; J1649, J1649), "")</f>
        <v/>
      </c>
    </row>
    <row r="1650">
      <c r="B1650" s="21">
        <f>IF(AND(C1650&lt;&gt;"", J1650&lt;&gt;""), HYPERLINK("#'" &amp; C1650 &amp; "'!" &amp; J1650, J1650), "")</f>
        <v/>
      </c>
    </row>
    <row r="1651">
      <c r="B1651" s="21">
        <f>IF(AND(C1651&lt;&gt;"", J1651&lt;&gt;""), HYPERLINK("#'" &amp; C1651 &amp; "'!" &amp; J1651, J1651), "")</f>
        <v/>
      </c>
    </row>
    <row r="1652">
      <c r="B1652" s="21">
        <f>IF(AND(C1652&lt;&gt;"", J1652&lt;&gt;""), HYPERLINK("#'" &amp; C1652 &amp; "'!" &amp; J1652, J1652), "")</f>
        <v/>
      </c>
    </row>
    <row r="1653">
      <c r="B1653" s="21">
        <f>IF(AND(C1653&lt;&gt;"", J1653&lt;&gt;""), HYPERLINK("#'" &amp; C1653 &amp; "'!" &amp; J1653, J1653), "")</f>
        <v/>
      </c>
    </row>
    <row r="1654">
      <c r="B1654" s="21">
        <f>IF(AND(C1654&lt;&gt;"", J1654&lt;&gt;""), HYPERLINK("#'" &amp; C1654 &amp; "'!" &amp; J1654, J1654), "")</f>
        <v/>
      </c>
    </row>
    <row r="1655">
      <c r="B1655" s="21">
        <f>IF(AND(C1655&lt;&gt;"", J1655&lt;&gt;""), HYPERLINK("#'" &amp; C1655 &amp; "'!" &amp; J1655, J1655), "")</f>
        <v/>
      </c>
    </row>
    <row r="1656">
      <c r="B1656" s="21">
        <f>IF(AND(C1656&lt;&gt;"", J1656&lt;&gt;""), HYPERLINK("#'" &amp; C1656 &amp; "'!" &amp; J1656, J1656), "")</f>
        <v/>
      </c>
    </row>
    <row r="1657">
      <c r="B1657" s="21">
        <f>IF(AND(C1657&lt;&gt;"", J1657&lt;&gt;""), HYPERLINK("#'" &amp; C1657 &amp; "'!" &amp; J1657, J1657), "")</f>
        <v/>
      </c>
    </row>
    <row r="1658">
      <c r="B1658" s="21">
        <f>IF(AND(C1658&lt;&gt;"", J1658&lt;&gt;""), HYPERLINK("#'" &amp; C1658 &amp; "'!" &amp; J1658, J1658), "")</f>
        <v/>
      </c>
    </row>
    <row r="1659">
      <c r="B1659" s="21">
        <f>IF(AND(C1659&lt;&gt;"", J1659&lt;&gt;""), HYPERLINK("#'" &amp; C1659 &amp; "'!" &amp; J1659, J1659), "")</f>
        <v/>
      </c>
    </row>
    <row r="1660">
      <c r="B1660" s="21">
        <f>IF(AND(C1660&lt;&gt;"", J1660&lt;&gt;""), HYPERLINK("#'" &amp; C1660 &amp; "'!" &amp; J1660, J1660), "")</f>
        <v/>
      </c>
    </row>
    <row r="1661">
      <c r="B1661" s="21">
        <f>IF(AND(C1661&lt;&gt;"", J1661&lt;&gt;""), HYPERLINK("#'" &amp; C1661 &amp; "'!" &amp; J1661, J1661), "")</f>
        <v/>
      </c>
    </row>
    <row r="1662">
      <c r="B1662" s="21">
        <f>IF(AND(C1662&lt;&gt;"", J1662&lt;&gt;""), HYPERLINK("#'" &amp; C1662 &amp; "'!" &amp; J1662, J1662), "")</f>
        <v/>
      </c>
    </row>
    <row r="1663">
      <c r="B1663" s="21">
        <f>IF(AND(C1663&lt;&gt;"", J1663&lt;&gt;""), HYPERLINK("#'" &amp; C1663 &amp; "'!" &amp; J1663, J1663), "")</f>
        <v/>
      </c>
    </row>
    <row r="1664">
      <c r="B1664" s="21">
        <f>IF(AND(C1664&lt;&gt;"", J1664&lt;&gt;""), HYPERLINK("#'" &amp; C1664 &amp; "'!" &amp; J1664, J1664), "")</f>
        <v/>
      </c>
    </row>
    <row r="1665">
      <c r="B1665" s="21">
        <f>IF(AND(C1665&lt;&gt;"", J1665&lt;&gt;""), HYPERLINK("#'" &amp; C1665 &amp; "'!" &amp; J1665, J1665), "")</f>
        <v/>
      </c>
    </row>
    <row r="1666">
      <c r="B1666" s="21">
        <f>IF(AND(C1666&lt;&gt;"", J1666&lt;&gt;""), HYPERLINK("#'" &amp; C1666 &amp; "'!" &amp; J1666, J1666), "")</f>
        <v/>
      </c>
    </row>
    <row r="1667">
      <c r="B1667" s="21">
        <f>IF(AND(C1667&lt;&gt;"", J1667&lt;&gt;""), HYPERLINK("#'" &amp; C1667 &amp; "'!" &amp; J1667, J1667), "")</f>
        <v/>
      </c>
    </row>
    <row r="1668">
      <c r="B1668" s="21">
        <f>IF(AND(C1668&lt;&gt;"", J1668&lt;&gt;""), HYPERLINK("#'" &amp; C1668 &amp; "'!" &amp; J1668, J1668), "")</f>
        <v/>
      </c>
    </row>
    <row r="1669">
      <c r="B1669" s="21">
        <f>IF(AND(C1669&lt;&gt;"", J1669&lt;&gt;""), HYPERLINK("#'" &amp; C1669 &amp; "'!" &amp; J1669, J1669), "")</f>
        <v/>
      </c>
    </row>
    <row r="1670">
      <c r="B1670" s="21">
        <f>IF(AND(C1670&lt;&gt;"", J1670&lt;&gt;""), HYPERLINK("#'" &amp; C1670 &amp; "'!" &amp; J1670, J1670), "")</f>
        <v/>
      </c>
    </row>
    <row r="1671">
      <c r="B1671" s="21">
        <f>IF(AND(C1671&lt;&gt;"", J1671&lt;&gt;""), HYPERLINK("#'" &amp; C1671 &amp; "'!" &amp; J1671, J1671), "")</f>
        <v/>
      </c>
    </row>
    <row r="1672">
      <c r="B1672" s="21">
        <f>IF(AND(C1672&lt;&gt;"", J1672&lt;&gt;""), HYPERLINK("#'" &amp; C1672 &amp; "'!" &amp; J1672, J1672), "")</f>
        <v/>
      </c>
    </row>
    <row r="1673">
      <c r="B1673" s="21">
        <f>IF(AND(C1673&lt;&gt;"", J1673&lt;&gt;""), HYPERLINK("#'" &amp; C1673 &amp; "'!" &amp; J1673, J1673), "")</f>
        <v/>
      </c>
    </row>
    <row r="1674">
      <c r="B1674" s="21">
        <f>IF(AND(C1674&lt;&gt;"", J1674&lt;&gt;""), HYPERLINK("#'" &amp; C1674 &amp; "'!" &amp; J1674, J1674), "")</f>
        <v/>
      </c>
    </row>
    <row r="1675">
      <c r="B1675" s="21">
        <f>IF(AND(C1675&lt;&gt;"", J1675&lt;&gt;""), HYPERLINK("#'" &amp; C1675 &amp; "'!" &amp; J1675, J1675), "")</f>
        <v/>
      </c>
    </row>
    <row r="1676">
      <c r="B1676" s="21">
        <f>IF(AND(C1676&lt;&gt;"", J1676&lt;&gt;""), HYPERLINK("#'" &amp; C1676 &amp; "'!" &amp; J1676, J1676), "")</f>
        <v/>
      </c>
    </row>
    <row r="1677">
      <c r="B1677" s="21">
        <f>IF(AND(C1677&lt;&gt;"", J1677&lt;&gt;""), HYPERLINK("#'" &amp; C1677 &amp; "'!" &amp; J1677, J1677), "")</f>
        <v/>
      </c>
    </row>
    <row r="1678">
      <c r="B1678" s="21">
        <f>IF(AND(C1678&lt;&gt;"", J1678&lt;&gt;""), HYPERLINK("#'" &amp; C1678 &amp; "'!" &amp; J1678, J1678), "")</f>
        <v/>
      </c>
    </row>
    <row r="1679">
      <c r="B1679" s="21">
        <f>IF(AND(C1679&lt;&gt;"", J1679&lt;&gt;""), HYPERLINK("#'" &amp; C1679 &amp; "'!" &amp; J1679, J1679), "")</f>
        <v/>
      </c>
    </row>
    <row r="1680">
      <c r="B1680" s="21">
        <f>IF(AND(C1680&lt;&gt;"", J1680&lt;&gt;""), HYPERLINK("#'" &amp; C1680 &amp; "'!" &amp; J1680, J1680), "")</f>
        <v/>
      </c>
    </row>
    <row r="1681">
      <c r="B1681" s="21">
        <f>IF(AND(C1681&lt;&gt;"", J1681&lt;&gt;""), HYPERLINK("#'" &amp; C1681 &amp; "'!" &amp; J1681, J1681), "")</f>
        <v/>
      </c>
    </row>
    <row r="1682">
      <c r="B1682" s="21">
        <f>IF(AND(C1682&lt;&gt;"", J1682&lt;&gt;""), HYPERLINK("#'" &amp; C1682 &amp; "'!" &amp; J1682, J1682), "")</f>
        <v/>
      </c>
    </row>
    <row r="1683">
      <c r="B1683" s="21">
        <f>IF(AND(C1683&lt;&gt;"", J1683&lt;&gt;""), HYPERLINK("#'" &amp; C1683 &amp; "'!" &amp; J1683, J1683), "")</f>
        <v/>
      </c>
    </row>
    <row r="1684">
      <c r="B1684" s="21">
        <f>IF(AND(C1684&lt;&gt;"", J1684&lt;&gt;""), HYPERLINK("#'" &amp; C1684 &amp; "'!" &amp; J1684, J1684), "")</f>
        <v/>
      </c>
    </row>
    <row r="1685">
      <c r="B1685" s="21">
        <f>IF(AND(C1685&lt;&gt;"", J1685&lt;&gt;""), HYPERLINK("#'" &amp; C1685 &amp; "'!" &amp; J1685, J1685), "")</f>
        <v/>
      </c>
    </row>
    <row r="1686">
      <c r="B1686" s="21">
        <f>IF(AND(C1686&lt;&gt;"", J1686&lt;&gt;""), HYPERLINK("#'" &amp; C1686 &amp; "'!" &amp; J1686, J1686), "")</f>
        <v/>
      </c>
    </row>
    <row r="1687">
      <c r="B1687" s="21">
        <f>IF(AND(C1687&lt;&gt;"", J1687&lt;&gt;""), HYPERLINK("#'" &amp; C1687 &amp; "'!" &amp; J1687, J1687), "")</f>
        <v/>
      </c>
    </row>
    <row r="1688">
      <c r="B1688" s="21">
        <f>IF(AND(C1688&lt;&gt;"", J1688&lt;&gt;""), HYPERLINK("#'" &amp; C1688 &amp; "'!" &amp; J1688, J1688), "")</f>
        <v/>
      </c>
    </row>
    <row r="1689">
      <c r="B1689" s="21">
        <f>IF(AND(C1689&lt;&gt;"", J1689&lt;&gt;""), HYPERLINK("#'" &amp; C1689 &amp; "'!" &amp; J1689, J1689), "")</f>
        <v/>
      </c>
    </row>
    <row r="1690">
      <c r="B1690" s="21">
        <f>IF(AND(C1690&lt;&gt;"", J1690&lt;&gt;""), HYPERLINK("#'" &amp; C1690 &amp; "'!" &amp; J1690, J1690), "")</f>
        <v/>
      </c>
    </row>
    <row r="1691">
      <c r="B1691" s="21">
        <f>IF(AND(C1691&lt;&gt;"", J1691&lt;&gt;""), HYPERLINK("#'" &amp; C1691 &amp; "'!" &amp; J1691, J1691), "")</f>
        <v/>
      </c>
    </row>
    <row r="1692">
      <c r="B1692" s="21">
        <f>IF(AND(C1692&lt;&gt;"", J1692&lt;&gt;""), HYPERLINK("#'" &amp; C1692 &amp; "'!" &amp; J1692, J1692), "")</f>
        <v/>
      </c>
    </row>
    <row r="1693">
      <c r="B1693" s="21">
        <f>IF(AND(C1693&lt;&gt;"", J1693&lt;&gt;""), HYPERLINK("#'" &amp; C1693 &amp; "'!" &amp; J1693, J1693), "")</f>
        <v/>
      </c>
    </row>
    <row r="1694">
      <c r="B1694" s="21">
        <f>IF(AND(C1694&lt;&gt;"", J1694&lt;&gt;""), HYPERLINK("#'" &amp; C1694 &amp; "'!" &amp; J1694, J1694), "")</f>
        <v/>
      </c>
    </row>
    <row r="1695">
      <c r="B1695" s="21">
        <f>IF(AND(C1695&lt;&gt;"", J1695&lt;&gt;""), HYPERLINK("#'" &amp; C1695 &amp; "'!" &amp; J1695, J1695), "")</f>
        <v/>
      </c>
    </row>
    <row r="1696">
      <c r="B1696" s="21">
        <f>IF(AND(C1696&lt;&gt;"", J1696&lt;&gt;""), HYPERLINK("#'" &amp; C1696 &amp; "'!" &amp; J1696, J1696), "")</f>
        <v/>
      </c>
    </row>
    <row r="1697">
      <c r="B1697" s="21">
        <f>IF(AND(C1697&lt;&gt;"", J1697&lt;&gt;""), HYPERLINK("#'" &amp; C1697 &amp; "'!" &amp; J1697, J1697), "")</f>
        <v/>
      </c>
    </row>
    <row r="1698">
      <c r="B1698" s="21">
        <f>IF(AND(C1698&lt;&gt;"", J1698&lt;&gt;""), HYPERLINK("#'" &amp; C1698 &amp; "'!" &amp; J1698, J1698), "")</f>
        <v/>
      </c>
    </row>
    <row r="1699">
      <c r="B1699" s="21">
        <f>IF(AND(C1699&lt;&gt;"", J1699&lt;&gt;""), HYPERLINK("#'" &amp; C1699 &amp; "'!" &amp; J1699, J1699), "")</f>
        <v/>
      </c>
    </row>
    <row r="1700">
      <c r="B1700" s="21">
        <f>IF(AND(C1700&lt;&gt;"", J1700&lt;&gt;""), HYPERLINK("#'" &amp; C1700 &amp; "'!" &amp; J1700, J1700), "")</f>
        <v/>
      </c>
    </row>
    <row r="1701">
      <c r="B1701" s="21">
        <f>IF(AND(C1701&lt;&gt;"", J1701&lt;&gt;""), HYPERLINK("#'" &amp; C1701 &amp; "'!" &amp; J1701, J1701), "")</f>
        <v/>
      </c>
    </row>
    <row r="1702">
      <c r="B1702" s="21">
        <f>IF(AND(C1702&lt;&gt;"", J1702&lt;&gt;""), HYPERLINK("#'" &amp; C1702 &amp; "'!" &amp; J1702, J1702), "")</f>
        <v/>
      </c>
    </row>
    <row r="1703">
      <c r="B1703" s="21">
        <f>IF(AND(C1703&lt;&gt;"", J1703&lt;&gt;""), HYPERLINK("#'" &amp; C1703 &amp; "'!" &amp; J1703, J1703), "")</f>
        <v/>
      </c>
    </row>
    <row r="1704">
      <c r="B1704" s="21">
        <f>IF(AND(C1704&lt;&gt;"", J1704&lt;&gt;""), HYPERLINK("#'" &amp; C1704 &amp; "'!" &amp; J1704, J1704), "")</f>
        <v/>
      </c>
    </row>
    <row r="1705">
      <c r="B1705" s="21">
        <f>IF(AND(C1705&lt;&gt;"", J1705&lt;&gt;""), HYPERLINK("#'" &amp; C1705 &amp; "'!" &amp; J1705, J1705), "")</f>
        <v/>
      </c>
    </row>
    <row r="1706">
      <c r="B1706" s="21">
        <f>IF(AND(C1706&lt;&gt;"", J1706&lt;&gt;""), HYPERLINK("#'" &amp; C1706 &amp; "'!" &amp; J1706, J1706), "")</f>
        <v/>
      </c>
    </row>
    <row r="1707">
      <c r="B1707" s="21">
        <f>IF(AND(C1707&lt;&gt;"", J1707&lt;&gt;""), HYPERLINK("#'" &amp; C1707 &amp; "'!" &amp; J1707, J1707), "")</f>
        <v/>
      </c>
    </row>
    <row r="1708">
      <c r="B1708" s="21">
        <f>IF(AND(C1708&lt;&gt;"", J1708&lt;&gt;""), HYPERLINK("#'" &amp; C1708 &amp; "'!" &amp; J1708, J1708), "")</f>
        <v/>
      </c>
    </row>
    <row r="1709">
      <c r="B1709" s="21">
        <f>IF(AND(C1709&lt;&gt;"", J1709&lt;&gt;""), HYPERLINK("#'" &amp; C1709 &amp; "'!" &amp; J1709, J1709), "")</f>
        <v/>
      </c>
    </row>
    <row r="1710">
      <c r="B1710" s="21">
        <f>IF(AND(C1710&lt;&gt;"", J1710&lt;&gt;""), HYPERLINK("#'" &amp; C1710 &amp; "'!" &amp; J1710, J1710), "")</f>
        <v/>
      </c>
    </row>
    <row r="1711">
      <c r="B1711" s="21">
        <f>IF(AND(C1711&lt;&gt;"", J1711&lt;&gt;""), HYPERLINK("#'" &amp; C1711 &amp; "'!" &amp; J1711, J1711), "")</f>
        <v/>
      </c>
    </row>
    <row r="1712">
      <c r="B1712" s="21">
        <f>IF(AND(C1712&lt;&gt;"", J1712&lt;&gt;""), HYPERLINK("#'" &amp; C1712 &amp; "'!" &amp; J1712, J1712), "")</f>
        <v/>
      </c>
    </row>
    <row r="1713">
      <c r="B1713" s="21">
        <f>IF(AND(C1713&lt;&gt;"", J1713&lt;&gt;""), HYPERLINK("#'" &amp; C1713 &amp; "'!" &amp; J1713, J1713), "")</f>
        <v/>
      </c>
    </row>
    <row r="1714">
      <c r="B1714" s="21">
        <f>IF(AND(C1714&lt;&gt;"", J1714&lt;&gt;""), HYPERLINK("#'" &amp; C1714 &amp; "'!" &amp; J1714, J1714), "")</f>
        <v/>
      </c>
    </row>
    <row r="1715">
      <c r="B1715" s="21">
        <f>IF(AND(C1715&lt;&gt;"", J1715&lt;&gt;""), HYPERLINK("#'" &amp; C1715 &amp; "'!" &amp; J1715, J1715), "")</f>
        <v/>
      </c>
    </row>
    <row r="1716">
      <c r="B1716" s="21">
        <f>IF(AND(C1716&lt;&gt;"", J1716&lt;&gt;""), HYPERLINK("#'" &amp; C1716 &amp; "'!" &amp; J1716, J1716), "")</f>
        <v/>
      </c>
    </row>
    <row r="1717">
      <c r="B1717" s="21">
        <f>IF(AND(C1717&lt;&gt;"", J1717&lt;&gt;""), HYPERLINK("#'" &amp; C1717 &amp; "'!" &amp; J1717, J1717), "")</f>
        <v/>
      </c>
    </row>
    <row r="1718">
      <c r="B1718" s="21">
        <f>IF(AND(C1718&lt;&gt;"", J1718&lt;&gt;""), HYPERLINK("#'" &amp; C1718 &amp; "'!" &amp; J1718, J1718), "")</f>
        <v/>
      </c>
    </row>
    <row r="1719">
      <c r="B1719" s="21">
        <f>IF(AND(C1719&lt;&gt;"", J1719&lt;&gt;""), HYPERLINK("#'" &amp; C1719 &amp; "'!" &amp; J1719, J1719), "")</f>
        <v/>
      </c>
    </row>
    <row r="1720">
      <c r="B1720" s="21">
        <f>IF(AND(C1720&lt;&gt;"", J1720&lt;&gt;""), HYPERLINK("#'" &amp; C1720 &amp; "'!" &amp; J1720, J1720), "")</f>
        <v/>
      </c>
    </row>
    <row r="1721">
      <c r="B1721" s="21">
        <f>IF(AND(C1721&lt;&gt;"", J1721&lt;&gt;""), HYPERLINK("#'" &amp; C1721 &amp; "'!" &amp; J1721, J1721), "")</f>
        <v/>
      </c>
    </row>
    <row r="1722">
      <c r="B1722" s="21">
        <f>IF(AND(C1722&lt;&gt;"", J1722&lt;&gt;""), HYPERLINK("#'" &amp; C1722 &amp; "'!" &amp; J1722, J1722), "")</f>
        <v/>
      </c>
    </row>
    <row r="1723">
      <c r="B1723" s="21">
        <f>IF(AND(C1723&lt;&gt;"", J1723&lt;&gt;""), HYPERLINK("#'" &amp; C1723 &amp; "'!" &amp; J1723, J1723), "")</f>
        <v/>
      </c>
    </row>
    <row r="1724">
      <c r="B1724" s="21">
        <f>IF(AND(C1724&lt;&gt;"", J1724&lt;&gt;""), HYPERLINK("#'" &amp; C1724 &amp; "'!" &amp; J1724, J1724), "")</f>
        <v/>
      </c>
    </row>
    <row r="1725">
      <c r="B1725" s="21">
        <f>IF(AND(C1725&lt;&gt;"", J1725&lt;&gt;""), HYPERLINK("#'" &amp; C1725 &amp; "'!" &amp; J1725, J1725), "")</f>
        <v/>
      </c>
    </row>
    <row r="1726">
      <c r="B1726" s="21">
        <f>IF(AND(C1726&lt;&gt;"", J1726&lt;&gt;""), HYPERLINK("#'" &amp; C1726 &amp; "'!" &amp; J1726, J1726), "")</f>
        <v/>
      </c>
    </row>
    <row r="1727">
      <c r="B1727" s="21">
        <f>IF(AND(C1727&lt;&gt;"", J1727&lt;&gt;""), HYPERLINK("#'" &amp; C1727 &amp; "'!" &amp; J1727, J1727), "")</f>
        <v/>
      </c>
    </row>
    <row r="1728">
      <c r="B1728" s="21">
        <f>IF(AND(C1728&lt;&gt;"", J1728&lt;&gt;""), HYPERLINK("#'" &amp; C1728 &amp; "'!" &amp; J1728, J1728), "")</f>
        <v/>
      </c>
    </row>
    <row r="1729">
      <c r="B1729" s="21">
        <f>IF(AND(C1729&lt;&gt;"", J1729&lt;&gt;""), HYPERLINK("#'" &amp; C1729 &amp; "'!" &amp; J1729, J1729), "")</f>
        <v/>
      </c>
    </row>
    <row r="1730">
      <c r="B1730" s="21">
        <f>IF(AND(C1730&lt;&gt;"", J1730&lt;&gt;""), HYPERLINK("#'" &amp; C1730 &amp; "'!" &amp; J1730, J1730), "")</f>
        <v/>
      </c>
    </row>
    <row r="1731">
      <c r="B1731" s="21">
        <f>IF(AND(C1731&lt;&gt;"", J1731&lt;&gt;""), HYPERLINK("#'" &amp; C1731 &amp; "'!" &amp; J1731, J1731), "")</f>
        <v/>
      </c>
    </row>
    <row r="1732">
      <c r="B1732" s="21">
        <f>IF(AND(C1732&lt;&gt;"", J1732&lt;&gt;""), HYPERLINK("#'" &amp; C1732 &amp; "'!" &amp; J1732, J1732), "")</f>
        <v/>
      </c>
    </row>
    <row r="1733">
      <c r="B1733" s="21">
        <f>IF(AND(C1733&lt;&gt;"", J1733&lt;&gt;""), HYPERLINK("#'" &amp; C1733 &amp; "'!" &amp; J1733, J1733), "")</f>
        <v/>
      </c>
    </row>
    <row r="1734">
      <c r="B1734" s="21">
        <f>IF(AND(C1734&lt;&gt;"", J1734&lt;&gt;""), HYPERLINK("#'" &amp; C1734 &amp; "'!" &amp; J1734, J1734), "")</f>
        <v/>
      </c>
    </row>
    <row r="1735">
      <c r="B1735" s="21">
        <f>IF(AND(C1735&lt;&gt;"", J1735&lt;&gt;""), HYPERLINK("#'" &amp; C1735 &amp; "'!" &amp; J1735, J1735), "")</f>
        <v/>
      </c>
    </row>
    <row r="1736">
      <c r="B1736" s="21">
        <f>IF(AND(C1736&lt;&gt;"", J1736&lt;&gt;""), HYPERLINK("#'" &amp; C1736 &amp; "'!" &amp; J1736, J1736), "")</f>
        <v/>
      </c>
    </row>
    <row r="1737">
      <c r="B1737" s="21">
        <f>IF(AND(C1737&lt;&gt;"", J1737&lt;&gt;""), HYPERLINK("#'" &amp; C1737 &amp; "'!" &amp; J1737, J1737), "")</f>
        <v/>
      </c>
    </row>
    <row r="1738">
      <c r="B1738" s="21">
        <f>IF(AND(C1738&lt;&gt;"", J1738&lt;&gt;""), HYPERLINK("#'" &amp; C1738 &amp; "'!" &amp; J1738, J1738), "")</f>
        <v/>
      </c>
    </row>
    <row r="1739">
      <c r="B1739" s="21">
        <f>IF(AND(C1739&lt;&gt;"", J1739&lt;&gt;""), HYPERLINK("#'" &amp; C1739 &amp; "'!" &amp; J1739, J1739), "")</f>
        <v/>
      </c>
    </row>
    <row r="1740">
      <c r="B1740" s="21">
        <f>IF(AND(C1740&lt;&gt;"", J1740&lt;&gt;""), HYPERLINK("#'" &amp; C1740 &amp; "'!" &amp; J1740, J1740), "")</f>
        <v/>
      </c>
    </row>
    <row r="1741">
      <c r="B1741" s="21">
        <f>IF(AND(C1741&lt;&gt;"", J1741&lt;&gt;""), HYPERLINK("#'" &amp; C1741 &amp; "'!" &amp; J1741, J1741), "")</f>
        <v/>
      </c>
    </row>
    <row r="1742">
      <c r="B1742" s="21">
        <f>IF(AND(C1742&lt;&gt;"", J1742&lt;&gt;""), HYPERLINK("#'" &amp; C1742 &amp; "'!" &amp; J1742, J1742), "")</f>
        <v/>
      </c>
    </row>
    <row r="1743">
      <c r="B1743" s="21">
        <f>IF(AND(C1743&lt;&gt;"", J1743&lt;&gt;""), HYPERLINK("#'" &amp; C1743 &amp; "'!" &amp; J1743, J1743), "")</f>
        <v/>
      </c>
    </row>
    <row r="1744">
      <c r="B1744" s="21">
        <f>IF(AND(C1744&lt;&gt;"", J1744&lt;&gt;""), HYPERLINK("#'" &amp; C1744 &amp; "'!" &amp; J1744, J1744), "")</f>
        <v/>
      </c>
    </row>
    <row r="1745">
      <c r="B1745" s="21">
        <f>IF(AND(C1745&lt;&gt;"", J1745&lt;&gt;""), HYPERLINK("#'" &amp; C1745 &amp; "'!" &amp; J1745, J1745), "")</f>
        <v/>
      </c>
    </row>
    <row r="1746">
      <c r="B1746" s="21">
        <f>IF(AND(C1746&lt;&gt;"", J1746&lt;&gt;""), HYPERLINK("#'" &amp; C1746 &amp; "'!" &amp; J1746, J1746), "")</f>
        <v/>
      </c>
    </row>
    <row r="1747">
      <c r="B1747" s="21">
        <f>IF(AND(C1747&lt;&gt;"", J1747&lt;&gt;""), HYPERLINK("#'" &amp; C1747 &amp; "'!" &amp; J1747, J1747), "")</f>
        <v/>
      </c>
    </row>
    <row r="1748">
      <c r="B1748" s="21">
        <f>IF(AND(C1748&lt;&gt;"", J1748&lt;&gt;""), HYPERLINK("#'" &amp; C1748 &amp; "'!" &amp; J1748, J1748), "")</f>
        <v/>
      </c>
    </row>
    <row r="1749">
      <c r="B1749" s="21">
        <f>IF(AND(C1749&lt;&gt;"", J1749&lt;&gt;""), HYPERLINK("#'" &amp; C1749 &amp; "'!" &amp; J1749, J1749), "")</f>
        <v/>
      </c>
    </row>
    <row r="1750">
      <c r="B1750" s="21">
        <f>IF(AND(C1750&lt;&gt;"", J1750&lt;&gt;""), HYPERLINK("#'" &amp; C1750 &amp; "'!" &amp; J1750, J1750), "")</f>
        <v/>
      </c>
    </row>
    <row r="1751">
      <c r="B1751" s="21">
        <f>IF(AND(C1751&lt;&gt;"", J1751&lt;&gt;""), HYPERLINK("#'" &amp; C1751 &amp; "'!" &amp; J1751, J1751), "")</f>
        <v/>
      </c>
    </row>
    <row r="1752">
      <c r="B1752" s="21">
        <f>IF(AND(C1752&lt;&gt;"", J1752&lt;&gt;""), HYPERLINK("#'" &amp; C1752 &amp; "'!" &amp; J1752, J1752), "")</f>
        <v/>
      </c>
    </row>
    <row r="1753">
      <c r="B1753" s="21">
        <f>IF(AND(C1753&lt;&gt;"", J1753&lt;&gt;""), HYPERLINK("#'" &amp; C1753 &amp; "'!" &amp; J1753, J1753), "")</f>
        <v/>
      </c>
    </row>
    <row r="1754">
      <c r="B1754" s="21">
        <f>IF(AND(C1754&lt;&gt;"", J1754&lt;&gt;""), HYPERLINK("#'" &amp; C1754 &amp; "'!" &amp; J1754, J1754), "")</f>
        <v/>
      </c>
    </row>
    <row r="1755">
      <c r="B1755" s="21">
        <f>IF(AND(C1755&lt;&gt;"", J1755&lt;&gt;""), HYPERLINK("#'" &amp; C1755 &amp; "'!" &amp; J1755, J1755), "")</f>
        <v/>
      </c>
    </row>
    <row r="1756">
      <c r="B1756" s="21">
        <f>IF(AND(C1756&lt;&gt;"", J1756&lt;&gt;""), HYPERLINK("#'" &amp; C1756 &amp; "'!" &amp; J1756, J1756), "")</f>
        <v/>
      </c>
    </row>
    <row r="1757">
      <c r="B1757" s="21">
        <f>IF(AND(C1757&lt;&gt;"", J1757&lt;&gt;""), HYPERLINK("#'" &amp; C1757 &amp; "'!" &amp; J1757, J1757), "")</f>
        <v/>
      </c>
    </row>
    <row r="1758">
      <c r="B1758" s="21">
        <f>IF(AND(C1758&lt;&gt;"", J1758&lt;&gt;""), HYPERLINK("#'" &amp; C1758 &amp; "'!" &amp; J1758, J1758), "")</f>
        <v/>
      </c>
    </row>
    <row r="1759">
      <c r="B1759" s="21">
        <f>IF(AND(C1759&lt;&gt;"", J1759&lt;&gt;""), HYPERLINK("#'" &amp; C1759 &amp; "'!" &amp; J1759, J1759), "")</f>
        <v/>
      </c>
    </row>
    <row r="1760">
      <c r="B1760" s="21">
        <f>IF(AND(C1760&lt;&gt;"", J1760&lt;&gt;""), HYPERLINK("#'" &amp; C1760 &amp; "'!" &amp; J1760, J1760), "")</f>
        <v/>
      </c>
    </row>
    <row r="1761">
      <c r="B1761" s="21">
        <f>IF(AND(C1761&lt;&gt;"", J1761&lt;&gt;""), HYPERLINK("#'" &amp; C1761 &amp; "'!" &amp; J1761, J1761), "")</f>
        <v/>
      </c>
    </row>
    <row r="1762">
      <c r="B1762" s="21">
        <f>IF(AND(C1762&lt;&gt;"", J1762&lt;&gt;""), HYPERLINK("#'" &amp; C1762 &amp; "'!" &amp; J1762, J1762), "")</f>
        <v/>
      </c>
    </row>
    <row r="1763">
      <c r="B1763" s="21">
        <f>IF(AND(C1763&lt;&gt;"", J1763&lt;&gt;""), HYPERLINK("#'" &amp; C1763 &amp; "'!" &amp; J1763, J1763), "")</f>
        <v/>
      </c>
    </row>
    <row r="1764">
      <c r="B1764" s="21">
        <f>IF(AND(C1764&lt;&gt;"", J1764&lt;&gt;""), HYPERLINK("#'" &amp; C1764 &amp; "'!" &amp; J1764, J1764), "")</f>
        <v/>
      </c>
    </row>
    <row r="1765">
      <c r="B1765" s="21">
        <f>IF(AND(C1765&lt;&gt;"", J1765&lt;&gt;""), HYPERLINK("#'" &amp; C1765 &amp; "'!" &amp; J1765, J1765), "")</f>
        <v/>
      </c>
    </row>
    <row r="1766">
      <c r="B1766" s="21">
        <f>IF(AND(C1766&lt;&gt;"", J1766&lt;&gt;""), HYPERLINK("#'" &amp; C1766 &amp; "'!" &amp; J1766, J1766), "")</f>
        <v/>
      </c>
    </row>
    <row r="1767">
      <c r="B1767" s="21">
        <f>IF(AND(C1767&lt;&gt;"", J1767&lt;&gt;""), HYPERLINK("#'" &amp; C1767 &amp; "'!" &amp; J1767, J1767), "")</f>
        <v/>
      </c>
    </row>
    <row r="1768">
      <c r="B1768" s="21">
        <f>IF(AND(C1768&lt;&gt;"", J1768&lt;&gt;""), HYPERLINK("#'" &amp; C1768 &amp; "'!" &amp; J1768, J1768), "")</f>
        <v/>
      </c>
    </row>
    <row r="1769">
      <c r="B1769" s="21">
        <f>IF(AND(C1769&lt;&gt;"", J1769&lt;&gt;""), HYPERLINK("#'" &amp; C1769 &amp; "'!" &amp; J1769, J1769), "")</f>
        <v/>
      </c>
    </row>
    <row r="1770">
      <c r="B1770" s="21">
        <f>IF(AND(C1770&lt;&gt;"", J1770&lt;&gt;""), HYPERLINK("#'" &amp; C1770 &amp; "'!" &amp; J1770, J1770), "")</f>
        <v/>
      </c>
    </row>
    <row r="1771">
      <c r="B1771" s="21">
        <f>IF(AND(C1771&lt;&gt;"", J1771&lt;&gt;""), HYPERLINK("#'" &amp; C1771 &amp; "'!" &amp; J1771, J1771), "")</f>
        <v/>
      </c>
    </row>
    <row r="1772">
      <c r="B1772" s="21">
        <f>IF(AND(C1772&lt;&gt;"", J1772&lt;&gt;""), HYPERLINK("#'" &amp; C1772 &amp; "'!" &amp; J1772, J1772), "")</f>
        <v/>
      </c>
    </row>
    <row r="1773">
      <c r="B1773" s="21">
        <f>IF(AND(C1773&lt;&gt;"", J1773&lt;&gt;""), HYPERLINK("#'" &amp; C1773 &amp; "'!" &amp; J1773, J1773), "")</f>
        <v/>
      </c>
    </row>
    <row r="1774">
      <c r="B1774" s="21">
        <f>IF(AND(C1774&lt;&gt;"", J1774&lt;&gt;""), HYPERLINK("#'" &amp; C1774 &amp; "'!" &amp; J1774, J1774), "")</f>
        <v/>
      </c>
    </row>
    <row r="1775">
      <c r="B1775" s="21">
        <f>IF(AND(C1775&lt;&gt;"", J1775&lt;&gt;""), HYPERLINK("#'" &amp; C1775 &amp; "'!" &amp; J1775, J1775), "")</f>
        <v/>
      </c>
    </row>
    <row r="1776">
      <c r="B1776" s="21">
        <f>IF(AND(C1776&lt;&gt;"", J1776&lt;&gt;""), HYPERLINK("#'" &amp; C1776 &amp; "'!" &amp; J1776, J1776), "")</f>
        <v/>
      </c>
    </row>
    <row r="1777">
      <c r="B1777" s="21">
        <f>IF(AND(C1777&lt;&gt;"", J1777&lt;&gt;""), HYPERLINK("#'" &amp; C1777 &amp; "'!" &amp; J1777, J1777), "")</f>
        <v/>
      </c>
    </row>
    <row r="1778">
      <c r="B1778" s="21">
        <f>IF(AND(C1778&lt;&gt;"", J1778&lt;&gt;""), HYPERLINK("#'" &amp; C1778 &amp; "'!" &amp; J1778, J1778), "")</f>
        <v/>
      </c>
    </row>
    <row r="1779">
      <c r="B1779" s="21">
        <f>IF(AND(C1779&lt;&gt;"", J1779&lt;&gt;""), HYPERLINK("#'" &amp; C1779 &amp; "'!" &amp; J1779, J1779), "")</f>
        <v/>
      </c>
    </row>
    <row r="1780">
      <c r="B1780" s="21">
        <f>IF(AND(C1780&lt;&gt;"", J1780&lt;&gt;""), HYPERLINK("#'" &amp; C1780 &amp; "'!" &amp; J1780, J1780), "")</f>
        <v/>
      </c>
    </row>
    <row r="1781">
      <c r="B1781" s="21">
        <f>IF(AND(C1781&lt;&gt;"", J1781&lt;&gt;""), HYPERLINK("#'" &amp; C1781 &amp; "'!" &amp; J1781, J1781), "")</f>
        <v/>
      </c>
    </row>
    <row r="1782">
      <c r="B1782" s="21">
        <f>IF(AND(C1782&lt;&gt;"", J1782&lt;&gt;""), HYPERLINK("#'" &amp; C1782 &amp; "'!" &amp; J1782, J1782), "")</f>
        <v/>
      </c>
    </row>
    <row r="1783">
      <c r="B1783" s="21">
        <f>IF(AND(C1783&lt;&gt;"", J1783&lt;&gt;""), HYPERLINK("#'" &amp; C1783 &amp; "'!" &amp; J1783, J1783), "")</f>
        <v/>
      </c>
    </row>
    <row r="1784">
      <c r="B1784" s="21">
        <f>IF(AND(C1784&lt;&gt;"", J1784&lt;&gt;""), HYPERLINK("#'" &amp; C1784 &amp; "'!" &amp; J1784, J1784), "")</f>
        <v/>
      </c>
    </row>
    <row r="1785">
      <c r="B1785" s="21">
        <f>IF(AND(C1785&lt;&gt;"", J1785&lt;&gt;""), HYPERLINK("#'" &amp; C1785 &amp; "'!" &amp; J1785, J1785), "")</f>
        <v/>
      </c>
    </row>
    <row r="1786">
      <c r="B1786" s="21">
        <f>IF(AND(C1786&lt;&gt;"", J1786&lt;&gt;""), HYPERLINK("#'" &amp; C1786 &amp; "'!" &amp; J1786, J1786), "")</f>
        <v/>
      </c>
    </row>
    <row r="1787">
      <c r="B1787" s="21">
        <f>IF(AND(C1787&lt;&gt;"", J1787&lt;&gt;""), HYPERLINK("#'" &amp; C1787 &amp; "'!" &amp; J1787, J1787), "")</f>
        <v/>
      </c>
    </row>
    <row r="1788">
      <c r="B1788" s="21">
        <f>IF(AND(C1788&lt;&gt;"", J1788&lt;&gt;""), HYPERLINK("#'" &amp; C1788 &amp; "'!" &amp; J1788, J1788), "")</f>
        <v/>
      </c>
    </row>
    <row r="1789">
      <c r="B1789" s="21">
        <f>IF(AND(C1789&lt;&gt;"", J1789&lt;&gt;""), HYPERLINK("#'" &amp; C1789 &amp; "'!" &amp; J1789, J1789), "")</f>
        <v/>
      </c>
    </row>
    <row r="1790">
      <c r="B1790" s="21">
        <f>IF(AND(C1790&lt;&gt;"", J1790&lt;&gt;""), HYPERLINK("#'" &amp; C1790 &amp; "'!" &amp; J1790, J1790), "")</f>
        <v/>
      </c>
    </row>
    <row r="1791">
      <c r="B1791" s="21">
        <f>IF(AND(C1791&lt;&gt;"", J1791&lt;&gt;""), HYPERLINK("#'" &amp; C1791 &amp; "'!" &amp; J1791, J1791), "")</f>
        <v/>
      </c>
    </row>
    <row r="1792">
      <c r="B1792" s="21">
        <f>IF(AND(C1792&lt;&gt;"", J1792&lt;&gt;""), HYPERLINK("#'" &amp; C1792 &amp; "'!" &amp; J1792, J1792), "")</f>
        <v/>
      </c>
    </row>
    <row r="1793">
      <c r="B1793" s="21">
        <f>IF(AND(C1793&lt;&gt;"", J1793&lt;&gt;""), HYPERLINK("#'" &amp; C1793 &amp; "'!" &amp; J1793, J1793), "")</f>
        <v/>
      </c>
    </row>
    <row r="1794">
      <c r="B1794" s="21">
        <f>IF(AND(C1794&lt;&gt;"", J1794&lt;&gt;""), HYPERLINK("#'" &amp; C1794 &amp; "'!" &amp; J1794, J1794), "")</f>
        <v/>
      </c>
    </row>
    <row r="1795">
      <c r="B1795" s="21">
        <f>IF(AND(C1795&lt;&gt;"", J1795&lt;&gt;""), HYPERLINK("#'" &amp; C1795 &amp; "'!" &amp; J1795, J1795), "")</f>
        <v/>
      </c>
    </row>
    <row r="1796">
      <c r="B1796" s="21">
        <f>IF(AND(C1796&lt;&gt;"", J1796&lt;&gt;""), HYPERLINK("#'" &amp; C1796 &amp; "'!" &amp; J1796, J1796), "")</f>
        <v/>
      </c>
    </row>
    <row r="1797">
      <c r="B1797" s="21">
        <f>IF(AND(C1797&lt;&gt;"", J1797&lt;&gt;""), HYPERLINK("#'" &amp; C1797 &amp; "'!" &amp; J1797, J1797), "")</f>
        <v/>
      </c>
    </row>
    <row r="1798">
      <c r="B1798" s="21">
        <f>IF(AND(C1798&lt;&gt;"", J1798&lt;&gt;""), HYPERLINK("#'" &amp; C1798 &amp; "'!" &amp; J1798, J1798), "")</f>
        <v/>
      </c>
    </row>
    <row r="1799">
      <c r="B1799" s="21">
        <f>IF(AND(C1799&lt;&gt;"", J1799&lt;&gt;""), HYPERLINK("#'" &amp; C1799 &amp; "'!" &amp; J1799, J1799), "")</f>
        <v/>
      </c>
    </row>
    <row r="1800">
      <c r="B1800" s="21">
        <f>IF(AND(C1800&lt;&gt;"", J1800&lt;&gt;""), HYPERLINK("#'" &amp; C1800 &amp; "'!" &amp; J1800, J1800), "")</f>
        <v/>
      </c>
    </row>
    <row r="1801">
      <c r="B1801" s="21">
        <f>IF(AND(C1801&lt;&gt;"", J1801&lt;&gt;""), HYPERLINK("#'" &amp; C1801 &amp; "'!" &amp; J1801, J1801), "")</f>
        <v/>
      </c>
    </row>
    <row r="1802">
      <c r="B1802" s="21">
        <f>IF(AND(C1802&lt;&gt;"", J1802&lt;&gt;""), HYPERLINK("#'" &amp; C1802 &amp; "'!" &amp; J1802, J1802), "")</f>
        <v/>
      </c>
    </row>
    <row r="1803">
      <c r="B1803" s="21">
        <f>IF(AND(C1803&lt;&gt;"", J1803&lt;&gt;""), HYPERLINK("#'" &amp; C1803 &amp; "'!" &amp; J1803, J1803), "")</f>
        <v/>
      </c>
    </row>
    <row r="1804">
      <c r="B1804" s="21">
        <f>IF(AND(C1804&lt;&gt;"", J1804&lt;&gt;""), HYPERLINK("#'" &amp; C1804 &amp; "'!" &amp; J1804, J1804), "")</f>
        <v/>
      </c>
    </row>
    <row r="1805">
      <c r="B1805" s="21">
        <f>IF(AND(C1805&lt;&gt;"", J1805&lt;&gt;""), HYPERLINK("#'" &amp; C1805 &amp; "'!" &amp; J1805, J1805), "")</f>
        <v/>
      </c>
    </row>
    <row r="1806">
      <c r="B1806" s="21">
        <f>IF(AND(C1806&lt;&gt;"", J1806&lt;&gt;""), HYPERLINK("#'" &amp; C1806 &amp; "'!" &amp; J1806, J1806), "")</f>
        <v/>
      </c>
    </row>
    <row r="1807">
      <c r="B1807" s="21">
        <f>IF(AND(C1807&lt;&gt;"", J1807&lt;&gt;""), HYPERLINK("#'" &amp; C1807 &amp; "'!" &amp; J1807, J1807), "")</f>
        <v/>
      </c>
    </row>
    <row r="1808">
      <c r="B1808" s="21">
        <f>IF(AND(C1808&lt;&gt;"", J1808&lt;&gt;""), HYPERLINK("#'" &amp; C1808 &amp; "'!" &amp; J1808, J1808), "")</f>
        <v/>
      </c>
    </row>
    <row r="1809">
      <c r="B1809" s="21">
        <f>IF(AND(C1809&lt;&gt;"", J1809&lt;&gt;""), HYPERLINK("#'" &amp; C1809 &amp; "'!" &amp; J1809, J1809), "")</f>
        <v/>
      </c>
    </row>
    <row r="1810">
      <c r="B1810" s="21">
        <f>IF(AND(C1810&lt;&gt;"", J1810&lt;&gt;""), HYPERLINK("#'" &amp; C1810 &amp; "'!" &amp; J1810, J1810), "")</f>
        <v/>
      </c>
    </row>
    <row r="1811">
      <c r="B1811" s="21">
        <f>IF(AND(C1811&lt;&gt;"", J1811&lt;&gt;""), HYPERLINK("#'" &amp; C1811 &amp; "'!" &amp; J1811, J1811), "")</f>
        <v/>
      </c>
    </row>
    <row r="1812">
      <c r="B1812" s="21">
        <f>IF(AND(C1812&lt;&gt;"", J1812&lt;&gt;""), HYPERLINK("#'" &amp; C1812 &amp; "'!" &amp; J1812, J1812), "")</f>
        <v/>
      </c>
    </row>
    <row r="1813">
      <c r="B1813" s="21">
        <f>IF(AND(C1813&lt;&gt;"", J1813&lt;&gt;""), HYPERLINK("#'" &amp; C1813 &amp; "'!" &amp; J1813, J1813), "")</f>
        <v/>
      </c>
    </row>
    <row r="1814">
      <c r="B1814" s="21">
        <f>IF(AND(C1814&lt;&gt;"", J1814&lt;&gt;""), HYPERLINK("#'" &amp; C1814 &amp; "'!" &amp; J1814, J1814), "")</f>
        <v/>
      </c>
    </row>
    <row r="1815">
      <c r="B1815" s="21">
        <f>IF(AND(C1815&lt;&gt;"", J1815&lt;&gt;""), HYPERLINK("#'" &amp; C1815 &amp; "'!" &amp; J1815, J1815), "")</f>
        <v/>
      </c>
    </row>
    <row r="1816">
      <c r="B1816" s="21">
        <f>IF(AND(C1816&lt;&gt;"", J1816&lt;&gt;""), HYPERLINK("#'" &amp; C1816 &amp; "'!" &amp; J1816, J1816), "")</f>
        <v/>
      </c>
    </row>
    <row r="1817">
      <c r="B1817" s="21">
        <f>IF(AND(C1817&lt;&gt;"", J1817&lt;&gt;""), HYPERLINK("#'" &amp; C1817 &amp; "'!" &amp; J1817, J1817), "")</f>
        <v/>
      </c>
    </row>
    <row r="1818">
      <c r="B1818" s="21">
        <f>IF(AND(C1818&lt;&gt;"", J1818&lt;&gt;""), HYPERLINK("#'" &amp; C1818 &amp; "'!" &amp; J1818, J1818), "")</f>
        <v/>
      </c>
    </row>
    <row r="1819">
      <c r="B1819" s="21">
        <f>IF(AND(C1819&lt;&gt;"", J1819&lt;&gt;""), HYPERLINK("#'" &amp; C1819 &amp; "'!" &amp; J1819, J1819), "")</f>
        <v/>
      </c>
    </row>
    <row r="1820">
      <c r="B1820" s="21">
        <f>IF(AND(C1820&lt;&gt;"", J1820&lt;&gt;""), HYPERLINK("#'" &amp; C1820 &amp; "'!" &amp; J1820, J1820), "")</f>
        <v/>
      </c>
    </row>
    <row r="1821">
      <c r="B1821" s="21">
        <f>IF(AND(C1821&lt;&gt;"", J1821&lt;&gt;""), HYPERLINK("#'" &amp; C1821 &amp; "'!" &amp; J1821, J1821), "")</f>
        <v/>
      </c>
    </row>
    <row r="1822">
      <c r="B1822" s="21">
        <f>IF(AND(C1822&lt;&gt;"", J1822&lt;&gt;""), HYPERLINK("#'" &amp; C1822 &amp; "'!" &amp; J1822, J1822), "")</f>
        <v/>
      </c>
    </row>
    <row r="1823">
      <c r="B1823" s="21">
        <f>IF(AND(C1823&lt;&gt;"", J1823&lt;&gt;""), HYPERLINK("#'" &amp; C1823 &amp; "'!" &amp; J1823, J1823), "")</f>
        <v/>
      </c>
    </row>
    <row r="1824">
      <c r="B1824" s="21">
        <f>IF(AND(C1824&lt;&gt;"", J1824&lt;&gt;""), HYPERLINK("#'" &amp; C1824 &amp; "'!" &amp; J1824, J1824), "")</f>
        <v/>
      </c>
    </row>
    <row r="1825">
      <c r="B1825" s="21">
        <f>IF(AND(C1825&lt;&gt;"", J1825&lt;&gt;""), HYPERLINK("#'" &amp; C1825 &amp; "'!" &amp; J1825, J1825), "")</f>
        <v/>
      </c>
    </row>
    <row r="1826">
      <c r="B1826" s="21">
        <f>IF(AND(C1826&lt;&gt;"", J1826&lt;&gt;""), HYPERLINK("#'" &amp; C1826 &amp; "'!" &amp; J1826, J1826), "")</f>
        <v/>
      </c>
    </row>
    <row r="1827">
      <c r="B1827" s="21">
        <f>IF(AND(C1827&lt;&gt;"", J1827&lt;&gt;""), HYPERLINK("#'" &amp; C1827 &amp; "'!" &amp; J1827, J1827), "")</f>
        <v/>
      </c>
    </row>
    <row r="1828">
      <c r="B1828" s="21">
        <f>IF(AND(C1828&lt;&gt;"", J1828&lt;&gt;""), HYPERLINK("#'" &amp; C1828 &amp; "'!" &amp; J1828, J1828), "")</f>
        <v/>
      </c>
    </row>
    <row r="1829">
      <c r="B1829" s="21">
        <f>IF(AND(C1829&lt;&gt;"", J1829&lt;&gt;""), HYPERLINK("#'" &amp; C1829 &amp; "'!" &amp; J1829, J1829), "")</f>
        <v/>
      </c>
    </row>
    <row r="1830">
      <c r="B1830" s="21">
        <f>IF(AND(C1830&lt;&gt;"", J1830&lt;&gt;""), HYPERLINK("#'" &amp; C1830 &amp; "'!" &amp; J1830, J1830), "")</f>
        <v/>
      </c>
    </row>
    <row r="1831">
      <c r="B1831" s="21">
        <f>IF(AND(C1831&lt;&gt;"", J1831&lt;&gt;""), HYPERLINK("#'" &amp; C1831 &amp; "'!" &amp; J1831, J1831), "")</f>
        <v/>
      </c>
    </row>
    <row r="1832">
      <c r="B1832" s="21">
        <f>IF(AND(C1832&lt;&gt;"", J1832&lt;&gt;""), HYPERLINK("#'" &amp; C1832 &amp; "'!" &amp; J1832, J1832), "")</f>
        <v/>
      </c>
    </row>
    <row r="1833">
      <c r="B1833" s="21">
        <f>IF(AND(C1833&lt;&gt;"", J1833&lt;&gt;""), HYPERLINK("#'" &amp; C1833 &amp; "'!" &amp; J1833, J1833), "")</f>
        <v/>
      </c>
    </row>
    <row r="1834">
      <c r="B1834" s="21">
        <f>IF(AND(C1834&lt;&gt;"", J1834&lt;&gt;""), HYPERLINK("#'" &amp; C1834 &amp; "'!" &amp; J1834, J1834), "")</f>
        <v/>
      </c>
    </row>
    <row r="1835">
      <c r="B1835" s="21">
        <f>IF(AND(C1835&lt;&gt;"", J1835&lt;&gt;""), HYPERLINK("#'" &amp; C1835 &amp; "'!" &amp; J1835, J1835), "")</f>
        <v/>
      </c>
    </row>
    <row r="1836">
      <c r="B1836" s="21">
        <f>IF(AND(C1836&lt;&gt;"", J1836&lt;&gt;""), HYPERLINK("#'" &amp; C1836 &amp; "'!" &amp; J1836, J1836), "")</f>
        <v/>
      </c>
    </row>
    <row r="1837">
      <c r="B1837" s="21">
        <f>IF(AND(C1837&lt;&gt;"", J1837&lt;&gt;""), HYPERLINK("#'" &amp; C1837 &amp; "'!" &amp; J1837, J1837), "")</f>
        <v/>
      </c>
    </row>
    <row r="1838">
      <c r="B1838" s="21">
        <f>IF(AND(C1838&lt;&gt;"", J1838&lt;&gt;""), HYPERLINK("#'" &amp; C1838 &amp; "'!" &amp; J1838, J1838), "")</f>
        <v/>
      </c>
    </row>
    <row r="1839">
      <c r="B1839" s="21">
        <f>IF(AND(C1839&lt;&gt;"", J1839&lt;&gt;""), HYPERLINK("#'" &amp; C1839 &amp; "'!" &amp; J1839, J1839), "")</f>
        <v/>
      </c>
    </row>
    <row r="1840">
      <c r="B1840" s="21">
        <f>IF(AND(C1840&lt;&gt;"", J1840&lt;&gt;""), HYPERLINK("#'" &amp; C1840 &amp; "'!" &amp; J1840, J1840), "")</f>
        <v/>
      </c>
    </row>
    <row r="1841">
      <c r="B1841" s="21">
        <f>IF(AND(C1841&lt;&gt;"", J1841&lt;&gt;""), HYPERLINK("#'" &amp; C1841 &amp; "'!" &amp; J1841, J1841), "")</f>
        <v/>
      </c>
    </row>
    <row r="1842">
      <c r="B1842" s="21">
        <f>IF(AND(C1842&lt;&gt;"", J1842&lt;&gt;""), HYPERLINK("#'" &amp; C1842 &amp; "'!" &amp; J1842, J1842), "")</f>
        <v/>
      </c>
    </row>
    <row r="1843">
      <c r="B1843" s="21">
        <f>IF(AND(C1843&lt;&gt;"", J1843&lt;&gt;""), HYPERLINK("#'" &amp; C1843 &amp; "'!" &amp; J1843, J1843), "")</f>
        <v/>
      </c>
    </row>
    <row r="1844">
      <c r="B1844" s="21">
        <f>IF(AND(C1844&lt;&gt;"", J1844&lt;&gt;""), HYPERLINK("#'" &amp; C1844 &amp; "'!" &amp; J1844, J1844), "")</f>
        <v/>
      </c>
    </row>
    <row r="1845">
      <c r="B1845" s="21">
        <f>IF(AND(C1845&lt;&gt;"", J1845&lt;&gt;""), HYPERLINK("#'" &amp; C1845 &amp; "'!" &amp; J1845, J1845), "")</f>
        <v/>
      </c>
    </row>
    <row r="1846">
      <c r="B1846" s="21">
        <f>IF(AND(C1846&lt;&gt;"", J1846&lt;&gt;""), HYPERLINK("#'" &amp; C1846 &amp; "'!" &amp; J1846, J1846), "")</f>
        <v/>
      </c>
    </row>
    <row r="1847">
      <c r="B1847" s="21">
        <f>IF(AND(C1847&lt;&gt;"", J1847&lt;&gt;""), HYPERLINK("#'" &amp; C1847 &amp; "'!" &amp; J1847, J1847), "")</f>
        <v/>
      </c>
    </row>
    <row r="1848">
      <c r="B1848" s="21">
        <f>IF(AND(C1848&lt;&gt;"", J1848&lt;&gt;""), HYPERLINK("#'" &amp; C1848 &amp; "'!" &amp; J1848, J1848), "")</f>
        <v/>
      </c>
    </row>
    <row r="1849">
      <c r="B1849" s="21">
        <f>IF(AND(C1849&lt;&gt;"", J1849&lt;&gt;""), HYPERLINK("#'" &amp; C1849 &amp; "'!" &amp; J1849, J1849), "")</f>
        <v/>
      </c>
    </row>
    <row r="1850">
      <c r="B1850" s="21">
        <f>IF(AND(C1850&lt;&gt;"", J1850&lt;&gt;""), HYPERLINK("#'" &amp; C1850 &amp; "'!" &amp; J1850, J1850), "")</f>
        <v/>
      </c>
    </row>
    <row r="1851">
      <c r="B1851" s="21">
        <f>IF(AND(C1851&lt;&gt;"", J1851&lt;&gt;""), HYPERLINK("#'" &amp; C1851 &amp; "'!" &amp; J1851, J1851), "")</f>
        <v/>
      </c>
    </row>
    <row r="1852">
      <c r="B1852" s="21">
        <f>IF(AND(C1852&lt;&gt;"", J1852&lt;&gt;""), HYPERLINK("#'" &amp; C1852 &amp; "'!" &amp; J1852, J1852), "")</f>
        <v/>
      </c>
    </row>
    <row r="1853">
      <c r="B1853" s="21">
        <f>IF(AND(C1853&lt;&gt;"", J1853&lt;&gt;""), HYPERLINK("#'" &amp; C1853 &amp; "'!" &amp; J1853, J1853), "")</f>
        <v/>
      </c>
    </row>
    <row r="1854">
      <c r="B1854" s="21">
        <f>IF(AND(C1854&lt;&gt;"", J1854&lt;&gt;""), HYPERLINK("#'" &amp; C1854 &amp; "'!" &amp; J1854, J1854), "")</f>
        <v/>
      </c>
    </row>
    <row r="1855">
      <c r="B1855" s="21">
        <f>IF(AND(C1855&lt;&gt;"", J1855&lt;&gt;""), HYPERLINK("#'" &amp; C1855 &amp; "'!" &amp; J1855, J1855), "")</f>
        <v/>
      </c>
    </row>
    <row r="1856">
      <c r="B1856" s="21">
        <f>IF(AND(C1856&lt;&gt;"", J1856&lt;&gt;""), HYPERLINK("#'" &amp; C1856 &amp; "'!" &amp; J1856, J1856), "")</f>
        <v/>
      </c>
    </row>
    <row r="1857">
      <c r="B1857" s="21">
        <f>IF(AND(C1857&lt;&gt;"", J1857&lt;&gt;""), HYPERLINK("#'" &amp; C1857 &amp; "'!" &amp; J1857, J1857), "")</f>
        <v/>
      </c>
    </row>
    <row r="1858">
      <c r="B1858" s="21">
        <f>IF(AND(C1858&lt;&gt;"", J1858&lt;&gt;""), HYPERLINK("#'" &amp; C1858 &amp; "'!" &amp; J1858, J1858), "")</f>
        <v/>
      </c>
    </row>
    <row r="1859">
      <c r="B1859" s="21">
        <f>IF(AND(C1859&lt;&gt;"", J1859&lt;&gt;""), HYPERLINK("#'" &amp; C1859 &amp; "'!" &amp; J1859, J1859), "")</f>
        <v/>
      </c>
    </row>
    <row r="1860">
      <c r="B1860" s="21">
        <f>IF(AND(C1860&lt;&gt;"", J1860&lt;&gt;""), HYPERLINK("#'" &amp; C1860 &amp; "'!" &amp; J1860, J1860), "")</f>
        <v/>
      </c>
    </row>
    <row r="1861">
      <c r="B1861" s="21">
        <f>IF(AND(C1861&lt;&gt;"", J1861&lt;&gt;""), HYPERLINK("#'" &amp; C1861 &amp; "'!" &amp; J1861, J1861), "")</f>
        <v/>
      </c>
    </row>
    <row r="1862">
      <c r="B1862" s="21">
        <f>IF(AND(C1862&lt;&gt;"", J1862&lt;&gt;""), HYPERLINK("#'" &amp; C1862 &amp; "'!" &amp; J1862, J1862), "")</f>
        <v/>
      </c>
    </row>
    <row r="1863">
      <c r="B1863" s="21">
        <f>IF(AND(C1863&lt;&gt;"", J1863&lt;&gt;""), HYPERLINK("#'" &amp; C1863 &amp; "'!" &amp; J1863, J1863), "")</f>
        <v/>
      </c>
    </row>
    <row r="1864">
      <c r="B1864" s="21">
        <f>IF(AND(C1864&lt;&gt;"", J1864&lt;&gt;""), HYPERLINK("#'" &amp; C1864 &amp; "'!" &amp; J1864, J1864), "")</f>
        <v/>
      </c>
    </row>
    <row r="1865">
      <c r="B1865" s="21">
        <f>IF(AND(C1865&lt;&gt;"", J1865&lt;&gt;""), HYPERLINK("#'" &amp; C1865 &amp; "'!" &amp; J1865, J1865), "")</f>
        <v/>
      </c>
    </row>
    <row r="1866">
      <c r="B1866" s="21">
        <f>IF(AND(C1866&lt;&gt;"", J1866&lt;&gt;""), HYPERLINK("#'" &amp; C1866 &amp; "'!" &amp; J1866, J1866), "")</f>
        <v/>
      </c>
    </row>
    <row r="1867">
      <c r="B1867" s="21">
        <f>IF(AND(C1867&lt;&gt;"", J1867&lt;&gt;""), HYPERLINK("#'" &amp; C1867 &amp; "'!" &amp; J1867, J1867), "")</f>
        <v/>
      </c>
    </row>
    <row r="1868">
      <c r="B1868" s="21">
        <f>IF(AND(C1868&lt;&gt;"", J1868&lt;&gt;""), HYPERLINK("#'" &amp; C1868 &amp; "'!" &amp; J1868, J1868), "")</f>
        <v/>
      </c>
    </row>
    <row r="1869">
      <c r="B1869" s="21">
        <f>IF(AND(C1869&lt;&gt;"", J1869&lt;&gt;""), HYPERLINK("#'" &amp; C1869 &amp; "'!" &amp; J1869, J1869), "")</f>
        <v/>
      </c>
    </row>
    <row r="1870">
      <c r="B1870" s="21">
        <f>IF(AND(C1870&lt;&gt;"", J1870&lt;&gt;""), HYPERLINK("#'" &amp; C1870 &amp; "'!" &amp; J1870, J1870), "")</f>
        <v/>
      </c>
    </row>
    <row r="1871">
      <c r="B1871" s="21">
        <f>IF(AND(C1871&lt;&gt;"", J1871&lt;&gt;""), HYPERLINK("#'" &amp; C1871 &amp; "'!" &amp; J1871, J1871), "")</f>
        <v/>
      </c>
    </row>
    <row r="1872">
      <c r="B1872" s="21">
        <f>IF(AND(C1872&lt;&gt;"", J1872&lt;&gt;""), HYPERLINK("#'" &amp; C1872 &amp; "'!" &amp; J1872, J1872), "")</f>
        <v/>
      </c>
    </row>
    <row r="1873">
      <c r="B1873" s="21">
        <f>IF(AND(C1873&lt;&gt;"", J1873&lt;&gt;""), HYPERLINK("#'" &amp; C1873 &amp; "'!" &amp; J1873, J1873), "")</f>
        <v/>
      </c>
    </row>
    <row r="1874">
      <c r="B1874" s="21">
        <f>IF(AND(C1874&lt;&gt;"", J1874&lt;&gt;""), HYPERLINK("#'" &amp; C1874 &amp; "'!" &amp; J1874, J1874), "")</f>
        <v/>
      </c>
    </row>
    <row r="1875">
      <c r="B1875" s="21">
        <f>IF(AND(C1875&lt;&gt;"", J1875&lt;&gt;""), HYPERLINK("#'" &amp; C1875 &amp; "'!" &amp; J1875, J1875), "")</f>
        <v/>
      </c>
    </row>
    <row r="1876">
      <c r="B1876" s="21">
        <f>IF(AND(C1876&lt;&gt;"", J1876&lt;&gt;""), HYPERLINK("#'" &amp; C1876 &amp; "'!" &amp; J1876, J1876), "")</f>
        <v/>
      </c>
    </row>
    <row r="1877">
      <c r="B1877" s="21">
        <f>IF(AND(C1877&lt;&gt;"", J1877&lt;&gt;""), HYPERLINK("#'" &amp; C1877 &amp; "'!" &amp; J1877, J1877), "")</f>
        <v/>
      </c>
    </row>
    <row r="1878">
      <c r="B1878" s="21">
        <f>IF(AND(C1878&lt;&gt;"", J1878&lt;&gt;""), HYPERLINK("#'" &amp; C1878 &amp; "'!" &amp; J1878, J1878), "")</f>
        <v/>
      </c>
    </row>
    <row r="1879">
      <c r="B1879" s="21">
        <f>IF(AND(C1879&lt;&gt;"", J1879&lt;&gt;""), HYPERLINK("#'" &amp; C1879 &amp; "'!" &amp; J1879, J1879), "")</f>
        <v/>
      </c>
    </row>
    <row r="1880">
      <c r="B1880" s="21">
        <f>IF(AND(C1880&lt;&gt;"", J1880&lt;&gt;""), HYPERLINK("#'" &amp; C1880 &amp; "'!" &amp; J1880, J1880), "")</f>
        <v/>
      </c>
    </row>
    <row r="1881">
      <c r="B1881" s="21">
        <f>IF(AND(C1881&lt;&gt;"", J1881&lt;&gt;""), HYPERLINK("#'" &amp; C1881 &amp; "'!" &amp; J1881, J1881), "")</f>
        <v/>
      </c>
    </row>
    <row r="1882">
      <c r="B1882" s="21">
        <f>IF(AND(C1882&lt;&gt;"", J1882&lt;&gt;""), HYPERLINK("#'" &amp; C1882 &amp; "'!" &amp; J1882, J1882), "")</f>
        <v/>
      </c>
    </row>
    <row r="1883">
      <c r="B1883" s="21">
        <f>IF(AND(C1883&lt;&gt;"", J1883&lt;&gt;""), HYPERLINK("#'" &amp; C1883 &amp; "'!" &amp; J1883, J1883), "")</f>
        <v/>
      </c>
    </row>
    <row r="1884">
      <c r="B1884" s="21">
        <f>IF(AND(C1884&lt;&gt;"", J1884&lt;&gt;""), HYPERLINK("#'" &amp; C1884 &amp; "'!" &amp; J1884, J1884), "")</f>
        <v/>
      </c>
    </row>
    <row r="1885">
      <c r="B1885" s="21">
        <f>IF(AND(C1885&lt;&gt;"", J1885&lt;&gt;""), HYPERLINK("#'" &amp; C1885 &amp; "'!" &amp; J1885, J1885), "")</f>
        <v/>
      </c>
    </row>
    <row r="1886">
      <c r="B1886" s="21">
        <f>IF(AND(C1886&lt;&gt;"", J1886&lt;&gt;""), HYPERLINK("#'" &amp; C1886 &amp; "'!" &amp; J1886, J1886), "")</f>
        <v/>
      </c>
    </row>
    <row r="1887">
      <c r="B1887" s="21">
        <f>IF(AND(C1887&lt;&gt;"", J1887&lt;&gt;""), HYPERLINK("#'" &amp; C1887 &amp; "'!" &amp; J1887, J1887), "")</f>
        <v/>
      </c>
    </row>
    <row r="1888">
      <c r="B1888" s="21">
        <f>IF(AND(C1888&lt;&gt;"", J1888&lt;&gt;""), HYPERLINK("#'" &amp; C1888 &amp; "'!" &amp; J1888, J1888), "")</f>
        <v/>
      </c>
    </row>
    <row r="1889">
      <c r="B1889" s="21">
        <f>IF(AND(C1889&lt;&gt;"", J1889&lt;&gt;""), HYPERLINK("#'" &amp; C1889 &amp; "'!" &amp; J1889, J1889), "")</f>
        <v/>
      </c>
    </row>
    <row r="1890">
      <c r="B1890" s="21">
        <f>IF(AND(C1890&lt;&gt;"", J1890&lt;&gt;""), HYPERLINK("#'" &amp; C1890 &amp; "'!" &amp; J1890, J1890), "")</f>
        <v/>
      </c>
    </row>
    <row r="1891">
      <c r="B1891" s="21">
        <f>IF(AND(C1891&lt;&gt;"", J1891&lt;&gt;""), HYPERLINK("#'" &amp; C1891 &amp; "'!" &amp; J1891, J1891), "")</f>
        <v/>
      </c>
    </row>
    <row r="1892">
      <c r="B1892" s="21">
        <f>IF(AND(C1892&lt;&gt;"", J1892&lt;&gt;""), HYPERLINK("#'" &amp; C1892 &amp; "'!" &amp; J1892, J1892), "")</f>
        <v/>
      </c>
    </row>
    <row r="1893">
      <c r="B1893" s="21">
        <f>IF(AND(C1893&lt;&gt;"", J1893&lt;&gt;""), HYPERLINK("#'" &amp; C1893 &amp; "'!" &amp; J1893, J1893), "")</f>
        <v/>
      </c>
    </row>
    <row r="1894">
      <c r="B1894" s="21">
        <f>IF(AND(C1894&lt;&gt;"", J1894&lt;&gt;""), HYPERLINK("#'" &amp; C1894 &amp; "'!" &amp; J1894, J1894), "")</f>
        <v/>
      </c>
    </row>
    <row r="1895">
      <c r="B1895" s="21">
        <f>IF(AND(C1895&lt;&gt;"", J1895&lt;&gt;""), HYPERLINK("#'" &amp; C1895 &amp; "'!" &amp; J1895, J1895), "")</f>
        <v/>
      </c>
    </row>
    <row r="1896">
      <c r="B1896" s="21">
        <f>IF(AND(C1896&lt;&gt;"", J1896&lt;&gt;""), HYPERLINK("#'" &amp; C1896 &amp; "'!" &amp; J1896, J1896), "")</f>
        <v/>
      </c>
    </row>
    <row r="1897">
      <c r="B1897" s="21">
        <f>IF(AND(C1897&lt;&gt;"", J1897&lt;&gt;""), HYPERLINK("#'" &amp; C1897 &amp; "'!" &amp; J1897, J1897), "")</f>
        <v/>
      </c>
    </row>
    <row r="1898">
      <c r="B1898" s="21">
        <f>IF(AND(C1898&lt;&gt;"", J1898&lt;&gt;""), HYPERLINK("#'" &amp; C1898 &amp; "'!" &amp; J1898, J1898), "")</f>
        <v/>
      </c>
    </row>
    <row r="1899">
      <c r="B1899" s="21">
        <f>IF(AND(C1899&lt;&gt;"", J1899&lt;&gt;""), HYPERLINK("#'" &amp; C1899 &amp; "'!" &amp; J1899, J1899), "")</f>
        <v/>
      </c>
    </row>
    <row r="1900">
      <c r="B1900" s="21">
        <f>IF(AND(C1900&lt;&gt;"", J1900&lt;&gt;""), HYPERLINK("#'" &amp; C1900 &amp; "'!" &amp; J1900, J1900), "")</f>
        <v/>
      </c>
    </row>
    <row r="1901">
      <c r="B1901" s="21">
        <f>IF(AND(C1901&lt;&gt;"", J1901&lt;&gt;""), HYPERLINK("#'" &amp; C1901 &amp; "'!" &amp; J1901, J1901), "")</f>
        <v/>
      </c>
    </row>
    <row r="1902">
      <c r="B1902" s="21">
        <f>IF(AND(C1902&lt;&gt;"", J1902&lt;&gt;""), HYPERLINK("#'" &amp; C1902 &amp; "'!" &amp; J1902, J1902), "")</f>
        <v/>
      </c>
    </row>
    <row r="1903">
      <c r="B1903" s="21">
        <f>IF(AND(C1903&lt;&gt;"", J1903&lt;&gt;""), HYPERLINK("#'" &amp; C1903 &amp; "'!" &amp; J1903, J1903), "")</f>
        <v/>
      </c>
    </row>
    <row r="1904">
      <c r="B1904" s="21">
        <f>IF(AND(C1904&lt;&gt;"", J1904&lt;&gt;""), HYPERLINK("#'" &amp; C1904 &amp; "'!" &amp; J1904, J1904), "")</f>
        <v/>
      </c>
    </row>
    <row r="1905">
      <c r="B1905" s="21">
        <f>IF(AND(C1905&lt;&gt;"", J1905&lt;&gt;""), HYPERLINK("#'" &amp; C1905 &amp; "'!" &amp; J1905, J1905), "")</f>
        <v/>
      </c>
    </row>
    <row r="1906">
      <c r="B1906" s="21">
        <f>IF(AND(C1906&lt;&gt;"", J1906&lt;&gt;""), HYPERLINK("#'" &amp; C1906 &amp; "'!" &amp; J1906, J1906), "")</f>
        <v/>
      </c>
    </row>
    <row r="1907">
      <c r="B1907" s="21">
        <f>IF(AND(C1907&lt;&gt;"", J1907&lt;&gt;""), HYPERLINK("#'" &amp; C1907 &amp; "'!" &amp; J1907, J1907), "")</f>
        <v/>
      </c>
    </row>
    <row r="1908">
      <c r="B1908" s="21">
        <f>IF(AND(C1908&lt;&gt;"", J1908&lt;&gt;""), HYPERLINK("#'" &amp; C1908 &amp; "'!" &amp; J1908, J1908), "")</f>
        <v/>
      </c>
    </row>
    <row r="1909">
      <c r="B1909" s="21">
        <f>IF(AND(C1909&lt;&gt;"", J1909&lt;&gt;""), HYPERLINK("#'" &amp; C1909 &amp; "'!" &amp; J1909, J1909), "")</f>
        <v/>
      </c>
    </row>
    <row r="1910">
      <c r="B1910" s="21">
        <f>IF(AND(C1910&lt;&gt;"", J1910&lt;&gt;""), HYPERLINK("#'" &amp; C1910 &amp; "'!" &amp; J1910, J1910), "")</f>
        <v/>
      </c>
    </row>
    <row r="1911">
      <c r="B1911" s="21">
        <f>IF(AND(C1911&lt;&gt;"", J1911&lt;&gt;""), HYPERLINK("#'" &amp; C1911 &amp; "'!" &amp; J1911, J1911), "")</f>
        <v/>
      </c>
    </row>
    <row r="1912">
      <c r="B1912" s="21">
        <f>IF(AND(C1912&lt;&gt;"", J1912&lt;&gt;""), HYPERLINK("#'" &amp; C1912 &amp; "'!" &amp; J1912, J1912), "")</f>
        <v/>
      </c>
    </row>
    <row r="1913">
      <c r="B1913" s="21">
        <f>IF(AND(C1913&lt;&gt;"", J1913&lt;&gt;""), HYPERLINK("#'" &amp; C1913 &amp; "'!" &amp; J1913, J1913), "")</f>
        <v/>
      </c>
    </row>
    <row r="1914">
      <c r="B1914" s="21">
        <f>IF(AND(C1914&lt;&gt;"", J1914&lt;&gt;""), HYPERLINK("#'" &amp; C1914 &amp; "'!" &amp; J1914, J1914), "")</f>
        <v/>
      </c>
    </row>
    <row r="1915">
      <c r="B1915" s="21">
        <f>IF(AND(C1915&lt;&gt;"", J1915&lt;&gt;""), HYPERLINK("#'" &amp; C1915 &amp; "'!" &amp; J1915, J1915), "")</f>
        <v/>
      </c>
    </row>
    <row r="1916">
      <c r="B1916" s="21">
        <f>IF(AND(C1916&lt;&gt;"", J1916&lt;&gt;""), HYPERLINK("#'" &amp; C1916 &amp; "'!" &amp; J1916, J1916), "")</f>
        <v/>
      </c>
    </row>
    <row r="1917">
      <c r="B1917" s="21">
        <f>IF(AND(C1917&lt;&gt;"", J1917&lt;&gt;""), HYPERLINK("#'" &amp; C1917 &amp; "'!" &amp; J1917, J1917), "")</f>
        <v/>
      </c>
    </row>
    <row r="1918">
      <c r="B1918" s="21">
        <f>IF(AND(C1918&lt;&gt;"", J1918&lt;&gt;""), HYPERLINK("#'" &amp; C1918 &amp; "'!" &amp; J1918, J1918), "")</f>
        <v/>
      </c>
    </row>
    <row r="1919">
      <c r="B1919" s="21">
        <f>IF(AND(C1919&lt;&gt;"", J1919&lt;&gt;""), HYPERLINK("#'" &amp; C1919 &amp; "'!" &amp; J1919, J1919), "")</f>
        <v/>
      </c>
    </row>
    <row r="1920">
      <c r="B1920" s="21">
        <f>IF(AND(C1920&lt;&gt;"", J1920&lt;&gt;""), HYPERLINK("#'" &amp; C1920 &amp; "'!" &amp; J1920, J1920), "")</f>
        <v/>
      </c>
    </row>
    <row r="1921">
      <c r="B1921" s="21">
        <f>IF(AND(C1921&lt;&gt;"", J1921&lt;&gt;""), HYPERLINK("#'" &amp; C1921 &amp; "'!" &amp; J1921, J1921), "")</f>
        <v/>
      </c>
    </row>
    <row r="1922">
      <c r="B1922" s="21">
        <f>IF(AND(C1922&lt;&gt;"", J1922&lt;&gt;""), HYPERLINK("#'" &amp; C1922 &amp; "'!" &amp; J1922, J1922), "")</f>
        <v/>
      </c>
    </row>
    <row r="1923">
      <c r="B1923" s="21">
        <f>IF(AND(C1923&lt;&gt;"", J1923&lt;&gt;""), HYPERLINK("#'" &amp; C1923 &amp; "'!" &amp; J1923, J1923), "")</f>
        <v/>
      </c>
    </row>
    <row r="1924">
      <c r="B1924" s="21">
        <f>IF(AND(C1924&lt;&gt;"", J1924&lt;&gt;""), HYPERLINK("#'" &amp; C1924 &amp; "'!" &amp; J1924, J1924), "")</f>
        <v/>
      </c>
    </row>
    <row r="1925">
      <c r="B1925" s="21">
        <f>IF(AND(C1925&lt;&gt;"", J1925&lt;&gt;""), HYPERLINK("#'" &amp; C1925 &amp; "'!" &amp; J1925, J1925), "")</f>
        <v/>
      </c>
    </row>
    <row r="1926">
      <c r="B1926" s="21">
        <f>IF(AND(C1926&lt;&gt;"", J1926&lt;&gt;""), HYPERLINK("#'" &amp; C1926 &amp; "'!" &amp; J1926, J1926), "")</f>
        <v/>
      </c>
    </row>
    <row r="1927">
      <c r="B1927" s="21">
        <f>IF(AND(C1927&lt;&gt;"", J1927&lt;&gt;""), HYPERLINK("#'" &amp; C1927 &amp; "'!" &amp; J1927, J1927), "")</f>
        <v/>
      </c>
    </row>
    <row r="1928">
      <c r="B1928" s="21">
        <f>IF(AND(C1928&lt;&gt;"", J1928&lt;&gt;""), HYPERLINK("#'" &amp; C1928 &amp; "'!" &amp; J1928, J1928), "")</f>
        <v/>
      </c>
    </row>
    <row r="1929">
      <c r="B1929" s="21">
        <f>IF(AND(C1929&lt;&gt;"", J1929&lt;&gt;""), HYPERLINK("#'" &amp; C1929 &amp; "'!" &amp; J1929, J1929), "")</f>
        <v/>
      </c>
    </row>
    <row r="1930">
      <c r="B1930" s="21">
        <f>IF(AND(C1930&lt;&gt;"", J1930&lt;&gt;""), HYPERLINK("#'" &amp; C1930 &amp; "'!" &amp; J1930, J1930), "")</f>
        <v/>
      </c>
    </row>
    <row r="1931">
      <c r="B1931" s="21">
        <f>IF(AND(C1931&lt;&gt;"", J1931&lt;&gt;""), HYPERLINK("#'" &amp; C1931 &amp; "'!" &amp; J1931, J1931), "")</f>
        <v/>
      </c>
    </row>
    <row r="1932">
      <c r="B1932" s="21">
        <f>IF(AND(C1932&lt;&gt;"", J1932&lt;&gt;""), HYPERLINK("#'" &amp; C1932 &amp; "'!" &amp; J1932, J1932), "")</f>
        <v/>
      </c>
    </row>
    <row r="1933">
      <c r="B1933" s="21">
        <f>IF(AND(C1933&lt;&gt;"", J1933&lt;&gt;""), HYPERLINK("#'" &amp; C1933 &amp; "'!" &amp; J1933, J1933), "")</f>
        <v/>
      </c>
    </row>
    <row r="1934">
      <c r="B1934" s="21">
        <f>IF(AND(C1934&lt;&gt;"", J1934&lt;&gt;""), HYPERLINK("#'" &amp; C1934 &amp; "'!" &amp; J1934, J1934), "")</f>
        <v/>
      </c>
    </row>
    <row r="1935">
      <c r="B1935" s="21">
        <f>IF(AND(C1935&lt;&gt;"", J1935&lt;&gt;""), HYPERLINK("#'" &amp; C1935 &amp; "'!" &amp; J1935, J1935), "")</f>
        <v/>
      </c>
    </row>
    <row r="1936">
      <c r="B1936" s="21">
        <f>IF(AND(C1936&lt;&gt;"", J1936&lt;&gt;""), HYPERLINK("#'" &amp; C1936 &amp; "'!" &amp; J1936, J1936), "")</f>
        <v/>
      </c>
    </row>
    <row r="1937">
      <c r="B1937" s="21">
        <f>IF(AND(C1937&lt;&gt;"", J1937&lt;&gt;""), HYPERLINK("#'" &amp; C1937 &amp; "'!" &amp; J1937, J1937), "")</f>
        <v/>
      </c>
    </row>
    <row r="1938">
      <c r="B1938" s="21">
        <f>IF(AND(C1938&lt;&gt;"", J1938&lt;&gt;""), HYPERLINK("#'" &amp; C1938 &amp; "'!" &amp; J1938, J1938), "")</f>
        <v/>
      </c>
    </row>
    <row r="1939">
      <c r="B1939" s="21">
        <f>IF(AND(C1939&lt;&gt;"", J1939&lt;&gt;""), HYPERLINK("#'" &amp; C1939 &amp; "'!" &amp; J1939, J1939), "")</f>
        <v/>
      </c>
    </row>
    <row r="1940">
      <c r="B1940" s="21">
        <f>IF(AND(C1940&lt;&gt;"", J1940&lt;&gt;""), HYPERLINK("#'" &amp; C1940 &amp; "'!" &amp; J1940, J1940), "")</f>
        <v/>
      </c>
    </row>
    <row r="1941">
      <c r="B1941" s="21">
        <f>IF(AND(C1941&lt;&gt;"", J1941&lt;&gt;""), HYPERLINK("#'" &amp; C1941 &amp; "'!" &amp; J1941, J1941), "")</f>
        <v/>
      </c>
    </row>
    <row r="1942">
      <c r="B1942" s="21">
        <f>IF(AND(C1942&lt;&gt;"", J1942&lt;&gt;""), HYPERLINK("#'" &amp; C1942 &amp; "'!" &amp; J1942, J1942), "")</f>
        <v/>
      </c>
    </row>
    <row r="1943">
      <c r="B1943" s="21">
        <f>IF(AND(C1943&lt;&gt;"", J1943&lt;&gt;""), HYPERLINK("#'" &amp; C1943 &amp; "'!" &amp; J1943, J1943), "")</f>
        <v/>
      </c>
    </row>
    <row r="1944">
      <c r="B1944" s="21">
        <f>IF(AND(C1944&lt;&gt;"", J1944&lt;&gt;""), HYPERLINK("#'" &amp; C1944 &amp; "'!" &amp; J1944, J1944), "")</f>
        <v/>
      </c>
    </row>
    <row r="1945">
      <c r="B1945" s="21">
        <f>IF(AND(C1945&lt;&gt;"", J1945&lt;&gt;""), HYPERLINK("#'" &amp; C1945 &amp; "'!" &amp; J1945, J1945), "")</f>
        <v/>
      </c>
    </row>
    <row r="1946">
      <c r="B1946" s="21">
        <f>IF(AND(C1946&lt;&gt;"", J1946&lt;&gt;""), HYPERLINK("#'" &amp; C1946 &amp; "'!" &amp; J1946, J1946), "")</f>
        <v/>
      </c>
    </row>
    <row r="1947">
      <c r="B1947" s="21">
        <f>IF(AND(C1947&lt;&gt;"", J1947&lt;&gt;""), HYPERLINK("#'" &amp; C1947 &amp; "'!" &amp; J1947, J1947), "")</f>
        <v/>
      </c>
    </row>
    <row r="1948">
      <c r="B1948" s="21">
        <f>IF(AND(C1948&lt;&gt;"", J1948&lt;&gt;""), HYPERLINK("#'" &amp; C1948 &amp; "'!" &amp; J1948, J1948), "")</f>
        <v/>
      </c>
    </row>
    <row r="1949">
      <c r="B1949" s="21">
        <f>IF(AND(C1949&lt;&gt;"", J1949&lt;&gt;""), HYPERLINK("#'" &amp; C1949 &amp; "'!" &amp; J1949, J1949), "")</f>
        <v/>
      </c>
    </row>
    <row r="1950">
      <c r="B1950" s="21">
        <f>IF(AND(C1950&lt;&gt;"", J1950&lt;&gt;""), HYPERLINK("#'" &amp; C1950 &amp; "'!" &amp; J1950, J1950), "")</f>
        <v/>
      </c>
    </row>
    <row r="1951">
      <c r="B1951" s="21">
        <f>IF(AND(C1951&lt;&gt;"", J1951&lt;&gt;""), HYPERLINK("#'" &amp; C1951 &amp; "'!" &amp; J1951, J1951), "")</f>
        <v/>
      </c>
    </row>
    <row r="1952">
      <c r="B1952" s="21">
        <f>IF(AND(C1952&lt;&gt;"", J1952&lt;&gt;""), HYPERLINK("#'" &amp; C1952 &amp; "'!" &amp; J1952, J1952), "")</f>
        <v/>
      </c>
    </row>
    <row r="1953">
      <c r="B1953" s="21">
        <f>IF(AND(C1953&lt;&gt;"", J1953&lt;&gt;""), HYPERLINK("#'" &amp; C1953 &amp; "'!" &amp; J1953, J1953), "")</f>
        <v/>
      </c>
    </row>
    <row r="1954">
      <c r="B1954" s="21">
        <f>IF(AND(C1954&lt;&gt;"", J1954&lt;&gt;""), HYPERLINK("#'" &amp; C1954 &amp; "'!" &amp; J1954, J1954), "")</f>
        <v/>
      </c>
    </row>
    <row r="1955">
      <c r="B1955" s="21">
        <f>IF(AND(C1955&lt;&gt;"", J1955&lt;&gt;""), HYPERLINK("#'" &amp; C1955 &amp; "'!" &amp; J1955, J1955), "")</f>
        <v/>
      </c>
    </row>
    <row r="1956">
      <c r="B1956" s="21">
        <f>IF(AND(C1956&lt;&gt;"", J1956&lt;&gt;""), HYPERLINK("#'" &amp; C1956 &amp; "'!" &amp; J1956, J1956), "")</f>
        <v/>
      </c>
    </row>
    <row r="1957">
      <c r="B1957" s="21">
        <f>IF(AND(C1957&lt;&gt;"", J1957&lt;&gt;""), HYPERLINK("#'" &amp; C1957 &amp; "'!" &amp; J1957, J1957), "")</f>
        <v/>
      </c>
    </row>
    <row r="1958">
      <c r="B1958" s="21">
        <f>IF(AND(C1958&lt;&gt;"", J1958&lt;&gt;""), HYPERLINK("#'" &amp; C1958 &amp; "'!" &amp; J1958, J1958), "")</f>
        <v/>
      </c>
    </row>
    <row r="1959">
      <c r="B1959" s="21">
        <f>IF(AND(C1959&lt;&gt;"", J1959&lt;&gt;""), HYPERLINK("#'" &amp; C1959 &amp; "'!" &amp; J1959, J1959), "")</f>
        <v/>
      </c>
    </row>
    <row r="1960">
      <c r="B1960" s="21">
        <f>IF(AND(C1960&lt;&gt;"", J1960&lt;&gt;""), HYPERLINK("#'" &amp; C1960 &amp; "'!" &amp; J1960, J1960), "")</f>
        <v/>
      </c>
    </row>
    <row r="1961">
      <c r="B1961" s="21">
        <f>IF(AND(C1961&lt;&gt;"", J1961&lt;&gt;""), HYPERLINK("#'" &amp; C1961 &amp; "'!" &amp; J1961, J1961), "")</f>
        <v/>
      </c>
    </row>
    <row r="1962">
      <c r="B1962" s="21">
        <f>IF(AND(C1962&lt;&gt;"", J1962&lt;&gt;""), HYPERLINK("#'" &amp; C1962 &amp; "'!" &amp; J1962, J1962), "")</f>
        <v/>
      </c>
    </row>
    <row r="1963">
      <c r="B1963" s="21">
        <f>IF(AND(C1963&lt;&gt;"", J1963&lt;&gt;""), HYPERLINK("#'" &amp; C1963 &amp; "'!" &amp; J1963, J1963), "")</f>
        <v/>
      </c>
    </row>
    <row r="1964">
      <c r="B1964" s="21">
        <f>IF(AND(C1964&lt;&gt;"", J1964&lt;&gt;""), HYPERLINK("#'" &amp; C1964 &amp; "'!" &amp; J1964, J1964), "")</f>
        <v/>
      </c>
    </row>
    <row r="1965">
      <c r="B1965" s="21">
        <f>IF(AND(C1965&lt;&gt;"", J1965&lt;&gt;""), HYPERLINK("#'" &amp; C1965 &amp; "'!" &amp; J1965, J1965), "")</f>
        <v/>
      </c>
    </row>
    <row r="1966">
      <c r="B1966" s="21">
        <f>IF(AND(C1966&lt;&gt;"", J1966&lt;&gt;""), HYPERLINK("#'" &amp; C1966 &amp; "'!" &amp; J1966, J1966), "")</f>
        <v/>
      </c>
    </row>
    <row r="1967">
      <c r="B1967" s="21">
        <f>IF(AND(C1967&lt;&gt;"", J1967&lt;&gt;""), HYPERLINK("#'" &amp; C1967 &amp; "'!" &amp; J1967, J1967), "")</f>
        <v/>
      </c>
    </row>
    <row r="1968">
      <c r="B1968" s="21">
        <f>IF(AND(C1968&lt;&gt;"", J1968&lt;&gt;""), HYPERLINK("#'" &amp; C1968 &amp; "'!" &amp; J1968, J1968), "")</f>
        <v/>
      </c>
    </row>
    <row r="1969">
      <c r="B1969" s="21">
        <f>IF(AND(C1969&lt;&gt;"", J1969&lt;&gt;""), HYPERLINK("#'" &amp; C1969 &amp; "'!" &amp; J1969, J1969), "")</f>
        <v/>
      </c>
    </row>
    <row r="1970">
      <c r="B1970" s="21">
        <f>IF(AND(C1970&lt;&gt;"", J1970&lt;&gt;""), HYPERLINK("#'" &amp; C1970 &amp; "'!" &amp; J1970, J1970), "")</f>
        <v/>
      </c>
    </row>
    <row r="1971">
      <c r="B1971" s="21">
        <f>IF(AND(C1971&lt;&gt;"", J1971&lt;&gt;""), HYPERLINK("#'" &amp; C1971 &amp; "'!" &amp; J1971, J1971), "")</f>
        <v/>
      </c>
    </row>
    <row r="1972">
      <c r="B1972" s="21">
        <f>IF(AND(C1972&lt;&gt;"", J1972&lt;&gt;""), HYPERLINK("#'" &amp; C1972 &amp; "'!" &amp; J1972, J1972), "")</f>
        <v/>
      </c>
    </row>
    <row r="1973">
      <c r="B1973" s="21">
        <f>IF(AND(C1973&lt;&gt;"", J1973&lt;&gt;""), HYPERLINK("#'" &amp; C1973 &amp; "'!" &amp; J1973, J1973), "")</f>
        <v/>
      </c>
    </row>
    <row r="1974">
      <c r="B1974" s="21">
        <f>IF(AND(C1974&lt;&gt;"", J1974&lt;&gt;""), HYPERLINK("#'" &amp; C1974 &amp; "'!" &amp; J1974, J1974), "")</f>
        <v/>
      </c>
    </row>
    <row r="1975">
      <c r="B1975" s="21">
        <f>IF(AND(C1975&lt;&gt;"", J1975&lt;&gt;""), HYPERLINK("#'" &amp; C1975 &amp; "'!" &amp; J1975, J1975), "")</f>
        <v/>
      </c>
    </row>
    <row r="1976">
      <c r="B1976" s="21">
        <f>IF(AND(C1976&lt;&gt;"", J1976&lt;&gt;""), HYPERLINK("#'" &amp; C1976 &amp; "'!" &amp; J1976, J1976), "")</f>
        <v/>
      </c>
    </row>
    <row r="1977">
      <c r="B1977" s="21">
        <f>IF(AND(C1977&lt;&gt;"", J1977&lt;&gt;""), HYPERLINK("#'" &amp; C1977 &amp; "'!" &amp; J1977, J1977), "")</f>
        <v/>
      </c>
    </row>
    <row r="1978">
      <c r="B1978" s="21">
        <f>IF(AND(C1978&lt;&gt;"", J1978&lt;&gt;""), HYPERLINK("#'" &amp; C1978 &amp; "'!" &amp; J1978, J1978), "")</f>
        <v/>
      </c>
    </row>
    <row r="1979">
      <c r="B1979" s="21">
        <f>IF(AND(C1979&lt;&gt;"", J1979&lt;&gt;""), HYPERLINK("#'" &amp; C1979 &amp; "'!" &amp; J1979, J1979), "")</f>
        <v/>
      </c>
    </row>
    <row r="1980">
      <c r="B1980" s="21">
        <f>IF(AND(C1980&lt;&gt;"", J1980&lt;&gt;""), HYPERLINK("#'" &amp; C1980 &amp; "'!" &amp; J1980, J1980), "")</f>
        <v/>
      </c>
    </row>
    <row r="1981">
      <c r="B1981" s="21">
        <f>IF(AND(C1981&lt;&gt;"", J1981&lt;&gt;""), HYPERLINK("#'" &amp; C1981 &amp; "'!" &amp; J1981, J1981), "")</f>
        <v/>
      </c>
    </row>
    <row r="1982">
      <c r="B1982" s="21">
        <f>IF(AND(C1982&lt;&gt;"", J1982&lt;&gt;""), HYPERLINK("#'" &amp; C1982 &amp; "'!" &amp; J1982, J1982), "")</f>
        <v/>
      </c>
    </row>
    <row r="1983">
      <c r="B1983" s="21">
        <f>IF(AND(C1983&lt;&gt;"", J1983&lt;&gt;""), HYPERLINK("#'" &amp; C1983 &amp; "'!" &amp; J1983, J1983), "")</f>
        <v/>
      </c>
    </row>
    <row r="1984">
      <c r="B1984" s="21">
        <f>IF(AND(C1984&lt;&gt;"", J1984&lt;&gt;""), HYPERLINK("#'" &amp; C1984 &amp; "'!" &amp; J1984, J1984), "")</f>
        <v/>
      </c>
    </row>
    <row r="1985">
      <c r="B1985" s="21">
        <f>IF(AND(C1985&lt;&gt;"", J1985&lt;&gt;""), HYPERLINK("#'" &amp; C1985 &amp; "'!" &amp; J1985, J1985), "")</f>
        <v/>
      </c>
    </row>
    <row r="1986">
      <c r="B1986" s="21">
        <f>IF(AND(C1986&lt;&gt;"", J1986&lt;&gt;""), HYPERLINK("#'" &amp; C1986 &amp; "'!" &amp; J1986, J1986), "")</f>
        <v/>
      </c>
    </row>
    <row r="1987">
      <c r="B1987" s="21">
        <f>IF(AND(C1987&lt;&gt;"", J1987&lt;&gt;""), HYPERLINK("#'" &amp; C1987 &amp; "'!" &amp; J1987, J1987), "")</f>
        <v/>
      </c>
    </row>
    <row r="1988">
      <c r="B1988" s="21">
        <f>IF(AND(C1988&lt;&gt;"", J1988&lt;&gt;""), HYPERLINK("#'" &amp; C1988 &amp; "'!" &amp; J1988, J1988), "")</f>
        <v/>
      </c>
    </row>
    <row r="1989">
      <c r="B1989" s="21">
        <f>IF(AND(C1989&lt;&gt;"", J1989&lt;&gt;""), HYPERLINK("#'" &amp; C1989 &amp; "'!" &amp; J1989, J1989), "")</f>
        <v/>
      </c>
    </row>
    <row r="1990">
      <c r="B1990" s="21">
        <f>IF(AND(C1990&lt;&gt;"", J1990&lt;&gt;""), HYPERLINK("#'" &amp; C1990 &amp; "'!" &amp; J1990, J1990), "")</f>
        <v/>
      </c>
    </row>
    <row r="1991">
      <c r="B1991" s="21">
        <f>IF(AND(C1991&lt;&gt;"", J1991&lt;&gt;""), HYPERLINK("#'" &amp; C1991 &amp; "'!" &amp; J1991, J1991), "")</f>
        <v/>
      </c>
    </row>
    <row r="1992">
      <c r="B1992" s="21">
        <f>IF(AND(C1992&lt;&gt;"", J1992&lt;&gt;""), HYPERLINK("#'" &amp; C1992 &amp; "'!" &amp; J1992, J1992), "")</f>
        <v/>
      </c>
    </row>
    <row r="1993">
      <c r="B1993" s="21">
        <f>IF(AND(C1993&lt;&gt;"", J1993&lt;&gt;""), HYPERLINK("#'" &amp; C1993 &amp; "'!" &amp; J1993, J1993), "")</f>
        <v/>
      </c>
    </row>
    <row r="1994">
      <c r="B1994" s="21">
        <f>IF(AND(C1994&lt;&gt;"", J1994&lt;&gt;""), HYPERLINK("#'" &amp; C1994 &amp; "'!" &amp; J1994, J1994), "")</f>
        <v/>
      </c>
    </row>
    <row r="1995">
      <c r="B1995" s="21">
        <f>IF(AND(C1995&lt;&gt;"", J1995&lt;&gt;""), HYPERLINK("#'" &amp; C1995 &amp; "'!" &amp; J1995, J1995), "")</f>
        <v/>
      </c>
    </row>
    <row r="1996">
      <c r="B1996" s="21">
        <f>IF(AND(C1996&lt;&gt;"", J1996&lt;&gt;""), HYPERLINK("#'" &amp; C1996 &amp; "'!" &amp; J1996, J1996), "")</f>
        <v/>
      </c>
    </row>
    <row r="1997">
      <c r="B1997" s="21">
        <f>IF(AND(C1997&lt;&gt;"", J1997&lt;&gt;""), HYPERLINK("#'" &amp; C1997 &amp; "'!" &amp; J1997, J1997), "")</f>
        <v/>
      </c>
    </row>
    <row r="1998">
      <c r="B1998" s="21">
        <f>IF(AND(C1998&lt;&gt;"", J1998&lt;&gt;""), HYPERLINK("#'" &amp; C1998 &amp; "'!" &amp; J1998, J1998), "")</f>
        <v/>
      </c>
    </row>
    <row r="1999">
      <c r="B1999" s="21">
        <f>IF(AND(C1999&lt;&gt;"", J1999&lt;&gt;""), HYPERLINK("#'" &amp; C1999 &amp; "'!" &amp; J1999, J1999), "")</f>
        <v/>
      </c>
    </row>
    <row r="2000">
      <c r="B2000" s="21">
        <f>IF(AND(C2000&lt;&gt;"", J2000&lt;&gt;""), HYPERLINK("#'" &amp; C2000 &amp; "'!" &amp; J2000, J2000), "")</f>
        <v/>
      </c>
    </row>
    <row r="2001">
      <c r="B2001" s="21">
        <f>IF(AND(C2001&lt;&gt;"", J2001&lt;&gt;""), HYPERLINK("#'" &amp; C2001 &amp; "'!" &amp; J2001, J2001), "")</f>
        <v/>
      </c>
    </row>
    <row r="2002">
      <c r="B2002" s="21">
        <f>IF(AND(C2002&lt;&gt;"", J2002&lt;&gt;""), HYPERLINK("#'" &amp; C2002 &amp; "'!" &amp; J2002, J2002), "")</f>
        <v/>
      </c>
    </row>
    <row r="2003">
      <c r="B2003" s="21">
        <f>IF(AND(C2003&lt;&gt;"", J2003&lt;&gt;""), HYPERLINK("#'" &amp; C2003 &amp; "'!" &amp; J2003, J2003), "")</f>
        <v/>
      </c>
    </row>
    <row r="2004">
      <c r="B2004" s="21">
        <f>IF(AND(C2004&lt;&gt;"", J2004&lt;&gt;""), HYPERLINK("#'" &amp; C2004 &amp; "'!" &amp; J2004, J2004), "")</f>
        <v/>
      </c>
    </row>
    <row r="2005">
      <c r="B2005" s="21">
        <f>IF(AND(C2005&lt;&gt;"", J2005&lt;&gt;""), HYPERLINK("#'" &amp; C2005 &amp; "'!" &amp; J2005, J2005), "")</f>
        <v/>
      </c>
    </row>
    <row r="2006">
      <c r="B2006" s="21">
        <f>IF(AND(C2006&lt;&gt;"", J2006&lt;&gt;""), HYPERLINK("#'" &amp; C2006 &amp; "'!" &amp; J2006, J2006), "")</f>
        <v/>
      </c>
    </row>
    <row r="2007">
      <c r="B2007" s="21">
        <f>IF(AND(C2007&lt;&gt;"", J2007&lt;&gt;""), HYPERLINK("#'" &amp; C2007 &amp; "'!" &amp; J2007, J2007), "")</f>
        <v/>
      </c>
    </row>
    <row r="2008">
      <c r="B2008" s="21">
        <f>IF(AND(C2008&lt;&gt;"", J2008&lt;&gt;""), HYPERLINK("#'" &amp; C2008 &amp; "'!" &amp; J2008, J2008), "")</f>
        <v/>
      </c>
    </row>
    <row r="2009">
      <c r="B2009" s="21">
        <f>IF(AND(C2009&lt;&gt;"", J2009&lt;&gt;""), HYPERLINK("#'" &amp; C2009 &amp; "'!" &amp; J2009, J2009), "")</f>
        <v/>
      </c>
    </row>
    <row r="2010">
      <c r="B2010" s="21">
        <f>IF(AND(C2010&lt;&gt;"", J2010&lt;&gt;""), HYPERLINK("#'" &amp; C2010 &amp; "'!" &amp; J2010, J2010), "")</f>
        <v/>
      </c>
    </row>
    <row r="2011">
      <c r="B2011" s="21">
        <f>IF(AND(C2011&lt;&gt;"", J2011&lt;&gt;""), HYPERLINK("#'" &amp; C2011 &amp; "'!" &amp; J2011, J2011), "")</f>
        <v/>
      </c>
    </row>
    <row r="2012">
      <c r="B2012" s="21">
        <f>IF(AND(C2012&lt;&gt;"", J2012&lt;&gt;""), HYPERLINK("#'" &amp; C2012 &amp; "'!" &amp; J2012, J2012), "")</f>
        <v/>
      </c>
    </row>
    <row r="2013">
      <c r="B2013" s="21">
        <f>IF(AND(C2013&lt;&gt;"", J2013&lt;&gt;""), HYPERLINK("#'" &amp; C2013 &amp; "'!" &amp; J2013, J2013), "")</f>
        <v/>
      </c>
    </row>
    <row r="2014">
      <c r="B2014" s="21">
        <f>IF(AND(C2014&lt;&gt;"", J2014&lt;&gt;""), HYPERLINK("#'" &amp; C2014 &amp; "'!" &amp; J2014, J2014), "")</f>
        <v/>
      </c>
    </row>
    <row r="2015">
      <c r="B2015" s="21">
        <f>IF(AND(C2015&lt;&gt;"", J2015&lt;&gt;""), HYPERLINK("#'" &amp; C2015 &amp; "'!" &amp; J2015, J2015), "")</f>
        <v/>
      </c>
    </row>
    <row r="2016">
      <c r="B2016" s="21">
        <f>IF(AND(C2016&lt;&gt;"", J2016&lt;&gt;""), HYPERLINK("#'" &amp; C2016 &amp; "'!" &amp; J2016, J2016), "")</f>
        <v/>
      </c>
    </row>
    <row r="2017">
      <c r="B2017" s="21">
        <f>IF(AND(C2017&lt;&gt;"", J2017&lt;&gt;""), HYPERLINK("#'" &amp; C2017 &amp; "'!" &amp; J2017, J2017), "")</f>
        <v/>
      </c>
    </row>
    <row r="2018">
      <c r="B2018" s="21">
        <f>IF(AND(C2018&lt;&gt;"", J2018&lt;&gt;""), HYPERLINK("#'" &amp; C2018 &amp; "'!" &amp; J2018, J2018), "")</f>
        <v/>
      </c>
    </row>
    <row r="2019">
      <c r="B2019" s="21">
        <f>IF(AND(C2019&lt;&gt;"", J2019&lt;&gt;""), HYPERLINK("#'" &amp; C2019 &amp; "'!" &amp; J2019, J2019), "")</f>
        <v/>
      </c>
    </row>
    <row r="2020">
      <c r="B2020" s="21">
        <f>IF(AND(C2020&lt;&gt;"", J2020&lt;&gt;""), HYPERLINK("#'" &amp; C2020 &amp; "'!" &amp; J2020, J2020), "")</f>
        <v/>
      </c>
    </row>
    <row r="2021">
      <c r="B2021" s="21">
        <f>IF(AND(C2021&lt;&gt;"", J2021&lt;&gt;""), HYPERLINK("#'" &amp; C2021 &amp; "'!" &amp; J2021, J2021), "")</f>
        <v/>
      </c>
    </row>
    <row r="2022">
      <c r="B2022" s="21">
        <f>IF(AND(C2022&lt;&gt;"", J2022&lt;&gt;""), HYPERLINK("#'" &amp; C2022 &amp; "'!" &amp; J2022, J2022), "")</f>
        <v/>
      </c>
    </row>
    <row r="2023">
      <c r="B2023" s="21">
        <f>IF(AND(C2023&lt;&gt;"", J2023&lt;&gt;""), HYPERLINK("#'" &amp; C2023 &amp; "'!" &amp; J2023, J2023), "")</f>
        <v/>
      </c>
    </row>
    <row r="2024">
      <c r="B2024" s="21">
        <f>IF(AND(C2024&lt;&gt;"", J2024&lt;&gt;""), HYPERLINK("#'" &amp; C2024 &amp; "'!" &amp; J2024, J2024), "")</f>
        <v/>
      </c>
    </row>
    <row r="2025">
      <c r="B2025" s="21">
        <f>IF(AND(C2025&lt;&gt;"", J2025&lt;&gt;""), HYPERLINK("#'" &amp; C2025 &amp; "'!" &amp; J2025, J2025), "")</f>
        <v/>
      </c>
    </row>
    <row r="2026">
      <c r="B2026" s="21">
        <f>IF(AND(C2026&lt;&gt;"", J2026&lt;&gt;""), HYPERLINK("#'" &amp; C2026 &amp; "'!" &amp; J2026, J2026), "")</f>
        <v/>
      </c>
    </row>
    <row r="2027">
      <c r="B2027" s="21">
        <f>IF(AND(C2027&lt;&gt;"", J2027&lt;&gt;""), HYPERLINK("#'" &amp; C2027 &amp; "'!" &amp; J2027, J2027), "")</f>
        <v/>
      </c>
    </row>
    <row r="2028">
      <c r="B2028" s="21">
        <f>IF(AND(C2028&lt;&gt;"", J2028&lt;&gt;""), HYPERLINK("#'" &amp; C2028 &amp; "'!" &amp; J2028, J2028), "")</f>
        <v/>
      </c>
    </row>
    <row r="2029">
      <c r="B2029" s="21">
        <f>IF(AND(C2029&lt;&gt;"", J2029&lt;&gt;""), HYPERLINK("#'" &amp; C2029 &amp; "'!" &amp; J2029, J2029), "")</f>
        <v/>
      </c>
    </row>
    <row r="2030">
      <c r="B2030" s="21">
        <f>IF(AND(C2030&lt;&gt;"", J2030&lt;&gt;""), HYPERLINK("#'" &amp; C2030 &amp; "'!" &amp; J2030, J2030), "")</f>
        <v/>
      </c>
    </row>
    <row r="2031">
      <c r="B2031" s="21">
        <f>IF(AND(C2031&lt;&gt;"", J2031&lt;&gt;""), HYPERLINK("#'" &amp; C2031 &amp; "'!" &amp; J2031, J2031), "")</f>
        <v/>
      </c>
    </row>
    <row r="2032">
      <c r="B2032" s="21">
        <f>IF(AND(C2032&lt;&gt;"", J2032&lt;&gt;""), HYPERLINK("#'" &amp; C2032 &amp; "'!" &amp; J2032, J2032), "")</f>
        <v/>
      </c>
    </row>
    <row r="2033">
      <c r="B2033" s="21">
        <f>IF(AND(C2033&lt;&gt;"", J2033&lt;&gt;""), HYPERLINK("#'" &amp; C2033 &amp; "'!" &amp; J2033, J2033), "")</f>
        <v/>
      </c>
    </row>
    <row r="2034">
      <c r="B2034" s="21">
        <f>IF(AND(C2034&lt;&gt;"", J2034&lt;&gt;""), HYPERLINK("#'" &amp; C2034 &amp; "'!" &amp; J2034, J2034), "")</f>
        <v/>
      </c>
    </row>
    <row r="2035">
      <c r="B2035" s="21">
        <f>IF(AND(C2035&lt;&gt;"", J2035&lt;&gt;""), HYPERLINK("#'" &amp; C2035 &amp; "'!" &amp; J2035, J2035), "")</f>
        <v/>
      </c>
    </row>
    <row r="2036">
      <c r="B2036" s="21">
        <f>IF(AND(C2036&lt;&gt;"", J2036&lt;&gt;""), HYPERLINK("#'" &amp; C2036 &amp; "'!" &amp; J2036, J2036), "")</f>
        <v/>
      </c>
    </row>
    <row r="2037">
      <c r="B2037" s="21">
        <f>IF(AND(C2037&lt;&gt;"", J2037&lt;&gt;""), HYPERLINK("#'" &amp; C2037 &amp; "'!" &amp; J2037, J2037), "")</f>
        <v/>
      </c>
    </row>
    <row r="2038">
      <c r="B2038" s="21">
        <f>IF(AND(C2038&lt;&gt;"", J2038&lt;&gt;""), HYPERLINK("#'" &amp; C2038 &amp; "'!" &amp; J2038, J2038), "")</f>
        <v/>
      </c>
    </row>
    <row r="2039">
      <c r="B2039" s="21">
        <f>IF(AND(C2039&lt;&gt;"", J2039&lt;&gt;""), HYPERLINK("#'" &amp; C2039 &amp; "'!" &amp; J2039, J2039), "")</f>
        <v/>
      </c>
    </row>
    <row r="2040">
      <c r="B2040" s="21">
        <f>IF(AND(C2040&lt;&gt;"", J2040&lt;&gt;""), HYPERLINK("#'" &amp; C2040 &amp; "'!" &amp; J2040, J2040), "")</f>
        <v/>
      </c>
    </row>
    <row r="2041">
      <c r="B2041" s="21">
        <f>IF(AND(C2041&lt;&gt;"", J2041&lt;&gt;""), HYPERLINK("#'" &amp; C2041 &amp; "'!" &amp; J2041, J2041), "")</f>
        <v/>
      </c>
    </row>
    <row r="2042">
      <c r="B2042" s="21">
        <f>IF(AND(C2042&lt;&gt;"", J2042&lt;&gt;""), HYPERLINK("#'" &amp; C2042 &amp; "'!" &amp; J2042, J2042), "")</f>
        <v/>
      </c>
    </row>
    <row r="2043">
      <c r="B2043" s="21">
        <f>IF(AND(C2043&lt;&gt;"", J2043&lt;&gt;""), HYPERLINK("#'" &amp; C2043 &amp; "'!" &amp; J2043, J2043), "")</f>
        <v/>
      </c>
    </row>
    <row r="2044">
      <c r="B2044" s="21">
        <f>IF(AND(C2044&lt;&gt;"", J2044&lt;&gt;""), HYPERLINK("#'" &amp; C2044 &amp; "'!" &amp; J2044, J2044), "")</f>
        <v/>
      </c>
    </row>
    <row r="2045">
      <c r="B2045" s="21">
        <f>IF(AND(C2045&lt;&gt;"", J2045&lt;&gt;""), HYPERLINK("#'" &amp; C2045 &amp; "'!" &amp; J2045, J2045), "")</f>
        <v/>
      </c>
    </row>
    <row r="2046">
      <c r="B2046" s="21">
        <f>IF(AND(C2046&lt;&gt;"", J2046&lt;&gt;""), HYPERLINK("#'" &amp; C2046 &amp; "'!" &amp; J2046, J2046), "")</f>
        <v/>
      </c>
    </row>
    <row r="2047">
      <c r="B2047" s="21">
        <f>IF(AND(C2047&lt;&gt;"", J2047&lt;&gt;""), HYPERLINK("#'" &amp; C2047 &amp; "'!" &amp; J2047, J2047), "")</f>
        <v/>
      </c>
    </row>
    <row r="2048">
      <c r="B2048" s="21">
        <f>IF(AND(C2048&lt;&gt;"", J2048&lt;&gt;""), HYPERLINK("#'" &amp; C2048 &amp; "'!" &amp; J2048, J2048), "")</f>
        <v/>
      </c>
    </row>
    <row r="2049">
      <c r="B2049" s="21">
        <f>IF(AND(C2049&lt;&gt;"", J2049&lt;&gt;""), HYPERLINK("#'" &amp; C2049 &amp; "'!" &amp; J2049, J2049), "")</f>
        <v/>
      </c>
    </row>
    <row r="2050">
      <c r="B2050" s="21">
        <f>IF(AND(C2050&lt;&gt;"", J2050&lt;&gt;""), HYPERLINK("#'" &amp; C2050 &amp; "'!" &amp; J2050, J2050), "")</f>
        <v/>
      </c>
    </row>
    <row r="2051">
      <c r="B2051" s="21">
        <f>IF(AND(C2051&lt;&gt;"", J2051&lt;&gt;""), HYPERLINK("#'" &amp; C2051 &amp; "'!" &amp; J2051, J2051), "")</f>
        <v/>
      </c>
    </row>
    <row r="2052">
      <c r="B2052" s="21">
        <f>IF(AND(C2052&lt;&gt;"", J2052&lt;&gt;""), HYPERLINK("#'" &amp; C2052 &amp; "'!" &amp; J2052, J2052), "")</f>
        <v/>
      </c>
    </row>
    <row r="2053">
      <c r="B2053" s="21">
        <f>IF(AND(C2053&lt;&gt;"", J2053&lt;&gt;""), HYPERLINK("#'" &amp; C2053 &amp; "'!" &amp; J2053, J2053), "")</f>
        <v/>
      </c>
    </row>
    <row r="2054">
      <c r="B2054" s="21">
        <f>IF(AND(C2054&lt;&gt;"", J2054&lt;&gt;""), HYPERLINK("#'" &amp; C2054 &amp; "'!" &amp; J2054, J2054), "")</f>
        <v/>
      </c>
    </row>
    <row r="2055">
      <c r="B2055" s="21">
        <f>IF(AND(C2055&lt;&gt;"", J2055&lt;&gt;""), HYPERLINK("#'" &amp; C2055 &amp; "'!" &amp; J2055, J2055), "")</f>
        <v/>
      </c>
    </row>
    <row r="2056">
      <c r="B2056" s="21">
        <f>IF(AND(C2056&lt;&gt;"", J2056&lt;&gt;""), HYPERLINK("#'" &amp; C2056 &amp; "'!" &amp; J2056, J2056), "")</f>
        <v/>
      </c>
    </row>
    <row r="2057">
      <c r="B2057" s="21">
        <f>IF(AND(C2057&lt;&gt;"", J2057&lt;&gt;""), HYPERLINK("#'" &amp; C2057 &amp; "'!" &amp; J2057, J2057), "")</f>
        <v/>
      </c>
    </row>
    <row r="2058">
      <c r="B2058" s="21">
        <f>IF(AND(C2058&lt;&gt;"", J2058&lt;&gt;""), HYPERLINK("#'" &amp; C2058 &amp; "'!" &amp; J2058, J2058), "")</f>
        <v/>
      </c>
    </row>
    <row r="2059">
      <c r="B2059" s="21">
        <f>IF(AND(C2059&lt;&gt;"", J2059&lt;&gt;""), HYPERLINK("#'" &amp; C2059 &amp; "'!" &amp; J2059, J2059), "")</f>
        <v/>
      </c>
    </row>
    <row r="2060">
      <c r="B2060" s="21">
        <f>IF(AND(C2060&lt;&gt;"", J2060&lt;&gt;""), HYPERLINK("#'" &amp; C2060 &amp; "'!" &amp; J2060, J2060), "")</f>
        <v/>
      </c>
    </row>
    <row r="2061">
      <c r="B2061" s="21">
        <f>IF(AND(C2061&lt;&gt;"", J2061&lt;&gt;""), HYPERLINK("#'" &amp; C2061 &amp; "'!" &amp; J2061, J2061), "")</f>
        <v/>
      </c>
    </row>
    <row r="2062">
      <c r="B2062" s="21">
        <f>IF(AND(C2062&lt;&gt;"", J2062&lt;&gt;""), HYPERLINK("#'" &amp; C2062 &amp; "'!" &amp; J2062, J2062), "")</f>
        <v/>
      </c>
    </row>
    <row r="2063">
      <c r="B2063" s="21">
        <f>IF(AND(C2063&lt;&gt;"", J2063&lt;&gt;""), HYPERLINK("#'" &amp; C2063 &amp; "'!" &amp; J2063, J2063), "")</f>
        <v/>
      </c>
    </row>
    <row r="2064">
      <c r="B2064" s="21">
        <f>IF(AND(C2064&lt;&gt;"", J2064&lt;&gt;""), HYPERLINK("#'" &amp; C2064 &amp; "'!" &amp; J2064, J2064), "")</f>
        <v/>
      </c>
    </row>
    <row r="2065">
      <c r="B2065" s="21">
        <f>IF(AND(C2065&lt;&gt;"", J2065&lt;&gt;""), HYPERLINK("#'" &amp; C2065 &amp; "'!" &amp; J2065, J2065), "")</f>
        <v/>
      </c>
    </row>
    <row r="2066">
      <c r="B2066" s="21">
        <f>IF(AND(C2066&lt;&gt;"", J2066&lt;&gt;""), HYPERLINK("#'" &amp; C2066 &amp; "'!" &amp; J2066, J2066), "")</f>
        <v/>
      </c>
    </row>
    <row r="2067">
      <c r="B2067" s="21">
        <f>IF(AND(C2067&lt;&gt;"", J2067&lt;&gt;""), HYPERLINK("#'" &amp; C2067 &amp; "'!" &amp; J2067, J2067), "")</f>
        <v/>
      </c>
    </row>
    <row r="2068">
      <c r="B2068" s="21">
        <f>IF(AND(C2068&lt;&gt;"", J2068&lt;&gt;""), HYPERLINK("#'" &amp; C2068 &amp; "'!" &amp; J2068, J2068), "")</f>
        <v/>
      </c>
    </row>
    <row r="2069">
      <c r="B2069" s="21">
        <f>IF(AND(C2069&lt;&gt;"", J2069&lt;&gt;""), HYPERLINK("#'" &amp; C2069 &amp; "'!" &amp; J2069, J2069), "")</f>
        <v/>
      </c>
    </row>
    <row r="2070">
      <c r="B2070" s="21">
        <f>IF(AND(C2070&lt;&gt;"", J2070&lt;&gt;""), HYPERLINK("#'" &amp; C2070 &amp; "'!" &amp; J2070, J2070), "")</f>
        <v/>
      </c>
    </row>
    <row r="2071">
      <c r="B2071" s="21">
        <f>IF(AND(C2071&lt;&gt;"", J2071&lt;&gt;""), HYPERLINK("#'" &amp; C2071 &amp; "'!" &amp; J2071, J2071), "")</f>
        <v/>
      </c>
    </row>
    <row r="2072">
      <c r="B2072" s="21">
        <f>IF(AND(C2072&lt;&gt;"", J2072&lt;&gt;""), HYPERLINK("#'" &amp; C2072 &amp; "'!" &amp; J2072, J2072), "")</f>
        <v/>
      </c>
    </row>
    <row r="2073">
      <c r="B2073" s="21">
        <f>IF(AND(C2073&lt;&gt;"", J2073&lt;&gt;""), HYPERLINK("#'" &amp; C2073 &amp; "'!" &amp; J2073, J2073), "")</f>
        <v/>
      </c>
    </row>
    <row r="2074">
      <c r="B2074" s="21">
        <f>IF(AND(C2074&lt;&gt;"", J2074&lt;&gt;""), HYPERLINK("#'" &amp; C2074 &amp; "'!" &amp; J2074, J2074), "")</f>
        <v/>
      </c>
    </row>
    <row r="2075">
      <c r="B2075" s="21">
        <f>IF(AND(C2075&lt;&gt;"", J2075&lt;&gt;""), HYPERLINK("#'" &amp; C2075 &amp; "'!" &amp; J2075, J2075), "")</f>
        <v/>
      </c>
    </row>
    <row r="2076">
      <c r="B2076" s="21">
        <f>IF(AND(C2076&lt;&gt;"", J2076&lt;&gt;""), HYPERLINK("#'" &amp; C2076 &amp; "'!" &amp; J2076, J2076), "")</f>
        <v/>
      </c>
    </row>
    <row r="2077">
      <c r="B2077" s="21">
        <f>IF(AND(C2077&lt;&gt;"", J2077&lt;&gt;""), HYPERLINK("#'" &amp; C2077 &amp; "'!" &amp; J2077, J2077), "")</f>
        <v/>
      </c>
    </row>
    <row r="2078">
      <c r="B2078" s="21">
        <f>IF(AND(C2078&lt;&gt;"", J2078&lt;&gt;""), HYPERLINK("#'" &amp; C2078 &amp; "'!" &amp; J2078, J2078), "")</f>
        <v/>
      </c>
    </row>
    <row r="2079">
      <c r="B2079" s="21">
        <f>IF(AND(C2079&lt;&gt;"", J2079&lt;&gt;""), HYPERLINK("#'" &amp; C2079 &amp; "'!" &amp; J2079, J2079), "")</f>
        <v/>
      </c>
    </row>
    <row r="2080">
      <c r="B2080" s="21">
        <f>IF(AND(C2080&lt;&gt;"", J2080&lt;&gt;""), HYPERLINK("#'" &amp; C2080 &amp; "'!" &amp; J2080, J2080), "")</f>
        <v/>
      </c>
    </row>
    <row r="2081">
      <c r="B2081" s="21">
        <f>IF(AND(C2081&lt;&gt;"", J2081&lt;&gt;""), HYPERLINK("#'" &amp; C2081 &amp; "'!" &amp; J2081, J2081), "")</f>
        <v/>
      </c>
    </row>
    <row r="2082">
      <c r="B2082" s="21">
        <f>IF(AND(C2082&lt;&gt;"", J2082&lt;&gt;""), HYPERLINK("#'" &amp; C2082 &amp; "'!" &amp; J2082, J2082), "")</f>
        <v/>
      </c>
    </row>
    <row r="2083">
      <c r="B2083" s="21">
        <f>IF(AND(C2083&lt;&gt;"", J2083&lt;&gt;""), HYPERLINK("#'" &amp; C2083 &amp; "'!" &amp; J2083, J2083), "")</f>
        <v/>
      </c>
    </row>
    <row r="2084">
      <c r="B2084" s="21">
        <f>IF(AND(C2084&lt;&gt;"", J2084&lt;&gt;""), HYPERLINK("#'" &amp; C2084 &amp; "'!" &amp; J2084, J2084), "")</f>
        <v/>
      </c>
    </row>
    <row r="2085">
      <c r="B2085" s="21">
        <f>IF(AND(C2085&lt;&gt;"", J2085&lt;&gt;""), HYPERLINK("#'" &amp; C2085 &amp; "'!" &amp; J2085, J2085), "")</f>
        <v/>
      </c>
    </row>
    <row r="2086">
      <c r="B2086" s="21">
        <f>IF(AND(C2086&lt;&gt;"", J2086&lt;&gt;""), HYPERLINK("#'" &amp; C2086 &amp; "'!" &amp; J2086, J2086), "")</f>
        <v/>
      </c>
    </row>
    <row r="2087">
      <c r="B2087" s="21">
        <f>IF(AND(C2087&lt;&gt;"", J2087&lt;&gt;""), HYPERLINK("#'" &amp; C2087 &amp; "'!" &amp; J2087, J2087), "")</f>
        <v/>
      </c>
    </row>
    <row r="2088">
      <c r="B2088" s="21">
        <f>IF(AND(C2088&lt;&gt;"", J2088&lt;&gt;""), HYPERLINK("#'" &amp; C2088 &amp; "'!" &amp; J2088, J2088), "")</f>
        <v/>
      </c>
    </row>
    <row r="2089">
      <c r="B2089" s="21">
        <f>IF(AND(C2089&lt;&gt;"", J2089&lt;&gt;""), HYPERLINK("#'" &amp; C2089 &amp; "'!" &amp; J2089, J2089), "")</f>
        <v/>
      </c>
    </row>
    <row r="2090">
      <c r="B2090" s="21">
        <f>IF(AND(C2090&lt;&gt;"", J2090&lt;&gt;""), HYPERLINK("#'" &amp; C2090 &amp; "'!" &amp; J2090, J2090), "")</f>
        <v/>
      </c>
    </row>
    <row r="2091">
      <c r="B2091" s="21">
        <f>IF(AND(C2091&lt;&gt;"", J2091&lt;&gt;""), HYPERLINK("#'" &amp; C2091 &amp; "'!" &amp; J2091, J2091), "")</f>
        <v/>
      </c>
    </row>
    <row r="2092">
      <c r="B2092" s="21">
        <f>IF(AND(C2092&lt;&gt;"", J2092&lt;&gt;""), HYPERLINK("#'" &amp; C2092 &amp; "'!" &amp; J2092, J2092), "")</f>
        <v/>
      </c>
    </row>
    <row r="2093">
      <c r="B2093" s="21">
        <f>IF(AND(C2093&lt;&gt;"", J2093&lt;&gt;""), HYPERLINK("#'" &amp; C2093 &amp; "'!" &amp; J2093, J2093), "")</f>
        <v/>
      </c>
    </row>
    <row r="2094">
      <c r="B2094" s="21">
        <f>IF(AND(C2094&lt;&gt;"", J2094&lt;&gt;""), HYPERLINK("#'" &amp; C2094 &amp; "'!" &amp; J2094, J2094), "")</f>
        <v/>
      </c>
    </row>
    <row r="2095">
      <c r="B2095" s="21">
        <f>IF(AND(C2095&lt;&gt;"", J2095&lt;&gt;""), HYPERLINK("#'" &amp; C2095 &amp; "'!" &amp; J2095, J2095), "")</f>
        <v/>
      </c>
    </row>
    <row r="2096">
      <c r="B2096" s="21">
        <f>IF(AND(C2096&lt;&gt;"", J2096&lt;&gt;""), HYPERLINK("#'" &amp; C2096 &amp; "'!" &amp; J2096, J2096), "")</f>
        <v/>
      </c>
    </row>
    <row r="2097">
      <c r="B2097" s="21">
        <f>IF(AND(C2097&lt;&gt;"", J2097&lt;&gt;""), HYPERLINK("#'" &amp; C2097 &amp; "'!" &amp; J2097, J2097), "")</f>
        <v/>
      </c>
    </row>
    <row r="2098">
      <c r="B2098" s="21">
        <f>IF(AND(C2098&lt;&gt;"", J2098&lt;&gt;""), HYPERLINK("#'" &amp; C2098 &amp; "'!" &amp; J2098, J2098), "")</f>
        <v/>
      </c>
    </row>
    <row r="2099">
      <c r="B2099" s="21">
        <f>IF(AND(C2099&lt;&gt;"", J2099&lt;&gt;""), HYPERLINK("#'" &amp; C2099 &amp; "'!" &amp; J2099, J2099), "")</f>
        <v/>
      </c>
    </row>
    <row r="2100">
      <c r="B2100" s="21">
        <f>IF(AND(C2100&lt;&gt;"", J2100&lt;&gt;""), HYPERLINK("#'" &amp; C2100 &amp; "'!" &amp; J2100, J2100), "")</f>
        <v/>
      </c>
    </row>
    <row r="2101">
      <c r="B2101" s="21">
        <f>IF(AND(C2101&lt;&gt;"", J2101&lt;&gt;""), HYPERLINK("#'" &amp; C2101 &amp; "'!" &amp; J2101, J2101), "")</f>
        <v/>
      </c>
    </row>
    <row r="2102">
      <c r="B2102" s="21">
        <f>IF(AND(C2102&lt;&gt;"", J2102&lt;&gt;""), HYPERLINK("#'" &amp; C2102 &amp; "'!" &amp; J2102, J2102), "")</f>
        <v/>
      </c>
    </row>
    <row r="2103">
      <c r="B2103" s="21">
        <f>IF(AND(C2103&lt;&gt;"", J2103&lt;&gt;""), HYPERLINK("#'" &amp; C2103 &amp; "'!" &amp; J2103, J2103), "")</f>
        <v/>
      </c>
    </row>
    <row r="2104">
      <c r="B2104" s="21">
        <f>IF(AND(C2104&lt;&gt;"", J2104&lt;&gt;""), HYPERLINK("#'" &amp; C2104 &amp; "'!" &amp; J2104, J2104), "")</f>
        <v/>
      </c>
    </row>
    <row r="2105">
      <c r="B2105" s="21">
        <f>IF(AND(C2105&lt;&gt;"", J2105&lt;&gt;""), HYPERLINK("#'" &amp; C2105 &amp; "'!" &amp; J2105, J2105), "")</f>
        <v/>
      </c>
    </row>
    <row r="2106">
      <c r="B2106" s="21">
        <f>IF(AND(C2106&lt;&gt;"", J2106&lt;&gt;""), HYPERLINK("#'" &amp; C2106 &amp; "'!" &amp; J2106, J2106), "")</f>
        <v/>
      </c>
    </row>
    <row r="2107">
      <c r="B2107" s="21">
        <f>IF(AND(C2107&lt;&gt;"", J2107&lt;&gt;""), HYPERLINK("#'" &amp; C2107 &amp; "'!" &amp; J2107, J2107), "")</f>
        <v/>
      </c>
    </row>
    <row r="2108">
      <c r="B2108" s="21">
        <f>IF(AND(C2108&lt;&gt;"", J2108&lt;&gt;""), HYPERLINK("#'" &amp; C2108 &amp; "'!" &amp; J2108, J2108), "")</f>
        <v/>
      </c>
    </row>
    <row r="2109">
      <c r="B2109" s="21">
        <f>IF(AND(C2109&lt;&gt;"", J2109&lt;&gt;""), HYPERLINK("#'" &amp; C2109 &amp; "'!" &amp; J2109, J2109), "")</f>
        <v/>
      </c>
    </row>
    <row r="2110">
      <c r="B2110" s="21">
        <f>IF(AND(C2110&lt;&gt;"", J2110&lt;&gt;""), HYPERLINK("#'" &amp; C2110 &amp; "'!" &amp; J2110, J2110), "")</f>
        <v/>
      </c>
    </row>
    <row r="2111">
      <c r="B2111" s="21">
        <f>IF(AND(C2111&lt;&gt;"", J2111&lt;&gt;""), HYPERLINK("#'" &amp; C2111 &amp; "'!" &amp; J2111, J2111), "")</f>
        <v/>
      </c>
    </row>
    <row r="2112">
      <c r="B2112" s="21">
        <f>IF(AND(C2112&lt;&gt;"", J2112&lt;&gt;""), HYPERLINK("#'" &amp; C2112 &amp; "'!" &amp; J2112, J2112), "")</f>
        <v/>
      </c>
    </row>
    <row r="2113">
      <c r="B2113" s="21">
        <f>IF(AND(C2113&lt;&gt;"", J2113&lt;&gt;""), HYPERLINK("#'" &amp; C2113 &amp; "'!" &amp; J2113, J2113), "")</f>
        <v/>
      </c>
    </row>
    <row r="2114">
      <c r="B2114" s="21">
        <f>IF(AND(C2114&lt;&gt;"", J2114&lt;&gt;""), HYPERLINK("#'" &amp; C2114 &amp; "'!" &amp; J2114, J2114), "")</f>
        <v/>
      </c>
    </row>
    <row r="2115">
      <c r="B2115" s="21">
        <f>IF(AND(C2115&lt;&gt;"", J2115&lt;&gt;""), HYPERLINK("#'" &amp; C2115 &amp; "'!" &amp; J2115, J2115), "")</f>
        <v/>
      </c>
    </row>
    <row r="2116">
      <c r="B2116" s="21">
        <f>IF(AND(C2116&lt;&gt;"", J2116&lt;&gt;""), HYPERLINK("#'" &amp; C2116 &amp; "'!" &amp; J2116, J2116), "")</f>
        <v/>
      </c>
    </row>
    <row r="2117">
      <c r="B2117" s="21">
        <f>IF(AND(C2117&lt;&gt;"", J2117&lt;&gt;""), HYPERLINK("#'" &amp; C2117 &amp; "'!" &amp; J2117, J2117), "")</f>
        <v/>
      </c>
    </row>
    <row r="2118">
      <c r="B2118" s="21">
        <f>IF(AND(C2118&lt;&gt;"", J2118&lt;&gt;""), HYPERLINK("#'" &amp; C2118 &amp; "'!" &amp; J2118, J2118), "")</f>
        <v/>
      </c>
    </row>
    <row r="2119">
      <c r="B2119" s="21">
        <f>IF(AND(C2119&lt;&gt;"", J2119&lt;&gt;""), HYPERLINK("#'" &amp; C2119 &amp; "'!" &amp; J2119, J2119), "")</f>
        <v/>
      </c>
    </row>
    <row r="2120">
      <c r="B2120" s="21">
        <f>IF(AND(C2120&lt;&gt;"", J2120&lt;&gt;""), HYPERLINK("#'" &amp; C2120 &amp; "'!" &amp; J2120, J2120), "")</f>
        <v/>
      </c>
    </row>
    <row r="2121">
      <c r="B2121" s="21">
        <f>IF(AND(C2121&lt;&gt;"", J2121&lt;&gt;""), HYPERLINK("#'" &amp; C2121 &amp; "'!" &amp; J2121, J2121), "")</f>
        <v/>
      </c>
    </row>
    <row r="2122">
      <c r="B2122" s="21">
        <f>IF(AND(C2122&lt;&gt;"", J2122&lt;&gt;""), HYPERLINK("#'" &amp; C2122 &amp; "'!" &amp; J2122, J2122), "")</f>
        <v/>
      </c>
    </row>
    <row r="2123">
      <c r="B2123" s="21">
        <f>IF(AND(C2123&lt;&gt;"", J2123&lt;&gt;""), HYPERLINK("#'" &amp; C2123 &amp; "'!" &amp; J2123, J2123), "")</f>
        <v/>
      </c>
    </row>
    <row r="2124">
      <c r="B2124" s="21">
        <f>IF(AND(C2124&lt;&gt;"", J2124&lt;&gt;""), HYPERLINK("#'" &amp; C2124 &amp; "'!" &amp; J2124, J2124), "")</f>
        <v/>
      </c>
    </row>
    <row r="2125">
      <c r="B2125" s="21">
        <f>IF(AND(C2125&lt;&gt;"", J2125&lt;&gt;""), HYPERLINK("#'" &amp; C2125 &amp; "'!" &amp; J2125, J2125), "")</f>
        <v/>
      </c>
    </row>
    <row r="2126">
      <c r="B2126" s="21">
        <f>IF(AND(C2126&lt;&gt;"", J2126&lt;&gt;""), HYPERLINK("#'" &amp; C2126 &amp; "'!" &amp; J2126, J2126), "")</f>
        <v/>
      </c>
    </row>
    <row r="2127">
      <c r="B2127" s="21">
        <f>IF(AND(C2127&lt;&gt;"", J2127&lt;&gt;""), HYPERLINK("#'" &amp; C2127 &amp; "'!" &amp; J2127, J2127), "")</f>
        <v/>
      </c>
    </row>
    <row r="2128">
      <c r="B2128" s="21">
        <f>IF(AND(C2128&lt;&gt;"", J2128&lt;&gt;""), HYPERLINK("#'" &amp; C2128 &amp; "'!" &amp; J2128, J2128), "")</f>
        <v/>
      </c>
    </row>
    <row r="2129">
      <c r="B2129" s="21">
        <f>IF(AND(C2129&lt;&gt;"", J2129&lt;&gt;""), HYPERLINK("#'" &amp; C2129 &amp; "'!" &amp; J2129, J2129), "")</f>
        <v/>
      </c>
    </row>
    <row r="2130">
      <c r="B2130" s="21">
        <f>IF(AND(C2130&lt;&gt;"", J2130&lt;&gt;""), HYPERLINK("#'" &amp; C2130 &amp; "'!" &amp; J2130, J2130), "")</f>
        <v/>
      </c>
    </row>
    <row r="2131">
      <c r="B2131" s="21">
        <f>IF(AND(C2131&lt;&gt;"", J2131&lt;&gt;""), HYPERLINK("#'" &amp; C2131 &amp; "'!" &amp; J2131, J2131), "")</f>
        <v/>
      </c>
    </row>
    <row r="2132">
      <c r="B2132" s="21">
        <f>IF(AND(C2132&lt;&gt;"", J2132&lt;&gt;""), HYPERLINK("#'" &amp; C2132 &amp; "'!" &amp; J2132, J2132), "")</f>
        <v/>
      </c>
    </row>
    <row r="2133">
      <c r="B2133" s="21">
        <f>IF(AND(C2133&lt;&gt;"", J2133&lt;&gt;""), HYPERLINK("#'" &amp; C2133 &amp; "'!" &amp; J2133, J2133), "")</f>
        <v/>
      </c>
    </row>
    <row r="2134">
      <c r="B2134" s="21">
        <f>IF(AND(C2134&lt;&gt;"", J2134&lt;&gt;""), HYPERLINK("#'" &amp; C2134 &amp; "'!" &amp; J2134, J2134), "")</f>
        <v/>
      </c>
    </row>
    <row r="2135">
      <c r="B2135" s="21">
        <f>IF(AND(C2135&lt;&gt;"", J2135&lt;&gt;""), HYPERLINK("#'" &amp; C2135 &amp; "'!" &amp; J2135, J2135), "")</f>
        <v/>
      </c>
    </row>
    <row r="2136">
      <c r="B2136" s="21">
        <f>IF(AND(C2136&lt;&gt;"", J2136&lt;&gt;""), HYPERLINK("#'" &amp; C2136 &amp; "'!" &amp; J2136, J2136), "")</f>
        <v/>
      </c>
    </row>
    <row r="2137">
      <c r="B2137" s="21">
        <f>IF(AND(C2137&lt;&gt;"", J2137&lt;&gt;""), HYPERLINK("#'" &amp; C2137 &amp; "'!" &amp; J2137, J2137), "")</f>
        <v/>
      </c>
    </row>
    <row r="2138">
      <c r="B2138" s="21">
        <f>IF(AND(C2138&lt;&gt;"", J2138&lt;&gt;""), HYPERLINK("#'" &amp; C2138 &amp; "'!" &amp; J2138, J2138), "")</f>
        <v/>
      </c>
    </row>
    <row r="2139">
      <c r="B2139" s="21">
        <f>IF(AND(C2139&lt;&gt;"", J2139&lt;&gt;""), HYPERLINK("#'" &amp; C2139 &amp; "'!" &amp; J2139, J2139), "")</f>
        <v/>
      </c>
    </row>
    <row r="2140">
      <c r="B2140" s="21">
        <f>IF(AND(C2140&lt;&gt;"", J2140&lt;&gt;""), HYPERLINK("#'" &amp; C2140 &amp; "'!" &amp; J2140, J2140), "")</f>
        <v/>
      </c>
    </row>
    <row r="2141">
      <c r="B2141" s="21">
        <f>IF(AND(C2141&lt;&gt;"", J2141&lt;&gt;""), HYPERLINK("#'" &amp; C2141 &amp; "'!" &amp; J2141, J2141), "")</f>
        <v/>
      </c>
    </row>
    <row r="2142">
      <c r="B2142" s="21">
        <f>IF(AND(C2142&lt;&gt;"", J2142&lt;&gt;""), HYPERLINK("#'" &amp; C2142 &amp; "'!" &amp; J2142, J2142), "")</f>
        <v/>
      </c>
    </row>
    <row r="2143">
      <c r="B2143" s="21">
        <f>IF(AND(C2143&lt;&gt;"", J2143&lt;&gt;""), HYPERLINK("#'" &amp; C2143 &amp; "'!" &amp; J2143, J2143), "")</f>
        <v/>
      </c>
    </row>
    <row r="2144">
      <c r="B2144" s="21">
        <f>IF(AND(C2144&lt;&gt;"", J2144&lt;&gt;""), HYPERLINK("#'" &amp; C2144 &amp; "'!" &amp; J2144, J2144), "")</f>
        <v/>
      </c>
    </row>
    <row r="2145">
      <c r="B2145" s="21">
        <f>IF(AND(C2145&lt;&gt;"", J2145&lt;&gt;""), HYPERLINK("#'" &amp; C2145 &amp; "'!" &amp; J2145, J2145), "")</f>
        <v/>
      </c>
    </row>
    <row r="2146">
      <c r="B2146" s="21">
        <f>IF(AND(C2146&lt;&gt;"", J2146&lt;&gt;""), HYPERLINK("#'" &amp; C2146 &amp; "'!" &amp; J2146, J2146), "")</f>
        <v/>
      </c>
    </row>
    <row r="2147">
      <c r="B2147" s="21">
        <f>IF(AND(C2147&lt;&gt;"", J2147&lt;&gt;""), HYPERLINK("#'" &amp; C2147 &amp; "'!" &amp; J2147, J2147), "")</f>
        <v/>
      </c>
    </row>
    <row r="2148">
      <c r="B2148" s="21">
        <f>IF(AND(C2148&lt;&gt;"", J2148&lt;&gt;""), HYPERLINK("#'" &amp; C2148 &amp; "'!" &amp; J2148, J2148), "")</f>
        <v/>
      </c>
    </row>
    <row r="2149">
      <c r="B2149" s="21">
        <f>IF(AND(C2149&lt;&gt;"", J2149&lt;&gt;""), HYPERLINK("#'" &amp; C2149 &amp; "'!" &amp; J2149, J2149), "")</f>
        <v/>
      </c>
    </row>
    <row r="2150">
      <c r="B2150" s="21">
        <f>IF(AND(C2150&lt;&gt;"", J2150&lt;&gt;""), HYPERLINK("#'" &amp; C2150 &amp; "'!" &amp; J2150, J2150), "")</f>
        <v/>
      </c>
    </row>
    <row r="2151">
      <c r="B2151" s="21">
        <f>IF(AND(C2151&lt;&gt;"", J2151&lt;&gt;""), HYPERLINK("#'" &amp; C2151 &amp; "'!" &amp; J2151, J2151), "")</f>
        <v/>
      </c>
    </row>
    <row r="2152">
      <c r="B2152" s="21">
        <f>IF(AND(C2152&lt;&gt;"", J2152&lt;&gt;""), HYPERLINK("#'" &amp; C2152 &amp; "'!" &amp; J2152, J2152), "")</f>
        <v/>
      </c>
    </row>
    <row r="2153">
      <c r="B2153" s="21">
        <f>IF(AND(C2153&lt;&gt;"", J2153&lt;&gt;""), HYPERLINK("#'" &amp; C2153 &amp; "'!" &amp; J2153, J2153), "")</f>
        <v/>
      </c>
    </row>
    <row r="2154">
      <c r="B2154" s="21">
        <f>IF(AND(C2154&lt;&gt;"", J2154&lt;&gt;""), HYPERLINK("#'" &amp; C2154 &amp; "'!" &amp; J2154, J2154), "")</f>
        <v/>
      </c>
    </row>
    <row r="2155">
      <c r="B2155" s="21">
        <f>IF(AND(C2155&lt;&gt;"", J2155&lt;&gt;""), HYPERLINK("#'" &amp; C2155 &amp; "'!" &amp; J2155, J2155), "")</f>
        <v/>
      </c>
    </row>
    <row r="2156">
      <c r="B2156" s="21">
        <f>IF(AND(C2156&lt;&gt;"", J2156&lt;&gt;""), HYPERLINK("#'" &amp; C2156 &amp; "'!" &amp; J2156, J2156), "")</f>
        <v/>
      </c>
    </row>
    <row r="2157">
      <c r="B2157" s="21">
        <f>IF(AND(C2157&lt;&gt;"", J2157&lt;&gt;""), HYPERLINK("#'" &amp; C2157 &amp; "'!" &amp; J2157, J2157), "")</f>
        <v/>
      </c>
    </row>
    <row r="2158">
      <c r="B2158" s="21">
        <f>IF(AND(C2158&lt;&gt;"", J2158&lt;&gt;""), HYPERLINK("#'" &amp; C2158 &amp; "'!" &amp; J2158, J2158), "")</f>
        <v/>
      </c>
    </row>
    <row r="2159">
      <c r="B2159" s="21">
        <f>IF(AND(C2159&lt;&gt;"", J2159&lt;&gt;""), HYPERLINK("#'" &amp; C2159 &amp; "'!" &amp; J2159, J2159), "")</f>
        <v/>
      </c>
    </row>
    <row r="2160">
      <c r="B2160" s="21">
        <f>IF(AND(C2160&lt;&gt;"", J2160&lt;&gt;""), HYPERLINK("#'" &amp; C2160 &amp; "'!" &amp; J2160, J2160), "")</f>
        <v/>
      </c>
    </row>
    <row r="2161">
      <c r="B2161" s="21">
        <f>IF(AND(C2161&lt;&gt;"", J2161&lt;&gt;""), HYPERLINK("#'" &amp; C2161 &amp; "'!" &amp; J2161, J2161), "")</f>
        <v/>
      </c>
    </row>
    <row r="2162">
      <c r="B2162" s="21">
        <f>IF(AND(C2162&lt;&gt;"", J2162&lt;&gt;""), HYPERLINK("#'" &amp; C2162 &amp; "'!" &amp; J2162, J2162), "")</f>
        <v/>
      </c>
    </row>
    <row r="2163">
      <c r="B2163" s="21">
        <f>IF(AND(C2163&lt;&gt;"", J2163&lt;&gt;""), HYPERLINK("#'" &amp; C2163 &amp; "'!" &amp; J2163, J2163), "")</f>
        <v/>
      </c>
    </row>
    <row r="2164">
      <c r="B2164" s="21">
        <f>IF(AND(C2164&lt;&gt;"", J2164&lt;&gt;""), HYPERLINK("#'" &amp; C2164 &amp; "'!" &amp; J2164, J2164), "")</f>
        <v/>
      </c>
    </row>
    <row r="2165">
      <c r="B2165" s="21">
        <f>IF(AND(C2165&lt;&gt;"", J2165&lt;&gt;""), HYPERLINK("#'" &amp; C2165 &amp; "'!" &amp; J2165, J2165), "")</f>
        <v/>
      </c>
    </row>
    <row r="2166">
      <c r="B2166" s="21">
        <f>IF(AND(C2166&lt;&gt;"", J2166&lt;&gt;""), HYPERLINK("#'" &amp; C2166 &amp; "'!" &amp; J2166, J2166), "")</f>
        <v/>
      </c>
    </row>
    <row r="2167">
      <c r="B2167" s="21">
        <f>IF(AND(C2167&lt;&gt;"", J2167&lt;&gt;""), HYPERLINK("#'" &amp; C2167 &amp; "'!" &amp; J2167, J2167), "")</f>
        <v/>
      </c>
    </row>
    <row r="2168">
      <c r="B2168" s="21">
        <f>IF(AND(C2168&lt;&gt;"", J2168&lt;&gt;""), HYPERLINK("#'" &amp; C2168 &amp; "'!" &amp; J2168, J2168), "")</f>
        <v/>
      </c>
    </row>
    <row r="2169">
      <c r="B2169" s="21">
        <f>IF(AND(C2169&lt;&gt;"", J2169&lt;&gt;""), HYPERLINK("#'" &amp; C2169 &amp; "'!" &amp; J2169, J2169), "")</f>
        <v/>
      </c>
    </row>
    <row r="2170">
      <c r="B2170" s="21">
        <f>IF(AND(C2170&lt;&gt;"", J2170&lt;&gt;""), HYPERLINK("#'" &amp; C2170 &amp; "'!" &amp; J2170, J2170), "")</f>
        <v/>
      </c>
    </row>
    <row r="2171">
      <c r="B2171" s="21">
        <f>IF(AND(C2171&lt;&gt;"", J2171&lt;&gt;""), HYPERLINK("#'" &amp; C2171 &amp; "'!" &amp; J2171, J2171), "")</f>
        <v/>
      </c>
    </row>
    <row r="2172">
      <c r="B2172" s="21">
        <f>IF(AND(C2172&lt;&gt;"", J2172&lt;&gt;""), HYPERLINK("#'" &amp; C2172 &amp; "'!" &amp; J2172, J2172), "")</f>
        <v/>
      </c>
    </row>
    <row r="2173">
      <c r="B2173" s="21">
        <f>IF(AND(C2173&lt;&gt;"", J2173&lt;&gt;""), HYPERLINK("#'" &amp; C2173 &amp; "'!" &amp; J2173, J2173), "")</f>
        <v/>
      </c>
    </row>
    <row r="2174">
      <c r="B2174" s="21">
        <f>IF(AND(C2174&lt;&gt;"", J2174&lt;&gt;""), HYPERLINK("#'" &amp; C2174 &amp; "'!" &amp; J2174, J2174), "")</f>
        <v/>
      </c>
    </row>
    <row r="2175">
      <c r="B2175" s="21">
        <f>IF(AND(C2175&lt;&gt;"", J2175&lt;&gt;""), HYPERLINK("#'" &amp; C2175 &amp; "'!" &amp; J2175, J2175), "")</f>
        <v/>
      </c>
    </row>
    <row r="2176">
      <c r="B2176" s="21">
        <f>IF(AND(C2176&lt;&gt;"", J2176&lt;&gt;""), HYPERLINK("#'" &amp; C2176 &amp; "'!" &amp; J2176, J2176), "")</f>
        <v/>
      </c>
    </row>
    <row r="2177">
      <c r="B2177" s="21">
        <f>IF(AND(C2177&lt;&gt;"", J2177&lt;&gt;""), HYPERLINK("#'" &amp; C2177 &amp; "'!" &amp; J2177, J2177), "")</f>
        <v/>
      </c>
    </row>
    <row r="2178">
      <c r="B2178" s="21">
        <f>IF(AND(C2178&lt;&gt;"", J2178&lt;&gt;""), HYPERLINK("#'" &amp; C2178 &amp; "'!" &amp; J2178, J2178), "")</f>
        <v/>
      </c>
    </row>
    <row r="2179">
      <c r="B2179" s="21">
        <f>IF(AND(C2179&lt;&gt;"", J2179&lt;&gt;""), HYPERLINK("#'" &amp; C2179 &amp; "'!" &amp; J2179, J2179), "")</f>
        <v/>
      </c>
    </row>
    <row r="2180">
      <c r="B2180" s="21">
        <f>IF(AND(C2180&lt;&gt;"", J2180&lt;&gt;""), HYPERLINK("#'" &amp; C2180 &amp; "'!" &amp; J2180, J2180), "")</f>
        <v/>
      </c>
    </row>
    <row r="2181">
      <c r="B2181" s="21">
        <f>IF(AND(C2181&lt;&gt;"", J2181&lt;&gt;""), HYPERLINK("#'" &amp; C2181 &amp; "'!" &amp; J2181, J2181), "")</f>
        <v/>
      </c>
    </row>
    <row r="2182">
      <c r="B2182" s="21">
        <f>IF(AND(C2182&lt;&gt;"", J2182&lt;&gt;""), HYPERLINK("#'" &amp; C2182 &amp; "'!" &amp; J2182, J2182), "")</f>
        <v/>
      </c>
    </row>
    <row r="2183">
      <c r="B2183" s="21">
        <f>IF(AND(C2183&lt;&gt;"", J2183&lt;&gt;""), HYPERLINK("#'" &amp; C2183 &amp; "'!" &amp; J2183, J2183), "")</f>
        <v/>
      </c>
    </row>
    <row r="2184">
      <c r="B2184" s="21">
        <f>IF(AND(C2184&lt;&gt;"", J2184&lt;&gt;""), HYPERLINK("#'" &amp; C2184 &amp; "'!" &amp; J2184, J2184), "")</f>
        <v/>
      </c>
    </row>
    <row r="2185">
      <c r="B2185" s="21">
        <f>IF(AND(C2185&lt;&gt;"", J2185&lt;&gt;""), HYPERLINK("#'" &amp; C2185 &amp; "'!" &amp; J2185, J2185), "")</f>
        <v/>
      </c>
    </row>
    <row r="2186">
      <c r="B2186" s="21">
        <f>IF(AND(C2186&lt;&gt;"", J2186&lt;&gt;""), HYPERLINK("#'" &amp; C2186 &amp; "'!" &amp; J2186, J2186), "")</f>
        <v/>
      </c>
    </row>
    <row r="2187">
      <c r="B2187" s="21">
        <f>IF(AND(C2187&lt;&gt;"", J2187&lt;&gt;""), HYPERLINK("#'" &amp; C2187 &amp; "'!" &amp; J2187, J2187), "")</f>
        <v/>
      </c>
    </row>
    <row r="2188">
      <c r="B2188" s="21">
        <f>IF(AND(C2188&lt;&gt;"", J2188&lt;&gt;""), HYPERLINK("#'" &amp; C2188 &amp; "'!" &amp; J2188, J2188), "")</f>
        <v/>
      </c>
    </row>
    <row r="2189">
      <c r="B2189" s="21">
        <f>IF(AND(C2189&lt;&gt;"", J2189&lt;&gt;""), HYPERLINK("#'" &amp; C2189 &amp; "'!" &amp; J2189, J2189), "")</f>
        <v/>
      </c>
    </row>
    <row r="2190">
      <c r="B2190" s="21">
        <f>IF(AND(C2190&lt;&gt;"", J2190&lt;&gt;""), HYPERLINK("#'" &amp; C2190 &amp; "'!" &amp; J2190, J2190), "")</f>
        <v/>
      </c>
    </row>
    <row r="2191">
      <c r="B2191" s="21">
        <f>IF(AND(C2191&lt;&gt;"", J2191&lt;&gt;""), HYPERLINK("#'" &amp; C2191 &amp; "'!" &amp; J2191, J2191), "")</f>
        <v/>
      </c>
    </row>
    <row r="2192">
      <c r="B2192" s="21">
        <f>IF(AND(C2192&lt;&gt;"", J2192&lt;&gt;""), HYPERLINK("#'" &amp; C2192 &amp; "'!" &amp; J2192, J2192), "")</f>
        <v/>
      </c>
    </row>
    <row r="2193">
      <c r="B2193" s="21">
        <f>IF(AND(C2193&lt;&gt;"", J2193&lt;&gt;""), HYPERLINK("#'" &amp; C2193 &amp; "'!" &amp; J2193, J2193), "")</f>
        <v/>
      </c>
    </row>
    <row r="2194">
      <c r="B2194" s="21">
        <f>IF(AND(C2194&lt;&gt;"", J2194&lt;&gt;""), HYPERLINK("#'" &amp; C2194 &amp; "'!" &amp; J2194, J2194), "")</f>
        <v/>
      </c>
    </row>
    <row r="2195">
      <c r="B2195" s="21">
        <f>IF(AND(C2195&lt;&gt;"", J2195&lt;&gt;""), HYPERLINK("#'" &amp; C2195 &amp; "'!" &amp; J2195, J2195), "")</f>
        <v/>
      </c>
    </row>
    <row r="2196">
      <c r="B2196" s="21">
        <f>IF(AND(C2196&lt;&gt;"", J2196&lt;&gt;""), HYPERLINK("#'" &amp; C2196 &amp; "'!" &amp; J2196, J2196), "")</f>
        <v/>
      </c>
    </row>
    <row r="2197">
      <c r="B2197" s="21">
        <f>IF(AND(C2197&lt;&gt;"", J2197&lt;&gt;""), HYPERLINK("#'" &amp; C2197 &amp; "'!" &amp; J2197, J2197), "")</f>
        <v/>
      </c>
    </row>
    <row r="2198">
      <c r="B2198" s="21">
        <f>IF(AND(C2198&lt;&gt;"", J2198&lt;&gt;""), HYPERLINK("#'" &amp; C2198 &amp; "'!" &amp; J2198, J2198), "")</f>
        <v/>
      </c>
    </row>
    <row r="2199">
      <c r="B2199" s="21">
        <f>IF(AND(C2199&lt;&gt;"", J2199&lt;&gt;""), HYPERLINK("#'" &amp; C2199 &amp; "'!" &amp; J2199, J2199), "")</f>
        <v/>
      </c>
    </row>
    <row r="2200">
      <c r="B2200" s="21">
        <f>IF(AND(C2200&lt;&gt;"", J2200&lt;&gt;""), HYPERLINK("#'" &amp; C2200 &amp; "'!" &amp; J2200, J2200), "")</f>
        <v/>
      </c>
    </row>
    <row r="2201">
      <c r="B2201" s="21">
        <f>IF(AND(C2201&lt;&gt;"", J2201&lt;&gt;""), HYPERLINK("#'" &amp; C2201 &amp; "'!" &amp; J2201, J2201), "")</f>
        <v/>
      </c>
    </row>
    <row r="2202">
      <c r="B2202" s="21">
        <f>IF(AND(C2202&lt;&gt;"", J2202&lt;&gt;""), HYPERLINK("#'" &amp; C2202 &amp; "'!" &amp; J2202, J2202), "")</f>
        <v/>
      </c>
    </row>
    <row r="2203">
      <c r="B2203" s="21">
        <f>IF(AND(C2203&lt;&gt;"", J2203&lt;&gt;""), HYPERLINK("#'" &amp; C2203 &amp; "'!" &amp; J2203, J2203), "")</f>
        <v/>
      </c>
    </row>
    <row r="2204">
      <c r="B2204" s="21">
        <f>IF(AND(C2204&lt;&gt;"", J2204&lt;&gt;""), HYPERLINK("#'" &amp; C2204 &amp; "'!" &amp; J2204, J2204), "")</f>
        <v/>
      </c>
    </row>
    <row r="2205">
      <c r="B2205" s="21">
        <f>IF(AND(C2205&lt;&gt;"", J2205&lt;&gt;""), HYPERLINK("#'" &amp; C2205 &amp; "'!" &amp; J2205, J2205), "")</f>
        <v/>
      </c>
    </row>
    <row r="2206">
      <c r="B2206" s="21">
        <f>IF(AND(C2206&lt;&gt;"", J2206&lt;&gt;""), HYPERLINK("#'" &amp; C2206 &amp; "'!" &amp; J2206, J2206), "")</f>
        <v/>
      </c>
    </row>
    <row r="2207">
      <c r="B2207" s="21">
        <f>IF(AND(C2207&lt;&gt;"", J2207&lt;&gt;""), HYPERLINK("#'" &amp; C2207 &amp; "'!" &amp; J2207, J2207), "")</f>
        <v/>
      </c>
    </row>
    <row r="2208">
      <c r="B2208" s="21">
        <f>IF(AND(C2208&lt;&gt;"", J2208&lt;&gt;""), HYPERLINK("#'" &amp; C2208 &amp; "'!" &amp; J2208, J2208), "")</f>
        <v/>
      </c>
    </row>
    <row r="2209">
      <c r="B2209" s="21">
        <f>IF(AND(C2209&lt;&gt;"", J2209&lt;&gt;""), HYPERLINK("#'" &amp; C2209 &amp; "'!" &amp; J2209, J2209), "")</f>
        <v/>
      </c>
    </row>
    <row r="2210">
      <c r="B2210" s="21">
        <f>IF(AND(C2210&lt;&gt;"", J2210&lt;&gt;""), HYPERLINK("#'" &amp; C2210 &amp; "'!" &amp; J2210, J2210), "")</f>
        <v/>
      </c>
    </row>
    <row r="2211">
      <c r="B2211" s="21">
        <f>IF(AND(C2211&lt;&gt;"", J2211&lt;&gt;""), HYPERLINK("#'" &amp; C2211 &amp; "'!" &amp; J2211, J2211), "")</f>
        <v/>
      </c>
    </row>
    <row r="2212">
      <c r="B2212" s="21">
        <f>IF(AND(C2212&lt;&gt;"", J2212&lt;&gt;""), HYPERLINK("#'" &amp; C2212 &amp; "'!" &amp; J2212, J2212), "")</f>
        <v/>
      </c>
    </row>
    <row r="2213">
      <c r="B2213" s="21">
        <f>IF(AND(C2213&lt;&gt;"", J2213&lt;&gt;""), HYPERLINK("#'" &amp; C2213 &amp; "'!" &amp; J2213, J2213), "")</f>
        <v/>
      </c>
    </row>
    <row r="2214">
      <c r="B2214" s="21">
        <f>IF(AND(C2214&lt;&gt;"", J2214&lt;&gt;""), HYPERLINK("#'" &amp; C2214 &amp; "'!" &amp; J2214, J2214), "")</f>
        <v/>
      </c>
    </row>
    <row r="2215">
      <c r="B2215" s="21">
        <f>IF(AND(C2215&lt;&gt;"", J2215&lt;&gt;""), HYPERLINK("#'" &amp; C2215 &amp; "'!" &amp; J2215, J2215), "")</f>
        <v/>
      </c>
    </row>
    <row r="2216">
      <c r="B2216" s="21">
        <f>IF(AND(C2216&lt;&gt;"", J2216&lt;&gt;""), HYPERLINK("#'" &amp; C2216 &amp; "'!" &amp; J2216, J2216), "")</f>
        <v/>
      </c>
    </row>
    <row r="2217">
      <c r="B2217" s="21">
        <f>IF(AND(C2217&lt;&gt;"", J2217&lt;&gt;""), HYPERLINK("#'" &amp; C2217 &amp; "'!" &amp; J2217, J2217), "")</f>
        <v/>
      </c>
    </row>
    <row r="2218">
      <c r="B2218" s="21">
        <f>IF(AND(C2218&lt;&gt;"", J2218&lt;&gt;""), HYPERLINK("#'" &amp; C2218 &amp; "'!" &amp; J2218, J2218), "")</f>
        <v/>
      </c>
    </row>
    <row r="2219">
      <c r="B2219" s="21">
        <f>IF(AND(C2219&lt;&gt;"", J2219&lt;&gt;""), HYPERLINK("#'" &amp; C2219 &amp; "'!" &amp; J2219, J2219), "")</f>
        <v/>
      </c>
    </row>
    <row r="2220">
      <c r="B2220" s="21">
        <f>IF(AND(C2220&lt;&gt;"", J2220&lt;&gt;""), HYPERLINK("#'" &amp; C2220 &amp; "'!" &amp; J2220, J2220), "")</f>
        <v/>
      </c>
    </row>
    <row r="2221">
      <c r="B2221" s="21">
        <f>IF(AND(C2221&lt;&gt;"", J2221&lt;&gt;""), HYPERLINK("#'" &amp; C2221 &amp; "'!" &amp; J2221, J2221), "")</f>
        <v/>
      </c>
    </row>
    <row r="2222">
      <c r="B2222" s="21">
        <f>IF(AND(C2222&lt;&gt;"", J2222&lt;&gt;""), HYPERLINK("#'" &amp; C2222 &amp; "'!" &amp; J2222, J2222), "")</f>
        <v/>
      </c>
    </row>
    <row r="2223">
      <c r="B2223" s="21">
        <f>IF(AND(C2223&lt;&gt;"", J2223&lt;&gt;""), HYPERLINK("#'" &amp; C2223 &amp; "'!" &amp; J2223, J2223), "")</f>
        <v/>
      </c>
    </row>
    <row r="2224">
      <c r="B2224" s="21">
        <f>IF(AND(C2224&lt;&gt;"", J2224&lt;&gt;""), HYPERLINK("#'" &amp; C2224 &amp; "'!" &amp; J2224, J2224), "")</f>
        <v/>
      </c>
    </row>
    <row r="2225">
      <c r="B2225" s="21">
        <f>IF(AND(C2225&lt;&gt;"", J2225&lt;&gt;""), HYPERLINK("#'" &amp; C2225 &amp; "'!" &amp; J2225, J2225), "")</f>
        <v/>
      </c>
    </row>
    <row r="2226">
      <c r="B2226" s="21">
        <f>IF(AND(C2226&lt;&gt;"", J2226&lt;&gt;""), HYPERLINK("#'" &amp; C2226 &amp; "'!" &amp; J2226, J2226), "")</f>
        <v/>
      </c>
    </row>
    <row r="2227">
      <c r="B2227" s="21">
        <f>IF(AND(C2227&lt;&gt;"", J2227&lt;&gt;""), HYPERLINK("#'" &amp; C2227 &amp; "'!" &amp; J2227, J2227), "")</f>
        <v/>
      </c>
    </row>
    <row r="2228">
      <c r="B2228" s="21">
        <f>IF(AND(C2228&lt;&gt;"", J2228&lt;&gt;""), HYPERLINK("#'" &amp; C2228 &amp; "'!" &amp; J2228, J2228), "")</f>
        <v/>
      </c>
    </row>
    <row r="2229">
      <c r="B2229" s="21">
        <f>IF(AND(C2229&lt;&gt;"", J2229&lt;&gt;""), HYPERLINK("#'" &amp; C2229 &amp; "'!" &amp; J2229, J2229), "")</f>
        <v/>
      </c>
    </row>
    <row r="2230">
      <c r="B2230" s="21">
        <f>IF(AND(C2230&lt;&gt;"", J2230&lt;&gt;""), HYPERLINK("#'" &amp; C2230 &amp; "'!" &amp; J2230, J2230), "")</f>
        <v/>
      </c>
    </row>
    <row r="2231">
      <c r="B2231" s="21">
        <f>IF(AND(C2231&lt;&gt;"", J2231&lt;&gt;""), HYPERLINK("#'" &amp; C2231 &amp; "'!" &amp; J2231, J2231), "")</f>
        <v/>
      </c>
    </row>
    <row r="2232">
      <c r="B2232" s="21">
        <f>IF(AND(C2232&lt;&gt;"", J2232&lt;&gt;""), HYPERLINK("#'" &amp; C2232 &amp; "'!" &amp; J2232, J2232), "")</f>
        <v/>
      </c>
    </row>
    <row r="2233">
      <c r="B2233" s="21">
        <f>IF(AND(C2233&lt;&gt;"", J2233&lt;&gt;""), HYPERLINK("#'" &amp; C2233 &amp; "'!" &amp; J2233, J2233), "")</f>
        <v/>
      </c>
    </row>
    <row r="2234">
      <c r="B2234" s="21">
        <f>IF(AND(C2234&lt;&gt;"", J2234&lt;&gt;""), HYPERLINK("#'" &amp; C2234 &amp; "'!" &amp; J2234, J2234), "")</f>
        <v/>
      </c>
    </row>
    <row r="2235">
      <c r="B2235" s="21">
        <f>IF(AND(C2235&lt;&gt;"", J2235&lt;&gt;""), HYPERLINK("#'" &amp; C2235 &amp; "'!" &amp; J2235, J2235), "")</f>
        <v/>
      </c>
    </row>
    <row r="2236">
      <c r="B2236" s="21">
        <f>IF(AND(C2236&lt;&gt;"", J2236&lt;&gt;""), HYPERLINK("#'" &amp; C2236 &amp; "'!" &amp; J2236, J2236), "")</f>
        <v/>
      </c>
    </row>
    <row r="2237">
      <c r="B2237" s="21">
        <f>IF(AND(C2237&lt;&gt;"", J2237&lt;&gt;""), HYPERLINK("#'" &amp; C2237 &amp; "'!" &amp; J2237, J2237), "")</f>
        <v/>
      </c>
    </row>
    <row r="2238">
      <c r="B2238" s="21">
        <f>IF(AND(C2238&lt;&gt;"", J2238&lt;&gt;""), HYPERLINK("#'" &amp; C2238 &amp; "'!" &amp; J2238, J2238), "")</f>
        <v/>
      </c>
    </row>
    <row r="2239">
      <c r="B2239" s="21">
        <f>IF(AND(C2239&lt;&gt;"", J2239&lt;&gt;""), HYPERLINK("#'" &amp; C2239 &amp; "'!" &amp; J2239, J2239), "")</f>
        <v/>
      </c>
    </row>
    <row r="2240">
      <c r="B2240" s="21">
        <f>IF(AND(C2240&lt;&gt;"", J2240&lt;&gt;""), HYPERLINK("#'" &amp; C2240 &amp; "'!" &amp; J2240, J2240), "")</f>
        <v/>
      </c>
    </row>
    <row r="2241">
      <c r="B2241" s="21">
        <f>IF(AND(C2241&lt;&gt;"", J2241&lt;&gt;""), HYPERLINK("#'" &amp; C2241 &amp; "'!" &amp; J2241, J2241), "")</f>
        <v/>
      </c>
    </row>
    <row r="2242">
      <c r="B2242" s="21">
        <f>IF(AND(C2242&lt;&gt;"", J2242&lt;&gt;""), HYPERLINK("#'" &amp; C2242 &amp; "'!" &amp; J2242, J2242), "")</f>
        <v/>
      </c>
    </row>
    <row r="2243">
      <c r="B2243" s="21">
        <f>IF(AND(C2243&lt;&gt;"", J2243&lt;&gt;""), HYPERLINK("#'" &amp; C2243 &amp; "'!" &amp; J2243, J2243), "")</f>
        <v/>
      </c>
    </row>
    <row r="2244">
      <c r="B2244" s="21">
        <f>IF(AND(C2244&lt;&gt;"", J2244&lt;&gt;""), HYPERLINK("#'" &amp; C2244 &amp; "'!" &amp; J2244, J2244), "")</f>
        <v/>
      </c>
    </row>
    <row r="2245">
      <c r="B2245" s="21">
        <f>IF(AND(C2245&lt;&gt;"", J2245&lt;&gt;""), HYPERLINK("#'" &amp; C2245 &amp; "'!" &amp; J2245, J2245), "")</f>
        <v/>
      </c>
    </row>
    <row r="2246">
      <c r="B2246" s="21">
        <f>IF(AND(C2246&lt;&gt;"", J2246&lt;&gt;""), HYPERLINK("#'" &amp; C2246 &amp; "'!" &amp; J2246, J2246), "")</f>
        <v/>
      </c>
    </row>
    <row r="2247">
      <c r="B2247" s="21">
        <f>IF(AND(C2247&lt;&gt;"", J2247&lt;&gt;""), HYPERLINK("#'" &amp; C2247 &amp; "'!" &amp; J2247, J2247), "")</f>
        <v/>
      </c>
    </row>
    <row r="2248">
      <c r="B2248" s="21">
        <f>IF(AND(C2248&lt;&gt;"", J2248&lt;&gt;""), HYPERLINK("#'" &amp; C2248 &amp; "'!" &amp; J2248, J2248), "")</f>
        <v/>
      </c>
    </row>
    <row r="2249">
      <c r="B2249" s="21">
        <f>IF(AND(C2249&lt;&gt;"", J2249&lt;&gt;""), HYPERLINK("#'" &amp; C2249 &amp; "'!" &amp; J2249, J2249), "")</f>
        <v/>
      </c>
    </row>
    <row r="2250">
      <c r="B2250" s="21">
        <f>IF(AND(C2250&lt;&gt;"", J2250&lt;&gt;""), HYPERLINK("#'" &amp; C2250 &amp; "'!" &amp; J2250, J2250), "")</f>
        <v/>
      </c>
    </row>
    <row r="2251">
      <c r="B2251" s="21">
        <f>IF(AND(C2251&lt;&gt;"", J2251&lt;&gt;""), HYPERLINK("#'" &amp; C2251 &amp; "'!" &amp; J2251, J2251), "")</f>
        <v/>
      </c>
    </row>
    <row r="2252">
      <c r="B2252" s="21">
        <f>IF(AND(C2252&lt;&gt;"", J2252&lt;&gt;""), HYPERLINK("#'" &amp; C2252 &amp; "'!" &amp; J2252, J2252), "")</f>
        <v/>
      </c>
    </row>
    <row r="2253">
      <c r="B2253" s="21">
        <f>IF(AND(C2253&lt;&gt;"", J2253&lt;&gt;""), HYPERLINK("#'" &amp; C2253 &amp; "'!" &amp; J2253, J2253), "")</f>
        <v/>
      </c>
    </row>
    <row r="2254">
      <c r="B2254" s="21">
        <f>IF(AND(C2254&lt;&gt;"", J2254&lt;&gt;""), HYPERLINK("#'" &amp; C2254 &amp; "'!" &amp; J2254, J2254), "")</f>
        <v/>
      </c>
    </row>
    <row r="2255">
      <c r="B2255" s="21">
        <f>IF(AND(C2255&lt;&gt;"", J2255&lt;&gt;""), HYPERLINK("#'" &amp; C2255 &amp; "'!" &amp; J2255, J2255), "")</f>
        <v/>
      </c>
    </row>
    <row r="2256">
      <c r="B2256" s="21">
        <f>IF(AND(C2256&lt;&gt;"", J2256&lt;&gt;""), HYPERLINK("#'" &amp; C2256 &amp; "'!" &amp; J2256, J2256), "")</f>
        <v/>
      </c>
    </row>
    <row r="2257">
      <c r="B2257" s="21">
        <f>IF(AND(C2257&lt;&gt;"", J2257&lt;&gt;""), HYPERLINK("#'" &amp; C2257 &amp; "'!" &amp; J2257, J2257), "")</f>
        <v/>
      </c>
    </row>
    <row r="2258">
      <c r="B2258" s="21">
        <f>IF(AND(C2258&lt;&gt;"", J2258&lt;&gt;""), HYPERLINK("#'" &amp; C2258 &amp; "'!" &amp; J2258, J2258), "")</f>
        <v/>
      </c>
    </row>
    <row r="2259">
      <c r="B2259" s="21">
        <f>IF(AND(C2259&lt;&gt;"", J2259&lt;&gt;""), HYPERLINK("#'" &amp; C2259 &amp; "'!" &amp; J2259, J2259), "")</f>
        <v/>
      </c>
    </row>
    <row r="2260">
      <c r="B2260" s="21">
        <f>IF(AND(C2260&lt;&gt;"", J2260&lt;&gt;""), HYPERLINK("#'" &amp; C2260 &amp; "'!" &amp; J2260, J2260), "")</f>
        <v/>
      </c>
    </row>
    <row r="2261">
      <c r="B2261" s="21">
        <f>IF(AND(C2261&lt;&gt;"", J2261&lt;&gt;""), HYPERLINK("#'" &amp; C2261 &amp; "'!" &amp; J2261, J2261), "")</f>
        <v/>
      </c>
    </row>
    <row r="2262">
      <c r="B2262" s="21">
        <f>IF(AND(C2262&lt;&gt;"", J2262&lt;&gt;""), HYPERLINK("#'" &amp; C2262 &amp; "'!" &amp; J2262, J2262), "")</f>
        <v/>
      </c>
    </row>
    <row r="2263">
      <c r="B2263" s="21">
        <f>IF(AND(C2263&lt;&gt;"", J2263&lt;&gt;""), HYPERLINK("#'" &amp; C2263 &amp; "'!" &amp; J2263, J2263), "")</f>
        <v/>
      </c>
    </row>
    <row r="2264">
      <c r="B2264" s="21">
        <f>IF(AND(C2264&lt;&gt;"", J2264&lt;&gt;""), HYPERLINK("#'" &amp; C2264 &amp; "'!" &amp; J2264, J2264), "")</f>
        <v/>
      </c>
    </row>
    <row r="2265">
      <c r="B2265" s="21">
        <f>IF(AND(C2265&lt;&gt;"", J2265&lt;&gt;""), HYPERLINK("#'" &amp; C2265 &amp; "'!" &amp; J2265, J2265), "")</f>
        <v/>
      </c>
    </row>
    <row r="2266">
      <c r="B2266" s="21">
        <f>IF(AND(C2266&lt;&gt;"", J2266&lt;&gt;""), HYPERLINK("#'" &amp; C2266 &amp; "'!" &amp; J2266, J2266), "")</f>
        <v/>
      </c>
    </row>
    <row r="2267">
      <c r="B2267" s="21">
        <f>IF(AND(C2267&lt;&gt;"", J2267&lt;&gt;""), HYPERLINK("#'" &amp; C2267 &amp; "'!" &amp; J2267, J2267), "")</f>
        <v/>
      </c>
    </row>
    <row r="2268">
      <c r="B2268" s="21">
        <f>IF(AND(C2268&lt;&gt;"", J2268&lt;&gt;""), HYPERLINK("#'" &amp; C2268 &amp; "'!" &amp; J2268, J2268), "")</f>
        <v/>
      </c>
    </row>
    <row r="2269">
      <c r="B2269" s="21">
        <f>IF(AND(C2269&lt;&gt;"", J2269&lt;&gt;""), HYPERLINK("#'" &amp; C2269 &amp; "'!" &amp; J2269, J2269), "")</f>
        <v/>
      </c>
    </row>
    <row r="2270">
      <c r="B2270" s="21">
        <f>IF(AND(C2270&lt;&gt;"", J2270&lt;&gt;""), HYPERLINK("#'" &amp; C2270 &amp; "'!" &amp; J2270, J2270), "")</f>
        <v/>
      </c>
    </row>
    <row r="2271">
      <c r="B2271" s="21">
        <f>IF(AND(C2271&lt;&gt;"", J2271&lt;&gt;""), HYPERLINK("#'" &amp; C2271 &amp; "'!" &amp; J2271, J2271), "")</f>
        <v/>
      </c>
    </row>
    <row r="2272">
      <c r="B2272" s="21">
        <f>IF(AND(C2272&lt;&gt;"", J2272&lt;&gt;""), HYPERLINK("#'" &amp; C2272 &amp; "'!" &amp; J2272, J2272), "")</f>
        <v/>
      </c>
    </row>
    <row r="2273">
      <c r="B2273" s="21">
        <f>IF(AND(C2273&lt;&gt;"", J2273&lt;&gt;""), HYPERLINK("#'" &amp; C2273 &amp; "'!" &amp; J2273, J2273), "")</f>
        <v/>
      </c>
    </row>
    <row r="2274">
      <c r="B2274" s="21">
        <f>IF(AND(C2274&lt;&gt;"", J2274&lt;&gt;""), HYPERLINK("#'" &amp; C2274 &amp; "'!" &amp; J2274, J2274), "")</f>
        <v/>
      </c>
    </row>
    <row r="2275">
      <c r="B2275" s="21">
        <f>IF(AND(C2275&lt;&gt;"", J2275&lt;&gt;""), HYPERLINK("#'" &amp; C2275 &amp; "'!" &amp; J2275, J2275), "")</f>
        <v/>
      </c>
    </row>
    <row r="2276">
      <c r="B2276" s="21">
        <f>IF(AND(C2276&lt;&gt;"", J2276&lt;&gt;""), HYPERLINK("#'" &amp; C2276 &amp; "'!" &amp; J2276, J2276), "")</f>
        <v/>
      </c>
    </row>
    <row r="2277">
      <c r="B2277" s="21">
        <f>IF(AND(C2277&lt;&gt;"", J2277&lt;&gt;""), HYPERLINK("#'" &amp; C2277 &amp; "'!" &amp; J2277, J2277), "")</f>
        <v/>
      </c>
    </row>
    <row r="2278">
      <c r="B2278" s="21">
        <f>IF(AND(C2278&lt;&gt;"", J2278&lt;&gt;""), HYPERLINK("#'" &amp; C2278 &amp; "'!" &amp; J2278, J2278), "")</f>
        <v/>
      </c>
    </row>
    <row r="2279">
      <c r="B2279" s="21">
        <f>IF(AND(C2279&lt;&gt;"", J2279&lt;&gt;""), HYPERLINK("#'" &amp; C2279 &amp; "'!" &amp; J2279, J2279), "")</f>
        <v/>
      </c>
    </row>
    <row r="2280">
      <c r="B2280" s="21">
        <f>IF(AND(C2280&lt;&gt;"", J2280&lt;&gt;""), HYPERLINK("#'" &amp; C2280 &amp; "'!" &amp; J2280, J2280), "")</f>
        <v/>
      </c>
    </row>
    <row r="2281">
      <c r="B2281" s="21">
        <f>IF(AND(C2281&lt;&gt;"", J2281&lt;&gt;""), HYPERLINK("#'" &amp; C2281 &amp; "'!" &amp; J2281, J2281), "")</f>
        <v/>
      </c>
    </row>
    <row r="2282">
      <c r="B2282" s="21">
        <f>IF(AND(C2282&lt;&gt;"", J2282&lt;&gt;""), HYPERLINK("#'" &amp; C2282 &amp; "'!" &amp; J2282, J2282), "")</f>
        <v/>
      </c>
    </row>
    <row r="2283">
      <c r="B2283" s="21">
        <f>IF(AND(C2283&lt;&gt;"", J2283&lt;&gt;""), HYPERLINK("#'" &amp; C2283 &amp; "'!" &amp; J2283, J2283), "")</f>
        <v/>
      </c>
    </row>
    <row r="2284">
      <c r="B2284" s="21">
        <f>IF(AND(C2284&lt;&gt;"", J2284&lt;&gt;""), HYPERLINK("#'" &amp; C2284 &amp; "'!" &amp; J2284, J2284), "")</f>
        <v/>
      </c>
    </row>
    <row r="2285">
      <c r="B2285" s="21">
        <f>IF(AND(C2285&lt;&gt;"", J2285&lt;&gt;""), HYPERLINK("#'" &amp; C2285 &amp; "'!" &amp; J2285, J2285), "")</f>
        <v/>
      </c>
    </row>
    <row r="2286">
      <c r="B2286" s="21">
        <f>IF(AND(C2286&lt;&gt;"", J2286&lt;&gt;""), HYPERLINK("#'" &amp; C2286 &amp; "'!" &amp; J2286, J2286), "")</f>
        <v/>
      </c>
    </row>
    <row r="2287">
      <c r="B2287" s="21">
        <f>IF(AND(C2287&lt;&gt;"", J2287&lt;&gt;""), HYPERLINK("#'" &amp; C2287 &amp; "'!" &amp; J2287, J2287), "")</f>
        <v/>
      </c>
    </row>
    <row r="2288">
      <c r="B2288" s="21">
        <f>IF(AND(C2288&lt;&gt;"", J2288&lt;&gt;""), HYPERLINK("#'" &amp; C2288 &amp; "'!" &amp; J2288, J2288), "")</f>
        <v/>
      </c>
    </row>
    <row r="2289">
      <c r="B2289" s="21">
        <f>IF(AND(C2289&lt;&gt;"", J2289&lt;&gt;""), HYPERLINK("#'" &amp; C2289 &amp; "'!" &amp; J2289, J2289), "")</f>
        <v/>
      </c>
    </row>
    <row r="2290">
      <c r="B2290" s="21">
        <f>IF(AND(C2290&lt;&gt;"", J2290&lt;&gt;""), HYPERLINK("#'" &amp; C2290 &amp; "'!" &amp; J2290, J2290), "")</f>
        <v/>
      </c>
    </row>
    <row r="2291">
      <c r="B2291" s="21">
        <f>IF(AND(C2291&lt;&gt;"", J2291&lt;&gt;""), HYPERLINK("#'" &amp; C2291 &amp; "'!" &amp; J2291, J2291), "")</f>
        <v/>
      </c>
    </row>
    <row r="2292">
      <c r="B2292" s="21">
        <f>IF(AND(C2292&lt;&gt;"", J2292&lt;&gt;""), HYPERLINK("#'" &amp; C2292 &amp; "'!" &amp; J2292, J2292), "")</f>
        <v/>
      </c>
    </row>
    <row r="2293">
      <c r="B2293" s="21">
        <f>IF(AND(C2293&lt;&gt;"", J2293&lt;&gt;""), HYPERLINK("#'" &amp; C2293 &amp; "'!" &amp; J2293, J2293), "")</f>
        <v/>
      </c>
    </row>
    <row r="2294">
      <c r="B2294" s="21">
        <f>IF(AND(C2294&lt;&gt;"", J2294&lt;&gt;""), HYPERLINK("#'" &amp; C2294 &amp; "'!" &amp; J2294, J2294), "")</f>
        <v/>
      </c>
    </row>
    <row r="2295">
      <c r="B2295" s="21">
        <f>IF(AND(C2295&lt;&gt;"", J2295&lt;&gt;""), HYPERLINK("#'" &amp; C2295 &amp; "'!" &amp; J2295, J2295), "")</f>
        <v/>
      </c>
    </row>
    <row r="2296">
      <c r="B2296" s="21">
        <f>IF(AND(C2296&lt;&gt;"", J2296&lt;&gt;""), HYPERLINK("#'" &amp; C2296 &amp; "'!" &amp; J2296, J2296), "")</f>
        <v/>
      </c>
    </row>
    <row r="2297">
      <c r="B2297" s="21">
        <f>IF(AND(C2297&lt;&gt;"", J2297&lt;&gt;""), HYPERLINK("#'" &amp; C2297 &amp; "'!" &amp; J2297, J2297), "")</f>
        <v/>
      </c>
    </row>
    <row r="2298">
      <c r="B2298" s="21">
        <f>IF(AND(C2298&lt;&gt;"", J2298&lt;&gt;""), HYPERLINK("#'" &amp; C2298 &amp; "'!" &amp; J2298, J2298), "")</f>
        <v/>
      </c>
    </row>
    <row r="2299">
      <c r="B2299" s="21">
        <f>IF(AND(C2299&lt;&gt;"", J2299&lt;&gt;""), HYPERLINK("#'" &amp; C2299 &amp; "'!" &amp; J2299, J2299), "")</f>
        <v/>
      </c>
    </row>
    <row r="2300">
      <c r="B2300" s="21">
        <f>IF(AND(C2300&lt;&gt;"", J2300&lt;&gt;""), HYPERLINK("#'" &amp; C2300 &amp; "'!" &amp; J2300, J2300), "")</f>
        <v/>
      </c>
    </row>
    <row r="2301">
      <c r="B2301" s="21">
        <f>IF(AND(C2301&lt;&gt;"", J2301&lt;&gt;""), HYPERLINK("#'" &amp; C2301 &amp; "'!" &amp; J2301, J2301), "")</f>
        <v/>
      </c>
    </row>
    <row r="2302">
      <c r="B2302" s="21">
        <f>IF(AND(C2302&lt;&gt;"", J2302&lt;&gt;""), HYPERLINK("#'" &amp; C2302 &amp; "'!" &amp; J2302, J2302), "")</f>
        <v/>
      </c>
    </row>
    <row r="2303">
      <c r="B2303" s="21">
        <f>IF(AND(C2303&lt;&gt;"", J2303&lt;&gt;""), HYPERLINK("#'" &amp; C2303 &amp; "'!" &amp; J2303, J2303), "")</f>
        <v/>
      </c>
    </row>
    <row r="2304">
      <c r="B2304" s="21">
        <f>IF(AND(C2304&lt;&gt;"", J2304&lt;&gt;""), HYPERLINK("#'" &amp; C2304 &amp; "'!" &amp; J2304, J2304), "")</f>
        <v/>
      </c>
    </row>
    <row r="2305">
      <c r="B2305" s="21">
        <f>IF(AND(C2305&lt;&gt;"", J2305&lt;&gt;""), HYPERLINK("#'" &amp; C2305 &amp; "'!" &amp; J2305, J2305), "")</f>
        <v/>
      </c>
    </row>
    <row r="2306">
      <c r="B2306" s="21">
        <f>IF(AND(C2306&lt;&gt;"", J2306&lt;&gt;""), HYPERLINK("#'" &amp; C2306 &amp; "'!" &amp; J2306, J2306), "")</f>
        <v/>
      </c>
    </row>
    <row r="2307">
      <c r="B2307" s="21">
        <f>IF(AND(C2307&lt;&gt;"", J2307&lt;&gt;""), HYPERLINK("#'" &amp; C2307 &amp; "'!" &amp; J2307, J2307), "")</f>
        <v/>
      </c>
    </row>
    <row r="2308">
      <c r="B2308" s="21">
        <f>IF(AND(C2308&lt;&gt;"", J2308&lt;&gt;""), HYPERLINK("#'" &amp; C2308 &amp; "'!" &amp; J2308, J2308), "")</f>
        <v/>
      </c>
    </row>
    <row r="2309">
      <c r="B2309" s="21">
        <f>IF(AND(C2309&lt;&gt;"", J2309&lt;&gt;""), HYPERLINK("#'" &amp; C2309 &amp; "'!" &amp; J2309, J2309), "")</f>
        <v/>
      </c>
    </row>
    <row r="2310">
      <c r="B2310" s="21">
        <f>IF(AND(C2310&lt;&gt;"", J2310&lt;&gt;""), HYPERLINK("#'" &amp; C2310 &amp; "'!" &amp; J2310, J2310), "")</f>
        <v/>
      </c>
    </row>
    <row r="2311">
      <c r="B2311" s="21">
        <f>IF(AND(C2311&lt;&gt;"", J2311&lt;&gt;""), HYPERLINK("#'" &amp; C2311 &amp; "'!" &amp; J2311, J2311), "")</f>
        <v/>
      </c>
    </row>
    <row r="2312">
      <c r="B2312" s="21">
        <f>IF(AND(C2312&lt;&gt;"", J2312&lt;&gt;""), HYPERLINK("#'" &amp; C2312 &amp; "'!" &amp; J2312, J2312), "")</f>
        <v/>
      </c>
    </row>
    <row r="2313">
      <c r="B2313" s="21">
        <f>IF(AND(C2313&lt;&gt;"", J2313&lt;&gt;""), HYPERLINK("#'" &amp; C2313 &amp; "'!" &amp; J2313, J2313), "")</f>
        <v/>
      </c>
    </row>
    <row r="2314">
      <c r="B2314" s="21">
        <f>IF(AND(C2314&lt;&gt;"", J2314&lt;&gt;""), HYPERLINK("#'" &amp; C2314 &amp; "'!" &amp; J2314, J2314), "")</f>
        <v/>
      </c>
    </row>
    <row r="2315">
      <c r="B2315" s="21">
        <f>IF(AND(C2315&lt;&gt;"", J2315&lt;&gt;""), HYPERLINK("#'" &amp; C2315 &amp; "'!" &amp; J2315, J2315), "")</f>
        <v/>
      </c>
    </row>
    <row r="2316">
      <c r="B2316" s="21">
        <f>IF(AND(C2316&lt;&gt;"", J2316&lt;&gt;""), HYPERLINK("#'" &amp; C2316 &amp; "'!" &amp; J2316, J2316), "")</f>
        <v/>
      </c>
    </row>
    <row r="2317">
      <c r="B2317" s="21">
        <f>IF(AND(C2317&lt;&gt;"", J2317&lt;&gt;""), HYPERLINK("#'" &amp; C2317 &amp; "'!" &amp; J2317, J2317), "")</f>
        <v/>
      </c>
    </row>
    <row r="2318">
      <c r="B2318" s="21">
        <f>IF(AND(C2318&lt;&gt;"", J2318&lt;&gt;""), HYPERLINK("#'" &amp; C2318 &amp; "'!" &amp; J2318, J2318), "")</f>
        <v/>
      </c>
    </row>
    <row r="2319">
      <c r="B2319" s="21">
        <f>IF(AND(C2319&lt;&gt;"", J2319&lt;&gt;""), HYPERLINK("#'" &amp; C2319 &amp; "'!" &amp; J2319, J2319), "")</f>
        <v/>
      </c>
    </row>
    <row r="2320">
      <c r="B2320" s="21">
        <f>IF(AND(C2320&lt;&gt;"", J2320&lt;&gt;""), HYPERLINK("#'" &amp; C2320 &amp; "'!" &amp; J2320, J2320), "")</f>
        <v/>
      </c>
    </row>
    <row r="2321">
      <c r="B2321" s="21">
        <f>IF(AND(C2321&lt;&gt;"", J2321&lt;&gt;""), HYPERLINK("#'" &amp; C2321 &amp; "'!" &amp; J2321, J2321), "")</f>
        <v/>
      </c>
    </row>
    <row r="2322">
      <c r="B2322" s="21">
        <f>IF(AND(C2322&lt;&gt;"", J2322&lt;&gt;""), HYPERLINK("#'" &amp; C2322 &amp; "'!" &amp; J2322, J2322), "")</f>
        <v/>
      </c>
    </row>
    <row r="2323">
      <c r="B2323" s="21">
        <f>IF(AND(C2323&lt;&gt;"", J2323&lt;&gt;""), HYPERLINK("#'" &amp; C2323 &amp; "'!" &amp; J2323, J2323), "")</f>
        <v/>
      </c>
    </row>
    <row r="2324">
      <c r="B2324" s="21">
        <f>IF(AND(C2324&lt;&gt;"", J2324&lt;&gt;""), HYPERLINK("#'" &amp; C2324 &amp; "'!" &amp; J2324, J2324), "")</f>
        <v/>
      </c>
    </row>
    <row r="2325">
      <c r="B2325" s="21">
        <f>IF(AND(C2325&lt;&gt;"", J2325&lt;&gt;""), HYPERLINK("#'" &amp; C2325 &amp; "'!" &amp; J2325, J2325), "")</f>
        <v/>
      </c>
    </row>
    <row r="2326">
      <c r="B2326" s="21">
        <f>IF(AND(C2326&lt;&gt;"", J2326&lt;&gt;""), HYPERLINK("#'" &amp; C2326 &amp; "'!" &amp; J2326, J2326), "")</f>
        <v/>
      </c>
    </row>
    <row r="2327">
      <c r="B2327" s="21">
        <f>IF(AND(C2327&lt;&gt;"", J2327&lt;&gt;""), HYPERLINK("#'" &amp; C2327 &amp; "'!" &amp; J2327, J2327), "")</f>
        <v/>
      </c>
    </row>
    <row r="2328">
      <c r="B2328" s="21">
        <f>IF(AND(C2328&lt;&gt;"", J2328&lt;&gt;""), HYPERLINK("#'" &amp; C2328 &amp; "'!" &amp; J2328, J2328), "")</f>
        <v/>
      </c>
    </row>
    <row r="2329">
      <c r="B2329" s="21">
        <f>IF(AND(C2329&lt;&gt;"", J2329&lt;&gt;""), HYPERLINK("#'" &amp; C2329 &amp; "'!" &amp; J2329, J2329), "")</f>
        <v/>
      </c>
    </row>
    <row r="2330">
      <c r="B2330" s="21">
        <f>IF(AND(C2330&lt;&gt;"", J2330&lt;&gt;""), HYPERLINK("#'" &amp; C2330 &amp; "'!" &amp; J2330, J2330), "")</f>
        <v/>
      </c>
    </row>
    <row r="2331">
      <c r="B2331" s="21">
        <f>IF(AND(C2331&lt;&gt;"", J2331&lt;&gt;""), HYPERLINK("#'" &amp; C2331 &amp; "'!" &amp; J2331, J2331), "")</f>
        <v/>
      </c>
    </row>
    <row r="2332">
      <c r="B2332" s="21">
        <f>IF(AND(C2332&lt;&gt;"", J2332&lt;&gt;""), HYPERLINK("#'" &amp; C2332 &amp; "'!" &amp; J2332, J2332), "")</f>
        <v/>
      </c>
    </row>
    <row r="2333">
      <c r="B2333" s="21">
        <f>IF(AND(C2333&lt;&gt;"", J2333&lt;&gt;""), HYPERLINK("#'" &amp; C2333 &amp; "'!" &amp; J2333, J2333), "")</f>
        <v/>
      </c>
    </row>
    <row r="2334">
      <c r="B2334" s="21">
        <f>IF(AND(C2334&lt;&gt;"", J2334&lt;&gt;""), HYPERLINK("#'" &amp; C2334 &amp; "'!" &amp; J2334, J2334), "")</f>
        <v/>
      </c>
    </row>
    <row r="2335">
      <c r="B2335" s="21">
        <f>IF(AND(C2335&lt;&gt;"", J2335&lt;&gt;""), HYPERLINK("#'" &amp; C2335 &amp; "'!" &amp; J2335, J2335), "")</f>
        <v/>
      </c>
    </row>
    <row r="2336">
      <c r="B2336" s="21">
        <f>IF(AND(C2336&lt;&gt;"", J2336&lt;&gt;""), HYPERLINK("#'" &amp; C2336 &amp; "'!" &amp; J2336, J2336), "")</f>
        <v/>
      </c>
    </row>
    <row r="2337">
      <c r="B2337" s="21">
        <f>IF(AND(C2337&lt;&gt;"", J2337&lt;&gt;""), HYPERLINK("#'" &amp; C2337 &amp; "'!" &amp; J2337, J2337), "")</f>
        <v/>
      </c>
    </row>
    <row r="2338">
      <c r="B2338" s="21">
        <f>IF(AND(C2338&lt;&gt;"", J2338&lt;&gt;""), HYPERLINK("#'" &amp; C2338 &amp; "'!" &amp; J2338, J2338), "")</f>
        <v/>
      </c>
    </row>
    <row r="2339">
      <c r="B2339" s="21">
        <f>IF(AND(C2339&lt;&gt;"", J2339&lt;&gt;""), HYPERLINK("#'" &amp; C2339 &amp; "'!" &amp; J2339, J2339), "")</f>
        <v/>
      </c>
    </row>
    <row r="2340">
      <c r="B2340" s="21">
        <f>IF(AND(C2340&lt;&gt;"", J2340&lt;&gt;""), HYPERLINK("#'" &amp; C2340 &amp; "'!" &amp; J2340, J2340), "")</f>
        <v/>
      </c>
    </row>
    <row r="2341">
      <c r="B2341" s="21">
        <f>IF(AND(C2341&lt;&gt;"", J2341&lt;&gt;""), HYPERLINK("#'" &amp; C2341 &amp; "'!" &amp; J2341, J2341), "")</f>
        <v/>
      </c>
    </row>
    <row r="2342">
      <c r="B2342" s="21">
        <f>IF(AND(C2342&lt;&gt;"", J2342&lt;&gt;""), HYPERLINK("#'" &amp; C2342 &amp; "'!" &amp; J2342, J2342), "")</f>
        <v/>
      </c>
    </row>
    <row r="2343">
      <c r="B2343" s="21">
        <f>IF(AND(C2343&lt;&gt;"", J2343&lt;&gt;""), HYPERLINK("#'" &amp; C2343 &amp; "'!" &amp; J2343, J2343), "")</f>
        <v/>
      </c>
    </row>
    <row r="2344">
      <c r="B2344" s="21">
        <f>IF(AND(C2344&lt;&gt;"", J2344&lt;&gt;""), HYPERLINK("#'" &amp; C2344 &amp; "'!" &amp; J2344, J2344), "")</f>
        <v/>
      </c>
    </row>
    <row r="2345">
      <c r="B2345" s="21">
        <f>IF(AND(C2345&lt;&gt;"", J2345&lt;&gt;""), HYPERLINK("#'" &amp; C2345 &amp; "'!" &amp; J2345, J2345), "")</f>
        <v/>
      </c>
    </row>
    <row r="2346">
      <c r="B2346" s="21">
        <f>IF(AND(C2346&lt;&gt;"", J2346&lt;&gt;""), HYPERLINK("#'" &amp; C2346 &amp; "'!" &amp; J2346, J2346), "")</f>
        <v/>
      </c>
    </row>
    <row r="2347">
      <c r="B2347" s="21">
        <f>IF(AND(C2347&lt;&gt;"", J2347&lt;&gt;""), HYPERLINK("#'" &amp; C2347 &amp; "'!" &amp; J2347, J2347), "")</f>
        <v/>
      </c>
    </row>
    <row r="2348">
      <c r="B2348" s="21">
        <f>IF(AND(C2348&lt;&gt;"", J2348&lt;&gt;""), HYPERLINK("#'" &amp; C2348 &amp; "'!" &amp; J2348, J2348), "")</f>
        <v/>
      </c>
    </row>
    <row r="2349">
      <c r="B2349" s="21">
        <f>IF(AND(C2349&lt;&gt;"", J2349&lt;&gt;""), HYPERLINK("#'" &amp; C2349 &amp; "'!" &amp; J2349, J2349), "")</f>
        <v/>
      </c>
    </row>
    <row r="2350">
      <c r="B2350" s="21">
        <f>IF(AND(C2350&lt;&gt;"", J2350&lt;&gt;""), HYPERLINK("#'" &amp; C2350 &amp; "'!" &amp; J2350, J2350), "")</f>
        <v/>
      </c>
    </row>
    <row r="2351">
      <c r="B2351" s="21">
        <f>IF(AND(C2351&lt;&gt;"", J2351&lt;&gt;""), HYPERLINK("#'" &amp; C2351 &amp; "'!" &amp; J2351, J2351), "")</f>
        <v/>
      </c>
    </row>
    <row r="2352">
      <c r="B2352" s="21">
        <f>IF(AND(C2352&lt;&gt;"", J2352&lt;&gt;""), HYPERLINK("#'" &amp; C2352 &amp; "'!" &amp; J2352, J2352), "")</f>
        <v/>
      </c>
    </row>
    <row r="2353">
      <c r="B2353" s="21">
        <f>IF(AND(C2353&lt;&gt;"", J2353&lt;&gt;""), HYPERLINK("#'" &amp; C2353 &amp; "'!" &amp; J2353, J2353), "")</f>
        <v/>
      </c>
    </row>
    <row r="2354">
      <c r="B2354" s="21">
        <f>IF(AND(C2354&lt;&gt;"", J2354&lt;&gt;""), HYPERLINK("#'" &amp; C2354 &amp; "'!" &amp; J2354, J2354), "")</f>
        <v/>
      </c>
    </row>
    <row r="2355">
      <c r="B2355" s="21">
        <f>IF(AND(C2355&lt;&gt;"", J2355&lt;&gt;""), HYPERLINK("#'" &amp; C2355 &amp; "'!" &amp; J2355, J2355), "")</f>
        <v/>
      </c>
    </row>
    <row r="2356">
      <c r="B2356" s="21">
        <f>IF(AND(C2356&lt;&gt;"", J2356&lt;&gt;""), HYPERLINK("#'" &amp; C2356 &amp; "'!" &amp; J2356, J2356), "")</f>
        <v/>
      </c>
    </row>
    <row r="2357">
      <c r="B2357" s="21">
        <f>IF(AND(C2357&lt;&gt;"", J2357&lt;&gt;""), HYPERLINK("#'" &amp; C2357 &amp; "'!" &amp; J2357, J2357), "")</f>
        <v/>
      </c>
    </row>
    <row r="2358">
      <c r="B2358" s="21">
        <f>IF(AND(C2358&lt;&gt;"", J2358&lt;&gt;""), HYPERLINK("#'" &amp; C2358 &amp; "'!" &amp; J2358, J2358), "")</f>
        <v/>
      </c>
    </row>
    <row r="2359">
      <c r="B2359" s="21">
        <f>IF(AND(C2359&lt;&gt;"", J2359&lt;&gt;""), HYPERLINK("#'" &amp; C2359 &amp; "'!" &amp; J2359, J2359), "")</f>
        <v/>
      </c>
    </row>
    <row r="2360">
      <c r="B2360" s="21">
        <f>IF(AND(C2360&lt;&gt;"", J2360&lt;&gt;""), HYPERLINK("#'" &amp; C2360 &amp; "'!" &amp; J2360, J2360), "")</f>
        <v/>
      </c>
    </row>
    <row r="2361">
      <c r="B2361" s="21">
        <f>IF(AND(C2361&lt;&gt;"", J2361&lt;&gt;""), HYPERLINK("#'" &amp; C2361 &amp; "'!" &amp; J2361, J2361), "")</f>
        <v/>
      </c>
    </row>
    <row r="2362">
      <c r="B2362" s="21">
        <f>IF(AND(C2362&lt;&gt;"", J2362&lt;&gt;""), HYPERLINK("#'" &amp; C2362 &amp; "'!" &amp; J2362, J2362), "")</f>
        <v/>
      </c>
    </row>
    <row r="2363">
      <c r="B2363" s="21">
        <f>IF(AND(C2363&lt;&gt;"", J2363&lt;&gt;""), HYPERLINK("#'" &amp; C2363 &amp; "'!" &amp; J2363, J2363), "")</f>
        <v/>
      </c>
    </row>
    <row r="2364">
      <c r="B2364" s="21">
        <f>IF(AND(C2364&lt;&gt;"", J2364&lt;&gt;""), HYPERLINK("#'" &amp; C2364 &amp; "'!" &amp; J2364, J2364), "")</f>
        <v/>
      </c>
    </row>
    <row r="2365">
      <c r="B2365" s="21">
        <f>IF(AND(C2365&lt;&gt;"", J2365&lt;&gt;""), HYPERLINK("#'" &amp; C2365 &amp; "'!" &amp; J2365, J2365), "")</f>
        <v/>
      </c>
    </row>
    <row r="2366">
      <c r="B2366" s="21">
        <f>IF(AND(C2366&lt;&gt;"", J2366&lt;&gt;""), HYPERLINK("#'" &amp; C2366 &amp; "'!" &amp; J2366, J2366), "")</f>
        <v/>
      </c>
    </row>
    <row r="2367">
      <c r="B2367" s="21">
        <f>IF(AND(C2367&lt;&gt;"", J2367&lt;&gt;""), HYPERLINK("#'" &amp; C2367 &amp; "'!" &amp; J2367, J2367), "")</f>
        <v/>
      </c>
    </row>
    <row r="2368">
      <c r="B2368" s="21">
        <f>IF(AND(C2368&lt;&gt;"", J2368&lt;&gt;""), HYPERLINK("#'" &amp; C2368 &amp; "'!" &amp; J2368, J2368), "")</f>
        <v/>
      </c>
    </row>
    <row r="2369">
      <c r="B2369" s="21">
        <f>IF(AND(C2369&lt;&gt;"", J2369&lt;&gt;""), HYPERLINK("#'" &amp; C2369 &amp; "'!" &amp; J2369, J2369), "")</f>
        <v/>
      </c>
    </row>
    <row r="2370">
      <c r="B2370" s="21">
        <f>IF(AND(C2370&lt;&gt;"", J2370&lt;&gt;""), HYPERLINK("#'" &amp; C2370 &amp; "'!" &amp; J2370, J2370), "")</f>
        <v/>
      </c>
    </row>
    <row r="2371">
      <c r="B2371" s="21">
        <f>IF(AND(C2371&lt;&gt;"", J2371&lt;&gt;""), HYPERLINK("#'" &amp; C2371 &amp; "'!" &amp; J2371, J2371), "")</f>
        <v/>
      </c>
    </row>
    <row r="2372">
      <c r="B2372" s="21">
        <f>IF(AND(C2372&lt;&gt;"", J2372&lt;&gt;""), HYPERLINK("#'" &amp; C2372 &amp; "'!" &amp; J2372, J2372), "")</f>
        <v/>
      </c>
    </row>
    <row r="2373">
      <c r="B2373" s="21">
        <f>IF(AND(C2373&lt;&gt;"", J2373&lt;&gt;""), HYPERLINK("#'" &amp; C2373 &amp; "'!" &amp; J2373, J2373), "")</f>
        <v/>
      </c>
    </row>
    <row r="2374">
      <c r="B2374" s="21">
        <f>IF(AND(C2374&lt;&gt;"", J2374&lt;&gt;""), HYPERLINK("#'" &amp; C2374 &amp; "'!" &amp; J2374, J2374), "")</f>
        <v/>
      </c>
    </row>
    <row r="2375">
      <c r="B2375" s="21">
        <f>IF(AND(C2375&lt;&gt;"", J2375&lt;&gt;""), HYPERLINK("#'" &amp; C2375 &amp; "'!" &amp; J2375, J2375), "")</f>
        <v/>
      </c>
    </row>
    <row r="2376">
      <c r="B2376" s="21">
        <f>IF(AND(C2376&lt;&gt;"", J2376&lt;&gt;""), HYPERLINK("#'" &amp; C2376 &amp; "'!" &amp; J2376, J2376), "")</f>
        <v/>
      </c>
    </row>
    <row r="2377">
      <c r="B2377" s="21">
        <f>IF(AND(C2377&lt;&gt;"", J2377&lt;&gt;""), HYPERLINK("#'" &amp; C2377 &amp; "'!" &amp; J2377, J2377), "")</f>
        <v/>
      </c>
    </row>
    <row r="2378">
      <c r="B2378" s="21">
        <f>IF(AND(C2378&lt;&gt;"", J2378&lt;&gt;""), HYPERLINK("#'" &amp; C2378 &amp; "'!" &amp; J2378, J2378), "")</f>
        <v/>
      </c>
    </row>
    <row r="2379">
      <c r="B2379" s="21">
        <f>IF(AND(C2379&lt;&gt;"", J2379&lt;&gt;""), HYPERLINK("#'" &amp; C2379 &amp; "'!" &amp; J2379, J2379), "")</f>
        <v/>
      </c>
    </row>
    <row r="2380">
      <c r="B2380" s="21">
        <f>IF(AND(C2380&lt;&gt;"", J2380&lt;&gt;""), HYPERLINK("#'" &amp; C2380 &amp; "'!" &amp; J2380, J2380), "")</f>
        <v/>
      </c>
    </row>
    <row r="2381">
      <c r="B2381" s="21">
        <f>IF(AND(C2381&lt;&gt;"", J2381&lt;&gt;""), HYPERLINK("#'" &amp; C2381 &amp; "'!" &amp; J2381, J2381), "")</f>
        <v/>
      </c>
    </row>
    <row r="2382">
      <c r="B2382" s="21">
        <f>IF(AND(C2382&lt;&gt;"", J2382&lt;&gt;""), HYPERLINK("#'" &amp; C2382 &amp; "'!" &amp; J2382, J2382), "")</f>
        <v/>
      </c>
    </row>
    <row r="2383">
      <c r="B2383" s="21">
        <f>IF(AND(C2383&lt;&gt;"", J2383&lt;&gt;""), HYPERLINK("#'" &amp; C2383 &amp; "'!" &amp; J2383, J2383), "")</f>
        <v/>
      </c>
    </row>
    <row r="2384">
      <c r="B2384" s="21">
        <f>IF(AND(C2384&lt;&gt;"", J2384&lt;&gt;""), HYPERLINK("#'" &amp; C2384 &amp; "'!" &amp; J2384, J2384), "")</f>
        <v/>
      </c>
    </row>
    <row r="2385">
      <c r="B2385" s="21">
        <f>IF(AND(C2385&lt;&gt;"", J2385&lt;&gt;""), HYPERLINK("#'" &amp; C2385 &amp; "'!" &amp; J2385, J2385), "")</f>
        <v/>
      </c>
    </row>
    <row r="2386">
      <c r="B2386" s="21">
        <f>IF(AND(C2386&lt;&gt;"", J2386&lt;&gt;""), HYPERLINK("#'" &amp; C2386 &amp; "'!" &amp; J2386, J2386), "")</f>
        <v/>
      </c>
    </row>
    <row r="2387">
      <c r="B2387" s="21">
        <f>IF(AND(C2387&lt;&gt;"", J2387&lt;&gt;""), HYPERLINK("#'" &amp; C2387 &amp; "'!" &amp; J2387, J2387), "")</f>
        <v/>
      </c>
    </row>
    <row r="2388">
      <c r="B2388" s="21">
        <f>IF(AND(C2388&lt;&gt;"", J2388&lt;&gt;""), HYPERLINK("#'" &amp; C2388 &amp; "'!" &amp; J2388, J2388), "")</f>
        <v/>
      </c>
    </row>
    <row r="2389">
      <c r="B2389" s="21">
        <f>IF(AND(C2389&lt;&gt;"", J2389&lt;&gt;""), HYPERLINK("#'" &amp; C2389 &amp; "'!" &amp; J2389, J2389), "")</f>
        <v/>
      </c>
    </row>
    <row r="2390">
      <c r="B2390" s="21">
        <f>IF(AND(C2390&lt;&gt;"", J2390&lt;&gt;""), HYPERLINK("#'" &amp; C2390 &amp; "'!" &amp; J2390, J2390), "")</f>
        <v/>
      </c>
    </row>
    <row r="2391">
      <c r="B2391" s="21">
        <f>IF(AND(C2391&lt;&gt;"", J2391&lt;&gt;""), HYPERLINK("#'" &amp; C2391 &amp; "'!" &amp; J2391, J2391), "")</f>
        <v/>
      </c>
    </row>
    <row r="2392">
      <c r="B2392" s="21">
        <f>IF(AND(C2392&lt;&gt;"", J2392&lt;&gt;""), HYPERLINK("#'" &amp; C2392 &amp; "'!" &amp; J2392, J2392), "")</f>
        <v/>
      </c>
    </row>
    <row r="2393">
      <c r="B2393" s="21">
        <f>IF(AND(C2393&lt;&gt;"", J2393&lt;&gt;""), HYPERLINK("#'" &amp; C2393 &amp; "'!" &amp; J2393, J2393), "")</f>
        <v/>
      </c>
    </row>
    <row r="2394">
      <c r="B2394" s="21">
        <f>IF(AND(C2394&lt;&gt;"", J2394&lt;&gt;""), HYPERLINK("#'" &amp; C2394 &amp; "'!" &amp; J2394, J2394), "")</f>
        <v/>
      </c>
    </row>
    <row r="2395">
      <c r="B2395" s="21">
        <f>IF(AND(C2395&lt;&gt;"", J2395&lt;&gt;""), HYPERLINK("#'" &amp; C2395 &amp; "'!" &amp; J2395, J2395), "")</f>
        <v/>
      </c>
    </row>
    <row r="2396">
      <c r="B2396" s="21">
        <f>IF(AND(C2396&lt;&gt;"", J2396&lt;&gt;""), HYPERLINK("#'" &amp; C2396 &amp; "'!" &amp; J2396, J2396), "")</f>
        <v/>
      </c>
    </row>
    <row r="2397">
      <c r="B2397" s="21">
        <f>IF(AND(C2397&lt;&gt;"", J2397&lt;&gt;""), HYPERLINK("#'" &amp; C2397 &amp; "'!" &amp; J2397, J2397), "")</f>
        <v/>
      </c>
    </row>
    <row r="2398">
      <c r="B2398" s="21">
        <f>IF(AND(C2398&lt;&gt;"", J2398&lt;&gt;""), HYPERLINK("#'" &amp; C2398 &amp; "'!" &amp; J2398, J2398), "")</f>
        <v/>
      </c>
    </row>
    <row r="2399">
      <c r="B2399" s="21">
        <f>IF(AND(C2399&lt;&gt;"", J2399&lt;&gt;""), HYPERLINK("#'" &amp; C2399 &amp; "'!" &amp; J2399, J2399), "")</f>
        <v/>
      </c>
    </row>
    <row r="2400">
      <c r="B2400" s="21">
        <f>IF(AND(C2400&lt;&gt;"", J2400&lt;&gt;""), HYPERLINK("#'" &amp; C2400 &amp; "'!" &amp; J2400, J2400), "")</f>
        <v/>
      </c>
    </row>
    <row r="2401">
      <c r="B2401" s="21">
        <f>IF(AND(C2401&lt;&gt;"", J2401&lt;&gt;""), HYPERLINK("#'" &amp; C2401 &amp; "'!" &amp; J2401, J2401), "")</f>
        <v/>
      </c>
    </row>
    <row r="2402">
      <c r="B2402" s="21">
        <f>IF(AND(C2402&lt;&gt;"", J2402&lt;&gt;""), HYPERLINK("#'" &amp; C2402 &amp; "'!" &amp; J2402, J2402), "")</f>
        <v/>
      </c>
    </row>
    <row r="2403">
      <c r="B2403" s="21">
        <f>IF(AND(C2403&lt;&gt;"", J2403&lt;&gt;""), HYPERLINK("#'" &amp; C2403 &amp; "'!" &amp; J2403, J2403), "")</f>
        <v/>
      </c>
    </row>
    <row r="2404">
      <c r="B2404" s="21">
        <f>IF(AND(C2404&lt;&gt;"", J2404&lt;&gt;""), HYPERLINK("#'" &amp; C2404 &amp; "'!" &amp; J2404, J2404), "")</f>
        <v/>
      </c>
    </row>
    <row r="2405">
      <c r="B2405" s="21">
        <f>IF(AND(C2405&lt;&gt;"", J2405&lt;&gt;""), HYPERLINK("#'" &amp; C2405 &amp; "'!" &amp; J2405, J2405), "")</f>
        <v/>
      </c>
    </row>
    <row r="2406">
      <c r="B2406" s="21">
        <f>IF(AND(C2406&lt;&gt;"", J2406&lt;&gt;""), HYPERLINK("#'" &amp; C2406 &amp; "'!" &amp; J2406, J2406), "")</f>
        <v/>
      </c>
    </row>
    <row r="2407">
      <c r="B2407" s="21">
        <f>IF(AND(C2407&lt;&gt;"", J2407&lt;&gt;""), HYPERLINK("#'" &amp; C2407 &amp; "'!" &amp; J2407, J2407), "")</f>
        <v/>
      </c>
    </row>
    <row r="2408">
      <c r="B2408" s="21">
        <f>IF(AND(C2408&lt;&gt;"", J2408&lt;&gt;""), HYPERLINK("#'" &amp; C2408 &amp; "'!" &amp; J2408, J2408), "")</f>
        <v/>
      </c>
    </row>
    <row r="2409">
      <c r="B2409" s="21">
        <f>IF(AND(C2409&lt;&gt;"", J2409&lt;&gt;""), HYPERLINK("#'" &amp; C2409 &amp; "'!" &amp; J2409, J2409), "")</f>
        <v/>
      </c>
    </row>
    <row r="2410">
      <c r="B2410" s="21">
        <f>IF(AND(C2410&lt;&gt;"", J2410&lt;&gt;""), HYPERLINK("#'" &amp; C2410 &amp; "'!" &amp; J2410, J2410), "")</f>
        <v/>
      </c>
    </row>
    <row r="2411">
      <c r="B2411" s="21">
        <f>IF(AND(C2411&lt;&gt;"", J2411&lt;&gt;""), HYPERLINK("#'" &amp; C2411 &amp; "'!" &amp; J2411, J2411), "")</f>
        <v/>
      </c>
    </row>
    <row r="2412">
      <c r="B2412" s="21">
        <f>IF(AND(C2412&lt;&gt;"", J2412&lt;&gt;""), HYPERLINK("#'" &amp; C2412 &amp; "'!" &amp; J2412, J2412), "")</f>
        <v/>
      </c>
    </row>
    <row r="2413">
      <c r="B2413" s="21">
        <f>IF(AND(C2413&lt;&gt;"", J2413&lt;&gt;""), HYPERLINK("#'" &amp; C2413 &amp; "'!" &amp; J2413, J2413), "")</f>
        <v/>
      </c>
    </row>
    <row r="2414">
      <c r="B2414" s="21">
        <f>IF(AND(C2414&lt;&gt;"", J2414&lt;&gt;""), HYPERLINK("#'" &amp; C2414 &amp; "'!" &amp; J2414, J2414), "")</f>
        <v/>
      </c>
    </row>
    <row r="2415">
      <c r="B2415" s="21">
        <f>IF(AND(C2415&lt;&gt;"", J2415&lt;&gt;""), HYPERLINK("#'" &amp; C2415 &amp; "'!" &amp; J2415, J2415), "")</f>
        <v/>
      </c>
    </row>
    <row r="2416">
      <c r="B2416" s="21">
        <f>IF(AND(C2416&lt;&gt;"", J2416&lt;&gt;""), HYPERLINK("#'" &amp; C2416 &amp; "'!" &amp; J2416, J2416), "")</f>
        <v/>
      </c>
    </row>
    <row r="2417">
      <c r="B2417" s="21">
        <f>IF(AND(C2417&lt;&gt;"", J2417&lt;&gt;""), HYPERLINK("#'" &amp; C2417 &amp; "'!" &amp; J2417, J2417), "")</f>
        <v/>
      </c>
    </row>
    <row r="2418">
      <c r="B2418" s="21">
        <f>IF(AND(C2418&lt;&gt;"", J2418&lt;&gt;""), HYPERLINK("#'" &amp; C2418 &amp; "'!" &amp; J2418, J2418), "")</f>
        <v/>
      </c>
    </row>
    <row r="2419">
      <c r="B2419" s="21">
        <f>IF(AND(C2419&lt;&gt;"", J2419&lt;&gt;""), HYPERLINK("#'" &amp; C2419 &amp; "'!" &amp; J2419, J2419), "")</f>
        <v/>
      </c>
    </row>
    <row r="2420">
      <c r="B2420" s="21">
        <f>IF(AND(C2420&lt;&gt;"", J2420&lt;&gt;""), HYPERLINK("#'" &amp; C2420 &amp; "'!" &amp; J2420, J2420), "")</f>
        <v/>
      </c>
    </row>
    <row r="2421">
      <c r="B2421" s="21">
        <f>IF(AND(C2421&lt;&gt;"", J2421&lt;&gt;""), HYPERLINK("#'" &amp; C2421 &amp; "'!" &amp; J2421, J2421), "")</f>
        <v/>
      </c>
    </row>
    <row r="2422">
      <c r="B2422" s="21">
        <f>IF(AND(C2422&lt;&gt;"", J2422&lt;&gt;""), HYPERLINK("#'" &amp; C2422 &amp; "'!" &amp; J2422, J2422), "")</f>
        <v/>
      </c>
    </row>
    <row r="2423">
      <c r="B2423" s="21">
        <f>IF(AND(C2423&lt;&gt;"", J2423&lt;&gt;""), HYPERLINK("#'" &amp; C2423 &amp; "'!" &amp; J2423, J2423), "")</f>
        <v/>
      </c>
    </row>
    <row r="2424">
      <c r="B2424" s="21">
        <f>IF(AND(C2424&lt;&gt;"", J2424&lt;&gt;""), HYPERLINK("#'" &amp; C2424 &amp; "'!" &amp; J2424, J2424), "")</f>
        <v/>
      </c>
    </row>
    <row r="2425">
      <c r="B2425" s="21">
        <f>IF(AND(C2425&lt;&gt;"", J2425&lt;&gt;""), HYPERLINK("#'" &amp; C2425 &amp; "'!" &amp; J2425, J2425), "")</f>
        <v/>
      </c>
    </row>
    <row r="2426">
      <c r="B2426" s="21">
        <f>IF(AND(C2426&lt;&gt;"", J2426&lt;&gt;""), HYPERLINK("#'" &amp; C2426 &amp; "'!" &amp; J2426, J2426), "")</f>
        <v/>
      </c>
    </row>
    <row r="2427">
      <c r="B2427" s="21">
        <f>IF(AND(C2427&lt;&gt;"", J2427&lt;&gt;""), HYPERLINK("#'" &amp; C2427 &amp; "'!" &amp; J2427, J2427), "")</f>
        <v/>
      </c>
    </row>
    <row r="2428">
      <c r="B2428" s="21">
        <f>IF(AND(C2428&lt;&gt;"", J2428&lt;&gt;""), HYPERLINK("#'" &amp; C2428 &amp; "'!" &amp; J2428, J2428), "")</f>
        <v/>
      </c>
    </row>
    <row r="2429">
      <c r="B2429" s="21">
        <f>IF(AND(C2429&lt;&gt;"", J2429&lt;&gt;""), HYPERLINK("#'" &amp; C2429 &amp; "'!" &amp; J2429, J2429), "")</f>
        <v/>
      </c>
    </row>
    <row r="2430">
      <c r="B2430" s="21">
        <f>IF(AND(C2430&lt;&gt;"", J2430&lt;&gt;""), HYPERLINK("#'" &amp; C2430 &amp; "'!" &amp; J2430, J2430), "")</f>
        <v/>
      </c>
    </row>
    <row r="2431">
      <c r="B2431" s="21">
        <f>IF(AND(C2431&lt;&gt;"", J2431&lt;&gt;""), HYPERLINK("#'" &amp; C2431 &amp; "'!" &amp; J2431, J2431), "")</f>
        <v/>
      </c>
    </row>
    <row r="2432">
      <c r="B2432" s="21">
        <f>IF(AND(C2432&lt;&gt;"", J2432&lt;&gt;""), HYPERLINK("#'" &amp; C2432 &amp; "'!" &amp; J2432, J2432), "")</f>
        <v/>
      </c>
    </row>
    <row r="2433">
      <c r="B2433" s="21">
        <f>IF(AND(C2433&lt;&gt;"", J2433&lt;&gt;""), HYPERLINK("#'" &amp; C2433 &amp; "'!" &amp; J2433, J2433), "")</f>
        <v/>
      </c>
    </row>
    <row r="2434">
      <c r="B2434" s="21">
        <f>IF(AND(C2434&lt;&gt;"", J2434&lt;&gt;""), HYPERLINK("#'" &amp; C2434 &amp; "'!" &amp; J2434, J2434), "")</f>
        <v/>
      </c>
    </row>
    <row r="2435">
      <c r="B2435" s="21">
        <f>IF(AND(C2435&lt;&gt;"", J2435&lt;&gt;""), HYPERLINK("#'" &amp; C2435 &amp; "'!" &amp; J2435, J2435), "")</f>
        <v/>
      </c>
    </row>
    <row r="2436">
      <c r="B2436" s="21">
        <f>IF(AND(C2436&lt;&gt;"", J2436&lt;&gt;""), HYPERLINK("#'" &amp; C2436 &amp; "'!" &amp; J2436, J2436), "")</f>
        <v/>
      </c>
    </row>
    <row r="2437">
      <c r="B2437" s="21">
        <f>IF(AND(C2437&lt;&gt;"", J2437&lt;&gt;""), HYPERLINK("#'" &amp; C2437 &amp; "'!" &amp; J2437, J2437), "")</f>
        <v/>
      </c>
    </row>
    <row r="2438">
      <c r="B2438" s="21">
        <f>IF(AND(C2438&lt;&gt;"", J2438&lt;&gt;""), HYPERLINK("#'" &amp; C2438 &amp; "'!" &amp; J2438, J2438), "")</f>
        <v/>
      </c>
    </row>
    <row r="2439">
      <c r="B2439" s="21">
        <f>IF(AND(C2439&lt;&gt;"", J2439&lt;&gt;""), HYPERLINK("#'" &amp; C2439 &amp; "'!" &amp; J2439, J2439), "")</f>
        <v/>
      </c>
    </row>
    <row r="2440">
      <c r="B2440" s="21">
        <f>IF(AND(C2440&lt;&gt;"", J2440&lt;&gt;""), HYPERLINK("#'" &amp; C2440 &amp; "'!" &amp; J2440, J2440), "")</f>
        <v/>
      </c>
    </row>
    <row r="2441">
      <c r="B2441" s="21">
        <f>IF(AND(C2441&lt;&gt;"", J2441&lt;&gt;""), HYPERLINK("#'" &amp; C2441 &amp; "'!" &amp; J2441, J2441), "")</f>
        <v/>
      </c>
    </row>
    <row r="2442">
      <c r="B2442" s="21">
        <f>IF(AND(C2442&lt;&gt;"", J2442&lt;&gt;""), HYPERLINK("#'" &amp; C2442 &amp; "'!" &amp; J2442, J2442), "")</f>
        <v/>
      </c>
    </row>
    <row r="2443">
      <c r="B2443" s="21">
        <f>IF(AND(C2443&lt;&gt;"", J2443&lt;&gt;""), HYPERLINK("#'" &amp; C2443 &amp; "'!" &amp; J2443, J2443), "")</f>
        <v/>
      </c>
    </row>
    <row r="2444">
      <c r="B2444" s="21">
        <f>IF(AND(C2444&lt;&gt;"", J2444&lt;&gt;""), HYPERLINK("#'" &amp; C2444 &amp; "'!" &amp; J2444, J2444), "")</f>
        <v/>
      </c>
    </row>
    <row r="2445">
      <c r="B2445" s="21">
        <f>IF(AND(C2445&lt;&gt;"", J2445&lt;&gt;""), HYPERLINK("#'" &amp; C2445 &amp; "'!" &amp; J2445, J2445), "")</f>
        <v/>
      </c>
    </row>
    <row r="2446">
      <c r="B2446" s="21">
        <f>IF(AND(C2446&lt;&gt;"", J2446&lt;&gt;""), HYPERLINK("#'" &amp; C2446 &amp; "'!" &amp; J2446, J2446), "")</f>
        <v/>
      </c>
    </row>
    <row r="2447">
      <c r="B2447" s="21">
        <f>IF(AND(C2447&lt;&gt;"", J2447&lt;&gt;""), HYPERLINK("#'" &amp; C2447 &amp; "'!" &amp; J2447, J2447), "")</f>
        <v/>
      </c>
    </row>
    <row r="2448">
      <c r="B2448" s="21">
        <f>IF(AND(C2448&lt;&gt;"", J2448&lt;&gt;""), HYPERLINK("#'" &amp; C2448 &amp; "'!" &amp; J2448, J2448), "")</f>
        <v/>
      </c>
    </row>
    <row r="2449">
      <c r="B2449" s="21">
        <f>IF(AND(C2449&lt;&gt;"", J2449&lt;&gt;""), HYPERLINK("#'" &amp; C2449 &amp; "'!" &amp; J2449, J2449), "")</f>
        <v/>
      </c>
    </row>
    <row r="2450">
      <c r="B2450" s="21">
        <f>IF(AND(C2450&lt;&gt;"", J2450&lt;&gt;""), HYPERLINK("#'" &amp; C2450 &amp; "'!" &amp; J2450, J2450), "")</f>
        <v/>
      </c>
    </row>
    <row r="2451">
      <c r="B2451" s="21">
        <f>IF(AND(C2451&lt;&gt;"", J2451&lt;&gt;""), HYPERLINK("#'" &amp; C2451 &amp; "'!" &amp; J2451, J2451), "")</f>
        <v/>
      </c>
    </row>
    <row r="2452">
      <c r="B2452" s="21">
        <f>IF(AND(C2452&lt;&gt;"", J2452&lt;&gt;""), HYPERLINK("#'" &amp; C2452 &amp; "'!" &amp; J2452, J2452), "")</f>
        <v/>
      </c>
    </row>
    <row r="2453">
      <c r="B2453" s="21">
        <f>IF(AND(C2453&lt;&gt;"", J2453&lt;&gt;""), HYPERLINK("#'" &amp; C2453 &amp; "'!" &amp; J2453, J2453), "")</f>
        <v/>
      </c>
    </row>
    <row r="2454">
      <c r="B2454" s="21">
        <f>IF(AND(C2454&lt;&gt;"", J2454&lt;&gt;""), HYPERLINK("#'" &amp; C2454 &amp; "'!" &amp; J2454, J2454), "")</f>
        <v/>
      </c>
    </row>
    <row r="2455">
      <c r="B2455" s="21">
        <f>IF(AND(C2455&lt;&gt;"", J2455&lt;&gt;""), HYPERLINK("#'" &amp; C2455 &amp; "'!" &amp; J2455, J2455), "")</f>
        <v/>
      </c>
    </row>
    <row r="2456">
      <c r="B2456" s="21">
        <f>IF(AND(C2456&lt;&gt;"", J2456&lt;&gt;""), HYPERLINK("#'" &amp; C2456 &amp; "'!" &amp; J2456, J2456), "")</f>
        <v/>
      </c>
    </row>
    <row r="2457">
      <c r="B2457" s="21">
        <f>IF(AND(C2457&lt;&gt;"", J2457&lt;&gt;""), HYPERLINK("#'" &amp; C2457 &amp; "'!" &amp; J2457, J2457), "")</f>
        <v/>
      </c>
    </row>
    <row r="2458">
      <c r="B2458" s="21">
        <f>IF(AND(C2458&lt;&gt;"", J2458&lt;&gt;""), HYPERLINK("#'" &amp; C2458 &amp; "'!" &amp; J2458, J2458), "")</f>
        <v/>
      </c>
    </row>
    <row r="2459">
      <c r="B2459" s="21">
        <f>IF(AND(C2459&lt;&gt;"", J2459&lt;&gt;""), HYPERLINK("#'" &amp; C2459 &amp; "'!" &amp; J2459, J2459), "")</f>
        <v/>
      </c>
    </row>
    <row r="2460">
      <c r="B2460" s="21">
        <f>IF(AND(C2460&lt;&gt;"", J2460&lt;&gt;""), HYPERLINK("#'" &amp; C2460 &amp; "'!" &amp; J2460, J2460), "")</f>
        <v/>
      </c>
    </row>
    <row r="2461">
      <c r="B2461" s="21">
        <f>IF(AND(C2461&lt;&gt;"", J2461&lt;&gt;""), HYPERLINK("#'" &amp; C2461 &amp; "'!" &amp; J2461, J2461), "")</f>
        <v/>
      </c>
    </row>
    <row r="2462">
      <c r="B2462" s="21">
        <f>IF(AND(C2462&lt;&gt;"", J2462&lt;&gt;""), HYPERLINK("#'" &amp; C2462 &amp; "'!" &amp; J2462, J2462), "")</f>
        <v/>
      </c>
    </row>
    <row r="2463">
      <c r="B2463" s="21">
        <f>IF(AND(C2463&lt;&gt;"", J2463&lt;&gt;""), HYPERLINK("#'" &amp; C2463 &amp; "'!" &amp; J2463, J2463), "")</f>
        <v/>
      </c>
    </row>
    <row r="2464">
      <c r="B2464" s="21">
        <f>IF(AND(C2464&lt;&gt;"", J2464&lt;&gt;""), HYPERLINK("#'" &amp; C2464 &amp; "'!" &amp; J2464, J2464), "")</f>
        <v/>
      </c>
    </row>
    <row r="2465">
      <c r="B2465" s="21">
        <f>IF(AND(C2465&lt;&gt;"", J2465&lt;&gt;""), HYPERLINK("#'" &amp; C2465 &amp; "'!" &amp; J2465, J2465), "")</f>
        <v/>
      </c>
    </row>
    <row r="2466">
      <c r="B2466" s="21">
        <f>IF(AND(C2466&lt;&gt;"", J2466&lt;&gt;""), HYPERLINK("#'" &amp; C2466 &amp; "'!" &amp; J2466, J2466), "")</f>
        <v/>
      </c>
    </row>
    <row r="2467">
      <c r="B2467" s="21">
        <f>IF(AND(C2467&lt;&gt;"", J2467&lt;&gt;""), HYPERLINK("#'" &amp; C2467 &amp; "'!" &amp; J2467, J2467), "")</f>
        <v/>
      </c>
    </row>
    <row r="2468">
      <c r="B2468" s="21">
        <f>IF(AND(C2468&lt;&gt;"", J2468&lt;&gt;""), HYPERLINK("#'" &amp; C2468 &amp; "'!" &amp; J2468, J2468), "")</f>
        <v/>
      </c>
    </row>
    <row r="2469">
      <c r="B2469" s="21">
        <f>IF(AND(C2469&lt;&gt;"", J2469&lt;&gt;""), HYPERLINK("#'" &amp; C2469 &amp; "'!" &amp; J2469, J2469), "")</f>
        <v/>
      </c>
    </row>
    <row r="2470">
      <c r="B2470" s="21">
        <f>IF(AND(C2470&lt;&gt;"", J2470&lt;&gt;""), HYPERLINK("#'" &amp; C2470 &amp; "'!" &amp; J2470, J2470), "")</f>
        <v/>
      </c>
    </row>
    <row r="2471">
      <c r="B2471" s="21">
        <f>IF(AND(C2471&lt;&gt;"", J2471&lt;&gt;""), HYPERLINK("#'" &amp; C2471 &amp; "'!" &amp; J2471, J2471), "")</f>
        <v/>
      </c>
    </row>
    <row r="2472">
      <c r="B2472" s="21">
        <f>IF(AND(C2472&lt;&gt;"", J2472&lt;&gt;""), HYPERLINK("#'" &amp; C2472 &amp; "'!" &amp; J2472, J2472), "")</f>
        <v/>
      </c>
    </row>
    <row r="2473">
      <c r="B2473" s="21">
        <f>IF(AND(C2473&lt;&gt;"", J2473&lt;&gt;""), HYPERLINK("#'" &amp; C2473 &amp; "'!" &amp; J2473, J2473), "")</f>
        <v/>
      </c>
    </row>
    <row r="2474">
      <c r="B2474" s="21">
        <f>IF(AND(C2474&lt;&gt;"", J2474&lt;&gt;""), HYPERLINK("#'" &amp; C2474 &amp; "'!" &amp; J2474, J2474), "")</f>
        <v/>
      </c>
    </row>
    <row r="2475">
      <c r="B2475" s="21">
        <f>IF(AND(C2475&lt;&gt;"", J2475&lt;&gt;""), HYPERLINK("#'" &amp; C2475 &amp; "'!" &amp; J2475, J2475), "")</f>
        <v/>
      </c>
    </row>
    <row r="2476">
      <c r="B2476" s="21">
        <f>IF(AND(C2476&lt;&gt;"", J2476&lt;&gt;""), HYPERLINK("#'" &amp; C2476 &amp; "'!" &amp; J2476, J2476), "")</f>
        <v/>
      </c>
    </row>
    <row r="2477">
      <c r="B2477" s="21">
        <f>IF(AND(C2477&lt;&gt;"", J2477&lt;&gt;""), HYPERLINK("#'" &amp; C2477 &amp; "'!" &amp; J2477, J2477), "")</f>
        <v/>
      </c>
    </row>
    <row r="2478">
      <c r="B2478" s="21">
        <f>IF(AND(C2478&lt;&gt;"", J2478&lt;&gt;""), HYPERLINK("#'" &amp; C2478 &amp; "'!" &amp; J2478, J2478), "")</f>
        <v/>
      </c>
    </row>
    <row r="2479">
      <c r="B2479" s="21">
        <f>IF(AND(C2479&lt;&gt;"", J2479&lt;&gt;""), HYPERLINK("#'" &amp; C2479 &amp; "'!" &amp; J2479, J2479), "")</f>
        <v/>
      </c>
    </row>
    <row r="2480">
      <c r="B2480" s="21">
        <f>IF(AND(C2480&lt;&gt;"", J2480&lt;&gt;""), HYPERLINK("#'" &amp; C2480 &amp; "'!" &amp; J2480, J2480), "")</f>
        <v/>
      </c>
    </row>
    <row r="2481">
      <c r="B2481" s="21">
        <f>IF(AND(C2481&lt;&gt;"", J2481&lt;&gt;""), HYPERLINK("#'" &amp; C2481 &amp; "'!" &amp; J2481, J2481), "")</f>
        <v/>
      </c>
    </row>
    <row r="2482">
      <c r="B2482" s="21">
        <f>IF(AND(C2482&lt;&gt;"", J2482&lt;&gt;""), HYPERLINK("#'" &amp; C2482 &amp; "'!" &amp; J2482, J2482), "")</f>
        <v/>
      </c>
    </row>
    <row r="2483">
      <c r="B2483" s="21">
        <f>IF(AND(C2483&lt;&gt;"", J2483&lt;&gt;""), HYPERLINK("#'" &amp; C2483 &amp; "'!" &amp; J2483, J2483), "")</f>
        <v/>
      </c>
    </row>
    <row r="2484">
      <c r="B2484" s="21">
        <f>IF(AND(C2484&lt;&gt;"", J2484&lt;&gt;""), HYPERLINK("#'" &amp; C2484 &amp; "'!" &amp; J2484, J2484), "")</f>
        <v/>
      </c>
    </row>
    <row r="2485">
      <c r="B2485" s="21">
        <f>IF(AND(C2485&lt;&gt;"", J2485&lt;&gt;""), HYPERLINK("#'" &amp; C2485 &amp; "'!" &amp; J2485, J2485), "")</f>
        <v/>
      </c>
    </row>
    <row r="2486">
      <c r="B2486" s="21">
        <f>IF(AND(C2486&lt;&gt;"", J2486&lt;&gt;""), HYPERLINK("#'" &amp; C2486 &amp; "'!" &amp; J2486, J2486), "")</f>
        <v/>
      </c>
    </row>
    <row r="2487">
      <c r="B2487" s="21">
        <f>IF(AND(C2487&lt;&gt;"", J2487&lt;&gt;""), HYPERLINK("#'" &amp; C2487 &amp; "'!" &amp; J2487, J2487), "")</f>
        <v/>
      </c>
    </row>
    <row r="2488">
      <c r="B2488" s="21">
        <f>IF(AND(C2488&lt;&gt;"", J2488&lt;&gt;""), HYPERLINK("#'" &amp; C2488 &amp; "'!" &amp; J2488, J2488), "")</f>
        <v/>
      </c>
    </row>
    <row r="2489">
      <c r="B2489" s="21">
        <f>IF(AND(C2489&lt;&gt;"", J2489&lt;&gt;""), HYPERLINK("#'" &amp; C2489 &amp; "'!" &amp; J2489, J2489), "")</f>
        <v/>
      </c>
    </row>
    <row r="2490">
      <c r="B2490" s="21">
        <f>IF(AND(C2490&lt;&gt;"", J2490&lt;&gt;""), HYPERLINK("#'" &amp; C2490 &amp; "'!" &amp; J2490, J2490), "")</f>
        <v/>
      </c>
    </row>
    <row r="2491">
      <c r="B2491" s="21">
        <f>IF(AND(C2491&lt;&gt;"", J2491&lt;&gt;""), HYPERLINK("#'" &amp; C2491 &amp; "'!" &amp; J2491, J2491), "")</f>
        <v/>
      </c>
    </row>
    <row r="2492">
      <c r="B2492" s="21">
        <f>IF(AND(C2492&lt;&gt;"", J2492&lt;&gt;""), HYPERLINK("#'" &amp; C2492 &amp; "'!" &amp; J2492, J2492), "")</f>
        <v/>
      </c>
    </row>
    <row r="2493">
      <c r="B2493" s="21">
        <f>IF(AND(C2493&lt;&gt;"", J2493&lt;&gt;""), HYPERLINK("#'" &amp; C2493 &amp; "'!" &amp; J2493, J2493), "")</f>
        <v/>
      </c>
    </row>
    <row r="2494">
      <c r="B2494" s="21">
        <f>IF(AND(C2494&lt;&gt;"", J2494&lt;&gt;""), HYPERLINK("#'" &amp; C2494 &amp; "'!" &amp; J2494, J2494), "")</f>
        <v/>
      </c>
    </row>
    <row r="2495">
      <c r="B2495" s="21">
        <f>IF(AND(C2495&lt;&gt;"", J2495&lt;&gt;""), HYPERLINK("#'" &amp; C2495 &amp; "'!" &amp; J2495, J2495), "")</f>
        <v/>
      </c>
    </row>
    <row r="2496">
      <c r="B2496" s="21">
        <f>IF(AND(C2496&lt;&gt;"", J2496&lt;&gt;""), HYPERLINK("#'" &amp; C2496 &amp; "'!" &amp; J2496, J2496), "")</f>
        <v/>
      </c>
    </row>
    <row r="2497">
      <c r="B2497" s="21">
        <f>IF(AND(C2497&lt;&gt;"", J2497&lt;&gt;""), HYPERLINK("#'" &amp; C2497 &amp; "'!" &amp; J2497, J2497), "")</f>
        <v/>
      </c>
    </row>
    <row r="2498">
      <c r="B2498" s="21">
        <f>IF(AND(C2498&lt;&gt;"", J2498&lt;&gt;""), HYPERLINK("#'" &amp; C2498 &amp; "'!" &amp; J2498, J2498), "")</f>
        <v/>
      </c>
    </row>
    <row r="2499">
      <c r="B2499" s="21">
        <f>IF(AND(C2499&lt;&gt;"", J2499&lt;&gt;""), HYPERLINK("#'" &amp; C2499 &amp; "'!" &amp; J2499, J2499), "")</f>
        <v/>
      </c>
    </row>
    <row r="2500">
      <c r="B2500" s="21">
        <f>IF(AND(C2500&lt;&gt;"", J2500&lt;&gt;""), HYPERLINK("#'" &amp; C2500 &amp; "'!" &amp; J2500, J2500), "")</f>
        <v/>
      </c>
    </row>
    <row r="2501">
      <c r="B2501" s="21">
        <f>IF(AND(C2501&lt;&gt;"", J2501&lt;&gt;""), HYPERLINK("#'" &amp; C2501 &amp; "'!" &amp; J2501, J2501), "")</f>
        <v/>
      </c>
    </row>
    <row r="2502">
      <c r="B2502" s="21">
        <f>IF(AND(C2502&lt;&gt;"", J2502&lt;&gt;""), HYPERLINK("#'" &amp; C2502 &amp; "'!" &amp; J2502, J2502), "")</f>
        <v/>
      </c>
    </row>
    <row r="2503">
      <c r="B2503" s="21">
        <f>IF(AND(C2503&lt;&gt;"", J2503&lt;&gt;""), HYPERLINK("#'" &amp; C2503 &amp; "'!" &amp; J2503, J2503), "")</f>
        <v/>
      </c>
    </row>
    <row r="2504">
      <c r="B2504" s="21">
        <f>IF(AND(C2504&lt;&gt;"", J2504&lt;&gt;""), HYPERLINK("#'" &amp; C2504 &amp; "'!" &amp; J2504, J2504), "")</f>
        <v/>
      </c>
    </row>
    <row r="2505">
      <c r="B2505" s="21">
        <f>IF(AND(C2505&lt;&gt;"", J2505&lt;&gt;""), HYPERLINK("#'" &amp; C2505 &amp; "'!" &amp; J2505, J2505), "")</f>
        <v/>
      </c>
    </row>
    <row r="2506">
      <c r="B2506" s="21">
        <f>IF(AND(C2506&lt;&gt;"", J2506&lt;&gt;""), HYPERLINK("#'" &amp; C2506 &amp; "'!" &amp; J2506, J2506), "")</f>
        <v/>
      </c>
    </row>
    <row r="2507">
      <c r="B2507" s="21">
        <f>IF(AND(C2507&lt;&gt;"", J2507&lt;&gt;""), HYPERLINK("#'" &amp; C2507 &amp; "'!" &amp; J2507, J2507), "")</f>
        <v/>
      </c>
    </row>
    <row r="2508">
      <c r="B2508" s="21">
        <f>IF(AND(C2508&lt;&gt;"", J2508&lt;&gt;""), HYPERLINK("#'" &amp; C2508 &amp; "'!" &amp; J2508, J2508), "")</f>
        <v/>
      </c>
    </row>
    <row r="2509">
      <c r="B2509" s="21">
        <f>IF(AND(C2509&lt;&gt;"", J2509&lt;&gt;""), HYPERLINK("#'" &amp; C2509 &amp; "'!" &amp; J2509, J2509), "")</f>
        <v/>
      </c>
    </row>
    <row r="2510">
      <c r="B2510" s="21">
        <f>IF(AND(C2510&lt;&gt;"", J2510&lt;&gt;""), HYPERLINK("#'" &amp; C2510 &amp; "'!" &amp; J2510, J2510), "")</f>
        <v/>
      </c>
    </row>
    <row r="2511">
      <c r="B2511" s="21">
        <f>IF(AND(C2511&lt;&gt;"", J2511&lt;&gt;""), HYPERLINK("#'" &amp; C2511 &amp; "'!" &amp; J2511, J2511), "")</f>
        <v/>
      </c>
    </row>
    <row r="2512">
      <c r="B2512" s="21">
        <f>IF(AND(C2512&lt;&gt;"", J2512&lt;&gt;""), HYPERLINK("#'" &amp; C2512 &amp; "'!" &amp; J2512, J2512), "")</f>
        <v/>
      </c>
    </row>
    <row r="2513">
      <c r="B2513" s="21">
        <f>IF(AND(C2513&lt;&gt;"", J2513&lt;&gt;""), HYPERLINK("#'" &amp; C2513 &amp; "'!" &amp; J2513, J2513), "")</f>
        <v/>
      </c>
    </row>
    <row r="2514">
      <c r="B2514" s="21">
        <f>IF(AND(C2514&lt;&gt;"", J2514&lt;&gt;""), HYPERLINK("#'" &amp; C2514 &amp; "'!" &amp; J2514, J2514), "")</f>
        <v/>
      </c>
    </row>
    <row r="2515">
      <c r="B2515" s="21">
        <f>IF(AND(C2515&lt;&gt;"", J2515&lt;&gt;""), HYPERLINK("#'" &amp; C2515 &amp; "'!" &amp; J2515, J2515), "")</f>
        <v/>
      </c>
    </row>
    <row r="2516">
      <c r="B2516" s="21">
        <f>IF(AND(C2516&lt;&gt;"", J2516&lt;&gt;""), HYPERLINK("#'" &amp; C2516 &amp; "'!" &amp; J2516, J2516), "")</f>
        <v/>
      </c>
    </row>
    <row r="2517">
      <c r="B2517" s="21">
        <f>IF(AND(C2517&lt;&gt;"", J2517&lt;&gt;""), HYPERLINK("#'" &amp; C2517 &amp; "'!" &amp; J2517, J2517), "")</f>
        <v/>
      </c>
    </row>
    <row r="2518">
      <c r="B2518" s="21">
        <f>IF(AND(C2518&lt;&gt;"", J2518&lt;&gt;""), HYPERLINK("#'" &amp; C2518 &amp; "'!" &amp; J2518, J2518), "")</f>
        <v/>
      </c>
    </row>
    <row r="2519">
      <c r="B2519" s="21">
        <f>IF(AND(C2519&lt;&gt;"", J2519&lt;&gt;""), HYPERLINK("#'" &amp; C2519 &amp; "'!" &amp; J2519, J2519), "")</f>
        <v/>
      </c>
    </row>
    <row r="2520">
      <c r="B2520" s="21">
        <f>IF(AND(C2520&lt;&gt;"", J2520&lt;&gt;""), HYPERLINK("#'" &amp; C2520 &amp; "'!" &amp; J2520, J2520), "")</f>
        <v/>
      </c>
    </row>
    <row r="2521">
      <c r="B2521" s="21">
        <f>IF(AND(C2521&lt;&gt;"", J2521&lt;&gt;""), HYPERLINK("#'" &amp; C2521 &amp; "'!" &amp; J2521, J2521), "")</f>
        <v/>
      </c>
    </row>
    <row r="2522">
      <c r="B2522" s="21">
        <f>IF(AND(C2522&lt;&gt;"", J2522&lt;&gt;""), HYPERLINK("#'" &amp; C2522 &amp; "'!" &amp; J2522, J2522), "")</f>
        <v/>
      </c>
    </row>
    <row r="2523">
      <c r="B2523" s="21">
        <f>IF(AND(C2523&lt;&gt;"", J2523&lt;&gt;""), HYPERLINK("#'" &amp; C2523 &amp; "'!" &amp; J2523, J2523), "")</f>
        <v/>
      </c>
    </row>
    <row r="2524">
      <c r="B2524" s="21">
        <f>IF(AND(C2524&lt;&gt;"", J2524&lt;&gt;""), HYPERLINK("#'" &amp; C2524 &amp; "'!" &amp; J2524, J2524), "")</f>
        <v/>
      </c>
    </row>
    <row r="2525">
      <c r="B2525" s="21">
        <f>IF(AND(C2525&lt;&gt;"", J2525&lt;&gt;""), HYPERLINK("#'" &amp; C2525 &amp; "'!" &amp; J2525, J2525), "")</f>
        <v/>
      </c>
    </row>
    <row r="2526">
      <c r="B2526" s="21">
        <f>IF(AND(C2526&lt;&gt;"", J2526&lt;&gt;""), HYPERLINK("#'" &amp; C2526 &amp; "'!" &amp; J2526, J2526), "")</f>
        <v/>
      </c>
    </row>
    <row r="2527">
      <c r="B2527" s="21">
        <f>IF(AND(C2527&lt;&gt;"", J2527&lt;&gt;""), HYPERLINK("#'" &amp; C2527 &amp; "'!" &amp; J2527, J2527), "")</f>
        <v/>
      </c>
    </row>
    <row r="2528">
      <c r="B2528" s="21">
        <f>IF(AND(C2528&lt;&gt;"", J2528&lt;&gt;""), HYPERLINK("#'" &amp; C2528 &amp; "'!" &amp; J2528, J2528), "")</f>
        <v/>
      </c>
    </row>
    <row r="2529">
      <c r="B2529" s="21">
        <f>IF(AND(C2529&lt;&gt;"", J2529&lt;&gt;""), HYPERLINK("#'" &amp; C2529 &amp; "'!" &amp; J2529, J2529), "")</f>
        <v/>
      </c>
    </row>
    <row r="2530">
      <c r="B2530" s="21">
        <f>IF(AND(C2530&lt;&gt;"", J2530&lt;&gt;""), HYPERLINK("#'" &amp; C2530 &amp; "'!" &amp; J2530, J2530), "")</f>
        <v/>
      </c>
    </row>
    <row r="2531">
      <c r="B2531" s="21">
        <f>IF(AND(C2531&lt;&gt;"", J2531&lt;&gt;""), HYPERLINK("#'" &amp; C2531 &amp; "'!" &amp; J2531, J2531), "")</f>
        <v/>
      </c>
    </row>
    <row r="2532">
      <c r="B2532" s="21">
        <f>IF(AND(C2532&lt;&gt;"", J2532&lt;&gt;""), HYPERLINK("#'" &amp; C2532 &amp; "'!" &amp; J2532, J2532), "")</f>
        <v/>
      </c>
    </row>
    <row r="2533">
      <c r="B2533" s="21">
        <f>IF(AND(C2533&lt;&gt;"", J2533&lt;&gt;""), HYPERLINK("#'" &amp; C2533 &amp; "'!" &amp; J2533, J2533), "")</f>
        <v/>
      </c>
    </row>
    <row r="2534">
      <c r="B2534" s="21">
        <f>IF(AND(C2534&lt;&gt;"", J2534&lt;&gt;""), HYPERLINK("#'" &amp; C2534 &amp; "'!" &amp; J2534, J2534), "")</f>
        <v/>
      </c>
    </row>
    <row r="2535">
      <c r="B2535" s="21">
        <f>IF(AND(C2535&lt;&gt;"", J2535&lt;&gt;""), HYPERLINK("#'" &amp; C2535 &amp; "'!" &amp; J2535, J2535), "")</f>
        <v/>
      </c>
    </row>
    <row r="2536">
      <c r="B2536" s="21">
        <f>IF(AND(C2536&lt;&gt;"", J2536&lt;&gt;""), HYPERLINK("#'" &amp; C2536 &amp; "'!" &amp; J2536, J2536), "")</f>
        <v/>
      </c>
    </row>
    <row r="2537">
      <c r="B2537" s="21">
        <f>IF(AND(C2537&lt;&gt;"", J2537&lt;&gt;""), HYPERLINK("#'" &amp; C2537 &amp; "'!" &amp; J2537, J2537), "")</f>
        <v/>
      </c>
    </row>
    <row r="2538">
      <c r="B2538" s="21">
        <f>IF(AND(C2538&lt;&gt;"", J2538&lt;&gt;""), HYPERLINK("#'" &amp; C2538 &amp; "'!" &amp; J2538, J2538), "")</f>
        <v/>
      </c>
    </row>
    <row r="2539">
      <c r="B2539" s="21">
        <f>IF(AND(C2539&lt;&gt;"", J2539&lt;&gt;""), HYPERLINK("#'" &amp; C2539 &amp; "'!" &amp; J2539, J2539), "")</f>
        <v/>
      </c>
    </row>
    <row r="2540">
      <c r="B2540" s="21">
        <f>IF(AND(C2540&lt;&gt;"", J2540&lt;&gt;""), HYPERLINK("#'" &amp; C2540 &amp; "'!" &amp; J2540, J2540), "")</f>
        <v/>
      </c>
    </row>
    <row r="2541">
      <c r="B2541" s="21">
        <f>IF(AND(C2541&lt;&gt;"", J2541&lt;&gt;""), HYPERLINK("#'" &amp; C2541 &amp; "'!" &amp; J2541, J2541), "")</f>
        <v/>
      </c>
    </row>
    <row r="2542">
      <c r="B2542" s="21">
        <f>IF(AND(C2542&lt;&gt;"", J2542&lt;&gt;""), HYPERLINK("#'" &amp; C2542 &amp; "'!" &amp; J2542, J2542), "")</f>
        <v/>
      </c>
    </row>
    <row r="2543">
      <c r="B2543" s="21">
        <f>IF(AND(C2543&lt;&gt;"", J2543&lt;&gt;""), HYPERLINK("#'" &amp; C2543 &amp; "'!" &amp; J2543, J2543), "")</f>
        <v/>
      </c>
    </row>
    <row r="2544">
      <c r="B2544" s="21">
        <f>IF(AND(C2544&lt;&gt;"", J2544&lt;&gt;""), HYPERLINK("#'" &amp; C2544 &amp; "'!" &amp; J2544, J2544), "")</f>
        <v/>
      </c>
    </row>
    <row r="2545">
      <c r="B2545" s="21">
        <f>IF(AND(C2545&lt;&gt;"", J2545&lt;&gt;""), HYPERLINK("#'" &amp; C2545 &amp; "'!" &amp; J2545, J2545), "")</f>
        <v/>
      </c>
    </row>
    <row r="2546">
      <c r="B2546" s="21">
        <f>IF(AND(C2546&lt;&gt;"", J2546&lt;&gt;""), HYPERLINK("#'" &amp; C2546 &amp; "'!" &amp; J2546, J2546), "")</f>
        <v/>
      </c>
    </row>
    <row r="2547">
      <c r="B2547" s="21">
        <f>IF(AND(C2547&lt;&gt;"", J2547&lt;&gt;""), HYPERLINK("#'" &amp; C2547 &amp; "'!" &amp; J2547, J2547), "")</f>
        <v/>
      </c>
    </row>
    <row r="2548">
      <c r="B2548" s="21">
        <f>IF(AND(C2548&lt;&gt;"", J2548&lt;&gt;""), HYPERLINK("#'" &amp; C2548 &amp; "'!" &amp; J2548, J2548), "")</f>
        <v/>
      </c>
    </row>
    <row r="2549">
      <c r="B2549" s="21">
        <f>IF(AND(C2549&lt;&gt;"", J2549&lt;&gt;""), HYPERLINK("#'" &amp; C2549 &amp; "'!" &amp; J2549, J2549), "")</f>
        <v/>
      </c>
    </row>
    <row r="2550">
      <c r="B2550" s="21">
        <f>IF(AND(C2550&lt;&gt;"", J2550&lt;&gt;""), HYPERLINK("#'" &amp; C2550 &amp; "'!" &amp; J2550, J2550), "")</f>
        <v/>
      </c>
    </row>
    <row r="2551">
      <c r="B2551" s="21">
        <f>IF(AND(C2551&lt;&gt;"", J2551&lt;&gt;""), HYPERLINK("#'" &amp; C2551 &amp; "'!" &amp; J2551, J2551), "")</f>
        <v/>
      </c>
    </row>
    <row r="2552">
      <c r="B2552" s="21">
        <f>IF(AND(C2552&lt;&gt;"", J2552&lt;&gt;""), HYPERLINK("#'" &amp; C2552 &amp; "'!" &amp; J2552, J2552), "")</f>
        <v/>
      </c>
    </row>
    <row r="2553">
      <c r="B2553" s="21">
        <f>IF(AND(C2553&lt;&gt;"", J2553&lt;&gt;""), HYPERLINK("#'" &amp; C2553 &amp; "'!" &amp; J2553, J2553), "")</f>
        <v/>
      </c>
    </row>
    <row r="2554">
      <c r="B2554" s="21">
        <f>IF(AND(C2554&lt;&gt;"", J2554&lt;&gt;""), HYPERLINK("#'" &amp; C2554 &amp; "'!" &amp; J2554, J2554), "")</f>
        <v/>
      </c>
    </row>
    <row r="2555">
      <c r="B2555" s="21">
        <f>IF(AND(C2555&lt;&gt;"", J2555&lt;&gt;""), HYPERLINK("#'" &amp; C2555 &amp; "'!" &amp; J2555, J2555), "")</f>
        <v/>
      </c>
    </row>
    <row r="2556">
      <c r="B2556" s="21">
        <f>IF(AND(C2556&lt;&gt;"", J2556&lt;&gt;""), HYPERLINK("#'" &amp; C2556 &amp; "'!" &amp; J2556, J2556), "")</f>
        <v/>
      </c>
    </row>
    <row r="2557">
      <c r="B2557" s="21">
        <f>IF(AND(C2557&lt;&gt;"", J2557&lt;&gt;""), HYPERLINK("#'" &amp; C2557 &amp; "'!" &amp; J2557, J2557), "")</f>
        <v/>
      </c>
    </row>
    <row r="2558">
      <c r="B2558" s="21">
        <f>IF(AND(C2558&lt;&gt;"", J2558&lt;&gt;""), HYPERLINK("#'" &amp; C2558 &amp; "'!" &amp; J2558, J2558), "")</f>
        <v/>
      </c>
    </row>
    <row r="2559">
      <c r="B2559" s="21">
        <f>IF(AND(C2559&lt;&gt;"", J2559&lt;&gt;""), HYPERLINK("#'" &amp; C2559 &amp; "'!" &amp; J2559, J2559), "")</f>
        <v/>
      </c>
    </row>
    <row r="2560">
      <c r="B2560" s="21">
        <f>IF(AND(C2560&lt;&gt;"", J2560&lt;&gt;""), HYPERLINK("#'" &amp; C2560 &amp; "'!" &amp; J2560, J2560), "")</f>
        <v/>
      </c>
    </row>
    <row r="2561">
      <c r="B2561" s="21">
        <f>IF(AND(C2561&lt;&gt;"", J2561&lt;&gt;""), HYPERLINK("#'" &amp; C2561 &amp; "'!" &amp; J2561, J2561), "")</f>
        <v/>
      </c>
    </row>
    <row r="2562">
      <c r="B2562" s="21">
        <f>IF(AND(C2562&lt;&gt;"", J2562&lt;&gt;""), HYPERLINK("#'" &amp; C2562 &amp; "'!" &amp; J2562, J2562), "")</f>
        <v/>
      </c>
    </row>
    <row r="2563">
      <c r="B2563" s="21">
        <f>IF(AND(C2563&lt;&gt;"", J2563&lt;&gt;""), HYPERLINK("#'" &amp; C2563 &amp; "'!" &amp; J2563, J2563), "")</f>
        <v/>
      </c>
    </row>
    <row r="2564">
      <c r="B2564" s="21">
        <f>IF(AND(C2564&lt;&gt;"", J2564&lt;&gt;""), HYPERLINK("#'" &amp; C2564 &amp; "'!" &amp; J2564, J2564), "")</f>
        <v/>
      </c>
    </row>
    <row r="2565">
      <c r="B2565" s="21">
        <f>IF(AND(C2565&lt;&gt;"", J2565&lt;&gt;""), HYPERLINK("#'" &amp; C2565 &amp; "'!" &amp; J2565, J2565), "")</f>
        <v/>
      </c>
    </row>
    <row r="2566">
      <c r="B2566" s="21">
        <f>IF(AND(C2566&lt;&gt;"", J2566&lt;&gt;""), HYPERLINK("#'" &amp; C2566 &amp; "'!" &amp; J2566, J2566), "")</f>
        <v/>
      </c>
    </row>
    <row r="2567">
      <c r="B2567" s="21">
        <f>IF(AND(C2567&lt;&gt;"", J2567&lt;&gt;""), HYPERLINK("#'" &amp; C2567 &amp; "'!" &amp; J2567, J2567), "")</f>
        <v/>
      </c>
    </row>
    <row r="2568">
      <c r="B2568" s="21">
        <f>IF(AND(C2568&lt;&gt;"", J2568&lt;&gt;""), HYPERLINK("#'" &amp; C2568 &amp; "'!" &amp; J2568, J2568), "")</f>
        <v/>
      </c>
    </row>
    <row r="2569">
      <c r="B2569" s="21">
        <f>IF(AND(C2569&lt;&gt;"", J2569&lt;&gt;""), HYPERLINK("#'" &amp; C2569 &amp; "'!" &amp; J2569, J2569), "")</f>
        <v/>
      </c>
    </row>
    <row r="2570">
      <c r="B2570" s="21">
        <f>IF(AND(C2570&lt;&gt;"", J2570&lt;&gt;""), HYPERLINK("#'" &amp; C2570 &amp; "'!" &amp; J2570, J2570), "")</f>
        <v/>
      </c>
    </row>
    <row r="2571">
      <c r="B2571" s="21">
        <f>IF(AND(C2571&lt;&gt;"", J2571&lt;&gt;""), HYPERLINK("#'" &amp; C2571 &amp; "'!" &amp; J2571, J2571), "")</f>
        <v/>
      </c>
    </row>
    <row r="2572">
      <c r="B2572" s="21">
        <f>IF(AND(C2572&lt;&gt;"", J2572&lt;&gt;""), HYPERLINK("#'" &amp; C2572 &amp; "'!" &amp; J2572, J2572), "")</f>
        <v/>
      </c>
    </row>
    <row r="2573">
      <c r="B2573" s="21">
        <f>IF(AND(C2573&lt;&gt;"", J2573&lt;&gt;""), HYPERLINK("#'" &amp; C2573 &amp; "'!" &amp; J2573, J2573), "")</f>
        <v/>
      </c>
    </row>
    <row r="2574">
      <c r="B2574" s="21">
        <f>IF(AND(C2574&lt;&gt;"", J2574&lt;&gt;""), HYPERLINK("#'" &amp; C2574 &amp; "'!" &amp; J2574, J2574), "")</f>
        <v/>
      </c>
    </row>
    <row r="2575">
      <c r="B2575" s="21">
        <f>IF(AND(C2575&lt;&gt;"", J2575&lt;&gt;""), HYPERLINK("#'" &amp; C2575 &amp; "'!" &amp; J2575, J2575), "")</f>
        <v/>
      </c>
    </row>
    <row r="2576">
      <c r="B2576" s="21">
        <f>IF(AND(C2576&lt;&gt;"", J2576&lt;&gt;""), HYPERLINK("#'" &amp; C2576 &amp; "'!" &amp; J2576, J2576), "")</f>
        <v/>
      </c>
    </row>
    <row r="2577">
      <c r="B2577" s="21">
        <f>IF(AND(C2577&lt;&gt;"", J2577&lt;&gt;""), HYPERLINK("#'" &amp; C2577 &amp; "'!" &amp; J2577, J2577), "")</f>
        <v/>
      </c>
    </row>
    <row r="2578">
      <c r="B2578" s="21">
        <f>IF(AND(C2578&lt;&gt;"", J2578&lt;&gt;""), HYPERLINK("#'" &amp; C2578 &amp; "'!" &amp; J2578, J2578), "")</f>
        <v/>
      </c>
    </row>
    <row r="2579">
      <c r="B2579" s="21">
        <f>IF(AND(C2579&lt;&gt;"", J2579&lt;&gt;""), HYPERLINK("#'" &amp; C2579 &amp; "'!" &amp; J2579, J2579), "")</f>
        <v/>
      </c>
    </row>
    <row r="2580">
      <c r="B2580" s="21">
        <f>IF(AND(C2580&lt;&gt;"", J2580&lt;&gt;""), HYPERLINK("#'" &amp; C2580 &amp; "'!" &amp; J2580, J2580), "")</f>
        <v/>
      </c>
    </row>
    <row r="2581">
      <c r="B2581" s="21">
        <f>IF(AND(C2581&lt;&gt;"", J2581&lt;&gt;""), HYPERLINK("#'" &amp; C2581 &amp; "'!" &amp; J2581, J2581), "")</f>
        <v/>
      </c>
    </row>
    <row r="2582">
      <c r="B2582" s="21">
        <f>IF(AND(C2582&lt;&gt;"", J2582&lt;&gt;""), HYPERLINK("#'" &amp; C2582 &amp; "'!" &amp; J2582, J2582), "")</f>
        <v/>
      </c>
    </row>
    <row r="2583">
      <c r="B2583" s="21">
        <f>IF(AND(C2583&lt;&gt;"", J2583&lt;&gt;""), HYPERLINK("#'" &amp; C2583 &amp; "'!" &amp; J2583, J2583), "")</f>
        <v/>
      </c>
    </row>
    <row r="2584">
      <c r="B2584" s="21">
        <f>IF(AND(C2584&lt;&gt;"", J2584&lt;&gt;""), HYPERLINK("#'" &amp; C2584 &amp; "'!" &amp; J2584, J2584), "")</f>
        <v/>
      </c>
    </row>
    <row r="2585">
      <c r="B2585" s="21">
        <f>IF(AND(C2585&lt;&gt;"", J2585&lt;&gt;""), HYPERLINK("#'" &amp; C2585 &amp; "'!" &amp; J2585, J2585), "")</f>
        <v/>
      </c>
    </row>
    <row r="2586">
      <c r="B2586" s="21">
        <f>IF(AND(C2586&lt;&gt;"", J2586&lt;&gt;""), HYPERLINK("#'" &amp; C2586 &amp; "'!" &amp; J2586, J2586), "")</f>
        <v/>
      </c>
    </row>
    <row r="2587">
      <c r="B2587" s="21">
        <f>IF(AND(C2587&lt;&gt;"", J2587&lt;&gt;""), HYPERLINK("#'" &amp; C2587 &amp; "'!" &amp; J2587, J2587), "")</f>
        <v/>
      </c>
    </row>
    <row r="2588">
      <c r="B2588" s="21">
        <f>IF(AND(C2588&lt;&gt;"", J2588&lt;&gt;""), HYPERLINK("#'" &amp; C2588 &amp; "'!" &amp; J2588, J2588), "")</f>
        <v/>
      </c>
    </row>
    <row r="2589">
      <c r="B2589" s="21">
        <f>IF(AND(C2589&lt;&gt;"", J2589&lt;&gt;""), HYPERLINK("#'" &amp; C2589 &amp; "'!" &amp; J2589, J2589), "")</f>
        <v/>
      </c>
    </row>
    <row r="2590">
      <c r="B2590" s="21">
        <f>IF(AND(C2590&lt;&gt;"", J2590&lt;&gt;""), HYPERLINK("#'" &amp; C2590 &amp; "'!" &amp; J2590, J2590), "")</f>
        <v/>
      </c>
    </row>
    <row r="2591">
      <c r="B2591" s="21">
        <f>IF(AND(C2591&lt;&gt;"", J2591&lt;&gt;""), HYPERLINK("#'" &amp; C2591 &amp; "'!" &amp; J2591, J2591), "")</f>
        <v/>
      </c>
    </row>
    <row r="2592">
      <c r="B2592" s="21">
        <f>IF(AND(C2592&lt;&gt;"", J2592&lt;&gt;""), HYPERLINK("#'" &amp; C2592 &amp; "'!" &amp; J2592, J2592), "")</f>
        <v/>
      </c>
    </row>
    <row r="2593">
      <c r="B2593" s="21">
        <f>IF(AND(C2593&lt;&gt;"", J2593&lt;&gt;""), HYPERLINK("#'" &amp; C2593 &amp; "'!" &amp; J2593, J2593), "")</f>
        <v/>
      </c>
    </row>
    <row r="2594">
      <c r="B2594" s="21">
        <f>IF(AND(C2594&lt;&gt;"", J2594&lt;&gt;""), HYPERLINK("#'" &amp; C2594 &amp; "'!" &amp; J2594, J2594), "")</f>
        <v/>
      </c>
    </row>
    <row r="2595">
      <c r="B2595" s="21">
        <f>IF(AND(C2595&lt;&gt;"", J2595&lt;&gt;""), HYPERLINK("#'" &amp; C2595 &amp; "'!" &amp; J2595, J2595), "")</f>
        <v/>
      </c>
    </row>
    <row r="2596">
      <c r="B2596" s="21">
        <f>IF(AND(C2596&lt;&gt;"", J2596&lt;&gt;""), HYPERLINK("#'" &amp; C2596 &amp; "'!" &amp; J2596, J2596), "")</f>
        <v/>
      </c>
    </row>
    <row r="2597">
      <c r="B2597" s="21">
        <f>IF(AND(C2597&lt;&gt;"", J2597&lt;&gt;""), HYPERLINK("#'" &amp; C2597 &amp; "'!" &amp; J2597, J2597), "")</f>
        <v/>
      </c>
    </row>
    <row r="2598">
      <c r="B2598" s="21">
        <f>IF(AND(C2598&lt;&gt;"", J2598&lt;&gt;""), HYPERLINK("#'" &amp; C2598 &amp; "'!" &amp; J2598, J2598), "")</f>
        <v/>
      </c>
    </row>
    <row r="2599">
      <c r="B2599" s="21">
        <f>IF(AND(C2599&lt;&gt;"", J2599&lt;&gt;""), HYPERLINK("#'" &amp; C2599 &amp; "'!" &amp; J2599, J2599), "")</f>
        <v/>
      </c>
    </row>
    <row r="2600">
      <c r="B2600" s="21">
        <f>IF(AND(C2600&lt;&gt;"", J2600&lt;&gt;""), HYPERLINK("#'" &amp; C2600 &amp; "'!" &amp; J2600, J2600), "")</f>
        <v/>
      </c>
    </row>
    <row r="2601">
      <c r="B2601" s="21">
        <f>IF(AND(C2601&lt;&gt;"", J2601&lt;&gt;""), HYPERLINK("#'" &amp; C2601 &amp; "'!" &amp; J2601, J2601), "")</f>
        <v/>
      </c>
    </row>
    <row r="2602">
      <c r="B2602" s="21">
        <f>IF(AND(C2602&lt;&gt;"", J2602&lt;&gt;""), HYPERLINK("#'" &amp; C2602 &amp; "'!" &amp; J2602, J2602), "")</f>
        <v/>
      </c>
    </row>
    <row r="2603">
      <c r="B2603" s="21">
        <f>IF(AND(C2603&lt;&gt;"", J2603&lt;&gt;""), HYPERLINK("#'" &amp; C2603 &amp; "'!" &amp; J2603, J2603), "")</f>
        <v/>
      </c>
    </row>
    <row r="2604">
      <c r="B2604" s="21">
        <f>IF(AND(C2604&lt;&gt;"", J2604&lt;&gt;""), HYPERLINK("#'" &amp; C2604 &amp; "'!" &amp; J2604, J2604), "")</f>
        <v/>
      </c>
    </row>
    <row r="2605">
      <c r="B2605" s="21">
        <f>IF(AND(C2605&lt;&gt;"", J2605&lt;&gt;""), HYPERLINK("#'" &amp; C2605 &amp; "'!" &amp; J2605, J2605), "")</f>
        <v/>
      </c>
    </row>
    <row r="2606">
      <c r="B2606" s="21">
        <f>IF(AND(C2606&lt;&gt;"", J2606&lt;&gt;""), HYPERLINK("#'" &amp; C2606 &amp; "'!" &amp; J2606, J2606), "")</f>
        <v/>
      </c>
    </row>
    <row r="2607">
      <c r="B2607" s="21">
        <f>IF(AND(C2607&lt;&gt;"", J2607&lt;&gt;""), HYPERLINK("#'" &amp; C2607 &amp; "'!" &amp; J2607, J2607), "")</f>
        <v/>
      </c>
    </row>
    <row r="2608">
      <c r="B2608" s="21">
        <f>IF(AND(C2608&lt;&gt;"", J2608&lt;&gt;""), HYPERLINK("#'" &amp; C2608 &amp; "'!" &amp; J2608, J2608), "")</f>
        <v/>
      </c>
    </row>
    <row r="2609">
      <c r="B2609" s="21">
        <f>IF(AND(C2609&lt;&gt;"", J2609&lt;&gt;""), HYPERLINK("#'" &amp; C2609 &amp; "'!" &amp; J2609, J2609), "")</f>
        <v/>
      </c>
    </row>
    <row r="2610">
      <c r="B2610" s="21">
        <f>IF(AND(C2610&lt;&gt;"", J2610&lt;&gt;""), HYPERLINK("#'" &amp; C2610 &amp; "'!" &amp; J2610, J2610), "")</f>
        <v/>
      </c>
    </row>
    <row r="2611">
      <c r="B2611" s="21">
        <f>IF(AND(C2611&lt;&gt;"", J2611&lt;&gt;""), HYPERLINK("#'" &amp; C2611 &amp; "'!" &amp; J2611, J2611), "")</f>
        <v/>
      </c>
    </row>
    <row r="2612">
      <c r="B2612" s="21">
        <f>IF(AND(C2612&lt;&gt;"", J2612&lt;&gt;""), HYPERLINK("#'" &amp; C2612 &amp; "'!" &amp; J2612, J2612), "")</f>
        <v/>
      </c>
    </row>
    <row r="2613">
      <c r="B2613" s="21">
        <f>IF(AND(C2613&lt;&gt;"", J2613&lt;&gt;""), HYPERLINK("#'" &amp; C2613 &amp; "'!" &amp; J2613, J2613), "")</f>
        <v/>
      </c>
    </row>
    <row r="2614">
      <c r="B2614" s="21">
        <f>IF(AND(C2614&lt;&gt;"", J2614&lt;&gt;""), HYPERLINK("#'" &amp; C2614 &amp; "'!" &amp; J2614, J2614), "")</f>
        <v/>
      </c>
    </row>
    <row r="2615">
      <c r="B2615" s="21">
        <f>IF(AND(C2615&lt;&gt;"", J2615&lt;&gt;""), HYPERLINK("#'" &amp; C2615 &amp; "'!" &amp; J2615, J2615), "")</f>
        <v/>
      </c>
    </row>
    <row r="2616">
      <c r="B2616" s="21">
        <f>IF(AND(C2616&lt;&gt;"", J2616&lt;&gt;""), HYPERLINK("#'" &amp; C2616 &amp; "'!" &amp; J2616, J2616), "")</f>
        <v/>
      </c>
    </row>
    <row r="2617">
      <c r="B2617" s="21">
        <f>IF(AND(C2617&lt;&gt;"", J2617&lt;&gt;""), HYPERLINK("#'" &amp; C2617 &amp; "'!" &amp; J2617, J2617), "")</f>
        <v/>
      </c>
    </row>
    <row r="2618">
      <c r="B2618" s="21">
        <f>IF(AND(C2618&lt;&gt;"", J2618&lt;&gt;""), HYPERLINK("#'" &amp; C2618 &amp; "'!" &amp; J2618, J2618), "")</f>
        <v/>
      </c>
    </row>
    <row r="2619">
      <c r="B2619" s="21">
        <f>IF(AND(C2619&lt;&gt;"", J2619&lt;&gt;""), HYPERLINK("#'" &amp; C2619 &amp; "'!" &amp; J2619, J2619), "")</f>
        <v/>
      </c>
    </row>
    <row r="2620">
      <c r="B2620" s="21">
        <f>IF(AND(C2620&lt;&gt;"", J2620&lt;&gt;""), HYPERLINK("#'" &amp; C2620 &amp; "'!" &amp; J2620, J2620), "")</f>
        <v/>
      </c>
    </row>
    <row r="2621">
      <c r="B2621" s="21">
        <f>IF(AND(C2621&lt;&gt;"", J2621&lt;&gt;""), HYPERLINK("#'" &amp; C2621 &amp; "'!" &amp; J2621, J2621), "")</f>
        <v/>
      </c>
    </row>
    <row r="2622">
      <c r="B2622" s="21">
        <f>IF(AND(C2622&lt;&gt;"", J2622&lt;&gt;""), HYPERLINK("#'" &amp; C2622 &amp; "'!" &amp; J2622, J2622), "")</f>
        <v/>
      </c>
    </row>
    <row r="2623">
      <c r="B2623" s="21">
        <f>IF(AND(C2623&lt;&gt;"", J2623&lt;&gt;""), HYPERLINK("#'" &amp; C2623 &amp; "'!" &amp; J2623, J2623), "")</f>
        <v/>
      </c>
    </row>
    <row r="2624">
      <c r="B2624" s="21">
        <f>IF(AND(C2624&lt;&gt;"", J2624&lt;&gt;""), HYPERLINK("#'" &amp; C2624 &amp; "'!" &amp; J2624, J2624), "")</f>
        <v/>
      </c>
    </row>
    <row r="2625">
      <c r="B2625" s="21">
        <f>IF(AND(C2625&lt;&gt;"", J2625&lt;&gt;""), HYPERLINK("#'" &amp; C2625 &amp; "'!" &amp; J2625, J2625), "")</f>
        <v/>
      </c>
    </row>
    <row r="2626">
      <c r="B2626" s="21">
        <f>IF(AND(C2626&lt;&gt;"", J2626&lt;&gt;""), HYPERLINK("#'" &amp; C2626 &amp; "'!" &amp; J2626, J2626), "")</f>
        <v/>
      </c>
    </row>
    <row r="2627">
      <c r="B2627" s="21">
        <f>IF(AND(C2627&lt;&gt;"", J2627&lt;&gt;""), HYPERLINK("#'" &amp; C2627 &amp; "'!" &amp; J2627, J2627), "")</f>
        <v/>
      </c>
    </row>
    <row r="2628">
      <c r="B2628" s="21">
        <f>IF(AND(C2628&lt;&gt;"", J2628&lt;&gt;""), HYPERLINK("#'" &amp; C2628 &amp; "'!" &amp; J2628, J2628), "")</f>
        <v/>
      </c>
    </row>
    <row r="2629">
      <c r="B2629" s="21">
        <f>IF(AND(C2629&lt;&gt;"", J2629&lt;&gt;""), HYPERLINK("#'" &amp; C2629 &amp; "'!" &amp; J2629, J2629), "")</f>
        <v/>
      </c>
    </row>
    <row r="2630">
      <c r="B2630" s="21">
        <f>IF(AND(C2630&lt;&gt;"", J2630&lt;&gt;""), HYPERLINK("#'" &amp; C2630 &amp; "'!" &amp; J2630, J2630), "")</f>
        <v/>
      </c>
    </row>
    <row r="2631">
      <c r="B2631" s="21">
        <f>IF(AND(C2631&lt;&gt;"", J2631&lt;&gt;""), HYPERLINK("#'" &amp; C2631 &amp; "'!" &amp; J2631, J2631), "")</f>
        <v/>
      </c>
    </row>
    <row r="2632">
      <c r="B2632" s="21">
        <f>IF(AND(C2632&lt;&gt;"", J2632&lt;&gt;""), HYPERLINK("#'" &amp; C2632 &amp; "'!" &amp; J2632, J2632), "")</f>
        <v/>
      </c>
    </row>
    <row r="2633">
      <c r="B2633" s="21">
        <f>IF(AND(C2633&lt;&gt;"", J2633&lt;&gt;""), HYPERLINK("#'" &amp; C2633 &amp; "'!" &amp; J2633, J2633), "")</f>
        <v/>
      </c>
    </row>
    <row r="2634">
      <c r="B2634" s="21">
        <f>IF(AND(C2634&lt;&gt;"", J2634&lt;&gt;""), HYPERLINK("#'" &amp; C2634 &amp; "'!" &amp; J2634, J2634), "")</f>
        <v/>
      </c>
    </row>
    <row r="2635">
      <c r="B2635" s="21">
        <f>IF(AND(C2635&lt;&gt;"", J2635&lt;&gt;""), HYPERLINK("#'" &amp; C2635 &amp; "'!" &amp; J2635, J2635), "")</f>
        <v/>
      </c>
    </row>
    <row r="2636">
      <c r="B2636" s="21">
        <f>IF(AND(C2636&lt;&gt;"", J2636&lt;&gt;""), HYPERLINK("#'" &amp; C2636 &amp; "'!" &amp; J2636, J2636), "")</f>
        <v/>
      </c>
    </row>
    <row r="2637">
      <c r="B2637" s="21">
        <f>IF(AND(C2637&lt;&gt;"", J2637&lt;&gt;""), HYPERLINK("#'" &amp; C2637 &amp; "'!" &amp; J2637, J2637), "")</f>
        <v/>
      </c>
    </row>
    <row r="2638">
      <c r="B2638" s="21">
        <f>IF(AND(C2638&lt;&gt;"", J2638&lt;&gt;""), HYPERLINK("#'" &amp; C2638 &amp; "'!" &amp; J2638, J2638), "")</f>
        <v/>
      </c>
    </row>
    <row r="2639">
      <c r="B2639" s="21">
        <f>IF(AND(C2639&lt;&gt;"", J2639&lt;&gt;""), HYPERLINK("#'" &amp; C2639 &amp; "'!" &amp; J2639, J2639), "")</f>
        <v/>
      </c>
    </row>
    <row r="2640">
      <c r="B2640" s="21">
        <f>IF(AND(C2640&lt;&gt;"", J2640&lt;&gt;""), HYPERLINK("#'" &amp; C2640 &amp; "'!" &amp; J2640, J2640), "")</f>
        <v/>
      </c>
    </row>
    <row r="2641">
      <c r="B2641" s="21">
        <f>IF(AND(C2641&lt;&gt;"", J2641&lt;&gt;""), HYPERLINK("#'" &amp; C2641 &amp; "'!" &amp; J2641, J2641), "")</f>
        <v/>
      </c>
    </row>
    <row r="2642">
      <c r="B2642" s="21">
        <f>IF(AND(C2642&lt;&gt;"", J2642&lt;&gt;""), HYPERLINK("#'" &amp; C2642 &amp; "'!" &amp; J2642, J2642), "")</f>
        <v/>
      </c>
    </row>
    <row r="2643">
      <c r="B2643" s="21">
        <f>IF(AND(C2643&lt;&gt;"", J2643&lt;&gt;""), HYPERLINK("#'" &amp; C2643 &amp; "'!" &amp; J2643, J2643), "")</f>
        <v/>
      </c>
    </row>
    <row r="2644">
      <c r="B2644" s="21">
        <f>IF(AND(C2644&lt;&gt;"", J2644&lt;&gt;""), HYPERLINK("#'" &amp; C2644 &amp; "'!" &amp; J2644, J2644), "")</f>
        <v/>
      </c>
    </row>
    <row r="2645">
      <c r="B2645" s="21">
        <f>IF(AND(C2645&lt;&gt;"", J2645&lt;&gt;""), HYPERLINK("#'" &amp; C2645 &amp; "'!" &amp; J2645, J2645), "")</f>
        <v/>
      </c>
    </row>
    <row r="2646">
      <c r="B2646" s="21">
        <f>IF(AND(C2646&lt;&gt;"", J2646&lt;&gt;""), HYPERLINK("#'" &amp; C2646 &amp; "'!" &amp; J2646, J2646), "")</f>
        <v/>
      </c>
    </row>
    <row r="2647">
      <c r="B2647" s="21">
        <f>IF(AND(C2647&lt;&gt;"", J2647&lt;&gt;""), HYPERLINK("#'" &amp; C2647 &amp; "'!" &amp; J2647, J2647), "")</f>
        <v/>
      </c>
    </row>
    <row r="2648">
      <c r="B2648" s="21">
        <f>IF(AND(C2648&lt;&gt;"", J2648&lt;&gt;""), HYPERLINK("#'" &amp; C2648 &amp; "'!" &amp; J2648, J2648), "")</f>
        <v/>
      </c>
    </row>
    <row r="2649">
      <c r="B2649" s="21">
        <f>IF(AND(C2649&lt;&gt;"", J2649&lt;&gt;""), HYPERLINK("#'" &amp; C2649 &amp; "'!" &amp; J2649, J2649), "")</f>
        <v/>
      </c>
    </row>
    <row r="2650">
      <c r="B2650" s="21">
        <f>IF(AND(C2650&lt;&gt;"", J2650&lt;&gt;""), HYPERLINK("#'" &amp; C2650 &amp; "'!" &amp; J2650, J2650), "")</f>
        <v/>
      </c>
    </row>
    <row r="2651">
      <c r="B2651" s="21">
        <f>IF(AND(C2651&lt;&gt;"", J2651&lt;&gt;""), HYPERLINK("#'" &amp; C2651 &amp; "'!" &amp; J2651, J2651), "")</f>
        <v/>
      </c>
    </row>
    <row r="2652">
      <c r="B2652" s="21">
        <f>IF(AND(C2652&lt;&gt;"", J2652&lt;&gt;""), HYPERLINK("#'" &amp; C2652 &amp; "'!" &amp; J2652, J2652), "")</f>
        <v/>
      </c>
    </row>
    <row r="2653">
      <c r="B2653" s="21">
        <f>IF(AND(C2653&lt;&gt;"", J2653&lt;&gt;""), HYPERLINK("#'" &amp; C2653 &amp; "'!" &amp; J2653, J2653), "")</f>
        <v/>
      </c>
    </row>
    <row r="2654">
      <c r="B2654" s="21">
        <f>IF(AND(C2654&lt;&gt;"", J2654&lt;&gt;""), HYPERLINK("#'" &amp; C2654 &amp; "'!" &amp; J2654, J2654), "")</f>
        <v/>
      </c>
    </row>
    <row r="2655">
      <c r="B2655" s="21">
        <f>IF(AND(C2655&lt;&gt;"", J2655&lt;&gt;""), HYPERLINK("#'" &amp; C2655 &amp; "'!" &amp; J2655, J2655), "")</f>
        <v/>
      </c>
    </row>
    <row r="2656">
      <c r="B2656" s="21">
        <f>IF(AND(C2656&lt;&gt;"", J2656&lt;&gt;""), HYPERLINK("#'" &amp; C2656 &amp; "'!" &amp; J2656, J2656), "")</f>
        <v/>
      </c>
    </row>
    <row r="2657">
      <c r="B2657" s="21">
        <f>IF(AND(C2657&lt;&gt;"", J2657&lt;&gt;""), HYPERLINK("#'" &amp; C2657 &amp; "'!" &amp; J2657, J2657), "")</f>
        <v/>
      </c>
    </row>
    <row r="2658">
      <c r="B2658" s="21">
        <f>IF(AND(C2658&lt;&gt;"", J2658&lt;&gt;""), HYPERLINK("#'" &amp; C2658 &amp; "'!" &amp; J2658, J2658), "")</f>
        <v/>
      </c>
    </row>
    <row r="2659">
      <c r="B2659" s="21">
        <f>IF(AND(C2659&lt;&gt;"", J2659&lt;&gt;""), HYPERLINK("#'" &amp; C2659 &amp; "'!" &amp; J2659, J2659), "")</f>
        <v/>
      </c>
    </row>
    <row r="2660">
      <c r="B2660" s="21">
        <f>IF(AND(C2660&lt;&gt;"", J2660&lt;&gt;""), HYPERLINK("#'" &amp; C2660 &amp; "'!" &amp; J2660, J2660), "")</f>
        <v/>
      </c>
    </row>
    <row r="2661">
      <c r="B2661" s="21">
        <f>IF(AND(C2661&lt;&gt;"", J2661&lt;&gt;""), HYPERLINK("#'" &amp; C2661 &amp; "'!" &amp; J2661, J2661), "")</f>
        <v/>
      </c>
    </row>
    <row r="2662">
      <c r="B2662" s="21">
        <f>IF(AND(C2662&lt;&gt;"", J2662&lt;&gt;""), HYPERLINK("#'" &amp; C2662 &amp; "'!" &amp; J2662, J2662), "")</f>
        <v/>
      </c>
    </row>
    <row r="2663">
      <c r="B2663" s="21">
        <f>IF(AND(C2663&lt;&gt;"", J2663&lt;&gt;""), HYPERLINK("#'" &amp; C2663 &amp; "'!" &amp; J2663, J2663), "")</f>
        <v/>
      </c>
    </row>
    <row r="2664">
      <c r="B2664" s="21">
        <f>IF(AND(C2664&lt;&gt;"", J2664&lt;&gt;""), HYPERLINK("#'" &amp; C2664 &amp; "'!" &amp; J2664, J2664), "")</f>
        <v/>
      </c>
    </row>
    <row r="2665">
      <c r="B2665" s="21">
        <f>IF(AND(C2665&lt;&gt;"", J2665&lt;&gt;""), HYPERLINK("#'" &amp; C2665 &amp; "'!" &amp; J2665, J2665), "")</f>
        <v/>
      </c>
    </row>
    <row r="2666">
      <c r="B2666" s="21">
        <f>IF(AND(C2666&lt;&gt;"", J2666&lt;&gt;""), HYPERLINK("#'" &amp; C2666 &amp; "'!" &amp; J2666, J2666), "")</f>
        <v/>
      </c>
    </row>
    <row r="2667">
      <c r="B2667" s="21">
        <f>IF(AND(C2667&lt;&gt;"", J2667&lt;&gt;""), HYPERLINK("#'" &amp; C2667 &amp; "'!" &amp; J2667, J2667), "")</f>
        <v/>
      </c>
    </row>
    <row r="2668">
      <c r="B2668" s="21">
        <f>IF(AND(C2668&lt;&gt;"", J2668&lt;&gt;""), HYPERLINK("#'" &amp; C2668 &amp; "'!" &amp; J2668, J2668), "")</f>
        <v/>
      </c>
    </row>
    <row r="2669">
      <c r="B2669" s="21">
        <f>IF(AND(C2669&lt;&gt;"", J2669&lt;&gt;""), HYPERLINK("#'" &amp; C2669 &amp; "'!" &amp; J2669, J2669), "")</f>
        <v/>
      </c>
    </row>
    <row r="2670">
      <c r="B2670" s="21">
        <f>IF(AND(C2670&lt;&gt;"", J2670&lt;&gt;""), HYPERLINK("#'" &amp; C2670 &amp; "'!" &amp; J2670, J2670), "")</f>
        <v/>
      </c>
    </row>
    <row r="2671">
      <c r="B2671" s="21">
        <f>IF(AND(C2671&lt;&gt;"", J2671&lt;&gt;""), HYPERLINK("#'" &amp; C2671 &amp; "'!" &amp; J2671, J2671), "")</f>
        <v/>
      </c>
    </row>
    <row r="2672">
      <c r="B2672" s="21">
        <f>IF(AND(C2672&lt;&gt;"", J2672&lt;&gt;""), HYPERLINK("#'" &amp; C2672 &amp; "'!" &amp; J2672, J2672), "")</f>
        <v/>
      </c>
    </row>
    <row r="2673">
      <c r="B2673" s="21">
        <f>IF(AND(C2673&lt;&gt;"", J2673&lt;&gt;""), HYPERLINK("#'" &amp; C2673 &amp; "'!" &amp; J2673, J2673), "")</f>
        <v/>
      </c>
    </row>
    <row r="2674">
      <c r="B2674" s="21">
        <f>IF(AND(C2674&lt;&gt;"", J2674&lt;&gt;""), HYPERLINK("#'" &amp; C2674 &amp; "'!" &amp; J2674, J2674), "")</f>
        <v/>
      </c>
    </row>
    <row r="2675">
      <c r="B2675" s="21">
        <f>IF(AND(C2675&lt;&gt;"", J2675&lt;&gt;""), HYPERLINK("#'" &amp; C2675 &amp; "'!" &amp; J2675, J2675), "")</f>
        <v/>
      </c>
    </row>
    <row r="2676">
      <c r="B2676" s="21">
        <f>IF(AND(C2676&lt;&gt;"", J2676&lt;&gt;""), HYPERLINK("#'" &amp; C2676 &amp; "'!" &amp; J2676, J2676), "")</f>
        <v/>
      </c>
    </row>
    <row r="2677">
      <c r="B2677" s="21">
        <f>IF(AND(C2677&lt;&gt;"", J2677&lt;&gt;""), HYPERLINK("#'" &amp; C2677 &amp; "'!" &amp; J2677, J2677), "")</f>
        <v/>
      </c>
    </row>
    <row r="2678">
      <c r="B2678" s="21">
        <f>IF(AND(C2678&lt;&gt;"", J2678&lt;&gt;""), HYPERLINK("#'" &amp; C2678 &amp; "'!" &amp; J2678, J2678), "")</f>
        <v/>
      </c>
    </row>
    <row r="2679">
      <c r="B2679" s="21">
        <f>IF(AND(C2679&lt;&gt;"", J2679&lt;&gt;""), HYPERLINK("#'" &amp; C2679 &amp; "'!" &amp; J2679, J2679), "")</f>
        <v/>
      </c>
    </row>
    <row r="2680">
      <c r="B2680" s="21">
        <f>IF(AND(C2680&lt;&gt;"", J2680&lt;&gt;""), HYPERLINK("#'" &amp; C2680 &amp; "'!" &amp; J2680, J2680), "")</f>
        <v/>
      </c>
    </row>
    <row r="2681">
      <c r="B2681" s="21">
        <f>IF(AND(C2681&lt;&gt;"", J2681&lt;&gt;""), HYPERLINK("#'" &amp; C2681 &amp; "'!" &amp; J2681, J2681), "")</f>
        <v/>
      </c>
    </row>
    <row r="2682">
      <c r="B2682" s="21">
        <f>IF(AND(C2682&lt;&gt;"", J2682&lt;&gt;""), HYPERLINK("#'" &amp; C2682 &amp; "'!" &amp; J2682, J2682), "")</f>
        <v/>
      </c>
    </row>
    <row r="2683">
      <c r="B2683" s="21">
        <f>IF(AND(C2683&lt;&gt;"", J2683&lt;&gt;""), HYPERLINK("#'" &amp; C2683 &amp; "'!" &amp; J2683, J2683), "")</f>
        <v/>
      </c>
    </row>
    <row r="2684">
      <c r="B2684" s="21">
        <f>IF(AND(C2684&lt;&gt;"", J2684&lt;&gt;""), HYPERLINK("#'" &amp; C2684 &amp; "'!" &amp; J2684, J2684), "")</f>
        <v/>
      </c>
    </row>
    <row r="2685">
      <c r="B2685" s="21">
        <f>IF(AND(C2685&lt;&gt;"", J2685&lt;&gt;""), HYPERLINK("#'" &amp; C2685 &amp; "'!" &amp; J2685, J2685), "")</f>
        <v/>
      </c>
    </row>
    <row r="2686">
      <c r="B2686" s="21">
        <f>IF(AND(C2686&lt;&gt;"", J2686&lt;&gt;""), HYPERLINK("#'" &amp; C2686 &amp; "'!" &amp; J2686, J2686), "")</f>
        <v/>
      </c>
    </row>
    <row r="2687">
      <c r="B2687" s="21">
        <f>IF(AND(C2687&lt;&gt;"", J2687&lt;&gt;""), HYPERLINK("#'" &amp; C2687 &amp; "'!" &amp; J2687, J2687), "")</f>
        <v/>
      </c>
    </row>
    <row r="2688">
      <c r="B2688" s="21">
        <f>IF(AND(C2688&lt;&gt;"", J2688&lt;&gt;""), HYPERLINK("#'" &amp; C2688 &amp; "'!" &amp; J2688, J2688), "")</f>
        <v/>
      </c>
    </row>
    <row r="2689">
      <c r="B2689" s="21">
        <f>IF(AND(C2689&lt;&gt;"", J2689&lt;&gt;""), HYPERLINK("#'" &amp; C2689 &amp; "'!" &amp; J2689, J2689), "")</f>
        <v/>
      </c>
    </row>
    <row r="2690">
      <c r="B2690" s="21">
        <f>IF(AND(C2690&lt;&gt;"", J2690&lt;&gt;""), HYPERLINK("#'" &amp; C2690 &amp; "'!" &amp; J2690, J2690), "")</f>
        <v/>
      </c>
    </row>
    <row r="2691">
      <c r="B2691" s="21">
        <f>IF(AND(C2691&lt;&gt;"", J2691&lt;&gt;""), HYPERLINK("#'" &amp; C2691 &amp; "'!" &amp; J2691, J2691), "")</f>
        <v/>
      </c>
    </row>
    <row r="2692">
      <c r="B2692" s="21">
        <f>IF(AND(C2692&lt;&gt;"", J2692&lt;&gt;""), HYPERLINK("#'" &amp; C2692 &amp; "'!" &amp; J2692, J2692), "")</f>
        <v/>
      </c>
    </row>
    <row r="2693">
      <c r="B2693" s="21">
        <f>IF(AND(C2693&lt;&gt;"", J2693&lt;&gt;""), HYPERLINK("#'" &amp; C2693 &amp; "'!" &amp; J2693, J2693), "")</f>
        <v/>
      </c>
    </row>
    <row r="2694">
      <c r="B2694" s="21">
        <f>IF(AND(C2694&lt;&gt;"", J2694&lt;&gt;""), HYPERLINK("#'" &amp; C2694 &amp; "'!" &amp; J2694, J2694), "")</f>
        <v/>
      </c>
    </row>
    <row r="2695">
      <c r="B2695" s="21">
        <f>IF(AND(C2695&lt;&gt;"", J2695&lt;&gt;""), HYPERLINK("#'" &amp; C2695 &amp; "'!" &amp; J2695, J2695), "")</f>
        <v/>
      </c>
    </row>
    <row r="2696">
      <c r="B2696" s="21">
        <f>IF(AND(C2696&lt;&gt;"", J2696&lt;&gt;""), HYPERLINK("#'" &amp; C2696 &amp; "'!" &amp; J2696, J2696), "")</f>
        <v/>
      </c>
    </row>
    <row r="2697">
      <c r="B2697" s="21">
        <f>IF(AND(C2697&lt;&gt;"", J2697&lt;&gt;""), HYPERLINK("#'" &amp; C2697 &amp; "'!" &amp; J2697, J2697), "")</f>
        <v/>
      </c>
    </row>
    <row r="2698">
      <c r="B2698" s="21">
        <f>IF(AND(C2698&lt;&gt;"", J2698&lt;&gt;""), HYPERLINK("#'" &amp; C2698 &amp; "'!" &amp; J2698, J2698), "")</f>
        <v/>
      </c>
    </row>
    <row r="2699">
      <c r="B2699" s="21">
        <f>IF(AND(C2699&lt;&gt;"", J2699&lt;&gt;""), HYPERLINK("#'" &amp; C2699 &amp; "'!" &amp; J2699, J2699), "")</f>
        <v/>
      </c>
    </row>
    <row r="2700">
      <c r="B2700" s="21">
        <f>IF(AND(C2700&lt;&gt;"", J2700&lt;&gt;""), HYPERLINK("#'" &amp; C2700 &amp; "'!" &amp; J2700, J2700), "")</f>
        <v/>
      </c>
    </row>
    <row r="2701">
      <c r="B2701" s="21">
        <f>IF(AND(C2701&lt;&gt;"", J2701&lt;&gt;""), HYPERLINK("#'" &amp; C2701 &amp; "'!" &amp; J2701, J2701), "")</f>
        <v/>
      </c>
    </row>
    <row r="2702">
      <c r="B2702" s="21">
        <f>IF(AND(C2702&lt;&gt;"", J2702&lt;&gt;""), HYPERLINK("#'" &amp; C2702 &amp; "'!" &amp; J2702, J2702), "")</f>
        <v/>
      </c>
    </row>
    <row r="2703">
      <c r="B2703" s="21">
        <f>IF(AND(C2703&lt;&gt;"", J2703&lt;&gt;""), HYPERLINK("#'" &amp; C2703 &amp; "'!" &amp; J2703, J2703), "")</f>
        <v/>
      </c>
    </row>
    <row r="2704">
      <c r="B2704" s="21">
        <f>IF(AND(C2704&lt;&gt;"", J2704&lt;&gt;""), HYPERLINK("#'" &amp; C2704 &amp; "'!" &amp; J2704, J2704), "")</f>
        <v/>
      </c>
    </row>
    <row r="2705">
      <c r="B2705" s="21">
        <f>IF(AND(C2705&lt;&gt;"", J2705&lt;&gt;""), HYPERLINK("#'" &amp; C2705 &amp; "'!" &amp; J2705, J2705), "")</f>
        <v/>
      </c>
    </row>
    <row r="2706">
      <c r="B2706" s="21">
        <f>IF(AND(C2706&lt;&gt;"", J2706&lt;&gt;""), HYPERLINK("#'" &amp; C2706 &amp; "'!" &amp; J2706, J2706), "")</f>
        <v/>
      </c>
    </row>
    <row r="2707">
      <c r="B2707" s="21">
        <f>IF(AND(C2707&lt;&gt;"", J2707&lt;&gt;""), HYPERLINK("#'" &amp; C2707 &amp; "'!" &amp; J2707, J2707), "")</f>
        <v/>
      </c>
    </row>
    <row r="2708">
      <c r="B2708" s="21">
        <f>IF(AND(C2708&lt;&gt;"", J2708&lt;&gt;""), HYPERLINK("#'" &amp; C2708 &amp; "'!" &amp; J2708, J2708), "")</f>
        <v/>
      </c>
    </row>
    <row r="2709">
      <c r="B2709" s="21">
        <f>IF(AND(C2709&lt;&gt;"", J2709&lt;&gt;""), HYPERLINK("#'" &amp; C2709 &amp; "'!" &amp; J2709, J2709), "")</f>
        <v/>
      </c>
    </row>
    <row r="2710">
      <c r="B2710" s="21">
        <f>IF(AND(C2710&lt;&gt;"", J2710&lt;&gt;""), HYPERLINK("#'" &amp; C2710 &amp; "'!" &amp; J2710, J2710), "")</f>
        <v/>
      </c>
    </row>
    <row r="2711">
      <c r="B2711" s="21">
        <f>IF(AND(C2711&lt;&gt;"", J2711&lt;&gt;""), HYPERLINK("#'" &amp; C2711 &amp; "'!" &amp; J2711, J2711), "")</f>
        <v/>
      </c>
    </row>
    <row r="2712">
      <c r="B2712" s="21">
        <f>IF(AND(C2712&lt;&gt;"", J2712&lt;&gt;""), HYPERLINK("#'" &amp; C2712 &amp; "'!" &amp; J2712, J2712), "")</f>
        <v/>
      </c>
    </row>
    <row r="2713">
      <c r="B2713" s="21">
        <f>IF(AND(C2713&lt;&gt;"", J2713&lt;&gt;""), HYPERLINK("#'" &amp; C2713 &amp; "'!" &amp; J2713, J2713), "")</f>
        <v/>
      </c>
    </row>
    <row r="2714">
      <c r="B2714" s="21">
        <f>IF(AND(C2714&lt;&gt;"", J2714&lt;&gt;""), HYPERLINK("#'" &amp; C2714 &amp; "'!" &amp; J2714, J2714), "")</f>
        <v/>
      </c>
    </row>
    <row r="2715">
      <c r="B2715" s="21">
        <f>IF(AND(C2715&lt;&gt;"", J2715&lt;&gt;""), HYPERLINK("#'" &amp; C2715 &amp; "'!" &amp; J2715, J2715), "")</f>
        <v/>
      </c>
    </row>
    <row r="2716">
      <c r="B2716" s="21">
        <f>IF(AND(C2716&lt;&gt;"", J2716&lt;&gt;""), HYPERLINK("#'" &amp; C2716 &amp; "'!" &amp; J2716, J2716), "")</f>
        <v/>
      </c>
    </row>
    <row r="2717">
      <c r="B2717" s="21">
        <f>IF(AND(C2717&lt;&gt;"", J2717&lt;&gt;""), HYPERLINK("#'" &amp; C2717 &amp; "'!" &amp; J2717, J2717), "")</f>
        <v/>
      </c>
    </row>
    <row r="2718">
      <c r="B2718" s="21">
        <f>IF(AND(C2718&lt;&gt;"", J2718&lt;&gt;""), HYPERLINK("#'" &amp; C2718 &amp; "'!" &amp; J2718, J2718), "")</f>
        <v/>
      </c>
    </row>
    <row r="2719">
      <c r="B2719" s="21">
        <f>IF(AND(C2719&lt;&gt;"", J2719&lt;&gt;""), HYPERLINK("#'" &amp; C2719 &amp; "'!" &amp; J2719, J2719), "")</f>
        <v/>
      </c>
    </row>
    <row r="2720">
      <c r="B2720" s="21">
        <f>IF(AND(C2720&lt;&gt;"", J2720&lt;&gt;""), HYPERLINK("#'" &amp; C2720 &amp; "'!" &amp; J2720, J2720), "")</f>
        <v/>
      </c>
    </row>
    <row r="2721">
      <c r="B2721" s="21">
        <f>IF(AND(C2721&lt;&gt;"", J2721&lt;&gt;""), HYPERLINK("#'" &amp; C2721 &amp; "'!" &amp; J2721, J2721), "")</f>
        <v/>
      </c>
    </row>
    <row r="2722">
      <c r="B2722" s="21">
        <f>IF(AND(C2722&lt;&gt;"", J2722&lt;&gt;""), HYPERLINK("#'" &amp; C2722 &amp; "'!" &amp; J2722, J2722), "")</f>
        <v/>
      </c>
    </row>
    <row r="2723">
      <c r="B2723" s="21">
        <f>IF(AND(C2723&lt;&gt;"", J2723&lt;&gt;""), HYPERLINK("#'" &amp; C2723 &amp; "'!" &amp; J2723, J2723), "")</f>
        <v/>
      </c>
    </row>
    <row r="2724">
      <c r="B2724" s="21">
        <f>IF(AND(C2724&lt;&gt;"", J2724&lt;&gt;""), HYPERLINK("#'" &amp; C2724 &amp; "'!" &amp; J2724, J2724), "")</f>
        <v/>
      </c>
    </row>
    <row r="2725">
      <c r="B2725" s="21">
        <f>IF(AND(C2725&lt;&gt;"", J2725&lt;&gt;""), HYPERLINK("#'" &amp; C2725 &amp; "'!" &amp; J2725, J2725), "")</f>
        <v/>
      </c>
    </row>
    <row r="2726">
      <c r="B2726" s="21">
        <f>IF(AND(C2726&lt;&gt;"", J2726&lt;&gt;""), HYPERLINK("#'" &amp; C2726 &amp; "'!" &amp; J2726, J2726), "")</f>
        <v/>
      </c>
    </row>
    <row r="2727">
      <c r="B2727" s="21">
        <f>IF(AND(C2727&lt;&gt;"", J2727&lt;&gt;""), HYPERLINK("#'" &amp; C2727 &amp; "'!" &amp; J2727, J2727), "")</f>
        <v/>
      </c>
    </row>
    <row r="2728">
      <c r="B2728" s="21">
        <f>IF(AND(C2728&lt;&gt;"", J2728&lt;&gt;""), HYPERLINK("#'" &amp; C2728 &amp; "'!" &amp; J2728, J2728), "")</f>
        <v/>
      </c>
    </row>
    <row r="2729">
      <c r="B2729" s="21">
        <f>IF(AND(C2729&lt;&gt;"", J2729&lt;&gt;""), HYPERLINK("#'" &amp; C2729 &amp; "'!" &amp; J2729, J2729), "")</f>
        <v/>
      </c>
    </row>
    <row r="2730">
      <c r="B2730" s="21">
        <f>IF(AND(C2730&lt;&gt;"", J2730&lt;&gt;""), HYPERLINK("#'" &amp; C2730 &amp; "'!" &amp; J2730, J2730), "")</f>
        <v/>
      </c>
    </row>
    <row r="2731">
      <c r="B2731" s="21">
        <f>IF(AND(C2731&lt;&gt;"", J2731&lt;&gt;""), HYPERLINK("#'" &amp; C2731 &amp; "'!" &amp; J2731, J2731), "")</f>
        <v/>
      </c>
    </row>
    <row r="2732">
      <c r="B2732" s="21">
        <f>IF(AND(C2732&lt;&gt;"", J2732&lt;&gt;""), HYPERLINK("#'" &amp; C2732 &amp; "'!" &amp; J2732, J2732), "")</f>
        <v/>
      </c>
    </row>
    <row r="2733">
      <c r="B2733" s="21">
        <f>IF(AND(C2733&lt;&gt;"", J2733&lt;&gt;""), HYPERLINK("#'" &amp; C2733 &amp; "'!" &amp; J2733, J2733), "")</f>
        <v/>
      </c>
    </row>
    <row r="2734">
      <c r="B2734" s="21">
        <f>IF(AND(C2734&lt;&gt;"", J2734&lt;&gt;""), HYPERLINK("#'" &amp; C2734 &amp; "'!" &amp; J2734, J2734), "")</f>
        <v/>
      </c>
    </row>
    <row r="2735">
      <c r="B2735" s="21">
        <f>IF(AND(C2735&lt;&gt;"", J2735&lt;&gt;""), HYPERLINK("#'" &amp; C2735 &amp; "'!" &amp; J2735, J2735), "")</f>
        <v/>
      </c>
    </row>
    <row r="2736">
      <c r="B2736" s="21">
        <f>IF(AND(C2736&lt;&gt;"", J2736&lt;&gt;""), HYPERLINK("#'" &amp; C2736 &amp; "'!" &amp; J2736, J2736), "")</f>
        <v/>
      </c>
    </row>
    <row r="2737">
      <c r="B2737" s="21">
        <f>IF(AND(C2737&lt;&gt;"", J2737&lt;&gt;""), HYPERLINK("#'" &amp; C2737 &amp; "'!" &amp; J2737, J2737), "")</f>
        <v/>
      </c>
    </row>
    <row r="2738">
      <c r="B2738" s="21">
        <f>IF(AND(C2738&lt;&gt;"", J2738&lt;&gt;""), HYPERLINK("#'" &amp; C2738 &amp; "'!" &amp; J2738, J2738), "")</f>
        <v/>
      </c>
    </row>
    <row r="2739">
      <c r="B2739" s="21">
        <f>IF(AND(C2739&lt;&gt;"", J2739&lt;&gt;""), HYPERLINK("#'" &amp; C2739 &amp; "'!" &amp; J2739, J2739), "")</f>
        <v/>
      </c>
    </row>
    <row r="2740">
      <c r="B2740" s="21">
        <f>IF(AND(C2740&lt;&gt;"", J2740&lt;&gt;""), HYPERLINK("#'" &amp; C2740 &amp; "'!" &amp; J2740, J2740), "")</f>
        <v/>
      </c>
    </row>
    <row r="2741">
      <c r="B2741" s="21">
        <f>IF(AND(C2741&lt;&gt;"", J2741&lt;&gt;""), HYPERLINK("#'" &amp; C2741 &amp; "'!" &amp; J2741, J2741), "")</f>
        <v/>
      </c>
    </row>
    <row r="2742">
      <c r="B2742" s="21">
        <f>IF(AND(C2742&lt;&gt;"", J2742&lt;&gt;""), HYPERLINK("#'" &amp; C2742 &amp; "'!" &amp; J2742, J2742), "")</f>
        <v/>
      </c>
    </row>
    <row r="2743">
      <c r="B2743" s="21">
        <f>IF(AND(C2743&lt;&gt;"", J2743&lt;&gt;""), HYPERLINK("#'" &amp; C2743 &amp; "'!" &amp; J2743, J2743), "")</f>
        <v/>
      </c>
    </row>
    <row r="2744">
      <c r="B2744" s="21">
        <f>IF(AND(C2744&lt;&gt;"", J2744&lt;&gt;""), HYPERLINK("#'" &amp; C2744 &amp; "'!" &amp; J2744, J2744), "")</f>
        <v/>
      </c>
    </row>
    <row r="2745">
      <c r="B2745" s="21">
        <f>IF(AND(C2745&lt;&gt;"", J2745&lt;&gt;""), HYPERLINK("#'" &amp; C2745 &amp; "'!" &amp; J2745, J2745), "")</f>
        <v/>
      </c>
    </row>
    <row r="2746">
      <c r="B2746" s="21">
        <f>IF(AND(C2746&lt;&gt;"", J2746&lt;&gt;""), HYPERLINK("#'" &amp; C2746 &amp; "'!" &amp; J2746, J2746), "")</f>
        <v/>
      </c>
    </row>
    <row r="2747">
      <c r="B2747" s="21">
        <f>IF(AND(C2747&lt;&gt;"", J2747&lt;&gt;""), HYPERLINK("#'" &amp; C2747 &amp; "'!" &amp; J2747, J2747), "")</f>
        <v/>
      </c>
    </row>
    <row r="2748">
      <c r="B2748" s="21">
        <f>IF(AND(C2748&lt;&gt;"", J2748&lt;&gt;""), HYPERLINK("#'" &amp; C2748 &amp; "'!" &amp; J2748, J2748), "")</f>
        <v/>
      </c>
    </row>
    <row r="2749">
      <c r="B2749" s="21">
        <f>IF(AND(C2749&lt;&gt;"", J2749&lt;&gt;""), HYPERLINK("#'" &amp; C2749 &amp; "'!" &amp; J2749, J2749), "")</f>
        <v/>
      </c>
    </row>
    <row r="2750">
      <c r="B2750" s="21">
        <f>IF(AND(C2750&lt;&gt;"", J2750&lt;&gt;""), HYPERLINK("#'" &amp; C2750 &amp; "'!" &amp; J2750, J2750), "")</f>
        <v/>
      </c>
    </row>
    <row r="2751">
      <c r="B2751" s="21">
        <f>IF(AND(C2751&lt;&gt;"", J2751&lt;&gt;""), HYPERLINK("#'" &amp; C2751 &amp; "'!" &amp; J2751, J2751), "")</f>
        <v/>
      </c>
    </row>
    <row r="2752">
      <c r="B2752" s="21">
        <f>IF(AND(C2752&lt;&gt;"", J2752&lt;&gt;""), HYPERLINK("#'" &amp; C2752 &amp; "'!" &amp; J2752, J2752), "")</f>
        <v/>
      </c>
    </row>
    <row r="2753">
      <c r="B2753" s="21">
        <f>IF(AND(C2753&lt;&gt;"", J2753&lt;&gt;""), HYPERLINK("#'" &amp; C2753 &amp; "'!" &amp; J2753, J2753), "")</f>
        <v/>
      </c>
    </row>
    <row r="2754">
      <c r="B2754" s="21">
        <f>IF(AND(C2754&lt;&gt;"", J2754&lt;&gt;""), HYPERLINK("#'" &amp; C2754 &amp; "'!" &amp; J2754, J2754), "")</f>
        <v/>
      </c>
    </row>
    <row r="2755">
      <c r="B2755" s="21">
        <f>IF(AND(C2755&lt;&gt;"", J2755&lt;&gt;""), HYPERLINK("#'" &amp; C2755 &amp; "'!" &amp; J2755, J2755), "")</f>
        <v/>
      </c>
    </row>
    <row r="2756">
      <c r="B2756" s="21">
        <f>IF(AND(C2756&lt;&gt;"", J2756&lt;&gt;""), HYPERLINK("#'" &amp; C2756 &amp; "'!" &amp; J2756, J2756), "")</f>
        <v/>
      </c>
    </row>
    <row r="2757">
      <c r="B2757" s="21">
        <f>IF(AND(C2757&lt;&gt;"", J2757&lt;&gt;""), HYPERLINK("#'" &amp; C2757 &amp; "'!" &amp; J2757, J2757), "")</f>
        <v/>
      </c>
    </row>
    <row r="2758">
      <c r="B2758" s="21">
        <f>IF(AND(C2758&lt;&gt;"", J2758&lt;&gt;""), HYPERLINK("#'" &amp; C2758 &amp; "'!" &amp; J2758, J2758), "")</f>
        <v/>
      </c>
    </row>
    <row r="2759">
      <c r="B2759" s="21">
        <f>IF(AND(C2759&lt;&gt;"", J2759&lt;&gt;""), HYPERLINK("#'" &amp; C2759 &amp; "'!" &amp; J2759, J2759), "")</f>
        <v/>
      </c>
    </row>
    <row r="2760">
      <c r="B2760" s="21">
        <f>IF(AND(C2760&lt;&gt;"", J2760&lt;&gt;""), HYPERLINK("#'" &amp; C2760 &amp; "'!" &amp; J2760, J2760), "")</f>
        <v/>
      </c>
    </row>
    <row r="2761">
      <c r="B2761" s="21">
        <f>IF(AND(C2761&lt;&gt;"", J2761&lt;&gt;""), HYPERLINK("#'" &amp; C2761 &amp; "'!" &amp; J2761, J2761), "")</f>
        <v/>
      </c>
    </row>
    <row r="2762">
      <c r="B2762" s="21">
        <f>IF(AND(C2762&lt;&gt;"", J2762&lt;&gt;""), HYPERLINK("#'" &amp; C2762 &amp; "'!" &amp; J2762, J2762), "")</f>
        <v/>
      </c>
    </row>
    <row r="2763">
      <c r="B2763" s="21">
        <f>IF(AND(C2763&lt;&gt;"", J2763&lt;&gt;""), HYPERLINK("#'" &amp; C2763 &amp; "'!" &amp; J2763, J2763), "")</f>
        <v/>
      </c>
    </row>
    <row r="2764">
      <c r="B2764" s="21">
        <f>IF(AND(C2764&lt;&gt;"", J2764&lt;&gt;""), HYPERLINK("#'" &amp; C2764 &amp; "'!" &amp; J2764, J2764), "")</f>
        <v/>
      </c>
    </row>
    <row r="2765">
      <c r="B2765" s="21">
        <f>IF(AND(C2765&lt;&gt;"", J2765&lt;&gt;""), HYPERLINK("#'" &amp; C2765 &amp; "'!" &amp; J2765, J2765), "")</f>
        <v/>
      </c>
    </row>
    <row r="2766">
      <c r="B2766" s="21">
        <f>IF(AND(C2766&lt;&gt;"", J2766&lt;&gt;""), HYPERLINK("#'" &amp; C2766 &amp; "'!" &amp; J2766, J2766), "")</f>
        <v/>
      </c>
    </row>
    <row r="2767">
      <c r="B2767" s="21">
        <f>IF(AND(C2767&lt;&gt;"", J2767&lt;&gt;""), HYPERLINK("#'" &amp; C2767 &amp; "'!" &amp; J2767, J2767), "")</f>
        <v/>
      </c>
    </row>
    <row r="2768">
      <c r="B2768" s="21">
        <f>IF(AND(C2768&lt;&gt;"", J2768&lt;&gt;""), HYPERLINK("#'" &amp; C2768 &amp; "'!" &amp; J2768, J2768), "")</f>
        <v/>
      </c>
    </row>
    <row r="2769">
      <c r="B2769" s="21">
        <f>IF(AND(C2769&lt;&gt;"", J2769&lt;&gt;""), HYPERLINK("#'" &amp; C2769 &amp; "'!" &amp; J2769, J2769), "")</f>
        <v/>
      </c>
    </row>
    <row r="2770">
      <c r="B2770" s="21">
        <f>IF(AND(C2770&lt;&gt;"", J2770&lt;&gt;""), HYPERLINK("#'" &amp; C2770 &amp; "'!" &amp; J2770, J2770), "")</f>
        <v/>
      </c>
    </row>
    <row r="2771">
      <c r="B2771" s="21">
        <f>IF(AND(C2771&lt;&gt;"", J2771&lt;&gt;""), HYPERLINK("#'" &amp; C2771 &amp; "'!" &amp; J2771, J2771), "")</f>
        <v/>
      </c>
    </row>
    <row r="2772">
      <c r="B2772" s="21">
        <f>IF(AND(C2772&lt;&gt;"", J2772&lt;&gt;""), HYPERLINK("#'" &amp; C2772 &amp; "'!" &amp; J2772, J2772), "")</f>
        <v/>
      </c>
    </row>
    <row r="2773">
      <c r="B2773" s="21">
        <f>IF(AND(C2773&lt;&gt;"", J2773&lt;&gt;""), HYPERLINK("#'" &amp; C2773 &amp; "'!" &amp; J2773, J2773), "")</f>
        <v/>
      </c>
    </row>
    <row r="2774">
      <c r="B2774" s="21">
        <f>IF(AND(C2774&lt;&gt;"", J2774&lt;&gt;""), HYPERLINK("#'" &amp; C2774 &amp; "'!" &amp; J2774, J2774), "")</f>
        <v/>
      </c>
    </row>
    <row r="2775">
      <c r="B2775" s="21">
        <f>IF(AND(C2775&lt;&gt;"", J2775&lt;&gt;""), HYPERLINK("#'" &amp; C2775 &amp; "'!" &amp; J2775, J2775), "")</f>
        <v/>
      </c>
    </row>
    <row r="2776">
      <c r="B2776" s="21">
        <f>IF(AND(C2776&lt;&gt;"", J2776&lt;&gt;""), HYPERLINK("#'" &amp; C2776 &amp; "'!" &amp; J2776, J2776), "")</f>
        <v/>
      </c>
    </row>
    <row r="2777">
      <c r="B2777" s="21">
        <f>IF(AND(C2777&lt;&gt;"", J2777&lt;&gt;""), HYPERLINK("#'" &amp; C2777 &amp; "'!" &amp; J2777, J2777), "")</f>
        <v/>
      </c>
    </row>
    <row r="2778">
      <c r="B2778" s="21">
        <f>IF(AND(C2778&lt;&gt;"", J2778&lt;&gt;""), HYPERLINK("#'" &amp; C2778 &amp; "'!" &amp; J2778, J2778), "")</f>
        <v/>
      </c>
    </row>
    <row r="2779">
      <c r="B2779" s="21">
        <f>IF(AND(C2779&lt;&gt;"", J2779&lt;&gt;""), HYPERLINK("#'" &amp; C2779 &amp; "'!" &amp; J2779, J2779), "")</f>
        <v/>
      </c>
    </row>
    <row r="2780">
      <c r="B2780" s="21">
        <f>IF(AND(C2780&lt;&gt;"", J2780&lt;&gt;""), HYPERLINK("#'" &amp; C2780 &amp; "'!" &amp; J2780, J2780), "")</f>
        <v/>
      </c>
    </row>
    <row r="2781">
      <c r="B2781" s="21">
        <f>IF(AND(C2781&lt;&gt;"", J2781&lt;&gt;""), HYPERLINK("#'" &amp; C2781 &amp; "'!" &amp; J2781, J2781), "")</f>
        <v/>
      </c>
    </row>
    <row r="2782">
      <c r="B2782" s="21">
        <f>IF(AND(C2782&lt;&gt;"", J2782&lt;&gt;""), HYPERLINK("#'" &amp; C2782 &amp; "'!" &amp; J2782, J2782), "")</f>
        <v/>
      </c>
    </row>
    <row r="2783">
      <c r="B2783" s="21">
        <f>IF(AND(C2783&lt;&gt;"", J2783&lt;&gt;""), HYPERLINK("#'" &amp; C2783 &amp; "'!" &amp; J2783, J2783), "")</f>
        <v/>
      </c>
    </row>
    <row r="2784">
      <c r="B2784" s="21">
        <f>IF(AND(C2784&lt;&gt;"", J2784&lt;&gt;""), HYPERLINK("#'" &amp; C2784 &amp; "'!" &amp; J2784, J2784), "")</f>
        <v/>
      </c>
    </row>
    <row r="2785">
      <c r="B2785" s="21">
        <f>IF(AND(C2785&lt;&gt;"", J2785&lt;&gt;""), HYPERLINK("#'" &amp; C2785 &amp; "'!" &amp; J2785, J2785), "")</f>
        <v/>
      </c>
    </row>
    <row r="2786">
      <c r="B2786" s="21">
        <f>IF(AND(C2786&lt;&gt;"", J2786&lt;&gt;""), HYPERLINK("#'" &amp; C2786 &amp; "'!" &amp; J2786, J2786), "")</f>
        <v/>
      </c>
    </row>
    <row r="2787">
      <c r="B2787" s="21">
        <f>IF(AND(C2787&lt;&gt;"", J2787&lt;&gt;""), HYPERLINK("#'" &amp; C2787 &amp; "'!" &amp; J2787, J2787), "")</f>
        <v/>
      </c>
    </row>
    <row r="2788">
      <c r="B2788" s="21">
        <f>IF(AND(C2788&lt;&gt;"", J2788&lt;&gt;""), HYPERLINK("#'" &amp; C2788 &amp; "'!" &amp; J2788, J2788), "")</f>
        <v/>
      </c>
    </row>
    <row r="2789">
      <c r="B2789" s="21">
        <f>IF(AND(C2789&lt;&gt;"", J2789&lt;&gt;""), HYPERLINK("#'" &amp; C2789 &amp; "'!" &amp; J2789, J2789), "")</f>
        <v/>
      </c>
    </row>
    <row r="2790">
      <c r="B2790" s="21">
        <f>IF(AND(C2790&lt;&gt;"", J2790&lt;&gt;""), HYPERLINK("#'" &amp; C2790 &amp; "'!" &amp; J2790, J2790), "")</f>
        <v/>
      </c>
    </row>
    <row r="2791">
      <c r="B2791" s="21">
        <f>IF(AND(C2791&lt;&gt;"", J2791&lt;&gt;""), HYPERLINK("#'" &amp; C2791 &amp; "'!" &amp; J2791, J2791), "")</f>
        <v/>
      </c>
    </row>
    <row r="2792">
      <c r="B2792" s="21">
        <f>IF(AND(C2792&lt;&gt;"", J2792&lt;&gt;""), HYPERLINK("#'" &amp; C2792 &amp; "'!" &amp; J2792, J2792), "")</f>
        <v/>
      </c>
    </row>
    <row r="2793">
      <c r="B2793" s="21">
        <f>IF(AND(C2793&lt;&gt;"", J2793&lt;&gt;""), HYPERLINK("#'" &amp; C2793 &amp; "'!" &amp; J2793, J2793), "")</f>
        <v/>
      </c>
    </row>
    <row r="2794">
      <c r="B2794" s="21">
        <f>IF(AND(C2794&lt;&gt;"", J2794&lt;&gt;""), HYPERLINK("#'" &amp; C2794 &amp; "'!" &amp; J2794, J2794), "")</f>
        <v/>
      </c>
    </row>
    <row r="2795">
      <c r="B2795" s="21">
        <f>IF(AND(C2795&lt;&gt;"", J2795&lt;&gt;""), HYPERLINK("#'" &amp; C2795 &amp; "'!" &amp; J2795, J2795), "")</f>
        <v/>
      </c>
    </row>
    <row r="2796">
      <c r="B2796" s="21">
        <f>IF(AND(C2796&lt;&gt;"", J2796&lt;&gt;""), HYPERLINK("#'" &amp; C2796 &amp; "'!" &amp; J2796, J2796), "")</f>
        <v/>
      </c>
    </row>
    <row r="2797">
      <c r="B2797" s="21">
        <f>IF(AND(C2797&lt;&gt;"", J2797&lt;&gt;""), HYPERLINK("#'" &amp; C2797 &amp; "'!" &amp; J2797, J2797), "")</f>
        <v/>
      </c>
    </row>
    <row r="2798">
      <c r="B2798" s="21">
        <f>IF(AND(C2798&lt;&gt;"", J2798&lt;&gt;""), HYPERLINK("#'" &amp; C2798 &amp; "'!" &amp; J2798, J2798), "")</f>
        <v/>
      </c>
    </row>
    <row r="2799">
      <c r="B2799" s="21">
        <f>IF(AND(C2799&lt;&gt;"", J2799&lt;&gt;""), HYPERLINK("#'" &amp; C2799 &amp; "'!" &amp; J2799, J2799), "")</f>
        <v/>
      </c>
    </row>
    <row r="2800">
      <c r="B2800" s="21">
        <f>IF(AND(C2800&lt;&gt;"", J2800&lt;&gt;""), HYPERLINK("#'" &amp; C2800 &amp; "'!" &amp; J2800, J2800), "")</f>
        <v/>
      </c>
    </row>
    <row r="2801">
      <c r="B2801" s="21">
        <f>IF(AND(C2801&lt;&gt;"", J2801&lt;&gt;""), HYPERLINK("#'" &amp; C2801 &amp; "'!" &amp; J2801, J2801), "")</f>
        <v/>
      </c>
    </row>
    <row r="2802">
      <c r="B2802" s="21">
        <f>IF(AND(C2802&lt;&gt;"", J2802&lt;&gt;""), HYPERLINK("#'" &amp; C2802 &amp; "'!" &amp; J2802, J2802), "")</f>
        <v/>
      </c>
    </row>
    <row r="2803">
      <c r="B2803" s="21">
        <f>IF(AND(C2803&lt;&gt;"", J2803&lt;&gt;""), HYPERLINK("#'" &amp; C2803 &amp; "'!" &amp; J2803, J2803), "")</f>
        <v/>
      </c>
    </row>
    <row r="2804">
      <c r="B2804" s="21">
        <f>IF(AND(C2804&lt;&gt;"", J2804&lt;&gt;""), HYPERLINK("#'" &amp; C2804 &amp; "'!" &amp; J2804, J2804), "")</f>
        <v/>
      </c>
    </row>
    <row r="2805">
      <c r="B2805" s="21">
        <f>IF(AND(C2805&lt;&gt;"", J2805&lt;&gt;""), HYPERLINK("#'" &amp; C2805 &amp; "'!" &amp; J2805, J2805), "")</f>
        <v/>
      </c>
    </row>
    <row r="2806">
      <c r="B2806" s="21">
        <f>IF(AND(C2806&lt;&gt;"", J2806&lt;&gt;""), HYPERLINK("#'" &amp; C2806 &amp; "'!" &amp; J2806, J2806), "")</f>
        <v/>
      </c>
    </row>
    <row r="2807">
      <c r="B2807" s="21">
        <f>IF(AND(C2807&lt;&gt;"", J2807&lt;&gt;""), HYPERLINK("#'" &amp; C2807 &amp; "'!" &amp; J2807, J2807), "")</f>
        <v/>
      </c>
    </row>
    <row r="2808">
      <c r="B2808" s="21">
        <f>IF(AND(C2808&lt;&gt;"", J2808&lt;&gt;""), HYPERLINK("#'" &amp; C2808 &amp; "'!" &amp; J2808, J2808), "")</f>
        <v/>
      </c>
    </row>
    <row r="2809">
      <c r="B2809" s="21">
        <f>IF(AND(C2809&lt;&gt;"", J2809&lt;&gt;""), HYPERLINK("#'" &amp; C2809 &amp; "'!" &amp; J2809, J2809), "")</f>
        <v/>
      </c>
    </row>
    <row r="2810">
      <c r="B2810" s="21">
        <f>IF(AND(C2810&lt;&gt;"", J2810&lt;&gt;""), HYPERLINK("#'" &amp; C2810 &amp; "'!" &amp; J2810, J2810), "")</f>
        <v/>
      </c>
    </row>
    <row r="2811">
      <c r="B2811" s="21">
        <f>IF(AND(C2811&lt;&gt;"", J2811&lt;&gt;""), HYPERLINK("#'" &amp; C2811 &amp; "'!" &amp; J2811, J2811), "")</f>
        <v/>
      </c>
    </row>
    <row r="2812">
      <c r="B2812" s="21">
        <f>IF(AND(C2812&lt;&gt;"", J2812&lt;&gt;""), HYPERLINK("#'" &amp; C2812 &amp; "'!" &amp; J2812, J2812), "")</f>
        <v/>
      </c>
    </row>
    <row r="2813">
      <c r="B2813" s="21">
        <f>IF(AND(C2813&lt;&gt;"", J2813&lt;&gt;""), HYPERLINK("#'" &amp; C2813 &amp; "'!" &amp; J2813, J2813), "")</f>
        <v/>
      </c>
    </row>
    <row r="2814">
      <c r="B2814" s="21">
        <f>IF(AND(C2814&lt;&gt;"", J2814&lt;&gt;""), HYPERLINK("#'" &amp; C2814 &amp; "'!" &amp; J2814, J2814), "")</f>
        <v/>
      </c>
    </row>
    <row r="2815">
      <c r="B2815" s="21">
        <f>IF(AND(C2815&lt;&gt;"", J2815&lt;&gt;""), HYPERLINK("#'" &amp; C2815 &amp; "'!" &amp; J2815, J2815), "")</f>
        <v/>
      </c>
    </row>
    <row r="2816">
      <c r="B2816" s="21">
        <f>IF(AND(C2816&lt;&gt;"", J2816&lt;&gt;""), HYPERLINK("#'" &amp; C2816 &amp; "'!" &amp; J2816, J2816), "")</f>
        <v/>
      </c>
    </row>
    <row r="2817">
      <c r="B2817" s="21">
        <f>IF(AND(C2817&lt;&gt;"", J2817&lt;&gt;""), HYPERLINK("#'" &amp; C2817 &amp; "'!" &amp; J2817, J2817), "")</f>
        <v/>
      </c>
    </row>
    <row r="2818">
      <c r="B2818" s="21">
        <f>IF(AND(C2818&lt;&gt;"", J2818&lt;&gt;""), HYPERLINK("#'" &amp; C2818 &amp; "'!" &amp; J2818, J2818), "")</f>
        <v/>
      </c>
    </row>
    <row r="2819">
      <c r="B2819" s="21">
        <f>IF(AND(C2819&lt;&gt;"", J2819&lt;&gt;""), HYPERLINK("#'" &amp; C2819 &amp; "'!" &amp; J2819, J2819), "")</f>
        <v/>
      </c>
    </row>
    <row r="2820">
      <c r="B2820" s="21">
        <f>IF(AND(C2820&lt;&gt;"", J2820&lt;&gt;""), HYPERLINK("#'" &amp; C2820 &amp; "'!" &amp; J2820, J2820), "")</f>
        <v/>
      </c>
    </row>
    <row r="2821">
      <c r="B2821" s="21">
        <f>IF(AND(C2821&lt;&gt;"", J2821&lt;&gt;""), HYPERLINK("#'" &amp; C2821 &amp; "'!" &amp; J2821, J2821), "")</f>
        <v/>
      </c>
    </row>
    <row r="2822">
      <c r="B2822" s="21">
        <f>IF(AND(C2822&lt;&gt;"", J2822&lt;&gt;""), HYPERLINK("#'" &amp; C2822 &amp; "'!" &amp; J2822, J2822), "")</f>
        <v/>
      </c>
    </row>
    <row r="2823">
      <c r="B2823" s="21">
        <f>IF(AND(C2823&lt;&gt;"", J2823&lt;&gt;""), HYPERLINK("#'" &amp; C2823 &amp; "'!" &amp; J2823, J2823), "")</f>
        <v/>
      </c>
    </row>
    <row r="2824">
      <c r="B2824" s="21">
        <f>IF(AND(C2824&lt;&gt;"", J2824&lt;&gt;""), HYPERLINK("#'" &amp; C2824 &amp; "'!" &amp; J2824, J2824), "")</f>
        <v/>
      </c>
    </row>
    <row r="2825">
      <c r="B2825" s="21">
        <f>IF(AND(C2825&lt;&gt;"", J2825&lt;&gt;""), HYPERLINK("#'" &amp; C2825 &amp; "'!" &amp; J2825, J2825), "")</f>
        <v/>
      </c>
    </row>
    <row r="2826">
      <c r="B2826" s="21">
        <f>IF(AND(C2826&lt;&gt;"", J2826&lt;&gt;""), HYPERLINK("#'" &amp; C2826 &amp; "'!" &amp; J2826, J2826), "")</f>
        <v/>
      </c>
    </row>
    <row r="2827">
      <c r="B2827" s="21">
        <f>IF(AND(C2827&lt;&gt;"", J2827&lt;&gt;""), HYPERLINK("#'" &amp; C2827 &amp; "'!" &amp; J2827, J2827), "")</f>
        <v/>
      </c>
    </row>
    <row r="2828">
      <c r="B2828" s="21">
        <f>IF(AND(C2828&lt;&gt;"", J2828&lt;&gt;""), HYPERLINK("#'" &amp; C2828 &amp; "'!" &amp; J2828, J2828), "")</f>
        <v/>
      </c>
    </row>
    <row r="2829">
      <c r="B2829" s="21">
        <f>IF(AND(C2829&lt;&gt;"", J2829&lt;&gt;""), HYPERLINK("#'" &amp; C2829 &amp; "'!" &amp; J2829, J2829), "")</f>
        <v/>
      </c>
    </row>
    <row r="2830">
      <c r="B2830" s="21">
        <f>IF(AND(C2830&lt;&gt;"", J2830&lt;&gt;""), HYPERLINK("#'" &amp; C2830 &amp; "'!" &amp; J2830, J2830), "")</f>
        <v/>
      </c>
    </row>
    <row r="2831">
      <c r="B2831" s="21">
        <f>IF(AND(C2831&lt;&gt;"", J2831&lt;&gt;""), HYPERLINK("#'" &amp; C2831 &amp; "'!" &amp; J2831, J2831), "")</f>
        <v/>
      </c>
    </row>
    <row r="2832">
      <c r="B2832" s="21">
        <f>IF(AND(C2832&lt;&gt;"", J2832&lt;&gt;""), HYPERLINK("#'" &amp; C2832 &amp; "'!" &amp; J2832, J2832), "")</f>
        <v/>
      </c>
    </row>
    <row r="2833">
      <c r="B2833" s="21">
        <f>IF(AND(C2833&lt;&gt;"", J2833&lt;&gt;""), HYPERLINK("#'" &amp; C2833 &amp; "'!" &amp; J2833, J2833), "")</f>
        <v/>
      </c>
    </row>
    <row r="2834">
      <c r="B2834" s="21">
        <f>IF(AND(C2834&lt;&gt;"", J2834&lt;&gt;""), HYPERLINK("#'" &amp; C2834 &amp; "'!" &amp; J2834, J2834), "")</f>
        <v/>
      </c>
    </row>
    <row r="2835">
      <c r="B2835" s="21">
        <f>IF(AND(C2835&lt;&gt;"", J2835&lt;&gt;""), HYPERLINK("#'" &amp; C2835 &amp; "'!" &amp; J2835, J2835), "")</f>
        <v/>
      </c>
    </row>
    <row r="2836">
      <c r="B2836" s="21">
        <f>IF(AND(C2836&lt;&gt;"", J2836&lt;&gt;""), HYPERLINK("#'" &amp; C2836 &amp; "'!" &amp; J2836, J2836), "")</f>
        <v/>
      </c>
    </row>
    <row r="2837">
      <c r="B2837" s="21">
        <f>IF(AND(C2837&lt;&gt;"", J2837&lt;&gt;""), HYPERLINK("#'" &amp; C2837 &amp; "'!" &amp; J2837, J2837), "")</f>
        <v/>
      </c>
    </row>
    <row r="2838">
      <c r="B2838" s="21">
        <f>IF(AND(C2838&lt;&gt;"", J2838&lt;&gt;""), HYPERLINK("#'" &amp; C2838 &amp; "'!" &amp; J2838, J2838), "")</f>
        <v/>
      </c>
    </row>
    <row r="2839">
      <c r="B2839" s="21">
        <f>IF(AND(C2839&lt;&gt;"", J2839&lt;&gt;""), HYPERLINK("#'" &amp; C2839 &amp; "'!" &amp; J2839, J2839), "")</f>
        <v/>
      </c>
    </row>
    <row r="2840">
      <c r="B2840" s="21">
        <f>IF(AND(C2840&lt;&gt;"", J2840&lt;&gt;""), HYPERLINK("#'" &amp; C2840 &amp; "'!" &amp; J2840, J2840), "")</f>
        <v/>
      </c>
    </row>
    <row r="2841">
      <c r="B2841" s="21">
        <f>IF(AND(C2841&lt;&gt;"", J2841&lt;&gt;""), HYPERLINK("#'" &amp; C2841 &amp; "'!" &amp; J2841, J2841), "")</f>
        <v/>
      </c>
    </row>
    <row r="2842">
      <c r="B2842" s="21">
        <f>IF(AND(C2842&lt;&gt;"", J2842&lt;&gt;""), HYPERLINK("#'" &amp; C2842 &amp; "'!" &amp; J2842, J2842), "")</f>
        <v/>
      </c>
    </row>
    <row r="2843">
      <c r="B2843" s="21">
        <f>IF(AND(C2843&lt;&gt;"", J2843&lt;&gt;""), HYPERLINK("#'" &amp; C2843 &amp; "'!" &amp; J2843, J2843), "")</f>
        <v/>
      </c>
    </row>
    <row r="2844">
      <c r="B2844" s="21">
        <f>IF(AND(C2844&lt;&gt;"", J2844&lt;&gt;""), HYPERLINK("#'" &amp; C2844 &amp; "'!" &amp; J2844, J2844), "")</f>
        <v/>
      </c>
    </row>
    <row r="2845">
      <c r="B2845" s="21">
        <f>IF(AND(C2845&lt;&gt;"", J2845&lt;&gt;""), HYPERLINK("#'" &amp; C2845 &amp; "'!" &amp; J2845, J2845), "")</f>
        <v/>
      </c>
    </row>
    <row r="2846">
      <c r="B2846" s="21">
        <f>IF(AND(C2846&lt;&gt;"", J2846&lt;&gt;""), HYPERLINK("#'" &amp; C2846 &amp; "'!" &amp; J2846, J2846), "")</f>
        <v/>
      </c>
    </row>
    <row r="2847">
      <c r="B2847" s="21">
        <f>IF(AND(C2847&lt;&gt;"", J2847&lt;&gt;""), HYPERLINK("#'" &amp; C2847 &amp; "'!" &amp; J2847, J2847), "")</f>
        <v/>
      </c>
    </row>
    <row r="2848">
      <c r="B2848" s="21">
        <f>IF(AND(C2848&lt;&gt;"", J2848&lt;&gt;""), HYPERLINK("#'" &amp; C2848 &amp; "'!" &amp; J2848, J2848), "")</f>
        <v/>
      </c>
    </row>
    <row r="2849">
      <c r="B2849" s="21">
        <f>IF(AND(C2849&lt;&gt;"", J2849&lt;&gt;""), HYPERLINK("#'" &amp; C2849 &amp; "'!" &amp; J2849, J2849), "")</f>
        <v/>
      </c>
    </row>
    <row r="2850">
      <c r="B2850" s="21">
        <f>IF(AND(C2850&lt;&gt;"", J2850&lt;&gt;""), HYPERLINK("#'" &amp; C2850 &amp; "'!" &amp; J2850, J2850), "")</f>
        <v/>
      </c>
    </row>
    <row r="2851">
      <c r="B2851" s="21">
        <f>IF(AND(C2851&lt;&gt;"", J2851&lt;&gt;""), HYPERLINK("#'" &amp; C2851 &amp; "'!" &amp; J2851, J2851), "")</f>
        <v/>
      </c>
    </row>
    <row r="2852">
      <c r="B2852" s="21">
        <f>IF(AND(C2852&lt;&gt;"", J2852&lt;&gt;""), HYPERLINK("#'" &amp; C2852 &amp; "'!" &amp; J2852, J2852), "")</f>
        <v/>
      </c>
    </row>
    <row r="2853">
      <c r="B2853" s="21">
        <f>IF(AND(C2853&lt;&gt;"", J2853&lt;&gt;""), HYPERLINK("#'" &amp; C2853 &amp; "'!" &amp; J2853, J2853), "")</f>
        <v/>
      </c>
    </row>
    <row r="2854">
      <c r="B2854" s="21">
        <f>IF(AND(C2854&lt;&gt;"", J2854&lt;&gt;""), HYPERLINK("#'" &amp; C2854 &amp; "'!" &amp; J2854, J2854), "")</f>
        <v/>
      </c>
    </row>
    <row r="2855">
      <c r="B2855" s="21">
        <f>IF(AND(C2855&lt;&gt;"", J2855&lt;&gt;""), HYPERLINK("#'" &amp; C2855 &amp; "'!" &amp; J2855, J2855), "")</f>
        <v/>
      </c>
    </row>
    <row r="2856">
      <c r="B2856" s="21">
        <f>IF(AND(C2856&lt;&gt;"", J2856&lt;&gt;""), HYPERLINK("#'" &amp; C2856 &amp; "'!" &amp; J2856, J2856), "")</f>
        <v/>
      </c>
    </row>
    <row r="2857">
      <c r="B2857" s="21">
        <f>IF(AND(C2857&lt;&gt;"", J2857&lt;&gt;""), HYPERLINK("#'" &amp; C2857 &amp; "'!" &amp; J2857, J2857), "")</f>
        <v/>
      </c>
    </row>
    <row r="2858">
      <c r="B2858" s="21">
        <f>IF(AND(C2858&lt;&gt;"", J2858&lt;&gt;""), HYPERLINK("#'" &amp; C2858 &amp; "'!" &amp; J2858, J2858), "")</f>
        <v/>
      </c>
    </row>
    <row r="2859">
      <c r="B2859" s="21">
        <f>IF(AND(C2859&lt;&gt;"", J2859&lt;&gt;""), HYPERLINK("#'" &amp; C2859 &amp; "'!" &amp; J2859, J2859), "")</f>
        <v/>
      </c>
    </row>
    <row r="2860">
      <c r="B2860" s="21">
        <f>IF(AND(C2860&lt;&gt;"", J2860&lt;&gt;""), HYPERLINK("#'" &amp; C2860 &amp; "'!" &amp; J2860, J2860), "")</f>
        <v/>
      </c>
    </row>
    <row r="2861">
      <c r="B2861" s="21">
        <f>IF(AND(C2861&lt;&gt;"", J2861&lt;&gt;""), HYPERLINK("#'" &amp; C2861 &amp; "'!" &amp; J2861, J2861), "")</f>
        <v/>
      </c>
    </row>
    <row r="2862">
      <c r="B2862" s="21">
        <f>IF(AND(C2862&lt;&gt;"", J2862&lt;&gt;""), HYPERLINK("#'" &amp; C2862 &amp; "'!" &amp; J2862, J2862), "")</f>
        <v/>
      </c>
    </row>
    <row r="2863">
      <c r="B2863" s="21">
        <f>IF(AND(C2863&lt;&gt;"", J2863&lt;&gt;""), HYPERLINK("#'" &amp; C2863 &amp; "'!" &amp; J2863, J2863), "")</f>
        <v/>
      </c>
    </row>
    <row r="2864">
      <c r="B2864" s="21">
        <f>IF(AND(C2864&lt;&gt;"", J2864&lt;&gt;""), HYPERLINK("#'" &amp; C2864 &amp; "'!" &amp; J2864, J2864), "")</f>
        <v/>
      </c>
    </row>
    <row r="2865">
      <c r="B2865" s="21">
        <f>IF(AND(C2865&lt;&gt;"", J2865&lt;&gt;""), HYPERLINK("#'" &amp; C2865 &amp; "'!" &amp; J2865, J2865), "")</f>
        <v/>
      </c>
    </row>
    <row r="2866">
      <c r="B2866" s="21">
        <f>IF(AND(C2866&lt;&gt;"", J2866&lt;&gt;""), HYPERLINK("#'" &amp; C2866 &amp; "'!" &amp; J2866, J2866), "")</f>
        <v/>
      </c>
    </row>
    <row r="2867">
      <c r="B2867" s="21">
        <f>IF(AND(C2867&lt;&gt;"", J2867&lt;&gt;""), HYPERLINK("#'" &amp; C2867 &amp; "'!" &amp; J2867, J2867), "")</f>
        <v/>
      </c>
    </row>
    <row r="2868">
      <c r="B2868" s="21">
        <f>IF(AND(C2868&lt;&gt;"", J2868&lt;&gt;""), HYPERLINK("#'" &amp; C2868 &amp; "'!" &amp; J2868, J2868), "")</f>
        <v/>
      </c>
    </row>
    <row r="2869">
      <c r="B2869" s="21">
        <f>IF(AND(C2869&lt;&gt;"", J2869&lt;&gt;""), HYPERLINK("#'" &amp; C2869 &amp; "'!" &amp; J2869, J2869), "")</f>
        <v/>
      </c>
    </row>
    <row r="2870">
      <c r="B2870" s="21">
        <f>IF(AND(C2870&lt;&gt;"", J2870&lt;&gt;""), HYPERLINK("#'" &amp; C2870 &amp; "'!" &amp; J2870, J2870), "")</f>
        <v/>
      </c>
    </row>
    <row r="2871">
      <c r="B2871" s="21">
        <f>IF(AND(C2871&lt;&gt;"", J2871&lt;&gt;""), HYPERLINK("#'" &amp; C2871 &amp; "'!" &amp; J2871, J2871), "")</f>
        <v/>
      </c>
    </row>
    <row r="2872">
      <c r="B2872" s="21">
        <f>IF(AND(C2872&lt;&gt;"", J2872&lt;&gt;""), HYPERLINK("#'" &amp; C2872 &amp; "'!" &amp; J2872, J2872), "")</f>
        <v/>
      </c>
    </row>
    <row r="2873">
      <c r="B2873" s="21">
        <f>IF(AND(C2873&lt;&gt;"", J2873&lt;&gt;""), HYPERLINK("#'" &amp; C2873 &amp; "'!" &amp; J2873, J2873), "")</f>
        <v/>
      </c>
    </row>
    <row r="2874">
      <c r="B2874" s="21">
        <f>IF(AND(C2874&lt;&gt;"", J2874&lt;&gt;""), HYPERLINK("#'" &amp; C2874 &amp; "'!" &amp; J2874, J2874), "")</f>
        <v/>
      </c>
    </row>
    <row r="2875">
      <c r="B2875" s="21">
        <f>IF(AND(C2875&lt;&gt;"", J2875&lt;&gt;""), HYPERLINK("#'" &amp; C2875 &amp; "'!" &amp; J2875, J2875), "")</f>
        <v/>
      </c>
    </row>
    <row r="2876">
      <c r="B2876" s="21">
        <f>IF(AND(C2876&lt;&gt;"", J2876&lt;&gt;""), HYPERLINK("#'" &amp; C2876 &amp; "'!" &amp; J2876, J2876), "")</f>
        <v/>
      </c>
    </row>
    <row r="2877">
      <c r="B2877" s="21">
        <f>IF(AND(C2877&lt;&gt;"", J2877&lt;&gt;""), HYPERLINK("#'" &amp; C2877 &amp; "'!" &amp; J2877, J2877), "")</f>
        <v/>
      </c>
    </row>
    <row r="2878">
      <c r="B2878" s="21">
        <f>IF(AND(C2878&lt;&gt;"", J2878&lt;&gt;""), HYPERLINK("#'" &amp; C2878 &amp; "'!" &amp; J2878, J2878), "")</f>
        <v/>
      </c>
    </row>
    <row r="2879">
      <c r="B2879" s="21">
        <f>IF(AND(C2879&lt;&gt;"", J2879&lt;&gt;""), HYPERLINK("#'" &amp; C2879 &amp; "'!" &amp; J2879, J2879), "")</f>
        <v/>
      </c>
    </row>
    <row r="2880">
      <c r="B2880" s="21">
        <f>IF(AND(C2880&lt;&gt;"", J2880&lt;&gt;""), HYPERLINK("#'" &amp; C2880 &amp; "'!" &amp; J2880, J2880), "")</f>
        <v/>
      </c>
    </row>
    <row r="2881">
      <c r="B2881" s="21">
        <f>IF(AND(C2881&lt;&gt;"", J2881&lt;&gt;""), HYPERLINK("#'" &amp; C2881 &amp; "'!" &amp; J2881, J2881), "")</f>
        <v/>
      </c>
    </row>
    <row r="2882">
      <c r="B2882" s="21">
        <f>IF(AND(C2882&lt;&gt;"", J2882&lt;&gt;""), HYPERLINK("#'" &amp; C2882 &amp; "'!" &amp; J2882, J2882), "")</f>
        <v/>
      </c>
    </row>
    <row r="2883">
      <c r="B2883" s="21">
        <f>IF(AND(C2883&lt;&gt;"", J2883&lt;&gt;""), HYPERLINK("#'" &amp; C2883 &amp; "'!" &amp; J2883, J2883), "")</f>
        <v/>
      </c>
    </row>
    <row r="2884">
      <c r="B2884" s="21">
        <f>IF(AND(C2884&lt;&gt;"", J2884&lt;&gt;""), HYPERLINK("#'" &amp; C2884 &amp; "'!" &amp; J2884, J2884), "")</f>
        <v/>
      </c>
    </row>
    <row r="2885">
      <c r="B2885" s="21">
        <f>IF(AND(C2885&lt;&gt;"", J2885&lt;&gt;""), HYPERLINK("#'" &amp; C2885 &amp; "'!" &amp; J2885, J2885), "")</f>
        <v/>
      </c>
    </row>
    <row r="2886">
      <c r="B2886" s="21">
        <f>IF(AND(C2886&lt;&gt;"", J2886&lt;&gt;""), HYPERLINK("#'" &amp; C2886 &amp; "'!" &amp; J2886, J2886), "")</f>
        <v/>
      </c>
    </row>
    <row r="2887">
      <c r="B2887" s="21">
        <f>IF(AND(C2887&lt;&gt;"", J2887&lt;&gt;""), HYPERLINK("#'" &amp; C2887 &amp; "'!" &amp; J2887, J2887), "")</f>
        <v/>
      </c>
    </row>
    <row r="2888">
      <c r="B2888" s="21">
        <f>IF(AND(C2888&lt;&gt;"", J2888&lt;&gt;""), HYPERLINK("#'" &amp; C2888 &amp; "'!" &amp; J2888, J2888), "")</f>
        <v/>
      </c>
    </row>
    <row r="2889">
      <c r="B2889" s="21">
        <f>IF(AND(C2889&lt;&gt;"", J2889&lt;&gt;""), HYPERLINK("#'" &amp; C2889 &amp; "'!" &amp; J2889, J2889), "")</f>
        <v/>
      </c>
    </row>
    <row r="2890">
      <c r="B2890" s="21">
        <f>IF(AND(C2890&lt;&gt;"", J2890&lt;&gt;""), HYPERLINK("#'" &amp; C2890 &amp; "'!" &amp; J2890, J2890), "")</f>
        <v/>
      </c>
    </row>
    <row r="2891">
      <c r="B2891" s="21">
        <f>IF(AND(C2891&lt;&gt;"", J2891&lt;&gt;""), HYPERLINK("#'" &amp; C2891 &amp; "'!" &amp; J2891, J2891), "")</f>
        <v/>
      </c>
    </row>
    <row r="2892">
      <c r="B2892" s="21">
        <f>IF(AND(C2892&lt;&gt;"", J2892&lt;&gt;""), HYPERLINK("#'" &amp; C2892 &amp; "'!" &amp; J2892, J2892), "")</f>
        <v/>
      </c>
    </row>
    <row r="2893">
      <c r="B2893" s="21">
        <f>IF(AND(C2893&lt;&gt;"", J2893&lt;&gt;""), HYPERLINK("#'" &amp; C2893 &amp; "'!" &amp; J2893, J2893), "")</f>
        <v/>
      </c>
    </row>
    <row r="2894">
      <c r="B2894" s="21">
        <f>IF(AND(C2894&lt;&gt;"", J2894&lt;&gt;""), HYPERLINK("#'" &amp; C2894 &amp; "'!" &amp; J2894, J2894), "")</f>
        <v/>
      </c>
    </row>
    <row r="2895">
      <c r="B2895" s="21">
        <f>IF(AND(C2895&lt;&gt;"", J2895&lt;&gt;""), HYPERLINK("#'" &amp; C2895 &amp; "'!" &amp; J2895, J2895), "")</f>
        <v/>
      </c>
    </row>
    <row r="2896">
      <c r="B2896" s="21">
        <f>IF(AND(C2896&lt;&gt;"", J2896&lt;&gt;""), HYPERLINK("#'" &amp; C2896 &amp; "'!" &amp; J2896, J2896), "")</f>
        <v/>
      </c>
    </row>
    <row r="2897">
      <c r="B2897" s="21">
        <f>IF(AND(C2897&lt;&gt;"", J2897&lt;&gt;""), HYPERLINK("#'" &amp; C2897 &amp; "'!" &amp; J2897, J2897), "")</f>
        <v/>
      </c>
    </row>
    <row r="2898">
      <c r="B2898" s="21">
        <f>IF(AND(C2898&lt;&gt;"", J2898&lt;&gt;""), HYPERLINK("#'" &amp; C2898 &amp; "'!" &amp; J2898, J2898), "")</f>
        <v/>
      </c>
    </row>
    <row r="2899">
      <c r="B2899" s="21">
        <f>IF(AND(C2899&lt;&gt;"", J2899&lt;&gt;""), HYPERLINK("#'" &amp; C2899 &amp; "'!" &amp; J2899, J2899), "")</f>
        <v/>
      </c>
    </row>
    <row r="2900">
      <c r="B2900" s="21">
        <f>IF(AND(C2900&lt;&gt;"", J2900&lt;&gt;""), HYPERLINK("#'" &amp; C2900 &amp; "'!" &amp; J2900, J2900), "")</f>
        <v/>
      </c>
    </row>
    <row r="2901">
      <c r="B2901" s="21">
        <f>IF(AND(C2901&lt;&gt;"", J2901&lt;&gt;""), HYPERLINK("#'" &amp; C2901 &amp; "'!" &amp; J2901, J2901), "")</f>
        <v/>
      </c>
    </row>
    <row r="2902">
      <c r="B2902" s="21">
        <f>IF(AND(C2902&lt;&gt;"", J2902&lt;&gt;""), HYPERLINK("#'" &amp; C2902 &amp; "'!" &amp; J2902, J2902), "")</f>
        <v/>
      </c>
    </row>
    <row r="2903">
      <c r="B2903" s="21">
        <f>IF(AND(C2903&lt;&gt;"", J2903&lt;&gt;""), HYPERLINK("#'" &amp; C2903 &amp; "'!" &amp; J2903, J2903), "")</f>
        <v/>
      </c>
    </row>
    <row r="2904">
      <c r="B2904" s="21">
        <f>IF(AND(C2904&lt;&gt;"", J2904&lt;&gt;""), HYPERLINK("#'" &amp; C2904 &amp; "'!" &amp; J2904, J2904), "")</f>
        <v/>
      </c>
    </row>
    <row r="2905">
      <c r="B2905" s="21">
        <f>IF(AND(C2905&lt;&gt;"", J2905&lt;&gt;""), HYPERLINK("#'" &amp; C2905 &amp; "'!" &amp; J2905, J2905), "")</f>
        <v/>
      </c>
    </row>
    <row r="2906">
      <c r="B2906" s="21">
        <f>IF(AND(C2906&lt;&gt;"", J2906&lt;&gt;""), HYPERLINK("#'" &amp; C2906 &amp; "'!" &amp; J2906, J2906), "")</f>
        <v/>
      </c>
    </row>
    <row r="2907">
      <c r="B2907" s="21">
        <f>IF(AND(C2907&lt;&gt;"", J2907&lt;&gt;""), HYPERLINK("#'" &amp; C2907 &amp; "'!" &amp; J2907, J2907), "")</f>
        <v/>
      </c>
    </row>
    <row r="2908">
      <c r="B2908" s="21">
        <f>IF(AND(C2908&lt;&gt;"", J2908&lt;&gt;""), HYPERLINK("#'" &amp; C2908 &amp; "'!" &amp; J2908, J2908), "")</f>
        <v/>
      </c>
    </row>
    <row r="2909">
      <c r="B2909" s="21">
        <f>IF(AND(C2909&lt;&gt;"", J2909&lt;&gt;""), HYPERLINK("#'" &amp; C2909 &amp; "'!" &amp; J2909, J2909), "")</f>
        <v/>
      </c>
    </row>
    <row r="2910">
      <c r="B2910" s="21">
        <f>IF(AND(C2910&lt;&gt;"", J2910&lt;&gt;""), HYPERLINK("#'" &amp; C2910 &amp; "'!" &amp; J2910, J2910), "")</f>
        <v/>
      </c>
    </row>
    <row r="2911">
      <c r="B2911" s="21">
        <f>IF(AND(C2911&lt;&gt;"", J2911&lt;&gt;""), HYPERLINK("#'" &amp; C2911 &amp; "'!" &amp; J2911, J2911), "")</f>
        <v/>
      </c>
    </row>
    <row r="2912">
      <c r="B2912" s="21">
        <f>IF(AND(C2912&lt;&gt;"", J2912&lt;&gt;""), HYPERLINK("#'" &amp; C2912 &amp; "'!" &amp; J2912, J2912), "")</f>
        <v/>
      </c>
    </row>
    <row r="2913">
      <c r="B2913" s="21">
        <f>IF(AND(C2913&lt;&gt;"", J2913&lt;&gt;""), HYPERLINK("#'" &amp; C2913 &amp; "'!" &amp; J2913, J2913), "")</f>
        <v/>
      </c>
    </row>
    <row r="2914">
      <c r="B2914" s="21">
        <f>IF(AND(C2914&lt;&gt;"", J2914&lt;&gt;""), HYPERLINK("#'" &amp; C2914 &amp; "'!" &amp; J2914, J2914), "")</f>
        <v/>
      </c>
    </row>
    <row r="2915">
      <c r="B2915" s="21">
        <f>IF(AND(C2915&lt;&gt;"", J2915&lt;&gt;""), HYPERLINK("#'" &amp; C2915 &amp; "'!" &amp; J2915, J2915), "")</f>
        <v/>
      </c>
    </row>
    <row r="2916">
      <c r="B2916" s="21">
        <f>IF(AND(C2916&lt;&gt;"", J2916&lt;&gt;""), HYPERLINK("#'" &amp; C2916 &amp; "'!" &amp; J2916, J2916), "")</f>
        <v/>
      </c>
    </row>
    <row r="2917">
      <c r="B2917" s="21">
        <f>IF(AND(C2917&lt;&gt;"", J2917&lt;&gt;""), HYPERLINK("#'" &amp; C2917 &amp; "'!" &amp; J2917, J2917), "")</f>
        <v/>
      </c>
    </row>
    <row r="2918">
      <c r="B2918" s="21">
        <f>IF(AND(C2918&lt;&gt;"", J2918&lt;&gt;""), HYPERLINK("#'" &amp; C2918 &amp; "'!" &amp; J2918, J2918), "")</f>
        <v/>
      </c>
    </row>
    <row r="2919">
      <c r="B2919" s="21">
        <f>IF(AND(C2919&lt;&gt;"", J2919&lt;&gt;""), HYPERLINK("#'" &amp; C2919 &amp; "'!" &amp; J2919, J2919), "")</f>
        <v/>
      </c>
    </row>
    <row r="2920">
      <c r="B2920" s="21">
        <f>IF(AND(C2920&lt;&gt;"", J2920&lt;&gt;""), HYPERLINK("#'" &amp; C2920 &amp; "'!" &amp; J2920, J2920), "")</f>
        <v/>
      </c>
    </row>
    <row r="2921">
      <c r="B2921" s="21">
        <f>IF(AND(C2921&lt;&gt;"", J2921&lt;&gt;""), HYPERLINK("#'" &amp; C2921 &amp; "'!" &amp; J2921, J2921), "")</f>
        <v/>
      </c>
    </row>
    <row r="2922">
      <c r="B2922" s="21">
        <f>IF(AND(C2922&lt;&gt;"", J2922&lt;&gt;""), HYPERLINK("#'" &amp; C2922 &amp; "'!" &amp; J2922, J2922), "")</f>
        <v/>
      </c>
    </row>
    <row r="2923">
      <c r="B2923" s="21">
        <f>IF(AND(C2923&lt;&gt;"", J2923&lt;&gt;""), HYPERLINK("#'" &amp; C2923 &amp; "'!" &amp; J2923, J2923), "")</f>
        <v/>
      </c>
    </row>
    <row r="2924">
      <c r="B2924" s="21">
        <f>IF(AND(C2924&lt;&gt;"", J2924&lt;&gt;""), HYPERLINK("#'" &amp; C2924 &amp; "'!" &amp; J2924, J2924), "")</f>
        <v/>
      </c>
    </row>
    <row r="2925">
      <c r="B2925" s="21">
        <f>IF(AND(C2925&lt;&gt;"", J2925&lt;&gt;""), HYPERLINK("#'" &amp; C2925 &amp; "'!" &amp; J2925, J2925), "")</f>
        <v/>
      </c>
    </row>
    <row r="2926">
      <c r="B2926" s="21">
        <f>IF(AND(C2926&lt;&gt;"", J2926&lt;&gt;""), HYPERLINK("#'" &amp; C2926 &amp; "'!" &amp; J2926, J2926), "")</f>
        <v/>
      </c>
    </row>
    <row r="2927">
      <c r="B2927" s="21">
        <f>IF(AND(C2927&lt;&gt;"", J2927&lt;&gt;""), HYPERLINK("#'" &amp; C2927 &amp; "'!" &amp; J2927, J2927), "")</f>
        <v/>
      </c>
    </row>
    <row r="2928">
      <c r="B2928" s="21">
        <f>IF(AND(C2928&lt;&gt;"", J2928&lt;&gt;""), HYPERLINK("#'" &amp; C2928 &amp; "'!" &amp; J2928, J2928), "")</f>
        <v/>
      </c>
    </row>
    <row r="2929">
      <c r="B2929" s="21">
        <f>IF(AND(C2929&lt;&gt;"", J2929&lt;&gt;""), HYPERLINK("#'" &amp; C2929 &amp; "'!" &amp; J2929, J2929), "")</f>
        <v/>
      </c>
    </row>
    <row r="2930">
      <c r="B2930" s="21">
        <f>IF(AND(C2930&lt;&gt;"", J2930&lt;&gt;""), HYPERLINK("#'" &amp; C2930 &amp; "'!" &amp; J2930, J2930), "")</f>
        <v/>
      </c>
    </row>
    <row r="2931">
      <c r="B2931" s="21">
        <f>IF(AND(C2931&lt;&gt;"", J2931&lt;&gt;""), HYPERLINK("#'" &amp; C2931 &amp; "'!" &amp; J2931, J2931), "")</f>
        <v/>
      </c>
    </row>
    <row r="2932">
      <c r="B2932" s="21">
        <f>IF(AND(C2932&lt;&gt;"", J2932&lt;&gt;""), HYPERLINK("#'" &amp; C2932 &amp; "'!" &amp; J2932, J2932), "")</f>
        <v/>
      </c>
    </row>
    <row r="2933">
      <c r="B2933" s="21">
        <f>IF(AND(C2933&lt;&gt;"", J2933&lt;&gt;""), HYPERLINK("#'" &amp; C2933 &amp; "'!" &amp; J2933, J2933), "")</f>
        <v/>
      </c>
    </row>
    <row r="2934">
      <c r="B2934" s="21">
        <f>IF(AND(C2934&lt;&gt;"", J2934&lt;&gt;""), HYPERLINK("#'" &amp; C2934 &amp; "'!" &amp; J2934, J2934), "")</f>
        <v/>
      </c>
    </row>
    <row r="2935">
      <c r="B2935" s="21">
        <f>IF(AND(C2935&lt;&gt;"", J2935&lt;&gt;""), HYPERLINK("#'" &amp; C2935 &amp; "'!" &amp; J2935, J2935), "")</f>
        <v/>
      </c>
    </row>
    <row r="2936">
      <c r="B2936" s="21">
        <f>IF(AND(C2936&lt;&gt;"", J2936&lt;&gt;""), HYPERLINK("#'" &amp; C2936 &amp; "'!" &amp; J2936, J2936), "")</f>
        <v/>
      </c>
    </row>
    <row r="2937">
      <c r="B2937" s="21">
        <f>IF(AND(C2937&lt;&gt;"", J2937&lt;&gt;""), HYPERLINK("#'" &amp; C2937 &amp; "'!" &amp; J2937, J2937), "")</f>
        <v/>
      </c>
    </row>
    <row r="2938">
      <c r="B2938" s="21">
        <f>IF(AND(C2938&lt;&gt;"", J2938&lt;&gt;""), HYPERLINK("#'" &amp; C2938 &amp; "'!" &amp; J2938, J2938), "")</f>
        <v/>
      </c>
    </row>
    <row r="2939">
      <c r="B2939" s="21">
        <f>IF(AND(C2939&lt;&gt;"", J2939&lt;&gt;""), HYPERLINK("#'" &amp; C2939 &amp; "'!" &amp; J2939, J2939), "")</f>
        <v/>
      </c>
    </row>
    <row r="2940">
      <c r="B2940" s="21">
        <f>IF(AND(C2940&lt;&gt;"", J2940&lt;&gt;""), HYPERLINK("#'" &amp; C2940 &amp; "'!" &amp; J2940, J2940), "")</f>
        <v/>
      </c>
    </row>
    <row r="2941">
      <c r="B2941" s="21">
        <f>IF(AND(C2941&lt;&gt;"", J2941&lt;&gt;""), HYPERLINK("#'" &amp; C2941 &amp; "'!" &amp; J2941, J2941), "")</f>
        <v/>
      </c>
    </row>
    <row r="2942">
      <c r="B2942" s="21">
        <f>IF(AND(C2942&lt;&gt;"", J2942&lt;&gt;""), HYPERLINK("#'" &amp; C2942 &amp; "'!" &amp; J2942, J2942), "")</f>
        <v/>
      </c>
    </row>
    <row r="2943">
      <c r="B2943" s="21">
        <f>IF(AND(C2943&lt;&gt;"", J2943&lt;&gt;""), HYPERLINK("#'" &amp; C2943 &amp; "'!" &amp; J2943, J2943), "")</f>
        <v/>
      </c>
    </row>
    <row r="2944">
      <c r="B2944" s="21">
        <f>IF(AND(C2944&lt;&gt;"", J2944&lt;&gt;""), HYPERLINK("#'" &amp; C2944 &amp; "'!" &amp; J2944, J2944), "")</f>
        <v/>
      </c>
    </row>
    <row r="2945">
      <c r="B2945" s="21">
        <f>IF(AND(C2945&lt;&gt;"", J2945&lt;&gt;""), HYPERLINK("#'" &amp; C2945 &amp; "'!" &amp; J2945, J2945), "")</f>
        <v/>
      </c>
    </row>
    <row r="2946">
      <c r="B2946" s="21">
        <f>IF(AND(C2946&lt;&gt;"", J2946&lt;&gt;""), HYPERLINK("#'" &amp; C2946 &amp; "'!" &amp; J2946, J2946), "")</f>
        <v/>
      </c>
    </row>
    <row r="2947">
      <c r="B2947" s="21">
        <f>IF(AND(C2947&lt;&gt;"", J2947&lt;&gt;""), HYPERLINK("#'" &amp; C2947 &amp; "'!" &amp; J2947, J2947), "")</f>
        <v/>
      </c>
    </row>
    <row r="2948">
      <c r="B2948" s="21">
        <f>IF(AND(C2948&lt;&gt;"", J2948&lt;&gt;""), HYPERLINK("#'" &amp; C2948 &amp; "'!" &amp; J2948, J2948), "")</f>
        <v/>
      </c>
    </row>
    <row r="2949">
      <c r="B2949" s="21">
        <f>IF(AND(C2949&lt;&gt;"", J2949&lt;&gt;""), HYPERLINK("#'" &amp; C2949 &amp; "'!" &amp; J2949, J2949), "")</f>
        <v/>
      </c>
    </row>
    <row r="2950">
      <c r="B2950" s="21">
        <f>IF(AND(C2950&lt;&gt;"", J2950&lt;&gt;""), HYPERLINK("#'" &amp; C2950 &amp; "'!" &amp; J2950, J2950), "")</f>
        <v/>
      </c>
    </row>
    <row r="2951">
      <c r="B2951" s="21">
        <f>IF(AND(C2951&lt;&gt;"", J2951&lt;&gt;""), HYPERLINK("#'" &amp; C2951 &amp; "'!" &amp; J2951, J2951), "")</f>
        <v/>
      </c>
    </row>
    <row r="2952">
      <c r="B2952" s="21">
        <f>IF(AND(C2952&lt;&gt;"", J2952&lt;&gt;""), HYPERLINK("#'" &amp; C2952 &amp; "'!" &amp; J2952, J2952), "")</f>
        <v/>
      </c>
    </row>
    <row r="2953">
      <c r="B2953" s="21">
        <f>IF(AND(C2953&lt;&gt;"", J2953&lt;&gt;""), HYPERLINK("#'" &amp; C2953 &amp; "'!" &amp; J2953, J2953), "")</f>
        <v/>
      </c>
    </row>
    <row r="2954">
      <c r="B2954" s="21">
        <f>IF(AND(C2954&lt;&gt;"", J2954&lt;&gt;""), HYPERLINK("#'" &amp; C2954 &amp; "'!" &amp; J2954, J2954), "")</f>
        <v/>
      </c>
    </row>
    <row r="2955">
      <c r="B2955" s="21">
        <f>IF(AND(C2955&lt;&gt;"", J2955&lt;&gt;""), HYPERLINK("#'" &amp; C2955 &amp; "'!" &amp; J2955, J2955), "")</f>
        <v/>
      </c>
    </row>
    <row r="2956">
      <c r="B2956" s="21">
        <f>IF(AND(C2956&lt;&gt;"", J2956&lt;&gt;""), HYPERLINK("#'" &amp; C2956 &amp; "'!" &amp; J2956, J2956), "")</f>
        <v/>
      </c>
    </row>
    <row r="2957">
      <c r="B2957" s="21">
        <f>IF(AND(C2957&lt;&gt;"", J2957&lt;&gt;""), HYPERLINK("#'" &amp; C2957 &amp; "'!" &amp; J2957, J2957), "")</f>
        <v/>
      </c>
    </row>
    <row r="2958">
      <c r="B2958" s="21">
        <f>IF(AND(C2958&lt;&gt;"", J2958&lt;&gt;""), HYPERLINK("#'" &amp; C2958 &amp; "'!" &amp; J2958, J2958), "")</f>
        <v/>
      </c>
    </row>
    <row r="2959">
      <c r="B2959" s="21">
        <f>IF(AND(C2959&lt;&gt;"", J2959&lt;&gt;""), HYPERLINK("#'" &amp; C2959 &amp; "'!" &amp; J2959, J2959), "")</f>
        <v/>
      </c>
    </row>
    <row r="2960">
      <c r="B2960" s="21">
        <f>IF(AND(C2960&lt;&gt;"", J2960&lt;&gt;""), HYPERLINK("#'" &amp; C2960 &amp; "'!" &amp; J2960, J2960), "")</f>
        <v/>
      </c>
    </row>
    <row r="2961">
      <c r="B2961" s="21">
        <f>IF(AND(C2961&lt;&gt;"", J2961&lt;&gt;""), HYPERLINK("#'" &amp; C2961 &amp; "'!" &amp; J2961, J2961), "")</f>
        <v/>
      </c>
    </row>
    <row r="2962">
      <c r="B2962" s="21">
        <f>IF(AND(C2962&lt;&gt;"", J2962&lt;&gt;""), HYPERLINK("#'" &amp; C2962 &amp; "'!" &amp; J2962, J2962), "")</f>
        <v/>
      </c>
    </row>
    <row r="2963">
      <c r="B2963" s="21">
        <f>IF(AND(C2963&lt;&gt;"", J2963&lt;&gt;""), HYPERLINK("#'" &amp; C2963 &amp; "'!" &amp; J2963, J2963), "")</f>
        <v/>
      </c>
    </row>
    <row r="2964">
      <c r="B2964" s="21">
        <f>IF(AND(C2964&lt;&gt;"", J2964&lt;&gt;""), HYPERLINK("#'" &amp; C2964 &amp; "'!" &amp; J2964, J2964), "")</f>
        <v/>
      </c>
    </row>
    <row r="2965">
      <c r="B2965" s="21">
        <f>IF(AND(C2965&lt;&gt;"", J2965&lt;&gt;""), HYPERLINK("#'" &amp; C2965 &amp; "'!" &amp; J2965, J2965), "")</f>
        <v/>
      </c>
    </row>
    <row r="2966">
      <c r="B2966" s="21">
        <f>IF(AND(C2966&lt;&gt;"", J2966&lt;&gt;""), HYPERLINK("#'" &amp; C2966 &amp; "'!" &amp; J2966, J2966), "")</f>
        <v/>
      </c>
    </row>
    <row r="2967">
      <c r="B2967" s="21">
        <f>IF(AND(C2967&lt;&gt;"", J2967&lt;&gt;""), HYPERLINK("#'" &amp; C2967 &amp; "'!" &amp; J2967, J2967), "")</f>
        <v/>
      </c>
    </row>
    <row r="2968">
      <c r="B2968" s="21">
        <f>IF(AND(C2968&lt;&gt;"", J2968&lt;&gt;""), HYPERLINK("#'" &amp; C2968 &amp; "'!" &amp; J2968, J2968), "")</f>
        <v/>
      </c>
    </row>
    <row r="2969">
      <c r="B2969" s="21">
        <f>IF(AND(C2969&lt;&gt;"", J2969&lt;&gt;""), HYPERLINK("#'" &amp; C2969 &amp; "'!" &amp; J2969, J2969), "")</f>
        <v/>
      </c>
    </row>
    <row r="2970">
      <c r="B2970" s="21">
        <f>IF(AND(C2970&lt;&gt;"", J2970&lt;&gt;""), HYPERLINK("#'" &amp; C2970 &amp; "'!" &amp; J2970, J2970), "")</f>
        <v/>
      </c>
    </row>
    <row r="2971">
      <c r="B2971" s="21">
        <f>IF(AND(C2971&lt;&gt;"", J2971&lt;&gt;""), HYPERLINK("#'" &amp; C2971 &amp; "'!" &amp; J2971, J2971), "")</f>
        <v/>
      </c>
    </row>
    <row r="2972">
      <c r="B2972" s="21">
        <f>IF(AND(C2972&lt;&gt;"", J2972&lt;&gt;""), HYPERLINK("#'" &amp; C2972 &amp; "'!" &amp; J2972, J2972), "")</f>
        <v/>
      </c>
    </row>
    <row r="2973">
      <c r="B2973" s="21">
        <f>IF(AND(C2973&lt;&gt;"", J2973&lt;&gt;""), HYPERLINK("#'" &amp; C2973 &amp; "'!" &amp; J2973, J2973), "")</f>
        <v/>
      </c>
    </row>
    <row r="2974">
      <c r="B2974" s="21">
        <f>IF(AND(C2974&lt;&gt;"", J2974&lt;&gt;""), HYPERLINK("#'" &amp; C2974 &amp; "'!" &amp; J2974, J2974), "")</f>
        <v/>
      </c>
    </row>
    <row r="2975">
      <c r="B2975" s="21">
        <f>IF(AND(C2975&lt;&gt;"", J2975&lt;&gt;""), HYPERLINK("#'" &amp; C2975 &amp; "'!" &amp; J2975, J2975), "")</f>
        <v/>
      </c>
    </row>
    <row r="2976">
      <c r="B2976" s="21">
        <f>IF(AND(C2976&lt;&gt;"", J2976&lt;&gt;""), HYPERLINK("#'" &amp; C2976 &amp; "'!" &amp; J2976, J2976), "")</f>
        <v/>
      </c>
    </row>
    <row r="2977">
      <c r="B2977" s="21">
        <f>IF(AND(C2977&lt;&gt;"", J2977&lt;&gt;""), HYPERLINK("#'" &amp; C2977 &amp; "'!" &amp; J2977, J2977), "")</f>
        <v/>
      </c>
    </row>
    <row r="2978">
      <c r="B2978" s="21">
        <f>IF(AND(C2978&lt;&gt;"", J2978&lt;&gt;""), HYPERLINK("#'" &amp; C2978 &amp; "'!" &amp; J2978, J2978), "")</f>
        <v/>
      </c>
    </row>
    <row r="2979">
      <c r="B2979" s="21">
        <f>IF(AND(C2979&lt;&gt;"", J2979&lt;&gt;""), HYPERLINK("#'" &amp; C2979 &amp; "'!" &amp; J2979, J2979), "")</f>
        <v/>
      </c>
    </row>
    <row r="2980">
      <c r="B2980" s="21">
        <f>IF(AND(C2980&lt;&gt;"", J2980&lt;&gt;""), HYPERLINK("#'" &amp; C2980 &amp; "'!" &amp; J2980, J2980), "")</f>
        <v/>
      </c>
    </row>
    <row r="2981">
      <c r="B2981" s="21">
        <f>IF(AND(C2981&lt;&gt;"", J2981&lt;&gt;""), HYPERLINK("#'" &amp; C2981 &amp; "'!" &amp; J2981, J2981), "")</f>
        <v/>
      </c>
    </row>
    <row r="2982">
      <c r="B2982" s="21">
        <f>IF(AND(C2982&lt;&gt;"", J2982&lt;&gt;""), HYPERLINK("#'" &amp; C2982 &amp; "'!" &amp; J2982, J2982), "")</f>
        <v/>
      </c>
    </row>
    <row r="2983">
      <c r="B2983" s="21">
        <f>IF(AND(C2983&lt;&gt;"", J2983&lt;&gt;""), HYPERLINK("#'" &amp; C2983 &amp; "'!" &amp; J2983, J2983), "")</f>
        <v/>
      </c>
    </row>
    <row r="2984">
      <c r="B2984" s="21">
        <f>IF(AND(C2984&lt;&gt;"", J2984&lt;&gt;""), HYPERLINK("#'" &amp; C2984 &amp; "'!" &amp; J2984, J2984), "")</f>
        <v/>
      </c>
    </row>
    <row r="2985">
      <c r="B2985" s="21">
        <f>IF(AND(C2985&lt;&gt;"", J2985&lt;&gt;""), HYPERLINK("#'" &amp; C2985 &amp; "'!" &amp; J2985, J2985), "")</f>
        <v/>
      </c>
    </row>
    <row r="2986">
      <c r="B2986" s="21">
        <f>IF(AND(C2986&lt;&gt;"", J2986&lt;&gt;""), HYPERLINK("#'" &amp; C2986 &amp; "'!" &amp; J2986, J2986), "")</f>
        <v/>
      </c>
    </row>
    <row r="2987">
      <c r="B2987" s="21">
        <f>IF(AND(C2987&lt;&gt;"", J2987&lt;&gt;""), HYPERLINK("#'" &amp; C2987 &amp; "'!" &amp; J2987, J2987), "")</f>
        <v/>
      </c>
    </row>
    <row r="2988">
      <c r="B2988" s="21">
        <f>IF(AND(C2988&lt;&gt;"", J2988&lt;&gt;""), HYPERLINK("#'" &amp; C2988 &amp; "'!" &amp; J2988, J2988), "")</f>
        <v/>
      </c>
    </row>
    <row r="2989">
      <c r="B2989" s="21">
        <f>IF(AND(C2989&lt;&gt;"", J2989&lt;&gt;""), HYPERLINK("#'" &amp; C2989 &amp; "'!" &amp; J2989, J2989), "")</f>
        <v/>
      </c>
    </row>
    <row r="2990">
      <c r="B2990" s="21">
        <f>IF(AND(C2990&lt;&gt;"", J2990&lt;&gt;""), HYPERLINK("#'" &amp; C2990 &amp; "'!" &amp; J2990, J2990), "")</f>
        <v/>
      </c>
    </row>
    <row r="2991">
      <c r="B2991" s="21">
        <f>IF(AND(C2991&lt;&gt;"", J2991&lt;&gt;""), HYPERLINK("#'" &amp; C2991 &amp; "'!" &amp; J2991, J2991), "")</f>
        <v/>
      </c>
    </row>
    <row r="2992">
      <c r="B2992" s="21">
        <f>IF(AND(C2992&lt;&gt;"", J2992&lt;&gt;""), HYPERLINK("#'" &amp; C2992 &amp; "'!" &amp; J2992, J2992), "")</f>
        <v/>
      </c>
    </row>
    <row r="2993">
      <c r="B2993" s="21">
        <f>IF(AND(C2993&lt;&gt;"", J2993&lt;&gt;""), HYPERLINK("#'" &amp; C2993 &amp; "'!" &amp; J2993, J2993), "")</f>
        <v/>
      </c>
    </row>
    <row r="2994">
      <c r="B2994" s="21">
        <f>IF(AND(C2994&lt;&gt;"", J2994&lt;&gt;""), HYPERLINK("#'" &amp; C2994 &amp; "'!" &amp; J2994, J2994), "")</f>
        <v/>
      </c>
    </row>
    <row r="2995">
      <c r="B2995" s="21">
        <f>IF(AND(C2995&lt;&gt;"", J2995&lt;&gt;""), HYPERLINK("#'" &amp; C2995 &amp; "'!" &amp; J2995, J2995), "")</f>
        <v/>
      </c>
    </row>
    <row r="2996">
      <c r="B2996" s="21">
        <f>IF(AND(C2996&lt;&gt;"", J2996&lt;&gt;""), HYPERLINK("#'" &amp; C2996 &amp; "'!" &amp; J2996, J2996), "")</f>
        <v/>
      </c>
    </row>
    <row r="2997">
      <c r="B2997" s="21">
        <f>IF(AND(C2997&lt;&gt;"", J2997&lt;&gt;""), HYPERLINK("#'" &amp; C2997 &amp; "'!" &amp; J2997, J2997), "")</f>
        <v/>
      </c>
    </row>
    <row r="2998">
      <c r="B2998" s="21">
        <f>IF(AND(C2998&lt;&gt;"", J2998&lt;&gt;""), HYPERLINK("#'" &amp; C2998 &amp; "'!" &amp; J2998, J2998), "")</f>
        <v/>
      </c>
    </row>
    <row r="2999">
      <c r="B2999" s="21">
        <f>IF(AND(C2999&lt;&gt;"", J2999&lt;&gt;""), HYPERLINK("#'" &amp; C2999 &amp; "'!" &amp; J2999, J2999), "")</f>
        <v/>
      </c>
    </row>
    <row r="3000">
      <c r="B3000" s="21">
        <f>IF(AND(C3000&lt;&gt;"", J3000&lt;&gt;""), HYPERLINK("#'" &amp; C3000 &amp; "'!" &amp; J3000, J3000), "")</f>
        <v/>
      </c>
    </row>
    <row r="3001">
      <c r="B3001" s="21">
        <f>IF(AND(C3001&lt;&gt;"", J3001&lt;&gt;""), HYPERLINK("#'" &amp; C3001 &amp; "'!" &amp; J3001, J3001), "")</f>
        <v/>
      </c>
    </row>
    <row r="3002">
      <c r="B3002" s="21">
        <f>IF(AND(C3002&lt;&gt;"", J3002&lt;&gt;""), HYPERLINK("#'" &amp; C3002 &amp; "'!" &amp; J3002, J3002), "")</f>
        <v/>
      </c>
    </row>
    <row r="3003">
      <c r="B3003" s="21">
        <f>IF(AND(C3003&lt;&gt;"", J3003&lt;&gt;""), HYPERLINK("#'" &amp; C3003 &amp; "'!" &amp; J3003, J3003), "")</f>
        <v/>
      </c>
    </row>
    <row r="3004">
      <c r="B3004" s="21">
        <f>IF(AND(C3004&lt;&gt;"", J3004&lt;&gt;""), HYPERLINK("#'" &amp; C3004 &amp; "'!" &amp; J3004, J3004), "")</f>
        <v/>
      </c>
    </row>
    <row r="3005">
      <c r="B3005" s="21">
        <f>IF(AND(C3005&lt;&gt;"", J3005&lt;&gt;""), HYPERLINK("#'" &amp; C3005 &amp; "'!" &amp; J3005, J3005), "")</f>
        <v/>
      </c>
    </row>
    <row r="3006">
      <c r="B3006" s="21">
        <f>IF(AND(C3006&lt;&gt;"", J3006&lt;&gt;""), HYPERLINK("#'" &amp; C3006 &amp; "'!" &amp; J3006, J3006), "")</f>
        <v/>
      </c>
    </row>
    <row r="3007">
      <c r="B3007" s="21">
        <f>IF(AND(C3007&lt;&gt;"", J3007&lt;&gt;""), HYPERLINK("#'" &amp; C3007 &amp; "'!" &amp; J3007, J3007), "")</f>
        <v/>
      </c>
    </row>
    <row r="3008">
      <c r="B3008" s="21">
        <f>IF(AND(C3008&lt;&gt;"", J3008&lt;&gt;""), HYPERLINK("#'" &amp; C3008 &amp; "'!" &amp; J3008, J3008), "")</f>
        <v/>
      </c>
    </row>
    <row r="3009">
      <c r="B3009" s="21">
        <f>IF(AND(C3009&lt;&gt;"", J3009&lt;&gt;""), HYPERLINK("#'" &amp; C3009 &amp; "'!" &amp; J3009, J3009), "")</f>
        <v/>
      </c>
    </row>
    <row r="3010">
      <c r="B3010" s="21">
        <f>IF(AND(C3010&lt;&gt;"", J3010&lt;&gt;""), HYPERLINK("#'" &amp; C3010 &amp; "'!" &amp; J3010, J3010), "")</f>
        <v/>
      </c>
    </row>
    <row r="3011">
      <c r="B3011" s="21">
        <f>IF(AND(C3011&lt;&gt;"", J3011&lt;&gt;""), HYPERLINK("#'" &amp; C3011 &amp; "'!" &amp; J3011, J3011), "")</f>
        <v/>
      </c>
    </row>
    <row r="3012">
      <c r="B3012" s="21">
        <f>IF(AND(C3012&lt;&gt;"", J3012&lt;&gt;""), HYPERLINK("#'" &amp; C3012 &amp; "'!" &amp; J3012, J3012), "")</f>
        <v/>
      </c>
    </row>
    <row r="3013">
      <c r="B3013" s="21">
        <f>IF(AND(C3013&lt;&gt;"", J3013&lt;&gt;""), HYPERLINK("#'" &amp; C3013 &amp; "'!" &amp; J3013, J3013), "")</f>
        <v/>
      </c>
    </row>
    <row r="3014">
      <c r="B3014" s="21">
        <f>IF(AND(C3014&lt;&gt;"", J3014&lt;&gt;""), HYPERLINK("#'" &amp; C3014 &amp; "'!" &amp; J3014, J3014), "")</f>
        <v/>
      </c>
    </row>
    <row r="3015">
      <c r="B3015" s="21">
        <f>IF(AND(C3015&lt;&gt;"", J3015&lt;&gt;""), HYPERLINK("#'" &amp; C3015 &amp; "'!" &amp; J3015, J3015), "")</f>
        <v/>
      </c>
    </row>
    <row r="3016">
      <c r="B3016" s="21">
        <f>IF(AND(C3016&lt;&gt;"", J3016&lt;&gt;""), HYPERLINK("#'" &amp; C3016 &amp; "'!" &amp; J3016, J3016), "")</f>
        <v/>
      </c>
    </row>
    <row r="3017">
      <c r="B3017" s="21">
        <f>IF(AND(C3017&lt;&gt;"", J3017&lt;&gt;""), HYPERLINK("#'" &amp; C3017 &amp; "'!" &amp; J3017, J3017), "")</f>
        <v/>
      </c>
    </row>
    <row r="3018">
      <c r="B3018" s="21">
        <f>IF(AND(C3018&lt;&gt;"", J3018&lt;&gt;""), HYPERLINK("#'" &amp; C3018 &amp; "'!" &amp; J3018, J3018), "")</f>
        <v/>
      </c>
    </row>
    <row r="3019">
      <c r="B3019" s="21">
        <f>IF(AND(C3019&lt;&gt;"", J3019&lt;&gt;""), HYPERLINK("#'" &amp; C3019 &amp; "'!" &amp; J3019, J3019), "")</f>
        <v/>
      </c>
    </row>
    <row r="3020">
      <c r="B3020" s="21">
        <f>IF(AND(C3020&lt;&gt;"", J3020&lt;&gt;""), HYPERLINK("#'" &amp; C3020 &amp; "'!" &amp; J3020, J3020), "")</f>
        <v/>
      </c>
    </row>
    <row r="3021">
      <c r="B3021" s="21">
        <f>IF(AND(C3021&lt;&gt;"", J3021&lt;&gt;""), HYPERLINK("#'" &amp; C3021 &amp; "'!" &amp; J3021, J3021), "")</f>
        <v/>
      </c>
    </row>
    <row r="3022">
      <c r="B3022" s="21">
        <f>IF(AND(C3022&lt;&gt;"", J3022&lt;&gt;""), HYPERLINK("#'" &amp; C3022 &amp; "'!" &amp; J3022, J3022), "")</f>
        <v/>
      </c>
    </row>
    <row r="3023">
      <c r="B3023" s="21">
        <f>IF(AND(C3023&lt;&gt;"", J3023&lt;&gt;""), HYPERLINK("#'" &amp; C3023 &amp; "'!" &amp; J3023, J3023), "")</f>
        <v/>
      </c>
    </row>
    <row r="3024">
      <c r="B3024" s="21">
        <f>IF(AND(C3024&lt;&gt;"", J3024&lt;&gt;""), HYPERLINK("#'" &amp; C3024 &amp; "'!" &amp; J3024, J3024), "")</f>
        <v/>
      </c>
    </row>
    <row r="3025">
      <c r="B3025" s="21">
        <f>IF(AND(C3025&lt;&gt;"", J3025&lt;&gt;""), HYPERLINK("#'" &amp; C3025 &amp; "'!" &amp; J3025, J3025), "")</f>
        <v/>
      </c>
    </row>
    <row r="3026">
      <c r="B3026" s="21">
        <f>IF(AND(C3026&lt;&gt;"", J3026&lt;&gt;""), HYPERLINK("#'" &amp; C3026 &amp; "'!" &amp; J3026, J3026), "")</f>
        <v/>
      </c>
    </row>
    <row r="3027">
      <c r="B3027" s="21">
        <f>IF(AND(C3027&lt;&gt;"", J3027&lt;&gt;""), HYPERLINK("#'" &amp; C3027 &amp; "'!" &amp; J3027, J3027), "")</f>
        <v/>
      </c>
    </row>
    <row r="3028">
      <c r="B3028" s="21">
        <f>IF(AND(C3028&lt;&gt;"", J3028&lt;&gt;""), HYPERLINK("#'" &amp; C3028 &amp; "'!" &amp; J3028, J3028), "")</f>
        <v/>
      </c>
    </row>
    <row r="3029">
      <c r="B3029" s="21">
        <f>IF(AND(C3029&lt;&gt;"", J3029&lt;&gt;""), HYPERLINK("#'" &amp; C3029 &amp; "'!" &amp; J3029, J3029), "")</f>
        <v/>
      </c>
    </row>
    <row r="3030">
      <c r="B3030" s="21">
        <f>IF(AND(C3030&lt;&gt;"", J3030&lt;&gt;""), HYPERLINK("#'" &amp; C3030 &amp; "'!" &amp; J3030, J3030), "")</f>
        <v/>
      </c>
    </row>
    <row r="3031">
      <c r="B3031" s="21">
        <f>IF(AND(C3031&lt;&gt;"", J3031&lt;&gt;""), HYPERLINK("#'" &amp; C3031 &amp; "'!" &amp; J3031, J3031), "")</f>
        <v/>
      </c>
    </row>
    <row r="3032">
      <c r="B3032" s="21">
        <f>IF(AND(C3032&lt;&gt;"", J3032&lt;&gt;""), HYPERLINK("#'" &amp; C3032 &amp; "'!" &amp; J3032, J3032), "")</f>
        <v/>
      </c>
    </row>
    <row r="3033">
      <c r="B3033" s="21">
        <f>IF(AND(C3033&lt;&gt;"", J3033&lt;&gt;""), HYPERLINK("#'" &amp; C3033 &amp; "'!" &amp; J3033, J3033), "")</f>
        <v/>
      </c>
    </row>
    <row r="3034">
      <c r="B3034" s="21">
        <f>IF(AND(C3034&lt;&gt;"", J3034&lt;&gt;""), HYPERLINK("#'" &amp; C3034 &amp; "'!" &amp; J3034, J3034), "")</f>
        <v/>
      </c>
    </row>
    <row r="3035">
      <c r="B3035" s="21">
        <f>IF(AND(C3035&lt;&gt;"", J3035&lt;&gt;""), HYPERLINK("#'" &amp; C3035 &amp; "'!" &amp; J3035, J3035), "")</f>
        <v/>
      </c>
    </row>
    <row r="3036">
      <c r="B3036" s="21">
        <f>IF(AND(C3036&lt;&gt;"", J3036&lt;&gt;""), HYPERLINK("#'" &amp; C3036 &amp; "'!" &amp; J3036, J3036), "")</f>
        <v/>
      </c>
    </row>
    <row r="3037">
      <c r="B3037" s="21">
        <f>IF(AND(C3037&lt;&gt;"", J3037&lt;&gt;""), HYPERLINK("#'" &amp; C3037 &amp; "'!" &amp; J3037, J3037), "")</f>
        <v/>
      </c>
    </row>
    <row r="3038">
      <c r="B3038" s="21">
        <f>IF(AND(C3038&lt;&gt;"", J3038&lt;&gt;""), HYPERLINK("#'" &amp; C3038 &amp; "'!" &amp; J3038, J3038), "")</f>
        <v/>
      </c>
    </row>
    <row r="3039">
      <c r="B3039" s="21">
        <f>IF(AND(C3039&lt;&gt;"", J3039&lt;&gt;""), HYPERLINK("#'" &amp; C3039 &amp; "'!" &amp; J3039, J3039), "")</f>
        <v/>
      </c>
    </row>
    <row r="3040">
      <c r="B3040" s="21">
        <f>IF(AND(C3040&lt;&gt;"", J3040&lt;&gt;""), HYPERLINK("#'" &amp; C3040 &amp; "'!" &amp; J3040, J3040), "")</f>
        <v/>
      </c>
    </row>
    <row r="3041">
      <c r="B3041" s="21">
        <f>IF(AND(C3041&lt;&gt;"", J3041&lt;&gt;""), HYPERLINK("#'" &amp; C3041 &amp; "'!" &amp; J3041, J3041), "")</f>
        <v/>
      </c>
    </row>
    <row r="3042">
      <c r="B3042" s="21">
        <f>IF(AND(C3042&lt;&gt;"", J3042&lt;&gt;""), HYPERLINK("#'" &amp; C3042 &amp; "'!" &amp; J3042, J3042), "")</f>
        <v/>
      </c>
    </row>
    <row r="3043">
      <c r="B3043" s="21">
        <f>IF(AND(C3043&lt;&gt;"", J3043&lt;&gt;""), HYPERLINK("#'" &amp; C3043 &amp; "'!" &amp; J3043, J3043), "")</f>
        <v/>
      </c>
    </row>
    <row r="3044">
      <c r="B3044" s="21">
        <f>IF(AND(C3044&lt;&gt;"", J3044&lt;&gt;""), HYPERLINK("#'" &amp; C3044 &amp; "'!" &amp; J3044, J3044), "")</f>
        <v/>
      </c>
    </row>
    <row r="3045">
      <c r="B3045" s="21">
        <f>IF(AND(C3045&lt;&gt;"", J3045&lt;&gt;""), HYPERLINK("#'" &amp; C3045 &amp; "'!" &amp; J3045, J3045), "")</f>
        <v/>
      </c>
    </row>
    <row r="3046">
      <c r="B3046" s="21">
        <f>IF(AND(C3046&lt;&gt;"", J3046&lt;&gt;""), HYPERLINK("#'" &amp; C3046 &amp; "'!" &amp; J3046, J3046), "")</f>
        <v/>
      </c>
    </row>
    <row r="3047">
      <c r="B3047" s="21">
        <f>IF(AND(C3047&lt;&gt;"", J3047&lt;&gt;""), HYPERLINK("#'" &amp; C3047 &amp; "'!" &amp; J3047, J3047), "")</f>
        <v/>
      </c>
    </row>
    <row r="3048">
      <c r="B3048" s="21">
        <f>IF(AND(C3048&lt;&gt;"", J3048&lt;&gt;""), HYPERLINK("#'" &amp; C3048 &amp; "'!" &amp; J3048, J3048), "")</f>
        <v/>
      </c>
    </row>
    <row r="3049">
      <c r="B3049" s="21">
        <f>IF(AND(C3049&lt;&gt;"", J3049&lt;&gt;""), HYPERLINK("#'" &amp; C3049 &amp; "'!" &amp; J3049, J3049), "")</f>
        <v/>
      </c>
    </row>
    <row r="3050">
      <c r="B3050" s="21">
        <f>IF(AND(C3050&lt;&gt;"", J3050&lt;&gt;""), HYPERLINK("#'" &amp; C3050 &amp; "'!" &amp; J3050, J3050), "")</f>
        <v/>
      </c>
    </row>
    <row r="3051">
      <c r="B3051" s="21">
        <f>IF(AND(C3051&lt;&gt;"", J3051&lt;&gt;""), HYPERLINK("#'" &amp; C3051 &amp; "'!" &amp; J3051, J3051), "")</f>
        <v/>
      </c>
    </row>
    <row r="3052">
      <c r="B3052" s="21">
        <f>IF(AND(C3052&lt;&gt;"", J3052&lt;&gt;""), HYPERLINK("#'" &amp; C3052 &amp; "'!" &amp; J3052, J3052), "")</f>
        <v/>
      </c>
    </row>
    <row r="3053">
      <c r="B3053" s="21">
        <f>IF(AND(C3053&lt;&gt;"", J3053&lt;&gt;""), HYPERLINK("#'" &amp; C3053 &amp; "'!" &amp; J3053, J3053), "")</f>
        <v/>
      </c>
    </row>
    <row r="3054">
      <c r="B3054" s="21">
        <f>IF(AND(C3054&lt;&gt;"", J3054&lt;&gt;""), HYPERLINK("#'" &amp; C3054 &amp; "'!" &amp; J3054, J3054), "")</f>
        <v/>
      </c>
    </row>
    <row r="3055">
      <c r="B3055" s="21">
        <f>IF(AND(C3055&lt;&gt;"", J3055&lt;&gt;""), HYPERLINK("#'" &amp; C3055 &amp; "'!" &amp; J3055, J3055), "")</f>
        <v/>
      </c>
    </row>
    <row r="3056">
      <c r="B3056" s="21">
        <f>IF(AND(C3056&lt;&gt;"", J3056&lt;&gt;""), HYPERLINK("#'" &amp; C3056 &amp; "'!" &amp; J3056, J3056), "")</f>
        <v/>
      </c>
    </row>
    <row r="3057">
      <c r="B3057" s="21">
        <f>IF(AND(C3057&lt;&gt;"", J3057&lt;&gt;""), HYPERLINK("#'" &amp; C3057 &amp; "'!" &amp; J3057, J3057), "")</f>
        <v/>
      </c>
    </row>
    <row r="3058">
      <c r="B3058" s="21">
        <f>IF(AND(C3058&lt;&gt;"", J3058&lt;&gt;""), HYPERLINK("#'" &amp; C3058 &amp; "'!" &amp; J3058, J3058), "")</f>
        <v/>
      </c>
    </row>
    <row r="3059">
      <c r="B3059" s="21">
        <f>IF(AND(C3059&lt;&gt;"", J3059&lt;&gt;""), HYPERLINK("#'" &amp; C3059 &amp; "'!" &amp; J3059, J3059), "")</f>
        <v/>
      </c>
    </row>
    <row r="3060">
      <c r="B3060" s="21">
        <f>IF(AND(C3060&lt;&gt;"", J3060&lt;&gt;""), HYPERLINK("#'" &amp; C3060 &amp; "'!" &amp; J3060, J3060), "")</f>
        <v/>
      </c>
    </row>
    <row r="3061">
      <c r="B3061" s="21">
        <f>IF(AND(C3061&lt;&gt;"", J3061&lt;&gt;""), HYPERLINK("#'" &amp; C3061 &amp; "'!" &amp; J3061, J3061), "")</f>
        <v/>
      </c>
    </row>
    <row r="3062">
      <c r="B3062" s="21">
        <f>IF(AND(C3062&lt;&gt;"", J3062&lt;&gt;""), HYPERLINK("#'" &amp; C3062 &amp; "'!" &amp; J3062, J3062), "")</f>
        <v/>
      </c>
    </row>
    <row r="3063">
      <c r="B3063" s="21">
        <f>IF(AND(C3063&lt;&gt;"", J3063&lt;&gt;""), HYPERLINK("#'" &amp; C3063 &amp; "'!" &amp; J3063, J3063), "")</f>
        <v/>
      </c>
    </row>
    <row r="3064">
      <c r="B3064" s="21">
        <f>IF(AND(C3064&lt;&gt;"", J3064&lt;&gt;""), HYPERLINK("#'" &amp; C3064 &amp; "'!" &amp; J3064, J3064), "")</f>
        <v/>
      </c>
    </row>
    <row r="3065">
      <c r="B3065" s="21">
        <f>IF(AND(C3065&lt;&gt;"", J3065&lt;&gt;""), HYPERLINK("#'" &amp; C3065 &amp; "'!" &amp; J3065, J3065), "")</f>
        <v/>
      </c>
    </row>
    <row r="3066">
      <c r="B3066" s="21">
        <f>IF(AND(C3066&lt;&gt;"", J3066&lt;&gt;""), HYPERLINK("#'" &amp; C3066 &amp; "'!" &amp; J3066, J3066), "")</f>
        <v/>
      </c>
    </row>
    <row r="3067">
      <c r="B3067" s="21">
        <f>IF(AND(C3067&lt;&gt;"", J3067&lt;&gt;""), HYPERLINK("#'" &amp; C3067 &amp; "'!" &amp; J3067, J3067), "")</f>
        <v/>
      </c>
    </row>
    <row r="3068">
      <c r="B3068" s="21">
        <f>IF(AND(C3068&lt;&gt;"", J3068&lt;&gt;""), HYPERLINK("#'" &amp; C3068 &amp; "'!" &amp; J3068, J3068), "")</f>
        <v/>
      </c>
    </row>
    <row r="3069">
      <c r="B3069" s="21">
        <f>IF(AND(C3069&lt;&gt;"", J3069&lt;&gt;""), HYPERLINK("#'" &amp; C3069 &amp; "'!" &amp; J3069, J3069), "")</f>
        <v/>
      </c>
    </row>
    <row r="3070">
      <c r="B3070" s="21">
        <f>IF(AND(C3070&lt;&gt;"", J3070&lt;&gt;""), HYPERLINK("#'" &amp; C3070 &amp; "'!" &amp; J3070, J3070), "")</f>
        <v/>
      </c>
    </row>
    <row r="3071">
      <c r="B3071" s="21">
        <f>IF(AND(C3071&lt;&gt;"", J3071&lt;&gt;""), HYPERLINK("#'" &amp; C3071 &amp; "'!" &amp; J3071, J3071), "")</f>
        <v/>
      </c>
    </row>
    <row r="3072">
      <c r="B3072" s="21">
        <f>IF(AND(C3072&lt;&gt;"", J3072&lt;&gt;""), HYPERLINK("#'" &amp; C3072 &amp; "'!" &amp; J3072, J3072), "")</f>
        <v/>
      </c>
    </row>
    <row r="3073">
      <c r="B3073" s="21">
        <f>IF(AND(C3073&lt;&gt;"", J3073&lt;&gt;""), HYPERLINK("#'" &amp; C3073 &amp; "'!" &amp; J3073, J3073), "")</f>
        <v/>
      </c>
    </row>
    <row r="3074">
      <c r="B3074" s="21">
        <f>IF(AND(C3074&lt;&gt;"", J3074&lt;&gt;""), HYPERLINK("#'" &amp; C3074 &amp; "'!" &amp; J3074, J3074), "")</f>
        <v/>
      </c>
    </row>
    <row r="3075">
      <c r="B3075" s="21">
        <f>IF(AND(C3075&lt;&gt;"", J3075&lt;&gt;""), HYPERLINK("#'" &amp; C3075 &amp; "'!" &amp; J3075, J3075), "")</f>
        <v/>
      </c>
    </row>
    <row r="3076">
      <c r="B3076" s="21">
        <f>IF(AND(C3076&lt;&gt;"", J3076&lt;&gt;""), HYPERLINK("#'" &amp; C3076 &amp; "'!" &amp; J3076, J3076), "")</f>
        <v/>
      </c>
    </row>
    <row r="3077">
      <c r="B3077" s="21">
        <f>IF(AND(C3077&lt;&gt;"", J3077&lt;&gt;""), HYPERLINK("#'" &amp; C3077 &amp; "'!" &amp; J3077, J3077), "")</f>
        <v/>
      </c>
    </row>
    <row r="3078">
      <c r="B3078" s="21">
        <f>IF(AND(C3078&lt;&gt;"", J3078&lt;&gt;""), HYPERLINK("#'" &amp; C3078 &amp; "'!" &amp; J3078, J3078), "")</f>
        <v/>
      </c>
    </row>
    <row r="3079">
      <c r="B3079" s="21">
        <f>IF(AND(C3079&lt;&gt;"", J3079&lt;&gt;""), HYPERLINK("#'" &amp; C3079 &amp; "'!" &amp; J3079, J3079), "")</f>
        <v/>
      </c>
    </row>
    <row r="3080">
      <c r="B3080" s="21">
        <f>IF(AND(C3080&lt;&gt;"", J3080&lt;&gt;""), HYPERLINK("#'" &amp; C3080 &amp; "'!" &amp; J3080, J3080), "")</f>
        <v/>
      </c>
    </row>
    <row r="3081">
      <c r="B3081" s="21">
        <f>IF(AND(C3081&lt;&gt;"", J3081&lt;&gt;""), HYPERLINK("#'" &amp; C3081 &amp; "'!" &amp; J3081, J3081), "")</f>
        <v/>
      </c>
    </row>
    <row r="3082">
      <c r="B3082" s="21">
        <f>IF(AND(C3082&lt;&gt;"", J3082&lt;&gt;""), HYPERLINK("#'" &amp; C3082 &amp; "'!" &amp; J3082, J3082), "")</f>
        <v/>
      </c>
    </row>
    <row r="3083">
      <c r="B3083" s="21">
        <f>IF(AND(C3083&lt;&gt;"", J3083&lt;&gt;""), HYPERLINK("#'" &amp; C3083 &amp; "'!" &amp; J3083, J3083), "")</f>
        <v/>
      </c>
    </row>
    <row r="3084">
      <c r="B3084" s="21">
        <f>IF(AND(C3084&lt;&gt;"", J3084&lt;&gt;""), HYPERLINK("#'" &amp; C3084 &amp; "'!" &amp; J3084, J3084), "")</f>
        <v/>
      </c>
    </row>
    <row r="3085">
      <c r="B3085" s="21">
        <f>IF(AND(C3085&lt;&gt;"", J3085&lt;&gt;""), HYPERLINK("#'" &amp; C3085 &amp; "'!" &amp; J3085, J3085), "")</f>
        <v/>
      </c>
    </row>
    <row r="3086">
      <c r="B3086" s="21">
        <f>IF(AND(C3086&lt;&gt;"", J3086&lt;&gt;""), HYPERLINK("#'" &amp; C3086 &amp; "'!" &amp; J3086, J3086), "")</f>
        <v/>
      </c>
    </row>
    <row r="3087">
      <c r="B3087" s="21">
        <f>IF(AND(C3087&lt;&gt;"", J3087&lt;&gt;""), HYPERLINK("#'" &amp; C3087 &amp; "'!" &amp; J3087, J3087), "")</f>
        <v/>
      </c>
    </row>
    <row r="3088">
      <c r="B3088" s="21">
        <f>IF(AND(C3088&lt;&gt;"", J3088&lt;&gt;""), HYPERLINK("#'" &amp; C3088 &amp; "'!" &amp; J3088, J3088), "")</f>
        <v/>
      </c>
    </row>
    <row r="3089">
      <c r="B3089" s="21">
        <f>IF(AND(C3089&lt;&gt;"", J3089&lt;&gt;""), HYPERLINK("#'" &amp; C3089 &amp; "'!" &amp; J3089, J3089), "")</f>
        <v/>
      </c>
    </row>
    <row r="3090">
      <c r="B3090" s="21">
        <f>IF(AND(C3090&lt;&gt;"", J3090&lt;&gt;""), HYPERLINK("#'" &amp; C3090 &amp; "'!" &amp; J3090, J3090), "")</f>
        <v/>
      </c>
    </row>
    <row r="3091">
      <c r="B3091" s="21">
        <f>IF(AND(C3091&lt;&gt;"", J3091&lt;&gt;""), HYPERLINK("#'" &amp; C3091 &amp; "'!" &amp; J3091, J3091), "")</f>
        <v/>
      </c>
    </row>
    <row r="3092">
      <c r="B3092" s="21">
        <f>IF(AND(C3092&lt;&gt;"", J3092&lt;&gt;""), HYPERLINK("#'" &amp; C3092 &amp; "'!" &amp; J3092, J3092), "")</f>
        <v/>
      </c>
    </row>
    <row r="3093">
      <c r="B3093" s="21">
        <f>IF(AND(C3093&lt;&gt;"", J3093&lt;&gt;""), HYPERLINK("#'" &amp; C3093 &amp; "'!" &amp; J3093, J3093), "")</f>
        <v/>
      </c>
    </row>
    <row r="3094">
      <c r="B3094" s="21">
        <f>IF(AND(C3094&lt;&gt;"", J3094&lt;&gt;""), HYPERLINK("#'" &amp; C3094 &amp; "'!" &amp; J3094, J3094), "")</f>
        <v/>
      </c>
    </row>
    <row r="3095">
      <c r="B3095" s="21">
        <f>IF(AND(C3095&lt;&gt;"", J3095&lt;&gt;""), HYPERLINK("#'" &amp; C3095 &amp; "'!" &amp; J3095, J3095), "")</f>
        <v/>
      </c>
    </row>
    <row r="3096">
      <c r="B3096" s="21">
        <f>IF(AND(C3096&lt;&gt;"", J3096&lt;&gt;""), HYPERLINK("#'" &amp; C3096 &amp; "'!" &amp; J3096, J3096), "")</f>
        <v/>
      </c>
    </row>
    <row r="3097">
      <c r="B3097" s="21">
        <f>IF(AND(C3097&lt;&gt;"", J3097&lt;&gt;""), HYPERLINK("#'" &amp; C3097 &amp; "'!" &amp; J3097, J3097), "")</f>
        <v/>
      </c>
    </row>
    <row r="3098">
      <c r="B3098" s="21">
        <f>IF(AND(C3098&lt;&gt;"", J3098&lt;&gt;""), HYPERLINK("#'" &amp; C3098 &amp; "'!" &amp; J3098, J3098), "")</f>
        <v/>
      </c>
    </row>
    <row r="3099">
      <c r="B3099" s="21">
        <f>IF(AND(C3099&lt;&gt;"", J3099&lt;&gt;""), HYPERLINK("#'" &amp; C3099 &amp; "'!" &amp; J3099, J3099), "")</f>
        <v/>
      </c>
    </row>
    <row r="3100">
      <c r="B3100" s="21">
        <f>IF(AND(C3100&lt;&gt;"", J3100&lt;&gt;""), HYPERLINK("#'" &amp; C3100 &amp; "'!" &amp; J3100, J3100), "")</f>
        <v/>
      </c>
    </row>
    <row r="3101">
      <c r="B3101" s="21">
        <f>IF(AND(C3101&lt;&gt;"", J3101&lt;&gt;""), HYPERLINK("#'" &amp; C3101 &amp; "'!" &amp; J3101, J3101), "")</f>
        <v/>
      </c>
    </row>
    <row r="3102">
      <c r="B3102" s="21">
        <f>IF(AND(C3102&lt;&gt;"", J3102&lt;&gt;""), HYPERLINK("#'" &amp; C3102 &amp; "'!" &amp; J3102, J3102), "")</f>
        <v/>
      </c>
    </row>
    <row r="3103">
      <c r="B3103" s="21">
        <f>IF(AND(C3103&lt;&gt;"", J3103&lt;&gt;""), HYPERLINK("#'" &amp; C3103 &amp; "'!" &amp; J3103, J3103), "")</f>
        <v/>
      </c>
    </row>
    <row r="3104">
      <c r="B3104" s="21">
        <f>IF(AND(C3104&lt;&gt;"", J3104&lt;&gt;""), HYPERLINK("#'" &amp; C3104 &amp; "'!" &amp; J3104, J3104), "")</f>
        <v/>
      </c>
    </row>
    <row r="3105">
      <c r="B3105" s="21">
        <f>IF(AND(C3105&lt;&gt;"", J3105&lt;&gt;""), HYPERLINK("#'" &amp; C3105 &amp; "'!" &amp; J3105, J3105), "")</f>
        <v/>
      </c>
    </row>
    <row r="3106">
      <c r="B3106" s="21">
        <f>IF(AND(C3106&lt;&gt;"", J3106&lt;&gt;""), HYPERLINK("#'" &amp; C3106 &amp; "'!" &amp; J3106, J3106), "")</f>
        <v/>
      </c>
    </row>
    <row r="3107">
      <c r="B3107" s="21">
        <f>IF(AND(C3107&lt;&gt;"", J3107&lt;&gt;""), HYPERLINK("#'" &amp; C3107 &amp; "'!" &amp; J3107, J3107), "")</f>
        <v/>
      </c>
    </row>
    <row r="3108">
      <c r="B3108" s="21">
        <f>IF(AND(C3108&lt;&gt;"", J3108&lt;&gt;""), HYPERLINK("#'" &amp; C3108 &amp; "'!" &amp; J3108, J3108), "")</f>
        <v/>
      </c>
    </row>
    <row r="3109">
      <c r="B3109" s="21">
        <f>IF(AND(C3109&lt;&gt;"", J3109&lt;&gt;""), HYPERLINK("#'" &amp; C3109 &amp; "'!" &amp; J3109, J3109), "")</f>
        <v/>
      </c>
    </row>
    <row r="3110">
      <c r="B3110" s="21">
        <f>IF(AND(C3110&lt;&gt;"", J3110&lt;&gt;""), HYPERLINK("#'" &amp; C3110 &amp; "'!" &amp; J3110, J3110), "")</f>
        <v/>
      </c>
    </row>
    <row r="3111">
      <c r="B3111" s="21">
        <f>IF(AND(C3111&lt;&gt;"", J3111&lt;&gt;""), HYPERLINK("#'" &amp; C3111 &amp; "'!" &amp; J3111, J3111), "")</f>
        <v/>
      </c>
    </row>
    <row r="3112">
      <c r="B3112" s="21">
        <f>IF(AND(C3112&lt;&gt;"", J3112&lt;&gt;""), HYPERLINK("#'" &amp; C3112 &amp; "'!" &amp; J3112, J3112), "")</f>
        <v/>
      </c>
    </row>
    <row r="3113">
      <c r="B3113" s="21">
        <f>IF(AND(C3113&lt;&gt;"", J3113&lt;&gt;""), HYPERLINK("#'" &amp; C3113 &amp; "'!" &amp; J3113, J3113), "")</f>
        <v/>
      </c>
    </row>
    <row r="3114">
      <c r="B3114" s="21">
        <f>IF(AND(C3114&lt;&gt;"", J3114&lt;&gt;""), HYPERLINK("#'" &amp; C3114 &amp; "'!" &amp; J3114, J3114), "")</f>
        <v/>
      </c>
    </row>
    <row r="3115">
      <c r="B3115" s="21">
        <f>IF(AND(C3115&lt;&gt;"", J3115&lt;&gt;""), HYPERLINK("#'" &amp; C3115 &amp; "'!" &amp; J3115, J3115), "")</f>
        <v/>
      </c>
    </row>
    <row r="3116">
      <c r="B3116" s="21">
        <f>IF(AND(C3116&lt;&gt;"", J3116&lt;&gt;""), HYPERLINK("#'" &amp; C3116 &amp; "'!" &amp; J3116, J3116), "")</f>
        <v/>
      </c>
    </row>
    <row r="3117">
      <c r="B3117" s="21">
        <f>IF(AND(C3117&lt;&gt;"", J3117&lt;&gt;""), HYPERLINK("#'" &amp; C3117 &amp; "'!" &amp; J3117, J3117), "")</f>
        <v/>
      </c>
    </row>
    <row r="3118">
      <c r="B3118" s="21">
        <f>IF(AND(C3118&lt;&gt;"", J3118&lt;&gt;""), HYPERLINK("#'" &amp; C3118 &amp; "'!" &amp; J3118, J3118), "")</f>
        <v/>
      </c>
    </row>
    <row r="3119">
      <c r="B3119" s="21">
        <f>IF(AND(C3119&lt;&gt;"", J3119&lt;&gt;""), HYPERLINK("#'" &amp; C3119 &amp; "'!" &amp; J3119, J3119), "")</f>
        <v/>
      </c>
    </row>
    <row r="3120">
      <c r="B3120" s="21">
        <f>IF(AND(C3120&lt;&gt;"", J3120&lt;&gt;""), HYPERLINK("#'" &amp; C3120 &amp; "'!" &amp; J3120, J3120), "")</f>
        <v/>
      </c>
    </row>
    <row r="3121">
      <c r="B3121" s="21">
        <f>IF(AND(C3121&lt;&gt;"", J3121&lt;&gt;""), HYPERLINK("#'" &amp; C3121 &amp; "'!" &amp; J3121, J3121), "")</f>
        <v/>
      </c>
    </row>
    <row r="3122">
      <c r="B3122" s="21">
        <f>IF(AND(C3122&lt;&gt;"", J3122&lt;&gt;""), HYPERLINK("#'" &amp; C3122 &amp; "'!" &amp; J3122, J3122), "")</f>
        <v/>
      </c>
    </row>
    <row r="3123">
      <c r="B3123" s="21">
        <f>IF(AND(C3123&lt;&gt;"", J3123&lt;&gt;""), HYPERLINK("#'" &amp; C3123 &amp; "'!" &amp; J3123, J3123), "")</f>
        <v/>
      </c>
    </row>
    <row r="3124">
      <c r="B3124" s="21">
        <f>IF(AND(C3124&lt;&gt;"", J3124&lt;&gt;""), HYPERLINK("#'" &amp; C3124 &amp; "'!" &amp; J3124, J3124), "")</f>
        <v/>
      </c>
    </row>
    <row r="3125">
      <c r="B3125" s="21">
        <f>IF(AND(C3125&lt;&gt;"", J3125&lt;&gt;""), HYPERLINK("#'" &amp; C3125 &amp; "'!" &amp; J3125, J3125), "")</f>
        <v/>
      </c>
    </row>
    <row r="3126">
      <c r="B3126" s="21">
        <f>IF(AND(C3126&lt;&gt;"", J3126&lt;&gt;""), HYPERLINK("#'" &amp; C3126 &amp; "'!" &amp; J3126, J3126), "")</f>
        <v/>
      </c>
    </row>
    <row r="3127">
      <c r="B3127" s="21">
        <f>IF(AND(C3127&lt;&gt;"", J3127&lt;&gt;""), HYPERLINK("#'" &amp; C3127 &amp; "'!" &amp; J3127, J3127), "")</f>
        <v/>
      </c>
    </row>
    <row r="3128">
      <c r="B3128" s="21">
        <f>IF(AND(C3128&lt;&gt;"", J3128&lt;&gt;""), HYPERLINK("#'" &amp; C3128 &amp; "'!" &amp; J3128, J3128), "")</f>
        <v/>
      </c>
    </row>
    <row r="3129">
      <c r="B3129" s="21">
        <f>IF(AND(C3129&lt;&gt;"", J3129&lt;&gt;""), HYPERLINK("#'" &amp; C3129 &amp; "'!" &amp; J3129, J3129), "")</f>
        <v/>
      </c>
    </row>
    <row r="3130">
      <c r="B3130" s="21">
        <f>IF(AND(C3130&lt;&gt;"", J3130&lt;&gt;""), HYPERLINK("#'" &amp; C3130 &amp; "'!" &amp; J3130, J3130), "")</f>
        <v/>
      </c>
    </row>
    <row r="3131">
      <c r="B3131" s="21">
        <f>IF(AND(C3131&lt;&gt;"", J3131&lt;&gt;""), HYPERLINK("#'" &amp; C3131 &amp; "'!" &amp; J3131, J3131), "")</f>
        <v/>
      </c>
    </row>
    <row r="3132">
      <c r="B3132" s="21">
        <f>IF(AND(C3132&lt;&gt;"", J3132&lt;&gt;""), HYPERLINK("#'" &amp; C3132 &amp; "'!" &amp; J3132, J3132), "")</f>
        <v/>
      </c>
    </row>
    <row r="3133">
      <c r="B3133" s="21">
        <f>IF(AND(C3133&lt;&gt;"", J3133&lt;&gt;""), HYPERLINK("#'" &amp; C3133 &amp; "'!" &amp; J3133, J3133), "")</f>
        <v/>
      </c>
    </row>
    <row r="3134">
      <c r="B3134" s="21">
        <f>IF(AND(C3134&lt;&gt;"", J3134&lt;&gt;""), HYPERLINK("#'" &amp; C3134 &amp; "'!" &amp; J3134, J3134), "")</f>
        <v/>
      </c>
    </row>
    <row r="3135">
      <c r="B3135" s="21">
        <f>IF(AND(C3135&lt;&gt;"", J3135&lt;&gt;""), HYPERLINK("#'" &amp; C3135 &amp; "'!" &amp; J3135, J3135), "")</f>
        <v/>
      </c>
    </row>
    <row r="3136">
      <c r="B3136" s="21">
        <f>IF(AND(C3136&lt;&gt;"", J3136&lt;&gt;""), HYPERLINK("#'" &amp; C3136 &amp; "'!" &amp; J3136, J3136), "")</f>
        <v/>
      </c>
    </row>
    <row r="3137">
      <c r="B3137" s="21">
        <f>IF(AND(C3137&lt;&gt;"", J3137&lt;&gt;""), HYPERLINK("#'" &amp; C3137 &amp; "'!" &amp; J3137, J3137), "")</f>
        <v/>
      </c>
    </row>
    <row r="3138">
      <c r="B3138" s="21">
        <f>IF(AND(C3138&lt;&gt;"", J3138&lt;&gt;""), HYPERLINK("#'" &amp; C3138 &amp; "'!" &amp; J3138, J3138), "")</f>
        <v/>
      </c>
    </row>
    <row r="3139">
      <c r="B3139" s="21">
        <f>IF(AND(C3139&lt;&gt;"", J3139&lt;&gt;""), HYPERLINK("#'" &amp; C3139 &amp; "'!" &amp; J3139, J3139), "")</f>
        <v/>
      </c>
    </row>
    <row r="3140">
      <c r="B3140" s="21">
        <f>IF(AND(C3140&lt;&gt;"", J3140&lt;&gt;""), HYPERLINK("#'" &amp; C3140 &amp; "'!" &amp; J3140, J3140), "")</f>
        <v/>
      </c>
    </row>
    <row r="3141">
      <c r="B3141" s="21">
        <f>IF(AND(C3141&lt;&gt;"", J3141&lt;&gt;""), HYPERLINK("#'" &amp; C3141 &amp; "'!" &amp; J3141, J3141), "")</f>
        <v/>
      </c>
    </row>
    <row r="3142">
      <c r="B3142" s="21">
        <f>IF(AND(C3142&lt;&gt;"", J3142&lt;&gt;""), HYPERLINK("#'" &amp; C3142 &amp; "'!" &amp; J3142, J3142), "")</f>
        <v/>
      </c>
    </row>
    <row r="3143">
      <c r="B3143" s="21">
        <f>IF(AND(C3143&lt;&gt;"", J3143&lt;&gt;""), HYPERLINK("#'" &amp; C3143 &amp; "'!" &amp; J3143, J3143), "")</f>
        <v/>
      </c>
    </row>
    <row r="3144">
      <c r="B3144" s="21">
        <f>IF(AND(C3144&lt;&gt;"", J3144&lt;&gt;""), HYPERLINK("#'" &amp; C3144 &amp; "'!" &amp; J3144, J3144), "")</f>
        <v/>
      </c>
    </row>
    <row r="3145">
      <c r="B3145" s="21">
        <f>IF(AND(C3145&lt;&gt;"", J3145&lt;&gt;""), HYPERLINK("#'" &amp; C3145 &amp; "'!" &amp; J3145, J3145), "")</f>
        <v/>
      </c>
    </row>
    <row r="3146">
      <c r="B3146" s="21">
        <f>IF(AND(C3146&lt;&gt;"", J3146&lt;&gt;""), HYPERLINK("#'" &amp; C3146 &amp; "'!" &amp; J3146, J3146), "")</f>
        <v/>
      </c>
    </row>
    <row r="3147">
      <c r="B3147" s="21">
        <f>IF(AND(C3147&lt;&gt;"", J3147&lt;&gt;""), HYPERLINK("#'" &amp; C3147 &amp; "'!" &amp; J3147, J3147), "")</f>
        <v/>
      </c>
    </row>
    <row r="3148">
      <c r="B3148" s="21">
        <f>IF(AND(C3148&lt;&gt;"", J3148&lt;&gt;""), HYPERLINK("#'" &amp; C3148 &amp; "'!" &amp; J3148, J3148), "")</f>
        <v/>
      </c>
    </row>
    <row r="3149">
      <c r="B3149" s="21">
        <f>IF(AND(C3149&lt;&gt;"", J3149&lt;&gt;""), HYPERLINK("#'" &amp; C3149 &amp; "'!" &amp; J3149, J3149), "")</f>
        <v/>
      </c>
    </row>
    <row r="3150">
      <c r="B3150" s="21">
        <f>IF(AND(C3150&lt;&gt;"", J3150&lt;&gt;""), HYPERLINK("#'" &amp; C3150 &amp; "'!" &amp; J3150, J3150), "")</f>
        <v/>
      </c>
    </row>
    <row r="3151">
      <c r="B3151" s="21">
        <f>IF(AND(C3151&lt;&gt;"", J3151&lt;&gt;""), HYPERLINK("#'" &amp; C3151 &amp; "'!" &amp; J3151, J3151), "")</f>
        <v/>
      </c>
    </row>
    <row r="3152">
      <c r="B3152" s="21">
        <f>IF(AND(C3152&lt;&gt;"", J3152&lt;&gt;""), HYPERLINK("#'" &amp; C3152 &amp; "'!" &amp; J3152, J3152), "")</f>
        <v/>
      </c>
    </row>
    <row r="3153">
      <c r="B3153" s="21">
        <f>IF(AND(C3153&lt;&gt;"", J3153&lt;&gt;""), HYPERLINK("#'" &amp; C3153 &amp; "'!" &amp; J3153, J3153), "")</f>
        <v/>
      </c>
    </row>
    <row r="3154">
      <c r="B3154" s="21">
        <f>IF(AND(C3154&lt;&gt;"", J3154&lt;&gt;""), HYPERLINK("#'" &amp; C3154 &amp; "'!" &amp; J3154, J3154), "")</f>
        <v/>
      </c>
    </row>
    <row r="3155">
      <c r="B3155" s="21">
        <f>IF(AND(C3155&lt;&gt;"", J3155&lt;&gt;""), HYPERLINK("#'" &amp; C3155 &amp; "'!" &amp; J3155, J3155), "")</f>
        <v/>
      </c>
    </row>
    <row r="3156">
      <c r="B3156" s="21">
        <f>IF(AND(C3156&lt;&gt;"", J3156&lt;&gt;""), HYPERLINK("#'" &amp; C3156 &amp; "'!" &amp; J3156, J3156), "")</f>
        <v/>
      </c>
    </row>
    <row r="3157">
      <c r="B3157" s="21">
        <f>IF(AND(C3157&lt;&gt;"", J3157&lt;&gt;""), HYPERLINK("#'" &amp; C3157 &amp; "'!" &amp; J3157, J3157), "")</f>
        <v/>
      </c>
    </row>
    <row r="3158">
      <c r="B3158" s="21">
        <f>IF(AND(C3158&lt;&gt;"", J3158&lt;&gt;""), HYPERLINK("#'" &amp; C3158 &amp; "'!" &amp; J3158, J3158), "")</f>
        <v/>
      </c>
    </row>
    <row r="3159">
      <c r="B3159" s="21">
        <f>IF(AND(C3159&lt;&gt;"", J3159&lt;&gt;""), HYPERLINK("#'" &amp; C3159 &amp; "'!" &amp; J3159, J3159), "")</f>
        <v/>
      </c>
    </row>
    <row r="3160">
      <c r="B3160" s="21">
        <f>IF(AND(C3160&lt;&gt;"", J3160&lt;&gt;""), HYPERLINK("#'" &amp; C3160 &amp; "'!" &amp; J3160, J3160), "")</f>
        <v/>
      </c>
    </row>
    <row r="3161">
      <c r="B3161" s="21">
        <f>IF(AND(C3161&lt;&gt;"", J3161&lt;&gt;""), HYPERLINK("#'" &amp; C3161 &amp; "'!" &amp; J3161, J3161), "")</f>
        <v/>
      </c>
    </row>
    <row r="3162">
      <c r="B3162" s="21">
        <f>IF(AND(C3162&lt;&gt;"", J3162&lt;&gt;""), HYPERLINK("#'" &amp; C3162 &amp; "'!" &amp; J3162, J3162), "")</f>
        <v/>
      </c>
    </row>
    <row r="3163">
      <c r="B3163" s="21">
        <f>IF(AND(C3163&lt;&gt;"", J3163&lt;&gt;""), HYPERLINK("#'" &amp; C3163 &amp; "'!" &amp; J3163, J3163), "")</f>
        <v/>
      </c>
    </row>
    <row r="3164">
      <c r="B3164" s="21">
        <f>IF(AND(C3164&lt;&gt;"", J3164&lt;&gt;""), HYPERLINK("#'" &amp; C3164 &amp; "'!" &amp; J3164, J3164), "")</f>
        <v/>
      </c>
    </row>
    <row r="3165">
      <c r="B3165" s="21">
        <f>IF(AND(C3165&lt;&gt;"", J3165&lt;&gt;""), HYPERLINK("#'" &amp; C3165 &amp; "'!" &amp; J3165, J3165), "")</f>
        <v/>
      </c>
    </row>
    <row r="3166">
      <c r="B3166" s="21">
        <f>IF(AND(C3166&lt;&gt;"", J3166&lt;&gt;""), HYPERLINK("#'" &amp; C3166 &amp; "'!" &amp; J3166, J3166), "")</f>
        <v/>
      </c>
    </row>
    <row r="3167">
      <c r="B3167" s="21">
        <f>IF(AND(C3167&lt;&gt;"", J3167&lt;&gt;""), HYPERLINK("#'" &amp; C3167 &amp; "'!" &amp; J3167, J3167), "")</f>
        <v/>
      </c>
    </row>
    <row r="3168">
      <c r="B3168" s="21">
        <f>IF(AND(C3168&lt;&gt;"", J3168&lt;&gt;""), HYPERLINK("#'" &amp; C3168 &amp; "'!" &amp; J3168, J3168), "")</f>
        <v/>
      </c>
    </row>
    <row r="3169">
      <c r="B3169" s="21">
        <f>IF(AND(C3169&lt;&gt;"", J3169&lt;&gt;""), HYPERLINK("#'" &amp; C3169 &amp; "'!" &amp; J3169, J3169), "")</f>
        <v/>
      </c>
    </row>
    <row r="3170">
      <c r="B3170" s="21">
        <f>IF(AND(C3170&lt;&gt;"", J3170&lt;&gt;""), HYPERLINK("#'" &amp; C3170 &amp; "'!" &amp; J3170, J3170), "")</f>
        <v/>
      </c>
    </row>
    <row r="3171">
      <c r="B3171" s="21">
        <f>IF(AND(C3171&lt;&gt;"", J3171&lt;&gt;""), HYPERLINK("#'" &amp; C3171 &amp; "'!" &amp; J3171, J3171), "")</f>
        <v/>
      </c>
    </row>
    <row r="3172">
      <c r="B3172" s="21">
        <f>IF(AND(C3172&lt;&gt;"", J3172&lt;&gt;""), HYPERLINK("#'" &amp; C3172 &amp; "'!" &amp; J3172, J3172), "")</f>
        <v/>
      </c>
    </row>
    <row r="3173">
      <c r="B3173" s="21">
        <f>IF(AND(C3173&lt;&gt;"", J3173&lt;&gt;""), HYPERLINK("#'" &amp; C3173 &amp; "'!" &amp; J3173, J3173), "")</f>
        <v/>
      </c>
    </row>
    <row r="3174">
      <c r="B3174" s="21">
        <f>IF(AND(C3174&lt;&gt;"", J3174&lt;&gt;""), HYPERLINK("#'" &amp; C3174 &amp; "'!" &amp; J3174, J3174), "")</f>
        <v/>
      </c>
    </row>
    <row r="3175">
      <c r="B3175" s="21">
        <f>IF(AND(C3175&lt;&gt;"", J3175&lt;&gt;""), HYPERLINK("#'" &amp; C3175 &amp; "'!" &amp; J3175, J3175), "")</f>
        <v/>
      </c>
    </row>
    <row r="3176">
      <c r="B3176" s="21">
        <f>IF(AND(C3176&lt;&gt;"", J3176&lt;&gt;""), HYPERLINK("#'" &amp; C3176 &amp; "'!" &amp; J3176, J3176), "")</f>
        <v/>
      </c>
    </row>
    <row r="3177">
      <c r="B3177" s="21">
        <f>IF(AND(C3177&lt;&gt;"", J3177&lt;&gt;""), HYPERLINK("#'" &amp; C3177 &amp; "'!" &amp; J3177, J3177), "")</f>
        <v/>
      </c>
    </row>
    <row r="3178">
      <c r="B3178" s="21">
        <f>IF(AND(C3178&lt;&gt;"", J3178&lt;&gt;""), HYPERLINK("#'" &amp; C3178 &amp; "'!" &amp; J3178, J3178), "")</f>
        <v/>
      </c>
    </row>
    <row r="3179">
      <c r="B3179" s="21">
        <f>IF(AND(C3179&lt;&gt;"", J3179&lt;&gt;""), HYPERLINK("#'" &amp; C3179 &amp; "'!" &amp; J3179, J3179), "")</f>
        <v/>
      </c>
    </row>
    <row r="3180">
      <c r="B3180" s="21">
        <f>IF(AND(C3180&lt;&gt;"", J3180&lt;&gt;""), HYPERLINK("#'" &amp; C3180 &amp; "'!" &amp; J3180, J3180), "")</f>
        <v/>
      </c>
    </row>
    <row r="3181">
      <c r="B3181" s="21">
        <f>IF(AND(C3181&lt;&gt;"", J3181&lt;&gt;""), HYPERLINK("#'" &amp; C3181 &amp; "'!" &amp; J3181, J3181), "")</f>
        <v/>
      </c>
    </row>
    <row r="3182">
      <c r="B3182" s="21">
        <f>IF(AND(C3182&lt;&gt;"", J3182&lt;&gt;""), HYPERLINK("#'" &amp; C3182 &amp; "'!" &amp; J3182, J3182), "")</f>
        <v/>
      </c>
    </row>
    <row r="3183">
      <c r="B3183" s="21">
        <f>IF(AND(C3183&lt;&gt;"", J3183&lt;&gt;""), HYPERLINK("#'" &amp; C3183 &amp; "'!" &amp; J3183, J3183), "")</f>
        <v/>
      </c>
    </row>
    <row r="3184">
      <c r="B3184" s="21">
        <f>IF(AND(C3184&lt;&gt;"", J3184&lt;&gt;""), HYPERLINK("#'" &amp; C3184 &amp; "'!" &amp; J3184, J3184), "")</f>
        <v/>
      </c>
    </row>
    <row r="3185">
      <c r="B3185" s="21">
        <f>IF(AND(C3185&lt;&gt;"", J3185&lt;&gt;""), HYPERLINK("#'" &amp; C3185 &amp; "'!" &amp; J3185, J3185), "")</f>
        <v/>
      </c>
    </row>
    <row r="3186">
      <c r="B3186" s="21">
        <f>IF(AND(C3186&lt;&gt;"", J3186&lt;&gt;""), HYPERLINK("#'" &amp; C3186 &amp; "'!" &amp; J3186, J3186), "")</f>
        <v/>
      </c>
    </row>
    <row r="3187">
      <c r="B3187" s="21">
        <f>IF(AND(C3187&lt;&gt;"", J3187&lt;&gt;""), HYPERLINK("#'" &amp; C3187 &amp; "'!" &amp; J3187, J3187), "")</f>
        <v/>
      </c>
    </row>
    <row r="3188">
      <c r="B3188" s="21">
        <f>IF(AND(C3188&lt;&gt;"", J3188&lt;&gt;""), HYPERLINK("#'" &amp; C3188 &amp; "'!" &amp; J3188, J3188), "")</f>
        <v/>
      </c>
    </row>
    <row r="3189">
      <c r="B3189" s="21">
        <f>IF(AND(C3189&lt;&gt;"", J3189&lt;&gt;""), HYPERLINK("#'" &amp; C3189 &amp; "'!" &amp; J3189, J3189), "")</f>
        <v/>
      </c>
    </row>
    <row r="3190">
      <c r="B3190" s="21">
        <f>IF(AND(C3190&lt;&gt;"", J3190&lt;&gt;""), HYPERLINK("#'" &amp; C3190 &amp; "'!" &amp; J3190, J3190), "")</f>
        <v/>
      </c>
    </row>
    <row r="3191">
      <c r="B3191" s="21">
        <f>IF(AND(C3191&lt;&gt;"", J3191&lt;&gt;""), HYPERLINK("#'" &amp; C3191 &amp; "'!" &amp; J3191, J3191), "")</f>
        <v/>
      </c>
    </row>
    <row r="3192">
      <c r="B3192" s="21">
        <f>IF(AND(C3192&lt;&gt;"", J3192&lt;&gt;""), HYPERLINK("#'" &amp; C3192 &amp; "'!" &amp; J3192, J3192), "")</f>
        <v/>
      </c>
    </row>
    <row r="3193">
      <c r="B3193" s="21">
        <f>IF(AND(C3193&lt;&gt;"", J3193&lt;&gt;""), HYPERLINK("#'" &amp; C3193 &amp; "'!" &amp; J3193, J3193), "")</f>
        <v/>
      </c>
    </row>
    <row r="3194">
      <c r="B3194" s="21">
        <f>IF(AND(C3194&lt;&gt;"", J3194&lt;&gt;""), HYPERLINK("#'" &amp; C3194 &amp; "'!" &amp; J3194, J3194), "")</f>
        <v/>
      </c>
    </row>
    <row r="3195">
      <c r="B3195" s="21">
        <f>IF(AND(C3195&lt;&gt;"", J3195&lt;&gt;""), HYPERLINK("#'" &amp; C3195 &amp; "'!" &amp; J3195, J3195), "")</f>
        <v/>
      </c>
    </row>
    <row r="3196">
      <c r="B3196" s="21">
        <f>IF(AND(C3196&lt;&gt;"", J3196&lt;&gt;""), HYPERLINK("#'" &amp; C3196 &amp; "'!" &amp; J3196, J3196), "")</f>
        <v/>
      </c>
    </row>
    <row r="3197">
      <c r="B3197" s="21">
        <f>IF(AND(C3197&lt;&gt;"", J3197&lt;&gt;""), HYPERLINK("#'" &amp; C3197 &amp; "'!" &amp; J3197, J3197), "")</f>
        <v/>
      </c>
    </row>
    <row r="3198">
      <c r="B3198" s="21">
        <f>IF(AND(C3198&lt;&gt;"", J3198&lt;&gt;""), HYPERLINK("#'" &amp; C3198 &amp; "'!" &amp; J3198, J3198), "")</f>
        <v/>
      </c>
    </row>
    <row r="3199">
      <c r="B3199" s="21">
        <f>IF(AND(C3199&lt;&gt;"", J3199&lt;&gt;""), HYPERLINK("#'" &amp; C3199 &amp; "'!" &amp; J3199, J3199), "")</f>
        <v/>
      </c>
    </row>
    <row r="3200">
      <c r="B3200" s="21">
        <f>IF(AND(C3200&lt;&gt;"", J3200&lt;&gt;""), HYPERLINK("#'" &amp; C3200 &amp; "'!" &amp; J3200, J3200), "")</f>
        <v/>
      </c>
    </row>
    <row r="3201">
      <c r="B3201" s="21">
        <f>IF(AND(C3201&lt;&gt;"", J3201&lt;&gt;""), HYPERLINK("#'" &amp; C3201 &amp; "'!" &amp; J3201, J3201), "")</f>
        <v/>
      </c>
    </row>
    <row r="3202">
      <c r="B3202" s="21">
        <f>IF(AND(C3202&lt;&gt;"", J3202&lt;&gt;""), HYPERLINK("#'" &amp; C3202 &amp; "'!" &amp; J3202, J3202), "")</f>
        <v/>
      </c>
    </row>
    <row r="3203">
      <c r="B3203" s="21">
        <f>IF(AND(C3203&lt;&gt;"", J3203&lt;&gt;""), HYPERLINK("#'" &amp; C3203 &amp; "'!" &amp; J3203, J3203), "")</f>
        <v/>
      </c>
    </row>
    <row r="3204">
      <c r="B3204" s="21">
        <f>IF(AND(C3204&lt;&gt;"", J3204&lt;&gt;""), HYPERLINK("#'" &amp; C3204 &amp; "'!" &amp; J3204, J3204), "")</f>
        <v/>
      </c>
    </row>
    <row r="3205">
      <c r="B3205" s="21">
        <f>IF(AND(C3205&lt;&gt;"", J3205&lt;&gt;""), HYPERLINK("#'" &amp; C3205 &amp; "'!" &amp; J3205, J3205), "")</f>
        <v/>
      </c>
    </row>
    <row r="3206">
      <c r="B3206" s="21">
        <f>IF(AND(C3206&lt;&gt;"", J3206&lt;&gt;""), HYPERLINK("#'" &amp; C3206 &amp; "'!" &amp; J3206, J3206), "")</f>
        <v/>
      </c>
    </row>
    <row r="3207">
      <c r="B3207" s="21">
        <f>IF(AND(C3207&lt;&gt;"", J3207&lt;&gt;""), HYPERLINK("#'" &amp; C3207 &amp; "'!" &amp; J3207, J3207), "")</f>
        <v/>
      </c>
    </row>
    <row r="3208">
      <c r="B3208" s="21">
        <f>IF(AND(C3208&lt;&gt;"", J3208&lt;&gt;""), HYPERLINK("#'" &amp; C3208 &amp; "'!" &amp; J3208, J3208), "")</f>
        <v/>
      </c>
    </row>
    <row r="3209">
      <c r="B3209" s="21">
        <f>IF(AND(C3209&lt;&gt;"", J3209&lt;&gt;""), HYPERLINK("#'" &amp; C3209 &amp; "'!" &amp; J3209, J3209), "")</f>
        <v/>
      </c>
    </row>
    <row r="3210">
      <c r="B3210" s="21">
        <f>IF(AND(C3210&lt;&gt;"", J3210&lt;&gt;""), HYPERLINK("#'" &amp; C3210 &amp; "'!" &amp; J3210, J3210), "")</f>
        <v/>
      </c>
    </row>
    <row r="3211">
      <c r="B3211" s="21">
        <f>IF(AND(C3211&lt;&gt;"", J3211&lt;&gt;""), HYPERLINK("#'" &amp; C3211 &amp; "'!" &amp; J3211, J3211), "")</f>
        <v/>
      </c>
    </row>
    <row r="3212">
      <c r="B3212" s="21">
        <f>IF(AND(C3212&lt;&gt;"", J3212&lt;&gt;""), HYPERLINK("#'" &amp; C3212 &amp; "'!" &amp; J3212, J3212), "")</f>
        <v/>
      </c>
    </row>
    <row r="3213">
      <c r="B3213" s="21">
        <f>IF(AND(C3213&lt;&gt;"", J3213&lt;&gt;""), HYPERLINK("#'" &amp; C3213 &amp; "'!" &amp; J3213, J3213), "")</f>
        <v/>
      </c>
    </row>
    <row r="3214">
      <c r="B3214" s="21">
        <f>IF(AND(C3214&lt;&gt;"", J3214&lt;&gt;""), HYPERLINK("#'" &amp; C3214 &amp; "'!" &amp; J3214, J3214), "")</f>
        <v/>
      </c>
    </row>
    <row r="3215">
      <c r="B3215" s="21">
        <f>IF(AND(C3215&lt;&gt;"", J3215&lt;&gt;""), HYPERLINK("#'" &amp; C3215 &amp; "'!" &amp; J3215, J3215), "")</f>
        <v/>
      </c>
    </row>
    <row r="3216">
      <c r="B3216" s="21">
        <f>IF(AND(C3216&lt;&gt;"", J3216&lt;&gt;""), HYPERLINK("#'" &amp; C3216 &amp; "'!" &amp; J3216, J3216), "")</f>
        <v/>
      </c>
    </row>
    <row r="3217">
      <c r="B3217" s="21">
        <f>IF(AND(C3217&lt;&gt;"", J3217&lt;&gt;""), HYPERLINK("#'" &amp; C3217 &amp; "'!" &amp; J3217, J3217), "")</f>
        <v/>
      </c>
    </row>
    <row r="3218">
      <c r="B3218" s="21">
        <f>IF(AND(C3218&lt;&gt;"", J3218&lt;&gt;""), HYPERLINK("#'" &amp; C3218 &amp; "'!" &amp; J3218, J3218), "")</f>
        <v/>
      </c>
    </row>
    <row r="3219">
      <c r="B3219" s="21">
        <f>IF(AND(C3219&lt;&gt;"", J3219&lt;&gt;""), HYPERLINK("#'" &amp; C3219 &amp; "'!" &amp; J3219, J3219), "")</f>
        <v/>
      </c>
    </row>
    <row r="3220">
      <c r="B3220" s="21">
        <f>IF(AND(C3220&lt;&gt;"", J3220&lt;&gt;""), HYPERLINK("#'" &amp; C3220 &amp; "'!" &amp; J3220, J3220), "")</f>
        <v/>
      </c>
    </row>
    <row r="3221">
      <c r="B3221" s="21">
        <f>IF(AND(C3221&lt;&gt;"", J3221&lt;&gt;""), HYPERLINK("#'" &amp; C3221 &amp; "'!" &amp; J3221, J3221), "")</f>
        <v/>
      </c>
    </row>
    <row r="3222">
      <c r="B3222" s="21">
        <f>IF(AND(C3222&lt;&gt;"", J3222&lt;&gt;""), HYPERLINK("#'" &amp; C3222 &amp; "'!" &amp; J3222, J3222), "")</f>
        <v/>
      </c>
    </row>
    <row r="3223">
      <c r="B3223" s="21">
        <f>IF(AND(C3223&lt;&gt;"", J3223&lt;&gt;""), HYPERLINK("#'" &amp; C3223 &amp; "'!" &amp; J3223, J3223), "")</f>
        <v/>
      </c>
    </row>
    <row r="3224">
      <c r="B3224" s="21">
        <f>IF(AND(C3224&lt;&gt;"", J3224&lt;&gt;""), HYPERLINK("#'" &amp; C3224 &amp; "'!" &amp; J3224, J3224), "")</f>
        <v/>
      </c>
    </row>
    <row r="3225">
      <c r="B3225" s="21">
        <f>IF(AND(C3225&lt;&gt;"", J3225&lt;&gt;""), HYPERLINK("#'" &amp; C3225 &amp; "'!" &amp; J3225, J3225), "")</f>
        <v/>
      </c>
    </row>
    <row r="3226">
      <c r="B3226" s="21">
        <f>IF(AND(C3226&lt;&gt;"", J3226&lt;&gt;""), HYPERLINK("#'" &amp; C3226 &amp; "'!" &amp; J3226, J3226), "")</f>
        <v/>
      </c>
    </row>
    <row r="3227">
      <c r="B3227" s="21">
        <f>IF(AND(C3227&lt;&gt;"", J3227&lt;&gt;""), HYPERLINK("#'" &amp; C3227 &amp; "'!" &amp; J3227, J3227), "")</f>
        <v/>
      </c>
    </row>
    <row r="3228">
      <c r="B3228" s="21">
        <f>IF(AND(C3228&lt;&gt;"", J3228&lt;&gt;""), HYPERLINK("#'" &amp; C3228 &amp; "'!" &amp; J3228, J3228), "")</f>
        <v/>
      </c>
    </row>
    <row r="3229">
      <c r="B3229" s="21">
        <f>IF(AND(C3229&lt;&gt;"", J3229&lt;&gt;""), HYPERLINK("#'" &amp; C3229 &amp; "'!" &amp; J3229, J3229), "")</f>
        <v/>
      </c>
    </row>
    <row r="3230">
      <c r="B3230" s="21">
        <f>IF(AND(C3230&lt;&gt;"", J3230&lt;&gt;""), HYPERLINK("#'" &amp; C3230 &amp; "'!" &amp; J3230, J3230), "")</f>
        <v/>
      </c>
    </row>
    <row r="3231">
      <c r="B3231" s="21">
        <f>IF(AND(C3231&lt;&gt;"", J3231&lt;&gt;""), HYPERLINK("#'" &amp; C3231 &amp; "'!" &amp; J3231, J3231), "")</f>
        <v/>
      </c>
    </row>
    <row r="3232">
      <c r="B3232" s="21">
        <f>IF(AND(C3232&lt;&gt;"", J3232&lt;&gt;""), HYPERLINK("#'" &amp; C3232 &amp; "'!" &amp; J3232, J3232), "")</f>
        <v/>
      </c>
    </row>
    <row r="3233">
      <c r="B3233" s="21">
        <f>IF(AND(C3233&lt;&gt;"", J3233&lt;&gt;""), HYPERLINK("#'" &amp; C3233 &amp; "'!" &amp; J3233, J3233), "")</f>
        <v/>
      </c>
    </row>
    <row r="3234">
      <c r="B3234" s="21">
        <f>IF(AND(C3234&lt;&gt;"", J3234&lt;&gt;""), HYPERLINK("#'" &amp; C3234 &amp; "'!" &amp; J3234, J3234), "")</f>
        <v/>
      </c>
    </row>
    <row r="3235">
      <c r="B3235" s="21">
        <f>IF(AND(C3235&lt;&gt;"", J3235&lt;&gt;""), HYPERLINK("#'" &amp; C3235 &amp; "'!" &amp; J3235, J3235), "")</f>
        <v/>
      </c>
    </row>
    <row r="3236">
      <c r="B3236" s="21">
        <f>IF(AND(C3236&lt;&gt;"", J3236&lt;&gt;""), HYPERLINK("#'" &amp; C3236 &amp; "'!" &amp; J3236, J3236), "")</f>
        <v/>
      </c>
    </row>
    <row r="3237">
      <c r="B3237" s="21">
        <f>IF(AND(C3237&lt;&gt;"", J3237&lt;&gt;""), HYPERLINK("#'" &amp; C3237 &amp; "'!" &amp; J3237, J3237), "")</f>
        <v/>
      </c>
    </row>
    <row r="3238">
      <c r="B3238" s="21">
        <f>IF(AND(C3238&lt;&gt;"", J3238&lt;&gt;""), HYPERLINK("#'" &amp; C3238 &amp; "'!" &amp; J3238, J3238), "")</f>
        <v/>
      </c>
    </row>
    <row r="3239">
      <c r="B3239" s="21">
        <f>IF(AND(C3239&lt;&gt;"", J3239&lt;&gt;""), HYPERLINK("#'" &amp; C3239 &amp; "'!" &amp; J3239, J3239), "")</f>
        <v/>
      </c>
    </row>
    <row r="3240">
      <c r="B3240" s="21">
        <f>IF(AND(C3240&lt;&gt;"", J3240&lt;&gt;""), HYPERLINK("#'" &amp; C3240 &amp; "'!" &amp; J3240, J3240), "")</f>
        <v/>
      </c>
    </row>
    <row r="3241">
      <c r="B3241" s="21">
        <f>IF(AND(C3241&lt;&gt;"", J3241&lt;&gt;""), HYPERLINK("#'" &amp; C3241 &amp; "'!" &amp; J3241, J3241), "")</f>
        <v/>
      </c>
    </row>
    <row r="3242">
      <c r="B3242" s="21">
        <f>IF(AND(C3242&lt;&gt;"", J3242&lt;&gt;""), HYPERLINK("#'" &amp; C3242 &amp; "'!" &amp; J3242, J3242), "")</f>
        <v/>
      </c>
    </row>
    <row r="3243">
      <c r="B3243" s="21">
        <f>IF(AND(C3243&lt;&gt;"", J3243&lt;&gt;""), HYPERLINK("#'" &amp; C3243 &amp; "'!" &amp; J3243, J3243), "")</f>
        <v/>
      </c>
    </row>
    <row r="3244">
      <c r="B3244" s="21">
        <f>IF(AND(C3244&lt;&gt;"", J3244&lt;&gt;""), HYPERLINK("#'" &amp; C3244 &amp; "'!" &amp; J3244, J3244), "")</f>
        <v/>
      </c>
    </row>
    <row r="3245">
      <c r="B3245" s="21">
        <f>IF(AND(C3245&lt;&gt;"", J3245&lt;&gt;""), HYPERLINK("#'" &amp; C3245 &amp; "'!" &amp; J3245, J3245), "")</f>
        <v/>
      </c>
    </row>
    <row r="3246">
      <c r="B3246" s="21">
        <f>IF(AND(C3246&lt;&gt;"", J3246&lt;&gt;""), HYPERLINK("#'" &amp; C3246 &amp; "'!" &amp; J3246, J3246), "")</f>
        <v/>
      </c>
    </row>
    <row r="3247">
      <c r="B3247" s="21">
        <f>IF(AND(C3247&lt;&gt;"", J3247&lt;&gt;""), HYPERLINK("#'" &amp; C3247 &amp; "'!" &amp; J3247, J3247), "")</f>
        <v/>
      </c>
    </row>
    <row r="3248">
      <c r="B3248" s="21">
        <f>IF(AND(C3248&lt;&gt;"", J3248&lt;&gt;""), HYPERLINK("#'" &amp; C3248 &amp; "'!" &amp; J3248, J3248), "")</f>
        <v/>
      </c>
    </row>
    <row r="3249">
      <c r="B3249" s="21">
        <f>IF(AND(C3249&lt;&gt;"", J3249&lt;&gt;""), HYPERLINK("#'" &amp; C3249 &amp; "'!" &amp; J3249, J3249), "")</f>
        <v/>
      </c>
    </row>
    <row r="3250">
      <c r="B3250" s="21">
        <f>IF(AND(C3250&lt;&gt;"", J3250&lt;&gt;""), HYPERLINK("#'" &amp; C3250 &amp; "'!" &amp; J3250, J3250), "")</f>
        <v/>
      </c>
    </row>
    <row r="3251">
      <c r="B3251" s="21">
        <f>IF(AND(C3251&lt;&gt;"", J3251&lt;&gt;""), HYPERLINK("#'" &amp; C3251 &amp; "'!" &amp; J3251, J3251), "")</f>
        <v/>
      </c>
    </row>
    <row r="3252">
      <c r="B3252" s="21">
        <f>IF(AND(C3252&lt;&gt;"", J3252&lt;&gt;""), HYPERLINK("#'" &amp; C3252 &amp; "'!" &amp; J3252, J3252), "")</f>
        <v/>
      </c>
    </row>
    <row r="3253">
      <c r="B3253" s="21">
        <f>IF(AND(C3253&lt;&gt;"", J3253&lt;&gt;""), HYPERLINK("#'" &amp; C3253 &amp; "'!" &amp; J3253, J3253), "")</f>
        <v/>
      </c>
    </row>
    <row r="3254">
      <c r="B3254" s="21">
        <f>IF(AND(C3254&lt;&gt;"", J3254&lt;&gt;""), HYPERLINK("#'" &amp; C3254 &amp; "'!" &amp; J3254, J3254), "")</f>
        <v/>
      </c>
    </row>
    <row r="3255">
      <c r="B3255" s="21">
        <f>IF(AND(C3255&lt;&gt;"", J3255&lt;&gt;""), HYPERLINK("#'" &amp; C3255 &amp; "'!" &amp; J3255, J3255), "")</f>
        <v/>
      </c>
    </row>
    <row r="3256">
      <c r="B3256" s="21">
        <f>IF(AND(C3256&lt;&gt;"", J3256&lt;&gt;""), HYPERLINK("#'" &amp; C3256 &amp; "'!" &amp; J3256, J3256), "")</f>
        <v/>
      </c>
    </row>
    <row r="3257">
      <c r="B3257" s="21">
        <f>IF(AND(C3257&lt;&gt;"", J3257&lt;&gt;""), HYPERLINK("#'" &amp; C3257 &amp; "'!" &amp; J3257, J3257), "")</f>
        <v/>
      </c>
    </row>
    <row r="3258">
      <c r="B3258" s="21">
        <f>IF(AND(C3258&lt;&gt;"", J3258&lt;&gt;""), HYPERLINK("#'" &amp; C3258 &amp; "'!" &amp; J3258, J3258), "")</f>
        <v/>
      </c>
    </row>
    <row r="3259">
      <c r="B3259" s="21">
        <f>IF(AND(C3259&lt;&gt;"", J3259&lt;&gt;""), HYPERLINK("#'" &amp; C3259 &amp; "'!" &amp; J3259, J3259), "")</f>
        <v/>
      </c>
    </row>
    <row r="3260">
      <c r="B3260" s="21">
        <f>IF(AND(C3260&lt;&gt;"", J3260&lt;&gt;""), HYPERLINK("#'" &amp; C3260 &amp; "'!" &amp; J3260, J3260), "")</f>
        <v/>
      </c>
    </row>
    <row r="3261">
      <c r="B3261" s="21">
        <f>IF(AND(C3261&lt;&gt;"", J3261&lt;&gt;""), HYPERLINK("#'" &amp; C3261 &amp; "'!" &amp; J3261, J3261), "")</f>
        <v/>
      </c>
    </row>
    <row r="3262">
      <c r="B3262" s="21">
        <f>IF(AND(C3262&lt;&gt;"", J3262&lt;&gt;""), HYPERLINK("#'" &amp; C3262 &amp; "'!" &amp; J3262, J3262), "")</f>
        <v/>
      </c>
    </row>
    <row r="3263">
      <c r="B3263" s="21">
        <f>IF(AND(C3263&lt;&gt;"", J3263&lt;&gt;""), HYPERLINK("#'" &amp; C3263 &amp; "'!" &amp; J3263, J3263), "")</f>
        <v/>
      </c>
    </row>
    <row r="3264">
      <c r="B3264" s="21">
        <f>IF(AND(C3264&lt;&gt;"", J3264&lt;&gt;""), HYPERLINK("#'" &amp; C3264 &amp; "'!" &amp; J3264, J3264), "")</f>
        <v/>
      </c>
    </row>
    <row r="3265">
      <c r="B3265" s="21">
        <f>IF(AND(C3265&lt;&gt;"", J3265&lt;&gt;""), HYPERLINK("#'" &amp; C3265 &amp; "'!" &amp; J3265, J3265), "")</f>
        <v/>
      </c>
    </row>
    <row r="3266">
      <c r="B3266" s="21">
        <f>IF(AND(C3266&lt;&gt;"", J3266&lt;&gt;""), HYPERLINK("#'" &amp; C3266 &amp; "'!" &amp; J3266, J3266), "")</f>
        <v/>
      </c>
    </row>
    <row r="3267">
      <c r="B3267" s="21">
        <f>IF(AND(C3267&lt;&gt;"", J3267&lt;&gt;""), HYPERLINK("#'" &amp; C3267 &amp; "'!" &amp; J3267, J3267), "")</f>
        <v/>
      </c>
    </row>
    <row r="3268">
      <c r="B3268" s="21">
        <f>IF(AND(C3268&lt;&gt;"", J3268&lt;&gt;""), HYPERLINK("#'" &amp; C3268 &amp; "'!" &amp; J3268, J3268), "")</f>
        <v/>
      </c>
    </row>
    <row r="3269">
      <c r="B3269" s="21">
        <f>IF(AND(C3269&lt;&gt;"", J3269&lt;&gt;""), HYPERLINK("#'" &amp; C3269 &amp; "'!" &amp; J3269, J3269), "")</f>
        <v/>
      </c>
    </row>
    <row r="3270">
      <c r="B3270" s="21">
        <f>IF(AND(C3270&lt;&gt;"", J3270&lt;&gt;""), HYPERLINK("#'" &amp; C3270 &amp; "'!" &amp; J3270, J3270), "")</f>
        <v/>
      </c>
    </row>
    <row r="3271">
      <c r="B3271" s="21">
        <f>IF(AND(C3271&lt;&gt;"", J3271&lt;&gt;""), HYPERLINK("#'" &amp; C3271 &amp; "'!" &amp; J3271, J3271), "")</f>
        <v/>
      </c>
    </row>
    <row r="3272">
      <c r="B3272" s="21">
        <f>IF(AND(C3272&lt;&gt;"", J3272&lt;&gt;""), HYPERLINK("#'" &amp; C3272 &amp; "'!" &amp; J3272, J3272), "")</f>
        <v/>
      </c>
    </row>
    <row r="3273">
      <c r="B3273" s="21">
        <f>IF(AND(C3273&lt;&gt;"", J3273&lt;&gt;""), HYPERLINK("#'" &amp; C3273 &amp; "'!" &amp; J3273, J3273), "")</f>
        <v/>
      </c>
    </row>
    <row r="3274">
      <c r="B3274" s="21">
        <f>IF(AND(C3274&lt;&gt;"", J3274&lt;&gt;""), HYPERLINK("#'" &amp; C3274 &amp; "'!" &amp; J3274, J3274), "")</f>
        <v/>
      </c>
    </row>
    <row r="3275">
      <c r="B3275" s="21">
        <f>IF(AND(C3275&lt;&gt;"", J3275&lt;&gt;""), HYPERLINK("#'" &amp; C3275 &amp; "'!" &amp; J3275, J3275), "")</f>
        <v/>
      </c>
    </row>
    <row r="3276">
      <c r="B3276" s="21">
        <f>IF(AND(C3276&lt;&gt;"", J3276&lt;&gt;""), HYPERLINK("#'" &amp; C3276 &amp; "'!" &amp; J3276, J3276), "")</f>
        <v/>
      </c>
    </row>
    <row r="3277">
      <c r="B3277" s="21">
        <f>IF(AND(C3277&lt;&gt;"", J3277&lt;&gt;""), HYPERLINK("#'" &amp; C3277 &amp; "'!" &amp; J3277, J3277), "")</f>
        <v/>
      </c>
    </row>
    <row r="3278">
      <c r="B3278" s="21">
        <f>IF(AND(C3278&lt;&gt;"", J3278&lt;&gt;""), HYPERLINK("#'" &amp; C3278 &amp; "'!" &amp; J3278, J3278), "")</f>
        <v/>
      </c>
    </row>
    <row r="3279">
      <c r="B3279" s="21">
        <f>IF(AND(C3279&lt;&gt;"", J3279&lt;&gt;""), HYPERLINK("#'" &amp; C3279 &amp; "'!" &amp; J3279, J3279), "")</f>
        <v/>
      </c>
    </row>
    <row r="3280">
      <c r="B3280" s="21">
        <f>IF(AND(C3280&lt;&gt;"", J3280&lt;&gt;""), HYPERLINK("#'" &amp; C3280 &amp; "'!" &amp; J3280, J3280), "")</f>
        <v/>
      </c>
    </row>
    <row r="3281">
      <c r="B3281" s="21">
        <f>IF(AND(C3281&lt;&gt;"", J3281&lt;&gt;""), HYPERLINK("#'" &amp; C3281 &amp; "'!" &amp; J3281, J3281), "")</f>
        <v/>
      </c>
    </row>
    <row r="3282">
      <c r="B3282" s="21">
        <f>IF(AND(C3282&lt;&gt;"", J3282&lt;&gt;""), HYPERLINK("#'" &amp; C3282 &amp; "'!" &amp; J3282, J3282), "")</f>
        <v/>
      </c>
    </row>
    <row r="3283">
      <c r="B3283" s="21">
        <f>IF(AND(C3283&lt;&gt;"", J3283&lt;&gt;""), HYPERLINK("#'" &amp; C3283 &amp; "'!" &amp; J3283, J3283), "")</f>
        <v/>
      </c>
    </row>
    <row r="3284">
      <c r="B3284" s="21">
        <f>IF(AND(C3284&lt;&gt;"", J3284&lt;&gt;""), HYPERLINK("#'" &amp; C3284 &amp; "'!" &amp; J3284, J3284), "")</f>
        <v/>
      </c>
    </row>
    <row r="3285">
      <c r="B3285" s="21">
        <f>IF(AND(C3285&lt;&gt;"", J3285&lt;&gt;""), HYPERLINK("#'" &amp; C3285 &amp; "'!" &amp; J3285, J3285), "")</f>
        <v/>
      </c>
    </row>
    <row r="3286">
      <c r="B3286" s="21">
        <f>IF(AND(C3286&lt;&gt;"", J3286&lt;&gt;""), HYPERLINK("#'" &amp; C3286 &amp; "'!" &amp; J3286, J3286), "")</f>
        <v/>
      </c>
    </row>
    <row r="3287">
      <c r="B3287" s="21">
        <f>IF(AND(C3287&lt;&gt;"", J3287&lt;&gt;""), HYPERLINK("#'" &amp; C3287 &amp; "'!" &amp; J3287, J3287), "")</f>
        <v/>
      </c>
    </row>
    <row r="3288">
      <c r="B3288" s="21">
        <f>IF(AND(C3288&lt;&gt;"", J3288&lt;&gt;""), HYPERLINK("#'" &amp; C3288 &amp; "'!" &amp; J3288, J3288), "")</f>
        <v/>
      </c>
    </row>
    <row r="3289">
      <c r="B3289" s="21">
        <f>IF(AND(C3289&lt;&gt;"", J3289&lt;&gt;""), HYPERLINK("#'" &amp; C3289 &amp; "'!" &amp; J3289, J3289), "")</f>
        <v/>
      </c>
    </row>
    <row r="3290">
      <c r="B3290" s="21">
        <f>IF(AND(C3290&lt;&gt;"", J3290&lt;&gt;""), HYPERLINK("#'" &amp; C3290 &amp; "'!" &amp; J3290, J3290), "")</f>
        <v/>
      </c>
    </row>
    <row r="3291">
      <c r="B3291" s="21">
        <f>IF(AND(C3291&lt;&gt;"", J3291&lt;&gt;""), HYPERLINK("#'" &amp; C3291 &amp; "'!" &amp; J3291, J3291), "")</f>
        <v/>
      </c>
    </row>
    <row r="3292">
      <c r="B3292" s="21">
        <f>IF(AND(C3292&lt;&gt;"", J3292&lt;&gt;""), HYPERLINK("#'" &amp; C3292 &amp; "'!" &amp; J3292, J3292), "")</f>
        <v/>
      </c>
    </row>
    <row r="3293">
      <c r="B3293" s="21">
        <f>IF(AND(C3293&lt;&gt;"", J3293&lt;&gt;""), HYPERLINK("#'" &amp; C3293 &amp; "'!" &amp; J3293, J3293), "")</f>
        <v/>
      </c>
    </row>
    <row r="3294">
      <c r="B3294" s="21">
        <f>IF(AND(C3294&lt;&gt;"", J3294&lt;&gt;""), HYPERLINK("#'" &amp; C3294 &amp; "'!" &amp; J3294, J3294), "")</f>
        <v/>
      </c>
    </row>
    <row r="3295">
      <c r="B3295" s="21">
        <f>IF(AND(C3295&lt;&gt;"", J3295&lt;&gt;""), HYPERLINK("#'" &amp; C3295 &amp; "'!" &amp; J3295, J3295), "")</f>
        <v/>
      </c>
    </row>
    <row r="3296">
      <c r="B3296" s="21">
        <f>IF(AND(C3296&lt;&gt;"", J3296&lt;&gt;""), HYPERLINK("#'" &amp; C3296 &amp; "'!" &amp; J3296, J3296), "")</f>
        <v/>
      </c>
    </row>
    <row r="3297">
      <c r="B3297" s="21">
        <f>IF(AND(C3297&lt;&gt;"", J3297&lt;&gt;""), HYPERLINK("#'" &amp; C3297 &amp; "'!" &amp; J3297, J3297), "")</f>
        <v/>
      </c>
    </row>
    <row r="3298">
      <c r="B3298" s="21">
        <f>IF(AND(C3298&lt;&gt;"", J3298&lt;&gt;""), HYPERLINK("#'" &amp; C3298 &amp; "'!" &amp; J3298, J3298), "")</f>
        <v/>
      </c>
    </row>
    <row r="3299">
      <c r="B3299" s="21">
        <f>IF(AND(C3299&lt;&gt;"", J3299&lt;&gt;""), HYPERLINK("#'" &amp; C3299 &amp; "'!" &amp; J3299, J3299), "")</f>
        <v/>
      </c>
    </row>
    <row r="3300">
      <c r="B3300" s="21">
        <f>IF(AND(C3300&lt;&gt;"", J3300&lt;&gt;""), HYPERLINK("#'" &amp; C3300 &amp; "'!" &amp; J3300, J3300), "")</f>
        <v/>
      </c>
    </row>
    <row r="3301">
      <c r="B3301" s="21">
        <f>IF(AND(C3301&lt;&gt;"", J3301&lt;&gt;""), HYPERLINK("#'" &amp; C3301 &amp; "'!" &amp; J3301, J3301), "")</f>
        <v/>
      </c>
    </row>
    <row r="3302">
      <c r="B3302" s="21">
        <f>IF(AND(C3302&lt;&gt;"", J3302&lt;&gt;""), HYPERLINK("#'" &amp; C3302 &amp; "'!" &amp; J3302, J3302), "")</f>
        <v/>
      </c>
    </row>
    <row r="3303">
      <c r="B3303" s="21">
        <f>IF(AND(C3303&lt;&gt;"", J3303&lt;&gt;""), HYPERLINK("#'" &amp; C3303 &amp; "'!" &amp; J3303, J3303), "")</f>
        <v/>
      </c>
    </row>
    <row r="3304">
      <c r="B3304" s="21">
        <f>IF(AND(C3304&lt;&gt;"", J3304&lt;&gt;""), HYPERLINK("#'" &amp; C3304 &amp; "'!" &amp; J3304, J3304), "")</f>
        <v/>
      </c>
    </row>
    <row r="3305">
      <c r="B3305" s="21">
        <f>IF(AND(C3305&lt;&gt;"", J3305&lt;&gt;""), HYPERLINK("#'" &amp; C3305 &amp; "'!" &amp; J3305, J3305), "")</f>
        <v/>
      </c>
    </row>
    <row r="3306">
      <c r="B3306" s="21">
        <f>IF(AND(C3306&lt;&gt;"", J3306&lt;&gt;""), HYPERLINK("#'" &amp; C3306 &amp; "'!" &amp; J3306, J3306), "")</f>
        <v/>
      </c>
    </row>
    <row r="3307">
      <c r="B3307" s="21">
        <f>IF(AND(C3307&lt;&gt;"", J3307&lt;&gt;""), HYPERLINK("#'" &amp; C3307 &amp; "'!" &amp; J3307, J3307), "")</f>
        <v/>
      </c>
    </row>
    <row r="3308">
      <c r="B3308" s="21">
        <f>IF(AND(C3308&lt;&gt;"", J3308&lt;&gt;""), HYPERLINK("#'" &amp; C3308 &amp; "'!" &amp; J3308, J3308), "")</f>
        <v/>
      </c>
    </row>
    <row r="3309">
      <c r="B3309" s="21">
        <f>IF(AND(C3309&lt;&gt;"", J3309&lt;&gt;""), HYPERLINK("#'" &amp; C3309 &amp; "'!" &amp; J3309, J3309), "")</f>
        <v/>
      </c>
    </row>
    <row r="3310">
      <c r="B3310" s="21">
        <f>IF(AND(C3310&lt;&gt;"", J3310&lt;&gt;""), HYPERLINK("#'" &amp; C3310 &amp; "'!" &amp; J3310, J3310), "")</f>
        <v/>
      </c>
    </row>
    <row r="3311">
      <c r="B3311" s="21">
        <f>IF(AND(C3311&lt;&gt;"", J3311&lt;&gt;""), HYPERLINK("#'" &amp; C3311 &amp; "'!" &amp; J3311, J3311), "")</f>
        <v/>
      </c>
    </row>
    <row r="3312">
      <c r="B3312" s="21">
        <f>IF(AND(C3312&lt;&gt;"", J3312&lt;&gt;""), HYPERLINK("#'" &amp; C3312 &amp; "'!" &amp; J3312, J3312), "")</f>
        <v/>
      </c>
    </row>
    <row r="3313">
      <c r="B3313" s="21">
        <f>IF(AND(C3313&lt;&gt;"", J3313&lt;&gt;""), HYPERLINK("#'" &amp; C3313 &amp; "'!" &amp; J3313, J3313), "")</f>
        <v/>
      </c>
    </row>
    <row r="3314">
      <c r="B3314" s="21">
        <f>IF(AND(C3314&lt;&gt;"", J3314&lt;&gt;""), HYPERLINK("#'" &amp; C3314 &amp; "'!" &amp; J3314, J3314), "")</f>
        <v/>
      </c>
    </row>
    <row r="3315">
      <c r="B3315" s="21">
        <f>IF(AND(C3315&lt;&gt;"", J3315&lt;&gt;""), HYPERLINK("#'" &amp; C3315 &amp; "'!" &amp; J3315, J3315), "")</f>
        <v/>
      </c>
    </row>
    <row r="3316">
      <c r="B3316" s="21">
        <f>IF(AND(C3316&lt;&gt;"", J3316&lt;&gt;""), HYPERLINK("#'" &amp; C3316 &amp; "'!" &amp; J3316, J3316), "")</f>
        <v/>
      </c>
    </row>
    <row r="3317">
      <c r="B3317" s="21">
        <f>IF(AND(C3317&lt;&gt;"", J3317&lt;&gt;""), HYPERLINK("#'" &amp; C3317 &amp; "'!" &amp; J3317, J3317), "")</f>
        <v/>
      </c>
    </row>
    <row r="3318">
      <c r="B3318" s="21">
        <f>IF(AND(C3318&lt;&gt;"", J3318&lt;&gt;""), HYPERLINK("#'" &amp; C3318 &amp; "'!" &amp; J3318, J3318), "")</f>
        <v/>
      </c>
    </row>
    <row r="3319">
      <c r="B3319" s="21">
        <f>IF(AND(C3319&lt;&gt;"", J3319&lt;&gt;""), HYPERLINK("#'" &amp; C3319 &amp; "'!" &amp; J3319, J3319), "")</f>
        <v/>
      </c>
    </row>
    <row r="3320">
      <c r="B3320" s="21">
        <f>IF(AND(C3320&lt;&gt;"", J3320&lt;&gt;""), HYPERLINK("#'" &amp; C3320 &amp; "'!" &amp; J3320, J3320), "")</f>
        <v/>
      </c>
    </row>
    <row r="3321">
      <c r="B3321" s="21">
        <f>IF(AND(C3321&lt;&gt;"", J3321&lt;&gt;""), HYPERLINK("#'" &amp; C3321 &amp; "'!" &amp; J3321, J3321), "")</f>
        <v/>
      </c>
    </row>
    <row r="3322">
      <c r="B3322" s="21">
        <f>IF(AND(C3322&lt;&gt;"", J3322&lt;&gt;""), HYPERLINK("#'" &amp; C3322 &amp; "'!" &amp; J3322, J3322), "")</f>
        <v/>
      </c>
    </row>
    <row r="3323">
      <c r="B3323" s="21">
        <f>IF(AND(C3323&lt;&gt;"", J3323&lt;&gt;""), HYPERLINK("#'" &amp; C3323 &amp; "'!" &amp; J3323, J3323), "")</f>
        <v/>
      </c>
    </row>
    <row r="3324">
      <c r="B3324" s="21">
        <f>IF(AND(C3324&lt;&gt;"", J3324&lt;&gt;""), HYPERLINK("#'" &amp; C3324 &amp; "'!" &amp; J3324, J3324), "")</f>
        <v/>
      </c>
    </row>
    <row r="3325">
      <c r="B3325" s="21">
        <f>IF(AND(C3325&lt;&gt;"", J3325&lt;&gt;""), HYPERLINK("#'" &amp; C3325 &amp; "'!" &amp; J3325, J3325), "")</f>
        <v/>
      </c>
    </row>
    <row r="3326">
      <c r="B3326" s="21">
        <f>IF(AND(C3326&lt;&gt;"", J3326&lt;&gt;""), HYPERLINK("#'" &amp; C3326 &amp; "'!" &amp; J3326, J3326), "")</f>
        <v/>
      </c>
    </row>
    <row r="3327">
      <c r="B3327" s="21">
        <f>IF(AND(C3327&lt;&gt;"", J3327&lt;&gt;""), HYPERLINK("#'" &amp; C3327 &amp; "'!" &amp; J3327, J3327), "")</f>
        <v/>
      </c>
    </row>
    <row r="3328">
      <c r="B3328" s="21">
        <f>IF(AND(C3328&lt;&gt;"", J3328&lt;&gt;""), HYPERLINK("#'" &amp; C3328 &amp; "'!" &amp; J3328, J3328), "")</f>
        <v/>
      </c>
    </row>
    <row r="3329">
      <c r="B3329" s="21">
        <f>IF(AND(C3329&lt;&gt;"", J3329&lt;&gt;""), HYPERLINK("#'" &amp; C3329 &amp; "'!" &amp; J3329, J3329), "")</f>
        <v/>
      </c>
    </row>
    <row r="3330">
      <c r="B3330" s="21">
        <f>IF(AND(C3330&lt;&gt;"", J3330&lt;&gt;""), HYPERLINK("#'" &amp; C3330 &amp; "'!" &amp; J3330, J3330), "")</f>
        <v/>
      </c>
    </row>
    <row r="3331">
      <c r="B3331" s="21">
        <f>IF(AND(C3331&lt;&gt;"", J3331&lt;&gt;""), HYPERLINK("#'" &amp; C3331 &amp; "'!" &amp; J3331, J3331), "")</f>
        <v/>
      </c>
    </row>
    <row r="3332">
      <c r="B3332" s="21">
        <f>IF(AND(C3332&lt;&gt;"", J3332&lt;&gt;""), HYPERLINK("#'" &amp; C3332 &amp; "'!" &amp; J3332, J3332), "")</f>
        <v/>
      </c>
    </row>
    <row r="3333">
      <c r="B3333" s="21">
        <f>IF(AND(C3333&lt;&gt;"", J3333&lt;&gt;""), HYPERLINK("#'" &amp; C3333 &amp; "'!" &amp; J3333, J3333), "")</f>
        <v/>
      </c>
    </row>
    <row r="3334">
      <c r="B3334" s="21">
        <f>IF(AND(C3334&lt;&gt;"", J3334&lt;&gt;""), HYPERLINK("#'" &amp; C3334 &amp; "'!" &amp; J3334, J3334), "")</f>
        <v/>
      </c>
    </row>
    <row r="3335">
      <c r="B3335" s="21">
        <f>IF(AND(C3335&lt;&gt;"", J3335&lt;&gt;""), HYPERLINK("#'" &amp; C3335 &amp; "'!" &amp; J3335, J3335), "")</f>
        <v/>
      </c>
    </row>
    <row r="3336">
      <c r="B3336" s="21">
        <f>IF(AND(C3336&lt;&gt;"", J3336&lt;&gt;""), HYPERLINK("#'" &amp; C3336 &amp; "'!" &amp; J3336, J3336), "")</f>
        <v/>
      </c>
    </row>
    <row r="3337">
      <c r="B3337" s="21">
        <f>IF(AND(C3337&lt;&gt;"", J3337&lt;&gt;""), HYPERLINK("#'" &amp; C3337 &amp; "'!" &amp; J3337, J3337), "")</f>
        <v/>
      </c>
    </row>
    <row r="3338">
      <c r="B3338" s="21">
        <f>IF(AND(C3338&lt;&gt;"", J3338&lt;&gt;""), HYPERLINK("#'" &amp; C3338 &amp; "'!" &amp; J3338, J3338), "")</f>
        <v/>
      </c>
    </row>
    <row r="3339">
      <c r="B3339" s="21">
        <f>IF(AND(C3339&lt;&gt;"", J3339&lt;&gt;""), HYPERLINK("#'" &amp; C3339 &amp; "'!" &amp; J3339, J3339), "")</f>
        <v/>
      </c>
    </row>
    <row r="3340">
      <c r="B3340" s="21">
        <f>IF(AND(C3340&lt;&gt;"", J3340&lt;&gt;""), HYPERLINK("#'" &amp; C3340 &amp; "'!" &amp; J3340, J3340), "")</f>
        <v/>
      </c>
    </row>
    <row r="3341">
      <c r="B3341" s="21">
        <f>IF(AND(C3341&lt;&gt;"", J3341&lt;&gt;""), HYPERLINK("#'" &amp; C3341 &amp; "'!" &amp; J3341, J3341), "")</f>
        <v/>
      </c>
    </row>
    <row r="3342">
      <c r="B3342" s="21">
        <f>IF(AND(C3342&lt;&gt;"", J3342&lt;&gt;""), HYPERLINK("#'" &amp; C3342 &amp; "'!" &amp; J3342, J3342), "")</f>
        <v/>
      </c>
    </row>
    <row r="3343">
      <c r="B3343" s="21">
        <f>IF(AND(C3343&lt;&gt;"", J3343&lt;&gt;""), HYPERLINK("#'" &amp; C3343 &amp; "'!" &amp; J3343, J3343), "")</f>
        <v/>
      </c>
    </row>
    <row r="3344">
      <c r="B3344" s="21">
        <f>IF(AND(C3344&lt;&gt;"", J3344&lt;&gt;""), HYPERLINK("#'" &amp; C3344 &amp; "'!" &amp; J3344, J3344), "")</f>
        <v/>
      </c>
    </row>
    <row r="3345">
      <c r="B3345" s="21">
        <f>IF(AND(C3345&lt;&gt;"", J3345&lt;&gt;""), HYPERLINK("#'" &amp; C3345 &amp; "'!" &amp; J3345, J3345), "")</f>
        <v/>
      </c>
    </row>
    <row r="3346">
      <c r="B3346" s="21">
        <f>IF(AND(C3346&lt;&gt;"", J3346&lt;&gt;""), HYPERLINK("#'" &amp; C3346 &amp; "'!" &amp; J3346, J3346), "")</f>
        <v/>
      </c>
    </row>
    <row r="3347">
      <c r="B3347" s="21">
        <f>IF(AND(C3347&lt;&gt;"", J3347&lt;&gt;""), HYPERLINK("#'" &amp; C3347 &amp; "'!" &amp; J3347, J3347), "")</f>
        <v/>
      </c>
    </row>
    <row r="3348">
      <c r="B3348" s="21">
        <f>IF(AND(C3348&lt;&gt;"", J3348&lt;&gt;""), HYPERLINK("#'" &amp; C3348 &amp; "'!" &amp; J3348, J3348), "")</f>
        <v/>
      </c>
    </row>
    <row r="3349">
      <c r="B3349" s="21">
        <f>IF(AND(C3349&lt;&gt;"", J3349&lt;&gt;""), HYPERLINK("#'" &amp; C3349 &amp; "'!" &amp; J3349, J3349), "")</f>
        <v/>
      </c>
    </row>
    <row r="3350">
      <c r="B3350" s="21">
        <f>IF(AND(C3350&lt;&gt;"", J3350&lt;&gt;""), HYPERLINK("#'" &amp; C3350 &amp; "'!" &amp; J3350, J3350), "")</f>
        <v/>
      </c>
    </row>
    <row r="3351">
      <c r="B3351" s="21">
        <f>IF(AND(C3351&lt;&gt;"", J3351&lt;&gt;""), HYPERLINK("#'" &amp; C3351 &amp; "'!" &amp; J3351, J3351), "")</f>
        <v/>
      </c>
    </row>
    <row r="3352">
      <c r="B3352" s="21">
        <f>IF(AND(C3352&lt;&gt;"", J3352&lt;&gt;""), HYPERLINK("#'" &amp; C3352 &amp; "'!" &amp; J3352, J3352), "")</f>
        <v/>
      </c>
    </row>
    <row r="3353">
      <c r="B3353" s="21">
        <f>IF(AND(C3353&lt;&gt;"", J3353&lt;&gt;""), HYPERLINK("#'" &amp; C3353 &amp; "'!" &amp; J3353, J3353), "")</f>
        <v/>
      </c>
    </row>
    <row r="3354">
      <c r="B3354" s="21">
        <f>IF(AND(C3354&lt;&gt;"", J3354&lt;&gt;""), HYPERLINK("#'" &amp; C3354 &amp; "'!" &amp; J3354, J3354), "")</f>
        <v/>
      </c>
    </row>
    <row r="3355">
      <c r="B3355" s="21">
        <f>IF(AND(C3355&lt;&gt;"", J3355&lt;&gt;""), HYPERLINK("#'" &amp; C3355 &amp; "'!" &amp; J3355, J3355), "")</f>
        <v/>
      </c>
    </row>
    <row r="3356">
      <c r="B3356" s="21">
        <f>IF(AND(C3356&lt;&gt;"", J3356&lt;&gt;""), HYPERLINK("#'" &amp; C3356 &amp; "'!" &amp; J3356, J3356), "")</f>
        <v/>
      </c>
    </row>
    <row r="3357">
      <c r="B3357" s="21">
        <f>IF(AND(C3357&lt;&gt;"", J3357&lt;&gt;""), HYPERLINK("#'" &amp; C3357 &amp; "'!" &amp; J3357, J3357), "")</f>
        <v/>
      </c>
    </row>
    <row r="3358">
      <c r="B3358" s="21">
        <f>IF(AND(C3358&lt;&gt;"", J3358&lt;&gt;""), HYPERLINK("#'" &amp; C3358 &amp; "'!" &amp; J3358, J3358), "")</f>
        <v/>
      </c>
    </row>
    <row r="3359">
      <c r="B3359" s="21">
        <f>IF(AND(C3359&lt;&gt;"", J3359&lt;&gt;""), HYPERLINK("#'" &amp; C3359 &amp; "'!" &amp; J3359, J3359), "")</f>
        <v/>
      </c>
    </row>
    <row r="3360">
      <c r="B3360" s="21">
        <f>IF(AND(C3360&lt;&gt;"", J3360&lt;&gt;""), HYPERLINK("#'" &amp; C3360 &amp; "'!" &amp; J3360, J3360), "")</f>
        <v/>
      </c>
    </row>
    <row r="3361">
      <c r="B3361" s="21">
        <f>IF(AND(C3361&lt;&gt;"", J3361&lt;&gt;""), HYPERLINK("#'" &amp; C3361 &amp; "'!" &amp; J3361, J3361), "")</f>
        <v/>
      </c>
    </row>
    <row r="3362">
      <c r="B3362" s="21">
        <f>IF(AND(C3362&lt;&gt;"", J3362&lt;&gt;""), HYPERLINK("#'" &amp; C3362 &amp; "'!" &amp; J3362, J3362), "")</f>
        <v/>
      </c>
    </row>
    <row r="3363">
      <c r="B3363" s="21">
        <f>IF(AND(C3363&lt;&gt;"", J3363&lt;&gt;""), HYPERLINK("#'" &amp; C3363 &amp; "'!" &amp; J3363, J3363), "")</f>
        <v/>
      </c>
    </row>
    <row r="3364">
      <c r="B3364" s="21">
        <f>IF(AND(C3364&lt;&gt;"", J3364&lt;&gt;""), HYPERLINK("#'" &amp; C3364 &amp; "'!" &amp; J3364, J3364), "")</f>
        <v/>
      </c>
    </row>
    <row r="3365">
      <c r="B3365" s="21">
        <f>IF(AND(C3365&lt;&gt;"", J3365&lt;&gt;""), HYPERLINK("#'" &amp; C3365 &amp; "'!" &amp; J3365, J3365), "")</f>
        <v/>
      </c>
    </row>
    <row r="3366">
      <c r="B3366" s="21">
        <f>IF(AND(C3366&lt;&gt;"", J3366&lt;&gt;""), HYPERLINK("#'" &amp; C3366 &amp; "'!" &amp; J3366, J3366), "")</f>
        <v/>
      </c>
    </row>
    <row r="3367">
      <c r="B3367" s="21">
        <f>IF(AND(C3367&lt;&gt;"", J3367&lt;&gt;""), HYPERLINK("#'" &amp; C3367 &amp; "'!" &amp; J3367, J3367), "")</f>
        <v/>
      </c>
    </row>
    <row r="3368">
      <c r="B3368" s="21">
        <f>IF(AND(C3368&lt;&gt;"", J3368&lt;&gt;""), HYPERLINK("#'" &amp; C3368 &amp; "'!" &amp; J3368, J3368), "")</f>
        <v/>
      </c>
    </row>
    <row r="3369">
      <c r="B3369" s="21">
        <f>IF(AND(C3369&lt;&gt;"", J3369&lt;&gt;""), HYPERLINK("#'" &amp; C3369 &amp; "'!" &amp; J3369, J3369), "")</f>
        <v/>
      </c>
    </row>
    <row r="3370">
      <c r="B3370" s="21">
        <f>IF(AND(C3370&lt;&gt;"", J3370&lt;&gt;""), HYPERLINK("#'" &amp; C3370 &amp; "'!" &amp; J3370, J3370), "")</f>
        <v/>
      </c>
    </row>
    <row r="3371">
      <c r="B3371" s="21">
        <f>IF(AND(C3371&lt;&gt;"", J3371&lt;&gt;""), HYPERLINK("#'" &amp; C3371 &amp; "'!" &amp; J3371, J3371), "")</f>
        <v/>
      </c>
    </row>
    <row r="3372">
      <c r="B3372" s="21">
        <f>IF(AND(C3372&lt;&gt;"", J3372&lt;&gt;""), HYPERLINK("#'" &amp; C3372 &amp; "'!" &amp; J3372, J3372), "")</f>
        <v/>
      </c>
    </row>
    <row r="3373">
      <c r="B3373" s="21">
        <f>IF(AND(C3373&lt;&gt;"", J3373&lt;&gt;""), HYPERLINK("#'" &amp; C3373 &amp; "'!" &amp; J3373, J3373), "")</f>
        <v/>
      </c>
    </row>
    <row r="3374">
      <c r="B3374" s="21">
        <f>IF(AND(C3374&lt;&gt;"", J3374&lt;&gt;""), HYPERLINK("#'" &amp; C3374 &amp; "'!" &amp; J3374, J3374), "")</f>
        <v/>
      </c>
    </row>
    <row r="3375">
      <c r="B3375" s="21">
        <f>IF(AND(C3375&lt;&gt;"", J3375&lt;&gt;""), HYPERLINK("#'" &amp; C3375 &amp; "'!" &amp; J3375, J3375), "")</f>
        <v/>
      </c>
    </row>
    <row r="3376">
      <c r="B3376" s="21">
        <f>IF(AND(C3376&lt;&gt;"", J3376&lt;&gt;""), HYPERLINK("#'" &amp; C3376 &amp; "'!" &amp; J3376, J3376), "")</f>
        <v/>
      </c>
    </row>
    <row r="3377">
      <c r="B3377" s="21">
        <f>IF(AND(C3377&lt;&gt;"", J3377&lt;&gt;""), HYPERLINK("#'" &amp; C3377 &amp; "'!" &amp; J3377, J3377), "")</f>
        <v/>
      </c>
    </row>
    <row r="3378">
      <c r="B3378" s="21">
        <f>IF(AND(C3378&lt;&gt;"", J3378&lt;&gt;""), HYPERLINK("#'" &amp; C3378 &amp; "'!" &amp; J3378, J3378), "")</f>
        <v/>
      </c>
    </row>
    <row r="3379">
      <c r="B3379" s="21">
        <f>IF(AND(C3379&lt;&gt;"", J3379&lt;&gt;""), HYPERLINK("#'" &amp; C3379 &amp; "'!" &amp; J3379, J3379), "")</f>
        <v/>
      </c>
    </row>
    <row r="3380">
      <c r="B3380" s="21">
        <f>IF(AND(C3380&lt;&gt;"", J3380&lt;&gt;""), HYPERLINK("#'" &amp; C3380 &amp; "'!" &amp; J3380, J3380), "")</f>
        <v/>
      </c>
    </row>
    <row r="3381">
      <c r="B3381" s="21">
        <f>IF(AND(C3381&lt;&gt;"", J3381&lt;&gt;""), HYPERLINK("#'" &amp; C3381 &amp; "'!" &amp; J3381, J3381), "")</f>
        <v/>
      </c>
    </row>
    <row r="3382">
      <c r="B3382" s="21">
        <f>IF(AND(C3382&lt;&gt;"", J3382&lt;&gt;""), HYPERLINK("#'" &amp; C3382 &amp; "'!" &amp; J3382, J3382), "")</f>
        <v/>
      </c>
    </row>
    <row r="3383">
      <c r="B3383" s="21">
        <f>IF(AND(C3383&lt;&gt;"", J3383&lt;&gt;""), HYPERLINK("#'" &amp; C3383 &amp; "'!" &amp; J3383, J3383), "")</f>
        <v/>
      </c>
    </row>
    <row r="3384">
      <c r="B3384" s="21">
        <f>IF(AND(C3384&lt;&gt;"", J3384&lt;&gt;""), HYPERLINK("#'" &amp; C3384 &amp; "'!" &amp; J3384, J3384), "")</f>
        <v/>
      </c>
    </row>
    <row r="3385">
      <c r="B3385" s="21">
        <f>IF(AND(C3385&lt;&gt;"", J3385&lt;&gt;""), HYPERLINK("#'" &amp; C3385 &amp; "'!" &amp; J3385, J3385), "")</f>
        <v/>
      </c>
    </row>
    <row r="3386">
      <c r="B3386" s="21">
        <f>IF(AND(C3386&lt;&gt;"", J3386&lt;&gt;""), HYPERLINK("#'" &amp; C3386 &amp; "'!" &amp; J3386, J3386), "")</f>
        <v/>
      </c>
    </row>
    <row r="3387">
      <c r="B3387" s="21">
        <f>IF(AND(C3387&lt;&gt;"", J3387&lt;&gt;""), HYPERLINK("#'" &amp; C3387 &amp; "'!" &amp; J3387, J3387), "")</f>
        <v/>
      </c>
    </row>
    <row r="3388">
      <c r="B3388" s="21">
        <f>IF(AND(C3388&lt;&gt;"", J3388&lt;&gt;""), HYPERLINK("#'" &amp; C3388 &amp; "'!" &amp; J3388, J3388), "")</f>
        <v/>
      </c>
    </row>
    <row r="3389">
      <c r="B3389" s="21">
        <f>IF(AND(C3389&lt;&gt;"", J3389&lt;&gt;""), HYPERLINK("#'" &amp; C3389 &amp; "'!" &amp; J3389, J3389), "")</f>
        <v/>
      </c>
    </row>
    <row r="3390">
      <c r="B3390" s="21">
        <f>IF(AND(C3390&lt;&gt;"", J3390&lt;&gt;""), HYPERLINK("#'" &amp; C3390 &amp; "'!" &amp; J3390, J3390), "")</f>
        <v/>
      </c>
    </row>
    <row r="3391">
      <c r="B3391" s="21">
        <f>IF(AND(C3391&lt;&gt;"", J3391&lt;&gt;""), HYPERLINK("#'" &amp; C3391 &amp; "'!" &amp; J3391, J3391), "")</f>
        <v/>
      </c>
    </row>
    <row r="3392">
      <c r="B3392" s="21">
        <f>IF(AND(C3392&lt;&gt;"", J3392&lt;&gt;""), HYPERLINK("#'" &amp; C3392 &amp; "'!" &amp; J3392, J3392), "")</f>
        <v/>
      </c>
    </row>
    <row r="3393">
      <c r="B3393" s="21">
        <f>IF(AND(C3393&lt;&gt;"", J3393&lt;&gt;""), HYPERLINK("#'" &amp; C3393 &amp; "'!" &amp; J3393, J3393), "")</f>
        <v/>
      </c>
    </row>
    <row r="3394">
      <c r="B3394" s="21">
        <f>IF(AND(C3394&lt;&gt;"", J3394&lt;&gt;""), HYPERLINK("#'" &amp; C3394 &amp; "'!" &amp; J3394, J3394), "")</f>
        <v/>
      </c>
    </row>
    <row r="3395">
      <c r="B3395" s="21">
        <f>IF(AND(C3395&lt;&gt;"", J3395&lt;&gt;""), HYPERLINK("#'" &amp; C3395 &amp; "'!" &amp; J3395, J3395), "")</f>
        <v/>
      </c>
    </row>
    <row r="3396">
      <c r="B3396" s="21">
        <f>IF(AND(C3396&lt;&gt;"", J3396&lt;&gt;""), HYPERLINK("#'" &amp; C3396 &amp; "'!" &amp; J3396, J3396), "")</f>
        <v/>
      </c>
    </row>
    <row r="3397">
      <c r="B3397" s="21">
        <f>IF(AND(C3397&lt;&gt;"", J3397&lt;&gt;""), HYPERLINK("#'" &amp; C3397 &amp; "'!" &amp; J3397, J3397), "")</f>
        <v/>
      </c>
    </row>
    <row r="3398">
      <c r="B3398" s="21">
        <f>IF(AND(C3398&lt;&gt;"", J3398&lt;&gt;""), HYPERLINK("#'" &amp; C3398 &amp; "'!" &amp; J3398, J3398), "")</f>
        <v/>
      </c>
    </row>
    <row r="3399">
      <c r="B3399" s="21">
        <f>IF(AND(C3399&lt;&gt;"", J3399&lt;&gt;""), HYPERLINK("#'" &amp; C3399 &amp; "'!" &amp; J3399, J3399), "")</f>
        <v/>
      </c>
    </row>
    <row r="3400">
      <c r="B3400" s="21">
        <f>IF(AND(C3400&lt;&gt;"", J3400&lt;&gt;""), HYPERLINK("#'" &amp; C3400 &amp; "'!" &amp; J3400, J3400), "")</f>
        <v/>
      </c>
    </row>
    <row r="3401">
      <c r="B3401" s="21">
        <f>IF(AND(C3401&lt;&gt;"", J3401&lt;&gt;""), HYPERLINK("#'" &amp; C3401 &amp; "'!" &amp; J3401, J3401), "")</f>
        <v/>
      </c>
    </row>
    <row r="3402">
      <c r="B3402" s="21">
        <f>IF(AND(C3402&lt;&gt;"", J3402&lt;&gt;""), HYPERLINK("#'" &amp; C3402 &amp; "'!" &amp; J3402, J3402), "")</f>
        <v/>
      </c>
    </row>
    <row r="3403">
      <c r="B3403" s="21">
        <f>IF(AND(C3403&lt;&gt;"", J3403&lt;&gt;""), HYPERLINK("#'" &amp; C3403 &amp; "'!" &amp; J3403, J3403), "")</f>
        <v/>
      </c>
    </row>
    <row r="3404">
      <c r="B3404" s="21">
        <f>IF(AND(C3404&lt;&gt;"", J3404&lt;&gt;""), HYPERLINK("#'" &amp; C3404 &amp; "'!" &amp; J3404, J3404), "")</f>
        <v/>
      </c>
    </row>
    <row r="3405">
      <c r="B3405" s="21">
        <f>IF(AND(C3405&lt;&gt;"", J3405&lt;&gt;""), HYPERLINK("#'" &amp; C3405 &amp; "'!" &amp; J3405, J3405), "")</f>
        <v/>
      </c>
    </row>
    <row r="3406">
      <c r="B3406" s="21">
        <f>IF(AND(C3406&lt;&gt;"", J3406&lt;&gt;""), HYPERLINK("#'" &amp; C3406 &amp; "'!" &amp; J3406, J3406), "")</f>
        <v/>
      </c>
    </row>
    <row r="3407">
      <c r="B3407" s="21">
        <f>IF(AND(C3407&lt;&gt;"", J3407&lt;&gt;""), HYPERLINK("#'" &amp; C3407 &amp; "'!" &amp; J3407, J3407), "")</f>
        <v/>
      </c>
    </row>
    <row r="3408">
      <c r="B3408" s="21">
        <f>IF(AND(C3408&lt;&gt;"", J3408&lt;&gt;""), HYPERLINK("#'" &amp; C3408 &amp; "'!" &amp; J3408, J3408), "")</f>
        <v/>
      </c>
    </row>
    <row r="3409">
      <c r="B3409" s="21">
        <f>IF(AND(C3409&lt;&gt;"", J3409&lt;&gt;""), HYPERLINK("#'" &amp; C3409 &amp; "'!" &amp; J3409, J3409), "")</f>
        <v/>
      </c>
    </row>
    <row r="3410">
      <c r="B3410" s="21">
        <f>IF(AND(C3410&lt;&gt;"", J3410&lt;&gt;""), HYPERLINK("#'" &amp; C3410 &amp; "'!" &amp; J3410, J3410), "")</f>
        <v/>
      </c>
    </row>
    <row r="3411">
      <c r="B3411" s="21">
        <f>IF(AND(C3411&lt;&gt;"", J3411&lt;&gt;""), HYPERLINK("#'" &amp; C3411 &amp; "'!" &amp; J3411, J3411), "")</f>
        <v/>
      </c>
    </row>
    <row r="3412">
      <c r="B3412" s="21">
        <f>IF(AND(C3412&lt;&gt;"", J3412&lt;&gt;""), HYPERLINK("#'" &amp; C3412 &amp; "'!" &amp; J3412, J3412), "")</f>
        <v/>
      </c>
    </row>
    <row r="3413">
      <c r="B3413" s="21">
        <f>IF(AND(C3413&lt;&gt;"", J3413&lt;&gt;""), HYPERLINK("#'" &amp; C3413 &amp; "'!" &amp; J3413, J3413), "")</f>
        <v/>
      </c>
    </row>
    <row r="3414">
      <c r="B3414" s="21">
        <f>IF(AND(C3414&lt;&gt;"", J3414&lt;&gt;""), HYPERLINK("#'" &amp; C3414 &amp; "'!" &amp; J3414, J3414), "")</f>
        <v/>
      </c>
    </row>
    <row r="3415">
      <c r="B3415" s="21">
        <f>IF(AND(C3415&lt;&gt;"", J3415&lt;&gt;""), HYPERLINK("#'" &amp; C3415 &amp; "'!" &amp; J3415, J3415), "")</f>
        <v/>
      </c>
    </row>
    <row r="3416">
      <c r="B3416" s="21">
        <f>IF(AND(C3416&lt;&gt;"", J3416&lt;&gt;""), HYPERLINK("#'" &amp; C3416 &amp; "'!" &amp; J3416, J3416), "")</f>
        <v/>
      </c>
    </row>
    <row r="3417">
      <c r="B3417" s="21">
        <f>IF(AND(C3417&lt;&gt;"", J3417&lt;&gt;""), HYPERLINK("#'" &amp; C3417 &amp; "'!" &amp; J3417, J3417), "")</f>
        <v/>
      </c>
    </row>
    <row r="3418">
      <c r="B3418" s="21">
        <f>IF(AND(C3418&lt;&gt;"", J3418&lt;&gt;""), HYPERLINK("#'" &amp; C3418 &amp; "'!" &amp; J3418, J3418), "")</f>
        <v/>
      </c>
    </row>
    <row r="3419">
      <c r="B3419" s="21">
        <f>IF(AND(C3419&lt;&gt;"", J3419&lt;&gt;""), HYPERLINK("#'" &amp; C3419 &amp; "'!" &amp; J3419, J3419), "")</f>
        <v/>
      </c>
    </row>
    <row r="3420">
      <c r="B3420" s="21">
        <f>IF(AND(C3420&lt;&gt;"", J3420&lt;&gt;""), HYPERLINK("#'" &amp; C3420 &amp; "'!" &amp; J3420, J3420), "")</f>
        <v/>
      </c>
    </row>
    <row r="3421">
      <c r="B3421" s="21">
        <f>IF(AND(C3421&lt;&gt;"", J3421&lt;&gt;""), HYPERLINK("#'" &amp; C3421 &amp; "'!" &amp; J3421, J3421), "")</f>
        <v/>
      </c>
    </row>
    <row r="3422">
      <c r="B3422" s="21">
        <f>IF(AND(C3422&lt;&gt;"", J3422&lt;&gt;""), HYPERLINK("#'" &amp; C3422 &amp; "'!" &amp; J3422, J3422), "")</f>
        <v/>
      </c>
    </row>
    <row r="3423">
      <c r="B3423" s="21">
        <f>IF(AND(C3423&lt;&gt;"", J3423&lt;&gt;""), HYPERLINK("#'" &amp; C3423 &amp; "'!" &amp; J3423, J3423), "")</f>
        <v/>
      </c>
    </row>
    <row r="3424">
      <c r="B3424" s="21">
        <f>IF(AND(C3424&lt;&gt;"", J3424&lt;&gt;""), HYPERLINK("#'" &amp; C3424 &amp; "'!" &amp; J3424, J3424), "")</f>
        <v/>
      </c>
    </row>
    <row r="3425">
      <c r="B3425" s="21">
        <f>IF(AND(C3425&lt;&gt;"", J3425&lt;&gt;""), HYPERLINK("#'" &amp; C3425 &amp; "'!" &amp; J3425, J3425), "")</f>
        <v/>
      </c>
    </row>
    <row r="3426">
      <c r="B3426" s="21">
        <f>IF(AND(C3426&lt;&gt;"", J3426&lt;&gt;""), HYPERLINK("#'" &amp; C3426 &amp; "'!" &amp; J3426, J3426), "")</f>
        <v/>
      </c>
    </row>
    <row r="3427">
      <c r="B3427" s="21">
        <f>IF(AND(C3427&lt;&gt;"", J3427&lt;&gt;""), HYPERLINK("#'" &amp; C3427 &amp; "'!" &amp; J3427, J3427), "")</f>
        <v/>
      </c>
    </row>
    <row r="3428">
      <c r="B3428" s="21">
        <f>IF(AND(C3428&lt;&gt;"", J3428&lt;&gt;""), HYPERLINK("#'" &amp; C3428 &amp; "'!" &amp; J3428, J3428), "")</f>
        <v/>
      </c>
    </row>
    <row r="3429">
      <c r="B3429" s="21">
        <f>IF(AND(C3429&lt;&gt;"", J3429&lt;&gt;""), HYPERLINK("#'" &amp; C3429 &amp; "'!" &amp; J3429, J3429), "")</f>
        <v/>
      </c>
    </row>
    <row r="3430">
      <c r="B3430" s="21">
        <f>IF(AND(C3430&lt;&gt;"", J3430&lt;&gt;""), HYPERLINK("#'" &amp; C3430 &amp; "'!" &amp; J3430, J3430), "")</f>
        <v/>
      </c>
    </row>
    <row r="3431">
      <c r="B3431" s="21">
        <f>IF(AND(C3431&lt;&gt;"", J3431&lt;&gt;""), HYPERLINK("#'" &amp; C3431 &amp; "'!" &amp; J3431, J3431), "")</f>
        <v/>
      </c>
    </row>
    <row r="3432">
      <c r="B3432" s="21">
        <f>IF(AND(C3432&lt;&gt;"", J3432&lt;&gt;""), HYPERLINK("#'" &amp; C3432 &amp; "'!" &amp; J3432, J3432), "")</f>
        <v/>
      </c>
    </row>
    <row r="3433">
      <c r="B3433" s="21">
        <f>IF(AND(C3433&lt;&gt;"", J3433&lt;&gt;""), HYPERLINK("#'" &amp; C3433 &amp; "'!" &amp; J3433, J3433), "")</f>
        <v/>
      </c>
    </row>
    <row r="3434">
      <c r="B3434" s="21">
        <f>IF(AND(C3434&lt;&gt;"", J3434&lt;&gt;""), HYPERLINK("#'" &amp; C3434 &amp; "'!" &amp; J3434, J3434), "")</f>
        <v/>
      </c>
    </row>
    <row r="3435">
      <c r="B3435" s="21">
        <f>IF(AND(C3435&lt;&gt;"", J3435&lt;&gt;""), HYPERLINK("#'" &amp; C3435 &amp; "'!" &amp; J3435, J3435), "")</f>
        <v/>
      </c>
    </row>
    <row r="3436">
      <c r="B3436" s="21">
        <f>IF(AND(C3436&lt;&gt;"", J3436&lt;&gt;""), HYPERLINK("#'" &amp; C3436 &amp; "'!" &amp; J3436, J3436), "")</f>
        <v/>
      </c>
    </row>
    <row r="3437">
      <c r="B3437" s="21">
        <f>IF(AND(C3437&lt;&gt;"", J3437&lt;&gt;""), HYPERLINK("#'" &amp; C3437 &amp; "'!" &amp; J3437, J3437), "")</f>
        <v/>
      </c>
    </row>
    <row r="3438">
      <c r="B3438" s="21">
        <f>IF(AND(C3438&lt;&gt;"", J3438&lt;&gt;""), HYPERLINK("#'" &amp; C3438 &amp; "'!" &amp; J3438, J3438), "")</f>
        <v/>
      </c>
    </row>
    <row r="3439">
      <c r="B3439" s="21">
        <f>IF(AND(C3439&lt;&gt;"", J3439&lt;&gt;""), HYPERLINK("#'" &amp; C3439 &amp; "'!" &amp; J3439, J3439), "")</f>
        <v/>
      </c>
    </row>
    <row r="3440">
      <c r="B3440" s="21">
        <f>IF(AND(C3440&lt;&gt;"", J3440&lt;&gt;""), HYPERLINK("#'" &amp; C3440 &amp; "'!" &amp; J3440, J3440), "")</f>
        <v/>
      </c>
    </row>
    <row r="3441">
      <c r="B3441" s="21">
        <f>IF(AND(C3441&lt;&gt;"", J3441&lt;&gt;""), HYPERLINK("#'" &amp; C3441 &amp; "'!" &amp; J3441, J3441), "")</f>
        <v/>
      </c>
    </row>
    <row r="3442">
      <c r="B3442" s="21">
        <f>IF(AND(C3442&lt;&gt;"", J3442&lt;&gt;""), HYPERLINK("#'" &amp; C3442 &amp; "'!" &amp; J3442, J3442), "")</f>
        <v/>
      </c>
    </row>
    <row r="3443">
      <c r="B3443" s="21">
        <f>IF(AND(C3443&lt;&gt;"", J3443&lt;&gt;""), HYPERLINK("#'" &amp; C3443 &amp; "'!" &amp; J3443, J3443), "")</f>
        <v/>
      </c>
    </row>
    <row r="3444">
      <c r="B3444" s="21">
        <f>IF(AND(C3444&lt;&gt;"", J3444&lt;&gt;""), HYPERLINK("#'" &amp; C3444 &amp; "'!" &amp; J3444, J3444), "")</f>
        <v/>
      </c>
    </row>
    <row r="3445">
      <c r="B3445" s="21">
        <f>IF(AND(C3445&lt;&gt;"", J3445&lt;&gt;""), HYPERLINK("#'" &amp; C3445 &amp; "'!" &amp; J3445, J3445), "")</f>
        <v/>
      </c>
    </row>
    <row r="3446">
      <c r="B3446" s="21">
        <f>IF(AND(C3446&lt;&gt;"", J3446&lt;&gt;""), HYPERLINK("#'" &amp; C3446 &amp; "'!" &amp; J3446, J3446), "")</f>
        <v/>
      </c>
    </row>
    <row r="3447">
      <c r="B3447" s="21">
        <f>IF(AND(C3447&lt;&gt;"", J3447&lt;&gt;""), HYPERLINK("#'" &amp; C3447 &amp; "'!" &amp; J3447, J3447), "")</f>
        <v/>
      </c>
    </row>
    <row r="3448">
      <c r="B3448" s="21">
        <f>IF(AND(C3448&lt;&gt;"", J3448&lt;&gt;""), HYPERLINK("#'" &amp; C3448 &amp; "'!" &amp; J3448, J3448), "")</f>
        <v/>
      </c>
    </row>
    <row r="3449">
      <c r="B3449" s="21">
        <f>IF(AND(C3449&lt;&gt;"", J3449&lt;&gt;""), HYPERLINK("#'" &amp; C3449 &amp; "'!" &amp; J3449, J3449), "")</f>
        <v/>
      </c>
    </row>
    <row r="3450">
      <c r="B3450" s="21">
        <f>IF(AND(C3450&lt;&gt;"", J3450&lt;&gt;""), HYPERLINK("#'" &amp; C3450 &amp; "'!" &amp; J3450, J3450), "")</f>
        <v/>
      </c>
    </row>
    <row r="3451">
      <c r="B3451" s="21">
        <f>IF(AND(C3451&lt;&gt;"", J3451&lt;&gt;""), HYPERLINK("#'" &amp; C3451 &amp; "'!" &amp; J3451, J3451), "")</f>
        <v/>
      </c>
    </row>
    <row r="3452">
      <c r="B3452" s="21">
        <f>IF(AND(C3452&lt;&gt;"", J3452&lt;&gt;""), HYPERLINK("#'" &amp; C3452 &amp; "'!" &amp; J3452, J3452), "")</f>
        <v/>
      </c>
    </row>
    <row r="3453">
      <c r="B3453" s="21">
        <f>IF(AND(C3453&lt;&gt;"", J3453&lt;&gt;""), HYPERLINK("#'" &amp; C3453 &amp; "'!" &amp; J3453, J3453), "")</f>
        <v/>
      </c>
    </row>
    <row r="3454">
      <c r="B3454" s="21">
        <f>IF(AND(C3454&lt;&gt;"", J3454&lt;&gt;""), HYPERLINK("#'" &amp; C3454 &amp; "'!" &amp; J3454, J3454), "")</f>
        <v/>
      </c>
    </row>
    <row r="3455">
      <c r="B3455" s="21">
        <f>IF(AND(C3455&lt;&gt;"", J3455&lt;&gt;""), HYPERLINK("#'" &amp; C3455 &amp; "'!" &amp; J3455, J3455), "")</f>
        <v/>
      </c>
    </row>
    <row r="3456">
      <c r="B3456" s="21">
        <f>IF(AND(C3456&lt;&gt;"", J3456&lt;&gt;""), HYPERLINK("#'" &amp; C3456 &amp; "'!" &amp; J3456, J3456), "")</f>
        <v/>
      </c>
    </row>
    <row r="3457">
      <c r="B3457" s="21">
        <f>IF(AND(C3457&lt;&gt;"", J3457&lt;&gt;""), HYPERLINK("#'" &amp; C3457 &amp; "'!" &amp; J3457, J3457), "")</f>
        <v/>
      </c>
    </row>
    <row r="3458">
      <c r="B3458" s="21">
        <f>IF(AND(C3458&lt;&gt;"", J3458&lt;&gt;""), HYPERLINK("#'" &amp; C3458 &amp; "'!" &amp; J3458, J3458), "")</f>
        <v/>
      </c>
    </row>
    <row r="3459">
      <c r="B3459" s="21">
        <f>IF(AND(C3459&lt;&gt;"", J3459&lt;&gt;""), HYPERLINK("#'" &amp; C3459 &amp; "'!" &amp; J3459, J3459), "")</f>
        <v/>
      </c>
    </row>
    <row r="3460">
      <c r="B3460" s="21">
        <f>IF(AND(C3460&lt;&gt;"", J3460&lt;&gt;""), HYPERLINK("#'" &amp; C3460 &amp; "'!" &amp; J3460, J3460), "")</f>
        <v/>
      </c>
    </row>
    <row r="3461">
      <c r="B3461" s="21">
        <f>IF(AND(C3461&lt;&gt;"", J3461&lt;&gt;""), HYPERLINK("#'" &amp; C3461 &amp; "'!" &amp; J3461, J3461), "")</f>
        <v/>
      </c>
    </row>
    <row r="3462">
      <c r="B3462" s="21">
        <f>IF(AND(C3462&lt;&gt;"", J3462&lt;&gt;""), HYPERLINK("#'" &amp; C3462 &amp; "'!" &amp; J3462, J3462), "")</f>
        <v/>
      </c>
    </row>
    <row r="3463">
      <c r="B3463" s="21">
        <f>IF(AND(C3463&lt;&gt;"", J3463&lt;&gt;""), HYPERLINK("#'" &amp; C3463 &amp; "'!" &amp; J3463, J3463), "")</f>
        <v/>
      </c>
    </row>
    <row r="3464">
      <c r="B3464" s="21">
        <f>IF(AND(C3464&lt;&gt;"", J3464&lt;&gt;""), HYPERLINK("#'" &amp; C3464 &amp; "'!" &amp; J3464, J3464), "")</f>
        <v/>
      </c>
    </row>
    <row r="3465">
      <c r="B3465" s="21">
        <f>IF(AND(C3465&lt;&gt;"", J3465&lt;&gt;""), HYPERLINK("#'" &amp; C3465 &amp; "'!" &amp; J3465, J3465), "")</f>
        <v/>
      </c>
    </row>
    <row r="3466">
      <c r="B3466" s="21">
        <f>IF(AND(C3466&lt;&gt;"", J3466&lt;&gt;""), HYPERLINK("#'" &amp; C3466 &amp; "'!" &amp; J3466, J3466), "")</f>
        <v/>
      </c>
    </row>
    <row r="3467">
      <c r="B3467" s="21">
        <f>IF(AND(C3467&lt;&gt;"", J3467&lt;&gt;""), HYPERLINK("#'" &amp; C3467 &amp; "'!" &amp; J3467, J3467), "")</f>
        <v/>
      </c>
    </row>
    <row r="3468">
      <c r="B3468" s="21">
        <f>IF(AND(C3468&lt;&gt;"", J3468&lt;&gt;""), HYPERLINK("#'" &amp; C3468 &amp; "'!" &amp; J3468, J3468), "")</f>
        <v/>
      </c>
    </row>
    <row r="3469">
      <c r="B3469" s="21">
        <f>IF(AND(C3469&lt;&gt;"", J3469&lt;&gt;""), HYPERLINK("#'" &amp; C3469 &amp; "'!" &amp; J3469, J3469), "")</f>
        <v/>
      </c>
    </row>
    <row r="3470">
      <c r="B3470" s="21">
        <f>IF(AND(C3470&lt;&gt;"", J3470&lt;&gt;""), HYPERLINK("#'" &amp; C3470 &amp; "'!" &amp; J3470, J3470), "")</f>
        <v/>
      </c>
    </row>
    <row r="3471">
      <c r="B3471" s="21">
        <f>IF(AND(C3471&lt;&gt;"", J3471&lt;&gt;""), HYPERLINK("#'" &amp; C3471 &amp; "'!" &amp; J3471, J3471), "")</f>
        <v/>
      </c>
    </row>
    <row r="3472">
      <c r="B3472" s="21">
        <f>IF(AND(C3472&lt;&gt;"", J3472&lt;&gt;""), HYPERLINK("#'" &amp; C3472 &amp; "'!" &amp; J3472, J3472), "")</f>
        <v/>
      </c>
    </row>
    <row r="3473">
      <c r="B3473" s="21">
        <f>IF(AND(C3473&lt;&gt;"", J3473&lt;&gt;""), HYPERLINK("#'" &amp; C3473 &amp; "'!" &amp; J3473, J3473), "")</f>
        <v/>
      </c>
    </row>
    <row r="3474">
      <c r="B3474" s="21">
        <f>IF(AND(C3474&lt;&gt;"", J3474&lt;&gt;""), HYPERLINK("#'" &amp; C3474 &amp; "'!" &amp; J3474, J3474), "")</f>
        <v/>
      </c>
    </row>
    <row r="3475">
      <c r="B3475" s="21">
        <f>IF(AND(C3475&lt;&gt;"", J3475&lt;&gt;""), HYPERLINK("#'" &amp; C3475 &amp; "'!" &amp; J3475, J3475), "")</f>
        <v/>
      </c>
    </row>
    <row r="3476">
      <c r="B3476" s="21">
        <f>IF(AND(C3476&lt;&gt;"", J3476&lt;&gt;""), HYPERLINK("#'" &amp; C3476 &amp; "'!" &amp; J3476, J3476), "")</f>
        <v/>
      </c>
    </row>
    <row r="3477">
      <c r="B3477" s="21">
        <f>IF(AND(C3477&lt;&gt;"", J3477&lt;&gt;""), HYPERLINK("#'" &amp; C3477 &amp; "'!" &amp; J3477, J3477), "")</f>
        <v/>
      </c>
    </row>
    <row r="3478">
      <c r="B3478" s="21">
        <f>IF(AND(C3478&lt;&gt;"", J3478&lt;&gt;""), HYPERLINK("#'" &amp; C3478 &amp; "'!" &amp; J3478, J3478), "")</f>
        <v/>
      </c>
    </row>
    <row r="3479">
      <c r="B3479" s="21">
        <f>IF(AND(C3479&lt;&gt;"", J3479&lt;&gt;""), HYPERLINK("#'" &amp; C3479 &amp; "'!" &amp; J3479, J3479), "")</f>
        <v/>
      </c>
    </row>
    <row r="3480">
      <c r="B3480" s="21">
        <f>IF(AND(C3480&lt;&gt;"", J3480&lt;&gt;""), HYPERLINK("#'" &amp; C3480 &amp; "'!" &amp; J3480, J3480), "")</f>
        <v/>
      </c>
    </row>
    <row r="3481">
      <c r="B3481" s="21">
        <f>IF(AND(C3481&lt;&gt;"", J3481&lt;&gt;""), HYPERLINK("#'" &amp; C3481 &amp; "'!" &amp; J3481, J3481), "")</f>
        <v/>
      </c>
    </row>
    <row r="3482">
      <c r="B3482" s="21">
        <f>IF(AND(C3482&lt;&gt;"", J3482&lt;&gt;""), HYPERLINK("#'" &amp; C3482 &amp; "'!" &amp; J3482, J3482), "")</f>
        <v/>
      </c>
    </row>
    <row r="3483">
      <c r="B3483" s="21">
        <f>IF(AND(C3483&lt;&gt;"", J3483&lt;&gt;""), HYPERLINK("#'" &amp; C3483 &amp; "'!" &amp; J3483, J3483), "")</f>
        <v/>
      </c>
    </row>
    <row r="3484">
      <c r="B3484" s="21">
        <f>IF(AND(C3484&lt;&gt;"", J3484&lt;&gt;""), HYPERLINK("#'" &amp; C3484 &amp; "'!" &amp; J3484, J3484), "")</f>
        <v/>
      </c>
    </row>
    <row r="3485">
      <c r="B3485" s="21">
        <f>IF(AND(C3485&lt;&gt;"", J3485&lt;&gt;""), HYPERLINK("#'" &amp; C3485 &amp; "'!" &amp; J3485, J3485), "")</f>
        <v/>
      </c>
    </row>
    <row r="3486">
      <c r="B3486" s="21">
        <f>IF(AND(C3486&lt;&gt;"", J3486&lt;&gt;""), HYPERLINK("#'" &amp; C3486 &amp; "'!" &amp; J3486, J3486), "")</f>
        <v/>
      </c>
    </row>
    <row r="3487">
      <c r="B3487" s="21">
        <f>IF(AND(C3487&lt;&gt;"", J3487&lt;&gt;""), HYPERLINK("#'" &amp; C3487 &amp; "'!" &amp; J3487, J3487), "")</f>
        <v/>
      </c>
    </row>
    <row r="3488">
      <c r="B3488" s="21">
        <f>IF(AND(C3488&lt;&gt;"", J3488&lt;&gt;""), HYPERLINK("#'" &amp; C3488 &amp; "'!" &amp; J3488, J3488), "")</f>
        <v/>
      </c>
    </row>
    <row r="3489">
      <c r="B3489" s="21">
        <f>IF(AND(C3489&lt;&gt;"", J3489&lt;&gt;""), HYPERLINK("#'" &amp; C3489 &amp; "'!" &amp; J3489, J3489), "")</f>
        <v/>
      </c>
    </row>
    <row r="3490">
      <c r="B3490" s="21">
        <f>IF(AND(C3490&lt;&gt;"", J3490&lt;&gt;""), HYPERLINK("#'" &amp; C3490 &amp; "'!" &amp; J3490, J3490), "")</f>
        <v/>
      </c>
    </row>
    <row r="3491">
      <c r="B3491" s="21">
        <f>IF(AND(C3491&lt;&gt;"", J3491&lt;&gt;""), HYPERLINK("#'" &amp; C3491 &amp; "'!" &amp; J3491, J3491), "")</f>
        <v/>
      </c>
    </row>
    <row r="3492">
      <c r="B3492" s="21">
        <f>IF(AND(C3492&lt;&gt;"", J3492&lt;&gt;""), HYPERLINK("#'" &amp; C3492 &amp; "'!" &amp; J3492, J3492), "")</f>
        <v/>
      </c>
    </row>
    <row r="3493">
      <c r="B3493" s="21">
        <f>IF(AND(C3493&lt;&gt;"", J3493&lt;&gt;""), HYPERLINK("#'" &amp; C3493 &amp; "'!" &amp; J3493, J3493), "")</f>
        <v/>
      </c>
    </row>
    <row r="3494">
      <c r="B3494" s="21">
        <f>IF(AND(C3494&lt;&gt;"", J3494&lt;&gt;""), HYPERLINK("#'" &amp; C3494 &amp; "'!" &amp; J3494, J3494), "")</f>
        <v/>
      </c>
    </row>
    <row r="3495">
      <c r="B3495" s="21">
        <f>IF(AND(C3495&lt;&gt;"", J3495&lt;&gt;""), HYPERLINK("#'" &amp; C3495 &amp; "'!" &amp; J3495, J3495), "")</f>
        <v/>
      </c>
    </row>
    <row r="3496">
      <c r="B3496" s="21">
        <f>IF(AND(C3496&lt;&gt;"", J3496&lt;&gt;""), HYPERLINK("#'" &amp; C3496 &amp; "'!" &amp; J3496, J3496), "")</f>
        <v/>
      </c>
    </row>
    <row r="3497">
      <c r="B3497" s="21">
        <f>IF(AND(C3497&lt;&gt;"", J3497&lt;&gt;""), HYPERLINK("#'" &amp; C3497 &amp; "'!" &amp; J3497, J3497), "")</f>
        <v/>
      </c>
    </row>
    <row r="3498">
      <c r="B3498" s="21">
        <f>IF(AND(C3498&lt;&gt;"", J3498&lt;&gt;""), HYPERLINK("#'" &amp; C3498 &amp; "'!" &amp; J3498, J3498), "")</f>
        <v/>
      </c>
    </row>
    <row r="3499">
      <c r="B3499" s="21">
        <f>IF(AND(C3499&lt;&gt;"", J3499&lt;&gt;""), HYPERLINK("#'" &amp; C3499 &amp; "'!" &amp; J3499, J3499), "")</f>
        <v/>
      </c>
    </row>
    <row r="3500">
      <c r="B3500" s="21">
        <f>IF(AND(C3500&lt;&gt;"", J3500&lt;&gt;""), HYPERLINK("#'" &amp; C3500 &amp; "'!" &amp; J3500, J3500), "")</f>
        <v/>
      </c>
    </row>
    <row r="3501">
      <c r="B3501" s="21">
        <f>IF(AND(C3501&lt;&gt;"", J3501&lt;&gt;""), HYPERLINK("#'" &amp; C3501 &amp; "'!" &amp; J3501, J3501), "")</f>
        <v/>
      </c>
    </row>
    <row r="3502">
      <c r="B3502" s="21">
        <f>IF(AND(C3502&lt;&gt;"", J3502&lt;&gt;""), HYPERLINK("#'" &amp; C3502 &amp; "'!" &amp; J3502, J3502), "")</f>
        <v/>
      </c>
    </row>
    <row r="3503">
      <c r="B3503" s="21">
        <f>IF(AND(C3503&lt;&gt;"", J3503&lt;&gt;""), HYPERLINK("#'" &amp; C3503 &amp; "'!" &amp; J3503, J3503), "")</f>
        <v/>
      </c>
    </row>
    <row r="3504">
      <c r="B3504" s="21">
        <f>IF(AND(C3504&lt;&gt;"", J3504&lt;&gt;""), HYPERLINK("#'" &amp; C3504 &amp; "'!" &amp; J3504, J3504), "")</f>
        <v/>
      </c>
    </row>
    <row r="3505">
      <c r="B3505" s="21">
        <f>IF(AND(C3505&lt;&gt;"", J3505&lt;&gt;""), HYPERLINK("#'" &amp; C3505 &amp; "'!" &amp; J3505, J3505), "")</f>
        <v/>
      </c>
    </row>
    <row r="3506">
      <c r="B3506" s="21">
        <f>IF(AND(C3506&lt;&gt;"", J3506&lt;&gt;""), HYPERLINK("#'" &amp; C3506 &amp; "'!" &amp; J3506, J3506), "")</f>
        <v/>
      </c>
    </row>
    <row r="3507">
      <c r="B3507" s="21">
        <f>IF(AND(C3507&lt;&gt;"", J3507&lt;&gt;""), HYPERLINK("#'" &amp; C3507 &amp; "'!" &amp; J3507, J3507), "")</f>
        <v/>
      </c>
    </row>
    <row r="3508">
      <c r="B3508" s="21">
        <f>IF(AND(C3508&lt;&gt;"", J3508&lt;&gt;""), HYPERLINK("#'" &amp; C3508 &amp; "'!" &amp; J3508, J3508), "")</f>
        <v/>
      </c>
    </row>
    <row r="3509">
      <c r="B3509" s="21">
        <f>IF(AND(C3509&lt;&gt;"", J3509&lt;&gt;""), HYPERLINK("#'" &amp; C3509 &amp; "'!" &amp; J3509, J3509), "")</f>
        <v/>
      </c>
    </row>
    <row r="3510">
      <c r="B3510" s="21">
        <f>IF(AND(C3510&lt;&gt;"", J3510&lt;&gt;""), HYPERLINK("#'" &amp; C3510 &amp; "'!" &amp; J3510, J3510), "")</f>
        <v/>
      </c>
    </row>
    <row r="3511">
      <c r="B3511" s="21">
        <f>IF(AND(C3511&lt;&gt;"", J3511&lt;&gt;""), HYPERLINK("#'" &amp; C3511 &amp; "'!" &amp; J3511, J3511), "")</f>
        <v/>
      </c>
    </row>
    <row r="3512">
      <c r="B3512" s="21">
        <f>IF(AND(C3512&lt;&gt;"", J3512&lt;&gt;""), HYPERLINK("#'" &amp; C3512 &amp; "'!" &amp; J3512, J3512), "")</f>
        <v/>
      </c>
    </row>
    <row r="3513">
      <c r="B3513" s="21">
        <f>IF(AND(C3513&lt;&gt;"", J3513&lt;&gt;""), HYPERLINK("#'" &amp; C3513 &amp; "'!" &amp; J3513, J3513), "")</f>
        <v/>
      </c>
    </row>
    <row r="3514">
      <c r="B3514" s="21">
        <f>IF(AND(C3514&lt;&gt;"", J3514&lt;&gt;""), HYPERLINK("#'" &amp; C3514 &amp; "'!" &amp; J3514, J3514), "")</f>
        <v/>
      </c>
    </row>
    <row r="3515">
      <c r="B3515" s="21">
        <f>IF(AND(C3515&lt;&gt;"", J3515&lt;&gt;""), HYPERLINK("#'" &amp; C3515 &amp; "'!" &amp; J3515, J3515), "")</f>
        <v/>
      </c>
    </row>
    <row r="3516">
      <c r="B3516" s="21">
        <f>IF(AND(C3516&lt;&gt;"", J3516&lt;&gt;""), HYPERLINK("#'" &amp; C3516 &amp; "'!" &amp; J3516, J3516), "")</f>
        <v/>
      </c>
    </row>
    <row r="3517">
      <c r="B3517" s="21">
        <f>IF(AND(C3517&lt;&gt;"", J3517&lt;&gt;""), HYPERLINK("#'" &amp; C3517 &amp; "'!" &amp; J3517, J3517), "")</f>
        <v/>
      </c>
    </row>
    <row r="3518">
      <c r="B3518" s="21">
        <f>IF(AND(C3518&lt;&gt;"", J3518&lt;&gt;""), HYPERLINK("#'" &amp; C3518 &amp; "'!" &amp; J3518, J3518), "")</f>
        <v/>
      </c>
    </row>
    <row r="3519">
      <c r="B3519" s="21">
        <f>IF(AND(C3519&lt;&gt;"", J3519&lt;&gt;""), HYPERLINK("#'" &amp; C3519 &amp; "'!" &amp; J3519, J3519), "")</f>
        <v/>
      </c>
    </row>
    <row r="3520">
      <c r="B3520" s="21">
        <f>IF(AND(C3520&lt;&gt;"", J3520&lt;&gt;""), HYPERLINK("#'" &amp; C3520 &amp; "'!" &amp; J3520, J3520), "")</f>
        <v/>
      </c>
    </row>
    <row r="3521">
      <c r="B3521" s="21">
        <f>IF(AND(C3521&lt;&gt;"", J3521&lt;&gt;""), HYPERLINK("#'" &amp; C3521 &amp; "'!" &amp; J3521, J3521), "")</f>
        <v/>
      </c>
    </row>
    <row r="3522">
      <c r="B3522" s="21">
        <f>IF(AND(C3522&lt;&gt;"", J3522&lt;&gt;""), HYPERLINK("#'" &amp; C3522 &amp; "'!" &amp; J3522, J3522), "")</f>
        <v/>
      </c>
    </row>
    <row r="3523">
      <c r="B3523" s="21">
        <f>IF(AND(C3523&lt;&gt;"", J3523&lt;&gt;""), HYPERLINK("#'" &amp; C3523 &amp; "'!" &amp; J3523, J3523), "")</f>
        <v/>
      </c>
    </row>
    <row r="3524">
      <c r="B3524" s="21">
        <f>IF(AND(C3524&lt;&gt;"", J3524&lt;&gt;""), HYPERLINK("#'" &amp; C3524 &amp; "'!" &amp; J3524, J3524), "")</f>
        <v/>
      </c>
    </row>
    <row r="3525">
      <c r="B3525" s="21">
        <f>IF(AND(C3525&lt;&gt;"", J3525&lt;&gt;""), HYPERLINK("#'" &amp; C3525 &amp; "'!" &amp; J3525, J3525), "")</f>
        <v/>
      </c>
    </row>
    <row r="3526">
      <c r="B3526" s="21">
        <f>IF(AND(C3526&lt;&gt;"", J3526&lt;&gt;""), HYPERLINK("#'" &amp; C3526 &amp; "'!" &amp; J3526, J3526), "")</f>
        <v/>
      </c>
    </row>
    <row r="3527">
      <c r="B3527" s="21">
        <f>IF(AND(C3527&lt;&gt;"", J3527&lt;&gt;""), HYPERLINK("#'" &amp; C3527 &amp; "'!" &amp; J3527, J3527), "")</f>
        <v/>
      </c>
    </row>
    <row r="3528">
      <c r="B3528" s="21">
        <f>IF(AND(C3528&lt;&gt;"", J3528&lt;&gt;""), HYPERLINK("#'" &amp; C3528 &amp; "'!" &amp; J3528, J3528), "")</f>
        <v/>
      </c>
    </row>
    <row r="3529">
      <c r="B3529" s="21">
        <f>IF(AND(C3529&lt;&gt;"", J3529&lt;&gt;""), HYPERLINK("#'" &amp; C3529 &amp; "'!" &amp; J3529, J3529), "")</f>
        <v/>
      </c>
    </row>
    <row r="3530">
      <c r="B3530" s="21">
        <f>IF(AND(C3530&lt;&gt;"", J3530&lt;&gt;""), HYPERLINK("#'" &amp; C3530 &amp; "'!" &amp; J3530, J3530), "")</f>
        <v/>
      </c>
    </row>
    <row r="3531">
      <c r="B3531" s="21">
        <f>IF(AND(C3531&lt;&gt;"", J3531&lt;&gt;""), HYPERLINK("#'" &amp; C3531 &amp; "'!" &amp; J3531, J3531), "")</f>
        <v/>
      </c>
    </row>
    <row r="3532">
      <c r="B3532" s="21">
        <f>IF(AND(C3532&lt;&gt;"", J3532&lt;&gt;""), HYPERLINK("#'" &amp; C3532 &amp; "'!" &amp; J3532, J3532), "")</f>
        <v/>
      </c>
    </row>
    <row r="3533">
      <c r="B3533" s="21">
        <f>IF(AND(C3533&lt;&gt;"", J3533&lt;&gt;""), HYPERLINK("#'" &amp; C3533 &amp; "'!" &amp; J3533, J3533), "")</f>
        <v/>
      </c>
    </row>
    <row r="3534">
      <c r="B3534" s="21">
        <f>IF(AND(C3534&lt;&gt;"", J3534&lt;&gt;""), HYPERLINK("#'" &amp; C3534 &amp; "'!" &amp; J3534, J3534), "")</f>
        <v/>
      </c>
    </row>
    <row r="3535">
      <c r="B3535" s="21">
        <f>IF(AND(C3535&lt;&gt;"", J3535&lt;&gt;""), HYPERLINK("#'" &amp; C3535 &amp; "'!" &amp; J3535, J3535), "")</f>
        <v/>
      </c>
    </row>
    <row r="3536">
      <c r="B3536" s="21">
        <f>IF(AND(C3536&lt;&gt;"", J3536&lt;&gt;""), HYPERLINK("#'" &amp; C3536 &amp; "'!" &amp; J3536, J3536), "")</f>
        <v/>
      </c>
    </row>
    <row r="3537">
      <c r="B3537" s="21">
        <f>IF(AND(C3537&lt;&gt;"", J3537&lt;&gt;""), HYPERLINK("#'" &amp; C3537 &amp; "'!" &amp; J3537, J3537), "")</f>
        <v/>
      </c>
    </row>
    <row r="3538">
      <c r="B3538" s="21">
        <f>IF(AND(C3538&lt;&gt;"", J3538&lt;&gt;""), HYPERLINK("#'" &amp; C3538 &amp; "'!" &amp; J3538, J3538), "")</f>
        <v/>
      </c>
    </row>
    <row r="3539">
      <c r="B3539" s="21">
        <f>IF(AND(C3539&lt;&gt;"", J3539&lt;&gt;""), HYPERLINK("#'" &amp; C3539 &amp; "'!" &amp; J3539, J3539), "")</f>
        <v/>
      </c>
    </row>
    <row r="3540">
      <c r="B3540" s="21">
        <f>IF(AND(C3540&lt;&gt;"", J3540&lt;&gt;""), HYPERLINK("#'" &amp; C3540 &amp; "'!" &amp; J3540, J3540), "")</f>
        <v/>
      </c>
    </row>
    <row r="3541">
      <c r="B3541" s="21">
        <f>IF(AND(C3541&lt;&gt;"", J3541&lt;&gt;""), HYPERLINK("#'" &amp; C3541 &amp; "'!" &amp; J3541, J3541), "")</f>
        <v/>
      </c>
    </row>
    <row r="3542">
      <c r="B3542" s="21">
        <f>IF(AND(C3542&lt;&gt;"", J3542&lt;&gt;""), HYPERLINK("#'" &amp; C3542 &amp; "'!" &amp; J3542, J3542), "")</f>
        <v/>
      </c>
    </row>
    <row r="3543">
      <c r="B3543" s="21">
        <f>IF(AND(C3543&lt;&gt;"", J3543&lt;&gt;""), HYPERLINK("#'" &amp; C3543 &amp; "'!" &amp; J3543, J3543), "")</f>
        <v/>
      </c>
    </row>
    <row r="3544">
      <c r="B3544" s="21">
        <f>IF(AND(C3544&lt;&gt;"", J3544&lt;&gt;""), HYPERLINK("#'" &amp; C3544 &amp; "'!" &amp; J3544, J3544), "")</f>
        <v/>
      </c>
    </row>
    <row r="3545">
      <c r="B3545" s="21">
        <f>IF(AND(C3545&lt;&gt;"", J3545&lt;&gt;""), HYPERLINK("#'" &amp; C3545 &amp; "'!" &amp; J3545, J3545), "")</f>
        <v/>
      </c>
    </row>
    <row r="3546">
      <c r="B3546" s="21">
        <f>IF(AND(C3546&lt;&gt;"", J3546&lt;&gt;""), HYPERLINK("#'" &amp; C3546 &amp; "'!" &amp; J3546, J3546), "")</f>
        <v/>
      </c>
    </row>
    <row r="3547">
      <c r="B3547" s="21">
        <f>IF(AND(C3547&lt;&gt;"", J3547&lt;&gt;""), HYPERLINK("#'" &amp; C3547 &amp; "'!" &amp; J3547, J3547), "")</f>
        <v/>
      </c>
    </row>
    <row r="3548">
      <c r="B3548" s="21">
        <f>IF(AND(C3548&lt;&gt;"", J3548&lt;&gt;""), HYPERLINK("#'" &amp; C3548 &amp; "'!" &amp; J3548, J3548), "")</f>
        <v/>
      </c>
    </row>
    <row r="3549">
      <c r="B3549" s="21">
        <f>IF(AND(C3549&lt;&gt;"", J3549&lt;&gt;""), HYPERLINK("#'" &amp; C3549 &amp; "'!" &amp; J3549, J3549), "")</f>
        <v/>
      </c>
    </row>
    <row r="3550">
      <c r="B3550" s="21">
        <f>IF(AND(C3550&lt;&gt;"", J3550&lt;&gt;""), HYPERLINK("#'" &amp; C3550 &amp; "'!" &amp; J3550, J3550), "")</f>
        <v/>
      </c>
    </row>
    <row r="3551">
      <c r="B3551" s="21">
        <f>IF(AND(C3551&lt;&gt;"", J3551&lt;&gt;""), HYPERLINK("#'" &amp; C3551 &amp; "'!" &amp; J3551, J3551), "")</f>
        <v/>
      </c>
    </row>
    <row r="3552">
      <c r="B3552" s="21">
        <f>IF(AND(C3552&lt;&gt;"", J3552&lt;&gt;""), HYPERLINK("#'" &amp; C3552 &amp; "'!" &amp; J3552, J3552), "")</f>
        <v/>
      </c>
    </row>
    <row r="3553">
      <c r="B3553" s="21">
        <f>IF(AND(C3553&lt;&gt;"", J3553&lt;&gt;""), HYPERLINK("#'" &amp; C3553 &amp; "'!" &amp; J3553, J3553), "")</f>
        <v/>
      </c>
    </row>
    <row r="3554">
      <c r="B3554" s="21">
        <f>IF(AND(C3554&lt;&gt;"", J3554&lt;&gt;""), HYPERLINK("#'" &amp; C3554 &amp; "'!" &amp; J3554, J3554), "")</f>
        <v/>
      </c>
    </row>
    <row r="3555">
      <c r="B3555" s="21">
        <f>IF(AND(C3555&lt;&gt;"", J3555&lt;&gt;""), HYPERLINK("#'" &amp; C3555 &amp; "'!" &amp; J3555, J3555), "")</f>
        <v/>
      </c>
    </row>
    <row r="3556">
      <c r="B3556" s="21">
        <f>IF(AND(C3556&lt;&gt;"", J3556&lt;&gt;""), HYPERLINK("#'" &amp; C3556 &amp; "'!" &amp; J3556, J3556), "")</f>
        <v/>
      </c>
    </row>
    <row r="3557">
      <c r="B3557" s="21">
        <f>IF(AND(C3557&lt;&gt;"", J3557&lt;&gt;""), HYPERLINK("#'" &amp; C3557 &amp; "'!" &amp; J3557, J3557), "")</f>
        <v/>
      </c>
    </row>
    <row r="3558">
      <c r="B3558" s="21">
        <f>IF(AND(C3558&lt;&gt;"", J3558&lt;&gt;""), HYPERLINK("#'" &amp; C3558 &amp; "'!" &amp; J3558, J3558), "")</f>
        <v/>
      </c>
    </row>
    <row r="3559">
      <c r="B3559" s="21">
        <f>IF(AND(C3559&lt;&gt;"", J3559&lt;&gt;""), HYPERLINK("#'" &amp; C3559 &amp; "'!" &amp; J3559, J3559), "")</f>
        <v/>
      </c>
    </row>
    <row r="3560">
      <c r="B3560" s="21">
        <f>IF(AND(C3560&lt;&gt;"", J3560&lt;&gt;""), HYPERLINK("#'" &amp; C3560 &amp; "'!" &amp; J3560, J3560), "")</f>
        <v/>
      </c>
    </row>
    <row r="3561">
      <c r="B3561" s="21">
        <f>IF(AND(C3561&lt;&gt;"", J3561&lt;&gt;""), HYPERLINK("#'" &amp; C3561 &amp; "'!" &amp; J3561, J3561), "")</f>
        <v/>
      </c>
    </row>
    <row r="3562">
      <c r="B3562" s="21">
        <f>IF(AND(C3562&lt;&gt;"", J3562&lt;&gt;""), HYPERLINK("#'" &amp; C3562 &amp; "'!" &amp; J3562, J3562), "")</f>
        <v/>
      </c>
    </row>
    <row r="3563">
      <c r="B3563" s="21">
        <f>IF(AND(C3563&lt;&gt;"", J3563&lt;&gt;""), HYPERLINK("#'" &amp; C3563 &amp; "'!" &amp; J3563, J3563), "")</f>
        <v/>
      </c>
    </row>
    <row r="3564">
      <c r="B3564" s="21">
        <f>IF(AND(C3564&lt;&gt;"", J3564&lt;&gt;""), HYPERLINK("#'" &amp; C3564 &amp; "'!" &amp; J3564, J3564), "")</f>
        <v/>
      </c>
    </row>
    <row r="3565">
      <c r="B3565" s="21">
        <f>IF(AND(C3565&lt;&gt;"", J3565&lt;&gt;""), HYPERLINK("#'" &amp; C3565 &amp; "'!" &amp; J3565, J3565), "")</f>
        <v/>
      </c>
    </row>
    <row r="3566">
      <c r="B3566" s="21">
        <f>IF(AND(C3566&lt;&gt;"", J3566&lt;&gt;""), HYPERLINK("#'" &amp; C3566 &amp; "'!" &amp; J3566, J3566), "")</f>
        <v/>
      </c>
    </row>
    <row r="3567">
      <c r="B3567" s="21">
        <f>IF(AND(C3567&lt;&gt;"", J3567&lt;&gt;""), HYPERLINK("#'" &amp; C3567 &amp; "'!" &amp; J3567, J3567), "")</f>
        <v/>
      </c>
    </row>
    <row r="3568">
      <c r="B3568" s="21">
        <f>IF(AND(C3568&lt;&gt;"", J3568&lt;&gt;""), HYPERLINK("#'" &amp; C3568 &amp; "'!" &amp; J3568, J3568), "")</f>
        <v/>
      </c>
    </row>
    <row r="3569">
      <c r="B3569" s="21">
        <f>IF(AND(C3569&lt;&gt;"", J3569&lt;&gt;""), HYPERLINK("#'" &amp; C3569 &amp; "'!" &amp; J3569, J3569), "")</f>
        <v/>
      </c>
    </row>
    <row r="3570">
      <c r="B3570" s="21">
        <f>IF(AND(C3570&lt;&gt;"", J3570&lt;&gt;""), HYPERLINK("#'" &amp; C3570 &amp; "'!" &amp; J3570, J3570), "")</f>
        <v/>
      </c>
    </row>
    <row r="3571">
      <c r="B3571" s="21">
        <f>IF(AND(C3571&lt;&gt;"", J3571&lt;&gt;""), HYPERLINK("#'" &amp; C3571 &amp; "'!" &amp; J3571, J3571), "")</f>
        <v/>
      </c>
    </row>
    <row r="3572">
      <c r="B3572" s="21">
        <f>IF(AND(C3572&lt;&gt;"", J3572&lt;&gt;""), HYPERLINK("#'" &amp; C3572 &amp; "'!" &amp; J3572, J3572), "")</f>
        <v/>
      </c>
    </row>
    <row r="3573">
      <c r="B3573" s="21">
        <f>IF(AND(C3573&lt;&gt;"", J3573&lt;&gt;""), HYPERLINK("#'" &amp; C3573 &amp; "'!" &amp; J3573, J3573), "")</f>
        <v/>
      </c>
    </row>
    <row r="3574">
      <c r="B3574" s="21">
        <f>IF(AND(C3574&lt;&gt;"", J3574&lt;&gt;""), HYPERLINK("#'" &amp; C3574 &amp; "'!" &amp; J3574, J3574), "")</f>
        <v/>
      </c>
    </row>
    <row r="3575">
      <c r="B3575" s="21">
        <f>IF(AND(C3575&lt;&gt;"", J3575&lt;&gt;""), HYPERLINK("#'" &amp; C3575 &amp; "'!" &amp; J3575, J3575), "")</f>
        <v/>
      </c>
    </row>
    <row r="3576">
      <c r="B3576" s="21">
        <f>IF(AND(C3576&lt;&gt;"", J3576&lt;&gt;""), HYPERLINK("#'" &amp; C3576 &amp; "'!" &amp; J3576, J3576), "")</f>
        <v/>
      </c>
    </row>
    <row r="3577">
      <c r="B3577" s="21">
        <f>IF(AND(C3577&lt;&gt;"", J3577&lt;&gt;""), HYPERLINK("#'" &amp; C3577 &amp; "'!" &amp; J3577, J3577), "")</f>
        <v/>
      </c>
    </row>
    <row r="3578">
      <c r="B3578" s="21">
        <f>IF(AND(C3578&lt;&gt;"", J3578&lt;&gt;""), HYPERLINK("#'" &amp; C3578 &amp; "'!" &amp; J3578, J3578), "")</f>
        <v/>
      </c>
    </row>
    <row r="3579">
      <c r="B3579" s="21">
        <f>IF(AND(C3579&lt;&gt;"", J3579&lt;&gt;""), HYPERLINK("#'" &amp; C3579 &amp; "'!" &amp; J3579, J3579), "")</f>
        <v/>
      </c>
    </row>
    <row r="3580">
      <c r="B3580" s="21">
        <f>IF(AND(C3580&lt;&gt;"", J3580&lt;&gt;""), HYPERLINK("#'" &amp; C3580 &amp; "'!" &amp; J3580, J3580), "")</f>
        <v/>
      </c>
    </row>
    <row r="3581">
      <c r="B3581" s="21">
        <f>IF(AND(C3581&lt;&gt;"", J3581&lt;&gt;""), HYPERLINK("#'" &amp; C3581 &amp; "'!" &amp; J3581, J3581), "")</f>
        <v/>
      </c>
    </row>
    <row r="3582">
      <c r="B3582" s="21">
        <f>IF(AND(C3582&lt;&gt;"", J3582&lt;&gt;""), HYPERLINK("#'" &amp; C3582 &amp; "'!" &amp; J3582, J3582), "")</f>
        <v/>
      </c>
    </row>
    <row r="3583">
      <c r="B3583" s="21">
        <f>IF(AND(C3583&lt;&gt;"", J3583&lt;&gt;""), HYPERLINK("#'" &amp; C3583 &amp; "'!" &amp; J3583, J3583), "")</f>
        <v/>
      </c>
    </row>
    <row r="3584">
      <c r="B3584" s="21">
        <f>IF(AND(C3584&lt;&gt;"", J3584&lt;&gt;""), HYPERLINK("#'" &amp; C3584 &amp; "'!" &amp; J3584, J3584), "")</f>
        <v/>
      </c>
    </row>
    <row r="3585">
      <c r="B3585" s="21">
        <f>IF(AND(C3585&lt;&gt;"", J3585&lt;&gt;""), HYPERLINK("#'" &amp; C3585 &amp; "'!" &amp; J3585, J3585), "")</f>
        <v/>
      </c>
    </row>
    <row r="3586">
      <c r="B3586" s="21">
        <f>IF(AND(C3586&lt;&gt;"", J3586&lt;&gt;""), HYPERLINK("#'" &amp; C3586 &amp; "'!" &amp; J3586, J3586), "")</f>
        <v/>
      </c>
    </row>
    <row r="3587">
      <c r="B3587" s="21">
        <f>IF(AND(C3587&lt;&gt;"", J3587&lt;&gt;""), HYPERLINK("#'" &amp; C3587 &amp; "'!" &amp; J3587, J3587), "")</f>
        <v/>
      </c>
    </row>
    <row r="3588">
      <c r="B3588" s="21">
        <f>IF(AND(C3588&lt;&gt;"", J3588&lt;&gt;""), HYPERLINK("#'" &amp; C3588 &amp; "'!" &amp; J3588, J3588), "")</f>
        <v/>
      </c>
    </row>
    <row r="3589">
      <c r="B3589" s="21">
        <f>IF(AND(C3589&lt;&gt;"", J3589&lt;&gt;""), HYPERLINK("#'" &amp; C3589 &amp; "'!" &amp; J3589, J3589), "")</f>
        <v/>
      </c>
    </row>
    <row r="3590">
      <c r="B3590" s="21">
        <f>IF(AND(C3590&lt;&gt;"", J3590&lt;&gt;""), HYPERLINK("#'" &amp; C3590 &amp; "'!" &amp; J3590, J3590), "")</f>
        <v/>
      </c>
    </row>
    <row r="3591">
      <c r="B3591" s="21">
        <f>IF(AND(C3591&lt;&gt;"", J3591&lt;&gt;""), HYPERLINK("#'" &amp; C3591 &amp; "'!" &amp; J3591, J3591), "")</f>
        <v/>
      </c>
    </row>
    <row r="3592">
      <c r="B3592" s="21">
        <f>IF(AND(C3592&lt;&gt;"", J3592&lt;&gt;""), HYPERLINK("#'" &amp; C3592 &amp; "'!" &amp; J3592, J3592), "")</f>
        <v/>
      </c>
    </row>
    <row r="3593">
      <c r="B3593" s="21">
        <f>IF(AND(C3593&lt;&gt;"", J3593&lt;&gt;""), HYPERLINK("#'" &amp; C3593 &amp; "'!" &amp; J3593, J3593), "")</f>
        <v/>
      </c>
    </row>
    <row r="3594">
      <c r="B3594" s="21">
        <f>IF(AND(C3594&lt;&gt;"", J3594&lt;&gt;""), HYPERLINK("#'" &amp; C3594 &amp; "'!" &amp; J3594, J3594), "")</f>
        <v/>
      </c>
    </row>
    <row r="3595">
      <c r="B3595" s="21">
        <f>IF(AND(C3595&lt;&gt;"", J3595&lt;&gt;""), HYPERLINK("#'" &amp; C3595 &amp; "'!" &amp; J3595, J3595), "")</f>
        <v/>
      </c>
    </row>
    <row r="3596">
      <c r="B3596" s="21">
        <f>IF(AND(C3596&lt;&gt;"", J3596&lt;&gt;""), HYPERLINK("#'" &amp; C3596 &amp; "'!" &amp; J3596, J3596), "")</f>
        <v/>
      </c>
    </row>
    <row r="3597">
      <c r="B3597" s="21">
        <f>IF(AND(C3597&lt;&gt;"", J3597&lt;&gt;""), HYPERLINK("#'" &amp; C3597 &amp; "'!" &amp; J3597, J3597), "")</f>
        <v/>
      </c>
    </row>
    <row r="3598">
      <c r="B3598" s="21">
        <f>IF(AND(C3598&lt;&gt;"", J3598&lt;&gt;""), HYPERLINK("#'" &amp; C3598 &amp; "'!" &amp; J3598, J3598), "")</f>
        <v/>
      </c>
    </row>
    <row r="3599">
      <c r="B3599" s="21">
        <f>IF(AND(C3599&lt;&gt;"", J3599&lt;&gt;""), HYPERLINK("#'" &amp; C3599 &amp; "'!" &amp; J3599, J3599), "")</f>
        <v/>
      </c>
    </row>
    <row r="3600">
      <c r="B3600" s="21">
        <f>IF(AND(C3600&lt;&gt;"", J3600&lt;&gt;""), HYPERLINK("#'" &amp; C3600 &amp; "'!" &amp; J3600, J3600), "")</f>
        <v/>
      </c>
    </row>
    <row r="3601">
      <c r="B3601" s="21">
        <f>IF(AND(C3601&lt;&gt;"", J3601&lt;&gt;""), HYPERLINK("#'" &amp; C3601 &amp; "'!" &amp; J3601, J3601), "")</f>
        <v/>
      </c>
    </row>
    <row r="3602">
      <c r="B3602" s="21">
        <f>IF(AND(C3602&lt;&gt;"", J3602&lt;&gt;""), HYPERLINK("#'" &amp; C3602 &amp; "'!" &amp; J3602, J3602), "")</f>
        <v/>
      </c>
    </row>
    <row r="3603">
      <c r="B3603" s="21">
        <f>IF(AND(C3603&lt;&gt;"", J3603&lt;&gt;""), HYPERLINK("#'" &amp; C3603 &amp; "'!" &amp; J3603, J3603), "")</f>
        <v/>
      </c>
    </row>
    <row r="3604">
      <c r="B3604" s="21">
        <f>IF(AND(C3604&lt;&gt;"", J3604&lt;&gt;""), HYPERLINK("#'" &amp; C3604 &amp; "'!" &amp; J3604, J3604), "")</f>
        <v/>
      </c>
    </row>
    <row r="3605">
      <c r="B3605" s="21">
        <f>IF(AND(C3605&lt;&gt;"", J3605&lt;&gt;""), HYPERLINK("#'" &amp; C3605 &amp; "'!" &amp; J3605, J3605), "")</f>
        <v/>
      </c>
    </row>
    <row r="3606">
      <c r="B3606" s="21">
        <f>IF(AND(C3606&lt;&gt;"", J3606&lt;&gt;""), HYPERLINK("#'" &amp; C3606 &amp; "'!" &amp; J3606, J3606), "")</f>
        <v/>
      </c>
    </row>
    <row r="3607">
      <c r="B3607" s="21">
        <f>IF(AND(C3607&lt;&gt;"", J3607&lt;&gt;""), HYPERLINK("#'" &amp; C3607 &amp; "'!" &amp; J3607, J3607), "")</f>
        <v/>
      </c>
    </row>
    <row r="3608">
      <c r="B3608" s="21">
        <f>IF(AND(C3608&lt;&gt;"", J3608&lt;&gt;""), HYPERLINK("#'" &amp; C3608 &amp; "'!" &amp; J3608, J3608), "")</f>
        <v/>
      </c>
    </row>
    <row r="3609">
      <c r="B3609" s="21">
        <f>IF(AND(C3609&lt;&gt;"", J3609&lt;&gt;""), HYPERLINK("#'" &amp; C3609 &amp; "'!" &amp; J3609, J3609), "")</f>
        <v/>
      </c>
    </row>
    <row r="3610">
      <c r="B3610" s="21">
        <f>IF(AND(C3610&lt;&gt;"", J3610&lt;&gt;""), HYPERLINK("#'" &amp; C3610 &amp; "'!" &amp; J3610, J3610), "")</f>
        <v/>
      </c>
    </row>
    <row r="3611">
      <c r="B3611" s="21">
        <f>IF(AND(C3611&lt;&gt;"", J3611&lt;&gt;""), HYPERLINK("#'" &amp; C3611 &amp; "'!" &amp; J3611, J3611), "")</f>
        <v/>
      </c>
    </row>
    <row r="3612">
      <c r="B3612" s="21">
        <f>IF(AND(C3612&lt;&gt;"", J3612&lt;&gt;""), HYPERLINK("#'" &amp; C3612 &amp; "'!" &amp; J3612, J3612), "")</f>
        <v/>
      </c>
    </row>
    <row r="3613">
      <c r="B3613" s="21">
        <f>IF(AND(C3613&lt;&gt;"", J3613&lt;&gt;""), HYPERLINK("#'" &amp; C3613 &amp; "'!" &amp; J3613, J3613), "")</f>
        <v/>
      </c>
    </row>
    <row r="3614">
      <c r="B3614" s="21">
        <f>IF(AND(C3614&lt;&gt;"", J3614&lt;&gt;""), HYPERLINK("#'" &amp; C3614 &amp; "'!" &amp; J3614, J3614), "")</f>
        <v/>
      </c>
    </row>
    <row r="3615">
      <c r="B3615" s="21">
        <f>IF(AND(C3615&lt;&gt;"", J3615&lt;&gt;""), HYPERLINK("#'" &amp; C3615 &amp; "'!" &amp; J3615, J3615), "")</f>
        <v/>
      </c>
    </row>
    <row r="3616">
      <c r="B3616" s="21">
        <f>IF(AND(C3616&lt;&gt;"", J3616&lt;&gt;""), HYPERLINK("#'" &amp; C3616 &amp; "'!" &amp; J3616, J3616), "")</f>
        <v/>
      </c>
    </row>
    <row r="3617">
      <c r="B3617" s="21">
        <f>IF(AND(C3617&lt;&gt;"", J3617&lt;&gt;""), HYPERLINK("#'" &amp; C3617 &amp; "'!" &amp; J3617, J3617), "")</f>
        <v/>
      </c>
    </row>
    <row r="3618">
      <c r="B3618" s="21">
        <f>IF(AND(C3618&lt;&gt;"", J3618&lt;&gt;""), HYPERLINK("#'" &amp; C3618 &amp; "'!" &amp; J3618, J3618), "")</f>
        <v/>
      </c>
    </row>
    <row r="3619">
      <c r="B3619" s="21">
        <f>IF(AND(C3619&lt;&gt;"", J3619&lt;&gt;""), HYPERLINK("#'" &amp; C3619 &amp; "'!" &amp; J3619, J3619), "")</f>
        <v/>
      </c>
    </row>
    <row r="3620">
      <c r="B3620" s="21">
        <f>IF(AND(C3620&lt;&gt;"", J3620&lt;&gt;""), HYPERLINK("#'" &amp; C3620 &amp; "'!" &amp; J3620, J3620), "")</f>
        <v/>
      </c>
    </row>
    <row r="3621">
      <c r="B3621" s="21">
        <f>IF(AND(C3621&lt;&gt;"", J3621&lt;&gt;""), HYPERLINK("#'" &amp; C3621 &amp; "'!" &amp; J3621, J3621), "")</f>
        <v/>
      </c>
    </row>
    <row r="3622">
      <c r="B3622" s="21">
        <f>IF(AND(C3622&lt;&gt;"", J3622&lt;&gt;""), HYPERLINK("#'" &amp; C3622 &amp; "'!" &amp; J3622, J3622), "")</f>
        <v/>
      </c>
    </row>
    <row r="3623">
      <c r="B3623" s="21">
        <f>IF(AND(C3623&lt;&gt;"", J3623&lt;&gt;""), HYPERLINK("#'" &amp; C3623 &amp; "'!" &amp; J3623, J3623), "")</f>
        <v/>
      </c>
    </row>
    <row r="3624">
      <c r="B3624" s="21">
        <f>IF(AND(C3624&lt;&gt;"", J3624&lt;&gt;""), HYPERLINK("#'" &amp; C3624 &amp; "'!" &amp; J3624, J3624), "")</f>
        <v/>
      </c>
    </row>
    <row r="3625">
      <c r="B3625" s="21">
        <f>IF(AND(C3625&lt;&gt;"", J3625&lt;&gt;""), HYPERLINK("#'" &amp; C3625 &amp; "'!" &amp; J3625, J3625), "")</f>
        <v/>
      </c>
    </row>
    <row r="3626">
      <c r="B3626" s="21">
        <f>IF(AND(C3626&lt;&gt;"", J3626&lt;&gt;""), HYPERLINK("#'" &amp; C3626 &amp; "'!" &amp; J3626, J3626), "")</f>
        <v/>
      </c>
    </row>
    <row r="3627">
      <c r="B3627" s="21">
        <f>IF(AND(C3627&lt;&gt;"", J3627&lt;&gt;""), HYPERLINK("#'" &amp; C3627 &amp; "'!" &amp; J3627, J3627), "")</f>
        <v/>
      </c>
    </row>
    <row r="3628">
      <c r="B3628" s="21">
        <f>IF(AND(C3628&lt;&gt;"", J3628&lt;&gt;""), HYPERLINK("#'" &amp; C3628 &amp; "'!" &amp; J3628, J3628), "")</f>
        <v/>
      </c>
    </row>
    <row r="3629">
      <c r="B3629" s="21">
        <f>IF(AND(C3629&lt;&gt;"", J3629&lt;&gt;""), HYPERLINK("#'" &amp; C3629 &amp; "'!" &amp; J3629, J3629), "")</f>
        <v/>
      </c>
    </row>
    <row r="3630">
      <c r="B3630" s="21">
        <f>IF(AND(C3630&lt;&gt;"", J3630&lt;&gt;""), HYPERLINK("#'" &amp; C3630 &amp; "'!" &amp; J3630, J3630), "")</f>
        <v/>
      </c>
    </row>
    <row r="3631">
      <c r="B3631" s="21">
        <f>IF(AND(C3631&lt;&gt;"", J3631&lt;&gt;""), HYPERLINK("#'" &amp; C3631 &amp; "'!" &amp; J3631, J3631), "")</f>
        <v/>
      </c>
    </row>
    <row r="3632">
      <c r="B3632" s="21">
        <f>IF(AND(C3632&lt;&gt;"", J3632&lt;&gt;""), HYPERLINK("#'" &amp; C3632 &amp; "'!" &amp; J3632, J3632), "")</f>
        <v/>
      </c>
    </row>
    <row r="3633">
      <c r="B3633" s="21">
        <f>IF(AND(C3633&lt;&gt;"", J3633&lt;&gt;""), HYPERLINK("#'" &amp; C3633 &amp; "'!" &amp; J3633, J3633), "")</f>
        <v/>
      </c>
    </row>
    <row r="3634">
      <c r="B3634" s="21">
        <f>IF(AND(C3634&lt;&gt;"", J3634&lt;&gt;""), HYPERLINK("#'" &amp; C3634 &amp; "'!" &amp; J3634, J3634), "")</f>
        <v/>
      </c>
    </row>
    <row r="3635">
      <c r="B3635" s="21">
        <f>IF(AND(C3635&lt;&gt;"", J3635&lt;&gt;""), HYPERLINK("#'" &amp; C3635 &amp; "'!" &amp; J3635, J3635), "")</f>
        <v/>
      </c>
    </row>
    <row r="3636">
      <c r="B3636" s="21">
        <f>IF(AND(C3636&lt;&gt;"", J3636&lt;&gt;""), HYPERLINK("#'" &amp; C3636 &amp; "'!" &amp; J3636, J3636), "")</f>
        <v/>
      </c>
    </row>
    <row r="3637">
      <c r="B3637" s="21">
        <f>IF(AND(C3637&lt;&gt;"", J3637&lt;&gt;""), HYPERLINK("#'" &amp; C3637 &amp; "'!" &amp; J3637, J3637), "")</f>
        <v/>
      </c>
    </row>
    <row r="3638">
      <c r="B3638" s="21">
        <f>IF(AND(C3638&lt;&gt;"", J3638&lt;&gt;""), HYPERLINK("#'" &amp; C3638 &amp; "'!" &amp; J3638, J3638), "")</f>
        <v/>
      </c>
    </row>
    <row r="3639">
      <c r="B3639" s="21">
        <f>IF(AND(C3639&lt;&gt;"", J3639&lt;&gt;""), HYPERLINK("#'" &amp; C3639 &amp; "'!" &amp; J3639, J3639), "")</f>
        <v/>
      </c>
    </row>
    <row r="3640">
      <c r="B3640" s="21">
        <f>IF(AND(C3640&lt;&gt;"", J3640&lt;&gt;""), HYPERLINK("#'" &amp; C3640 &amp; "'!" &amp; J3640, J3640), "")</f>
        <v/>
      </c>
    </row>
    <row r="3641">
      <c r="B3641" s="21">
        <f>IF(AND(C3641&lt;&gt;"", J3641&lt;&gt;""), HYPERLINK("#'" &amp; C3641 &amp; "'!" &amp; J3641, J3641), "")</f>
        <v/>
      </c>
    </row>
    <row r="3642">
      <c r="B3642" s="21">
        <f>IF(AND(C3642&lt;&gt;"", J3642&lt;&gt;""), HYPERLINK("#'" &amp; C3642 &amp; "'!" &amp; J3642, J3642), "")</f>
        <v/>
      </c>
    </row>
    <row r="3643">
      <c r="B3643" s="21">
        <f>IF(AND(C3643&lt;&gt;"", J3643&lt;&gt;""), HYPERLINK("#'" &amp; C3643 &amp; "'!" &amp; J3643, J3643), "")</f>
        <v/>
      </c>
    </row>
    <row r="3644">
      <c r="B3644" s="21">
        <f>IF(AND(C3644&lt;&gt;"", J3644&lt;&gt;""), HYPERLINK("#'" &amp; C3644 &amp; "'!" &amp; J3644, J3644), "")</f>
        <v/>
      </c>
    </row>
    <row r="3645">
      <c r="B3645" s="21">
        <f>IF(AND(C3645&lt;&gt;"", J3645&lt;&gt;""), HYPERLINK("#'" &amp; C3645 &amp; "'!" &amp; J3645, J3645), "")</f>
        <v/>
      </c>
    </row>
    <row r="3646">
      <c r="B3646" s="21">
        <f>IF(AND(C3646&lt;&gt;"", J3646&lt;&gt;""), HYPERLINK("#'" &amp; C3646 &amp; "'!" &amp; J3646, J3646), "")</f>
        <v/>
      </c>
    </row>
    <row r="3647">
      <c r="B3647" s="21">
        <f>IF(AND(C3647&lt;&gt;"", J3647&lt;&gt;""), HYPERLINK("#'" &amp; C3647 &amp; "'!" &amp; J3647, J3647), "")</f>
        <v/>
      </c>
    </row>
    <row r="3648">
      <c r="B3648" s="21">
        <f>IF(AND(C3648&lt;&gt;"", J3648&lt;&gt;""), HYPERLINK("#'" &amp; C3648 &amp; "'!" &amp; J3648, J3648), "")</f>
        <v/>
      </c>
    </row>
    <row r="3649">
      <c r="B3649" s="21">
        <f>IF(AND(C3649&lt;&gt;"", J3649&lt;&gt;""), HYPERLINK("#'" &amp; C3649 &amp; "'!" &amp; J3649, J3649), "")</f>
        <v/>
      </c>
    </row>
    <row r="3650">
      <c r="B3650" s="21">
        <f>IF(AND(C3650&lt;&gt;"", J3650&lt;&gt;""), HYPERLINK("#'" &amp; C3650 &amp; "'!" &amp; J3650, J3650), "")</f>
        <v/>
      </c>
    </row>
    <row r="3651">
      <c r="B3651" s="21">
        <f>IF(AND(C3651&lt;&gt;"", J3651&lt;&gt;""), HYPERLINK("#'" &amp; C3651 &amp; "'!" &amp; J3651, J3651), "")</f>
        <v/>
      </c>
    </row>
    <row r="3652">
      <c r="B3652" s="21">
        <f>IF(AND(C3652&lt;&gt;"", J3652&lt;&gt;""), HYPERLINK("#'" &amp; C3652 &amp; "'!" &amp; J3652, J3652), "")</f>
        <v/>
      </c>
    </row>
    <row r="3653">
      <c r="B3653" s="21">
        <f>IF(AND(C3653&lt;&gt;"", J3653&lt;&gt;""), HYPERLINK("#'" &amp; C3653 &amp; "'!" &amp; J3653, J3653), "")</f>
        <v/>
      </c>
    </row>
    <row r="3654">
      <c r="B3654" s="21">
        <f>IF(AND(C3654&lt;&gt;"", J3654&lt;&gt;""), HYPERLINK("#'" &amp; C3654 &amp; "'!" &amp; J3654, J3654), "")</f>
        <v/>
      </c>
    </row>
    <row r="3655">
      <c r="B3655" s="21">
        <f>IF(AND(C3655&lt;&gt;"", J3655&lt;&gt;""), HYPERLINK("#'" &amp; C3655 &amp; "'!" &amp; J3655, J3655), "")</f>
        <v/>
      </c>
    </row>
    <row r="3656">
      <c r="B3656" s="21">
        <f>IF(AND(C3656&lt;&gt;"", J3656&lt;&gt;""), HYPERLINK("#'" &amp; C3656 &amp; "'!" &amp; J3656, J3656), "")</f>
        <v/>
      </c>
    </row>
    <row r="3657">
      <c r="B3657" s="21">
        <f>IF(AND(C3657&lt;&gt;"", J3657&lt;&gt;""), HYPERLINK("#'" &amp; C3657 &amp; "'!" &amp; J3657, J3657), "")</f>
        <v/>
      </c>
    </row>
    <row r="3658">
      <c r="B3658" s="21">
        <f>IF(AND(C3658&lt;&gt;"", J3658&lt;&gt;""), HYPERLINK("#'" &amp; C3658 &amp; "'!" &amp; J3658, J3658), "")</f>
        <v/>
      </c>
    </row>
    <row r="3659">
      <c r="B3659" s="21">
        <f>IF(AND(C3659&lt;&gt;"", J3659&lt;&gt;""), HYPERLINK("#'" &amp; C3659 &amp; "'!" &amp; J3659, J3659), "")</f>
        <v/>
      </c>
    </row>
    <row r="3660">
      <c r="B3660" s="21">
        <f>IF(AND(C3660&lt;&gt;"", J3660&lt;&gt;""), HYPERLINK("#'" &amp; C3660 &amp; "'!" &amp; J3660, J3660), "")</f>
        <v/>
      </c>
    </row>
    <row r="3661">
      <c r="B3661" s="21">
        <f>IF(AND(C3661&lt;&gt;"", J3661&lt;&gt;""), HYPERLINK("#'" &amp; C3661 &amp; "'!" &amp; J3661, J3661), "")</f>
        <v/>
      </c>
    </row>
    <row r="3662">
      <c r="B3662" s="21">
        <f>IF(AND(C3662&lt;&gt;"", J3662&lt;&gt;""), HYPERLINK("#'" &amp; C3662 &amp; "'!" &amp; J3662, J3662), "")</f>
        <v/>
      </c>
    </row>
    <row r="3663">
      <c r="B3663" s="21">
        <f>IF(AND(C3663&lt;&gt;"", J3663&lt;&gt;""), HYPERLINK("#'" &amp; C3663 &amp; "'!" &amp; J3663, J3663), "")</f>
        <v/>
      </c>
    </row>
    <row r="3664">
      <c r="B3664" s="21">
        <f>IF(AND(C3664&lt;&gt;"", J3664&lt;&gt;""), HYPERLINK("#'" &amp; C3664 &amp; "'!" &amp; J3664, J3664), "")</f>
        <v/>
      </c>
    </row>
    <row r="3665">
      <c r="B3665" s="21">
        <f>IF(AND(C3665&lt;&gt;"", J3665&lt;&gt;""), HYPERLINK("#'" &amp; C3665 &amp; "'!" &amp; J3665, J3665), "")</f>
        <v/>
      </c>
    </row>
    <row r="3666">
      <c r="B3666" s="21">
        <f>IF(AND(C3666&lt;&gt;"", J3666&lt;&gt;""), HYPERLINK("#'" &amp; C3666 &amp; "'!" &amp; J3666, J3666), "")</f>
        <v/>
      </c>
    </row>
    <row r="3667">
      <c r="B3667" s="21">
        <f>IF(AND(C3667&lt;&gt;"", J3667&lt;&gt;""), HYPERLINK("#'" &amp; C3667 &amp; "'!" &amp; J3667, J3667), "")</f>
        <v/>
      </c>
    </row>
    <row r="3668">
      <c r="B3668" s="21">
        <f>IF(AND(C3668&lt;&gt;"", J3668&lt;&gt;""), HYPERLINK("#'" &amp; C3668 &amp; "'!" &amp; J3668, J3668), "")</f>
        <v/>
      </c>
    </row>
    <row r="3669">
      <c r="B3669" s="21">
        <f>IF(AND(C3669&lt;&gt;"", J3669&lt;&gt;""), HYPERLINK("#'" &amp; C3669 &amp; "'!" &amp; J3669, J3669), "")</f>
        <v/>
      </c>
    </row>
    <row r="3670">
      <c r="B3670" s="21">
        <f>IF(AND(C3670&lt;&gt;"", J3670&lt;&gt;""), HYPERLINK("#'" &amp; C3670 &amp; "'!" &amp; J3670, J3670), "")</f>
        <v/>
      </c>
    </row>
    <row r="3671">
      <c r="B3671" s="21">
        <f>IF(AND(C3671&lt;&gt;"", J3671&lt;&gt;""), HYPERLINK("#'" &amp; C3671 &amp; "'!" &amp; J3671, J3671), "")</f>
        <v/>
      </c>
    </row>
    <row r="3672">
      <c r="B3672" s="21">
        <f>IF(AND(C3672&lt;&gt;"", J3672&lt;&gt;""), HYPERLINK("#'" &amp; C3672 &amp; "'!" &amp; J3672, J3672), "")</f>
        <v/>
      </c>
    </row>
    <row r="3673">
      <c r="B3673" s="21">
        <f>IF(AND(C3673&lt;&gt;"", J3673&lt;&gt;""), HYPERLINK("#'" &amp; C3673 &amp; "'!" &amp; J3673, J3673), "")</f>
        <v/>
      </c>
    </row>
    <row r="3674">
      <c r="B3674" s="21">
        <f>IF(AND(C3674&lt;&gt;"", J3674&lt;&gt;""), HYPERLINK("#'" &amp; C3674 &amp; "'!" &amp; J3674, J3674), "")</f>
        <v/>
      </c>
    </row>
    <row r="3675">
      <c r="B3675" s="21">
        <f>IF(AND(C3675&lt;&gt;"", J3675&lt;&gt;""), HYPERLINK("#'" &amp; C3675 &amp; "'!" &amp; J3675, J3675), "")</f>
        <v/>
      </c>
    </row>
    <row r="3676">
      <c r="B3676" s="21">
        <f>IF(AND(C3676&lt;&gt;"", J3676&lt;&gt;""), HYPERLINK("#'" &amp; C3676 &amp; "'!" &amp; J3676, J3676), "")</f>
        <v/>
      </c>
    </row>
    <row r="3677">
      <c r="B3677" s="21">
        <f>IF(AND(C3677&lt;&gt;"", J3677&lt;&gt;""), HYPERLINK("#'" &amp; C3677 &amp; "'!" &amp; J3677, J3677), "")</f>
        <v/>
      </c>
    </row>
    <row r="3678">
      <c r="B3678" s="21">
        <f>IF(AND(C3678&lt;&gt;"", J3678&lt;&gt;""), HYPERLINK("#'" &amp; C3678 &amp; "'!" &amp; J3678, J3678), "")</f>
        <v/>
      </c>
    </row>
    <row r="3679">
      <c r="B3679" s="21">
        <f>IF(AND(C3679&lt;&gt;"", J3679&lt;&gt;""), HYPERLINK("#'" &amp; C3679 &amp; "'!" &amp; J3679, J3679), "")</f>
        <v/>
      </c>
    </row>
    <row r="3680">
      <c r="B3680" s="21">
        <f>IF(AND(C3680&lt;&gt;"", J3680&lt;&gt;""), HYPERLINK("#'" &amp; C3680 &amp; "'!" &amp; J3680, J3680), "")</f>
        <v/>
      </c>
    </row>
    <row r="3681">
      <c r="B3681" s="21">
        <f>IF(AND(C3681&lt;&gt;"", J3681&lt;&gt;""), HYPERLINK("#'" &amp; C3681 &amp; "'!" &amp; J3681, J3681), "")</f>
        <v/>
      </c>
    </row>
    <row r="3682">
      <c r="B3682" s="21">
        <f>IF(AND(C3682&lt;&gt;"", J3682&lt;&gt;""), HYPERLINK("#'" &amp; C3682 &amp; "'!" &amp; J3682, J3682), "")</f>
        <v/>
      </c>
    </row>
    <row r="3683">
      <c r="B3683" s="21">
        <f>IF(AND(C3683&lt;&gt;"", J3683&lt;&gt;""), HYPERLINK("#'" &amp; C3683 &amp; "'!" &amp; J3683, J3683), "")</f>
        <v/>
      </c>
    </row>
    <row r="3684">
      <c r="B3684" s="21">
        <f>IF(AND(C3684&lt;&gt;"", J3684&lt;&gt;""), HYPERLINK("#'" &amp; C3684 &amp; "'!" &amp; J3684, J3684), "")</f>
        <v/>
      </c>
    </row>
    <row r="3685">
      <c r="B3685" s="21">
        <f>IF(AND(C3685&lt;&gt;"", J3685&lt;&gt;""), HYPERLINK("#'" &amp; C3685 &amp; "'!" &amp; J3685, J3685), "")</f>
        <v/>
      </c>
    </row>
    <row r="3686">
      <c r="B3686" s="21">
        <f>IF(AND(C3686&lt;&gt;"", J3686&lt;&gt;""), HYPERLINK("#'" &amp; C3686 &amp; "'!" &amp; J3686, J3686), "")</f>
        <v/>
      </c>
    </row>
    <row r="3687">
      <c r="B3687" s="21">
        <f>IF(AND(C3687&lt;&gt;"", J3687&lt;&gt;""), HYPERLINK("#'" &amp; C3687 &amp; "'!" &amp; J3687, J3687), "")</f>
        <v/>
      </c>
    </row>
    <row r="3688">
      <c r="B3688" s="21">
        <f>IF(AND(C3688&lt;&gt;"", J3688&lt;&gt;""), HYPERLINK("#'" &amp; C3688 &amp; "'!" &amp; J3688, J3688), "")</f>
        <v/>
      </c>
    </row>
    <row r="3689">
      <c r="B3689" s="21">
        <f>IF(AND(C3689&lt;&gt;"", J3689&lt;&gt;""), HYPERLINK("#'" &amp; C3689 &amp; "'!" &amp; J3689, J3689), "")</f>
        <v/>
      </c>
    </row>
    <row r="3690">
      <c r="B3690" s="21">
        <f>IF(AND(C3690&lt;&gt;"", J3690&lt;&gt;""), HYPERLINK("#'" &amp; C3690 &amp; "'!" &amp; J3690, J3690), "")</f>
        <v/>
      </c>
    </row>
    <row r="3691">
      <c r="B3691" s="21">
        <f>IF(AND(C3691&lt;&gt;"", J3691&lt;&gt;""), HYPERLINK("#'" &amp; C3691 &amp; "'!" &amp; J3691, J3691), "")</f>
        <v/>
      </c>
    </row>
    <row r="3692">
      <c r="B3692" s="21">
        <f>IF(AND(C3692&lt;&gt;"", J3692&lt;&gt;""), HYPERLINK("#'" &amp; C3692 &amp; "'!" &amp; J3692, J3692), "")</f>
        <v/>
      </c>
    </row>
    <row r="3693">
      <c r="B3693" s="21">
        <f>IF(AND(C3693&lt;&gt;"", J3693&lt;&gt;""), HYPERLINK("#'" &amp; C3693 &amp; "'!" &amp; J3693, J3693), "")</f>
        <v/>
      </c>
    </row>
    <row r="3694">
      <c r="B3694" s="21">
        <f>IF(AND(C3694&lt;&gt;"", J3694&lt;&gt;""), HYPERLINK("#'" &amp; C3694 &amp; "'!" &amp; J3694, J3694), "")</f>
        <v/>
      </c>
    </row>
    <row r="3695">
      <c r="B3695" s="21">
        <f>IF(AND(C3695&lt;&gt;"", J3695&lt;&gt;""), HYPERLINK("#'" &amp; C3695 &amp; "'!" &amp; J3695, J3695), "")</f>
        <v/>
      </c>
    </row>
    <row r="3696">
      <c r="B3696" s="21">
        <f>IF(AND(C3696&lt;&gt;"", J3696&lt;&gt;""), HYPERLINK("#'" &amp; C3696 &amp; "'!" &amp; J3696, J3696), "")</f>
        <v/>
      </c>
    </row>
    <row r="3697">
      <c r="B3697" s="21">
        <f>IF(AND(C3697&lt;&gt;"", J3697&lt;&gt;""), HYPERLINK("#'" &amp; C3697 &amp; "'!" &amp; J3697, J3697), "")</f>
        <v/>
      </c>
    </row>
    <row r="3698">
      <c r="B3698" s="21">
        <f>IF(AND(C3698&lt;&gt;"", J3698&lt;&gt;""), HYPERLINK("#'" &amp; C3698 &amp; "'!" &amp; J3698, J3698), "")</f>
        <v/>
      </c>
    </row>
    <row r="3699">
      <c r="B3699" s="21">
        <f>IF(AND(C3699&lt;&gt;"", J3699&lt;&gt;""), HYPERLINK("#'" &amp; C3699 &amp; "'!" &amp; J3699, J3699), "")</f>
        <v/>
      </c>
    </row>
    <row r="3700">
      <c r="B3700" s="21">
        <f>IF(AND(C3700&lt;&gt;"", J3700&lt;&gt;""), HYPERLINK("#'" &amp; C3700 &amp; "'!" &amp; J3700, J3700), "")</f>
        <v/>
      </c>
    </row>
    <row r="3701">
      <c r="B3701" s="21">
        <f>IF(AND(C3701&lt;&gt;"", J3701&lt;&gt;""), HYPERLINK("#'" &amp; C3701 &amp; "'!" &amp; J3701, J3701), "")</f>
        <v/>
      </c>
    </row>
    <row r="3702">
      <c r="B3702" s="21">
        <f>IF(AND(C3702&lt;&gt;"", J3702&lt;&gt;""), HYPERLINK("#'" &amp; C3702 &amp; "'!" &amp; J3702, J3702), "")</f>
        <v/>
      </c>
    </row>
    <row r="3703">
      <c r="B3703" s="21">
        <f>IF(AND(C3703&lt;&gt;"", J3703&lt;&gt;""), HYPERLINK("#'" &amp; C3703 &amp; "'!" &amp; J3703, J3703), "")</f>
        <v/>
      </c>
    </row>
    <row r="3704">
      <c r="B3704" s="21">
        <f>IF(AND(C3704&lt;&gt;"", J3704&lt;&gt;""), HYPERLINK("#'" &amp; C3704 &amp; "'!" &amp; J3704, J3704), "")</f>
        <v/>
      </c>
    </row>
    <row r="3705">
      <c r="B3705" s="21">
        <f>IF(AND(C3705&lt;&gt;"", J3705&lt;&gt;""), HYPERLINK("#'" &amp; C3705 &amp; "'!" &amp; J3705, J3705), "")</f>
        <v/>
      </c>
    </row>
    <row r="3706">
      <c r="B3706" s="21">
        <f>IF(AND(C3706&lt;&gt;"", J3706&lt;&gt;""), HYPERLINK("#'" &amp; C3706 &amp; "'!" &amp; J3706, J3706), "")</f>
        <v/>
      </c>
    </row>
    <row r="3707">
      <c r="B3707" s="21">
        <f>IF(AND(C3707&lt;&gt;"", J3707&lt;&gt;""), HYPERLINK("#'" &amp; C3707 &amp; "'!" &amp; J3707, J3707), "")</f>
        <v/>
      </c>
    </row>
    <row r="3708">
      <c r="B3708" s="21">
        <f>IF(AND(C3708&lt;&gt;"", J3708&lt;&gt;""), HYPERLINK("#'" &amp; C3708 &amp; "'!" &amp; J3708, J3708), "")</f>
        <v/>
      </c>
    </row>
    <row r="3709">
      <c r="B3709" s="21">
        <f>IF(AND(C3709&lt;&gt;"", J3709&lt;&gt;""), HYPERLINK("#'" &amp; C3709 &amp; "'!" &amp; J3709, J3709), "")</f>
        <v/>
      </c>
    </row>
    <row r="3710">
      <c r="B3710" s="21">
        <f>IF(AND(C3710&lt;&gt;"", J3710&lt;&gt;""), HYPERLINK("#'" &amp; C3710 &amp; "'!" &amp; J3710, J3710), "")</f>
        <v/>
      </c>
    </row>
    <row r="3711">
      <c r="B3711" s="21">
        <f>IF(AND(C3711&lt;&gt;"", J3711&lt;&gt;""), HYPERLINK("#'" &amp; C3711 &amp; "'!" &amp; J3711, J3711), "")</f>
        <v/>
      </c>
    </row>
    <row r="3712">
      <c r="B3712" s="21">
        <f>IF(AND(C3712&lt;&gt;"", J3712&lt;&gt;""), HYPERLINK("#'" &amp; C3712 &amp; "'!" &amp; J3712, J3712), "")</f>
        <v/>
      </c>
    </row>
    <row r="3713">
      <c r="B3713" s="21">
        <f>IF(AND(C3713&lt;&gt;"", J3713&lt;&gt;""), HYPERLINK("#'" &amp; C3713 &amp; "'!" &amp; J3713, J3713), "")</f>
        <v/>
      </c>
    </row>
    <row r="3714">
      <c r="B3714" s="21">
        <f>IF(AND(C3714&lt;&gt;"", J3714&lt;&gt;""), HYPERLINK("#'" &amp; C3714 &amp; "'!" &amp; J3714, J3714), "")</f>
        <v/>
      </c>
    </row>
    <row r="3715">
      <c r="B3715" s="21">
        <f>IF(AND(C3715&lt;&gt;"", J3715&lt;&gt;""), HYPERLINK("#'" &amp; C3715 &amp; "'!" &amp; J3715, J3715), "")</f>
        <v/>
      </c>
    </row>
    <row r="3716">
      <c r="B3716" s="21">
        <f>IF(AND(C3716&lt;&gt;"", J3716&lt;&gt;""), HYPERLINK("#'" &amp; C3716 &amp; "'!" &amp; J3716, J3716), "")</f>
        <v/>
      </c>
    </row>
    <row r="3717">
      <c r="B3717" s="21">
        <f>IF(AND(C3717&lt;&gt;"", J3717&lt;&gt;""), HYPERLINK("#'" &amp; C3717 &amp; "'!" &amp; J3717, J3717), "")</f>
        <v/>
      </c>
    </row>
    <row r="3718">
      <c r="B3718" s="21">
        <f>IF(AND(C3718&lt;&gt;"", J3718&lt;&gt;""), HYPERLINK("#'" &amp; C3718 &amp; "'!" &amp; J3718, J3718), "")</f>
        <v/>
      </c>
    </row>
    <row r="3719">
      <c r="B3719" s="21">
        <f>IF(AND(C3719&lt;&gt;"", J3719&lt;&gt;""), HYPERLINK("#'" &amp; C3719 &amp; "'!" &amp; J3719, J3719), "")</f>
        <v/>
      </c>
    </row>
    <row r="3720">
      <c r="B3720" s="21">
        <f>IF(AND(C3720&lt;&gt;"", J3720&lt;&gt;""), HYPERLINK("#'" &amp; C3720 &amp; "'!" &amp; J3720, J3720), "")</f>
        <v/>
      </c>
    </row>
    <row r="3721">
      <c r="B3721" s="21">
        <f>IF(AND(C3721&lt;&gt;"", J3721&lt;&gt;""), HYPERLINK("#'" &amp; C3721 &amp; "'!" &amp; J3721, J3721), "")</f>
        <v/>
      </c>
    </row>
    <row r="3722">
      <c r="B3722" s="21">
        <f>IF(AND(C3722&lt;&gt;"", J3722&lt;&gt;""), HYPERLINK("#'" &amp; C3722 &amp; "'!" &amp; J3722, J3722), "")</f>
        <v/>
      </c>
    </row>
    <row r="3723">
      <c r="B3723" s="21">
        <f>IF(AND(C3723&lt;&gt;"", J3723&lt;&gt;""), HYPERLINK("#'" &amp; C3723 &amp; "'!" &amp; J3723, J3723), "")</f>
        <v/>
      </c>
    </row>
    <row r="3724">
      <c r="B3724" s="21">
        <f>IF(AND(C3724&lt;&gt;"", J3724&lt;&gt;""), HYPERLINK("#'" &amp; C3724 &amp; "'!" &amp; J3724, J3724), "")</f>
        <v/>
      </c>
    </row>
    <row r="3725">
      <c r="B3725" s="21">
        <f>IF(AND(C3725&lt;&gt;"", J3725&lt;&gt;""), HYPERLINK("#'" &amp; C3725 &amp; "'!" &amp; J3725, J3725), "")</f>
        <v/>
      </c>
    </row>
    <row r="3726">
      <c r="B3726" s="21">
        <f>IF(AND(C3726&lt;&gt;"", J3726&lt;&gt;""), HYPERLINK("#'" &amp; C3726 &amp; "'!" &amp; J3726, J3726), "")</f>
        <v/>
      </c>
    </row>
    <row r="3727">
      <c r="B3727" s="21">
        <f>IF(AND(C3727&lt;&gt;"", J3727&lt;&gt;""), HYPERLINK("#'" &amp; C3727 &amp; "'!" &amp; J3727, J3727), "")</f>
        <v/>
      </c>
    </row>
    <row r="3728">
      <c r="B3728" s="21">
        <f>IF(AND(C3728&lt;&gt;"", J3728&lt;&gt;""), HYPERLINK("#'" &amp; C3728 &amp; "'!" &amp; J3728, J3728), "")</f>
        <v/>
      </c>
    </row>
    <row r="3729">
      <c r="B3729" s="21">
        <f>IF(AND(C3729&lt;&gt;"", J3729&lt;&gt;""), HYPERLINK("#'" &amp; C3729 &amp; "'!" &amp; J3729, J3729), "")</f>
        <v/>
      </c>
    </row>
    <row r="3730">
      <c r="B3730" s="21">
        <f>IF(AND(C3730&lt;&gt;"", J3730&lt;&gt;""), HYPERLINK("#'" &amp; C3730 &amp; "'!" &amp; J3730, J3730), "")</f>
        <v/>
      </c>
    </row>
    <row r="3731">
      <c r="B3731" s="21">
        <f>IF(AND(C3731&lt;&gt;"", J3731&lt;&gt;""), HYPERLINK("#'" &amp; C3731 &amp; "'!" &amp; J3731, J3731), "")</f>
        <v/>
      </c>
    </row>
    <row r="3732">
      <c r="B3732" s="21">
        <f>IF(AND(C3732&lt;&gt;"", J3732&lt;&gt;""), HYPERLINK("#'" &amp; C3732 &amp; "'!" &amp; J3732, J3732), "")</f>
        <v/>
      </c>
    </row>
    <row r="3733">
      <c r="B3733" s="21">
        <f>IF(AND(C3733&lt;&gt;"", J3733&lt;&gt;""), HYPERLINK("#'" &amp; C3733 &amp; "'!" &amp; J3733, J3733), "")</f>
        <v/>
      </c>
    </row>
    <row r="3734">
      <c r="B3734" s="21">
        <f>IF(AND(C3734&lt;&gt;"", J3734&lt;&gt;""), HYPERLINK("#'" &amp; C3734 &amp; "'!" &amp; J3734, J3734), "")</f>
        <v/>
      </c>
    </row>
    <row r="3735">
      <c r="B3735" s="21">
        <f>IF(AND(C3735&lt;&gt;"", J3735&lt;&gt;""), HYPERLINK("#'" &amp; C3735 &amp; "'!" &amp; J3735, J3735), "")</f>
        <v/>
      </c>
    </row>
    <row r="3736">
      <c r="B3736" s="21">
        <f>IF(AND(C3736&lt;&gt;"", J3736&lt;&gt;""), HYPERLINK("#'" &amp; C3736 &amp; "'!" &amp; J3736, J3736), "")</f>
        <v/>
      </c>
    </row>
    <row r="3737">
      <c r="B3737" s="21">
        <f>IF(AND(C3737&lt;&gt;"", J3737&lt;&gt;""), HYPERLINK("#'" &amp; C3737 &amp; "'!" &amp; J3737, J3737), "")</f>
        <v/>
      </c>
    </row>
    <row r="3738">
      <c r="B3738" s="21">
        <f>IF(AND(C3738&lt;&gt;"", J3738&lt;&gt;""), HYPERLINK("#'" &amp; C3738 &amp; "'!" &amp; J3738, J3738), "")</f>
        <v/>
      </c>
    </row>
    <row r="3739">
      <c r="B3739" s="21">
        <f>IF(AND(C3739&lt;&gt;"", J3739&lt;&gt;""), HYPERLINK("#'" &amp; C3739 &amp; "'!" &amp; J3739, J3739), "")</f>
        <v/>
      </c>
    </row>
    <row r="3740">
      <c r="B3740" s="21">
        <f>IF(AND(C3740&lt;&gt;"", J3740&lt;&gt;""), HYPERLINK("#'" &amp; C3740 &amp; "'!" &amp; J3740, J3740), "")</f>
        <v/>
      </c>
    </row>
    <row r="3741">
      <c r="B3741" s="21">
        <f>IF(AND(C3741&lt;&gt;"", J3741&lt;&gt;""), HYPERLINK("#'" &amp; C3741 &amp; "'!" &amp; J3741, J3741), "")</f>
        <v/>
      </c>
    </row>
    <row r="3742">
      <c r="B3742" s="21">
        <f>IF(AND(C3742&lt;&gt;"", J3742&lt;&gt;""), HYPERLINK("#'" &amp; C3742 &amp; "'!" &amp; J3742, J3742), "")</f>
        <v/>
      </c>
    </row>
    <row r="3743">
      <c r="B3743" s="21">
        <f>IF(AND(C3743&lt;&gt;"", J3743&lt;&gt;""), HYPERLINK("#'" &amp; C3743 &amp; "'!" &amp; J3743, J3743), "")</f>
        <v/>
      </c>
    </row>
    <row r="3744">
      <c r="B3744" s="21">
        <f>IF(AND(C3744&lt;&gt;"", J3744&lt;&gt;""), HYPERLINK("#'" &amp; C3744 &amp; "'!" &amp; J3744, J3744), "")</f>
        <v/>
      </c>
    </row>
    <row r="3745">
      <c r="B3745" s="21">
        <f>IF(AND(C3745&lt;&gt;"", J3745&lt;&gt;""), HYPERLINK("#'" &amp; C3745 &amp; "'!" &amp; J3745, J3745), "")</f>
        <v/>
      </c>
    </row>
    <row r="3746">
      <c r="B3746" s="21">
        <f>IF(AND(C3746&lt;&gt;"", J3746&lt;&gt;""), HYPERLINK("#'" &amp; C3746 &amp; "'!" &amp; J3746, J3746), "")</f>
        <v/>
      </c>
    </row>
    <row r="3747">
      <c r="B3747" s="21">
        <f>IF(AND(C3747&lt;&gt;"", J3747&lt;&gt;""), HYPERLINK("#'" &amp; C3747 &amp; "'!" &amp; J3747, J3747), "")</f>
        <v/>
      </c>
    </row>
    <row r="3748">
      <c r="B3748" s="21">
        <f>IF(AND(C3748&lt;&gt;"", J3748&lt;&gt;""), HYPERLINK("#'" &amp; C3748 &amp; "'!" &amp; J3748, J3748), "")</f>
        <v/>
      </c>
    </row>
    <row r="3749">
      <c r="B3749" s="21">
        <f>IF(AND(C3749&lt;&gt;"", J3749&lt;&gt;""), HYPERLINK("#'" &amp; C3749 &amp; "'!" &amp; J3749, J3749), "")</f>
        <v/>
      </c>
    </row>
    <row r="3750">
      <c r="B3750" s="21">
        <f>IF(AND(C3750&lt;&gt;"", J3750&lt;&gt;""), HYPERLINK("#'" &amp; C3750 &amp; "'!" &amp; J3750, J3750), "")</f>
        <v/>
      </c>
    </row>
    <row r="3751">
      <c r="B3751" s="21">
        <f>IF(AND(C3751&lt;&gt;"", J3751&lt;&gt;""), HYPERLINK("#'" &amp; C3751 &amp; "'!" &amp; J3751, J3751), "")</f>
        <v/>
      </c>
    </row>
    <row r="3752">
      <c r="B3752" s="21">
        <f>IF(AND(C3752&lt;&gt;"", J3752&lt;&gt;""), HYPERLINK("#'" &amp; C3752 &amp; "'!" &amp; J3752, J3752), "")</f>
        <v/>
      </c>
    </row>
    <row r="3753">
      <c r="B3753" s="21">
        <f>IF(AND(C3753&lt;&gt;"", J3753&lt;&gt;""), HYPERLINK("#'" &amp; C3753 &amp; "'!" &amp; J3753, J3753), "")</f>
        <v/>
      </c>
    </row>
    <row r="3754">
      <c r="B3754" s="21">
        <f>IF(AND(C3754&lt;&gt;"", J3754&lt;&gt;""), HYPERLINK("#'" &amp; C3754 &amp; "'!" &amp; J3754, J3754), "")</f>
        <v/>
      </c>
    </row>
    <row r="3755">
      <c r="B3755" s="21">
        <f>IF(AND(C3755&lt;&gt;"", J3755&lt;&gt;""), HYPERLINK("#'" &amp; C3755 &amp; "'!" &amp; J3755, J3755), "")</f>
        <v/>
      </c>
    </row>
    <row r="3756">
      <c r="B3756" s="21">
        <f>IF(AND(C3756&lt;&gt;"", J3756&lt;&gt;""), HYPERLINK("#'" &amp; C3756 &amp; "'!" &amp; J3756, J3756), "")</f>
        <v/>
      </c>
    </row>
    <row r="3757">
      <c r="B3757" s="21">
        <f>IF(AND(C3757&lt;&gt;"", J3757&lt;&gt;""), HYPERLINK("#'" &amp; C3757 &amp; "'!" &amp; J3757, J3757), "")</f>
        <v/>
      </c>
    </row>
    <row r="3758">
      <c r="B3758" s="21">
        <f>IF(AND(C3758&lt;&gt;"", J3758&lt;&gt;""), HYPERLINK("#'" &amp; C3758 &amp; "'!" &amp; J3758, J3758), "")</f>
        <v/>
      </c>
    </row>
    <row r="3759">
      <c r="B3759" s="21">
        <f>IF(AND(C3759&lt;&gt;"", J3759&lt;&gt;""), HYPERLINK("#'" &amp; C3759 &amp; "'!" &amp; J3759, J3759), "")</f>
        <v/>
      </c>
    </row>
    <row r="3760">
      <c r="B3760" s="21">
        <f>IF(AND(C3760&lt;&gt;"", J3760&lt;&gt;""), HYPERLINK("#'" &amp; C3760 &amp; "'!" &amp; J3760, J3760), "")</f>
        <v/>
      </c>
    </row>
    <row r="3761">
      <c r="B3761" s="21">
        <f>IF(AND(C3761&lt;&gt;"", J3761&lt;&gt;""), HYPERLINK("#'" &amp; C3761 &amp; "'!" &amp; J3761, J3761), "")</f>
        <v/>
      </c>
    </row>
    <row r="3762">
      <c r="B3762" s="21">
        <f>IF(AND(C3762&lt;&gt;"", J3762&lt;&gt;""), HYPERLINK("#'" &amp; C3762 &amp; "'!" &amp; J3762, J3762), "")</f>
        <v/>
      </c>
    </row>
    <row r="3763">
      <c r="B3763" s="21">
        <f>IF(AND(C3763&lt;&gt;"", J3763&lt;&gt;""), HYPERLINK("#'" &amp; C3763 &amp; "'!" &amp; J3763, J3763), "")</f>
        <v/>
      </c>
    </row>
    <row r="3764">
      <c r="B3764" s="21">
        <f>IF(AND(C3764&lt;&gt;"", J3764&lt;&gt;""), HYPERLINK("#'" &amp; C3764 &amp; "'!" &amp; J3764, J3764), "")</f>
        <v/>
      </c>
    </row>
    <row r="3765">
      <c r="B3765" s="21">
        <f>IF(AND(C3765&lt;&gt;"", J3765&lt;&gt;""), HYPERLINK("#'" &amp; C3765 &amp; "'!" &amp; J3765, J3765), "")</f>
        <v/>
      </c>
    </row>
    <row r="3766">
      <c r="B3766" s="21">
        <f>IF(AND(C3766&lt;&gt;"", J3766&lt;&gt;""), HYPERLINK("#'" &amp; C3766 &amp; "'!" &amp; J3766, J3766), "")</f>
        <v/>
      </c>
    </row>
    <row r="3767">
      <c r="B3767" s="21">
        <f>IF(AND(C3767&lt;&gt;"", J3767&lt;&gt;""), HYPERLINK("#'" &amp; C3767 &amp; "'!" &amp; J3767, J3767), "")</f>
        <v/>
      </c>
    </row>
    <row r="3768">
      <c r="B3768" s="21">
        <f>IF(AND(C3768&lt;&gt;"", J3768&lt;&gt;""), HYPERLINK("#'" &amp; C3768 &amp; "'!" &amp; J3768, J3768), "")</f>
        <v/>
      </c>
    </row>
    <row r="3769">
      <c r="B3769" s="21">
        <f>IF(AND(C3769&lt;&gt;"", J3769&lt;&gt;""), HYPERLINK("#'" &amp; C3769 &amp; "'!" &amp; J3769, J3769), "")</f>
        <v/>
      </c>
    </row>
    <row r="3770">
      <c r="B3770" s="21">
        <f>IF(AND(C3770&lt;&gt;"", J3770&lt;&gt;""), HYPERLINK("#'" &amp; C3770 &amp; "'!" &amp; J3770, J3770), "")</f>
        <v/>
      </c>
    </row>
    <row r="3771">
      <c r="B3771" s="21">
        <f>IF(AND(C3771&lt;&gt;"", J3771&lt;&gt;""), HYPERLINK("#'" &amp; C3771 &amp; "'!" &amp; J3771, J3771), "")</f>
        <v/>
      </c>
    </row>
    <row r="3772">
      <c r="B3772" s="21">
        <f>IF(AND(C3772&lt;&gt;"", J3772&lt;&gt;""), HYPERLINK("#'" &amp; C3772 &amp; "'!" &amp; J3772, J3772), "")</f>
        <v/>
      </c>
    </row>
    <row r="3773">
      <c r="B3773" s="21">
        <f>IF(AND(C3773&lt;&gt;"", J3773&lt;&gt;""), HYPERLINK("#'" &amp; C3773 &amp; "'!" &amp; J3773, J3773), "")</f>
        <v/>
      </c>
    </row>
    <row r="3774">
      <c r="B3774" s="21">
        <f>IF(AND(C3774&lt;&gt;"", J3774&lt;&gt;""), HYPERLINK("#'" &amp; C3774 &amp; "'!" &amp; J3774, J3774), "")</f>
        <v/>
      </c>
    </row>
    <row r="3775">
      <c r="B3775" s="21">
        <f>IF(AND(C3775&lt;&gt;"", J3775&lt;&gt;""), HYPERLINK("#'" &amp; C3775 &amp; "'!" &amp; J3775, J3775), "")</f>
        <v/>
      </c>
    </row>
    <row r="3776">
      <c r="B3776" s="21">
        <f>IF(AND(C3776&lt;&gt;"", J3776&lt;&gt;""), HYPERLINK("#'" &amp; C3776 &amp; "'!" &amp; J3776, J3776), "")</f>
        <v/>
      </c>
    </row>
    <row r="3777">
      <c r="B3777" s="21">
        <f>IF(AND(C3777&lt;&gt;"", J3777&lt;&gt;""), HYPERLINK("#'" &amp; C3777 &amp; "'!" &amp; J3777, J3777), "")</f>
        <v/>
      </c>
    </row>
    <row r="3778">
      <c r="B3778" s="21">
        <f>IF(AND(C3778&lt;&gt;"", J3778&lt;&gt;""), HYPERLINK("#'" &amp; C3778 &amp; "'!" &amp; J3778, J3778), "")</f>
        <v/>
      </c>
    </row>
    <row r="3779">
      <c r="B3779" s="21">
        <f>IF(AND(C3779&lt;&gt;"", J3779&lt;&gt;""), HYPERLINK("#'" &amp; C3779 &amp; "'!" &amp; J3779, J3779), "")</f>
        <v/>
      </c>
    </row>
    <row r="3780">
      <c r="B3780" s="21">
        <f>IF(AND(C3780&lt;&gt;"", J3780&lt;&gt;""), HYPERLINK("#'" &amp; C3780 &amp; "'!" &amp; J3780, J3780), "")</f>
        <v/>
      </c>
    </row>
    <row r="3781">
      <c r="B3781" s="21">
        <f>IF(AND(C3781&lt;&gt;"", J3781&lt;&gt;""), HYPERLINK("#'" &amp; C3781 &amp; "'!" &amp; J3781, J3781), "")</f>
        <v/>
      </c>
    </row>
    <row r="3782">
      <c r="B3782" s="21">
        <f>IF(AND(C3782&lt;&gt;"", J3782&lt;&gt;""), HYPERLINK("#'" &amp; C3782 &amp; "'!" &amp; J3782, J3782), "")</f>
        <v/>
      </c>
    </row>
    <row r="3783">
      <c r="B3783" s="21">
        <f>IF(AND(C3783&lt;&gt;"", J3783&lt;&gt;""), HYPERLINK("#'" &amp; C3783 &amp; "'!" &amp; J3783, J3783), "")</f>
        <v/>
      </c>
    </row>
    <row r="3784">
      <c r="B3784" s="21">
        <f>IF(AND(C3784&lt;&gt;"", J3784&lt;&gt;""), HYPERLINK("#'" &amp; C3784 &amp; "'!" &amp; J3784, J3784), "")</f>
        <v/>
      </c>
    </row>
    <row r="3785">
      <c r="B3785" s="21">
        <f>IF(AND(C3785&lt;&gt;"", J3785&lt;&gt;""), HYPERLINK("#'" &amp; C3785 &amp; "'!" &amp; J3785, J3785), "")</f>
        <v/>
      </c>
    </row>
    <row r="3786">
      <c r="B3786" s="21">
        <f>IF(AND(C3786&lt;&gt;"", J3786&lt;&gt;""), HYPERLINK("#'" &amp; C3786 &amp; "'!" &amp; J3786, J3786), "")</f>
        <v/>
      </c>
    </row>
    <row r="3787">
      <c r="B3787" s="21">
        <f>IF(AND(C3787&lt;&gt;"", J3787&lt;&gt;""), HYPERLINK("#'" &amp; C3787 &amp; "'!" &amp; J3787, J3787), "")</f>
        <v/>
      </c>
    </row>
    <row r="3788">
      <c r="B3788" s="21">
        <f>IF(AND(C3788&lt;&gt;"", J3788&lt;&gt;""), HYPERLINK("#'" &amp; C3788 &amp; "'!" &amp; J3788, J3788), "")</f>
        <v/>
      </c>
    </row>
    <row r="3789">
      <c r="B3789" s="21">
        <f>IF(AND(C3789&lt;&gt;"", J3789&lt;&gt;""), HYPERLINK("#'" &amp; C3789 &amp; "'!" &amp; J3789, J3789), "")</f>
        <v/>
      </c>
    </row>
    <row r="3790">
      <c r="B3790" s="21">
        <f>IF(AND(C3790&lt;&gt;"", J3790&lt;&gt;""), HYPERLINK("#'" &amp; C3790 &amp; "'!" &amp; J3790, J3790), "")</f>
        <v/>
      </c>
    </row>
    <row r="3791">
      <c r="B3791" s="21">
        <f>IF(AND(C3791&lt;&gt;"", J3791&lt;&gt;""), HYPERLINK("#'" &amp; C3791 &amp; "'!" &amp; J3791, J3791), "")</f>
        <v/>
      </c>
    </row>
    <row r="3792">
      <c r="B3792" s="21">
        <f>IF(AND(C3792&lt;&gt;"", J3792&lt;&gt;""), HYPERLINK("#'" &amp; C3792 &amp; "'!" &amp; J3792, J3792), "")</f>
        <v/>
      </c>
    </row>
    <row r="3793">
      <c r="B3793" s="21">
        <f>IF(AND(C3793&lt;&gt;"", J3793&lt;&gt;""), HYPERLINK("#'" &amp; C3793 &amp; "'!" &amp; J3793, J3793), "")</f>
        <v/>
      </c>
    </row>
    <row r="3794">
      <c r="B3794" s="21">
        <f>IF(AND(C3794&lt;&gt;"", J3794&lt;&gt;""), HYPERLINK("#'" &amp; C3794 &amp; "'!" &amp; J3794, J3794), "")</f>
        <v/>
      </c>
    </row>
    <row r="3795">
      <c r="B3795" s="21">
        <f>IF(AND(C3795&lt;&gt;"", J3795&lt;&gt;""), HYPERLINK("#'" &amp; C3795 &amp; "'!" &amp; J3795, J3795), "")</f>
        <v/>
      </c>
    </row>
    <row r="3796">
      <c r="B3796" s="21">
        <f>IF(AND(C3796&lt;&gt;"", J3796&lt;&gt;""), HYPERLINK("#'" &amp; C3796 &amp; "'!" &amp; J3796, J3796), "")</f>
        <v/>
      </c>
    </row>
    <row r="3797">
      <c r="B3797" s="21">
        <f>IF(AND(C3797&lt;&gt;"", J3797&lt;&gt;""), HYPERLINK("#'" &amp; C3797 &amp; "'!" &amp; J3797, J3797), "")</f>
        <v/>
      </c>
    </row>
    <row r="3798">
      <c r="B3798" s="21">
        <f>IF(AND(C3798&lt;&gt;"", J3798&lt;&gt;""), HYPERLINK("#'" &amp; C3798 &amp; "'!" &amp; J3798, J3798), "")</f>
        <v/>
      </c>
    </row>
    <row r="3799">
      <c r="B3799" s="21">
        <f>IF(AND(C3799&lt;&gt;"", J3799&lt;&gt;""), HYPERLINK("#'" &amp; C3799 &amp; "'!" &amp; J3799, J3799), "")</f>
        <v/>
      </c>
    </row>
    <row r="3800">
      <c r="B3800" s="21">
        <f>IF(AND(C3800&lt;&gt;"", J3800&lt;&gt;""), HYPERLINK("#'" &amp; C3800 &amp; "'!" &amp; J3800, J3800), "")</f>
        <v/>
      </c>
    </row>
    <row r="3801">
      <c r="B3801" s="21">
        <f>IF(AND(C3801&lt;&gt;"", J3801&lt;&gt;""), HYPERLINK("#'" &amp; C3801 &amp; "'!" &amp; J3801, J3801), "")</f>
        <v/>
      </c>
    </row>
    <row r="3802">
      <c r="B3802" s="21">
        <f>IF(AND(C3802&lt;&gt;"", J3802&lt;&gt;""), HYPERLINK("#'" &amp; C3802 &amp; "'!" &amp; J3802, J3802), "")</f>
        <v/>
      </c>
    </row>
    <row r="3803">
      <c r="B3803" s="21">
        <f>IF(AND(C3803&lt;&gt;"", J3803&lt;&gt;""), HYPERLINK("#'" &amp; C3803 &amp; "'!" &amp; J3803, J3803), "")</f>
        <v/>
      </c>
    </row>
    <row r="3804">
      <c r="B3804" s="21">
        <f>IF(AND(C3804&lt;&gt;"", J3804&lt;&gt;""), HYPERLINK("#'" &amp; C3804 &amp; "'!" &amp; J3804, J3804), "")</f>
        <v/>
      </c>
    </row>
    <row r="3805">
      <c r="B3805" s="21">
        <f>IF(AND(C3805&lt;&gt;"", J3805&lt;&gt;""), HYPERLINK("#'" &amp; C3805 &amp; "'!" &amp; J3805, J3805), "")</f>
        <v/>
      </c>
    </row>
    <row r="3806">
      <c r="B3806" s="21">
        <f>IF(AND(C3806&lt;&gt;"", J3806&lt;&gt;""), HYPERLINK("#'" &amp; C3806 &amp; "'!" &amp; J3806, J3806), "")</f>
        <v/>
      </c>
    </row>
    <row r="3807">
      <c r="B3807" s="21">
        <f>IF(AND(C3807&lt;&gt;"", J3807&lt;&gt;""), HYPERLINK("#'" &amp; C3807 &amp; "'!" &amp; J3807, J3807), "")</f>
        <v/>
      </c>
    </row>
    <row r="3808">
      <c r="B3808" s="21">
        <f>IF(AND(C3808&lt;&gt;"", J3808&lt;&gt;""), HYPERLINK("#'" &amp; C3808 &amp; "'!" &amp; J3808, J3808), "")</f>
        <v/>
      </c>
    </row>
    <row r="3809">
      <c r="B3809" s="21">
        <f>IF(AND(C3809&lt;&gt;"", J3809&lt;&gt;""), HYPERLINK("#'" &amp; C3809 &amp; "'!" &amp; J3809, J3809), "")</f>
        <v/>
      </c>
    </row>
    <row r="3810">
      <c r="B3810" s="21">
        <f>IF(AND(C3810&lt;&gt;"", J3810&lt;&gt;""), HYPERLINK("#'" &amp; C3810 &amp; "'!" &amp; J3810, J3810), "")</f>
        <v/>
      </c>
    </row>
    <row r="3811">
      <c r="B3811" s="21">
        <f>IF(AND(C3811&lt;&gt;"", J3811&lt;&gt;""), HYPERLINK("#'" &amp; C3811 &amp; "'!" &amp; J3811, J3811), "")</f>
        <v/>
      </c>
    </row>
    <row r="3812">
      <c r="B3812" s="21">
        <f>IF(AND(C3812&lt;&gt;"", J3812&lt;&gt;""), HYPERLINK("#'" &amp; C3812 &amp; "'!" &amp; J3812, J3812), "")</f>
        <v/>
      </c>
    </row>
    <row r="3813">
      <c r="B3813" s="21">
        <f>IF(AND(C3813&lt;&gt;"", J3813&lt;&gt;""), HYPERLINK("#'" &amp; C3813 &amp; "'!" &amp; J3813, J3813), "")</f>
        <v/>
      </c>
    </row>
    <row r="3814">
      <c r="B3814" s="21">
        <f>IF(AND(C3814&lt;&gt;"", J3814&lt;&gt;""), HYPERLINK("#'" &amp; C3814 &amp; "'!" &amp; J3814, J3814), "")</f>
        <v/>
      </c>
    </row>
    <row r="3815">
      <c r="B3815" s="21">
        <f>IF(AND(C3815&lt;&gt;"", J3815&lt;&gt;""), HYPERLINK("#'" &amp; C3815 &amp; "'!" &amp; J3815, J3815), "")</f>
        <v/>
      </c>
    </row>
    <row r="3816">
      <c r="B3816" s="21">
        <f>IF(AND(C3816&lt;&gt;"", J3816&lt;&gt;""), HYPERLINK("#'" &amp; C3816 &amp; "'!" &amp; J3816, J3816), "")</f>
        <v/>
      </c>
    </row>
    <row r="3817">
      <c r="B3817" s="21">
        <f>IF(AND(C3817&lt;&gt;"", J3817&lt;&gt;""), HYPERLINK("#'" &amp; C3817 &amp; "'!" &amp; J3817, J3817), "")</f>
        <v/>
      </c>
    </row>
    <row r="3818">
      <c r="B3818" s="21">
        <f>IF(AND(C3818&lt;&gt;"", J3818&lt;&gt;""), HYPERLINK("#'" &amp; C3818 &amp; "'!" &amp; J3818, J3818), "")</f>
        <v/>
      </c>
    </row>
    <row r="3819">
      <c r="B3819" s="21">
        <f>IF(AND(C3819&lt;&gt;"", J3819&lt;&gt;""), HYPERLINK("#'" &amp; C3819 &amp; "'!" &amp; J3819, J3819), "")</f>
        <v/>
      </c>
    </row>
    <row r="3820">
      <c r="B3820" s="21">
        <f>IF(AND(C3820&lt;&gt;"", J3820&lt;&gt;""), HYPERLINK("#'" &amp; C3820 &amp; "'!" &amp; J3820, J3820), "")</f>
        <v/>
      </c>
    </row>
    <row r="3821">
      <c r="B3821" s="21">
        <f>IF(AND(C3821&lt;&gt;"", J3821&lt;&gt;""), HYPERLINK("#'" &amp; C3821 &amp; "'!" &amp; J3821, J3821), "")</f>
        <v/>
      </c>
    </row>
    <row r="3822">
      <c r="B3822" s="21">
        <f>IF(AND(C3822&lt;&gt;"", J3822&lt;&gt;""), HYPERLINK("#'" &amp; C3822 &amp; "'!" &amp; J3822, J3822), "")</f>
        <v/>
      </c>
    </row>
    <row r="3823">
      <c r="B3823" s="21">
        <f>IF(AND(C3823&lt;&gt;"", J3823&lt;&gt;""), HYPERLINK("#'" &amp; C3823 &amp; "'!" &amp; J3823, J3823), "")</f>
        <v/>
      </c>
    </row>
    <row r="3824">
      <c r="B3824" s="21">
        <f>IF(AND(C3824&lt;&gt;"", J3824&lt;&gt;""), HYPERLINK("#'" &amp; C3824 &amp; "'!" &amp; J3824, J3824), "")</f>
        <v/>
      </c>
    </row>
    <row r="3825">
      <c r="B3825" s="21">
        <f>IF(AND(C3825&lt;&gt;"", J3825&lt;&gt;""), HYPERLINK("#'" &amp; C3825 &amp; "'!" &amp; J3825, J3825), "")</f>
        <v/>
      </c>
    </row>
    <row r="3826">
      <c r="B3826" s="21">
        <f>IF(AND(C3826&lt;&gt;"", J3826&lt;&gt;""), HYPERLINK("#'" &amp; C3826 &amp; "'!" &amp; J3826, J3826), "")</f>
        <v/>
      </c>
    </row>
    <row r="3827">
      <c r="B3827" s="21">
        <f>IF(AND(C3827&lt;&gt;"", J3827&lt;&gt;""), HYPERLINK("#'" &amp; C3827 &amp; "'!" &amp; J3827, J3827), "")</f>
        <v/>
      </c>
    </row>
    <row r="3828">
      <c r="B3828" s="21">
        <f>IF(AND(C3828&lt;&gt;"", J3828&lt;&gt;""), HYPERLINK("#'" &amp; C3828 &amp; "'!" &amp; J3828, J3828), "")</f>
        <v/>
      </c>
    </row>
    <row r="3829">
      <c r="B3829" s="21">
        <f>IF(AND(C3829&lt;&gt;"", J3829&lt;&gt;""), HYPERLINK("#'" &amp; C3829 &amp; "'!" &amp; J3829, J3829), "")</f>
        <v/>
      </c>
    </row>
    <row r="3830">
      <c r="B3830" s="21">
        <f>IF(AND(C3830&lt;&gt;"", J3830&lt;&gt;""), HYPERLINK("#'" &amp; C3830 &amp; "'!" &amp; J3830, J3830), "")</f>
        <v/>
      </c>
    </row>
    <row r="3831">
      <c r="B3831" s="21">
        <f>IF(AND(C3831&lt;&gt;"", J3831&lt;&gt;""), HYPERLINK("#'" &amp; C3831 &amp; "'!" &amp; J3831, J3831), "")</f>
        <v/>
      </c>
    </row>
    <row r="3832">
      <c r="B3832" s="21">
        <f>IF(AND(C3832&lt;&gt;"", J3832&lt;&gt;""), HYPERLINK("#'" &amp; C3832 &amp; "'!" &amp; J3832, J3832), "")</f>
        <v/>
      </c>
    </row>
    <row r="3833">
      <c r="B3833" s="21">
        <f>IF(AND(C3833&lt;&gt;"", J3833&lt;&gt;""), HYPERLINK("#'" &amp; C3833 &amp; "'!" &amp; J3833, J3833), "")</f>
        <v/>
      </c>
    </row>
    <row r="3834">
      <c r="B3834" s="21">
        <f>IF(AND(C3834&lt;&gt;"", J3834&lt;&gt;""), HYPERLINK("#'" &amp; C3834 &amp; "'!" &amp; J3834, J3834), "")</f>
        <v/>
      </c>
    </row>
    <row r="3835">
      <c r="B3835" s="21">
        <f>IF(AND(C3835&lt;&gt;"", J3835&lt;&gt;""), HYPERLINK("#'" &amp; C3835 &amp; "'!" &amp; J3835, J3835), "")</f>
        <v/>
      </c>
    </row>
    <row r="3836">
      <c r="B3836" s="21">
        <f>IF(AND(C3836&lt;&gt;"", J3836&lt;&gt;""), HYPERLINK("#'" &amp; C3836 &amp; "'!" &amp; J3836, J3836), "")</f>
        <v/>
      </c>
    </row>
    <row r="3837">
      <c r="B3837" s="21">
        <f>IF(AND(C3837&lt;&gt;"", J3837&lt;&gt;""), HYPERLINK("#'" &amp; C3837 &amp; "'!" &amp; J3837, J3837), "")</f>
        <v/>
      </c>
    </row>
    <row r="3838">
      <c r="B3838" s="21">
        <f>IF(AND(C3838&lt;&gt;"", J3838&lt;&gt;""), HYPERLINK("#'" &amp; C3838 &amp; "'!" &amp; J3838, J3838), "")</f>
        <v/>
      </c>
    </row>
    <row r="3839">
      <c r="B3839" s="21">
        <f>IF(AND(C3839&lt;&gt;"", J3839&lt;&gt;""), HYPERLINK("#'" &amp; C3839 &amp; "'!" &amp; J3839, J3839), "")</f>
        <v/>
      </c>
    </row>
    <row r="3840">
      <c r="B3840" s="21">
        <f>IF(AND(C3840&lt;&gt;"", J3840&lt;&gt;""), HYPERLINK("#'" &amp; C3840 &amp; "'!" &amp; J3840, J3840), "")</f>
        <v/>
      </c>
    </row>
    <row r="3841">
      <c r="B3841" s="21">
        <f>IF(AND(C3841&lt;&gt;"", J3841&lt;&gt;""), HYPERLINK("#'" &amp; C3841 &amp; "'!" &amp; J3841, J3841), "")</f>
        <v/>
      </c>
    </row>
    <row r="3842">
      <c r="B3842" s="21">
        <f>IF(AND(C3842&lt;&gt;"", J3842&lt;&gt;""), HYPERLINK("#'" &amp; C3842 &amp; "'!" &amp; J3842, J3842), "")</f>
        <v/>
      </c>
    </row>
    <row r="3843">
      <c r="B3843" s="21">
        <f>IF(AND(C3843&lt;&gt;"", J3843&lt;&gt;""), HYPERLINK("#'" &amp; C3843 &amp; "'!" &amp; J3843, J3843), "")</f>
        <v/>
      </c>
    </row>
    <row r="3844">
      <c r="B3844" s="21">
        <f>IF(AND(C3844&lt;&gt;"", J3844&lt;&gt;""), HYPERLINK("#'" &amp; C3844 &amp; "'!" &amp; J3844, J3844), "")</f>
        <v/>
      </c>
    </row>
    <row r="3845">
      <c r="B3845" s="21">
        <f>IF(AND(C3845&lt;&gt;"", J3845&lt;&gt;""), HYPERLINK("#'" &amp; C3845 &amp; "'!" &amp; J3845, J3845), "")</f>
        <v/>
      </c>
    </row>
    <row r="3846">
      <c r="B3846" s="21">
        <f>IF(AND(C3846&lt;&gt;"", J3846&lt;&gt;""), HYPERLINK("#'" &amp; C3846 &amp; "'!" &amp; J3846, J3846), "")</f>
        <v/>
      </c>
    </row>
    <row r="3847">
      <c r="B3847" s="21">
        <f>IF(AND(C3847&lt;&gt;"", J3847&lt;&gt;""), HYPERLINK("#'" &amp; C3847 &amp; "'!" &amp; J3847, J3847), "")</f>
        <v/>
      </c>
    </row>
    <row r="3848">
      <c r="B3848" s="21">
        <f>IF(AND(C3848&lt;&gt;"", J3848&lt;&gt;""), HYPERLINK("#'" &amp; C3848 &amp; "'!" &amp; J3848, J3848), "")</f>
        <v/>
      </c>
    </row>
    <row r="3849">
      <c r="B3849" s="21">
        <f>IF(AND(C3849&lt;&gt;"", J3849&lt;&gt;""), HYPERLINK("#'" &amp; C3849 &amp; "'!" &amp; J3849, J3849), "")</f>
        <v/>
      </c>
    </row>
    <row r="3850">
      <c r="B3850" s="21">
        <f>IF(AND(C3850&lt;&gt;"", J3850&lt;&gt;""), HYPERLINK("#'" &amp; C3850 &amp; "'!" &amp; J3850, J3850), "")</f>
        <v/>
      </c>
    </row>
    <row r="3851">
      <c r="B3851" s="21">
        <f>IF(AND(C3851&lt;&gt;"", J3851&lt;&gt;""), HYPERLINK("#'" &amp; C3851 &amp; "'!" &amp; J3851, J3851), "")</f>
        <v/>
      </c>
    </row>
    <row r="3852">
      <c r="B3852" s="21">
        <f>IF(AND(C3852&lt;&gt;"", J3852&lt;&gt;""), HYPERLINK("#'" &amp; C3852 &amp; "'!" &amp; J3852, J3852), "")</f>
        <v/>
      </c>
    </row>
    <row r="3853">
      <c r="B3853" s="21">
        <f>IF(AND(C3853&lt;&gt;"", J3853&lt;&gt;""), HYPERLINK("#'" &amp; C3853 &amp; "'!" &amp; J3853, J3853), "")</f>
        <v/>
      </c>
    </row>
    <row r="3854">
      <c r="B3854" s="21">
        <f>IF(AND(C3854&lt;&gt;"", J3854&lt;&gt;""), HYPERLINK("#'" &amp; C3854 &amp; "'!" &amp; J3854, J3854), "")</f>
        <v/>
      </c>
    </row>
    <row r="3855">
      <c r="B3855" s="21">
        <f>IF(AND(C3855&lt;&gt;"", J3855&lt;&gt;""), HYPERLINK("#'" &amp; C3855 &amp; "'!" &amp; J3855, J3855), "")</f>
        <v/>
      </c>
    </row>
    <row r="3856">
      <c r="B3856" s="21">
        <f>IF(AND(C3856&lt;&gt;"", J3856&lt;&gt;""), HYPERLINK("#'" &amp; C3856 &amp; "'!" &amp; J3856, J3856), "")</f>
        <v/>
      </c>
    </row>
    <row r="3857">
      <c r="B3857" s="21">
        <f>IF(AND(C3857&lt;&gt;"", J3857&lt;&gt;""), HYPERLINK("#'" &amp; C3857 &amp; "'!" &amp; J3857, J3857), "")</f>
        <v/>
      </c>
    </row>
    <row r="3858">
      <c r="B3858" s="21">
        <f>IF(AND(C3858&lt;&gt;"", J3858&lt;&gt;""), HYPERLINK("#'" &amp; C3858 &amp; "'!" &amp; J3858, J3858), "")</f>
        <v/>
      </c>
    </row>
    <row r="3859">
      <c r="B3859" s="21">
        <f>IF(AND(C3859&lt;&gt;"", J3859&lt;&gt;""), HYPERLINK("#'" &amp; C3859 &amp; "'!" &amp; J3859, J3859), "")</f>
        <v/>
      </c>
    </row>
    <row r="3860">
      <c r="B3860" s="21">
        <f>IF(AND(C3860&lt;&gt;"", J3860&lt;&gt;""), HYPERLINK("#'" &amp; C3860 &amp; "'!" &amp; J3860, J3860), "")</f>
        <v/>
      </c>
    </row>
    <row r="3861">
      <c r="B3861" s="21">
        <f>IF(AND(C3861&lt;&gt;"", J3861&lt;&gt;""), HYPERLINK("#'" &amp; C3861 &amp; "'!" &amp; J3861, J3861), "")</f>
        <v/>
      </c>
    </row>
    <row r="3862">
      <c r="B3862" s="21">
        <f>IF(AND(C3862&lt;&gt;"", J3862&lt;&gt;""), HYPERLINK("#'" &amp; C3862 &amp; "'!" &amp; J3862, J3862), "")</f>
        <v/>
      </c>
    </row>
    <row r="3863">
      <c r="B3863" s="21">
        <f>IF(AND(C3863&lt;&gt;"", J3863&lt;&gt;""), HYPERLINK("#'" &amp; C3863 &amp; "'!" &amp; J3863, J3863), "")</f>
        <v/>
      </c>
    </row>
    <row r="3864">
      <c r="B3864" s="21">
        <f>IF(AND(C3864&lt;&gt;"", J3864&lt;&gt;""), HYPERLINK("#'" &amp; C3864 &amp; "'!" &amp; J3864, J3864), "")</f>
        <v/>
      </c>
    </row>
    <row r="3865">
      <c r="B3865" s="21">
        <f>IF(AND(C3865&lt;&gt;"", J3865&lt;&gt;""), HYPERLINK("#'" &amp; C3865 &amp; "'!" &amp; J3865, J3865), "")</f>
        <v/>
      </c>
    </row>
    <row r="3866">
      <c r="B3866" s="21">
        <f>IF(AND(C3866&lt;&gt;"", J3866&lt;&gt;""), HYPERLINK("#'" &amp; C3866 &amp; "'!" &amp; J3866, J3866), "")</f>
        <v/>
      </c>
    </row>
    <row r="3867">
      <c r="B3867" s="21">
        <f>IF(AND(C3867&lt;&gt;"", J3867&lt;&gt;""), HYPERLINK("#'" &amp; C3867 &amp; "'!" &amp; J3867, J3867), "")</f>
        <v/>
      </c>
    </row>
    <row r="3868">
      <c r="B3868" s="21">
        <f>IF(AND(C3868&lt;&gt;"", J3868&lt;&gt;""), HYPERLINK("#'" &amp; C3868 &amp; "'!" &amp; J3868, J3868), "")</f>
        <v/>
      </c>
    </row>
    <row r="3869">
      <c r="B3869" s="21">
        <f>IF(AND(C3869&lt;&gt;"", J3869&lt;&gt;""), HYPERLINK("#'" &amp; C3869 &amp; "'!" &amp; J3869, J3869), "")</f>
        <v/>
      </c>
    </row>
    <row r="3870">
      <c r="B3870" s="21">
        <f>IF(AND(C3870&lt;&gt;"", J3870&lt;&gt;""), HYPERLINK("#'" &amp; C3870 &amp; "'!" &amp; J3870, J3870), "")</f>
        <v/>
      </c>
    </row>
    <row r="3871">
      <c r="B3871" s="21">
        <f>IF(AND(C3871&lt;&gt;"", J3871&lt;&gt;""), HYPERLINK("#'" &amp; C3871 &amp; "'!" &amp; J3871, J3871), "")</f>
        <v/>
      </c>
    </row>
    <row r="3872">
      <c r="B3872" s="21">
        <f>IF(AND(C3872&lt;&gt;"", J3872&lt;&gt;""), HYPERLINK("#'" &amp; C3872 &amp; "'!" &amp; J3872, J3872), "")</f>
        <v/>
      </c>
    </row>
    <row r="3873">
      <c r="B3873" s="21">
        <f>IF(AND(C3873&lt;&gt;"", J3873&lt;&gt;""), HYPERLINK("#'" &amp; C3873 &amp; "'!" &amp; J3873, J3873), "")</f>
        <v/>
      </c>
    </row>
    <row r="3874">
      <c r="B3874" s="21">
        <f>IF(AND(C3874&lt;&gt;"", J3874&lt;&gt;""), HYPERLINK("#'" &amp; C3874 &amp; "'!" &amp; J3874, J3874), "")</f>
        <v/>
      </c>
    </row>
    <row r="3875">
      <c r="B3875" s="21">
        <f>IF(AND(C3875&lt;&gt;"", J3875&lt;&gt;""), HYPERLINK("#'" &amp; C3875 &amp; "'!" &amp; J3875, J3875), "")</f>
        <v/>
      </c>
    </row>
    <row r="3876">
      <c r="B3876" s="21">
        <f>IF(AND(C3876&lt;&gt;"", J3876&lt;&gt;""), HYPERLINK("#'" &amp; C3876 &amp; "'!" &amp; J3876, J3876), "")</f>
        <v/>
      </c>
    </row>
    <row r="3877">
      <c r="B3877" s="21">
        <f>IF(AND(C3877&lt;&gt;"", J3877&lt;&gt;""), HYPERLINK("#'" &amp; C3877 &amp; "'!" &amp; J3877, J3877), "")</f>
        <v/>
      </c>
    </row>
    <row r="3878">
      <c r="B3878" s="21">
        <f>IF(AND(C3878&lt;&gt;"", J3878&lt;&gt;""), HYPERLINK("#'" &amp; C3878 &amp; "'!" &amp; J3878, J3878), "")</f>
        <v/>
      </c>
    </row>
    <row r="3879">
      <c r="B3879" s="21">
        <f>IF(AND(C3879&lt;&gt;"", J3879&lt;&gt;""), HYPERLINK("#'" &amp; C3879 &amp; "'!" &amp; J3879, J3879), "")</f>
        <v/>
      </c>
    </row>
    <row r="3880">
      <c r="B3880" s="21">
        <f>IF(AND(C3880&lt;&gt;"", J3880&lt;&gt;""), HYPERLINK("#'" &amp; C3880 &amp; "'!" &amp; J3880, J3880), "")</f>
        <v/>
      </c>
    </row>
    <row r="3881">
      <c r="B3881" s="21">
        <f>IF(AND(C3881&lt;&gt;"", J3881&lt;&gt;""), HYPERLINK("#'" &amp; C3881 &amp; "'!" &amp; J3881, J3881), "")</f>
        <v/>
      </c>
    </row>
    <row r="3882">
      <c r="B3882" s="21">
        <f>IF(AND(C3882&lt;&gt;"", J3882&lt;&gt;""), HYPERLINK("#'" &amp; C3882 &amp; "'!" &amp; J3882, J3882), "")</f>
        <v/>
      </c>
    </row>
    <row r="3883">
      <c r="B3883" s="21">
        <f>IF(AND(C3883&lt;&gt;"", J3883&lt;&gt;""), HYPERLINK("#'" &amp; C3883 &amp; "'!" &amp; J3883, J3883), "")</f>
        <v/>
      </c>
    </row>
    <row r="3884">
      <c r="B3884" s="21">
        <f>IF(AND(C3884&lt;&gt;"", J3884&lt;&gt;""), HYPERLINK("#'" &amp; C3884 &amp; "'!" &amp; J3884, J3884), "")</f>
        <v/>
      </c>
    </row>
    <row r="3885">
      <c r="B3885" s="21">
        <f>IF(AND(C3885&lt;&gt;"", J3885&lt;&gt;""), HYPERLINK("#'" &amp; C3885 &amp; "'!" &amp; J3885, J3885), "")</f>
        <v/>
      </c>
    </row>
    <row r="3886">
      <c r="B3886" s="21">
        <f>IF(AND(C3886&lt;&gt;"", J3886&lt;&gt;""), HYPERLINK("#'" &amp; C3886 &amp; "'!" &amp; J3886, J3886), "")</f>
        <v/>
      </c>
    </row>
    <row r="3887">
      <c r="B3887" s="21">
        <f>IF(AND(C3887&lt;&gt;"", J3887&lt;&gt;""), HYPERLINK("#'" &amp; C3887 &amp; "'!" &amp; J3887, J3887), "")</f>
        <v/>
      </c>
    </row>
    <row r="3888">
      <c r="B3888" s="21">
        <f>IF(AND(C3888&lt;&gt;"", J3888&lt;&gt;""), HYPERLINK("#'" &amp; C3888 &amp; "'!" &amp; J3888, J3888), "")</f>
        <v/>
      </c>
    </row>
    <row r="3889">
      <c r="B3889" s="21">
        <f>IF(AND(C3889&lt;&gt;"", J3889&lt;&gt;""), HYPERLINK("#'" &amp; C3889 &amp; "'!" &amp; J3889, J3889), "")</f>
        <v/>
      </c>
    </row>
    <row r="3890">
      <c r="B3890" s="21">
        <f>IF(AND(C3890&lt;&gt;"", J3890&lt;&gt;""), HYPERLINK("#'" &amp; C3890 &amp; "'!" &amp; J3890, J3890), "")</f>
        <v/>
      </c>
    </row>
    <row r="3891">
      <c r="B3891" s="21">
        <f>IF(AND(C3891&lt;&gt;"", J3891&lt;&gt;""), HYPERLINK("#'" &amp; C3891 &amp; "'!" &amp; J3891, J3891), "")</f>
        <v/>
      </c>
    </row>
    <row r="3892">
      <c r="B3892" s="21">
        <f>IF(AND(C3892&lt;&gt;"", J3892&lt;&gt;""), HYPERLINK("#'" &amp; C3892 &amp; "'!" &amp; J3892, J3892), "")</f>
        <v/>
      </c>
    </row>
    <row r="3893">
      <c r="B3893" s="21">
        <f>IF(AND(C3893&lt;&gt;"", J3893&lt;&gt;""), HYPERLINK("#'" &amp; C3893 &amp; "'!" &amp; J3893, J3893), "")</f>
        <v/>
      </c>
    </row>
    <row r="3894">
      <c r="B3894" s="21">
        <f>IF(AND(C3894&lt;&gt;"", J3894&lt;&gt;""), HYPERLINK("#'" &amp; C3894 &amp; "'!" &amp; J3894, J3894), "")</f>
        <v/>
      </c>
    </row>
    <row r="3895">
      <c r="B3895" s="21">
        <f>IF(AND(C3895&lt;&gt;"", J3895&lt;&gt;""), HYPERLINK("#'" &amp; C3895 &amp; "'!" &amp; J3895, J3895), "")</f>
        <v/>
      </c>
    </row>
    <row r="3896">
      <c r="B3896" s="21">
        <f>IF(AND(C3896&lt;&gt;"", J3896&lt;&gt;""), HYPERLINK("#'" &amp; C3896 &amp; "'!" &amp; J3896, J3896), "")</f>
        <v/>
      </c>
    </row>
    <row r="3897">
      <c r="B3897" s="21">
        <f>IF(AND(C3897&lt;&gt;"", J3897&lt;&gt;""), HYPERLINK("#'" &amp; C3897 &amp; "'!" &amp; J3897, J3897), "")</f>
        <v/>
      </c>
    </row>
    <row r="3898">
      <c r="B3898" s="21">
        <f>IF(AND(C3898&lt;&gt;"", J3898&lt;&gt;""), HYPERLINK("#'" &amp; C3898 &amp; "'!" &amp; J3898, J3898), "")</f>
        <v/>
      </c>
    </row>
    <row r="3899">
      <c r="B3899" s="21">
        <f>IF(AND(C3899&lt;&gt;"", J3899&lt;&gt;""), HYPERLINK("#'" &amp; C3899 &amp; "'!" &amp; J3899, J3899), "")</f>
        <v/>
      </c>
    </row>
    <row r="3900">
      <c r="B3900" s="21">
        <f>IF(AND(C3900&lt;&gt;"", J3900&lt;&gt;""), HYPERLINK("#'" &amp; C3900 &amp; "'!" &amp; J3900, J3900), "")</f>
        <v/>
      </c>
    </row>
    <row r="3901">
      <c r="B3901" s="21">
        <f>IF(AND(C3901&lt;&gt;"", J3901&lt;&gt;""), HYPERLINK("#'" &amp; C3901 &amp; "'!" &amp; J3901, J3901), "")</f>
        <v/>
      </c>
    </row>
    <row r="3902">
      <c r="B3902" s="21">
        <f>IF(AND(C3902&lt;&gt;"", J3902&lt;&gt;""), HYPERLINK("#'" &amp; C3902 &amp; "'!" &amp; J3902, J3902), "")</f>
        <v/>
      </c>
    </row>
    <row r="3903">
      <c r="B3903" s="21">
        <f>IF(AND(C3903&lt;&gt;"", J3903&lt;&gt;""), HYPERLINK("#'" &amp; C3903 &amp; "'!" &amp; J3903, J3903), "")</f>
        <v/>
      </c>
    </row>
    <row r="3904">
      <c r="B3904" s="21">
        <f>IF(AND(C3904&lt;&gt;"", J3904&lt;&gt;""), HYPERLINK("#'" &amp; C3904 &amp; "'!" &amp; J3904, J3904), "")</f>
        <v/>
      </c>
    </row>
    <row r="3905">
      <c r="B3905" s="21">
        <f>IF(AND(C3905&lt;&gt;"", J3905&lt;&gt;""), HYPERLINK("#'" &amp; C3905 &amp; "'!" &amp; J3905, J3905), "")</f>
        <v/>
      </c>
    </row>
    <row r="3906">
      <c r="B3906" s="21">
        <f>IF(AND(C3906&lt;&gt;"", J3906&lt;&gt;""), HYPERLINK("#'" &amp; C3906 &amp; "'!" &amp; J3906, J3906), "")</f>
        <v/>
      </c>
    </row>
    <row r="3907">
      <c r="B3907" s="21">
        <f>IF(AND(C3907&lt;&gt;"", J3907&lt;&gt;""), HYPERLINK("#'" &amp; C3907 &amp; "'!" &amp; J3907, J3907), "")</f>
        <v/>
      </c>
    </row>
    <row r="3908">
      <c r="B3908" s="21">
        <f>IF(AND(C3908&lt;&gt;"", J3908&lt;&gt;""), HYPERLINK("#'" &amp; C3908 &amp; "'!" &amp; J3908, J3908), "")</f>
        <v/>
      </c>
    </row>
    <row r="3909">
      <c r="B3909" s="21">
        <f>IF(AND(C3909&lt;&gt;"", J3909&lt;&gt;""), HYPERLINK("#'" &amp; C3909 &amp; "'!" &amp; J3909, J3909), "")</f>
        <v/>
      </c>
    </row>
    <row r="3910">
      <c r="B3910" s="21">
        <f>IF(AND(C3910&lt;&gt;"", J3910&lt;&gt;""), HYPERLINK("#'" &amp; C3910 &amp; "'!" &amp; J3910, J3910), "")</f>
        <v/>
      </c>
    </row>
    <row r="3911">
      <c r="B3911" s="21">
        <f>IF(AND(C3911&lt;&gt;"", J3911&lt;&gt;""), HYPERLINK("#'" &amp; C3911 &amp; "'!" &amp; J3911, J3911), "")</f>
        <v/>
      </c>
    </row>
    <row r="3912">
      <c r="B3912" s="21">
        <f>IF(AND(C3912&lt;&gt;"", J3912&lt;&gt;""), HYPERLINK("#'" &amp; C3912 &amp; "'!" &amp; J3912, J3912), "")</f>
        <v/>
      </c>
    </row>
    <row r="3913">
      <c r="B3913" s="21">
        <f>IF(AND(C3913&lt;&gt;"", J3913&lt;&gt;""), HYPERLINK("#'" &amp; C3913 &amp; "'!" &amp; J3913, J3913), "")</f>
        <v/>
      </c>
    </row>
    <row r="3914">
      <c r="B3914" s="21">
        <f>IF(AND(C3914&lt;&gt;"", J3914&lt;&gt;""), HYPERLINK("#'" &amp; C3914 &amp; "'!" &amp; J3914, J3914), "")</f>
        <v/>
      </c>
    </row>
    <row r="3915">
      <c r="B3915" s="21">
        <f>IF(AND(C3915&lt;&gt;"", J3915&lt;&gt;""), HYPERLINK("#'" &amp; C3915 &amp; "'!" &amp; J3915, J3915), "")</f>
        <v/>
      </c>
    </row>
    <row r="3916">
      <c r="B3916" s="21">
        <f>IF(AND(C3916&lt;&gt;"", J3916&lt;&gt;""), HYPERLINK("#'" &amp; C3916 &amp; "'!" &amp; J3916, J3916), "")</f>
        <v/>
      </c>
    </row>
    <row r="3917">
      <c r="B3917" s="21">
        <f>IF(AND(C3917&lt;&gt;"", J3917&lt;&gt;""), HYPERLINK("#'" &amp; C3917 &amp; "'!" &amp; J3917, J3917), "")</f>
        <v/>
      </c>
    </row>
    <row r="3918">
      <c r="B3918" s="21">
        <f>IF(AND(C3918&lt;&gt;"", J3918&lt;&gt;""), HYPERLINK("#'" &amp; C3918 &amp; "'!" &amp; J3918, J3918), "")</f>
        <v/>
      </c>
    </row>
    <row r="3919">
      <c r="B3919" s="21">
        <f>IF(AND(C3919&lt;&gt;"", J3919&lt;&gt;""), HYPERLINK("#'" &amp; C3919 &amp; "'!" &amp; J3919, J3919), "")</f>
        <v/>
      </c>
    </row>
    <row r="3920">
      <c r="B3920" s="21">
        <f>IF(AND(C3920&lt;&gt;"", J3920&lt;&gt;""), HYPERLINK("#'" &amp; C3920 &amp; "'!" &amp; J3920, J3920), "")</f>
        <v/>
      </c>
    </row>
    <row r="3921">
      <c r="B3921" s="21">
        <f>IF(AND(C3921&lt;&gt;"", J3921&lt;&gt;""), HYPERLINK("#'" &amp; C3921 &amp; "'!" &amp; J3921, J3921), "")</f>
        <v/>
      </c>
    </row>
    <row r="3922">
      <c r="B3922" s="21">
        <f>IF(AND(C3922&lt;&gt;"", J3922&lt;&gt;""), HYPERLINK("#'" &amp; C3922 &amp; "'!" &amp; J3922, J3922), "")</f>
        <v/>
      </c>
    </row>
    <row r="3923">
      <c r="B3923" s="21">
        <f>IF(AND(C3923&lt;&gt;"", J3923&lt;&gt;""), HYPERLINK("#'" &amp; C3923 &amp; "'!" &amp; J3923, J3923), "")</f>
        <v/>
      </c>
    </row>
    <row r="3924">
      <c r="B3924" s="21">
        <f>IF(AND(C3924&lt;&gt;"", J3924&lt;&gt;""), HYPERLINK("#'" &amp; C3924 &amp; "'!" &amp; J3924, J3924), "")</f>
        <v/>
      </c>
    </row>
    <row r="3925">
      <c r="B3925" s="21">
        <f>IF(AND(C3925&lt;&gt;"", J3925&lt;&gt;""), HYPERLINK("#'" &amp; C3925 &amp; "'!" &amp; J3925, J3925), "")</f>
        <v/>
      </c>
    </row>
    <row r="3926">
      <c r="B3926" s="21">
        <f>IF(AND(C3926&lt;&gt;"", J3926&lt;&gt;""), HYPERLINK("#'" &amp; C3926 &amp; "'!" &amp; J3926, J3926), "")</f>
        <v/>
      </c>
    </row>
    <row r="3927">
      <c r="B3927" s="21">
        <f>IF(AND(C3927&lt;&gt;"", J3927&lt;&gt;""), HYPERLINK("#'" &amp; C3927 &amp; "'!" &amp; J3927, J3927), "")</f>
        <v/>
      </c>
    </row>
    <row r="3928">
      <c r="B3928" s="21">
        <f>IF(AND(C3928&lt;&gt;"", J3928&lt;&gt;""), HYPERLINK("#'" &amp; C3928 &amp; "'!" &amp; J3928, J3928), "")</f>
        <v/>
      </c>
    </row>
    <row r="3929">
      <c r="B3929" s="21">
        <f>IF(AND(C3929&lt;&gt;"", J3929&lt;&gt;""), HYPERLINK("#'" &amp; C3929 &amp; "'!" &amp; J3929, J3929), "")</f>
        <v/>
      </c>
    </row>
    <row r="3930">
      <c r="B3930" s="21">
        <f>IF(AND(C3930&lt;&gt;"", J3930&lt;&gt;""), HYPERLINK("#'" &amp; C3930 &amp; "'!" &amp; J3930, J3930), "")</f>
        <v/>
      </c>
    </row>
    <row r="3931">
      <c r="B3931" s="21">
        <f>IF(AND(C3931&lt;&gt;"", J3931&lt;&gt;""), HYPERLINK("#'" &amp; C3931 &amp; "'!" &amp; J3931, J3931), "")</f>
        <v/>
      </c>
    </row>
    <row r="3932">
      <c r="B3932" s="21">
        <f>IF(AND(C3932&lt;&gt;"", J3932&lt;&gt;""), HYPERLINK("#'" &amp; C3932 &amp; "'!" &amp; J3932, J3932), "")</f>
        <v/>
      </c>
    </row>
    <row r="3933">
      <c r="B3933" s="21">
        <f>IF(AND(C3933&lt;&gt;"", J3933&lt;&gt;""), HYPERLINK("#'" &amp; C3933 &amp; "'!" &amp; J3933, J3933), "")</f>
        <v/>
      </c>
    </row>
    <row r="3934">
      <c r="B3934" s="21">
        <f>IF(AND(C3934&lt;&gt;"", J3934&lt;&gt;""), HYPERLINK("#'" &amp; C3934 &amp; "'!" &amp; J3934, J3934), "")</f>
        <v/>
      </c>
    </row>
    <row r="3935">
      <c r="B3935" s="21">
        <f>IF(AND(C3935&lt;&gt;"", J3935&lt;&gt;""), HYPERLINK("#'" &amp; C3935 &amp; "'!" &amp; J3935, J3935), "")</f>
        <v/>
      </c>
    </row>
    <row r="3936">
      <c r="B3936" s="21">
        <f>IF(AND(C3936&lt;&gt;"", J3936&lt;&gt;""), HYPERLINK("#'" &amp; C3936 &amp; "'!" &amp; J3936, J3936), "")</f>
        <v/>
      </c>
    </row>
    <row r="3937">
      <c r="B3937" s="21">
        <f>IF(AND(C3937&lt;&gt;"", J3937&lt;&gt;""), HYPERLINK("#'" &amp; C3937 &amp; "'!" &amp; J3937, J3937), "")</f>
        <v/>
      </c>
    </row>
    <row r="3938">
      <c r="B3938" s="21">
        <f>IF(AND(C3938&lt;&gt;"", J3938&lt;&gt;""), HYPERLINK("#'" &amp; C3938 &amp; "'!" &amp; J3938, J3938), "")</f>
        <v/>
      </c>
    </row>
    <row r="3939">
      <c r="B3939" s="21">
        <f>IF(AND(C3939&lt;&gt;"", J3939&lt;&gt;""), HYPERLINK("#'" &amp; C3939 &amp; "'!" &amp; J3939, J3939), "")</f>
        <v/>
      </c>
    </row>
    <row r="3940">
      <c r="B3940" s="21">
        <f>IF(AND(C3940&lt;&gt;"", J3940&lt;&gt;""), HYPERLINK("#'" &amp; C3940 &amp; "'!" &amp; J3940, J3940), "")</f>
        <v/>
      </c>
    </row>
    <row r="3941">
      <c r="B3941" s="21">
        <f>IF(AND(C3941&lt;&gt;"", J3941&lt;&gt;""), HYPERLINK("#'" &amp; C3941 &amp; "'!" &amp; J3941, J3941), "")</f>
        <v/>
      </c>
    </row>
    <row r="3942">
      <c r="B3942" s="21">
        <f>IF(AND(C3942&lt;&gt;"", J3942&lt;&gt;""), HYPERLINK("#'" &amp; C3942 &amp; "'!" &amp; J3942, J3942), "")</f>
        <v/>
      </c>
    </row>
    <row r="3943">
      <c r="B3943" s="21">
        <f>IF(AND(C3943&lt;&gt;"", J3943&lt;&gt;""), HYPERLINK("#'" &amp; C3943 &amp; "'!" &amp; J3943, J3943), "")</f>
        <v/>
      </c>
    </row>
    <row r="3944">
      <c r="B3944" s="21">
        <f>IF(AND(C3944&lt;&gt;"", J3944&lt;&gt;""), HYPERLINK("#'" &amp; C3944 &amp; "'!" &amp; J3944, J3944), "")</f>
        <v/>
      </c>
    </row>
    <row r="3945">
      <c r="B3945" s="21">
        <f>IF(AND(C3945&lt;&gt;"", J3945&lt;&gt;""), HYPERLINK("#'" &amp; C3945 &amp; "'!" &amp; J3945, J3945), "")</f>
        <v/>
      </c>
    </row>
    <row r="3946">
      <c r="B3946" s="21">
        <f>IF(AND(C3946&lt;&gt;"", J3946&lt;&gt;""), HYPERLINK("#'" &amp; C3946 &amp; "'!" &amp; J3946, J3946), "")</f>
        <v/>
      </c>
    </row>
    <row r="3947">
      <c r="B3947" s="21">
        <f>IF(AND(C3947&lt;&gt;"", J3947&lt;&gt;""), HYPERLINK("#'" &amp; C3947 &amp; "'!" &amp; J3947, J3947), "")</f>
        <v/>
      </c>
    </row>
    <row r="3948">
      <c r="B3948" s="21">
        <f>IF(AND(C3948&lt;&gt;"", J3948&lt;&gt;""), HYPERLINK("#'" &amp; C3948 &amp; "'!" &amp; J3948, J3948), "")</f>
        <v/>
      </c>
    </row>
    <row r="3949">
      <c r="B3949" s="21">
        <f>IF(AND(C3949&lt;&gt;"", J3949&lt;&gt;""), HYPERLINK("#'" &amp; C3949 &amp; "'!" &amp; J3949, J3949), "")</f>
        <v/>
      </c>
    </row>
    <row r="3950">
      <c r="B3950" s="21">
        <f>IF(AND(C3950&lt;&gt;"", J3950&lt;&gt;""), HYPERLINK("#'" &amp; C3950 &amp; "'!" &amp; J3950, J3950), "")</f>
        <v/>
      </c>
    </row>
    <row r="3951">
      <c r="B3951" s="21">
        <f>IF(AND(C3951&lt;&gt;"", J3951&lt;&gt;""), HYPERLINK("#'" &amp; C3951 &amp; "'!" &amp; J3951, J3951), "")</f>
        <v/>
      </c>
    </row>
    <row r="3952">
      <c r="B3952" s="21">
        <f>IF(AND(C3952&lt;&gt;"", J3952&lt;&gt;""), HYPERLINK("#'" &amp; C3952 &amp; "'!" &amp; J3952, J3952), "")</f>
        <v/>
      </c>
    </row>
    <row r="3953">
      <c r="B3953" s="21">
        <f>IF(AND(C3953&lt;&gt;"", J3953&lt;&gt;""), HYPERLINK("#'" &amp; C3953 &amp; "'!" &amp; J3953, J3953), "")</f>
        <v/>
      </c>
    </row>
    <row r="3954">
      <c r="B3954" s="21">
        <f>IF(AND(C3954&lt;&gt;"", J3954&lt;&gt;""), HYPERLINK("#'" &amp; C3954 &amp; "'!" &amp; J3954, J3954), "")</f>
        <v/>
      </c>
    </row>
    <row r="3955">
      <c r="B3955" s="21">
        <f>IF(AND(C3955&lt;&gt;"", J3955&lt;&gt;""), HYPERLINK("#'" &amp; C3955 &amp; "'!" &amp; J3955, J3955), "")</f>
        <v/>
      </c>
    </row>
    <row r="3956">
      <c r="B3956" s="21">
        <f>IF(AND(C3956&lt;&gt;"", J3956&lt;&gt;""), HYPERLINK("#'" &amp; C3956 &amp; "'!" &amp; J3956, J3956), "")</f>
        <v/>
      </c>
    </row>
    <row r="3957">
      <c r="B3957" s="21">
        <f>IF(AND(C3957&lt;&gt;"", J3957&lt;&gt;""), HYPERLINK("#'" &amp; C3957 &amp; "'!" &amp; J3957, J3957), "")</f>
        <v/>
      </c>
    </row>
    <row r="3958">
      <c r="B3958" s="21">
        <f>IF(AND(C3958&lt;&gt;"", J3958&lt;&gt;""), HYPERLINK("#'" &amp; C3958 &amp; "'!" &amp; J3958, J3958), "")</f>
        <v/>
      </c>
    </row>
    <row r="3959">
      <c r="B3959" s="21">
        <f>IF(AND(C3959&lt;&gt;"", J3959&lt;&gt;""), HYPERLINK("#'" &amp; C3959 &amp; "'!" &amp; J3959, J3959), "")</f>
        <v/>
      </c>
    </row>
    <row r="3960">
      <c r="B3960" s="21">
        <f>IF(AND(C3960&lt;&gt;"", J3960&lt;&gt;""), HYPERLINK("#'" &amp; C3960 &amp; "'!" &amp; J3960, J3960), "")</f>
        <v/>
      </c>
    </row>
    <row r="3961">
      <c r="B3961" s="21">
        <f>IF(AND(C3961&lt;&gt;"", J3961&lt;&gt;""), HYPERLINK("#'" &amp; C3961 &amp; "'!" &amp; J3961, J3961), "")</f>
        <v/>
      </c>
    </row>
    <row r="3962">
      <c r="B3962" s="21">
        <f>IF(AND(C3962&lt;&gt;"", J3962&lt;&gt;""), HYPERLINK("#'" &amp; C3962 &amp; "'!" &amp; J3962, J3962), "")</f>
        <v/>
      </c>
    </row>
    <row r="3963">
      <c r="B3963" s="21">
        <f>IF(AND(C3963&lt;&gt;"", J3963&lt;&gt;""), HYPERLINK("#'" &amp; C3963 &amp; "'!" &amp; J3963, J3963), "")</f>
        <v/>
      </c>
    </row>
    <row r="3964">
      <c r="B3964" s="21">
        <f>IF(AND(C3964&lt;&gt;"", J3964&lt;&gt;""), HYPERLINK("#'" &amp; C3964 &amp; "'!" &amp; J3964, J3964), "")</f>
        <v/>
      </c>
    </row>
    <row r="3965">
      <c r="B3965" s="21">
        <f>IF(AND(C3965&lt;&gt;"", J3965&lt;&gt;""), HYPERLINK("#'" &amp; C3965 &amp; "'!" &amp; J3965, J3965), "")</f>
        <v/>
      </c>
    </row>
    <row r="3966">
      <c r="B3966" s="21">
        <f>IF(AND(C3966&lt;&gt;"", J3966&lt;&gt;""), HYPERLINK("#'" &amp; C3966 &amp; "'!" &amp; J3966, J3966), "")</f>
        <v/>
      </c>
    </row>
    <row r="3967">
      <c r="B3967" s="21">
        <f>IF(AND(C3967&lt;&gt;"", J3967&lt;&gt;""), HYPERLINK("#'" &amp; C3967 &amp; "'!" &amp; J3967, J3967), "")</f>
        <v/>
      </c>
    </row>
    <row r="3968">
      <c r="B3968" s="21">
        <f>IF(AND(C3968&lt;&gt;"", J3968&lt;&gt;""), HYPERLINK("#'" &amp; C3968 &amp; "'!" &amp; J3968, J3968), "")</f>
        <v/>
      </c>
    </row>
    <row r="3969">
      <c r="B3969" s="21">
        <f>IF(AND(C3969&lt;&gt;"", J3969&lt;&gt;""), HYPERLINK("#'" &amp; C3969 &amp; "'!" &amp; J3969, J3969), "")</f>
        <v/>
      </c>
    </row>
    <row r="3970">
      <c r="B3970" s="21">
        <f>IF(AND(C3970&lt;&gt;"", J3970&lt;&gt;""), HYPERLINK("#'" &amp; C3970 &amp; "'!" &amp; J3970, J3970), "")</f>
        <v/>
      </c>
    </row>
    <row r="3971">
      <c r="B3971" s="21">
        <f>IF(AND(C3971&lt;&gt;"", J3971&lt;&gt;""), HYPERLINK("#'" &amp; C3971 &amp; "'!" &amp; J3971, J3971), "")</f>
        <v/>
      </c>
    </row>
    <row r="3972">
      <c r="B3972" s="21">
        <f>IF(AND(C3972&lt;&gt;"", J3972&lt;&gt;""), HYPERLINK("#'" &amp; C3972 &amp; "'!" &amp; J3972, J3972), "")</f>
        <v/>
      </c>
    </row>
    <row r="3973">
      <c r="B3973" s="21">
        <f>IF(AND(C3973&lt;&gt;"", J3973&lt;&gt;""), HYPERLINK("#'" &amp; C3973 &amp; "'!" &amp; J3973, J3973), "")</f>
        <v/>
      </c>
    </row>
    <row r="3974">
      <c r="B3974" s="21">
        <f>IF(AND(C3974&lt;&gt;"", J3974&lt;&gt;""), HYPERLINK("#'" &amp; C3974 &amp; "'!" &amp; J3974, J3974), "")</f>
        <v/>
      </c>
    </row>
    <row r="3975">
      <c r="B3975" s="21">
        <f>IF(AND(C3975&lt;&gt;"", J3975&lt;&gt;""), HYPERLINK("#'" &amp; C3975 &amp; "'!" &amp; J3975, J3975), "")</f>
        <v/>
      </c>
    </row>
    <row r="3976">
      <c r="B3976" s="21">
        <f>IF(AND(C3976&lt;&gt;"", J3976&lt;&gt;""), HYPERLINK("#'" &amp; C3976 &amp; "'!" &amp; J3976, J3976), "")</f>
        <v/>
      </c>
    </row>
    <row r="3977">
      <c r="B3977" s="21">
        <f>IF(AND(C3977&lt;&gt;"", J3977&lt;&gt;""), HYPERLINK("#'" &amp; C3977 &amp; "'!" &amp; J3977, J3977), "")</f>
        <v/>
      </c>
    </row>
    <row r="3978">
      <c r="B3978" s="21">
        <f>IF(AND(C3978&lt;&gt;"", J3978&lt;&gt;""), HYPERLINK("#'" &amp; C3978 &amp; "'!" &amp; J3978, J3978), "")</f>
        <v/>
      </c>
    </row>
    <row r="3979">
      <c r="B3979" s="21">
        <f>IF(AND(C3979&lt;&gt;"", J3979&lt;&gt;""), HYPERLINK("#'" &amp; C3979 &amp; "'!" &amp; J3979, J3979), "")</f>
        <v/>
      </c>
    </row>
    <row r="3980">
      <c r="B3980" s="21">
        <f>IF(AND(C3980&lt;&gt;"", J3980&lt;&gt;""), HYPERLINK("#'" &amp; C3980 &amp; "'!" &amp; J3980, J3980), "")</f>
        <v/>
      </c>
    </row>
    <row r="3981">
      <c r="B3981" s="21">
        <f>IF(AND(C3981&lt;&gt;"", J3981&lt;&gt;""), HYPERLINK("#'" &amp; C3981 &amp; "'!" &amp; J3981, J3981), "")</f>
        <v/>
      </c>
    </row>
    <row r="3982">
      <c r="B3982" s="21">
        <f>IF(AND(C3982&lt;&gt;"", J3982&lt;&gt;""), HYPERLINK("#'" &amp; C3982 &amp; "'!" &amp; J3982, J3982), "")</f>
        <v/>
      </c>
    </row>
    <row r="3983">
      <c r="B3983" s="21">
        <f>IF(AND(C3983&lt;&gt;"", J3983&lt;&gt;""), HYPERLINK("#'" &amp; C3983 &amp; "'!" &amp; J3983, J3983), "")</f>
        <v/>
      </c>
    </row>
    <row r="3984">
      <c r="B3984" s="21">
        <f>IF(AND(C3984&lt;&gt;"", J3984&lt;&gt;""), HYPERLINK("#'" &amp; C3984 &amp; "'!" &amp; J3984, J3984), "")</f>
        <v/>
      </c>
    </row>
    <row r="3985">
      <c r="B3985" s="21">
        <f>IF(AND(C3985&lt;&gt;"", J3985&lt;&gt;""), HYPERLINK("#'" &amp; C3985 &amp; "'!" &amp; J3985, J3985), "")</f>
        <v/>
      </c>
    </row>
    <row r="3986">
      <c r="B3986" s="21">
        <f>IF(AND(C3986&lt;&gt;"", J3986&lt;&gt;""), HYPERLINK("#'" &amp; C3986 &amp; "'!" &amp; J3986, J3986), "")</f>
        <v/>
      </c>
    </row>
    <row r="3987">
      <c r="B3987" s="21">
        <f>IF(AND(C3987&lt;&gt;"", J3987&lt;&gt;""), HYPERLINK("#'" &amp; C3987 &amp; "'!" &amp; J3987, J3987), "")</f>
        <v/>
      </c>
    </row>
    <row r="3988">
      <c r="B3988" s="21">
        <f>IF(AND(C3988&lt;&gt;"", J3988&lt;&gt;""), HYPERLINK("#'" &amp; C3988 &amp; "'!" &amp; J3988, J3988), "")</f>
        <v/>
      </c>
    </row>
    <row r="3989">
      <c r="B3989" s="21">
        <f>IF(AND(C3989&lt;&gt;"", J3989&lt;&gt;""), HYPERLINK("#'" &amp; C3989 &amp; "'!" &amp; J3989, J3989), "")</f>
        <v/>
      </c>
    </row>
    <row r="3990">
      <c r="B3990" s="21">
        <f>IF(AND(C3990&lt;&gt;"", J3990&lt;&gt;""), HYPERLINK("#'" &amp; C3990 &amp; "'!" &amp; J3990, J3990), "")</f>
        <v/>
      </c>
    </row>
    <row r="3991">
      <c r="B3991" s="21">
        <f>IF(AND(C3991&lt;&gt;"", J3991&lt;&gt;""), HYPERLINK("#'" &amp; C3991 &amp; "'!" &amp; J3991, J3991), "")</f>
        <v/>
      </c>
    </row>
    <row r="3992">
      <c r="B3992" s="21">
        <f>IF(AND(C3992&lt;&gt;"", J3992&lt;&gt;""), HYPERLINK("#'" &amp; C3992 &amp; "'!" &amp; J3992, J3992), "")</f>
        <v/>
      </c>
    </row>
    <row r="3993">
      <c r="B3993" s="21">
        <f>IF(AND(C3993&lt;&gt;"", J3993&lt;&gt;""), HYPERLINK("#'" &amp; C3993 &amp; "'!" &amp; J3993, J3993), "")</f>
        <v/>
      </c>
    </row>
    <row r="3994">
      <c r="B3994" s="21">
        <f>IF(AND(C3994&lt;&gt;"", J3994&lt;&gt;""), HYPERLINK("#'" &amp; C3994 &amp; "'!" &amp; J3994, J3994), "")</f>
        <v/>
      </c>
    </row>
    <row r="3995">
      <c r="B3995" s="21">
        <f>IF(AND(C3995&lt;&gt;"", J3995&lt;&gt;""), HYPERLINK("#'" &amp; C3995 &amp; "'!" &amp; J3995, J3995), "")</f>
        <v/>
      </c>
    </row>
    <row r="3996">
      <c r="B3996" s="21">
        <f>IF(AND(C3996&lt;&gt;"", J3996&lt;&gt;""), HYPERLINK("#'" &amp; C3996 &amp; "'!" &amp; J3996, J3996), "")</f>
        <v/>
      </c>
    </row>
    <row r="3997">
      <c r="B3997" s="21">
        <f>IF(AND(C3997&lt;&gt;"", J3997&lt;&gt;""), HYPERLINK("#'" &amp; C3997 &amp; "'!" &amp; J3997, J3997), "")</f>
        <v/>
      </c>
    </row>
    <row r="3998">
      <c r="B3998" s="21">
        <f>IF(AND(C3998&lt;&gt;"", J3998&lt;&gt;""), HYPERLINK("#'" &amp; C3998 &amp; "'!" &amp; J3998, J3998), "")</f>
        <v/>
      </c>
    </row>
    <row r="3999">
      <c r="B3999" s="21">
        <f>IF(AND(C3999&lt;&gt;"", J3999&lt;&gt;""), HYPERLINK("#'" &amp; C3999 &amp; "'!" &amp; J3999, J3999), "")</f>
        <v/>
      </c>
    </row>
    <row r="4000">
      <c r="B4000" s="21">
        <f>IF(AND(C4000&lt;&gt;"", J4000&lt;&gt;""), HYPERLINK("#'" &amp; C4000 &amp; "'!" &amp; J4000, J4000), "")</f>
        <v/>
      </c>
    </row>
    <row r="4001">
      <c r="B4001" s="21">
        <f>IF(AND(C4001&lt;&gt;"", J4001&lt;&gt;""), HYPERLINK("#'" &amp; C4001 &amp; "'!" &amp; J4001, J4001), "")</f>
        <v/>
      </c>
    </row>
    <row r="4002">
      <c r="B4002" s="21">
        <f>IF(AND(C4002&lt;&gt;"", J4002&lt;&gt;""), HYPERLINK("#'" &amp; C4002 &amp; "'!" &amp; J4002, J4002), "")</f>
        <v/>
      </c>
    </row>
    <row r="4003">
      <c r="B4003" s="21">
        <f>IF(AND(C4003&lt;&gt;"", J4003&lt;&gt;""), HYPERLINK("#'" &amp; C4003 &amp; "'!" &amp; J4003, J4003), "")</f>
        <v/>
      </c>
    </row>
    <row r="4004">
      <c r="B4004" s="21">
        <f>IF(AND(C4004&lt;&gt;"", J4004&lt;&gt;""), HYPERLINK("#'" &amp; C4004 &amp; "'!" &amp; J4004, J4004), "")</f>
        <v/>
      </c>
    </row>
    <row r="4005">
      <c r="B4005" s="21">
        <f>IF(AND(C4005&lt;&gt;"", J4005&lt;&gt;""), HYPERLINK("#'" &amp; C4005 &amp; "'!" &amp; J4005, J4005), "")</f>
        <v/>
      </c>
    </row>
    <row r="4006">
      <c r="B4006" s="21">
        <f>IF(AND(C4006&lt;&gt;"", J4006&lt;&gt;""), HYPERLINK("#'" &amp; C4006 &amp; "'!" &amp; J4006, J4006), "")</f>
        <v/>
      </c>
    </row>
    <row r="4007">
      <c r="B4007" s="21">
        <f>IF(AND(C4007&lt;&gt;"", J4007&lt;&gt;""), HYPERLINK("#'" &amp; C4007 &amp; "'!" &amp; J4007, J4007), "")</f>
        <v/>
      </c>
    </row>
    <row r="4008">
      <c r="B4008" s="21">
        <f>IF(AND(C4008&lt;&gt;"", J4008&lt;&gt;""), HYPERLINK("#'" &amp; C4008 &amp; "'!" &amp; J4008, J4008), "")</f>
        <v/>
      </c>
    </row>
    <row r="4009">
      <c r="B4009" s="21">
        <f>IF(AND(C4009&lt;&gt;"", J4009&lt;&gt;""), HYPERLINK("#'" &amp; C4009 &amp; "'!" &amp; J4009, J4009), "")</f>
        <v/>
      </c>
    </row>
    <row r="4010">
      <c r="B4010" s="21">
        <f>IF(AND(C4010&lt;&gt;"", J4010&lt;&gt;""), HYPERLINK("#'" &amp; C4010 &amp; "'!" &amp; J4010, J4010), "")</f>
        <v/>
      </c>
    </row>
    <row r="4011">
      <c r="B4011" s="21">
        <f>IF(AND(C4011&lt;&gt;"", J4011&lt;&gt;""), HYPERLINK("#'" &amp; C4011 &amp; "'!" &amp; J4011, J4011), "")</f>
        <v/>
      </c>
    </row>
    <row r="4012">
      <c r="B4012" s="21">
        <f>IF(AND(C4012&lt;&gt;"", J4012&lt;&gt;""), HYPERLINK("#'" &amp; C4012 &amp; "'!" &amp; J4012, J4012), "")</f>
        <v/>
      </c>
    </row>
    <row r="4013">
      <c r="B4013" s="21">
        <f>IF(AND(C4013&lt;&gt;"", J4013&lt;&gt;""), HYPERLINK("#'" &amp; C4013 &amp; "'!" &amp; J4013, J4013), "")</f>
        <v/>
      </c>
    </row>
    <row r="4014">
      <c r="B4014" s="21">
        <f>IF(AND(C4014&lt;&gt;"", J4014&lt;&gt;""), HYPERLINK("#'" &amp; C4014 &amp; "'!" &amp; J4014, J4014), "")</f>
        <v/>
      </c>
    </row>
    <row r="4015">
      <c r="B4015" s="21">
        <f>IF(AND(C4015&lt;&gt;"", J4015&lt;&gt;""), HYPERLINK("#'" &amp; C4015 &amp; "'!" &amp; J4015, J4015), "")</f>
        <v/>
      </c>
    </row>
    <row r="4016">
      <c r="B4016" s="21">
        <f>IF(AND(C4016&lt;&gt;"", J4016&lt;&gt;""), HYPERLINK("#'" &amp; C4016 &amp; "'!" &amp; J4016, J4016), "")</f>
        <v/>
      </c>
    </row>
    <row r="4017">
      <c r="B4017" s="21">
        <f>IF(AND(C4017&lt;&gt;"", J4017&lt;&gt;""), HYPERLINK("#'" &amp; C4017 &amp; "'!" &amp; J4017, J4017), "")</f>
        <v/>
      </c>
    </row>
    <row r="4018">
      <c r="B4018" s="21">
        <f>IF(AND(C4018&lt;&gt;"", J4018&lt;&gt;""), HYPERLINK("#'" &amp; C4018 &amp; "'!" &amp; J4018, J4018), "")</f>
        <v/>
      </c>
    </row>
    <row r="4019">
      <c r="B4019" s="21">
        <f>IF(AND(C4019&lt;&gt;"", J4019&lt;&gt;""), HYPERLINK("#'" &amp; C4019 &amp; "'!" &amp; J4019, J4019), "")</f>
        <v/>
      </c>
    </row>
    <row r="4020">
      <c r="B4020" s="21">
        <f>IF(AND(C4020&lt;&gt;"", J4020&lt;&gt;""), HYPERLINK("#'" &amp; C4020 &amp; "'!" &amp; J4020, J4020), "")</f>
        <v/>
      </c>
    </row>
    <row r="4021">
      <c r="B4021" s="21">
        <f>IF(AND(C4021&lt;&gt;"", J4021&lt;&gt;""), HYPERLINK("#'" &amp; C4021 &amp; "'!" &amp; J4021, J4021), "")</f>
        <v/>
      </c>
    </row>
    <row r="4022">
      <c r="B4022" s="21">
        <f>IF(AND(C4022&lt;&gt;"", J4022&lt;&gt;""), HYPERLINK("#'" &amp; C4022 &amp; "'!" &amp; J4022, J4022), "")</f>
        <v/>
      </c>
    </row>
    <row r="4023">
      <c r="B4023" s="21">
        <f>IF(AND(C4023&lt;&gt;"", J4023&lt;&gt;""), HYPERLINK("#'" &amp; C4023 &amp; "'!" &amp; J4023, J4023), "")</f>
        <v/>
      </c>
    </row>
    <row r="4024">
      <c r="B4024" s="21">
        <f>IF(AND(C4024&lt;&gt;"", J4024&lt;&gt;""), HYPERLINK("#'" &amp; C4024 &amp; "'!" &amp; J4024, J4024), "")</f>
        <v/>
      </c>
    </row>
    <row r="4025">
      <c r="B4025" s="21">
        <f>IF(AND(C4025&lt;&gt;"", J4025&lt;&gt;""), HYPERLINK("#'" &amp; C4025 &amp; "'!" &amp; J4025, J4025), "")</f>
        <v/>
      </c>
    </row>
    <row r="4026">
      <c r="B4026" s="21">
        <f>IF(AND(C4026&lt;&gt;"", J4026&lt;&gt;""), HYPERLINK("#'" &amp; C4026 &amp; "'!" &amp; J4026, J4026), "")</f>
        <v/>
      </c>
    </row>
    <row r="4027">
      <c r="B4027" s="21">
        <f>IF(AND(C4027&lt;&gt;"", J4027&lt;&gt;""), HYPERLINK("#'" &amp; C4027 &amp; "'!" &amp; J4027, J4027), "")</f>
        <v/>
      </c>
    </row>
    <row r="4028">
      <c r="B4028" s="21">
        <f>IF(AND(C4028&lt;&gt;"", J4028&lt;&gt;""), HYPERLINK("#'" &amp; C4028 &amp; "'!" &amp; J4028, J4028), "")</f>
        <v/>
      </c>
    </row>
    <row r="4029">
      <c r="B4029" s="21">
        <f>IF(AND(C4029&lt;&gt;"", J4029&lt;&gt;""), HYPERLINK("#'" &amp; C4029 &amp; "'!" &amp; J4029, J4029), "")</f>
        <v/>
      </c>
    </row>
    <row r="4030">
      <c r="B4030" s="21">
        <f>IF(AND(C4030&lt;&gt;"", J4030&lt;&gt;""), HYPERLINK("#'" &amp; C4030 &amp; "'!" &amp; J4030, J4030), "")</f>
        <v/>
      </c>
    </row>
    <row r="4031">
      <c r="B4031" s="21">
        <f>IF(AND(C4031&lt;&gt;"", J4031&lt;&gt;""), HYPERLINK("#'" &amp; C4031 &amp; "'!" &amp; J4031, J4031), "")</f>
        <v/>
      </c>
    </row>
    <row r="4032">
      <c r="B4032" s="21">
        <f>IF(AND(C4032&lt;&gt;"", J4032&lt;&gt;""), HYPERLINK("#'" &amp; C4032 &amp; "'!" &amp; J4032, J4032), "")</f>
        <v/>
      </c>
    </row>
    <row r="4033">
      <c r="B4033" s="21">
        <f>IF(AND(C4033&lt;&gt;"", J4033&lt;&gt;""), HYPERLINK("#'" &amp; C4033 &amp; "'!" &amp; J4033, J4033), "")</f>
        <v/>
      </c>
    </row>
    <row r="4034">
      <c r="B4034" s="21">
        <f>IF(AND(C4034&lt;&gt;"", J4034&lt;&gt;""), HYPERLINK("#'" &amp; C4034 &amp; "'!" &amp; J4034, J4034), "")</f>
        <v/>
      </c>
    </row>
    <row r="4035">
      <c r="B4035" s="21">
        <f>IF(AND(C4035&lt;&gt;"", J4035&lt;&gt;""), HYPERLINK("#'" &amp; C4035 &amp; "'!" &amp; J4035, J4035), "")</f>
        <v/>
      </c>
    </row>
    <row r="4036">
      <c r="B4036" s="21">
        <f>IF(AND(C4036&lt;&gt;"", J4036&lt;&gt;""), HYPERLINK("#'" &amp; C4036 &amp; "'!" &amp; J4036, J4036), "")</f>
        <v/>
      </c>
    </row>
    <row r="4037">
      <c r="B4037" s="21">
        <f>IF(AND(C4037&lt;&gt;"", J4037&lt;&gt;""), HYPERLINK("#'" &amp; C4037 &amp; "'!" &amp; J4037, J4037), "")</f>
        <v/>
      </c>
    </row>
    <row r="4038">
      <c r="B4038" s="21">
        <f>IF(AND(C4038&lt;&gt;"", J4038&lt;&gt;""), HYPERLINK("#'" &amp; C4038 &amp; "'!" &amp; J4038, J4038), "")</f>
        <v/>
      </c>
    </row>
    <row r="4039">
      <c r="B4039" s="21">
        <f>IF(AND(C4039&lt;&gt;"", J4039&lt;&gt;""), HYPERLINK("#'" &amp; C4039 &amp; "'!" &amp; J4039, J4039), "")</f>
        <v/>
      </c>
    </row>
    <row r="4040">
      <c r="B4040" s="21">
        <f>IF(AND(C4040&lt;&gt;"", J4040&lt;&gt;""), HYPERLINK("#'" &amp; C4040 &amp; "'!" &amp; J4040, J4040), "")</f>
        <v/>
      </c>
    </row>
    <row r="4041">
      <c r="B4041" s="21">
        <f>IF(AND(C4041&lt;&gt;"", J4041&lt;&gt;""), HYPERLINK("#'" &amp; C4041 &amp; "'!" &amp; J4041, J4041), "")</f>
        <v/>
      </c>
    </row>
    <row r="4042">
      <c r="B4042" s="21">
        <f>IF(AND(C4042&lt;&gt;"", J4042&lt;&gt;""), HYPERLINK("#'" &amp; C4042 &amp; "'!" &amp; J4042, J4042), "")</f>
        <v/>
      </c>
    </row>
    <row r="4043">
      <c r="B4043" s="21">
        <f>IF(AND(C4043&lt;&gt;"", J4043&lt;&gt;""), HYPERLINK("#'" &amp; C4043 &amp; "'!" &amp; J4043, J4043), "")</f>
        <v/>
      </c>
    </row>
    <row r="4044">
      <c r="B4044" s="21">
        <f>IF(AND(C4044&lt;&gt;"", J4044&lt;&gt;""), HYPERLINK("#'" &amp; C4044 &amp; "'!" &amp; J4044, J4044), "")</f>
        <v/>
      </c>
    </row>
    <row r="4045">
      <c r="B4045" s="21">
        <f>IF(AND(C4045&lt;&gt;"", J4045&lt;&gt;""), HYPERLINK("#'" &amp; C4045 &amp; "'!" &amp; J4045, J4045), "")</f>
        <v/>
      </c>
    </row>
    <row r="4046">
      <c r="B4046" s="21">
        <f>IF(AND(C4046&lt;&gt;"", J4046&lt;&gt;""), HYPERLINK("#'" &amp; C4046 &amp; "'!" &amp; J4046, J4046), "")</f>
        <v/>
      </c>
    </row>
    <row r="4047">
      <c r="B4047" s="21">
        <f>IF(AND(C4047&lt;&gt;"", J4047&lt;&gt;""), HYPERLINK("#'" &amp; C4047 &amp; "'!" &amp; J4047, J4047), "")</f>
        <v/>
      </c>
    </row>
    <row r="4048">
      <c r="B4048" s="21">
        <f>IF(AND(C4048&lt;&gt;"", J4048&lt;&gt;""), HYPERLINK("#'" &amp; C4048 &amp; "'!" &amp; J4048, J4048), "")</f>
        <v/>
      </c>
    </row>
    <row r="4049">
      <c r="B4049" s="21">
        <f>IF(AND(C4049&lt;&gt;"", J4049&lt;&gt;""), HYPERLINK("#'" &amp; C4049 &amp; "'!" &amp; J4049, J4049), "")</f>
        <v/>
      </c>
    </row>
    <row r="4050">
      <c r="B4050" s="21">
        <f>IF(AND(C4050&lt;&gt;"", J4050&lt;&gt;""), HYPERLINK("#'" &amp; C4050 &amp; "'!" &amp; J4050, J4050), "")</f>
        <v/>
      </c>
    </row>
    <row r="4051">
      <c r="B4051" s="21">
        <f>IF(AND(C4051&lt;&gt;"", J4051&lt;&gt;""), HYPERLINK("#'" &amp; C4051 &amp; "'!" &amp; J4051, J4051), "")</f>
        <v/>
      </c>
    </row>
    <row r="4052">
      <c r="B4052" s="21">
        <f>IF(AND(C4052&lt;&gt;"", J4052&lt;&gt;""), HYPERLINK("#'" &amp; C4052 &amp; "'!" &amp; J4052, J4052), "")</f>
        <v/>
      </c>
    </row>
    <row r="4053">
      <c r="B4053" s="21">
        <f>IF(AND(C4053&lt;&gt;"", J4053&lt;&gt;""), HYPERLINK("#'" &amp; C4053 &amp; "'!" &amp; J4053, J4053), "")</f>
        <v/>
      </c>
    </row>
    <row r="4054">
      <c r="B4054" s="21">
        <f>IF(AND(C4054&lt;&gt;"", J4054&lt;&gt;""), HYPERLINK("#'" &amp; C4054 &amp; "'!" &amp; J4054, J4054), "")</f>
        <v/>
      </c>
    </row>
    <row r="4055">
      <c r="B4055" s="21">
        <f>IF(AND(C4055&lt;&gt;"", J4055&lt;&gt;""), HYPERLINK("#'" &amp; C4055 &amp; "'!" &amp; J4055, J4055), "")</f>
        <v/>
      </c>
    </row>
    <row r="4056">
      <c r="B4056" s="21">
        <f>IF(AND(C4056&lt;&gt;"", J4056&lt;&gt;""), HYPERLINK("#'" &amp; C4056 &amp; "'!" &amp; J4056, J4056), "")</f>
        <v/>
      </c>
    </row>
    <row r="4057">
      <c r="B4057" s="21">
        <f>IF(AND(C4057&lt;&gt;"", J4057&lt;&gt;""), HYPERLINK("#'" &amp; C4057 &amp; "'!" &amp; J4057, J4057), "")</f>
        <v/>
      </c>
    </row>
    <row r="4058">
      <c r="B4058" s="21">
        <f>IF(AND(C4058&lt;&gt;"", J4058&lt;&gt;""), HYPERLINK("#'" &amp; C4058 &amp; "'!" &amp; J4058, J4058), "")</f>
        <v/>
      </c>
    </row>
    <row r="4059">
      <c r="B4059" s="21">
        <f>IF(AND(C4059&lt;&gt;"", J4059&lt;&gt;""), HYPERLINK("#'" &amp; C4059 &amp; "'!" &amp; J4059, J4059), "")</f>
        <v/>
      </c>
    </row>
    <row r="4060">
      <c r="B4060" s="21">
        <f>IF(AND(C4060&lt;&gt;"", J4060&lt;&gt;""), HYPERLINK("#'" &amp; C4060 &amp; "'!" &amp; J4060, J4060), "")</f>
        <v/>
      </c>
    </row>
    <row r="4061">
      <c r="B4061" s="21">
        <f>IF(AND(C4061&lt;&gt;"", J4061&lt;&gt;""), HYPERLINK("#'" &amp; C4061 &amp; "'!" &amp; J4061, J4061), "")</f>
        <v/>
      </c>
    </row>
    <row r="4062">
      <c r="B4062" s="21">
        <f>IF(AND(C4062&lt;&gt;"", J4062&lt;&gt;""), HYPERLINK("#'" &amp; C4062 &amp; "'!" &amp; J4062, J4062), "")</f>
        <v/>
      </c>
    </row>
    <row r="4063">
      <c r="B4063" s="21">
        <f>IF(AND(C4063&lt;&gt;"", J4063&lt;&gt;""), HYPERLINK("#'" &amp; C4063 &amp; "'!" &amp; J4063, J4063), "")</f>
        <v/>
      </c>
    </row>
    <row r="4064">
      <c r="B4064" s="21">
        <f>IF(AND(C4064&lt;&gt;"", J4064&lt;&gt;""), HYPERLINK("#'" &amp; C4064 &amp; "'!" &amp; J4064, J4064), "")</f>
        <v/>
      </c>
    </row>
    <row r="4065">
      <c r="B4065" s="21">
        <f>IF(AND(C4065&lt;&gt;"", J4065&lt;&gt;""), HYPERLINK("#'" &amp; C4065 &amp; "'!" &amp; J4065, J4065), "")</f>
        <v/>
      </c>
    </row>
    <row r="4066">
      <c r="B4066" s="21">
        <f>IF(AND(C4066&lt;&gt;"", J4066&lt;&gt;""), HYPERLINK("#'" &amp; C4066 &amp; "'!" &amp; J4066, J4066), "")</f>
        <v/>
      </c>
    </row>
    <row r="4067">
      <c r="B4067" s="21">
        <f>IF(AND(C4067&lt;&gt;"", J4067&lt;&gt;""), HYPERLINK("#'" &amp; C4067 &amp; "'!" &amp; J4067, J4067), "")</f>
        <v/>
      </c>
    </row>
    <row r="4068">
      <c r="B4068" s="21">
        <f>IF(AND(C4068&lt;&gt;"", J4068&lt;&gt;""), HYPERLINK("#'" &amp; C4068 &amp; "'!" &amp; J4068, J4068), "")</f>
        <v/>
      </c>
    </row>
    <row r="4069">
      <c r="B4069" s="21">
        <f>IF(AND(C4069&lt;&gt;"", J4069&lt;&gt;""), HYPERLINK("#'" &amp; C4069 &amp; "'!" &amp; J4069, J4069), "")</f>
        <v/>
      </c>
    </row>
    <row r="4070">
      <c r="B4070" s="21">
        <f>IF(AND(C4070&lt;&gt;"", J4070&lt;&gt;""), HYPERLINK("#'" &amp; C4070 &amp; "'!" &amp; J4070, J4070), "")</f>
        <v/>
      </c>
    </row>
    <row r="4071">
      <c r="B4071" s="21">
        <f>IF(AND(C4071&lt;&gt;"", J4071&lt;&gt;""), HYPERLINK("#'" &amp; C4071 &amp; "'!" &amp; J4071, J4071), "")</f>
        <v/>
      </c>
    </row>
    <row r="4072">
      <c r="B4072" s="21">
        <f>IF(AND(C4072&lt;&gt;"", J4072&lt;&gt;""), HYPERLINK("#'" &amp; C4072 &amp; "'!" &amp; J4072, J4072), "")</f>
        <v/>
      </c>
    </row>
    <row r="4073">
      <c r="B4073" s="21">
        <f>IF(AND(C4073&lt;&gt;"", J4073&lt;&gt;""), HYPERLINK("#'" &amp; C4073 &amp; "'!" &amp; J4073, J4073), "")</f>
        <v/>
      </c>
    </row>
    <row r="4074">
      <c r="B4074" s="21">
        <f>IF(AND(C4074&lt;&gt;"", J4074&lt;&gt;""), HYPERLINK("#'" &amp; C4074 &amp; "'!" &amp; J4074, J4074), "")</f>
        <v/>
      </c>
    </row>
    <row r="4075">
      <c r="B4075" s="21">
        <f>IF(AND(C4075&lt;&gt;"", J4075&lt;&gt;""), HYPERLINK("#'" &amp; C4075 &amp; "'!" &amp; J4075, J4075), "")</f>
        <v/>
      </c>
    </row>
    <row r="4076">
      <c r="B4076" s="21">
        <f>IF(AND(C4076&lt;&gt;"", J4076&lt;&gt;""), HYPERLINK("#'" &amp; C4076 &amp; "'!" &amp; J4076, J4076), "")</f>
        <v/>
      </c>
    </row>
    <row r="4077">
      <c r="B4077" s="21">
        <f>IF(AND(C4077&lt;&gt;"", J4077&lt;&gt;""), HYPERLINK("#'" &amp; C4077 &amp; "'!" &amp; J4077, J4077), "")</f>
        <v/>
      </c>
    </row>
    <row r="4078">
      <c r="B4078" s="21">
        <f>IF(AND(C4078&lt;&gt;"", J4078&lt;&gt;""), HYPERLINK("#'" &amp; C4078 &amp; "'!" &amp; J4078, J4078), "")</f>
        <v/>
      </c>
    </row>
    <row r="4079">
      <c r="B4079" s="21">
        <f>IF(AND(C4079&lt;&gt;"", J4079&lt;&gt;""), HYPERLINK("#'" &amp; C4079 &amp; "'!" &amp; J4079, J4079), "")</f>
        <v/>
      </c>
    </row>
    <row r="4080">
      <c r="B4080" s="21">
        <f>IF(AND(C4080&lt;&gt;"", J4080&lt;&gt;""), HYPERLINK("#'" &amp; C4080 &amp; "'!" &amp; J4080, J4080), "")</f>
        <v/>
      </c>
    </row>
    <row r="4081">
      <c r="B4081" s="21">
        <f>IF(AND(C4081&lt;&gt;"", J4081&lt;&gt;""), HYPERLINK("#'" &amp; C4081 &amp; "'!" &amp; J4081, J4081), "")</f>
        <v/>
      </c>
    </row>
    <row r="4082">
      <c r="B4082" s="21">
        <f>IF(AND(C4082&lt;&gt;"", J4082&lt;&gt;""), HYPERLINK("#'" &amp; C4082 &amp; "'!" &amp; J4082, J4082), "")</f>
        <v/>
      </c>
    </row>
    <row r="4083">
      <c r="B4083" s="21">
        <f>IF(AND(C4083&lt;&gt;"", J4083&lt;&gt;""), HYPERLINK("#'" &amp; C4083 &amp; "'!" &amp; J4083, J4083), "")</f>
        <v/>
      </c>
    </row>
    <row r="4084">
      <c r="B4084" s="21">
        <f>IF(AND(C4084&lt;&gt;"", J4084&lt;&gt;""), HYPERLINK("#'" &amp; C4084 &amp; "'!" &amp; J4084, J4084), "")</f>
        <v/>
      </c>
    </row>
    <row r="4085">
      <c r="B4085" s="21">
        <f>IF(AND(C4085&lt;&gt;"", J4085&lt;&gt;""), HYPERLINK("#'" &amp; C4085 &amp; "'!" &amp; J4085, J4085), "")</f>
        <v/>
      </c>
    </row>
    <row r="4086">
      <c r="B4086" s="21">
        <f>IF(AND(C4086&lt;&gt;"", J4086&lt;&gt;""), HYPERLINK("#'" &amp; C4086 &amp; "'!" &amp; J4086, J4086), "")</f>
        <v/>
      </c>
    </row>
    <row r="4087">
      <c r="B4087" s="21">
        <f>IF(AND(C4087&lt;&gt;"", J4087&lt;&gt;""), HYPERLINK("#'" &amp; C4087 &amp; "'!" &amp; J4087, J4087), "")</f>
        <v/>
      </c>
    </row>
    <row r="4088">
      <c r="B4088" s="21">
        <f>IF(AND(C4088&lt;&gt;"", J4088&lt;&gt;""), HYPERLINK("#'" &amp; C4088 &amp; "'!" &amp; J4088, J4088), "")</f>
        <v/>
      </c>
    </row>
    <row r="4089">
      <c r="B4089" s="21">
        <f>IF(AND(C4089&lt;&gt;"", J4089&lt;&gt;""), HYPERLINK("#'" &amp; C4089 &amp; "'!" &amp; J4089, J4089), "")</f>
        <v/>
      </c>
    </row>
    <row r="4090">
      <c r="B4090" s="21">
        <f>IF(AND(C4090&lt;&gt;"", J4090&lt;&gt;""), HYPERLINK("#'" &amp; C4090 &amp; "'!" &amp; J4090, J4090), "")</f>
        <v/>
      </c>
    </row>
    <row r="4091">
      <c r="B4091" s="21">
        <f>IF(AND(C4091&lt;&gt;"", J4091&lt;&gt;""), HYPERLINK("#'" &amp; C4091 &amp; "'!" &amp; J4091, J4091), "")</f>
        <v/>
      </c>
    </row>
    <row r="4092">
      <c r="B4092" s="21">
        <f>IF(AND(C4092&lt;&gt;"", J4092&lt;&gt;""), HYPERLINK("#'" &amp; C4092 &amp; "'!" &amp; J4092, J4092), "")</f>
        <v/>
      </c>
    </row>
    <row r="4093">
      <c r="B4093" s="21">
        <f>IF(AND(C4093&lt;&gt;"", J4093&lt;&gt;""), HYPERLINK("#'" &amp; C4093 &amp; "'!" &amp; J4093, J4093), "")</f>
        <v/>
      </c>
    </row>
    <row r="4094">
      <c r="B4094" s="21">
        <f>IF(AND(C4094&lt;&gt;"", J4094&lt;&gt;""), HYPERLINK("#'" &amp; C4094 &amp; "'!" &amp; J4094, J4094), "")</f>
        <v/>
      </c>
    </row>
    <row r="4095">
      <c r="B4095" s="21">
        <f>IF(AND(C4095&lt;&gt;"", J4095&lt;&gt;""), HYPERLINK("#'" &amp; C4095 &amp; "'!" &amp; J4095, J4095), "")</f>
        <v/>
      </c>
    </row>
    <row r="4096">
      <c r="B4096" s="21">
        <f>IF(AND(C4096&lt;&gt;"", J4096&lt;&gt;""), HYPERLINK("#'" &amp; C4096 &amp; "'!" &amp; J4096, J4096), "")</f>
        <v/>
      </c>
    </row>
    <row r="4097">
      <c r="B4097" s="21">
        <f>IF(AND(C4097&lt;&gt;"", J4097&lt;&gt;""), HYPERLINK("#'" &amp; C4097 &amp; "'!" &amp; J4097, J4097), "")</f>
        <v/>
      </c>
    </row>
    <row r="4098">
      <c r="B4098" s="21">
        <f>IF(AND(C4098&lt;&gt;"", J4098&lt;&gt;""), HYPERLINK("#'" &amp; C4098 &amp; "'!" &amp; J4098, J4098), "")</f>
        <v/>
      </c>
    </row>
    <row r="4099">
      <c r="B4099" s="21">
        <f>IF(AND(C4099&lt;&gt;"", J4099&lt;&gt;""), HYPERLINK("#'" &amp; C4099 &amp; "'!" &amp; J4099, J4099), "")</f>
        <v/>
      </c>
    </row>
    <row r="4100">
      <c r="B4100" s="21">
        <f>IF(AND(C4100&lt;&gt;"", J4100&lt;&gt;""), HYPERLINK("#'" &amp; C4100 &amp; "'!" &amp; J4100, J4100), "")</f>
        <v/>
      </c>
    </row>
    <row r="4101">
      <c r="B4101" s="21">
        <f>IF(AND(C4101&lt;&gt;"", J4101&lt;&gt;""), HYPERLINK("#'" &amp; C4101 &amp; "'!" &amp; J4101, J4101), "")</f>
        <v/>
      </c>
    </row>
    <row r="4102">
      <c r="B4102" s="21">
        <f>IF(AND(C4102&lt;&gt;"", J4102&lt;&gt;""), HYPERLINK("#'" &amp; C4102 &amp; "'!" &amp; J4102, J4102), "")</f>
        <v/>
      </c>
    </row>
    <row r="4103">
      <c r="B4103" s="21">
        <f>IF(AND(C4103&lt;&gt;"", J4103&lt;&gt;""), HYPERLINK("#'" &amp; C4103 &amp; "'!" &amp; J4103, J4103), "")</f>
        <v/>
      </c>
    </row>
    <row r="4104">
      <c r="B4104" s="21">
        <f>IF(AND(C4104&lt;&gt;"", J4104&lt;&gt;""), HYPERLINK("#'" &amp; C4104 &amp; "'!" &amp; J4104, J4104), "")</f>
        <v/>
      </c>
    </row>
    <row r="4105">
      <c r="B4105" s="21">
        <f>IF(AND(C4105&lt;&gt;"", J4105&lt;&gt;""), HYPERLINK("#'" &amp; C4105 &amp; "'!" &amp; J4105, J4105), "")</f>
        <v/>
      </c>
    </row>
    <row r="4106">
      <c r="B4106" s="21">
        <f>IF(AND(C4106&lt;&gt;"", J4106&lt;&gt;""), HYPERLINK("#'" &amp; C4106 &amp; "'!" &amp; J4106, J4106), "")</f>
        <v/>
      </c>
    </row>
    <row r="4107">
      <c r="B4107" s="21">
        <f>IF(AND(C4107&lt;&gt;"", J4107&lt;&gt;""), HYPERLINK("#'" &amp; C4107 &amp; "'!" &amp; J4107, J4107), "")</f>
        <v/>
      </c>
    </row>
    <row r="4108">
      <c r="B4108" s="21">
        <f>IF(AND(C4108&lt;&gt;"", J4108&lt;&gt;""), HYPERLINK("#'" &amp; C4108 &amp; "'!" &amp; J4108, J4108), "")</f>
        <v/>
      </c>
    </row>
    <row r="4109">
      <c r="B4109" s="21">
        <f>IF(AND(C4109&lt;&gt;"", J4109&lt;&gt;""), HYPERLINK("#'" &amp; C4109 &amp; "'!" &amp; J4109, J4109), "")</f>
        <v/>
      </c>
    </row>
    <row r="4110">
      <c r="B4110" s="21">
        <f>IF(AND(C4110&lt;&gt;"", J4110&lt;&gt;""), HYPERLINK("#'" &amp; C4110 &amp; "'!" &amp; J4110, J4110), "")</f>
        <v/>
      </c>
    </row>
    <row r="4111">
      <c r="B4111" s="21">
        <f>IF(AND(C4111&lt;&gt;"", J4111&lt;&gt;""), HYPERLINK("#'" &amp; C4111 &amp; "'!" &amp; J4111, J4111), "")</f>
        <v/>
      </c>
    </row>
    <row r="4112">
      <c r="B4112" s="21">
        <f>IF(AND(C4112&lt;&gt;"", J4112&lt;&gt;""), HYPERLINK("#'" &amp; C4112 &amp; "'!" &amp; J4112, J4112), "")</f>
        <v/>
      </c>
    </row>
    <row r="4113">
      <c r="B4113" s="21">
        <f>IF(AND(C4113&lt;&gt;"", J4113&lt;&gt;""), HYPERLINK("#'" &amp; C4113 &amp; "'!" &amp; J4113, J4113), "")</f>
        <v/>
      </c>
    </row>
    <row r="4114">
      <c r="B4114" s="21">
        <f>IF(AND(C4114&lt;&gt;"", J4114&lt;&gt;""), HYPERLINK("#'" &amp; C4114 &amp; "'!" &amp; J4114, J4114), "")</f>
        <v/>
      </c>
    </row>
    <row r="4115">
      <c r="B4115" s="21">
        <f>IF(AND(C4115&lt;&gt;"", J4115&lt;&gt;""), HYPERLINK("#'" &amp; C4115 &amp; "'!" &amp; J4115, J4115), "")</f>
        <v/>
      </c>
    </row>
    <row r="4116">
      <c r="B4116" s="21">
        <f>IF(AND(C4116&lt;&gt;"", J4116&lt;&gt;""), HYPERLINK("#'" &amp; C4116 &amp; "'!" &amp; J4116, J4116), "")</f>
        <v/>
      </c>
    </row>
    <row r="4117">
      <c r="B4117" s="21">
        <f>IF(AND(C4117&lt;&gt;"", J4117&lt;&gt;""), HYPERLINK("#'" &amp; C4117 &amp; "'!" &amp; J4117, J4117), "")</f>
        <v/>
      </c>
    </row>
    <row r="4118">
      <c r="B4118" s="21">
        <f>IF(AND(C4118&lt;&gt;"", J4118&lt;&gt;""), HYPERLINK("#'" &amp; C4118 &amp; "'!" &amp; J4118, J4118), "")</f>
        <v/>
      </c>
    </row>
    <row r="4119">
      <c r="B4119" s="21">
        <f>IF(AND(C4119&lt;&gt;"", J4119&lt;&gt;""), HYPERLINK("#'" &amp; C4119 &amp; "'!" &amp; J4119, J4119), "")</f>
        <v/>
      </c>
    </row>
    <row r="4120">
      <c r="B4120" s="21">
        <f>IF(AND(C4120&lt;&gt;"", J4120&lt;&gt;""), HYPERLINK("#'" &amp; C4120 &amp; "'!" &amp; J4120, J4120), "")</f>
        <v/>
      </c>
    </row>
    <row r="4121">
      <c r="B4121" s="21">
        <f>IF(AND(C4121&lt;&gt;"", J4121&lt;&gt;""), HYPERLINK("#'" &amp; C4121 &amp; "'!" &amp; J4121, J4121), "")</f>
        <v/>
      </c>
    </row>
    <row r="4122">
      <c r="B4122" s="21">
        <f>IF(AND(C4122&lt;&gt;"", J4122&lt;&gt;""), HYPERLINK("#'" &amp; C4122 &amp; "'!" &amp; J4122, J4122), "")</f>
        <v/>
      </c>
    </row>
    <row r="4123">
      <c r="B4123" s="21">
        <f>IF(AND(C4123&lt;&gt;"", J4123&lt;&gt;""), HYPERLINK("#'" &amp; C4123 &amp; "'!" &amp; J4123, J4123), "")</f>
        <v/>
      </c>
    </row>
    <row r="4124">
      <c r="B4124" s="21">
        <f>IF(AND(C4124&lt;&gt;"", J4124&lt;&gt;""), HYPERLINK("#'" &amp; C4124 &amp; "'!" &amp; J4124, J4124), "")</f>
        <v/>
      </c>
    </row>
    <row r="4125">
      <c r="B4125" s="21">
        <f>IF(AND(C4125&lt;&gt;"", J4125&lt;&gt;""), HYPERLINK("#'" &amp; C4125 &amp; "'!" &amp; J4125, J4125), "")</f>
        <v/>
      </c>
    </row>
    <row r="4126">
      <c r="B4126" s="21">
        <f>IF(AND(C4126&lt;&gt;"", J4126&lt;&gt;""), HYPERLINK("#'" &amp; C4126 &amp; "'!" &amp; J4126, J4126), "")</f>
        <v/>
      </c>
    </row>
    <row r="4127">
      <c r="B4127" s="21">
        <f>IF(AND(C4127&lt;&gt;"", J4127&lt;&gt;""), HYPERLINK("#'" &amp; C4127 &amp; "'!" &amp; J4127, J4127), "")</f>
        <v/>
      </c>
    </row>
    <row r="4128">
      <c r="B4128" s="21">
        <f>IF(AND(C4128&lt;&gt;"", J4128&lt;&gt;""), HYPERLINK("#'" &amp; C4128 &amp; "'!" &amp; J4128, J4128), "")</f>
        <v/>
      </c>
    </row>
    <row r="4129">
      <c r="B4129" s="21">
        <f>IF(AND(C4129&lt;&gt;"", J4129&lt;&gt;""), HYPERLINK("#'" &amp; C4129 &amp; "'!" &amp; J4129, J4129), "")</f>
        <v/>
      </c>
    </row>
    <row r="4130">
      <c r="B4130" s="21">
        <f>IF(AND(C4130&lt;&gt;"", J4130&lt;&gt;""), HYPERLINK("#'" &amp; C4130 &amp; "'!" &amp; J4130, J4130), "")</f>
        <v/>
      </c>
    </row>
    <row r="4131">
      <c r="B4131" s="21">
        <f>IF(AND(C4131&lt;&gt;"", J4131&lt;&gt;""), HYPERLINK("#'" &amp; C4131 &amp; "'!" &amp; J4131, J4131), "")</f>
        <v/>
      </c>
    </row>
    <row r="4132">
      <c r="B4132" s="21">
        <f>IF(AND(C4132&lt;&gt;"", J4132&lt;&gt;""), HYPERLINK("#'" &amp; C4132 &amp; "'!" &amp; J4132, J4132), "")</f>
        <v/>
      </c>
    </row>
    <row r="4133">
      <c r="B4133" s="21">
        <f>IF(AND(C4133&lt;&gt;"", J4133&lt;&gt;""), HYPERLINK("#'" &amp; C4133 &amp; "'!" &amp; J4133, J4133), "")</f>
        <v/>
      </c>
    </row>
    <row r="4134">
      <c r="B4134" s="21">
        <f>IF(AND(C4134&lt;&gt;"", J4134&lt;&gt;""), HYPERLINK("#'" &amp; C4134 &amp; "'!" &amp; J4134, J4134), "")</f>
        <v/>
      </c>
    </row>
    <row r="4135">
      <c r="B4135" s="21">
        <f>IF(AND(C4135&lt;&gt;"", J4135&lt;&gt;""), HYPERLINK("#'" &amp; C4135 &amp; "'!" &amp; J4135, J4135), "")</f>
        <v/>
      </c>
    </row>
    <row r="4136">
      <c r="B4136" s="21">
        <f>IF(AND(C4136&lt;&gt;"", J4136&lt;&gt;""), HYPERLINK("#'" &amp; C4136 &amp; "'!" &amp; J4136, J4136), "")</f>
        <v/>
      </c>
    </row>
    <row r="4137">
      <c r="B4137" s="21">
        <f>IF(AND(C4137&lt;&gt;"", J4137&lt;&gt;""), HYPERLINK("#'" &amp; C4137 &amp; "'!" &amp; J4137, J4137), "")</f>
        <v/>
      </c>
    </row>
    <row r="4138">
      <c r="B4138" s="21">
        <f>IF(AND(C4138&lt;&gt;"", J4138&lt;&gt;""), HYPERLINK("#'" &amp; C4138 &amp; "'!" &amp; J4138, J4138), "")</f>
        <v/>
      </c>
    </row>
    <row r="4139">
      <c r="B4139" s="21">
        <f>IF(AND(C4139&lt;&gt;"", J4139&lt;&gt;""), HYPERLINK("#'" &amp; C4139 &amp; "'!" &amp; J4139, J4139), "")</f>
        <v/>
      </c>
    </row>
    <row r="4140">
      <c r="B4140" s="21">
        <f>IF(AND(C4140&lt;&gt;"", J4140&lt;&gt;""), HYPERLINK("#'" &amp; C4140 &amp; "'!" &amp; J4140, J4140), "")</f>
        <v/>
      </c>
    </row>
    <row r="4141">
      <c r="B4141" s="21">
        <f>IF(AND(C4141&lt;&gt;"", J4141&lt;&gt;""), HYPERLINK("#'" &amp; C4141 &amp; "'!" &amp; J4141, J4141), "")</f>
        <v/>
      </c>
    </row>
    <row r="4142">
      <c r="B4142" s="21">
        <f>IF(AND(C4142&lt;&gt;"", J4142&lt;&gt;""), HYPERLINK("#'" &amp; C4142 &amp; "'!" &amp; J4142, J4142), "")</f>
        <v/>
      </c>
    </row>
    <row r="4143">
      <c r="B4143" s="21">
        <f>IF(AND(C4143&lt;&gt;"", J4143&lt;&gt;""), HYPERLINK("#'" &amp; C4143 &amp; "'!" &amp; J4143, J4143), "")</f>
        <v/>
      </c>
    </row>
    <row r="4144">
      <c r="B4144" s="21">
        <f>IF(AND(C4144&lt;&gt;"", J4144&lt;&gt;""), HYPERLINK("#'" &amp; C4144 &amp; "'!" &amp; J4144, J4144), "")</f>
        <v/>
      </c>
    </row>
    <row r="4145">
      <c r="B4145" s="21">
        <f>IF(AND(C4145&lt;&gt;"", J4145&lt;&gt;""), HYPERLINK("#'" &amp; C4145 &amp; "'!" &amp; J4145, J4145), "")</f>
        <v/>
      </c>
    </row>
    <row r="4146">
      <c r="B4146" s="21">
        <f>IF(AND(C4146&lt;&gt;"", J4146&lt;&gt;""), HYPERLINK("#'" &amp; C4146 &amp; "'!" &amp; J4146, J4146), "")</f>
        <v/>
      </c>
    </row>
    <row r="4147">
      <c r="B4147" s="21">
        <f>IF(AND(C4147&lt;&gt;"", J4147&lt;&gt;""), HYPERLINK("#'" &amp; C4147 &amp; "'!" &amp; J4147, J4147), "")</f>
        <v/>
      </c>
    </row>
    <row r="4148">
      <c r="B4148" s="21">
        <f>IF(AND(C4148&lt;&gt;"", J4148&lt;&gt;""), HYPERLINK("#'" &amp; C4148 &amp; "'!" &amp; J4148, J4148), "")</f>
        <v/>
      </c>
    </row>
    <row r="4149">
      <c r="B4149" s="21">
        <f>IF(AND(C4149&lt;&gt;"", J4149&lt;&gt;""), HYPERLINK("#'" &amp; C4149 &amp; "'!" &amp; J4149, J4149), "")</f>
        <v/>
      </c>
    </row>
    <row r="4150">
      <c r="B4150" s="21">
        <f>IF(AND(C4150&lt;&gt;"", J4150&lt;&gt;""), HYPERLINK("#'" &amp; C4150 &amp; "'!" &amp; J4150, J4150), "")</f>
        <v/>
      </c>
    </row>
    <row r="4151">
      <c r="B4151" s="21">
        <f>IF(AND(C4151&lt;&gt;"", J4151&lt;&gt;""), HYPERLINK("#'" &amp; C4151 &amp; "'!" &amp; J4151, J4151), "")</f>
        <v/>
      </c>
    </row>
    <row r="4152">
      <c r="B4152" s="21">
        <f>IF(AND(C4152&lt;&gt;"", J4152&lt;&gt;""), HYPERLINK("#'" &amp; C4152 &amp; "'!" &amp; J4152, J4152), "")</f>
        <v/>
      </c>
    </row>
    <row r="4153">
      <c r="B4153" s="21">
        <f>IF(AND(C4153&lt;&gt;"", J4153&lt;&gt;""), HYPERLINK("#'" &amp; C4153 &amp; "'!" &amp; J4153, J4153), "")</f>
        <v/>
      </c>
    </row>
    <row r="4154">
      <c r="B4154" s="21">
        <f>IF(AND(C4154&lt;&gt;"", J4154&lt;&gt;""), HYPERLINK("#'" &amp; C4154 &amp; "'!" &amp; J4154, J4154), "")</f>
        <v/>
      </c>
    </row>
    <row r="4155">
      <c r="B4155" s="21">
        <f>IF(AND(C4155&lt;&gt;"", J4155&lt;&gt;""), HYPERLINK("#'" &amp; C4155 &amp; "'!" &amp; J4155, J4155), "")</f>
        <v/>
      </c>
    </row>
    <row r="4156">
      <c r="B4156" s="21">
        <f>IF(AND(C4156&lt;&gt;"", J4156&lt;&gt;""), HYPERLINK("#'" &amp; C4156 &amp; "'!" &amp; J4156, J4156), "")</f>
        <v/>
      </c>
    </row>
    <row r="4157">
      <c r="B4157" s="21">
        <f>IF(AND(C4157&lt;&gt;"", J4157&lt;&gt;""), HYPERLINK("#'" &amp; C4157 &amp; "'!" &amp; J4157, J4157), "")</f>
        <v/>
      </c>
    </row>
    <row r="4158">
      <c r="B4158" s="21">
        <f>IF(AND(C4158&lt;&gt;"", J4158&lt;&gt;""), HYPERLINK("#'" &amp; C4158 &amp; "'!" &amp; J4158, J4158), "")</f>
        <v/>
      </c>
    </row>
    <row r="4159">
      <c r="B4159" s="21">
        <f>IF(AND(C4159&lt;&gt;"", J4159&lt;&gt;""), HYPERLINK("#'" &amp; C4159 &amp; "'!" &amp; J4159, J4159), "")</f>
        <v/>
      </c>
    </row>
    <row r="4160">
      <c r="B4160" s="21">
        <f>IF(AND(C4160&lt;&gt;"", J4160&lt;&gt;""), HYPERLINK("#'" &amp; C4160 &amp; "'!" &amp; J4160, J4160), "")</f>
        <v/>
      </c>
    </row>
    <row r="4161">
      <c r="B4161" s="21">
        <f>IF(AND(C4161&lt;&gt;"", J4161&lt;&gt;""), HYPERLINK("#'" &amp; C4161 &amp; "'!" &amp; J4161, J4161), "")</f>
        <v/>
      </c>
    </row>
    <row r="4162">
      <c r="B4162" s="21">
        <f>IF(AND(C4162&lt;&gt;"", J4162&lt;&gt;""), HYPERLINK("#'" &amp; C4162 &amp; "'!" &amp; J4162, J4162), "")</f>
        <v/>
      </c>
    </row>
    <row r="4163">
      <c r="B4163" s="21">
        <f>IF(AND(C4163&lt;&gt;"", J4163&lt;&gt;""), HYPERLINK("#'" &amp; C4163 &amp; "'!" &amp; J4163, J4163), "")</f>
        <v/>
      </c>
    </row>
    <row r="4164">
      <c r="B4164" s="21">
        <f>IF(AND(C4164&lt;&gt;"", J4164&lt;&gt;""), HYPERLINK("#'" &amp; C4164 &amp; "'!" &amp; J4164, J4164), "")</f>
        <v/>
      </c>
    </row>
    <row r="4165">
      <c r="B4165" s="21">
        <f>IF(AND(C4165&lt;&gt;"", J4165&lt;&gt;""), HYPERLINK("#'" &amp; C4165 &amp; "'!" &amp; J4165, J4165), "")</f>
        <v/>
      </c>
    </row>
    <row r="4166">
      <c r="B4166" s="21">
        <f>IF(AND(C4166&lt;&gt;"", J4166&lt;&gt;""), HYPERLINK("#'" &amp; C4166 &amp; "'!" &amp; J4166, J4166), "")</f>
        <v/>
      </c>
    </row>
    <row r="4167">
      <c r="B4167" s="21">
        <f>IF(AND(C4167&lt;&gt;"", J4167&lt;&gt;""), HYPERLINK("#'" &amp; C4167 &amp; "'!" &amp; J4167, J4167), "")</f>
        <v/>
      </c>
    </row>
    <row r="4168">
      <c r="B4168" s="21">
        <f>IF(AND(C4168&lt;&gt;"", J4168&lt;&gt;""), HYPERLINK("#'" &amp; C4168 &amp; "'!" &amp; J4168, J4168), "")</f>
        <v/>
      </c>
    </row>
    <row r="4169">
      <c r="B4169" s="21">
        <f>IF(AND(C4169&lt;&gt;"", J4169&lt;&gt;""), HYPERLINK("#'" &amp; C4169 &amp; "'!" &amp; J4169, J4169), "")</f>
        <v/>
      </c>
    </row>
    <row r="4170">
      <c r="B4170" s="21">
        <f>IF(AND(C4170&lt;&gt;"", J4170&lt;&gt;""), HYPERLINK("#'" &amp; C4170 &amp; "'!" &amp; J4170, J4170), "")</f>
        <v/>
      </c>
    </row>
    <row r="4171">
      <c r="B4171" s="21">
        <f>IF(AND(C4171&lt;&gt;"", J4171&lt;&gt;""), HYPERLINK("#'" &amp; C4171 &amp; "'!" &amp; J4171, J4171), "")</f>
        <v/>
      </c>
    </row>
    <row r="4172">
      <c r="B4172" s="21">
        <f>IF(AND(C4172&lt;&gt;"", J4172&lt;&gt;""), HYPERLINK("#'" &amp; C4172 &amp; "'!" &amp; J4172, J4172), "")</f>
        <v/>
      </c>
    </row>
    <row r="4173">
      <c r="B4173" s="21">
        <f>IF(AND(C4173&lt;&gt;"", J4173&lt;&gt;""), HYPERLINK("#'" &amp; C4173 &amp; "'!" &amp; J4173, J4173), "")</f>
        <v/>
      </c>
    </row>
    <row r="4174">
      <c r="B4174" s="21">
        <f>IF(AND(C4174&lt;&gt;"", J4174&lt;&gt;""), HYPERLINK("#'" &amp; C4174 &amp; "'!" &amp; J4174, J4174), "")</f>
        <v/>
      </c>
    </row>
    <row r="4175">
      <c r="B4175" s="21">
        <f>IF(AND(C4175&lt;&gt;"", J4175&lt;&gt;""), HYPERLINK("#'" &amp; C4175 &amp; "'!" &amp; J4175, J4175), "")</f>
        <v/>
      </c>
    </row>
    <row r="4176">
      <c r="B4176" s="21">
        <f>IF(AND(C4176&lt;&gt;"", J4176&lt;&gt;""), HYPERLINK("#'" &amp; C4176 &amp; "'!" &amp; J4176, J4176), "")</f>
        <v/>
      </c>
    </row>
    <row r="4177">
      <c r="B4177" s="21">
        <f>IF(AND(C4177&lt;&gt;"", J4177&lt;&gt;""), HYPERLINK("#'" &amp; C4177 &amp; "'!" &amp; J4177, J4177), "")</f>
        <v/>
      </c>
    </row>
    <row r="4178">
      <c r="B4178" s="21">
        <f>IF(AND(C4178&lt;&gt;"", J4178&lt;&gt;""), HYPERLINK("#'" &amp; C4178 &amp; "'!" &amp; J4178, J4178), "")</f>
        <v/>
      </c>
    </row>
    <row r="4179">
      <c r="B4179" s="21">
        <f>IF(AND(C4179&lt;&gt;"", J4179&lt;&gt;""), HYPERLINK("#'" &amp; C4179 &amp; "'!" &amp; J4179, J4179), "")</f>
        <v/>
      </c>
    </row>
    <row r="4180">
      <c r="B4180" s="21">
        <f>IF(AND(C4180&lt;&gt;"", J4180&lt;&gt;""), HYPERLINK("#'" &amp; C4180 &amp; "'!" &amp; J4180, J4180), "")</f>
        <v/>
      </c>
    </row>
    <row r="4181">
      <c r="B4181" s="21">
        <f>IF(AND(C4181&lt;&gt;"", J4181&lt;&gt;""), HYPERLINK("#'" &amp; C4181 &amp; "'!" &amp; J4181, J4181), "")</f>
        <v/>
      </c>
    </row>
    <row r="4182">
      <c r="B4182" s="21">
        <f>IF(AND(C4182&lt;&gt;"", J4182&lt;&gt;""), HYPERLINK("#'" &amp; C4182 &amp; "'!" &amp; J4182, J4182), "")</f>
        <v/>
      </c>
    </row>
    <row r="4183">
      <c r="B4183" s="21">
        <f>IF(AND(C4183&lt;&gt;"", J4183&lt;&gt;""), HYPERLINK("#'" &amp; C4183 &amp; "'!" &amp; J4183, J4183), "")</f>
        <v/>
      </c>
    </row>
    <row r="4184">
      <c r="B4184" s="21">
        <f>IF(AND(C4184&lt;&gt;"", J4184&lt;&gt;""), HYPERLINK("#'" &amp; C4184 &amp; "'!" &amp; J4184, J4184), "")</f>
        <v/>
      </c>
    </row>
    <row r="4185">
      <c r="B4185" s="21">
        <f>IF(AND(C4185&lt;&gt;"", J4185&lt;&gt;""), HYPERLINK("#'" &amp; C4185 &amp; "'!" &amp; J4185, J4185), "")</f>
        <v/>
      </c>
    </row>
    <row r="4186">
      <c r="B4186" s="21">
        <f>IF(AND(C4186&lt;&gt;"", J4186&lt;&gt;""), HYPERLINK("#'" &amp; C4186 &amp; "'!" &amp; J4186, J4186), "")</f>
        <v/>
      </c>
    </row>
    <row r="4187">
      <c r="B4187" s="21">
        <f>IF(AND(C4187&lt;&gt;"", J4187&lt;&gt;""), HYPERLINK("#'" &amp; C4187 &amp; "'!" &amp; J4187, J4187), "")</f>
        <v/>
      </c>
    </row>
    <row r="4188">
      <c r="B4188" s="21">
        <f>IF(AND(C4188&lt;&gt;"", J4188&lt;&gt;""), HYPERLINK("#'" &amp; C4188 &amp; "'!" &amp; J4188, J4188), "")</f>
        <v/>
      </c>
    </row>
    <row r="4189">
      <c r="B4189" s="21">
        <f>IF(AND(C4189&lt;&gt;"", J4189&lt;&gt;""), HYPERLINK("#'" &amp; C4189 &amp; "'!" &amp; J4189, J4189), "")</f>
        <v/>
      </c>
    </row>
    <row r="4190">
      <c r="B4190" s="21">
        <f>IF(AND(C4190&lt;&gt;"", J4190&lt;&gt;""), HYPERLINK("#'" &amp; C4190 &amp; "'!" &amp; J4190, J4190), "")</f>
        <v/>
      </c>
    </row>
    <row r="4191">
      <c r="B4191" s="21">
        <f>IF(AND(C4191&lt;&gt;"", J4191&lt;&gt;""), HYPERLINK("#'" &amp; C4191 &amp; "'!" &amp; J4191, J4191), "")</f>
        <v/>
      </c>
    </row>
    <row r="4192">
      <c r="B4192" s="21">
        <f>IF(AND(C4192&lt;&gt;"", J4192&lt;&gt;""), HYPERLINK("#'" &amp; C4192 &amp; "'!" &amp; J4192, J4192), "")</f>
        <v/>
      </c>
    </row>
    <row r="4193">
      <c r="B4193" s="21">
        <f>IF(AND(C4193&lt;&gt;"", J4193&lt;&gt;""), HYPERLINK("#'" &amp; C4193 &amp; "'!" &amp; J4193, J4193), "")</f>
        <v/>
      </c>
    </row>
    <row r="4194">
      <c r="B4194" s="21">
        <f>IF(AND(C4194&lt;&gt;"", J4194&lt;&gt;""), HYPERLINK("#'" &amp; C4194 &amp; "'!" &amp; J4194, J4194), "")</f>
        <v/>
      </c>
    </row>
    <row r="4195">
      <c r="B4195" s="21">
        <f>IF(AND(C4195&lt;&gt;"", J4195&lt;&gt;""), HYPERLINK("#'" &amp; C4195 &amp; "'!" &amp; J4195, J4195), "")</f>
        <v/>
      </c>
    </row>
    <row r="4196">
      <c r="B4196" s="21">
        <f>IF(AND(C4196&lt;&gt;"", J4196&lt;&gt;""), HYPERLINK("#'" &amp; C4196 &amp; "'!" &amp; J4196, J4196), "")</f>
        <v/>
      </c>
    </row>
    <row r="4197">
      <c r="B4197" s="21">
        <f>IF(AND(C4197&lt;&gt;"", J4197&lt;&gt;""), HYPERLINK("#'" &amp; C4197 &amp; "'!" &amp; J4197, J4197), "")</f>
        <v/>
      </c>
    </row>
    <row r="4198">
      <c r="B4198" s="21">
        <f>IF(AND(C4198&lt;&gt;"", J4198&lt;&gt;""), HYPERLINK("#'" &amp; C4198 &amp; "'!" &amp; J4198, J4198), "")</f>
        <v/>
      </c>
    </row>
    <row r="4199">
      <c r="B4199" s="21">
        <f>IF(AND(C4199&lt;&gt;"", J4199&lt;&gt;""), HYPERLINK("#'" &amp; C4199 &amp; "'!" &amp; J4199, J4199), "")</f>
        <v/>
      </c>
    </row>
    <row r="4200">
      <c r="B4200" s="21">
        <f>IF(AND(C4200&lt;&gt;"", J4200&lt;&gt;""), HYPERLINK("#'" &amp; C4200 &amp; "'!" &amp; J4200, J4200), "")</f>
        <v/>
      </c>
    </row>
    <row r="4201">
      <c r="B4201" s="21">
        <f>IF(AND(C4201&lt;&gt;"", J4201&lt;&gt;""), HYPERLINK("#'" &amp; C4201 &amp; "'!" &amp; J4201, J4201), "")</f>
        <v/>
      </c>
    </row>
    <row r="4202">
      <c r="B4202" s="21">
        <f>IF(AND(C4202&lt;&gt;"", J4202&lt;&gt;""), HYPERLINK("#'" &amp; C4202 &amp; "'!" &amp; J4202, J4202), "")</f>
        <v/>
      </c>
    </row>
    <row r="4203">
      <c r="B4203" s="21">
        <f>IF(AND(C4203&lt;&gt;"", J4203&lt;&gt;""), HYPERLINK("#'" &amp; C4203 &amp; "'!" &amp; J4203, J4203), "")</f>
        <v/>
      </c>
    </row>
    <row r="4204">
      <c r="B4204" s="21">
        <f>IF(AND(C4204&lt;&gt;"", J4204&lt;&gt;""), HYPERLINK("#'" &amp; C4204 &amp; "'!" &amp; J4204, J4204), "")</f>
        <v/>
      </c>
    </row>
    <row r="4205">
      <c r="B4205" s="21">
        <f>IF(AND(C4205&lt;&gt;"", J4205&lt;&gt;""), HYPERLINK("#'" &amp; C4205 &amp; "'!" &amp; J4205, J4205), "")</f>
        <v/>
      </c>
    </row>
    <row r="4206">
      <c r="B4206" s="21">
        <f>IF(AND(C4206&lt;&gt;"", J4206&lt;&gt;""), HYPERLINK("#'" &amp; C4206 &amp; "'!" &amp; J4206, J4206), "")</f>
        <v/>
      </c>
    </row>
    <row r="4207">
      <c r="B4207" s="21">
        <f>IF(AND(C4207&lt;&gt;"", J4207&lt;&gt;""), HYPERLINK("#'" &amp; C4207 &amp; "'!" &amp; J4207, J4207), "")</f>
        <v/>
      </c>
    </row>
    <row r="4208">
      <c r="B4208" s="21">
        <f>IF(AND(C4208&lt;&gt;"", J4208&lt;&gt;""), HYPERLINK("#'" &amp; C4208 &amp; "'!" &amp; J4208, J4208), "")</f>
        <v/>
      </c>
    </row>
    <row r="4209">
      <c r="B4209" s="21">
        <f>IF(AND(C4209&lt;&gt;"", J4209&lt;&gt;""), HYPERLINK("#'" &amp; C4209 &amp; "'!" &amp; J4209, J4209), "")</f>
        <v/>
      </c>
    </row>
    <row r="4210">
      <c r="B4210" s="21">
        <f>IF(AND(C4210&lt;&gt;"", J4210&lt;&gt;""), HYPERLINK("#'" &amp; C4210 &amp; "'!" &amp; J4210, J4210), "")</f>
        <v/>
      </c>
    </row>
    <row r="4211">
      <c r="B4211" s="21">
        <f>IF(AND(C4211&lt;&gt;"", J4211&lt;&gt;""), HYPERLINK("#'" &amp; C4211 &amp; "'!" &amp; J4211, J4211), "")</f>
        <v/>
      </c>
    </row>
    <row r="4212">
      <c r="B4212" s="21">
        <f>IF(AND(C4212&lt;&gt;"", J4212&lt;&gt;""), HYPERLINK("#'" &amp; C4212 &amp; "'!" &amp; J4212, J4212), "")</f>
        <v/>
      </c>
    </row>
    <row r="4213">
      <c r="B4213" s="21">
        <f>IF(AND(C4213&lt;&gt;"", J4213&lt;&gt;""), HYPERLINK("#'" &amp; C4213 &amp; "'!" &amp; J4213, J4213), "")</f>
        <v/>
      </c>
    </row>
    <row r="4214">
      <c r="B4214" s="21">
        <f>IF(AND(C4214&lt;&gt;"", J4214&lt;&gt;""), HYPERLINK("#'" &amp; C4214 &amp; "'!" &amp; J4214, J4214), "")</f>
        <v/>
      </c>
    </row>
    <row r="4215">
      <c r="B4215" s="21">
        <f>IF(AND(C4215&lt;&gt;"", J4215&lt;&gt;""), HYPERLINK("#'" &amp; C4215 &amp; "'!" &amp; J4215, J4215), "")</f>
        <v/>
      </c>
    </row>
    <row r="4216">
      <c r="B4216" s="21">
        <f>IF(AND(C4216&lt;&gt;"", J4216&lt;&gt;""), HYPERLINK("#'" &amp; C4216 &amp; "'!" &amp; J4216, J4216), "")</f>
        <v/>
      </c>
    </row>
    <row r="4217">
      <c r="B4217" s="21">
        <f>IF(AND(C4217&lt;&gt;"", J4217&lt;&gt;""), HYPERLINK("#'" &amp; C4217 &amp; "'!" &amp; J4217, J4217), "")</f>
        <v/>
      </c>
    </row>
    <row r="4218">
      <c r="B4218" s="21">
        <f>IF(AND(C4218&lt;&gt;"", J4218&lt;&gt;""), HYPERLINK("#'" &amp; C4218 &amp; "'!" &amp; J4218, J4218), "")</f>
        <v/>
      </c>
    </row>
    <row r="4219">
      <c r="B4219" s="21">
        <f>IF(AND(C4219&lt;&gt;"", J4219&lt;&gt;""), HYPERLINK("#'" &amp; C4219 &amp; "'!" &amp; J4219, J4219), "")</f>
        <v/>
      </c>
    </row>
    <row r="4220">
      <c r="B4220" s="21">
        <f>IF(AND(C4220&lt;&gt;"", J4220&lt;&gt;""), HYPERLINK("#'" &amp; C4220 &amp; "'!" &amp; J4220, J4220), "")</f>
        <v/>
      </c>
    </row>
    <row r="4221">
      <c r="B4221" s="21">
        <f>IF(AND(C4221&lt;&gt;"", J4221&lt;&gt;""), HYPERLINK("#'" &amp; C4221 &amp; "'!" &amp; J4221, J4221), "")</f>
        <v/>
      </c>
    </row>
    <row r="4222">
      <c r="B4222" s="21">
        <f>IF(AND(C4222&lt;&gt;"", J4222&lt;&gt;""), HYPERLINK("#'" &amp; C4222 &amp; "'!" &amp; J4222, J4222), "")</f>
        <v/>
      </c>
    </row>
    <row r="4223">
      <c r="B4223" s="21">
        <f>IF(AND(C4223&lt;&gt;"", J4223&lt;&gt;""), HYPERLINK("#'" &amp; C4223 &amp; "'!" &amp; J4223, J4223), "")</f>
        <v/>
      </c>
    </row>
    <row r="4224">
      <c r="B4224" s="21">
        <f>IF(AND(C4224&lt;&gt;"", J4224&lt;&gt;""), HYPERLINK("#'" &amp; C4224 &amp; "'!" &amp; J4224, J4224), "")</f>
        <v/>
      </c>
    </row>
    <row r="4225">
      <c r="B4225" s="21">
        <f>IF(AND(C4225&lt;&gt;"", J4225&lt;&gt;""), HYPERLINK("#'" &amp; C4225 &amp; "'!" &amp; J4225, J4225), "")</f>
        <v/>
      </c>
    </row>
    <row r="4226">
      <c r="B4226" s="21">
        <f>IF(AND(C4226&lt;&gt;"", J4226&lt;&gt;""), HYPERLINK("#'" &amp; C4226 &amp; "'!" &amp; J4226, J4226), "")</f>
        <v/>
      </c>
    </row>
    <row r="4227">
      <c r="B4227" s="21">
        <f>IF(AND(C4227&lt;&gt;"", J4227&lt;&gt;""), HYPERLINK("#'" &amp; C4227 &amp; "'!" &amp; J4227, J4227), "")</f>
        <v/>
      </c>
    </row>
    <row r="4228">
      <c r="B4228" s="21">
        <f>IF(AND(C4228&lt;&gt;"", J4228&lt;&gt;""), HYPERLINK("#'" &amp; C4228 &amp; "'!" &amp; J4228, J4228), "")</f>
        <v/>
      </c>
    </row>
    <row r="4229">
      <c r="B4229" s="21">
        <f>IF(AND(C4229&lt;&gt;"", J4229&lt;&gt;""), HYPERLINK("#'" &amp; C4229 &amp; "'!" &amp; J4229, J4229), "")</f>
        <v/>
      </c>
    </row>
    <row r="4230">
      <c r="B4230" s="21">
        <f>IF(AND(C4230&lt;&gt;"", J4230&lt;&gt;""), HYPERLINK("#'" &amp; C4230 &amp; "'!" &amp; J4230, J4230), "")</f>
        <v/>
      </c>
    </row>
    <row r="4231">
      <c r="B4231" s="21">
        <f>IF(AND(C4231&lt;&gt;"", J4231&lt;&gt;""), HYPERLINK("#'" &amp; C4231 &amp; "'!" &amp; J4231, J4231), "")</f>
        <v/>
      </c>
    </row>
    <row r="4232">
      <c r="B4232" s="21">
        <f>IF(AND(C4232&lt;&gt;"", J4232&lt;&gt;""), HYPERLINK("#'" &amp; C4232 &amp; "'!" &amp; J4232, J4232), "")</f>
        <v/>
      </c>
    </row>
    <row r="4233">
      <c r="B4233" s="21">
        <f>IF(AND(C4233&lt;&gt;"", J4233&lt;&gt;""), HYPERLINK("#'" &amp; C4233 &amp; "'!" &amp; J4233, J4233), "")</f>
        <v/>
      </c>
    </row>
    <row r="4234">
      <c r="B4234" s="21">
        <f>IF(AND(C4234&lt;&gt;"", J4234&lt;&gt;""), HYPERLINK("#'" &amp; C4234 &amp; "'!" &amp; J4234, J4234), "")</f>
        <v/>
      </c>
    </row>
    <row r="4235">
      <c r="B4235" s="21">
        <f>IF(AND(C4235&lt;&gt;"", J4235&lt;&gt;""), HYPERLINK("#'" &amp; C4235 &amp; "'!" &amp; J4235, J4235), "")</f>
        <v/>
      </c>
    </row>
    <row r="4236">
      <c r="B4236" s="21">
        <f>IF(AND(C4236&lt;&gt;"", J4236&lt;&gt;""), HYPERLINK("#'" &amp; C4236 &amp; "'!" &amp; J4236, J4236), "")</f>
        <v/>
      </c>
    </row>
    <row r="4237">
      <c r="B4237" s="21">
        <f>IF(AND(C4237&lt;&gt;"", J4237&lt;&gt;""), HYPERLINK("#'" &amp; C4237 &amp; "'!" &amp; J4237, J4237), "")</f>
        <v/>
      </c>
    </row>
    <row r="4238">
      <c r="B4238" s="21">
        <f>IF(AND(C4238&lt;&gt;"", J4238&lt;&gt;""), HYPERLINK("#'" &amp; C4238 &amp; "'!" &amp; J4238, J4238), "")</f>
        <v/>
      </c>
    </row>
    <row r="4239">
      <c r="B4239" s="21">
        <f>IF(AND(C4239&lt;&gt;"", J4239&lt;&gt;""), HYPERLINK("#'" &amp; C4239 &amp; "'!" &amp; J4239, J4239), "")</f>
        <v/>
      </c>
    </row>
    <row r="4240">
      <c r="B4240" s="21">
        <f>IF(AND(C4240&lt;&gt;"", J4240&lt;&gt;""), HYPERLINK("#'" &amp; C4240 &amp; "'!" &amp; J4240, J4240), "")</f>
        <v/>
      </c>
    </row>
    <row r="4241">
      <c r="B4241" s="21">
        <f>IF(AND(C4241&lt;&gt;"", J4241&lt;&gt;""), HYPERLINK("#'" &amp; C4241 &amp; "'!" &amp; J4241, J4241), "")</f>
        <v/>
      </c>
    </row>
    <row r="4242">
      <c r="B4242" s="21">
        <f>IF(AND(C4242&lt;&gt;"", J4242&lt;&gt;""), HYPERLINK("#'" &amp; C4242 &amp; "'!" &amp; J4242, J4242), "")</f>
        <v/>
      </c>
    </row>
    <row r="4243">
      <c r="B4243" s="21">
        <f>IF(AND(C4243&lt;&gt;"", J4243&lt;&gt;""), HYPERLINK("#'" &amp; C4243 &amp; "'!" &amp; J4243, J4243), "")</f>
        <v/>
      </c>
    </row>
    <row r="4244">
      <c r="B4244" s="21">
        <f>IF(AND(C4244&lt;&gt;"", J4244&lt;&gt;""), HYPERLINK("#'" &amp; C4244 &amp; "'!" &amp; J4244, J4244), "")</f>
        <v/>
      </c>
    </row>
    <row r="4245">
      <c r="B4245" s="21">
        <f>IF(AND(C4245&lt;&gt;"", J4245&lt;&gt;""), HYPERLINK("#'" &amp; C4245 &amp; "'!" &amp; J4245, J4245), "")</f>
        <v/>
      </c>
    </row>
    <row r="4246">
      <c r="B4246" s="21">
        <f>IF(AND(C4246&lt;&gt;"", J4246&lt;&gt;""), HYPERLINK("#'" &amp; C4246 &amp; "'!" &amp; J4246, J4246), "")</f>
        <v/>
      </c>
    </row>
    <row r="4247">
      <c r="B4247" s="21">
        <f>IF(AND(C4247&lt;&gt;"", J4247&lt;&gt;""), HYPERLINK("#'" &amp; C4247 &amp; "'!" &amp; J4247, J4247), "")</f>
        <v/>
      </c>
    </row>
    <row r="4248">
      <c r="B4248" s="21">
        <f>IF(AND(C4248&lt;&gt;"", J4248&lt;&gt;""), HYPERLINK("#'" &amp; C4248 &amp; "'!" &amp; J4248, J4248), "")</f>
        <v/>
      </c>
    </row>
    <row r="4249">
      <c r="B4249" s="21">
        <f>IF(AND(C4249&lt;&gt;"", J4249&lt;&gt;""), HYPERLINK("#'" &amp; C4249 &amp; "'!" &amp; J4249, J4249), "")</f>
        <v/>
      </c>
    </row>
    <row r="4250">
      <c r="B4250" s="21">
        <f>IF(AND(C4250&lt;&gt;"", J4250&lt;&gt;""), HYPERLINK("#'" &amp; C4250 &amp; "'!" &amp; J4250, J4250), "")</f>
        <v/>
      </c>
    </row>
    <row r="4251">
      <c r="B4251" s="21">
        <f>IF(AND(C4251&lt;&gt;"", J4251&lt;&gt;""), HYPERLINK("#'" &amp; C4251 &amp; "'!" &amp; J4251, J4251), "")</f>
        <v/>
      </c>
    </row>
    <row r="4252">
      <c r="B4252" s="21">
        <f>IF(AND(C4252&lt;&gt;"", J4252&lt;&gt;""), HYPERLINK("#'" &amp; C4252 &amp; "'!" &amp; J4252, J4252), "")</f>
        <v/>
      </c>
    </row>
    <row r="4253">
      <c r="B4253" s="21">
        <f>IF(AND(C4253&lt;&gt;"", J4253&lt;&gt;""), HYPERLINK("#'" &amp; C4253 &amp; "'!" &amp; J4253, J4253), "")</f>
        <v/>
      </c>
    </row>
    <row r="4254">
      <c r="B4254" s="21">
        <f>IF(AND(C4254&lt;&gt;"", J4254&lt;&gt;""), HYPERLINK("#'" &amp; C4254 &amp; "'!" &amp; J4254, J4254), "")</f>
        <v/>
      </c>
    </row>
    <row r="4255">
      <c r="B4255" s="21">
        <f>IF(AND(C4255&lt;&gt;"", J4255&lt;&gt;""), HYPERLINK("#'" &amp; C4255 &amp; "'!" &amp; J4255, J4255), "")</f>
        <v/>
      </c>
    </row>
    <row r="4256">
      <c r="B4256" s="21">
        <f>IF(AND(C4256&lt;&gt;"", J4256&lt;&gt;""), HYPERLINK("#'" &amp; C4256 &amp; "'!" &amp; J4256, J4256), "")</f>
        <v/>
      </c>
    </row>
    <row r="4257">
      <c r="B4257" s="21">
        <f>IF(AND(C4257&lt;&gt;"", J4257&lt;&gt;""), HYPERLINK("#'" &amp; C4257 &amp; "'!" &amp; J4257, J4257), "")</f>
        <v/>
      </c>
    </row>
    <row r="4258">
      <c r="B4258" s="21">
        <f>IF(AND(C4258&lt;&gt;"", J4258&lt;&gt;""), HYPERLINK("#'" &amp; C4258 &amp; "'!" &amp; J4258, J4258), "")</f>
        <v/>
      </c>
    </row>
    <row r="4259">
      <c r="B4259" s="21">
        <f>IF(AND(C4259&lt;&gt;"", J4259&lt;&gt;""), HYPERLINK("#'" &amp; C4259 &amp; "'!" &amp; J4259, J4259), "")</f>
        <v/>
      </c>
    </row>
    <row r="4260">
      <c r="B4260" s="21">
        <f>IF(AND(C4260&lt;&gt;"", J4260&lt;&gt;""), HYPERLINK("#'" &amp; C4260 &amp; "'!" &amp; J4260, J4260), "")</f>
        <v/>
      </c>
    </row>
    <row r="4261">
      <c r="B4261" s="21">
        <f>IF(AND(C4261&lt;&gt;"", J4261&lt;&gt;""), HYPERLINK("#'" &amp; C4261 &amp; "'!" &amp; J4261, J4261), "")</f>
        <v/>
      </c>
    </row>
    <row r="4262">
      <c r="B4262" s="21">
        <f>IF(AND(C4262&lt;&gt;"", J4262&lt;&gt;""), HYPERLINK("#'" &amp; C4262 &amp; "'!" &amp; J4262, J4262), "")</f>
        <v/>
      </c>
    </row>
    <row r="4263">
      <c r="B4263" s="21">
        <f>IF(AND(C4263&lt;&gt;"", J4263&lt;&gt;""), HYPERLINK("#'" &amp; C4263 &amp; "'!" &amp; J4263, J4263), "")</f>
        <v/>
      </c>
    </row>
    <row r="4264">
      <c r="B4264" s="21">
        <f>IF(AND(C4264&lt;&gt;"", J4264&lt;&gt;""), HYPERLINK("#'" &amp; C4264 &amp; "'!" &amp; J4264, J4264), "")</f>
        <v/>
      </c>
    </row>
    <row r="4265">
      <c r="B4265" s="21">
        <f>IF(AND(C4265&lt;&gt;"", J4265&lt;&gt;""), HYPERLINK("#'" &amp; C4265 &amp; "'!" &amp; J4265, J4265), "")</f>
        <v/>
      </c>
    </row>
    <row r="4266">
      <c r="B4266" s="21">
        <f>IF(AND(C4266&lt;&gt;"", J4266&lt;&gt;""), HYPERLINK("#'" &amp; C4266 &amp; "'!" &amp; J4266, J4266), "")</f>
        <v/>
      </c>
    </row>
    <row r="4267">
      <c r="B4267" s="21">
        <f>IF(AND(C4267&lt;&gt;"", J4267&lt;&gt;""), HYPERLINK("#'" &amp; C4267 &amp; "'!" &amp; J4267, J4267), "")</f>
        <v/>
      </c>
    </row>
    <row r="4268">
      <c r="B4268" s="21">
        <f>IF(AND(C4268&lt;&gt;"", J4268&lt;&gt;""), HYPERLINK("#'" &amp; C4268 &amp; "'!" &amp; J4268, J4268), "")</f>
        <v/>
      </c>
    </row>
    <row r="4269">
      <c r="B4269" s="21">
        <f>IF(AND(C4269&lt;&gt;"", J4269&lt;&gt;""), HYPERLINK("#'" &amp; C4269 &amp; "'!" &amp; J4269, J4269), "")</f>
        <v/>
      </c>
    </row>
    <row r="4270">
      <c r="B4270" s="21">
        <f>IF(AND(C4270&lt;&gt;"", J4270&lt;&gt;""), HYPERLINK("#'" &amp; C4270 &amp; "'!" &amp; J4270, J4270), "")</f>
        <v/>
      </c>
    </row>
    <row r="4271">
      <c r="B4271" s="21">
        <f>IF(AND(C4271&lt;&gt;"", J4271&lt;&gt;""), HYPERLINK("#'" &amp; C4271 &amp; "'!" &amp; J4271, J4271), "")</f>
        <v/>
      </c>
    </row>
    <row r="4272">
      <c r="B4272" s="21">
        <f>IF(AND(C4272&lt;&gt;"", J4272&lt;&gt;""), HYPERLINK("#'" &amp; C4272 &amp; "'!" &amp; J4272, J4272), "")</f>
        <v/>
      </c>
    </row>
    <row r="4273">
      <c r="B4273" s="21">
        <f>IF(AND(C4273&lt;&gt;"", J4273&lt;&gt;""), HYPERLINK("#'" &amp; C4273 &amp; "'!" &amp; J4273, J4273), "")</f>
        <v/>
      </c>
    </row>
    <row r="4274">
      <c r="B4274" s="21">
        <f>IF(AND(C4274&lt;&gt;"", J4274&lt;&gt;""), HYPERLINK("#'" &amp; C4274 &amp; "'!" &amp; J4274, J4274), "")</f>
        <v/>
      </c>
    </row>
    <row r="4275">
      <c r="B4275" s="21">
        <f>IF(AND(C4275&lt;&gt;"", J4275&lt;&gt;""), HYPERLINK("#'" &amp; C4275 &amp; "'!" &amp; J4275, J4275), "")</f>
        <v/>
      </c>
    </row>
    <row r="4276">
      <c r="B4276" s="21">
        <f>IF(AND(C4276&lt;&gt;"", J4276&lt;&gt;""), HYPERLINK("#'" &amp; C4276 &amp; "'!" &amp; J4276, J4276), "")</f>
        <v/>
      </c>
    </row>
    <row r="4277">
      <c r="B4277" s="21">
        <f>IF(AND(C4277&lt;&gt;"", J4277&lt;&gt;""), HYPERLINK("#'" &amp; C4277 &amp; "'!" &amp; J4277, J4277), "")</f>
        <v/>
      </c>
    </row>
    <row r="4278">
      <c r="B4278" s="21">
        <f>IF(AND(C4278&lt;&gt;"", J4278&lt;&gt;""), HYPERLINK("#'" &amp; C4278 &amp; "'!" &amp; J4278, J4278), "")</f>
        <v/>
      </c>
    </row>
    <row r="4279">
      <c r="B4279" s="21">
        <f>IF(AND(C4279&lt;&gt;"", J4279&lt;&gt;""), HYPERLINK("#'" &amp; C4279 &amp; "'!" &amp; J4279, J4279), "")</f>
        <v/>
      </c>
    </row>
    <row r="4280">
      <c r="B4280" s="21">
        <f>IF(AND(C4280&lt;&gt;"", J4280&lt;&gt;""), HYPERLINK("#'" &amp; C4280 &amp; "'!" &amp; J4280, J4280), "")</f>
        <v/>
      </c>
    </row>
    <row r="4281">
      <c r="B4281" s="21">
        <f>IF(AND(C4281&lt;&gt;"", J4281&lt;&gt;""), HYPERLINK("#'" &amp; C4281 &amp; "'!" &amp; J4281, J4281), "")</f>
        <v/>
      </c>
    </row>
    <row r="4282">
      <c r="B4282" s="21">
        <f>IF(AND(C4282&lt;&gt;"", J4282&lt;&gt;""), HYPERLINK("#'" &amp; C4282 &amp; "'!" &amp; J4282, J4282), "")</f>
        <v/>
      </c>
    </row>
    <row r="4283">
      <c r="B4283" s="21">
        <f>IF(AND(C4283&lt;&gt;"", J4283&lt;&gt;""), HYPERLINK("#'" &amp; C4283 &amp; "'!" &amp; J4283, J4283), "")</f>
        <v/>
      </c>
    </row>
    <row r="4284">
      <c r="B4284" s="21">
        <f>IF(AND(C4284&lt;&gt;"", J4284&lt;&gt;""), HYPERLINK("#'" &amp; C4284 &amp; "'!" &amp; J4284, J4284), "")</f>
        <v/>
      </c>
    </row>
    <row r="4285">
      <c r="B4285" s="21">
        <f>IF(AND(C4285&lt;&gt;"", J4285&lt;&gt;""), HYPERLINK("#'" &amp; C4285 &amp; "'!" &amp; J4285, J4285), "")</f>
        <v/>
      </c>
    </row>
    <row r="4286">
      <c r="B4286" s="21">
        <f>IF(AND(C4286&lt;&gt;"", J4286&lt;&gt;""), HYPERLINK("#'" &amp; C4286 &amp; "'!" &amp; J4286, J4286), "")</f>
        <v/>
      </c>
    </row>
    <row r="4287">
      <c r="B4287" s="21">
        <f>IF(AND(C4287&lt;&gt;"", J4287&lt;&gt;""), HYPERLINK("#'" &amp; C4287 &amp; "'!" &amp; J4287, J4287), "")</f>
        <v/>
      </c>
    </row>
    <row r="4288">
      <c r="B4288" s="21">
        <f>IF(AND(C4288&lt;&gt;"", J4288&lt;&gt;""), HYPERLINK("#'" &amp; C4288 &amp; "'!" &amp; J4288, J4288), "")</f>
        <v/>
      </c>
    </row>
    <row r="4289">
      <c r="B4289" s="21">
        <f>IF(AND(C4289&lt;&gt;"", J4289&lt;&gt;""), HYPERLINK("#'" &amp; C4289 &amp; "'!" &amp; J4289, J4289), "")</f>
        <v/>
      </c>
    </row>
    <row r="4290">
      <c r="B4290" s="21">
        <f>IF(AND(C4290&lt;&gt;"", J4290&lt;&gt;""), HYPERLINK("#'" &amp; C4290 &amp; "'!" &amp; J4290, J4290), "")</f>
        <v/>
      </c>
    </row>
    <row r="4291">
      <c r="B4291" s="21">
        <f>IF(AND(C4291&lt;&gt;"", J4291&lt;&gt;""), HYPERLINK("#'" &amp; C4291 &amp; "'!" &amp; J4291, J4291), "")</f>
        <v/>
      </c>
    </row>
    <row r="4292">
      <c r="B4292" s="21">
        <f>IF(AND(C4292&lt;&gt;"", J4292&lt;&gt;""), HYPERLINK("#'" &amp; C4292 &amp; "'!" &amp; J4292, J4292), "")</f>
        <v/>
      </c>
    </row>
    <row r="4293">
      <c r="B4293" s="21">
        <f>IF(AND(C4293&lt;&gt;"", J4293&lt;&gt;""), HYPERLINK("#'" &amp; C4293 &amp; "'!" &amp; J4293, J4293), "")</f>
        <v/>
      </c>
    </row>
    <row r="4294">
      <c r="B4294" s="21">
        <f>IF(AND(C4294&lt;&gt;"", J4294&lt;&gt;""), HYPERLINK("#'" &amp; C4294 &amp; "'!" &amp; J4294, J4294), "")</f>
        <v/>
      </c>
    </row>
    <row r="4295">
      <c r="B4295" s="21">
        <f>IF(AND(C4295&lt;&gt;"", J4295&lt;&gt;""), HYPERLINK("#'" &amp; C4295 &amp; "'!" &amp; J4295, J4295), "")</f>
        <v/>
      </c>
    </row>
    <row r="4296">
      <c r="B4296" s="21">
        <f>IF(AND(C4296&lt;&gt;"", J4296&lt;&gt;""), HYPERLINK("#'" &amp; C4296 &amp; "'!" &amp; J4296, J4296), "")</f>
        <v/>
      </c>
    </row>
    <row r="4297">
      <c r="B4297" s="21">
        <f>IF(AND(C4297&lt;&gt;"", J4297&lt;&gt;""), HYPERLINK("#'" &amp; C4297 &amp; "'!" &amp; J4297, J4297), "")</f>
        <v/>
      </c>
    </row>
    <row r="4298">
      <c r="B4298" s="21">
        <f>IF(AND(C4298&lt;&gt;"", J4298&lt;&gt;""), HYPERLINK("#'" &amp; C4298 &amp; "'!" &amp; J4298, J4298), "")</f>
        <v/>
      </c>
    </row>
    <row r="4299">
      <c r="B4299" s="21">
        <f>IF(AND(C4299&lt;&gt;"", J4299&lt;&gt;""), HYPERLINK("#'" &amp; C4299 &amp; "'!" &amp; J4299, J4299), "")</f>
        <v/>
      </c>
    </row>
    <row r="4300">
      <c r="B4300" s="21">
        <f>IF(AND(C4300&lt;&gt;"", J4300&lt;&gt;""), HYPERLINK("#'" &amp; C4300 &amp; "'!" &amp; J4300, J4300), "")</f>
        <v/>
      </c>
    </row>
    <row r="4301">
      <c r="B4301" s="21">
        <f>IF(AND(C4301&lt;&gt;"", J4301&lt;&gt;""), HYPERLINK("#'" &amp; C4301 &amp; "'!" &amp; J4301, J4301), "")</f>
        <v/>
      </c>
    </row>
    <row r="4302">
      <c r="B4302" s="21">
        <f>IF(AND(C4302&lt;&gt;"", J4302&lt;&gt;""), HYPERLINK("#'" &amp; C4302 &amp; "'!" &amp; J4302, J4302), "")</f>
        <v/>
      </c>
    </row>
    <row r="4303">
      <c r="B4303" s="21">
        <f>IF(AND(C4303&lt;&gt;"", J4303&lt;&gt;""), HYPERLINK("#'" &amp; C4303 &amp; "'!" &amp; J4303, J4303), "")</f>
        <v/>
      </c>
    </row>
    <row r="4304">
      <c r="B4304" s="21">
        <f>IF(AND(C4304&lt;&gt;"", J4304&lt;&gt;""), HYPERLINK("#'" &amp; C4304 &amp; "'!" &amp; J4304, J4304), "")</f>
        <v/>
      </c>
    </row>
    <row r="4305">
      <c r="B4305" s="21">
        <f>IF(AND(C4305&lt;&gt;"", J4305&lt;&gt;""), HYPERLINK("#'" &amp; C4305 &amp; "'!" &amp; J4305, J4305), "")</f>
        <v/>
      </c>
    </row>
    <row r="4306">
      <c r="B4306" s="21">
        <f>IF(AND(C4306&lt;&gt;"", J4306&lt;&gt;""), HYPERLINK("#'" &amp; C4306 &amp; "'!" &amp; J4306, J4306), "")</f>
        <v/>
      </c>
    </row>
    <row r="4307">
      <c r="B4307" s="21">
        <f>IF(AND(C4307&lt;&gt;"", J4307&lt;&gt;""), HYPERLINK("#'" &amp; C4307 &amp; "'!" &amp; J4307, J4307), "")</f>
        <v/>
      </c>
    </row>
    <row r="4308">
      <c r="B4308" s="21">
        <f>IF(AND(C4308&lt;&gt;"", J4308&lt;&gt;""), HYPERLINK("#'" &amp; C4308 &amp; "'!" &amp; J4308, J4308), "")</f>
        <v/>
      </c>
    </row>
    <row r="4309">
      <c r="B4309" s="21">
        <f>IF(AND(C4309&lt;&gt;"", J4309&lt;&gt;""), HYPERLINK("#'" &amp; C4309 &amp; "'!" &amp; J4309, J4309), "")</f>
        <v/>
      </c>
    </row>
    <row r="4310">
      <c r="B4310" s="21">
        <f>IF(AND(C4310&lt;&gt;"", J4310&lt;&gt;""), HYPERLINK("#'" &amp; C4310 &amp; "'!" &amp; J4310, J4310), "")</f>
        <v/>
      </c>
    </row>
    <row r="4311">
      <c r="B4311" s="21">
        <f>IF(AND(C4311&lt;&gt;"", J4311&lt;&gt;""), HYPERLINK("#'" &amp; C4311 &amp; "'!" &amp; J4311, J4311), "")</f>
        <v/>
      </c>
    </row>
    <row r="4312">
      <c r="B4312" s="21">
        <f>IF(AND(C4312&lt;&gt;"", J4312&lt;&gt;""), HYPERLINK("#'" &amp; C4312 &amp; "'!" &amp; J4312, J4312), "")</f>
        <v/>
      </c>
    </row>
    <row r="4313">
      <c r="B4313" s="21">
        <f>IF(AND(C4313&lt;&gt;"", J4313&lt;&gt;""), HYPERLINK("#'" &amp; C4313 &amp; "'!" &amp; J4313, J4313), "")</f>
        <v/>
      </c>
    </row>
    <row r="4314">
      <c r="B4314" s="21">
        <f>IF(AND(C4314&lt;&gt;"", J4314&lt;&gt;""), HYPERLINK("#'" &amp; C4314 &amp; "'!" &amp; J4314, J4314), "")</f>
        <v/>
      </c>
    </row>
    <row r="4315">
      <c r="B4315" s="21">
        <f>IF(AND(C4315&lt;&gt;"", J4315&lt;&gt;""), HYPERLINK("#'" &amp; C4315 &amp; "'!" &amp; J4315, J4315), "")</f>
        <v/>
      </c>
    </row>
    <row r="4316">
      <c r="B4316" s="21">
        <f>IF(AND(C4316&lt;&gt;"", J4316&lt;&gt;""), HYPERLINK("#'" &amp; C4316 &amp; "'!" &amp; J4316, J4316), "")</f>
        <v/>
      </c>
    </row>
    <row r="4317">
      <c r="B4317" s="21">
        <f>IF(AND(C4317&lt;&gt;"", J4317&lt;&gt;""), HYPERLINK("#'" &amp; C4317 &amp; "'!" &amp; J4317, J4317), "")</f>
        <v/>
      </c>
    </row>
    <row r="4318">
      <c r="B4318" s="21">
        <f>IF(AND(C4318&lt;&gt;"", J4318&lt;&gt;""), HYPERLINK("#'" &amp; C4318 &amp; "'!" &amp; J4318, J4318), "")</f>
        <v/>
      </c>
    </row>
    <row r="4319">
      <c r="B4319" s="21">
        <f>IF(AND(C4319&lt;&gt;"", J4319&lt;&gt;""), HYPERLINK("#'" &amp; C4319 &amp; "'!" &amp; J4319, J4319), "")</f>
        <v/>
      </c>
    </row>
    <row r="4320">
      <c r="B4320" s="21">
        <f>IF(AND(C4320&lt;&gt;"", J4320&lt;&gt;""), HYPERLINK("#'" &amp; C4320 &amp; "'!" &amp; J4320, J4320), "")</f>
        <v/>
      </c>
    </row>
    <row r="4321">
      <c r="B4321" s="21">
        <f>IF(AND(C4321&lt;&gt;"", J4321&lt;&gt;""), HYPERLINK("#'" &amp; C4321 &amp; "'!" &amp; J4321, J4321), "")</f>
        <v/>
      </c>
    </row>
    <row r="4322">
      <c r="B4322" s="21">
        <f>IF(AND(C4322&lt;&gt;"", J4322&lt;&gt;""), HYPERLINK("#'" &amp; C4322 &amp; "'!" &amp; J4322, J4322), "")</f>
        <v/>
      </c>
    </row>
    <row r="4323">
      <c r="B4323" s="21">
        <f>IF(AND(C4323&lt;&gt;"", J4323&lt;&gt;""), HYPERLINK("#'" &amp; C4323 &amp; "'!" &amp; J4323, J4323), "")</f>
        <v/>
      </c>
    </row>
    <row r="4324">
      <c r="B4324" s="21">
        <f>IF(AND(C4324&lt;&gt;"", J4324&lt;&gt;""), HYPERLINK("#'" &amp; C4324 &amp; "'!" &amp; J4324, J4324), "")</f>
        <v/>
      </c>
    </row>
    <row r="4325">
      <c r="B4325" s="21">
        <f>IF(AND(C4325&lt;&gt;"", J4325&lt;&gt;""), HYPERLINK("#'" &amp; C4325 &amp; "'!" &amp; J4325, J4325), "")</f>
        <v/>
      </c>
    </row>
    <row r="4326">
      <c r="B4326" s="21">
        <f>IF(AND(C4326&lt;&gt;"", J4326&lt;&gt;""), HYPERLINK("#'" &amp; C4326 &amp; "'!" &amp; J4326, J4326), "")</f>
        <v/>
      </c>
    </row>
    <row r="4327">
      <c r="B4327" s="21">
        <f>IF(AND(C4327&lt;&gt;"", J4327&lt;&gt;""), HYPERLINK("#'" &amp; C4327 &amp; "'!" &amp; J4327, J4327), "")</f>
        <v/>
      </c>
    </row>
    <row r="4328">
      <c r="B4328" s="21">
        <f>IF(AND(C4328&lt;&gt;"", J4328&lt;&gt;""), HYPERLINK("#'" &amp; C4328 &amp; "'!" &amp; J4328, J4328), "")</f>
        <v/>
      </c>
    </row>
    <row r="4329">
      <c r="B4329" s="21">
        <f>IF(AND(C4329&lt;&gt;"", J4329&lt;&gt;""), HYPERLINK("#'" &amp; C4329 &amp; "'!" &amp; J4329, J4329), "")</f>
        <v/>
      </c>
    </row>
    <row r="4330">
      <c r="B4330" s="21">
        <f>IF(AND(C4330&lt;&gt;"", J4330&lt;&gt;""), HYPERLINK("#'" &amp; C4330 &amp; "'!" &amp; J4330, J4330), "")</f>
        <v/>
      </c>
    </row>
    <row r="4331">
      <c r="B4331" s="21">
        <f>IF(AND(C4331&lt;&gt;"", J4331&lt;&gt;""), HYPERLINK("#'" &amp; C4331 &amp; "'!" &amp; J4331, J4331), "")</f>
        <v/>
      </c>
    </row>
    <row r="4332">
      <c r="B4332" s="21">
        <f>IF(AND(C4332&lt;&gt;"", J4332&lt;&gt;""), HYPERLINK("#'" &amp; C4332 &amp; "'!" &amp; J4332, J4332), "")</f>
        <v/>
      </c>
    </row>
    <row r="4333">
      <c r="B4333" s="21">
        <f>IF(AND(C4333&lt;&gt;"", J4333&lt;&gt;""), HYPERLINK("#'" &amp; C4333 &amp; "'!" &amp; J4333, J4333), "")</f>
        <v/>
      </c>
    </row>
    <row r="4334">
      <c r="B4334" s="21">
        <f>IF(AND(C4334&lt;&gt;"", J4334&lt;&gt;""), HYPERLINK("#'" &amp; C4334 &amp; "'!" &amp; J4334, J4334), "")</f>
        <v/>
      </c>
    </row>
    <row r="4335">
      <c r="B4335" s="21">
        <f>IF(AND(C4335&lt;&gt;"", J4335&lt;&gt;""), HYPERLINK("#'" &amp; C4335 &amp; "'!" &amp; J4335, J4335), "")</f>
        <v/>
      </c>
    </row>
    <row r="4336">
      <c r="B4336" s="21">
        <f>IF(AND(C4336&lt;&gt;"", J4336&lt;&gt;""), HYPERLINK("#'" &amp; C4336 &amp; "'!" &amp; J4336, J4336), "")</f>
        <v/>
      </c>
    </row>
    <row r="4337">
      <c r="B4337" s="21">
        <f>IF(AND(C4337&lt;&gt;"", J4337&lt;&gt;""), HYPERLINK("#'" &amp; C4337 &amp; "'!" &amp; J4337, J4337), "")</f>
        <v/>
      </c>
    </row>
    <row r="4338">
      <c r="B4338" s="21">
        <f>IF(AND(C4338&lt;&gt;"", J4338&lt;&gt;""), HYPERLINK("#'" &amp; C4338 &amp; "'!" &amp; J4338, J4338), "")</f>
        <v/>
      </c>
    </row>
    <row r="4339">
      <c r="B4339" s="21">
        <f>IF(AND(C4339&lt;&gt;"", J4339&lt;&gt;""), HYPERLINK("#'" &amp; C4339 &amp; "'!" &amp; J4339, J4339), "")</f>
        <v/>
      </c>
    </row>
    <row r="4340">
      <c r="B4340" s="21">
        <f>IF(AND(C4340&lt;&gt;"", J4340&lt;&gt;""), HYPERLINK("#'" &amp; C4340 &amp; "'!" &amp; J4340, J4340), "")</f>
        <v/>
      </c>
    </row>
    <row r="4341">
      <c r="B4341" s="21">
        <f>IF(AND(C4341&lt;&gt;"", J4341&lt;&gt;""), HYPERLINK("#'" &amp; C4341 &amp; "'!" &amp; J4341, J4341), "")</f>
        <v/>
      </c>
    </row>
    <row r="4342">
      <c r="B4342" s="21">
        <f>IF(AND(C4342&lt;&gt;"", J4342&lt;&gt;""), HYPERLINK("#'" &amp; C4342 &amp; "'!" &amp; J4342, J4342), "")</f>
        <v/>
      </c>
    </row>
    <row r="4343">
      <c r="B4343" s="21">
        <f>IF(AND(C4343&lt;&gt;"", J4343&lt;&gt;""), HYPERLINK("#'" &amp; C4343 &amp; "'!" &amp; J4343, J4343), "")</f>
        <v/>
      </c>
    </row>
    <row r="4344">
      <c r="B4344" s="21">
        <f>IF(AND(C4344&lt;&gt;"", J4344&lt;&gt;""), HYPERLINK("#'" &amp; C4344 &amp; "'!" &amp; J4344, J4344), "")</f>
        <v/>
      </c>
    </row>
    <row r="4345">
      <c r="B4345" s="21">
        <f>IF(AND(C4345&lt;&gt;"", J4345&lt;&gt;""), HYPERLINK("#'" &amp; C4345 &amp; "'!" &amp; J4345, J4345), "")</f>
        <v/>
      </c>
    </row>
    <row r="4346">
      <c r="B4346" s="21">
        <f>IF(AND(C4346&lt;&gt;"", J4346&lt;&gt;""), HYPERLINK("#'" &amp; C4346 &amp; "'!" &amp; J4346, J4346), "")</f>
        <v/>
      </c>
    </row>
    <row r="4347">
      <c r="B4347" s="21">
        <f>IF(AND(C4347&lt;&gt;"", J4347&lt;&gt;""), HYPERLINK("#'" &amp; C4347 &amp; "'!" &amp; J4347, J4347), "")</f>
        <v/>
      </c>
    </row>
    <row r="4348">
      <c r="B4348" s="21">
        <f>IF(AND(C4348&lt;&gt;"", J4348&lt;&gt;""), HYPERLINK("#'" &amp; C4348 &amp; "'!" &amp; J4348, J4348), "")</f>
        <v/>
      </c>
    </row>
    <row r="4349">
      <c r="B4349" s="21">
        <f>IF(AND(C4349&lt;&gt;"", J4349&lt;&gt;""), HYPERLINK("#'" &amp; C4349 &amp; "'!" &amp; J4349, J4349), "")</f>
        <v/>
      </c>
    </row>
    <row r="4350">
      <c r="B4350" s="21">
        <f>IF(AND(C4350&lt;&gt;"", J4350&lt;&gt;""), HYPERLINK("#'" &amp; C4350 &amp; "'!" &amp; J4350, J4350), "")</f>
        <v/>
      </c>
    </row>
    <row r="4351">
      <c r="B4351" s="21">
        <f>IF(AND(C4351&lt;&gt;"", J4351&lt;&gt;""), HYPERLINK("#'" &amp; C4351 &amp; "'!" &amp; J4351, J4351), "")</f>
        <v/>
      </c>
    </row>
    <row r="4352">
      <c r="B4352" s="21">
        <f>IF(AND(C4352&lt;&gt;"", J4352&lt;&gt;""), HYPERLINK("#'" &amp; C4352 &amp; "'!" &amp; J4352, J4352), "")</f>
        <v/>
      </c>
    </row>
    <row r="4353">
      <c r="B4353" s="21">
        <f>IF(AND(C4353&lt;&gt;"", J4353&lt;&gt;""), HYPERLINK("#'" &amp; C4353 &amp; "'!" &amp; J4353, J4353), "")</f>
        <v/>
      </c>
    </row>
    <row r="4354">
      <c r="B4354" s="21">
        <f>IF(AND(C4354&lt;&gt;"", J4354&lt;&gt;""), HYPERLINK("#'" &amp; C4354 &amp; "'!" &amp; J4354, J4354), "")</f>
        <v/>
      </c>
    </row>
    <row r="4355">
      <c r="B4355" s="21">
        <f>IF(AND(C4355&lt;&gt;"", J4355&lt;&gt;""), HYPERLINK("#'" &amp; C4355 &amp; "'!" &amp; J4355, J4355), "")</f>
        <v/>
      </c>
    </row>
    <row r="4356">
      <c r="B4356" s="21">
        <f>IF(AND(C4356&lt;&gt;"", J4356&lt;&gt;""), HYPERLINK("#'" &amp; C4356 &amp; "'!" &amp; J4356, J4356), "")</f>
        <v/>
      </c>
    </row>
    <row r="4357">
      <c r="B4357" s="21">
        <f>IF(AND(C4357&lt;&gt;"", J4357&lt;&gt;""), HYPERLINK("#'" &amp; C4357 &amp; "'!" &amp; J4357, J4357), "")</f>
        <v/>
      </c>
    </row>
    <row r="4358">
      <c r="B4358" s="21">
        <f>IF(AND(C4358&lt;&gt;"", J4358&lt;&gt;""), HYPERLINK("#'" &amp; C4358 &amp; "'!" &amp; J4358, J4358), "")</f>
        <v/>
      </c>
    </row>
    <row r="4359">
      <c r="B4359" s="21">
        <f>IF(AND(C4359&lt;&gt;"", J4359&lt;&gt;""), HYPERLINK("#'" &amp; C4359 &amp; "'!" &amp; J4359, J4359), "")</f>
        <v/>
      </c>
    </row>
    <row r="4360">
      <c r="B4360" s="21">
        <f>IF(AND(C4360&lt;&gt;"", J4360&lt;&gt;""), HYPERLINK("#'" &amp; C4360 &amp; "'!" &amp; J4360, J4360), "")</f>
        <v/>
      </c>
    </row>
    <row r="4361">
      <c r="B4361" s="21">
        <f>IF(AND(C4361&lt;&gt;"", J4361&lt;&gt;""), HYPERLINK("#'" &amp; C4361 &amp; "'!" &amp; J4361, J4361), "")</f>
        <v/>
      </c>
    </row>
    <row r="4362">
      <c r="B4362" s="21">
        <f>IF(AND(C4362&lt;&gt;"", J4362&lt;&gt;""), HYPERLINK("#'" &amp; C4362 &amp; "'!" &amp; J4362, J4362), "")</f>
        <v/>
      </c>
    </row>
    <row r="4363">
      <c r="B4363" s="21">
        <f>IF(AND(C4363&lt;&gt;"", J4363&lt;&gt;""), HYPERLINK("#'" &amp; C4363 &amp; "'!" &amp; J4363, J4363), "")</f>
        <v/>
      </c>
    </row>
    <row r="4364">
      <c r="B4364" s="21">
        <f>IF(AND(C4364&lt;&gt;"", J4364&lt;&gt;""), HYPERLINK("#'" &amp; C4364 &amp; "'!" &amp; J4364, J4364), "")</f>
        <v/>
      </c>
    </row>
    <row r="4365">
      <c r="B4365" s="21">
        <f>IF(AND(C4365&lt;&gt;"", J4365&lt;&gt;""), HYPERLINK("#'" &amp; C4365 &amp; "'!" &amp; J4365, J4365), "")</f>
        <v/>
      </c>
    </row>
    <row r="4366">
      <c r="B4366" s="21">
        <f>IF(AND(C4366&lt;&gt;"", J4366&lt;&gt;""), HYPERLINK("#'" &amp; C4366 &amp; "'!" &amp; J4366, J4366), "")</f>
        <v/>
      </c>
    </row>
    <row r="4367">
      <c r="B4367" s="21">
        <f>IF(AND(C4367&lt;&gt;"", J4367&lt;&gt;""), HYPERLINK("#'" &amp; C4367 &amp; "'!" &amp; J4367, J4367), "")</f>
        <v/>
      </c>
    </row>
    <row r="4368">
      <c r="B4368" s="21">
        <f>IF(AND(C4368&lt;&gt;"", J4368&lt;&gt;""), HYPERLINK("#'" &amp; C4368 &amp; "'!" &amp; J4368, J4368), "")</f>
        <v/>
      </c>
    </row>
    <row r="4369">
      <c r="B4369" s="21">
        <f>IF(AND(C4369&lt;&gt;"", J4369&lt;&gt;""), HYPERLINK("#'" &amp; C4369 &amp; "'!" &amp; J4369, J4369), "")</f>
        <v/>
      </c>
    </row>
    <row r="4370">
      <c r="B4370" s="21">
        <f>IF(AND(C4370&lt;&gt;"", J4370&lt;&gt;""), HYPERLINK("#'" &amp; C4370 &amp; "'!" &amp; J4370, J4370), "")</f>
        <v/>
      </c>
    </row>
    <row r="4371">
      <c r="B4371" s="21">
        <f>IF(AND(C4371&lt;&gt;"", J4371&lt;&gt;""), HYPERLINK("#'" &amp; C4371 &amp; "'!" &amp; J4371, J4371), "")</f>
        <v/>
      </c>
    </row>
    <row r="4372">
      <c r="B4372" s="21">
        <f>IF(AND(C4372&lt;&gt;"", J4372&lt;&gt;""), HYPERLINK("#'" &amp; C4372 &amp; "'!" &amp; J4372, J4372), "")</f>
        <v/>
      </c>
    </row>
    <row r="4373">
      <c r="B4373" s="21">
        <f>IF(AND(C4373&lt;&gt;"", J4373&lt;&gt;""), HYPERLINK("#'" &amp; C4373 &amp; "'!" &amp; J4373, J4373), "")</f>
        <v/>
      </c>
    </row>
    <row r="4374">
      <c r="B4374" s="21">
        <f>IF(AND(C4374&lt;&gt;"", J4374&lt;&gt;""), HYPERLINK("#'" &amp; C4374 &amp; "'!" &amp; J4374, J4374), "")</f>
        <v/>
      </c>
    </row>
    <row r="4375">
      <c r="B4375" s="21">
        <f>IF(AND(C4375&lt;&gt;"", J4375&lt;&gt;""), HYPERLINK("#'" &amp; C4375 &amp; "'!" &amp; J4375, J4375), "")</f>
        <v/>
      </c>
    </row>
    <row r="4376">
      <c r="B4376" s="21">
        <f>IF(AND(C4376&lt;&gt;"", J4376&lt;&gt;""), HYPERLINK("#'" &amp; C4376 &amp; "'!" &amp; J4376, J4376), "")</f>
        <v/>
      </c>
    </row>
    <row r="4377">
      <c r="B4377" s="21">
        <f>IF(AND(C4377&lt;&gt;"", J4377&lt;&gt;""), HYPERLINK("#'" &amp; C4377 &amp; "'!" &amp; J4377, J4377), "")</f>
        <v/>
      </c>
    </row>
    <row r="4378">
      <c r="B4378" s="21">
        <f>IF(AND(C4378&lt;&gt;"", J4378&lt;&gt;""), HYPERLINK("#'" &amp; C4378 &amp; "'!" &amp; J4378, J4378), "")</f>
        <v/>
      </c>
    </row>
    <row r="4379">
      <c r="B4379" s="21">
        <f>IF(AND(C4379&lt;&gt;"", J4379&lt;&gt;""), HYPERLINK("#'" &amp; C4379 &amp; "'!" &amp; J4379, J4379), "")</f>
        <v/>
      </c>
    </row>
    <row r="4380">
      <c r="B4380" s="21">
        <f>IF(AND(C4380&lt;&gt;"", J4380&lt;&gt;""), HYPERLINK("#'" &amp; C4380 &amp; "'!" &amp; J4380, J4380), "")</f>
        <v/>
      </c>
    </row>
    <row r="4381">
      <c r="B4381" s="21">
        <f>IF(AND(C4381&lt;&gt;"", J4381&lt;&gt;""), HYPERLINK("#'" &amp; C4381 &amp; "'!" &amp; J4381, J4381), "")</f>
        <v/>
      </c>
    </row>
    <row r="4382">
      <c r="B4382" s="21">
        <f>IF(AND(C4382&lt;&gt;"", J4382&lt;&gt;""), HYPERLINK("#'" &amp; C4382 &amp; "'!" &amp; J4382, J4382), "")</f>
        <v/>
      </c>
    </row>
    <row r="4383">
      <c r="B4383" s="21">
        <f>IF(AND(C4383&lt;&gt;"", J4383&lt;&gt;""), HYPERLINK("#'" &amp; C4383 &amp; "'!" &amp; J4383, J4383), "")</f>
        <v/>
      </c>
    </row>
    <row r="4384">
      <c r="B4384" s="21">
        <f>IF(AND(C4384&lt;&gt;"", J4384&lt;&gt;""), HYPERLINK("#'" &amp; C4384 &amp; "'!" &amp; J4384, J4384), "")</f>
        <v/>
      </c>
    </row>
    <row r="4385">
      <c r="B4385" s="21">
        <f>IF(AND(C4385&lt;&gt;"", J4385&lt;&gt;""), HYPERLINK("#'" &amp; C4385 &amp; "'!" &amp; J4385, J4385), "")</f>
        <v/>
      </c>
    </row>
    <row r="4386">
      <c r="B4386" s="21">
        <f>IF(AND(C4386&lt;&gt;"", J4386&lt;&gt;""), HYPERLINK("#'" &amp; C4386 &amp; "'!" &amp; J4386, J4386), "")</f>
        <v/>
      </c>
    </row>
    <row r="4387">
      <c r="B4387" s="21">
        <f>IF(AND(C4387&lt;&gt;"", J4387&lt;&gt;""), HYPERLINK("#'" &amp; C4387 &amp; "'!" &amp; J4387, J4387), "")</f>
        <v/>
      </c>
    </row>
    <row r="4388">
      <c r="B4388" s="21">
        <f>IF(AND(C4388&lt;&gt;"", J4388&lt;&gt;""), HYPERLINK("#'" &amp; C4388 &amp; "'!" &amp; J4388, J4388), "")</f>
        <v/>
      </c>
    </row>
    <row r="4389">
      <c r="B4389" s="21">
        <f>IF(AND(C4389&lt;&gt;"", J4389&lt;&gt;""), HYPERLINK("#'" &amp; C4389 &amp; "'!" &amp; J4389, J4389), "")</f>
        <v/>
      </c>
    </row>
    <row r="4390">
      <c r="B4390" s="21">
        <f>IF(AND(C4390&lt;&gt;"", J4390&lt;&gt;""), HYPERLINK("#'" &amp; C4390 &amp; "'!" &amp; J4390, J4390), "")</f>
        <v/>
      </c>
    </row>
    <row r="4391">
      <c r="B4391" s="21">
        <f>IF(AND(C4391&lt;&gt;"", J4391&lt;&gt;""), HYPERLINK("#'" &amp; C4391 &amp; "'!" &amp; J4391, J4391), "")</f>
        <v/>
      </c>
    </row>
    <row r="4392">
      <c r="B4392" s="21">
        <f>IF(AND(C4392&lt;&gt;"", J4392&lt;&gt;""), HYPERLINK("#'" &amp; C4392 &amp; "'!" &amp; J4392, J4392), "")</f>
        <v/>
      </c>
    </row>
    <row r="4393">
      <c r="B4393" s="21">
        <f>IF(AND(C4393&lt;&gt;"", J4393&lt;&gt;""), HYPERLINK("#'" &amp; C4393 &amp; "'!" &amp; J4393, J4393), "")</f>
        <v/>
      </c>
    </row>
    <row r="4394">
      <c r="B4394" s="21">
        <f>IF(AND(C4394&lt;&gt;"", J4394&lt;&gt;""), HYPERLINK("#'" &amp; C4394 &amp; "'!" &amp; J4394, J4394), "")</f>
        <v/>
      </c>
    </row>
    <row r="4395">
      <c r="B4395" s="21">
        <f>IF(AND(C4395&lt;&gt;"", J4395&lt;&gt;""), HYPERLINK("#'" &amp; C4395 &amp; "'!" &amp; J4395, J4395), "")</f>
        <v/>
      </c>
    </row>
    <row r="4396">
      <c r="B4396" s="21">
        <f>IF(AND(C4396&lt;&gt;"", J4396&lt;&gt;""), HYPERLINK("#'" &amp; C4396 &amp; "'!" &amp; J4396, J4396), "")</f>
        <v/>
      </c>
    </row>
    <row r="4397">
      <c r="B4397" s="21">
        <f>IF(AND(C4397&lt;&gt;"", J4397&lt;&gt;""), HYPERLINK("#'" &amp; C4397 &amp; "'!" &amp; J4397, J4397), "")</f>
        <v/>
      </c>
    </row>
    <row r="4398">
      <c r="B4398" s="21">
        <f>IF(AND(C4398&lt;&gt;"", J4398&lt;&gt;""), HYPERLINK("#'" &amp; C4398 &amp; "'!" &amp; J4398, J4398), "")</f>
        <v/>
      </c>
    </row>
    <row r="4399">
      <c r="B4399" s="21">
        <f>IF(AND(C4399&lt;&gt;"", J4399&lt;&gt;""), HYPERLINK("#'" &amp; C4399 &amp; "'!" &amp; J4399, J4399), "")</f>
        <v/>
      </c>
    </row>
    <row r="4400">
      <c r="B4400" s="21">
        <f>IF(AND(C4400&lt;&gt;"", J4400&lt;&gt;""), HYPERLINK("#'" &amp; C4400 &amp; "'!" &amp; J4400, J4400), "")</f>
        <v/>
      </c>
    </row>
    <row r="4401">
      <c r="B4401" s="21">
        <f>IF(AND(C4401&lt;&gt;"", J4401&lt;&gt;""), HYPERLINK("#'" &amp; C4401 &amp; "'!" &amp; J4401, J4401), "")</f>
        <v/>
      </c>
    </row>
    <row r="4402">
      <c r="B4402" s="21">
        <f>IF(AND(C4402&lt;&gt;"", J4402&lt;&gt;""), HYPERLINK("#'" &amp; C4402 &amp; "'!" &amp; J4402, J4402), "")</f>
        <v/>
      </c>
    </row>
    <row r="4403">
      <c r="B4403" s="21">
        <f>IF(AND(C4403&lt;&gt;"", J4403&lt;&gt;""), HYPERLINK("#'" &amp; C4403 &amp; "'!" &amp; J4403, J4403), "")</f>
        <v/>
      </c>
    </row>
    <row r="4404">
      <c r="B4404" s="21">
        <f>IF(AND(C4404&lt;&gt;"", J4404&lt;&gt;""), HYPERLINK("#'" &amp; C4404 &amp; "'!" &amp; J4404, J4404), "")</f>
        <v/>
      </c>
    </row>
    <row r="4405">
      <c r="B4405" s="21">
        <f>IF(AND(C4405&lt;&gt;"", J4405&lt;&gt;""), HYPERLINK("#'" &amp; C4405 &amp; "'!" &amp; J4405, J4405), "")</f>
        <v/>
      </c>
    </row>
    <row r="4406">
      <c r="B4406" s="21">
        <f>IF(AND(C4406&lt;&gt;"", J4406&lt;&gt;""), HYPERLINK("#'" &amp; C4406 &amp; "'!" &amp; J4406, J4406), "")</f>
        <v/>
      </c>
    </row>
    <row r="4407">
      <c r="B4407" s="21">
        <f>IF(AND(C4407&lt;&gt;"", J4407&lt;&gt;""), HYPERLINK("#'" &amp; C4407 &amp; "'!" &amp; J4407, J4407), "")</f>
        <v/>
      </c>
    </row>
    <row r="4408">
      <c r="B4408" s="21">
        <f>IF(AND(C4408&lt;&gt;"", J4408&lt;&gt;""), HYPERLINK("#'" &amp; C4408 &amp; "'!" &amp; J4408, J4408), "")</f>
        <v/>
      </c>
    </row>
    <row r="4409">
      <c r="B4409" s="21">
        <f>IF(AND(C4409&lt;&gt;"", J4409&lt;&gt;""), HYPERLINK("#'" &amp; C4409 &amp; "'!" &amp; J4409, J4409), "")</f>
        <v/>
      </c>
    </row>
    <row r="4410">
      <c r="B4410" s="21">
        <f>IF(AND(C4410&lt;&gt;"", J4410&lt;&gt;""), HYPERLINK("#'" &amp; C4410 &amp; "'!" &amp; J4410, J4410), "")</f>
        <v/>
      </c>
    </row>
    <row r="4411">
      <c r="B4411" s="21">
        <f>IF(AND(C4411&lt;&gt;"", J4411&lt;&gt;""), HYPERLINK("#'" &amp; C4411 &amp; "'!" &amp; J4411, J4411), "")</f>
        <v/>
      </c>
    </row>
    <row r="4412">
      <c r="B4412" s="21">
        <f>IF(AND(C4412&lt;&gt;"", J4412&lt;&gt;""), HYPERLINK("#'" &amp; C4412 &amp; "'!" &amp; J4412, J4412), "")</f>
        <v/>
      </c>
    </row>
    <row r="4413">
      <c r="B4413" s="21">
        <f>IF(AND(C4413&lt;&gt;"", J4413&lt;&gt;""), HYPERLINK("#'" &amp; C4413 &amp; "'!" &amp; J4413, J4413), "")</f>
        <v/>
      </c>
    </row>
    <row r="4414">
      <c r="B4414" s="21">
        <f>IF(AND(C4414&lt;&gt;"", J4414&lt;&gt;""), HYPERLINK("#'" &amp; C4414 &amp; "'!" &amp; J4414, J4414), "")</f>
        <v/>
      </c>
    </row>
    <row r="4415">
      <c r="B4415" s="21">
        <f>IF(AND(C4415&lt;&gt;"", J4415&lt;&gt;""), HYPERLINK("#'" &amp; C4415 &amp; "'!" &amp; J4415, J4415), "")</f>
        <v/>
      </c>
    </row>
    <row r="4416">
      <c r="B4416" s="21">
        <f>IF(AND(C4416&lt;&gt;"", J4416&lt;&gt;""), HYPERLINK("#'" &amp; C4416 &amp; "'!" &amp; J4416, J4416), "")</f>
        <v/>
      </c>
    </row>
    <row r="4417">
      <c r="B4417" s="21">
        <f>IF(AND(C4417&lt;&gt;"", J4417&lt;&gt;""), HYPERLINK("#'" &amp; C4417 &amp; "'!" &amp; J4417, J4417), "")</f>
        <v/>
      </c>
    </row>
    <row r="4418">
      <c r="B4418" s="21">
        <f>IF(AND(C4418&lt;&gt;"", J4418&lt;&gt;""), HYPERLINK("#'" &amp; C4418 &amp; "'!" &amp; J4418, J4418), "")</f>
        <v/>
      </c>
    </row>
    <row r="4419">
      <c r="B4419" s="21">
        <f>IF(AND(C4419&lt;&gt;"", J4419&lt;&gt;""), HYPERLINK("#'" &amp; C4419 &amp; "'!" &amp; J4419, J4419), "")</f>
        <v/>
      </c>
    </row>
    <row r="4420">
      <c r="B4420" s="21">
        <f>IF(AND(C4420&lt;&gt;"", J4420&lt;&gt;""), HYPERLINK("#'" &amp; C4420 &amp; "'!" &amp; J4420, J4420), "")</f>
        <v/>
      </c>
    </row>
    <row r="4421">
      <c r="B4421" s="21">
        <f>IF(AND(C4421&lt;&gt;"", J4421&lt;&gt;""), HYPERLINK("#'" &amp; C4421 &amp; "'!" &amp; J4421, J4421), "")</f>
        <v/>
      </c>
    </row>
    <row r="4422">
      <c r="B4422" s="21">
        <f>IF(AND(C4422&lt;&gt;"", J4422&lt;&gt;""), HYPERLINK("#'" &amp; C4422 &amp; "'!" &amp; J4422, J4422), "")</f>
        <v/>
      </c>
    </row>
    <row r="4423">
      <c r="B4423" s="21">
        <f>IF(AND(C4423&lt;&gt;"", J4423&lt;&gt;""), HYPERLINK("#'" &amp; C4423 &amp; "'!" &amp; J4423, J4423), "")</f>
        <v/>
      </c>
    </row>
    <row r="4424">
      <c r="B4424" s="21">
        <f>IF(AND(C4424&lt;&gt;"", J4424&lt;&gt;""), HYPERLINK("#'" &amp; C4424 &amp; "'!" &amp; J4424, J4424), "")</f>
        <v/>
      </c>
    </row>
    <row r="4425">
      <c r="B4425" s="21">
        <f>IF(AND(C4425&lt;&gt;"", J4425&lt;&gt;""), HYPERLINK("#'" &amp; C4425 &amp; "'!" &amp; J4425, J4425), "")</f>
        <v/>
      </c>
    </row>
    <row r="4426">
      <c r="B4426" s="21">
        <f>IF(AND(C4426&lt;&gt;"", J4426&lt;&gt;""), HYPERLINK("#'" &amp; C4426 &amp; "'!" &amp; J4426, J4426), "")</f>
        <v/>
      </c>
    </row>
    <row r="4427">
      <c r="B4427" s="21">
        <f>IF(AND(C4427&lt;&gt;"", J4427&lt;&gt;""), HYPERLINK("#'" &amp; C4427 &amp; "'!" &amp; J4427, J4427), "")</f>
        <v/>
      </c>
    </row>
    <row r="4428">
      <c r="B4428" s="21">
        <f>IF(AND(C4428&lt;&gt;"", J4428&lt;&gt;""), HYPERLINK("#'" &amp; C4428 &amp; "'!" &amp; J4428, J4428), "")</f>
        <v/>
      </c>
    </row>
    <row r="4429">
      <c r="B4429" s="21">
        <f>IF(AND(C4429&lt;&gt;"", J4429&lt;&gt;""), HYPERLINK("#'" &amp; C4429 &amp; "'!" &amp; J4429, J4429), "")</f>
        <v/>
      </c>
    </row>
    <row r="4430">
      <c r="B4430" s="21">
        <f>IF(AND(C4430&lt;&gt;"", J4430&lt;&gt;""), HYPERLINK("#'" &amp; C4430 &amp; "'!" &amp; J4430, J4430), "")</f>
        <v/>
      </c>
    </row>
    <row r="4431">
      <c r="B4431" s="21">
        <f>IF(AND(C4431&lt;&gt;"", J4431&lt;&gt;""), HYPERLINK("#'" &amp; C4431 &amp; "'!" &amp; J4431, J4431), "")</f>
        <v/>
      </c>
    </row>
    <row r="4432">
      <c r="B4432" s="21">
        <f>IF(AND(C4432&lt;&gt;"", J4432&lt;&gt;""), HYPERLINK("#'" &amp; C4432 &amp; "'!" &amp; J4432, J4432), "")</f>
        <v/>
      </c>
    </row>
    <row r="4433">
      <c r="B4433" s="21">
        <f>IF(AND(C4433&lt;&gt;"", J4433&lt;&gt;""), HYPERLINK("#'" &amp; C4433 &amp; "'!" &amp; J4433, J4433), "")</f>
        <v/>
      </c>
    </row>
    <row r="4434">
      <c r="B4434" s="21">
        <f>IF(AND(C4434&lt;&gt;"", J4434&lt;&gt;""), HYPERLINK("#'" &amp; C4434 &amp; "'!" &amp; J4434, J4434), "")</f>
        <v/>
      </c>
    </row>
    <row r="4435">
      <c r="B4435" s="21">
        <f>IF(AND(C4435&lt;&gt;"", J4435&lt;&gt;""), HYPERLINK("#'" &amp; C4435 &amp; "'!" &amp; J4435, J4435), "")</f>
        <v/>
      </c>
    </row>
    <row r="4436">
      <c r="B4436" s="21">
        <f>IF(AND(C4436&lt;&gt;"", J4436&lt;&gt;""), HYPERLINK("#'" &amp; C4436 &amp; "'!" &amp; J4436, J4436), "")</f>
        <v/>
      </c>
    </row>
    <row r="4437">
      <c r="B4437" s="21">
        <f>IF(AND(C4437&lt;&gt;"", J4437&lt;&gt;""), HYPERLINK("#'" &amp; C4437 &amp; "'!" &amp; J4437, J4437), "")</f>
        <v/>
      </c>
    </row>
    <row r="4438">
      <c r="B4438" s="21">
        <f>IF(AND(C4438&lt;&gt;"", J4438&lt;&gt;""), HYPERLINK("#'" &amp; C4438 &amp; "'!" &amp; J4438, J4438), "")</f>
        <v/>
      </c>
    </row>
    <row r="4439">
      <c r="B4439" s="21">
        <f>IF(AND(C4439&lt;&gt;"", J4439&lt;&gt;""), HYPERLINK("#'" &amp; C4439 &amp; "'!" &amp; J4439, J4439), "")</f>
        <v/>
      </c>
    </row>
    <row r="4440">
      <c r="B4440" s="21">
        <f>IF(AND(C4440&lt;&gt;"", J4440&lt;&gt;""), HYPERLINK("#'" &amp; C4440 &amp; "'!" &amp; J4440, J4440), "")</f>
        <v/>
      </c>
    </row>
    <row r="4441">
      <c r="B4441" s="21">
        <f>IF(AND(C4441&lt;&gt;"", J4441&lt;&gt;""), HYPERLINK("#'" &amp; C4441 &amp; "'!" &amp; J4441, J4441), "")</f>
        <v/>
      </c>
    </row>
    <row r="4442">
      <c r="B4442" s="21">
        <f>IF(AND(C4442&lt;&gt;"", J4442&lt;&gt;""), HYPERLINK("#'" &amp; C4442 &amp; "'!" &amp; J4442, J4442), "")</f>
        <v/>
      </c>
    </row>
    <row r="4443">
      <c r="B4443" s="21">
        <f>IF(AND(C4443&lt;&gt;"", J4443&lt;&gt;""), HYPERLINK("#'" &amp; C4443 &amp; "'!" &amp; J4443, J4443), "")</f>
        <v/>
      </c>
    </row>
    <row r="4444">
      <c r="B4444" s="21">
        <f>IF(AND(C4444&lt;&gt;"", J4444&lt;&gt;""), HYPERLINK("#'" &amp; C4444 &amp; "'!" &amp; J4444, J4444), "")</f>
        <v/>
      </c>
    </row>
    <row r="4445">
      <c r="B4445" s="21">
        <f>IF(AND(C4445&lt;&gt;"", J4445&lt;&gt;""), HYPERLINK("#'" &amp; C4445 &amp; "'!" &amp; J4445, J4445), "")</f>
        <v/>
      </c>
    </row>
    <row r="4446">
      <c r="B4446" s="21">
        <f>IF(AND(C4446&lt;&gt;"", J4446&lt;&gt;""), HYPERLINK("#'" &amp; C4446 &amp; "'!" &amp; J4446, J4446), "")</f>
        <v/>
      </c>
    </row>
    <row r="4447">
      <c r="B4447" s="21">
        <f>IF(AND(C4447&lt;&gt;"", J4447&lt;&gt;""), HYPERLINK("#'" &amp; C4447 &amp; "'!" &amp; J4447, J4447), "")</f>
        <v/>
      </c>
    </row>
    <row r="4448">
      <c r="B4448" s="21">
        <f>IF(AND(C4448&lt;&gt;"", J4448&lt;&gt;""), HYPERLINK("#'" &amp; C4448 &amp; "'!" &amp; J4448, J4448), "")</f>
        <v/>
      </c>
    </row>
    <row r="4449">
      <c r="B4449" s="21">
        <f>IF(AND(C4449&lt;&gt;"", J4449&lt;&gt;""), HYPERLINK("#'" &amp; C4449 &amp; "'!" &amp; J4449, J4449), "")</f>
        <v/>
      </c>
    </row>
    <row r="4450">
      <c r="B4450" s="21">
        <f>IF(AND(C4450&lt;&gt;"", J4450&lt;&gt;""), HYPERLINK("#'" &amp; C4450 &amp; "'!" &amp; J4450, J4450), "")</f>
        <v/>
      </c>
    </row>
    <row r="4451">
      <c r="B4451" s="21">
        <f>IF(AND(C4451&lt;&gt;"", J4451&lt;&gt;""), HYPERLINK("#'" &amp; C4451 &amp; "'!" &amp; J4451, J4451), "")</f>
        <v/>
      </c>
    </row>
    <row r="4452">
      <c r="B4452" s="21">
        <f>IF(AND(C4452&lt;&gt;"", J4452&lt;&gt;""), HYPERLINK("#'" &amp; C4452 &amp; "'!" &amp; J4452, J4452), "")</f>
        <v/>
      </c>
    </row>
    <row r="4453">
      <c r="B4453" s="21">
        <f>IF(AND(C4453&lt;&gt;"", J4453&lt;&gt;""), HYPERLINK("#'" &amp; C4453 &amp; "'!" &amp; J4453, J4453), "")</f>
        <v/>
      </c>
    </row>
    <row r="4454">
      <c r="B4454" s="21">
        <f>IF(AND(C4454&lt;&gt;"", J4454&lt;&gt;""), HYPERLINK("#'" &amp; C4454 &amp; "'!" &amp; J4454, J4454), "")</f>
        <v/>
      </c>
    </row>
    <row r="4455">
      <c r="B4455" s="21">
        <f>IF(AND(C4455&lt;&gt;"", J4455&lt;&gt;""), HYPERLINK("#'" &amp; C4455 &amp; "'!" &amp; J4455, J4455), "")</f>
        <v/>
      </c>
    </row>
    <row r="4456">
      <c r="B4456" s="21">
        <f>IF(AND(C4456&lt;&gt;"", J4456&lt;&gt;""), HYPERLINK("#'" &amp; C4456 &amp; "'!" &amp; J4456, J4456), "")</f>
        <v/>
      </c>
    </row>
    <row r="4457">
      <c r="B4457" s="21">
        <f>IF(AND(C4457&lt;&gt;"", J4457&lt;&gt;""), HYPERLINK("#'" &amp; C4457 &amp; "'!" &amp; J4457, J4457), "")</f>
        <v/>
      </c>
    </row>
    <row r="4458">
      <c r="B4458" s="21">
        <f>IF(AND(C4458&lt;&gt;"", J4458&lt;&gt;""), HYPERLINK("#'" &amp; C4458 &amp; "'!" &amp; J4458, J4458), "")</f>
        <v/>
      </c>
    </row>
    <row r="4459">
      <c r="B4459" s="21">
        <f>IF(AND(C4459&lt;&gt;"", J4459&lt;&gt;""), HYPERLINK("#'" &amp; C4459 &amp; "'!" &amp; J4459, J4459), "")</f>
        <v/>
      </c>
    </row>
    <row r="4460">
      <c r="B4460" s="21">
        <f>IF(AND(C4460&lt;&gt;"", J4460&lt;&gt;""), HYPERLINK("#'" &amp; C4460 &amp; "'!" &amp; J4460, J4460), "")</f>
        <v/>
      </c>
    </row>
    <row r="4461">
      <c r="B4461" s="21">
        <f>IF(AND(C4461&lt;&gt;"", J4461&lt;&gt;""), HYPERLINK("#'" &amp; C4461 &amp; "'!" &amp; J4461, J4461), "")</f>
        <v/>
      </c>
    </row>
    <row r="4462">
      <c r="B4462" s="21">
        <f>IF(AND(C4462&lt;&gt;"", J4462&lt;&gt;""), HYPERLINK("#'" &amp; C4462 &amp; "'!" &amp; J4462, J4462), "")</f>
        <v/>
      </c>
    </row>
    <row r="4463">
      <c r="B4463" s="21">
        <f>IF(AND(C4463&lt;&gt;"", J4463&lt;&gt;""), HYPERLINK("#'" &amp; C4463 &amp; "'!" &amp; J4463, J4463), "")</f>
        <v/>
      </c>
    </row>
    <row r="4464">
      <c r="B4464" s="21">
        <f>IF(AND(C4464&lt;&gt;"", J4464&lt;&gt;""), HYPERLINK("#'" &amp; C4464 &amp; "'!" &amp; J4464, J4464), "")</f>
        <v/>
      </c>
    </row>
    <row r="4465">
      <c r="B4465" s="21">
        <f>IF(AND(C4465&lt;&gt;"", J4465&lt;&gt;""), HYPERLINK("#'" &amp; C4465 &amp; "'!" &amp; J4465, J4465), "")</f>
        <v/>
      </c>
    </row>
    <row r="4466">
      <c r="B4466" s="21">
        <f>IF(AND(C4466&lt;&gt;"", J4466&lt;&gt;""), HYPERLINK("#'" &amp; C4466 &amp; "'!" &amp; J4466, J4466), "")</f>
        <v/>
      </c>
    </row>
    <row r="4467">
      <c r="B4467" s="21">
        <f>IF(AND(C4467&lt;&gt;"", J4467&lt;&gt;""), HYPERLINK("#'" &amp; C4467 &amp; "'!" &amp; J4467, J4467), "")</f>
        <v/>
      </c>
    </row>
    <row r="4468">
      <c r="B4468" s="21">
        <f>IF(AND(C4468&lt;&gt;"", J4468&lt;&gt;""), HYPERLINK("#'" &amp; C4468 &amp; "'!" &amp; J4468, J4468), "")</f>
        <v/>
      </c>
    </row>
    <row r="4469">
      <c r="B4469" s="21">
        <f>IF(AND(C4469&lt;&gt;"", J4469&lt;&gt;""), HYPERLINK("#'" &amp; C4469 &amp; "'!" &amp; J4469, J4469), "")</f>
        <v/>
      </c>
    </row>
    <row r="4470">
      <c r="B4470" s="21">
        <f>IF(AND(C4470&lt;&gt;"", J4470&lt;&gt;""), HYPERLINK("#'" &amp; C4470 &amp; "'!" &amp; J4470, J4470), "")</f>
        <v/>
      </c>
    </row>
    <row r="4471">
      <c r="B4471" s="21">
        <f>IF(AND(C4471&lt;&gt;"", J4471&lt;&gt;""), HYPERLINK("#'" &amp; C4471 &amp; "'!" &amp; J4471, J4471), "")</f>
        <v/>
      </c>
    </row>
    <row r="4472">
      <c r="B4472" s="21">
        <f>IF(AND(C4472&lt;&gt;"", J4472&lt;&gt;""), HYPERLINK("#'" &amp; C4472 &amp; "'!" &amp; J4472, J4472), "")</f>
        <v/>
      </c>
    </row>
    <row r="4473">
      <c r="B4473" s="21">
        <f>IF(AND(C4473&lt;&gt;"", J4473&lt;&gt;""), HYPERLINK("#'" &amp; C4473 &amp; "'!" &amp; J4473, J4473), "")</f>
        <v/>
      </c>
    </row>
    <row r="4474">
      <c r="B4474" s="21">
        <f>IF(AND(C4474&lt;&gt;"", J4474&lt;&gt;""), HYPERLINK("#'" &amp; C4474 &amp; "'!" &amp; J4474, J4474), "")</f>
        <v/>
      </c>
    </row>
    <row r="4475">
      <c r="B4475" s="21">
        <f>IF(AND(C4475&lt;&gt;"", J4475&lt;&gt;""), HYPERLINK("#'" &amp; C4475 &amp; "'!" &amp; J4475, J4475), "")</f>
        <v/>
      </c>
    </row>
    <row r="4476">
      <c r="B4476" s="21">
        <f>IF(AND(C4476&lt;&gt;"", J4476&lt;&gt;""), HYPERLINK("#'" &amp; C4476 &amp; "'!" &amp; J4476, J4476), "")</f>
        <v/>
      </c>
    </row>
    <row r="4477">
      <c r="B4477" s="21">
        <f>IF(AND(C4477&lt;&gt;"", J4477&lt;&gt;""), HYPERLINK("#'" &amp; C4477 &amp; "'!" &amp; J4477, J4477), "")</f>
        <v/>
      </c>
    </row>
    <row r="4478">
      <c r="B4478" s="21">
        <f>IF(AND(C4478&lt;&gt;"", J4478&lt;&gt;""), HYPERLINK("#'" &amp; C4478 &amp; "'!" &amp; J4478, J4478), "")</f>
        <v/>
      </c>
    </row>
    <row r="4479">
      <c r="B4479" s="21">
        <f>IF(AND(C4479&lt;&gt;"", J4479&lt;&gt;""), HYPERLINK("#'" &amp; C4479 &amp; "'!" &amp; J4479, J4479), "")</f>
        <v/>
      </c>
    </row>
    <row r="4480">
      <c r="B4480" s="21">
        <f>IF(AND(C4480&lt;&gt;"", J4480&lt;&gt;""), HYPERLINK("#'" &amp; C4480 &amp; "'!" &amp; J4480, J4480), "")</f>
        <v/>
      </c>
    </row>
    <row r="4481">
      <c r="B4481" s="21">
        <f>IF(AND(C4481&lt;&gt;"", J4481&lt;&gt;""), HYPERLINK("#'" &amp; C4481 &amp; "'!" &amp; J4481, J4481), "")</f>
        <v/>
      </c>
    </row>
    <row r="4482">
      <c r="B4482" s="21">
        <f>IF(AND(C4482&lt;&gt;"", J4482&lt;&gt;""), HYPERLINK("#'" &amp; C4482 &amp; "'!" &amp; J4482, J4482), "")</f>
        <v/>
      </c>
    </row>
    <row r="4483">
      <c r="B4483" s="21">
        <f>IF(AND(C4483&lt;&gt;"", J4483&lt;&gt;""), HYPERLINK("#'" &amp; C4483 &amp; "'!" &amp; J4483, J4483), "")</f>
        <v/>
      </c>
    </row>
    <row r="4484">
      <c r="B4484" s="21">
        <f>IF(AND(C4484&lt;&gt;"", J4484&lt;&gt;""), HYPERLINK("#'" &amp; C4484 &amp; "'!" &amp; J4484, J4484), "")</f>
        <v/>
      </c>
    </row>
    <row r="4485">
      <c r="B4485" s="21">
        <f>IF(AND(C4485&lt;&gt;"", J4485&lt;&gt;""), HYPERLINK("#'" &amp; C4485 &amp; "'!" &amp; J4485, J4485), "")</f>
        <v/>
      </c>
    </row>
    <row r="4486">
      <c r="B4486" s="21">
        <f>IF(AND(C4486&lt;&gt;"", J4486&lt;&gt;""), HYPERLINK("#'" &amp; C4486 &amp; "'!" &amp; J4486, J4486), "")</f>
        <v/>
      </c>
    </row>
    <row r="4487">
      <c r="B4487" s="21">
        <f>IF(AND(C4487&lt;&gt;"", J4487&lt;&gt;""), HYPERLINK("#'" &amp; C4487 &amp; "'!" &amp; J4487, J4487), "")</f>
        <v/>
      </c>
    </row>
    <row r="4488">
      <c r="B4488" s="21">
        <f>IF(AND(C4488&lt;&gt;"", J4488&lt;&gt;""), HYPERLINK("#'" &amp; C4488 &amp; "'!" &amp; J4488, J4488), "")</f>
        <v/>
      </c>
    </row>
    <row r="4489">
      <c r="B4489" s="21">
        <f>IF(AND(C4489&lt;&gt;"", J4489&lt;&gt;""), HYPERLINK("#'" &amp; C4489 &amp; "'!" &amp; J4489, J4489), "")</f>
        <v/>
      </c>
    </row>
    <row r="4490">
      <c r="B4490" s="21">
        <f>IF(AND(C4490&lt;&gt;"", J4490&lt;&gt;""), HYPERLINK("#'" &amp; C4490 &amp; "'!" &amp; J4490, J4490), "")</f>
        <v/>
      </c>
    </row>
    <row r="4491">
      <c r="B4491" s="21">
        <f>IF(AND(C4491&lt;&gt;"", J4491&lt;&gt;""), HYPERLINK("#'" &amp; C4491 &amp; "'!" &amp; J4491, J4491), "")</f>
        <v/>
      </c>
    </row>
    <row r="4492">
      <c r="B4492" s="21">
        <f>IF(AND(C4492&lt;&gt;"", J4492&lt;&gt;""), HYPERLINK("#'" &amp; C4492 &amp; "'!" &amp; J4492, J4492), "")</f>
        <v/>
      </c>
    </row>
    <row r="4493">
      <c r="B4493" s="21">
        <f>IF(AND(C4493&lt;&gt;"", J4493&lt;&gt;""), HYPERLINK("#'" &amp; C4493 &amp; "'!" &amp; J4493, J4493), "")</f>
        <v/>
      </c>
    </row>
    <row r="4494">
      <c r="B4494" s="21">
        <f>IF(AND(C4494&lt;&gt;"", J4494&lt;&gt;""), HYPERLINK("#'" &amp; C4494 &amp; "'!" &amp; J4494, J4494), "")</f>
        <v/>
      </c>
    </row>
    <row r="4495">
      <c r="B4495" s="21">
        <f>IF(AND(C4495&lt;&gt;"", J4495&lt;&gt;""), HYPERLINK("#'" &amp; C4495 &amp; "'!" &amp; J4495, J4495), "")</f>
        <v/>
      </c>
    </row>
    <row r="4496">
      <c r="B4496" s="21">
        <f>IF(AND(C4496&lt;&gt;"", J4496&lt;&gt;""), HYPERLINK("#'" &amp; C4496 &amp; "'!" &amp; J4496, J4496), "")</f>
        <v/>
      </c>
    </row>
    <row r="4497">
      <c r="B4497" s="21">
        <f>IF(AND(C4497&lt;&gt;"", J4497&lt;&gt;""), HYPERLINK("#'" &amp; C4497 &amp; "'!" &amp; J4497, J4497), "")</f>
        <v/>
      </c>
    </row>
    <row r="4498">
      <c r="B4498" s="21">
        <f>IF(AND(C4498&lt;&gt;"", J4498&lt;&gt;""), HYPERLINK("#'" &amp; C4498 &amp; "'!" &amp; J4498, J4498), "")</f>
        <v/>
      </c>
    </row>
    <row r="4499">
      <c r="B4499" s="21">
        <f>IF(AND(C4499&lt;&gt;"", J4499&lt;&gt;""), HYPERLINK("#'" &amp; C4499 &amp; "'!" &amp; J4499, J4499), "")</f>
        <v/>
      </c>
    </row>
    <row r="4500">
      <c r="B4500" s="21">
        <f>IF(AND(C4500&lt;&gt;"", J4500&lt;&gt;""), HYPERLINK("#'" &amp; C4500 &amp; "'!" &amp; J4500, J4500), "")</f>
        <v/>
      </c>
    </row>
    <row r="4501">
      <c r="B4501" s="21">
        <f>IF(AND(C4501&lt;&gt;"", J4501&lt;&gt;""), HYPERLINK("#'" &amp; C4501 &amp; "'!" &amp; J4501, J4501), "")</f>
        <v/>
      </c>
    </row>
    <row r="4502">
      <c r="B4502" s="21">
        <f>IF(AND(C4502&lt;&gt;"", J4502&lt;&gt;""), HYPERLINK("#'" &amp; C4502 &amp; "'!" &amp; J4502, J4502), "")</f>
        <v/>
      </c>
    </row>
    <row r="4503">
      <c r="B4503" s="21">
        <f>IF(AND(C4503&lt;&gt;"", J4503&lt;&gt;""), HYPERLINK("#'" &amp; C4503 &amp; "'!" &amp; J4503, J4503), "")</f>
        <v/>
      </c>
    </row>
    <row r="4504">
      <c r="B4504" s="21">
        <f>IF(AND(C4504&lt;&gt;"", J4504&lt;&gt;""), HYPERLINK("#'" &amp; C4504 &amp; "'!" &amp; J4504, J4504), "")</f>
        <v/>
      </c>
    </row>
    <row r="4505">
      <c r="B4505" s="21">
        <f>IF(AND(C4505&lt;&gt;"", J4505&lt;&gt;""), HYPERLINK("#'" &amp; C4505 &amp; "'!" &amp; J4505, J4505), "")</f>
        <v/>
      </c>
    </row>
    <row r="4506">
      <c r="B4506" s="21">
        <f>IF(AND(C4506&lt;&gt;"", J4506&lt;&gt;""), HYPERLINK("#'" &amp; C4506 &amp; "'!" &amp; J4506, J4506), "")</f>
        <v/>
      </c>
    </row>
    <row r="4507">
      <c r="B4507" s="21">
        <f>IF(AND(C4507&lt;&gt;"", J4507&lt;&gt;""), HYPERLINK("#'" &amp; C4507 &amp; "'!" &amp; J4507, J4507), "")</f>
        <v/>
      </c>
    </row>
    <row r="4508">
      <c r="B4508" s="21">
        <f>IF(AND(C4508&lt;&gt;"", J4508&lt;&gt;""), HYPERLINK("#'" &amp; C4508 &amp; "'!" &amp; J4508, J4508), "")</f>
        <v/>
      </c>
    </row>
    <row r="4509">
      <c r="B4509" s="21">
        <f>IF(AND(C4509&lt;&gt;"", J4509&lt;&gt;""), HYPERLINK("#'" &amp; C4509 &amp; "'!" &amp; J4509, J4509), "")</f>
        <v/>
      </c>
    </row>
    <row r="4510">
      <c r="B4510" s="21">
        <f>IF(AND(C4510&lt;&gt;"", J4510&lt;&gt;""), HYPERLINK("#'" &amp; C4510 &amp; "'!" &amp; J4510, J4510), "")</f>
        <v/>
      </c>
    </row>
    <row r="4511">
      <c r="B4511" s="21">
        <f>IF(AND(C4511&lt;&gt;"", J4511&lt;&gt;""), HYPERLINK("#'" &amp; C4511 &amp; "'!" &amp; J4511, J4511), "")</f>
        <v/>
      </c>
    </row>
    <row r="4512">
      <c r="B4512" s="21">
        <f>IF(AND(C4512&lt;&gt;"", J4512&lt;&gt;""), HYPERLINK("#'" &amp; C4512 &amp; "'!" &amp; J4512, J4512), "")</f>
        <v/>
      </c>
    </row>
    <row r="4513">
      <c r="B4513" s="21">
        <f>IF(AND(C4513&lt;&gt;"", J4513&lt;&gt;""), HYPERLINK("#'" &amp; C4513 &amp; "'!" &amp; J4513, J4513), "")</f>
        <v/>
      </c>
    </row>
    <row r="4514">
      <c r="B4514" s="21">
        <f>IF(AND(C4514&lt;&gt;"", J4514&lt;&gt;""), HYPERLINK("#'" &amp; C4514 &amp; "'!" &amp; J4514, J4514), "")</f>
        <v/>
      </c>
    </row>
    <row r="4515">
      <c r="B4515" s="21">
        <f>IF(AND(C4515&lt;&gt;"", J4515&lt;&gt;""), HYPERLINK("#'" &amp; C4515 &amp; "'!" &amp; J4515, J4515), "")</f>
        <v/>
      </c>
    </row>
    <row r="4516">
      <c r="B4516" s="21">
        <f>IF(AND(C4516&lt;&gt;"", J4516&lt;&gt;""), HYPERLINK("#'" &amp; C4516 &amp; "'!" &amp; J4516, J4516), "")</f>
        <v/>
      </c>
    </row>
    <row r="4517">
      <c r="B4517" s="21">
        <f>IF(AND(C4517&lt;&gt;"", J4517&lt;&gt;""), HYPERLINK("#'" &amp; C4517 &amp; "'!" &amp; J4517, J4517), "")</f>
        <v/>
      </c>
    </row>
    <row r="4518">
      <c r="B4518" s="21">
        <f>IF(AND(C4518&lt;&gt;"", J4518&lt;&gt;""), HYPERLINK("#'" &amp; C4518 &amp; "'!" &amp; J4518, J4518), "")</f>
        <v/>
      </c>
    </row>
    <row r="4519">
      <c r="B4519" s="21">
        <f>IF(AND(C4519&lt;&gt;"", J4519&lt;&gt;""), HYPERLINK("#'" &amp; C4519 &amp; "'!" &amp; J4519, J4519), "")</f>
        <v/>
      </c>
    </row>
    <row r="4520">
      <c r="B4520" s="21">
        <f>IF(AND(C4520&lt;&gt;"", J4520&lt;&gt;""), HYPERLINK("#'" &amp; C4520 &amp; "'!" &amp; J4520, J4520), "")</f>
        <v/>
      </c>
    </row>
    <row r="4521">
      <c r="B4521" s="21">
        <f>IF(AND(C4521&lt;&gt;"", J4521&lt;&gt;""), HYPERLINK("#'" &amp; C4521 &amp; "'!" &amp; J4521, J4521), "")</f>
        <v/>
      </c>
    </row>
    <row r="4522">
      <c r="B4522" s="21">
        <f>IF(AND(C4522&lt;&gt;"", J4522&lt;&gt;""), HYPERLINK("#'" &amp; C4522 &amp; "'!" &amp; J4522, J4522), "")</f>
        <v/>
      </c>
    </row>
    <row r="4523">
      <c r="B4523" s="21">
        <f>IF(AND(C4523&lt;&gt;"", J4523&lt;&gt;""), HYPERLINK("#'" &amp; C4523 &amp; "'!" &amp; J4523, J4523), "")</f>
        <v/>
      </c>
    </row>
    <row r="4524">
      <c r="B4524" s="21">
        <f>IF(AND(C4524&lt;&gt;"", J4524&lt;&gt;""), HYPERLINK("#'" &amp; C4524 &amp; "'!" &amp; J4524, J4524), "")</f>
        <v/>
      </c>
    </row>
    <row r="4525">
      <c r="B4525" s="21">
        <f>IF(AND(C4525&lt;&gt;"", J4525&lt;&gt;""), HYPERLINK("#'" &amp; C4525 &amp; "'!" &amp; J4525, J4525), "")</f>
        <v/>
      </c>
    </row>
    <row r="4526">
      <c r="B4526" s="21">
        <f>IF(AND(C4526&lt;&gt;"", J4526&lt;&gt;""), HYPERLINK("#'" &amp; C4526 &amp; "'!" &amp; J4526, J4526), "")</f>
        <v/>
      </c>
    </row>
    <row r="4527">
      <c r="B4527" s="21">
        <f>IF(AND(C4527&lt;&gt;"", J4527&lt;&gt;""), HYPERLINK("#'" &amp; C4527 &amp; "'!" &amp; J4527, J4527), "")</f>
        <v/>
      </c>
    </row>
    <row r="4528">
      <c r="B4528" s="21">
        <f>IF(AND(C4528&lt;&gt;"", J4528&lt;&gt;""), HYPERLINK("#'" &amp; C4528 &amp; "'!" &amp; J4528, J4528), "")</f>
        <v/>
      </c>
    </row>
    <row r="4529">
      <c r="B4529" s="21">
        <f>IF(AND(C4529&lt;&gt;"", J4529&lt;&gt;""), HYPERLINK("#'" &amp; C4529 &amp; "'!" &amp; J4529, J4529), "")</f>
        <v/>
      </c>
    </row>
    <row r="4530">
      <c r="B4530" s="21">
        <f>IF(AND(C4530&lt;&gt;"", J4530&lt;&gt;""), HYPERLINK("#'" &amp; C4530 &amp; "'!" &amp; J4530, J4530), "")</f>
        <v/>
      </c>
    </row>
    <row r="4531">
      <c r="B4531" s="21">
        <f>IF(AND(C4531&lt;&gt;"", J4531&lt;&gt;""), HYPERLINK("#'" &amp; C4531 &amp; "'!" &amp; J4531, J4531), "")</f>
        <v/>
      </c>
    </row>
    <row r="4532">
      <c r="B4532" s="21">
        <f>IF(AND(C4532&lt;&gt;"", J4532&lt;&gt;""), HYPERLINK("#'" &amp; C4532 &amp; "'!" &amp; J4532, J4532), "")</f>
        <v/>
      </c>
    </row>
    <row r="4533">
      <c r="B4533" s="21">
        <f>IF(AND(C4533&lt;&gt;"", J4533&lt;&gt;""), HYPERLINK("#'" &amp; C4533 &amp; "'!" &amp; J4533, J4533), "")</f>
        <v/>
      </c>
    </row>
    <row r="4534">
      <c r="B4534" s="21">
        <f>IF(AND(C4534&lt;&gt;"", J4534&lt;&gt;""), HYPERLINK("#'" &amp; C4534 &amp; "'!" &amp; J4534, J4534), "")</f>
        <v/>
      </c>
    </row>
    <row r="4535">
      <c r="B4535" s="21">
        <f>IF(AND(C4535&lt;&gt;"", J4535&lt;&gt;""), HYPERLINK("#'" &amp; C4535 &amp; "'!" &amp; J4535, J4535), "")</f>
        <v/>
      </c>
    </row>
    <row r="4536">
      <c r="B4536" s="21">
        <f>IF(AND(C4536&lt;&gt;"", J4536&lt;&gt;""), HYPERLINK("#'" &amp; C4536 &amp; "'!" &amp; J4536, J4536), "")</f>
        <v/>
      </c>
    </row>
    <row r="4537">
      <c r="B4537" s="21">
        <f>IF(AND(C4537&lt;&gt;"", J4537&lt;&gt;""), HYPERLINK("#'" &amp; C4537 &amp; "'!" &amp; J4537, J4537), "")</f>
        <v/>
      </c>
    </row>
    <row r="4538">
      <c r="B4538" s="21">
        <f>IF(AND(C4538&lt;&gt;"", J4538&lt;&gt;""), HYPERLINK("#'" &amp; C4538 &amp; "'!" &amp; J4538, J4538), "")</f>
        <v/>
      </c>
    </row>
    <row r="4539">
      <c r="B4539" s="21">
        <f>IF(AND(C4539&lt;&gt;"", J4539&lt;&gt;""), HYPERLINK("#'" &amp; C4539 &amp; "'!" &amp; J4539, J4539), "")</f>
        <v/>
      </c>
    </row>
    <row r="4540">
      <c r="B4540" s="21">
        <f>IF(AND(C4540&lt;&gt;"", J4540&lt;&gt;""), HYPERLINK("#'" &amp; C4540 &amp; "'!" &amp; J4540, J4540), "")</f>
        <v/>
      </c>
    </row>
    <row r="4541">
      <c r="B4541" s="21">
        <f>IF(AND(C4541&lt;&gt;"", J4541&lt;&gt;""), HYPERLINK("#'" &amp; C4541 &amp; "'!" &amp; J4541, J4541), "")</f>
        <v/>
      </c>
    </row>
    <row r="4542">
      <c r="B4542" s="21">
        <f>IF(AND(C4542&lt;&gt;"", J4542&lt;&gt;""), HYPERLINK("#'" &amp; C4542 &amp; "'!" &amp; J4542, J4542), "")</f>
        <v/>
      </c>
    </row>
    <row r="4543">
      <c r="B4543" s="21">
        <f>IF(AND(C4543&lt;&gt;"", J4543&lt;&gt;""), HYPERLINK("#'" &amp; C4543 &amp; "'!" &amp; J4543, J4543), "")</f>
        <v/>
      </c>
    </row>
    <row r="4544">
      <c r="B4544" s="21">
        <f>IF(AND(C4544&lt;&gt;"", J4544&lt;&gt;""), HYPERLINK("#'" &amp; C4544 &amp; "'!" &amp; J4544, J4544), "")</f>
        <v/>
      </c>
    </row>
    <row r="4545">
      <c r="B4545" s="21">
        <f>IF(AND(C4545&lt;&gt;"", J4545&lt;&gt;""), HYPERLINK("#'" &amp; C4545 &amp; "'!" &amp; J4545, J4545), "")</f>
        <v/>
      </c>
    </row>
    <row r="4546">
      <c r="B4546" s="21">
        <f>IF(AND(C4546&lt;&gt;"", J4546&lt;&gt;""), HYPERLINK("#'" &amp; C4546 &amp; "'!" &amp; J4546, J4546), "")</f>
        <v/>
      </c>
    </row>
    <row r="4547">
      <c r="B4547" s="21">
        <f>IF(AND(C4547&lt;&gt;"", J4547&lt;&gt;""), HYPERLINK("#'" &amp; C4547 &amp; "'!" &amp; J4547, J4547), "")</f>
        <v/>
      </c>
    </row>
    <row r="4548">
      <c r="B4548" s="21">
        <f>IF(AND(C4548&lt;&gt;"", J4548&lt;&gt;""), HYPERLINK("#'" &amp; C4548 &amp; "'!" &amp; J4548, J4548), "")</f>
        <v/>
      </c>
    </row>
    <row r="4549">
      <c r="B4549" s="21">
        <f>IF(AND(C4549&lt;&gt;"", J4549&lt;&gt;""), HYPERLINK("#'" &amp; C4549 &amp; "'!" &amp; J4549, J4549), "")</f>
        <v/>
      </c>
    </row>
    <row r="4550">
      <c r="B4550" s="21">
        <f>IF(AND(C4550&lt;&gt;"", J4550&lt;&gt;""), HYPERLINK("#'" &amp; C4550 &amp; "'!" &amp; J4550, J4550), "")</f>
        <v/>
      </c>
    </row>
    <row r="4551">
      <c r="B4551" s="21">
        <f>IF(AND(C4551&lt;&gt;"", J4551&lt;&gt;""), HYPERLINK("#'" &amp; C4551 &amp; "'!" &amp; J4551, J4551), "")</f>
        <v/>
      </c>
    </row>
    <row r="4552">
      <c r="B4552" s="21">
        <f>IF(AND(C4552&lt;&gt;"", J4552&lt;&gt;""), HYPERLINK("#'" &amp; C4552 &amp; "'!" &amp; J4552, J4552), "")</f>
        <v/>
      </c>
    </row>
    <row r="4553">
      <c r="B4553" s="21">
        <f>IF(AND(C4553&lt;&gt;"", J4553&lt;&gt;""), HYPERLINK("#'" &amp; C4553 &amp; "'!" &amp; J4553, J4553), "")</f>
        <v/>
      </c>
    </row>
    <row r="4554">
      <c r="B4554" s="21">
        <f>IF(AND(C4554&lt;&gt;"", J4554&lt;&gt;""), HYPERLINK("#'" &amp; C4554 &amp; "'!" &amp; J4554, J4554), "")</f>
        <v/>
      </c>
    </row>
    <row r="4555">
      <c r="B4555" s="21">
        <f>IF(AND(C4555&lt;&gt;"", J4555&lt;&gt;""), HYPERLINK("#'" &amp; C4555 &amp; "'!" &amp; J4555, J4555), "")</f>
        <v/>
      </c>
    </row>
    <row r="4556">
      <c r="B4556" s="21">
        <f>IF(AND(C4556&lt;&gt;"", J4556&lt;&gt;""), HYPERLINK("#'" &amp; C4556 &amp; "'!" &amp; J4556, J4556), "")</f>
        <v/>
      </c>
    </row>
    <row r="4557">
      <c r="B4557" s="21">
        <f>IF(AND(C4557&lt;&gt;"", J4557&lt;&gt;""), HYPERLINK("#'" &amp; C4557 &amp; "'!" &amp; J4557, J4557), "")</f>
        <v/>
      </c>
    </row>
    <row r="4558">
      <c r="B4558" s="21">
        <f>IF(AND(C4558&lt;&gt;"", J4558&lt;&gt;""), HYPERLINK("#'" &amp; C4558 &amp; "'!" &amp; J4558, J4558), "")</f>
        <v/>
      </c>
    </row>
    <row r="4559">
      <c r="B4559" s="21">
        <f>IF(AND(C4559&lt;&gt;"", J4559&lt;&gt;""), HYPERLINK("#'" &amp; C4559 &amp; "'!" &amp; J4559, J4559), "")</f>
        <v/>
      </c>
    </row>
    <row r="4560">
      <c r="B4560" s="21">
        <f>IF(AND(C4560&lt;&gt;"", J4560&lt;&gt;""), HYPERLINK("#'" &amp; C4560 &amp; "'!" &amp; J4560, J4560), "")</f>
        <v/>
      </c>
    </row>
    <row r="4561">
      <c r="B4561" s="21">
        <f>IF(AND(C4561&lt;&gt;"", J4561&lt;&gt;""), HYPERLINK("#'" &amp; C4561 &amp; "'!" &amp; J4561, J4561), "")</f>
        <v/>
      </c>
    </row>
    <row r="4562">
      <c r="B4562" s="21">
        <f>IF(AND(C4562&lt;&gt;"", J4562&lt;&gt;""), HYPERLINK("#'" &amp; C4562 &amp; "'!" &amp; J4562, J4562), "")</f>
        <v/>
      </c>
    </row>
    <row r="4563">
      <c r="B4563" s="21">
        <f>IF(AND(C4563&lt;&gt;"", J4563&lt;&gt;""), HYPERLINK("#'" &amp; C4563 &amp; "'!" &amp; J4563, J4563), "")</f>
        <v/>
      </c>
    </row>
    <row r="4564">
      <c r="B4564" s="21">
        <f>IF(AND(C4564&lt;&gt;"", J4564&lt;&gt;""), HYPERLINK("#'" &amp; C4564 &amp; "'!" &amp; J4564, J4564), "")</f>
        <v/>
      </c>
    </row>
    <row r="4565">
      <c r="B4565" s="21">
        <f>IF(AND(C4565&lt;&gt;"", J4565&lt;&gt;""), HYPERLINK("#'" &amp; C4565 &amp; "'!" &amp; J4565, J4565), "")</f>
        <v/>
      </c>
    </row>
    <row r="4566">
      <c r="B4566" s="21">
        <f>IF(AND(C4566&lt;&gt;"", J4566&lt;&gt;""), HYPERLINK("#'" &amp; C4566 &amp; "'!" &amp; J4566, J4566), "")</f>
        <v/>
      </c>
    </row>
    <row r="4567">
      <c r="B4567" s="21">
        <f>IF(AND(C4567&lt;&gt;"", J4567&lt;&gt;""), HYPERLINK("#'" &amp; C4567 &amp; "'!" &amp; J4567, J4567), "")</f>
        <v/>
      </c>
    </row>
    <row r="4568">
      <c r="B4568" s="21">
        <f>IF(AND(C4568&lt;&gt;"", J4568&lt;&gt;""), HYPERLINK("#'" &amp; C4568 &amp; "'!" &amp; J4568, J4568), "")</f>
        <v/>
      </c>
    </row>
    <row r="4569">
      <c r="B4569" s="21">
        <f>IF(AND(C4569&lt;&gt;"", J4569&lt;&gt;""), HYPERLINK("#'" &amp; C4569 &amp; "'!" &amp; J4569, J4569), "")</f>
        <v/>
      </c>
    </row>
    <row r="4570">
      <c r="B4570" s="21">
        <f>IF(AND(C4570&lt;&gt;"", J4570&lt;&gt;""), HYPERLINK("#'" &amp; C4570 &amp; "'!" &amp; J4570, J4570), "")</f>
        <v/>
      </c>
    </row>
    <row r="4571">
      <c r="B4571" s="21">
        <f>IF(AND(C4571&lt;&gt;"", J4571&lt;&gt;""), HYPERLINK("#'" &amp; C4571 &amp; "'!" &amp; J4571, J4571), "")</f>
        <v/>
      </c>
    </row>
    <row r="4572">
      <c r="B4572" s="21">
        <f>IF(AND(C4572&lt;&gt;"", J4572&lt;&gt;""), HYPERLINK("#'" &amp; C4572 &amp; "'!" &amp; J4572, J4572), "")</f>
        <v/>
      </c>
    </row>
    <row r="4573">
      <c r="B4573" s="21">
        <f>IF(AND(C4573&lt;&gt;"", J4573&lt;&gt;""), HYPERLINK("#'" &amp; C4573 &amp; "'!" &amp; J4573, J4573), "")</f>
        <v/>
      </c>
    </row>
    <row r="4574">
      <c r="B4574" s="21">
        <f>IF(AND(C4574&lt;&gt;"", J4574&lt;&gt;""), HYPERLINK("#'" &amp; C4574 &amp; "'!" &amp; J4574, J4574), "")</f>
        <v/>
      </c>
    </row>
    <row r="4575">
      <c r="B4575" s="21">
        <f>IF(AND(C4575&lt;&gt;"", J4575&lt;&gt;""), HYPERLINK("#'" &amp; C4575 &amp; "'!" &amp; J4575, J4575), "")</f>
        <v/>
      </c>
    </row>
    <row r="4576">
      <c r="B4576" s="21">
        <f>IF(AND(C4576&lt;&gt;"", J4576&lt;&gt;""), HYPERLINK("#'" &amp; C4576 &amp; "'!" &amp; J4576, J4576), "")</f>
        <v/>
      </c>
    </row>
    <row r="4577">
      <c r="B4577" s="21">
        <f>IF(AND(C4577&lt;&gt;"", J4577&lt;&gt;""), HYPERLINK("#'" &amp; C4577 &amp; "'!" &amp; J4577, J4577), "")</f>
        <v/>
      </c>
    </row>
    <row r="4578">
      <c r="B4578" s="21">
        <f>IF(AND(C4578&lt;&gt;"", J4578&lt;&gt;""), HYPERLINK("#'" &amp; C4578 &amp; "'!" &amp; J4578, J4578), "")</f>
        <v/>
      </c>
    </row>
    <row r="4579">
      <c r="B4579" s="21">
        <f>IF(AND(C4579&lt;&gt;"", J4579&lt;&gt;""), HYPERLINK("#'" &amp; C4579 &amp; "'!" &amp; J4579, J4579), "")</f>
        <v/>
      </c>
    </row>
    <row r="4580">
      <c r="B4580" s="21">
        <f>IF(AND(C4580&lt;&gt;"", J4580&lt;&gt;""), HYPERLINK("#'" &amp; C4580 &amp; "'!" &amp; J4580, J4580), "")</f>
        <v/>
      </c>
    </row>
    <row r="4581">
      <c r="B4581" s="21">
        <f>IF(AND(C4581&lt;&gt;"", J4581&lt;&gt;""), HYPERLINK("#'" &amp; C4581 &amp; "'!" &amp; J4581, J4581), "")</f>
        <v/>
      </c>
    </row>
    <row r="4582">
      <c r="B4582" s="21">
        <f>IF(AND(C4582&lt;&gt;"", J4582&lt;&gt;""), HYPERLINK("#'" &amp; C4582 &amp; "'!" &amp; J4582, J4582), "")</f>
        <v/>
      </c>
    </row>
    <row r="4583">
      <c r="B4583" s="21">
        <f>IF(AND(C4583&lt;&gt;"", J4583&lt;&gt;""), HYPERLINK("#'" &amp; C4583 &amp; "'!" &amp; J4583, J4583), "")</f>
        <v/>
      </c>
    </row>
    <row r="4584">
      <c r="B4584" s="21">
        <f>IF(AND(C4584&lt;&gt;"", J4584&lt;&gt;""), HYPERLINK("#'" &amp; C4584 &amp; "'!" &amp; J4584, J4584), "")</f>
        <v/>
      </c>
    </row>
    <row r="4585">
      <c r="B4585" s="21">
        <f>IF(AND(C4585&lt;&gt;"", J4585&lt;&gt;""), HYPERLINK("#'" &amp; C4585 &amp; "'!" &amp; J4585, J4585), "")</f>
        <v/>
      </c>
    </row>
    <row r="4586">
      <c r="B4586" s="21">
        <f>IF(AND(C4586&lt;&gt;"", J4586&lt;&gt;""), HYPERLINK("#'" &amp; C4586 &amp; "'!" &amp; J4586, J4586), "")</f>
        <v/>
      </c>
    </row>
    <row r="4587">
      <c r="B4587" s="21">
        <f>IF(AND(C4587&lt;&gt;"", J4587&lt;&gt;""), HYPERLINK("#'" &amp; C4587 &amp; "'!" &amp; J4587, J4587), "")</f>
        <v/>
      </c>
    </row>
    <row r="4588">
      <c r="B4588" s="21">
        <f>IF(AND(C4588&lt;&gt;"", J4588&lt;&gt;""), HYPERLINK("#'" &amp; C4588 &amp; "'!" &amp; J4588, J4588), "")</f>
        <v/>
      </c>
    </row>
    <row r="4589">
      <c r="B4589" s="21">
        <f>IF(AND(C4589&lt;&gt;"", J4589&lt;&gt;""), HYPERLINK("#'" &amp; C4589 &amp; "'!" &amp; J4589, J4589), "")</f>
        <v/>
      </c>
    </row>
    <row r="4590">
      <c r="B4590" s="21">
        <f>IF(AND(C4590&lt;&gt;"", J4590&lt;&gt;""), HYPERLINK("#'" &amp; C4590 &amp; "'!" &amp; J4590, J4590), "")</f>
        <v/>
      </c>
    </row>
    <row r="4591">
      <c r="B4591" s="21">
        <f>IF(AND(C4591&lt;&gt;"", J4591&lt;&gt;""), HYPERLINK("#'" &amp; C4591 &amp; "'!" &amp; J4591, J4591), "")</f>
        <v/>
      </c>
    </row>
    <row r="4592">
      <c r="B4592" s="21">
        <f>IF(AND(C4592&lt;&gt;"", J4592&lt;&gt;""), HYPERLINK("#'" &amp; C4592 &amp; "'!" &amp; J4592, J4592), "")</f>
        <v/>
      </c>
    </row>
    <row r="4593">
      <c r="B4593" s="21">
        <f>IF(AND(C4593&lt;&gt;"", J4593&lt;&gt;""), HYPERLINK("#'" &amp; C4593 &amp; "'!" &amp; J4593, J4593), "")</f>
        <v/>
      </c>
    </row>
    <row r="4594">
      <c r="B4594" s="21">
        <f>IF(AND(C4594&lt;&gt;"", J4594&lt;&gt;""), HYPERLINK("#'" &amp; C4594 &amp; "'!" &amp; J4594, J4594), "")</f>
        <v/>
      </c>
    </row>
    <row r="4595">
      <c r="B4595" s="21">
        <f>IF(AND(C4595&lt;&gt;"", J4595&lt;&gt;""), HYPERLINK("#'" &amp; C4595 &amp; "'!" &amp; J4595, J4595), "")</f>
        <v/>
      </c>
    </row>
    <row r="4596">
      <c r="B4596" s="21">
        <f>IF(AND(C4596&lt;&gt;"", J4596&lt;&gt;""), HYPERLINK("#'" &amp; C4596 &amp; "'!" &amp; J4596, J4596), "")</f>
        <v/>
      </c>
    </row>
    <row r="4597">
      <c r="B4597" s="21">
        <f>IF(AND(C4597&lt;&gt;"", J4597&lt;&gt;""), HYPERLINK("#'" &amp; C4597 &amp; "'!" &amp; J4597, J4597), "")</f>
        <v/>
      </c>
    </row>
    <row r="4598">
      <c r="B4598" s="21">
        <f>IF(AND(C4598&lt;&gt;"", J4598&lt;&gt;""), HYPERLINK("#'" &amp; C4598 &amp; "'!" &amp; J4598, J4598), "")</f>
        <v/>
      </c>
    </row>
    <row r="4599">
      <c r="B4599" s="21">
        <f>IF(AND(C4599&lt;&gt;"", J4599&lt;&gt;""), HYPERLINK("#'" &amp; C4599 &amp; "'!" &amp; J4599, J4599), "")</f>
        <v/>
      </c>
    </row>
    <row r="4600">
      <c r="B4600" s="21">
        <f>IF(AND(C4600&lt;&gt;"", J4600&lt;&gt;""), HYPERLINK("#'" &amp; C4600 &amp; "'!" &amp; J4600, J4600), "")</f>
        <v/>
      </c>
    </row>
    <row r="4601">
      <c r="B4601" s="21">
        <f>IF(AND(C4601&lt;&gt;"", J4601&lt;&gt;""), HYPERLINK("#'" &amp; C4601 &amp; "'!" &amp; J4601, J4601), "")</f>
        <v/>
      </c>
    </row>
    <row r="4602">
      <c r="B4602" s="21">
        <f>IF(AND(C4602&lt;&gt;"", J4602&lt;&gt;""), HYPERLINK("#'" &amp; C4602 &amp; "'!" &amp; J4602, J4602), "")</f>
        <v/>
      </c>
    </row>
    <row r="4603">
      <c r="B4603" s="21">
        <f>IF(AND(C4603&lt;&gt;"", J4603&lt;&gt;""), HYPERLINK("#'" &amp; C4603 &amp; "'!" &amp; J4603, J4603), "")</f>
        <v/>
      </c>
    </row>
    <row r="4604">
      <c r="B4604" s="21">
        <f>IF(AND(C4604&lt;&gt;"", J4604&lt;&gt;""), HYPERLINK("#'" &amp; C4604 &amp; "'!" &amp; J4604, J4604), "")</f>
        <v/>
      </c>
    </row>
    <row r="4605">
      <c r="B4605" s="21">
        <f>IF(AND(C4605&lt;&gt;"", J4605&lt;&gt;""), HYPERLINK("#'" &amp; C4605 &amp; "'!" &amp; J4605, J4605), "")</f>
        <v/>
      </c>
    </row>
    <row r="4606">
      <c r="B4606" s="21">
        <f>IF(AND(C4606&lt;&gt;"", J4606&lt;&gt;""), HYPERLINK("#'" &amp; C4606 &amp; "'!" &amp; J4606, J4606), "")</f>
        <v/>
      </c>
    </row>
    <row r="4607">
      <c r="B4607" s="21">
        <f>IF(AND(C4607&lt;&gt;"", J4607&lt;&gt;""), HYPERLINK("#'" &amp; C4607 &amp; "'!" &amp; J4607, J4607), "")</f>
        <v/>
      </c>
    </row>
    <row r="4608">
      <c r="B4608" s="21">
        <f>IF(AND(C4608&lt;&gt;"", J4608&lt;&gt;""), HYPERLINK("#'" &amp; C4608 &amp; "'!" &amp; J4608, J4608), "")</f>
        <v/>
      </c>
    </row>
    <row r="4609">
      <c r="B4609" s="21">
        <f>IF(AND(C4609&lt;&gt;"", J4609&lt;&gt;""), HYPERLINK("#'" &amp; C4609 &amp; "'!" &amp; J4609, J4609), "")</f>
        <v/>
      </c>
    </row>
    <row r="4610">
      <c r="B4610" s="21">
        <f>IF(AND(C4610&lt;&gt;"", J4610&lt;&gt;""), HYPERLINK("#'" &amp; C4610 &amp; "'!" &amp; J4610, J4610), "")</f>
        <v/>
      </c>
    </row>
    <row r="4611">
      <c r="B4611" s="21">
        <f>IF(AND(C4611&lt;&gt;"", J4611&lt;&gt;""), HYPERLINK("#'" &amp; C4611 &amp; "'!" &amp; J4611, J4611), "")</f>
        <v/>
      </c>
    </row>
    <row r="4612">
      <c r="B4612" s="21">
        <f>IF(AND(C4612&lt;&gt;"", J4612&lt;&gt;""), HYPERLINK("#'" &amp; C4612 &amp; "'!" &amp; J4612, J4612), "")</f>
        <v/>
      </c>
    </row>
    <row r="4613">
      <c r="B4613" s="21">
        <f>IF(AND(C4613&lt;&gt;"", J4613&lt;&gt;""), HYPERLINK("#'" &amp; C4613 &amp; "'!" &amp; J4613, J4613), "")</f>
        <v/>
      </c>
    </row>
    <row r="4614">
      <c r="B4614" s="21">
        <f>IF(AND(C4614&lt;&gt;"", J4614&lt;&gt;""), HYPERLINK("#'" &amp; C4614 &amp; "'!" &amp; J4614, J4614), "")</f>
        <v/>
      </c>
    </row>
    <row r="4615">
      <c r="B4615" s="21">
        <f>IF(AND(C4615&lt;&gt;"", J4615&lt;&gt;""), HYPERLINK("#'" &amp; C4615 &amp; "'!" &amp; J4615, J4615), "")</f>
        <v/>
      </c>
    </row>
    <row r="4616">
      <c r="B4616" s="21">
        <f>IF(AND(C4616&lt;&gt;"", J4616&lt;&gt;""), HYPERLINK("#'" &amp; C4616 &amp; "'!" &amp; J4616, J4616), "")</f>
        <v/>
      </c>
    </row>
    <row r="4617">
      <c r="B4617" s="21">
        <f>IF(AND(C4617&lt;&gt;"", J4617&lt;&gt;""), HYPERLINK("#'" &amp; C4617 &amp; "'!" &amp; J4617, J4617), "")</f>
        <v/>
      </c>
    </row>
    <row r="4618">
      <c r="B4618" s="21">
        <f>IF(AND(C4618&lt;&gt;"", J4618&lt;&gt;""), HYPERLINK("#'" &amp; C4618 &amp; "'!" &amp; J4618, J4618), "")</f>
        <v/>
      </c>
    </row>
    <row r="4619">
      <c r="B4619" s="21">
        <f>IF(AND(C4619&lt;&gt;"", J4619&lt;&gt;""), HYPERLINK("#'" &amp; C4619 &amp; "'!" &amp; J4619, J4619), "")</f>
        <v/>
      </c>
    </row>
    <row r="4620">
      <c r="B4620" s="21">
        <f>IF(AND(C4620&lt;&gt;"", J4620&lt;&gt;""), HYPERLINK("#'" &amp; C4620 &amp; "'!" &amp; J4620, J4620), "")</f>
        <v/>
      </c>
    </row>
    <row r="4621">
      <c r="B4621" s="21">
        <f>IF(AND(C4621&lt;&gt;"", J4621&lt;&gt;""), HYPERLINK("#'" &amp; C4621 &amp; "'!" &amp; J4621, J4621), "")</f>
        <v/>
      </c>
    </row>
    <row r="4622">
      <c r="B4622" s="21">
        <f>IF(AND(C4622&lt;&gt;"", J4622&lt;&gt;""), HYPERLINK("#'" &amp; C4622 &amp; "'!" &amp; J4622, J4622), "")</f>
        <v/>
      </c>
    </row>
    <row r="4623">
      <c r="B4623" s="21">
        <f>IF(AND(C4623&lt;&gt;"", J4623&lt;&gt;""), HYPERLINK("#'" &amp; C4623 &amp; "'!" &amp; J4623, J4623), "")</f>
        <v/>
      </c>
    </row>
    <row r="4624">
      <c r="B4624" s="21">
        <f>IF(AND(C4624&lt;&gt;"", J4624&lt;&gt;""), HYPERLINK("#'" &amp; C4624 &amp; "'!" &amp; J4624, J4624), "")</f>
        <v/>
      </c>
    </row>
    <row r="4625">
      <c r="B4625" s="21">
        <f>IF(AND(C4625&lt;&gt;"", J4625&lt;&gt;""), HYPERLINK("#'" &amp; C4625 &amp; "'!" &amp; J4625, J4625), "")</f>
        <v/>
      </c>
    </row>
    <row r="4626">
      <c r="B4626" s="21">
        <f>IF(AND(C4626&lt;&gt;"", J4626&lt;&gt;""), HYPERLINK("#'" &amp; C4626 &amp; "'!" &amp; J4626, J4626), "")</f>
        <v/>
      </c>
    </row>
    <row r="4627">
      <c r="B4627" s="21">
        <f>IF(AND(C4627&lt;&gt;"", J4627&lt;&gt;""), HYPERLINK("#'" &amp; C4627 &amp; "'!" &amp; J4627, J4627), "")</f>
        <v/>
      </c>
    </row>
    <row r="4628">
      <c r="B4628" s="21">
        <f>IF(AND(C4628&lt;&gt;"", J4628&lt;&gt;""), HYPERLINK("#'" &amp; C4628 &amp; "'!" &amp; J4628, J4628), "")</f>
        <v/>
      </c>
    </row>
    <row r="4629">
      <c r="B4629" s="21">
        <f>IF(AND(C4629&lt;&gt;"", J4629&lt;&gt;""), HYPERLINK("#'" &amp; C4629 &amp; "'!" &amp; J4629, J4629), "")</f>
        <v/>
      </c>
    </row>
    <row r="4630">
      <c r="B4630" s="21">
        <f>IF(AND(C4630&lt;&gt;"", J4630&lt;&gt;""), HYPERLINK("#'" &amp; C4630 &amp; "'!" &amp; J4630, J4630), "")</f>
        <v/>
      </c>
    </row>
    <row r="4631">
      <c r="B4631" s="21">
        <f>IF(AND(C4631&lt;&gt;"", J4631&lt;&gt;""), HYPERLINK("#'" &amp; C4631 &amp; "'!" &amp; J4631, J4631), "")</f>
        <v/>
      </c>
    </row>
    <row r="4632">
      <c r="B4632" s="21">
        <f>IF(AND(C4632&lt;&gt;"", J4632&lt;&gt;""), HYPERLINK("#'" &amp; C4632 &amp; "'!" &amp; J4632, J4632), "")</f>
        <v/>
      </c>
    </row>
    <row r="4633">
      <c r="B4633" s="21">
        <f>IF(AND(C4633&lt;&gt;"", J4633&lt;&gt;""), HYPERLINK("#'" &amp; C4633 &amp; "'!" &amp; J4633, J4633), "")</f>
        <v/>
      </c>
    </row>
    <row r="4634">
      <c r="B4634" s="21">
        <f>IF(AND(C4634&lt;&gt;"", J4634&lt;&gt;""), HYPERLINK("#'" &amp; C4634 &amp; "'!" &amp; J4634, J4634), "")</f>
        <v/>
      </c>
    </row>
    <row r="4635">
      <c r="B4635" s="21">
        <f>IF(AND(C4635&lt;&gt;"", J4635&lt;&gt;""), HYPERLINK("#'" &amp; C4635 &amp; "'!" &amp; J4635, J4635), "")</f>
        <v/>
      </c>
    </row>
    <row r="4636">
      <c r="B4636" s="21">
        <f>IF(AND(C4636&lt;&gt;"", J4636&lt;&gt;""), HYPERLINK("#'" &amp; C4636 &amp; "'!" &amp; J4636, J4636), "")</f>
        <v/>
      </c>
    </row>
    <row r="4637">
      <c r="B4637" s="21">
        <f>IF(AND(C4637&lt;&gt;"", J4637&lt;&gt;""), HYPERLINK("#'" &amp; C4637 &amp; "'!" &amp; J4637, J4637), "")</f>
        <v/>
      </c>
    </row>
    <row r="4638">
      <c r="B4638" s="21">
        <f>IF(AND(C4638&lt;&gt;"", J4638&lt;&gt;""), HYPERLINK("#'" &amp; C4638 &amp; "'!" &amp; J4638, J4638), "")</f>
        <v/>
      </c>
    </row>
    <row r="4639">
      <c r="B4639" s="21">
        <f>IF(AND(C4639&lt;&gt;"", J4639&lt;&gt;""), HYPERLINK("#'" &amp; C4639 &amp; "'!" &amp; J4639, J4639), "")</f>
        <v/>
      </c>
    </row>
    <row r="4640">
      <c r="B4640" s="21">
        <f>IF(AND(C4640&lt;&gt;"", J4640&lt;&gt;""), HYPERLINK("#'" &amp; C4640 &amp; "'!" &amp; J4640, J4640), "")</f>
        <v/>
      </c>
    </row>
    <row r="4641">
      <c r="B4641" s="21">
        <f>IF(AND(C4641&lt;&gt;"", J4641&lt;&gt;""), HYPERLINK("#'" &amp; C4641 &amp; "'!" &amp; J4641, J4641), "")</f>
        <v/>
      </c>
    </row>
    <row r="4642">
      <c r="B4642" s="21">
        <f>IF(AND(C4642&lt;&gt;"", J4642&lt;&gt;""), HYPERLINK("#'" &amp; C4642 &amp; "'!" &amp; J4642, J4642), "")</f>
        <v/>
      </c>
    </row>
    <row r="4643">
      <c r="B4643" s="21">
        <f>IF(AND(C4643&lt;&gt;"", J4643&lt;&gt;""), HYPERLINK("#'" &amp; C4643 &amp; "'!" &amp; J4643, J4643), "")</f>
        <v/>
      </c>
    </row>
    <row r="4644">
      <c r="B4644" s="21">
        <f>IF(AND(C4644&lt;&gt;"", J4644&lt;&gt;""), HYPERLINK("#'" &amp; C4644 &amp; "'!" &amp; J4644, J4644), "")</f>
        <v/>
      </c>
    </row>
    <row r="4645">
      <c r="B4645" s="21">
        <f>IF(AND(C4645&lt;&gt;"", J4645&lt;&gt;""), HYPERLINK("#'" &amp; C4645 &amp; "'!" &amp; J4645, J4645), "")</f>
        <v/>
      </c>
    </row>
    <row r="4646">
      <c r="B4646" s="21">
        <f>IF(AND(C4646&lt;&gt;"", J4646&lt;&gt;""), HYPERLINK("#'" &amp; C4646 &amp; "'!" &amp; J4646, J4646), "")</f>
        <v/>
      </c>
    </row>
    <row r="4647">
      <c r="B4647" s="21">
        <f>IF(AND(C4647&lt;&gt;"", J4647&lt;&gt;""), HYPERLINK("#'" &amp; C4647 &amp; "'!" &amp; J4647, J4647), "")</f>
        <v/>
      </c>
    </row>
    <row r="4648">
      <c r="B4648" s="21">
        <f>IF(AND(C4648&lt;&gt;"", J4648&lt;&gt;""), HYPERLINK("#'" &amp; C4648 &amp; "'!" &amp; J4648, J4648), "")</f>
        <v/>
      </c>
    </row>
    <row r="4649">
      <c r="B4649" s="21">
        <f>IF(AND(C4649&lt;&gt;"", J4649&lt;&gt;""), HYPERLINK("#'" &amp; C4649 &amp; "'!" &amp; J4649, J4649), "")</f>
        <v/>
      </c>
    </row>
    <row r="4650">
      <c r="B4650" s="21">
        <f>IF(AND(C4650&lt;&gt;"", J4650&lt;&gt;""), HYPERLINK("#'" &amp; C4650 &amp; "'!" &amp; J4650, J4650), "")</f>
        <v/>
      </c>
    </row>
    <row r="4651">
      <c r="B4651" s="21">
        <f>IF(AND(C4651&lt;&gt;"", J4651&lt;&gt;""), HYPERLINK("#'" &amp; C4651 &amp; "'!" &amp; J4651, J4651), "")</f>
        <v/>
      </c>
    </row>
    <row r="4652">
      <c r="B4652" s="21">
        <f>IF(AND(C4652&lt;&gt;"", J4652&lt;&gt;""), HYPERLINK("#'" &amp; C4652 &amp; "'!" &amp; J4652, J4652), "")</f>
        <v/>
      </c>
    </row>
    <row r="4653">
      <c r="B4653" s="21">
        <f>IF(AND(C4653&lt;&gt;"", J4653&lt;&gt;""), HYPERLINK("#'" &amp; C4653 &amp; "'!" &amp; J4653, J4653), "")</f>
        <v/>
      </c>
    </row>
    <row r="4654">
      <c r="B4654" s="21">
        <f>IF(AND(C4654&lt;&gt;"", J4654&lt;&gt;""), HYPERLINK("#'" &amp; C4654 &amp; "'!" &amp; J4654, J4654), "")</f>
        <v/>
      </c>
    </row>
    <row r="4655">
      <c r="B4655" s="21">
        <f>IF(AND(C4655&lt;&gt;"", J4655&lt;&gt;""), HYPERLINK("#'" &amp; C4655 &amp; "'!" &amp; J4655, J4655), "")</f>
        <v/>
      </c>
    </row>
    <row r="4656">
      <c r="B4656" s="21">
        <f>IF(AND(C4656&lt;&gt;"", J4656&lt;&gt;""), HYPERLINK("#'" &amp; C4656 &amp; "'!" &amp; J4656, J4656), "")</f>
        <v/>
      </c>
    </row>
    <row r="4657">
      <c r="B4657" s="21">
        <f>IF(AND(C4657&lt;&gt;"", J4657&lt;&gt;""), HYPERLINK("#'" &amp; C4657 &amp; "'!" &amp; J4657, J4657), "")</f>
        <v/>
      </c>
    </row>
    <row r="4658">
      <c r="B4658" s="21">
        <f>IF(AND(C4658&lt;&gt;"", J4658&lt;&gt;""), HYPERLINK("#'" &amp; C4658 &amp; "'!" &amp; J4658, J4658), "")</f>
        <v/>
      </c>
    </row>
    <row r="4659">
      <c r="B4659" s="21">
        <f>IF(AND(C4659&lt;&gt;"", J4659&lt;&gt;""), HYPERLINK("#'" &amp; C4659 &amp; "'!" &amp; J4659, J4659), "")</f>
        <v/>
      </c>
    </row>
    <row r="4660">
      <c r="B4660" s="21">
        <f>IF(AND(C4660&lt;&gt;"", J4660&lt;&gt;""), HYPERLINK("#'" &amp; C4660 &amp; "'!" &amp; J4660, J4660), "")</f>
        <v/>
      </c>
    </row>
    <row r="4661">
      <c r="B4661" s="21">
        <f>IF(AND(C4661&lt;&gt;"", J4661&lt;&gt;""), HYPERLINK("#'" &amp; C4661 &amp; "'!" &amp; J4661, J4661), "")</f>
        <v/>
      </c>
    </row>
    <row r="4662">
      <c r="B4662" s="21">
        <f>IF(AND(C4662&lt;&gt;"", J4662&lt;&gt;""), HYPERLINK("#'" &amp; C4662 &amp; "'!" &amp; J4662, J4662), "")</f>
        <v/>
      </c>
    </row>
    <row r="4663">
      <c r="B4663" s="21">
        <f>IF(AND(C4663&lt;&gt;"", J4663&lt;&gt;""), HYPERLINK("#'" &amp; C4663 &amp; "'!" &amp; J4663, J4663), "")</f>
        <v/>
      </c>
    </row>
    <row r="4664">
      <c r="B4664" s="21">
        <f>IF(AND(C4664&lt;&gt;"", J4664&lt;&gt;""), HYPERLINK("#'" &amp; C4664 &amp; "'!" &amp; J4664, J4664), "")</f>
        <v/>
      </c>
    </row>
    <row r="4665">
      <c r="B4665" s="21">
        <f>IF(AND(C4665&lt;&gt;"", J4665&lt;&gt;""), HYPERLINK("#'" &amp; C4665 &amp; "'!" &amp; J4665, J4665), "")</f>
        <v/>
      </c>
    </row>
    <row r="4666">
      <c r="B4666" s="21">
        <f>IF(AND(C4666&lt;&gt;"", J4666&lt;&gt;""), HYPERLINK("#'" &amp; C4666 &amp; "'!" &amp; J4666, J4666), "")</f>
        <v/>
      </c>
    </row>
    <row r="4667">
      <c r="B4667" s="21">
        <f>IF(AND(C4667&lt;&gt;"", J4667&lt;&gt;""), HYPERLINK("#'" &amp; C4667 &amp; "'!" &amp; J4667, J4667), "")</f>
        <v/>
      </c>
    </row>
    <row r="4668">
      <c r="B4668" s="21">
        <f>IF(AND(C4668&lt;&gt;"", J4668&lt;&gt;""), HYPERLINK("#'" &amp; C4668 &amp; "'!" &amp; J4668, J4668), "")</f>
        <v/>
      </c>
    </row>
    <row r="4669">
      <c r="B4669" s="21">
        <f>IF(AND(C4669&lt;&gt;"", J4669&lt;&gt;""), HYPERLINK("#'" &amp; C4669 &amp; "'!" &amp; J4669, J4669), "")</f>
        <v/>
      </c>
    </row>
    <row r="4670">
      <c r="B4670" s="21">
        <f>IF(AND(C4670&lt;&gt;"", J4670&lt;&gt;""), HYPERLINK("#'" &amp; C4670 &amp; "'!" &amp; J4670, J4670), "")</f>
        <v/>
      </c>
    </row>
    <row r="4671">
      <c r="B4671" s="21">
        <f>IF(AND(C4671&lt;&gt;"", J4671&lt;&gt;""), HYPERLINK("#'" &amp; C4671 &amp; "'!" &amp; J4671, J4671), "")</f>
        <v/>
      </c>
    </row>
    <row r="4672">
      <c r="B4672" s="21">
        <f>IF(AND(C4672&lt;&gt;"", J4672&lt;&gt;""), HYPERLINK("#'" &amp; C4672 &amp; "'!" &amp; J4672, J4672), "")</f>
        <v/>
      </c>
    </row>
    <row r="4673">
      <c r="B4673" s="21">
        <f>IF(AND(C4673&lt;&gt;"", J4673&lt;&gt;""), HYPERLINK("#'" &amp; C4673 &amp; "'!" &amp; J4673, J4673), "")</f>
        <v/>
      </c>
    </row>
    <row r="4674">
      <c r="B4674" s="21">
        <f>IF(AND(C4674&lt;&gt;"", J4674&lt;&gt;""), HYPERLINK("#'" &amp; C4674 &amp; "'!" &amp; J4674, J4674), "")</f>
        <v/>
      </c>
    </row>
    <row r="4675">
      <c r="B4675" s="21">
        <f>IF(AND(C4675&lt;&gt;"", J4675&lt;&gt;""), HYPERLINK("#'" &amp; C4675 &amp; "'!" &amp; J4675, J4675), "")</f>
        <v/>
      </c>
    </row>
    <row r="4676">
      <c r="B4676" s="21">
        <f>IF(AND(C4676&lt;&gt;"", J4676&lt;&gt;""), HYPERLINK("#'" &amp; C4676 &amp; "'!" &amp; J4676, J4676), "")</f>
        <v/>
      </c>
    </row>
    <row r="4677">
      <c r="B4677" s="21">
        <f>IF(AND(C4677&lt;&gt;"", J4677&lt;&gt;""), HYPERLINK("#'" &amp; C4677 &amp; "'!" &amp; J4677, J4677), "")</f>
        <v/>
      </c>
    </row>
    <row r="4678">
      <c r="B4678" s="21">
        <f>IF(AND(C4678&lt;&gt;"", J4678&lt;&gt;""), HYPERLINK("#'" &amp; C4678 &amp; "'!" &amp; J4678, J4678), "")</f>
        <v/>
      </c>
    </row>
    <row r="4679">
      <c r="B4679" s="21">
        <f>IF(AND(C4679&lt;&gt;"", J4679&lt;&gt;""), HYPERLINK("#'" &amp; C4679 &amp; "'!" &amp; J4679, J4679), "")</f>
        <v/>
      </c>
    </row>
    <row r="4680">
      <c r="B4680" s="21">
        <f>IF(AND(C4680&lt;&gt;"", J4680&lt;&gt;""), HYPERLINK("#'" &amp; C4680 &amp; "'!" &amp; J4680, J4680), "")</f>
        <v/>
      </c>
    </row>
    <row r="4681">
      <c r="B4681" s="21">
        <f>IF(AND(C4681&lt;&gt;"", J4681&lt;&gt;""), HYPERLINK("#'" &amp; C4681 &amp; "'!" &amp; J4681, J4681), "")</f>
        <v/>
      </c>
    </row>
    <row r="4682">
      <c r="B4682" s="21">
        <f>IF(AND(C4682&lt;&gt;"", J4682&lt;&gt;""), HYPERLINK("#'" &amp; C4682 &amp; "'!" &amp; J4682, J4682), "")</f>
        <v/>
      </c>
    </row>
    <row r="4683">
      <c r="B4683" s="21">
        <f>IF(AND(C4683&lt;&gt;"", J4683&lt;&gt;""), HYPERLINK("#'" &amp; C4683 &amp; "'!" &amp; J4683, J4683), "")</f>
        <v/>
      </c>
    </row>
    <row r="4684">
      <c r="B4684" s="21">
        <f>IF(AND(C4684&lt;&gt;"", J4684&lt;&gt;""), HYPERLINK("#'" &amp; C4684 &amp; "'!" &amp; J4684, J4684), "")</f>
        <v/>
      </c>
    </row>
    <row r="4685">
      <c r="B4685" s="21">
        <f>IF(AND(C4685&lt;&gt;"", J4685&lt;&gt;""), HYPERLINK("#'" &amp; C4685 &amp; "'!" &amp; J4685, J4685), "")</f>
        <v/>
      </c>
    </row>
    <row r="4686">
      <c r="B4686" s="21">
        <f>IF(AND(C4686&lt;&gt;"", J4686&lt;&gt;""), HYPERLINK("#'" &amp; C4686 &amp; "'!" &amp; J4686, J4686), "")</f>
        <v/>
      </c>
    </row>
    <row r="4687">
      <c r="B4687" s="21">
        <f>IF(AND(C4687&lt;&gt;"", J4687&lt;&gt;""), HYPERLINK("#'" &amp; C4687 &amp; "'!" &amp; J4687, J4687), "")</f>
        <v/>
      </c>
    </row>
    <row r="4688">
      <c r="B4688" s="21">
        <f>IF(AND(C4688&lt;&gt;"", J4688&lt;&gt;""), HYPERLINK("#'" &amp; C4688 &amp; "'!" &amp; J4688, J4688), "")</f>
        <v/>
      </c>
    </row>
    <row r="4689">
      <c r="B4689" s="21">
        <f>IF(AND(C4689&lt;&gt;"", J4689&lt;&gt;""), HYPERLINK("#'" &amp; C4689 &amp; "'!" &amp; J4689, J4689), "")</f>
        <v/>
      </c>
    </row>
    <row r="4690">
      <c r="B4690" s="21">
        <f>IF(AND(C4690&lt;&gt;"", J4690&lt;&gt;""), HYPERLINK("#'" &amp; C4690 &amp; "'!" &amp; J4690, J4690), "")</f>
        <v/>
      </c>
    </row>
    <row r="4691">
      <c r="B4691" s="21">
        <f>IF(AND(C4691&lt;&gt;"", J4691&lt;&gt;""), HYPERLINK("#'" &amp; C4691 &amp; "'!" &amp; J4691, J4691), "")</f>
        <v/>
      </c>
    </row>
    <row r="4692">
      <c r="B4692" s="21">
        <f>IF(AND(C4692&lt;&gt;"", J4692&lt;&gt;""), HYPERLINK("#'" &amp; C4692 &amp; "'!" &amp; J4692, J4692), "")</f>
        <v/>
      </c>
    </row>
    <row r="4693">
      <c r="B4693" s="21">
        <f>IF(AND(C4693&lt;&gt;"", J4693&lt;&gt;""), HYPERLINK("#'" &amp; C4693 &amp; "'!" &amp; J4693, J4693), "")</f>
        <v/>
      </c>
    </row>
    <row r="4694">
      <c r="B4694" s="21">
        <f>IF(AND(C4694&lt;&gt;"", J4694&lt;&gt;""), HYPERLINK("#'" &amp; C4694 &amp; "'!" &amp; J4694, J4694), "")</f>
        <v/>
      </c>
    </row>
    <row r="4695">
      <c r="B4695" s="21">
        <f>IF(AND(C4695&lt;&gt;"", J4695&lt;&gt;""), HYPERLINK("#'" &amp; C4695 &amp; "'!" &amp; J4695, J4695), "")</f>
        <v/>
      </c>
    </row>
    <row r="4696">
      <c r="B4696" s="21">
        <f>IF(AND(C4696&lt;&gt;"", J4696&lt;&gt;""), HYPERLINK("#'" &amp; C4696 &amp; "'!" &amp; J4696, J4696), "")</f>
        <v/>
      </c>
    </row>
    <row r="4697">
      <c r="B4697" s="21">
        <f>IF(AND(C4697&lt;&gt;"", J4697&lt;&gt;""), HYPERLINK("#'" &amp; C4697 &amp; "'!" &amp; J4697, J4697), "")</f>
        <v/>
      </c>
    </row>
    <row r="4698">
      <c r="B4698" s="21">
        <f>IF(AND(C4698&lt;&gt;"", J4698&lt;&gt;""), HYPERLINK("#'" &amp; C4698 &amp; "'!" &amp; J4698, J4698), "")</f>
        <v/>
      </c>
    </row>
    <row r="4699">
      <c r="B4699" s="21">
        <f>IF(AND(C4699&lt;&gt;"", J4699&lt;&gt;""), HYPERLINK("#'" &amp; C4699 &amp; "'!" &amp; J4699, J4699), "")</f>
        <v/>
      </c>
    </row>
    <row r="4700">
      <c r="B4700" s="21">
        <f>IF(AND(C4700&lt;&gt;"", J4700&lt;&gt;""), HYPERLINK("#'" &amp; C4700 &amp; "'!" &amp; J4700, J4700), "")</f>
        <v/>
      </c>
    </row>
    <row r="4701">
      <c r="B4701" s="21">
        <f>IF(AND(C4701&lt;&gt;"", J4701&lt;&gt;""), HYPERLINK("#'" &amp; C4701 &amp; "'!" &amp; J4701, J4701), "")</f>
        <v/>
      </c>
    </row>
    <row r="4702">
      <c r="B4702" s="21">
        <f>IF(AND(C4702&lt;&gt;"", J4702&lt;&gt;""), HYPERLINK("#'" &amp; C4702 &amp; "'!" &amp; J4702, J4702), "")</f>
        <v/>
      </c>
    </row>
    <row r="4703">
      <c r="B4703" s="21">
        <f>IF(AND(C4703&lt;&gt;"", J4703&lt;&gt;""), HYPERLINK("#'" &amp; C4703 &amp; "'!" &amp; J4703, J4703), "")</f>
        <v/>
      </c>
    </row>
    <row r="4704">
      <c r="B4704" s="21">
        <f>IF(AND(C4704&lt;&gt;"", J4704&lt;&gt;""), HYPERLINK("#'" &amp; C4704 &amp; "'!" &amp; J4704, J4704), "")</f>
        <v/>
      </c>
    </row>
    <row r="4705">
      <c r="B4705" s="21">
        <f>IF(AND(C4705&lt;&gt;"", J4705&lt;&gt;""), HYPERLINK("#'" &amp; C4705 &amp; "'!" &amp; J4705, J4705), "")</f>
        <v/>
      </c>
    </row>
    <row r="4706">
      <c r="B4706" s="21">
        <f>IF(AND(C4706&lt;&gt;"", J4706&lt;&gt;""), HYPERLINK("#'" &amp; C4706 &amp; "'!" &amp; J4706, J4706), "")</f>
        <v/>
      </c>
    </row>
    <row r="4707">
      <c r="B4707" s="21">
        <f>IF(AND(C4707&lt;&gt;"", J4707&lt;&gt;""), HYPERLINK("#'" &amp; C4707 &amp; "'!" &amp; J4707, J4707), "")</f>
        <v/>
      </c>
    </row>
    <row r="4708">
      <c r="B4708" s="21">
        <f>IF(AND(C4708&lt;&gt;"", J4708&lt;&gt;""), HYPERLINK("#'" &amp; C4708 &amp; "'!" &amp; J4708, J4708), "")</f>
        <v/>
      </c>
    </row>
    <row r="4709">
      <c r="B4709" s="21">
        <f>IF(AND(C4709&lt;&gt;"", J4709&lt;&gt;""), HYPERLINK("#'" &amp; C4709 &amp; "'!" &amp; J4709, J4709), "")</f>
        <v/>
      </c>
    </row>
    <row r="4710">
      <c r="B4710" s="21">
        <f>IF(AND(C4710&lt;&gt;"", J4710&lt;&gt;""), HYPERLINK("#'" &amp; C4710 &amp; "'!" &amp; J4710, J4710), "")</f>
        <v/>
      </c>
    </row>
    <row r="4711">
      <c r="B4711" s="21">
        <f>IF(AND(C4711&lt;&gt;"", J4711&lt;&gt;""), HYPERLINK("#'" &amp; C4711 &amp; "'!" &amp; J4711, J4711), "")</f>
        <v/>
      </c>
    </row>
    <row r="4712">
      <c r="B4712" s="21">
        <f>IF(AND(C4712&lt;&gt;"", J4712&lt;&gt;""), HYPERLINK("#'" &amp; C4712 &amp; "'!" &amp; J4712, J4712), "")</f>
        <v/>
      </c>
    </row>
    <row r="4713">
      <c r="B4713" s="21">
        <f>IF(AND(C4713&lt;&gt;"", J4713&lt;&gt;""), HYPERLINK("#'" &amp; C4713 &amp; "'!" &amp; J4713, J4713), "")</f>
        <v/>
      </c>
    </row>
    <row r="4714">
      <c r="B4714" s="21">
        <f>IF(AND(C4714&lt;&gt;"", J4714&lt;&gt;""), HYPERLINK("#'" &amp; C4714 &amp; "'!" &amp; J4714, J4714), "")</f>
        <v/>
      </c>
    </row>
    <row r="4715">
      <c r="B4715" s="21">
        <f>IF(AND(C4715&lt;&gt;"", J4715&lt;&gt;""), HYPERLINK("#'" &amp; C4715 &amp; "'!" &amp; J4715, J4715), "")</f>
        <v/>
      </c>
    </row>
    <row r="4716">
      <c r="B4716" s="21">
        <f>IF(AND(C4716&lt;&gt;"", J4716&lt;&gt;""), HYPERLINK("#'" &amp; C4716 &amp; "'!" &amp; J4716, J4716), "")</f>
        <v/>
      </c>
    </row>
    <row r="4717">
      <c r="B4717" s="21">
        <f>IF(AND(C4717&lt;&gt;"", J4717&lt;&gt;""), HYPERLINK("#'" &amp; C4717 &amp; "'!" &amp; J4717, J4717), "")</f>
        <v/>
      </c>
    </row>
    <row r="4718">
      <c r="B4718" s="21">
        <f>IF(AND(C4718&lt;&gt;"", J4718&lt;&gt;""), HYPERLINK("#'" &amp; C4718 &amp; "'!" &amp; J4718, J4718), "")</f>
        <v/>
      </c>
    </row>
    <row r="4719">
      <c r="B4719" s="21">
        <f>IF(AND(C4719&lt;&gt;"", J4719&lt;&gt;""), HYPERLINK("#'" &amp; C4719 &amp; "'!" &amp; J4719, J4719), "")</f>
        <v/>
      </c>
    </row>
    <row r="4720">
      <c r="B4720" s="21">
        <f>IF(AND(C4720&lt;&gt;"", J4720&lt;&gt;""), HYPERLINK("#'" &amp; C4720 &amp; "'!" &amp; J4720, J4720), "")</f>
        <v/>
      </c>
    </row>
    <row r="4721">
      <c r="B4721" s="21">
        <f>IF(AND(C4721&lt;&gt;"", J4721&lt;&gt;""), HYPERLINK("#'" &amp; C4721 &amp; "'!" &amp; J4721, J4721), "")</f>
        <v/>
      </c>
    </row>
    <row r="4722">
      <c r="B4722" s="21">
        <f>IF(AND(C4722&lt;&gt;"", J4722&lt;&gt;""), HYPERLINK("#'" &amp; C4722 &amp; "'!" &amp; J4722, J4722), "")</f>
        <v/>
      </c>
    </row>
    <row r="4723">
      <c r="B4723" s="21">
        <f>IF(AND(C4723&lt;&gt;"", J4723&lt;&gt;""), HYPERLINK("#'" &amp; C4723 &amp; "'!" &amp; J4723, J4723), "")</f>
        <v/>
      </c>
    </row>
    <row r="4724">
      <c r="B4724" s="21">
        <f>IF(AND(C4724&lt;&gt;"", J4724&lt;&gt;""), HYPERLINK("#'" &amp; C4724 &amp; "'!" &amp; J4724, J4724), "")</f>
        <v/>
      </c>
    </row>
    <row r="4725">
      <c r="B4725" s="21">
        <f>IF(AND(C4725&lt;&gt;"", J4725&lt;&gt;""), HYPERLINK("#'" &amp; C4725 &amp; "'!" &amp; J4725, J4725), "")</f>
        <v/>
      </c>
    </row>
    <row r="4726">
      <c r="B4726" s="21">
        <f>IF(AND(C4726&lt;&gt;"", J4726&lt;&gt;""), HYPERLINK("#'" &amp; C4726 &amp; "'!" &amp; J4726, J4726), "")</f>
        <v/>
      </c>
    </row>
    <row r="4727">
      <c r="B4727" s="21">
        <f>IF(AND(C4727&lt;&gt;"", J4727&lt;&gt;""), HYPERLINK("#'" &amp; C4727 &amp; "'!" &amp; J4727, J4727), "")</f>
        <v/>
      </c>
    </row>
    <row r="4728">
      <c r="B4728" s="21">
        <f>IF(AND(C4728&lt;&gt;"", J4728&lt;&gt;""), HYPERLINK("#'" &amp; C4728 &amp; "'!" &amp; J4728, J4728), "")</f>
        <v/>
      </c>
    </row>
    <row r="4729">
      <c r="B4729" s="21">
        <f>IF(AND(C4729&lt;&gt;"", J4729&lt;&gt;""), HYPERLINK("#'" &amp; C4729 &amp; "'!" &amp; J4729, J4729), "")</f>
        <v/>
      </c>
    </row>
    <row r="4730">
      <c r="B4730" s="21">
        <f>IF(AND(C4730&lt;&gt;"", J4730&lt;&gt;""), HYPERLINK("#'" &amp; C4730 &amp; "'!" &amp; J4730, J4730), "")</f>
        <v/>
      </c>
    </row>
    <row r="4731">
      <c r="B4731" s="21">
        <f>IF(AND(C4731&lt;&gt;"", J4731&lt;&gt;""), HYPERLINK("#'" &amp; C4731 &amp; "'!" &amp; J4731, J4731), "")</f>
        <v/>
      </c>
    </row>
    <row r="4732">
      <c r="B4732" s="21">
        <f>IF(AND(C4732&lt;&gt;"", J4732&lt;&gt;""), HYPERLINK("#'" &amp; C4732 &amp; "'!" &amp; J4732, J4732), "")</f>
        <v/>
      </c>
    </row>
    <row r="4733">
      <c r="B4733" s="21">
        <f>IF(AND(C4733&lt;&gt;"", J4733&lt;&gt;""), HYPERLINK("#'" &amp; C4733 &amp; "'!" &amp; J4733, J4733), "")</f>
        <v/>
      </c>
    </row>
    <row r="4734">
      <c r="B4734" s="21">
        <f>IF(AND(C4734&lt;&gt;"", J4734&lt;&gt;""), HYPERLINK("#'" &amp; C4734 &amp; "'!" &amp; J4734, J4734), "")</f>
        <v/>
      </c>
    </row>
    <row r="4735">
      <c r="B4735" s="21">
        <f>IF(AND(C4735&lt;&gt;"", J4735&lt;&gt;""), HYPERLINK("#'" &amp; C4735 &amp; "'!" &amp; J4735, J4735), "")</f>
        <v/>
      </c>
    </row>
    <row r="4736">
      <c r="B4736" s="21">
        <f>IF(AND(C4736&lt;&gt;"", J4736&lt;&gt;""), HYPERLINK("#'" &amp; C4736 &amp; "'!" &amp; J4736, J4736), "")</f>
        <v/>
      </c>
    </row>
    <row r="4737">
      <c r="B4737" s="21">
        <f>IF(AND(C4737&lt;&gt;"", J4737&lt;&gt;""), HYPERLINK("#'" &amp; C4737 &amp; "'!" &amp; J4737, J4737), "")</f>
        <v/>
      </c>
    </row>
    <row r="4738">
      <c r="B4738" s="21">
        <f>IF(AND(C4738&lt;&gt;"", J4738&lt;&gt;""), HYPERLINK("#'" &amp; C4738 &amp; "'!" &amp; J4738, J4738), "")</f>
        <v/>
      </c>
    </row>
    <row r="4739">
      <c r="B4739" s="21">
        <f>IF(AND(C4739&lt;&gt;"", J4739&lt;&gt;""), HYPERLINK("#'" &amp; C4739 &amp; "'!" &amp; J4739, J4739), "")</f>
        <v/>
      </c>
    </row>
    <row r="4740">
      <c r="B4740" s="21">
        <f>IF(AND(C4740&lt;&gt;"", J4740&lt;&gt;""), HYPERLINK("#'" &amp; C4740 &amp; "'!" &amp; J4740, J4740), "")</f>
        <v/>
      </c>
    </row>
    <row r="4741">
      <c r="B4741" s="21">
        <f>IF(AND(C4741&lt;&gt;"", J4741&lt;&gt;""), HYPERLINK("#'" &amp; C4741 &amp; "'!" &amp; J4741, J4741), "")</f>
        <v/>
      </c>
    </row>
    <row r="4742">
      <c r="B4742" s="21">
        <f>IF(AND(C4742&lt;&gt;"", J4742&lt;&gt;""), HYPERLINK("#'" &amp; C4742 &amp; "'!" &amp; J4742, J4742), "")</f>
        <v/>
      </c>
    </row>
    <row r="4743">
      <c r="B4743" s="21">
        <f>IF(AND(C4743&lt;&gt;"", J4743&lt;&gt;""), HYPERLINK("#'" &amp; C4743 &amp; "'!" &amp; J4743, J4743), "")</f>
        <v/>
      </c>
    </row>
    <row r="4744">
      <c r="B4744" s="21">
        <f>IF(AND(C4744&lt;&gt;"", J4744&lt;&gt;""), HYPERLINK("#'" &amp; C4744 &amp; "'!" &amp; J4744, J4744), "")</f>
        <v/>
      </c>
    </row>
    <row r="4745">
      <c r="B4745" s="21">
        <f>IF(AND(C4745&lt;&gt;"", J4745&lt;&gt;""), HYPERLINK("#'" &amp; C4745 &amp; "'!" &amp; J4745, J4745), "")</f>
        <v/>
      </c>
    </row>
    <row r="4746">
      <c r="B4746" s="21">
        <f>IF(AND(C4746&lt;&gt;"", J4746&lt;&gt;""), HYPERLINK("#'" &amp; C4746 &amp; "'!" &amp; J4746, J4746), "")</f>
        <v/>
      </c>
    </row>
    <row r="4747">
      <c r="B4747" s="21">
        <f>IF(AND(C4747&lt;&gt;"", J4747&lt;&gt;""), HYPERLINK("#'" &amp; C4747 &amp; "'!" &amp; J4747, J4747), "")</f>
        <v/>
      </c>
    </row>
    <row r="4748">
      <c r="B4748" s="21">
        <f>IF(AND(C4748&lt;&gt;"", J4748&lt;&gt;""), HYPERLINK("#'" &amp; C4748 &amp; "'!" &amp; J4748, J4748), "")</f>
        <v/>
      </c>
    </row>
    <row r="4749">
      <c r="B4749" s="21">
        <f>IF(AND(C4749&lt;&gt;"", J4749&lt;&gt;""), HYPERLINK("#'" &amp; C4749 &amp; "'!" &amp; J4749, J4749), "")</f>
        <v/>
      </c>
    </row>
    <row r="4750">
      <c r="B4750" s="21">
        <f>IF(AND(C4750&lt;&gt;"", J4750&lt;&gt;""), HYPERLINK("#'" &amp; C4750 &amp; "'!" &amp; J4750, J4750), "")</f>
        <v/>
      </c>
    </row>
    <row r="4751">
      <c r="B4751" s="21">
        <f>IF(AND(C4751&lt;&gt;"", J4751&lt;&gt;""), HYPERLINK("#'" &amp; C4751 &amp; "'!" &amp; J4751, J4751), "")</f>
        <v/>
      </c>
    </row>
    <row r="4752">
      <c r="B4752" s="21">
        <f>IF(AND(C4752&lt;&gt;"", J4752&lt;&gt;""), HYPERLINK("#'" &amp; C4752 &amp; "'!" &amp; J4752, J4752), "")</f>
        <v/>
      </c>
    </row>
    <row r="4753">
      <c r="B4753" s="21">
        <f>IF(AND(C4753&lt;&gt;"", J4753&lt;&gt;""), HYPERLINK("#'" &amp; C4753 &amp; "'!" &amp; J4753, J4753), "")</f>
        <v/>
      </c>
    </row>
    <row r="4754">
      <c r="B4754" s="21">
        <f>IF(AND(C4754&lt;&gt;"", J4754&lt;&gt;""), HYPERLINK("#'" &amp; C4754 &amp; "'!" &amp; J4754, J4754), "")</f>
        <v/>
      </c>
    </row>
    <row r="4755">
      <c r="B4755" s="21">
        <f>IF(AND(C4755&lt;&gt;"", J4755&lt;&gt;""), HYPERLINK("#'" &amp; C4755 &amp; "'!" &amp; J4755, J4755), "")</f>
        <v/>
      </c>
    </row>
    <row r="4756">
      <c r="B4756" s="21">
        <f>IF(AND(C4756&lt;&gt;"", J4756&lt;&gt;""), HYPERLINK("#'" &amp; C4756 &amp; "'!" &amp; J4756, J4756), "")</f>
        <v/>
      </c>
    </row>
    <row r="4757">
      <c r="B4757" s="21">
        <f>IF(AND(C4757&lt;&gt;"", J4757&lt;&gt;""), HYPERLINK("#'" &amp; C4757 &amp; "'!" &amp; J4757, J4757), "")</f>
        <v/>
      </c>
    </row>
    <row r="4758">
      <c r="B4758" s="21">
        <f>IF(AND(C4758&lt;&gt;"", J4758&lt;&gt;""), HYPERLINK("#'" &amp; C4758 &amp; "'!" &amp; J4758, J4758), "")</f>
        <v/>
      </c>
    </row>
    <row r="4759">
      <c r="B4759" s="21">
        <f>IF(AND(C4759&lt;&gt;"", J4759&lt;&gt;""), HYPERLINK("#'" &amp; C4759 &amp; "'!" &amp; J4759, J4759), "")</f>
        <v/>
      </c>
    </row>
    <row r="4760">
      <c r="B4760" s="21">
        <f>IF(AND(C4760&lt;&gt;"", J4760&lt;&gt;""), HYPERLINK("#'" &amp; C4760 &amp; "'!" &amp; J4760, J4760), "")</f>
        <v/>
      </c>
    </row>
    <row r="4761">
      <c r="B4761" s="21">
        <f>IF(AND(C4761&lt;&gt;"", J4761&lt;&gt;""), HYPERLINK("#'" &amp; C4761 &amp; "'!" &amp; J4761, J4761), "")</f>
        <v/>
      </c>
    </row>
    <row r="4762">
      <c r="B4762" s="21">
        <f>IF(AND(C4762&lt;&gt;"", J4762&lt;&gt;""), HYPERLINK("#'" &amp; C4762 &amp; "'!" &amp; J4762, J4762), "")</f>
        <v/>
      </c>
    </row>
    <row r="4763">
      <c r="B4763" s="21">
        <f>IF(AND(C4763&lt;&gt;"", J4763&lt;&gt;""), HYPERLINK("#'" &amp; C4763 &amp; "'!" &amp; J4763, J4763), "")</f>
        <v/>
      </c>
    </row>
    <row r="4764">
      <c r="B4764" s="21">
        <f>IF(AND(C4764&lt;&gt;"", J4764&lt;&gt;""), HYPERLINK("#'" &amp; C4764 &amp; "'!" &amp; J4764, J4764), "")</f>
        <v/>
      </c>
    </row>
    <row r="4765">
      <c r="B4765" s="21">
        <f>IF(AND(C4765&lt;&gt;"", J4765&lt;&gt;""), HYPERLINK("#'" &amp; C4765 &amp; "'!" &amp; J4765, J4765), "")</f>
        <v/>
      </c>
    </row>
    <row r="4766">
      <c r="B4766" s="21">
        <f>IF(AND(C4766&lt;&gt;"", J4766&lt;&gt;""), HYPERLINK("#'" &amp; C4766 &amp; "'!" &amp; J4766, J4766), "")</f>
        <v/>
      </c>
    </row>
    <row r="4767">
      <c r="B4767" s="21">
        <f>IF(AND(C4767&lt;&gt;"", J4767&lt;&gt;""), HYPERLINK("#'" &amp; C4767 &amp; "'!" &amp; J4767, J4767), "")</f>
        <v/>
      </c>
    </row>
    <row r="4768">
      <c r="B4768" s="21">
        <f>IF(AND(C4768&lt;&gt;"", J4768&lt;&gt;""), HYPERLINK("#'" &amp; C4768 &amp; "'!" &amp; J4768, J4768), "")</f>
        <v/>
      </c>
    </row>
    <row r="4769">
      <c r="B4769" s="21">
        <f>IF(AND(C4769&lt;&gt;"", J4769&lt;&gt;""), HYPERLINK("#'" &amp; C4769 &amp; "'!" &amp; J4769, J4769), "")</f>
        <v/>
      </c>
    </row>
    <row r="4770">
      <c r="B4770" s="21">
        <f>IF(AND(C4770&lt;&gt;"", J4770&lt;&gt;""), HYPERLINK("#'" &amp; C4770 &amp; "'!" &amp; J4770, J4770), "")</f>
        <v/>
      </c>
    </row>
    <row r="4771">
      <c r="B4771" s="21">
        <f>IF(AND(C4771&lt;&gt;"", J4771&lt;&gt;""), HYPERLINK("#'" &amp; C4771 &amp; "'!" &amp; J4771, J4771), "")</f>
        <v/>
      </c>
    </row>
    <row r="4772">
      <c r="B4772" s="21">
        <f>IF(AND(C4772&lt;&gt;"", J4772&lt;&gt;""), HYPERLINK("#'" &amp; C4772 &amp; "'!" &amp; J4772, J4772), "")</f>
        <v/>
      </c>
    </row>
    <row r="4773">
      <c r="B4773" s="21">
        <f>IF(AND(C4773&lt;&gt;"", J4773&lt;&gt;""), HYPERLINK("#'" &amp; C4773 &amp; "'!" &amp; J4773, J4773), "")</f>
        <v/>
      </c>
    </row>
    <row r="4774">
      <c r="B4774" s="21">
        <f>IF(AND(C4774&lt;&gt;"", J4774&lt;&gt;""), HYPERLINK("#'" &amp; C4774 &amp; "'!" &amp; J4774, J4774), "")</f>
        <v/>
      </c>
    </row>
    <row r="4775">
      <c r="B4775" s="21">
        <f>IF(AND(C4775&lt;&gt;"", J4775&lt;&gt;""), HYPERLINK("#'" &amp; C4775 &amp; "'!" &amp; J4775, J4775), "")</f>
        <v/>
      </c>
    </row>
    <row r="4776">
      <c r="B4776" s="21">
        <f>IF(AND(C4776&lt;&gt;"", J4776&lt;&gt;""), HYPERLINK("#'" &amp; C4776 &amp; "'!" &amp; J4776, J4776), "")</f>
        <v/>
      </c>
    </row>
    <row r="4777">
      <c r="B4777" s="21">
        <f>IF(AND(C4777&lt;&gt;"", J4777&lt;&gt;""), HYPERLINK("#'" &amp; C4777 &amp; "'!" &amp; J4777, J4777), "")</f>
        <v/>
      </c>
    </row>
    <row r="4778">
      <c r="B4778" s="21">
        <f>IF(AND(C4778&lt;&gt;"", J4778&lt;&gt;""), HYPERLINK("#'" &amp; C4778 &amp; "'!" &amp; J4778, J4778), "")</f>
        <v/>
      </c>
    </row>
    <row r="4779">
      <c r="B4779" s="21">
        <f>IF(AND(C4779&lt;&gt;"", J4779&lt;&gt;""), HYPERLINK("#'" &amp; C4779 &amp; "'!" &amp; J4779, J4779), "")</f>
        <v/>
      </c>
    </row>
    <row r="4780">
      <c r="B4780" s="21">
        <f>IF(AND(C4780&lt;&gt;"", J4780&lt;&gt;""), HYPERLINK("#'" &amp; C4780 &amp; "'!" &amp; J4780, J4780), "")</f>
        <v/>
      </c>
    </row>
    <row r="4781">
      <c r="B4781" s="21">
        <f>IF(AND(C4781&lt;&gt;"", J4781&lt;&gt;""), HYPERLINK("#'" &amp; C4781 &amp; "'!" &amp; J4781, J4781), "")</f>
        <v/>
      </c>
    </row>
    <row r="4782">
      <c r="B4782" s="21">
        <f>IF(AND(C4782&lt;&gt;"", J4782&lt;&gt;""), HYPERLINK("#'" &amp; C4782 &amp; "'!" &amp; J4782, J4782), "")</f>
        <v/>
      </c>
    </row>
    <row r="4783">
      <c r="B4783" s="21">
        <f>IF(AND(C4783&lt;&gt;"", J4783&lt;&gt;""), HYPERLINK("#'" &amp; C4783 &amp; "'!" &amp; J4783, J4783), "")</f>
        <v/>
      </c>
    </row>
    <row r="4784">
      <c r="B4784" s="21">
        <f>IF(AND(C4784&lt;&gt;"", J4784&lt;&gt;""), HYPERLINK("#'" &amp; C4784 &amp; "'!" &amp; J4784, J4784), "")</f>
        <v/>
      </c>
    </row>
    <row r="4785">
      <c r="B4785" s="21">
        <f>IF(AND(C4785&lt;&gt;"", J4785&lt;&gt;""), HYPERLINK("#'" &amp; C4785 &amp; "'!" &amp; J4785, J4785), "")</f>
        <v/>
      </c>
    </row>
    <row r="4786">
      <c r="B4786" s="21">
        <f>IF(AND(C4786&lt;&gt;"", J4786&lt;&gt;""), HYPERLINK("#'" &amp; C4786 &amp; "'!" &amp; J4786, J4786), "")</f>
        <v/>
      </c>
    </row>
    <row r="4787">
      <c r="B4787" s="21">
        <f>IF(AND(C4787&lt;&gt;"", J4787&lt;&gt;""), HYPERLINK("#'" &amp; C4787 &amp; "'!" &amp; J4787, J4787), "")</f>
        <v/>
      </c>
    </row>
    <row r="4788">
      <c r="B4788" s="21">
        <f>IF(AND(C4788&lt;&gt;"", J4788&lt;&gt;""), HYPERLINK("#'" &amp; C4788 &amp; "'!" &amp; J4788, J4788), "")</f>
        <v/>
      </c>
    </row>
    <row r="4789">
      <c r="B4789" s="21">
        <f>IF(AND(C4789&lt;&gt;"", J4789&lt;&gt;""), HYPERLINK("#'" &amp; C4789 &amp; "'!" &amp; J4789, J4789), "")</f>
        <v/>
      </c>
    </row>
    <row r="4790">
      <c r="B4790" s="21">
        <f>IF(AND(C4790&lt;&gt;"", J4790&lt;&gt;""), HYPERLINK("#'" &amp; C4790 &amp; "'!" &amp; J4790, J4790), "")</f>
        <v/>
      </c>
    </row>
    <row r="4791">
      <c r="B4791" s="21">
        <f>IF(AND(C4791&lt;&gt;"", J4791&lt;&gt;""), HYPERLINK("#'" &amp; C4791 &amp; "'!" &amp; J4791, J4791), "")</f>
        <v/>
      </c>
    </row>
    <row r="4792">
      <c r="B4792" s="21">
        <f>IF(AND(C4792&lt;&gt;"", J4792&lt;&gt;""), HYPERLINK("#'" &amp; C4792 &amp; "'!" &amp; J4792, J4792), "")</f>
        <v/>
      </c>
    </row>
    <row r="4793">
      <c r="B4793" s="21">
        <f>IF(AND(C4793&lt;&gt;"", J4793&lt;&gt;""), HYPERLINK("#'" &amp; C4793 &amp; "'!" &amp; J4793, J4793), "")</f>
        <v/>
      </c>
    </row>
    <row r="4794">
      <c r="B4794" s="21">
        <f>IF(AND(C4794&lt;&gt;"", J4794&lt;&gt;""), HYPERLINK("#'" &amp; C4794 &amp; "'!" &amp; J4794, J4794), "")</f>
        <v/>
      </c>
    </row>
    <row r="4795">
      <c r="B4795" s="21">
        <f>IF(AND(C4795&lt;&gt;"", J4795&lt;&gt;""), HYPERLINK("#'" &amp; C4795 &amp; "'!" &amp; J4795, J4795), "")</f>
        <v/>
      </c>
    </row>
    <row r="4796">
      <c r="B4796" s="21">
        <f>IF(AND(C4796&lt;&gt;"", J4796&lt;&gt;""), HYPERLINK("#'" &amp; C4796 &amp; "'!" &amp; J4796, J4796), "")</f>
        <v/>
      </c>
    </row>
    <row r="4797">
      <c r="B4797" s="21">
        <f>IF(AND(C4797&lt;&gt;"", J4797&lt;&gt;""), HYPERLINK("#'" &amp; C4797 &amp; "'!" &amp; J4797, J4797), "")</f>
        <v/>
      </c>
    </row>
    <row r="4798">
      <c r="B4798" s="21">
        <f>IF(AND(C4798&lt;&gt;"", J4798&lt;&gt;""), HYPERLINK("#'" &amp; C4798 &amp; "'!" &amp; J4798, J4798), "")</f>
        <v/>
      </c>
    </row>
    <row r="4799">
      <c r="B4799" s="21">
        <f>IF(AND(C4799&lt;&gt;"", J4799&lt;&gt;""), HYPERLINK("#'" &amp; C4799 &amp; "'!" &amp; J4799, J4799), "")</f>
        <v/>
      </c>
    </row>
    <row r="4800">
      <c r="B4800" s="21">
        <f>IF(AND(C4800&lt;&gt;"", J4800&lt;&gt;""), HYPERLINK("#'" &amp; C4800 &amp; "'!" &amp; J4800, J4800), "")</f>
        <v/>
      </c>
    </row>
    <row r="4801">
      <c r="B4801" s="21">
        <f>IF(AND(C4801&lt;&gt;"", J4801&lt;&gt;""), HYPERLINK("#'" &amp; C4801 &amp; "'!" &amp; J4801, J4801), "")</f>
        <v/>
      </c>
    </row>
    <row r="4802">
      <c r="B4802" s="21">
        <f>IF(AND(C4802&lt;&gt;"", J4802&lt;&gt;""), HYPERLINK("#'" &amp; C4802 &amp; "'!" &amp; J4802, J4802), "")</f>
        <v/>
      </c>
    </row>
    <row r="4803">
      <c r="B4803" s="21">
        <f>IF(AND(C4803&lt;&gt;"", J4803&lt;&gt;""), HYPERLINK("#'" &amp; C4803 &amp; "'!" &amp; J4803, J4803), "")</f>
        <v/>
      </c>
    </row>
    <row r="4804">
      <c r="B4804" s="21">
        <f>IF(AND(C4804&lt;&gt;"", J4804&lt;&gt;""), HYPERLINK("#'" &amp; C4804 &amp; "'!" &amp; J4804, J4804), "")</f>
        <v/>
      </c>
    </row>
    <row r="4805">
      <c r="B4805" s="21">
        <f>IF(AND(C4805&lt;&gt;"", J4805&lt;&gt;""), HYPERLINK("#'" &amp; C4805 &amp; "'!" &amp; J4805, J4805), "")</f>
        <v/>
      </c>
    </row>
    <row r="4806">
      <c r="B4806" s="21">
        <f>IF(AND(C4806&lt;&gt;"", J4806&lt;&gt;""), HYPERLINK("#'" &amp; C4806 &amp; "'!" &amp; J4806, J4806), "")</f>
        <v/>
      </c>
    </row>
    <row r="4807">
      <c r="B4807" s="21">
        <f>IF(AND(C4807&lt;&gt;"", J4807&lt;&gt;""), HYPERLINK("#'" &amp; C4807 &amp; "'!" &amp; J4807, J4807), "")</f>
        <v/>
      </c>
    </row>
    <row r="4808">
      <c r="B4808" s="21">
        <f>IF(AND(C4808&lt;&gt;"", J4808&lt;&gt;""), HYPERLINK("#'" &amp; C4808 &amp; "'!" &amp; J4808, J4808), "")</f>
        <v/>
      </c>
    </row>
    <row r="4809">
      <c r="B4809" s="21">
        <f>IF(AND(C4809&lt;&gt;"", J4809&lt;&gt;""), HYPERLINK("#'" &amp; C4809 &amp; "'!" &amp; J4809, J4809), "")</f>
        <v/>
      </c>
    </row>
    <row r="4810">
      <c r="B4810" s="21">
        <f>IF(AND(C4810&lt;&gt;"", J4810&lt;&gt;""), HYPERLINK("#'" &amp; C4810 &amp; "'!" &amp; J4810, J4810), "")</f>
        <v/>
      </c>
    </row>
    <row r="4811">
      <c r="B4811" s="21">
        <f>IF(AND(C4811&lt;&gt;"", J4811&lt;&gt;""), HYPERLINK("#'" &amp; C4811 &amp; "'!" &amp; J4811, J4811), "")</f>
        <v/>
      </c>
    </row>
    <row r="4812">
      <c r="B4812" s="21">
        <f>IF(AND(C4812&lt;&gt;"", J4812&lt;&gt;""), HYPERLINK("#'" &amp; C4812 &amp; "'!" &amp; J4812, J4812), "")</f>
        <v/>
      </c>
    </row>
    <row r="4813">
      <c r="B4813" s="21">
        <f>IF(AND(C4813&lt;&gt;"", J4813&lt;&gt;""), HYPERLINK("#'" &amp; C4813 &amp; "'!" &amp; J4813, J4813), "")</f>
        <v/>
      </c>
    </row>
    <row r="4814">
      <c r="B4814" s="21">
        <f>IF(AND(C4814&lt;&gt;"", J4814&lt;&gt;""), HYPERLINK("#'" &amp; C4814 &amp; "'!" &amp; J4814, J4814), "")</f>
        <v/>
      </c>
    </row>
    <row r="4815">
      <c r="B4815" s="21">
        <f>IF(AND(C4815&lt;&gt;"", J4815&lt;&gt;""), HYPERLINK("#'" &amp; C4815 &amp; "'!" &amp; J4815, J4815), "")</f>
        <v/>
      </c>
    </row>
    <row r="4816">
      <c r="B4816" s="21">
        <f>IF(AND(C4816&lt;&gt;"", J4816&lt;&gt;""), HYPERLINK("#'" &amp; C4816 &amp; "'!" &amp; J4816, J4816), "")</f>
        <v/>
      </c>
    </row>
    <row r="4817">
      <c r="B4817" s="21">
        <f>IF(AND(C4817&lt;&gt;"", J4817&lt;&gt;""), HYPERLINK("#'" &amp; C4817 &amp; "'!" &amp; J4817, J4817), "")</f>
        <v/>
      </c>
    </row>
    <row r="4818">
      <c r="B4818" s="21">
        <f>IF(AND(C4818&lt;&gt;"", J4818&lt;&gt;""), HYPERLINK("#'" &amp; C4818 &amp; "'!" &amp; J4818, J4818), "")</f>
        <v/>
      </c>
    </row>
    <row r="4819">
      <c r="B4819" s="21">
        <f>IF(AND(C4819&lt;&gt;"", J4819&lt;&gt;""), HYPERLINK("#'" &amp; C4819 &amp; "'!" &amp; J4819, J4819), "")</f>
        <v/>
      </c>
    </row>
    <row r="4820">
      <c r="B4820" s="21">
        <f>IF(AND(C4820&lt;&gt;"", J4820&lt;&gt;""), HYPERLINK("#'" &amp; C4820 &amp; "'!" &amp; J4820, J4820), "")</f>
        <v/>
      </c>
    </row>
    <row r="4821">
      <c r="B4821" s="21">
        <f>IF(AND(C4821&lt;&gt;"", J4821&lt;&gt;""), HYPERLINK("#'" &amp; C4821 &amp; "'!" &amp; J4821, J4821), "")</f>
        <v/>
      </c>
    </row>
    <row r="4822">
      <c r="B4822" s="21">
        <f>IF(AND(C4822&lt;&gt;"", J4822&lt;&gt;""), HYPERLINK("#'" &amp; C4822 &amp; "'!" &amp; J4822, J4822), "")</f>
        <v/>
      </c>
    </row>
    <row r="4823">
      <c r="B4823" s="21">
        <f>IF(AND(C4823&lt;&gt;"", J4823&lt;&gt;""), HYPERLINK("#'" &amp; C4823 &amp; "'!" &amp; J4823, J4823), "")</f>
        <v/>
      </c>
    </row>
    <row r="4824">
      <c r="B4824" s="21">
        <f>IF(AND(C4824&lt;&gt;"", J4824&lt;&gt;""), HYPERLINK("#'" &amp; C4824 &amp; "'!" &amp; J4824, J4824), "")</f>
        <v/>
      </c>
    </row>
    <row r="4825">
      <c r="B4825" s="21">
        <f>IF(AND(C4825&lt;&gt;"", J4825&lt;&gt;""), HYPERLINK("#'" &amp; C4825 &amp; "'!" &amp; J4825, J4825), "")</f>
        <v/>
      </c>
    </row>
    <row r="4826">
      <c r="B4826" s="21">
        <f>IF(AND(C4826&lt;&gt;"", J4826&lt;&gt;""), HYPERLINK("#'" &amp; C4826 &amp; "'!" &amp; J4826, J4826), "")</f>
        <v/>
      </c>
    </row>
    <row r="4827">
      <c r="B4827" s="21">
        <f>IF(AND(C4827&lt;&gt;"", J4827&lt;&gt;""), HYPERLINK("#'" &amp; C4827 &amp; "'!" &amp; J4827, J4827), "")</f>
        <v/>
      </c>
    </row>
    <row r="4828">
      <c r="B4828" s="21">
        <f>IF(AND(C4828&lt;&gt;"", J4828&lt;&gt;""), HYPERLINK("#'" &amp; C4828 &amp; "'!" &amp; J4828, J4828), "")</f>
        <v/>
      </c>
    </row>
    <row r="4829">
      <c r="B4829" s="21">
        <f>IF(AND(C4829&lt;&gt;"", J4829&lt;&gt;""), HYPERLINK("#'" &amp; C4829 &amp; "'!" &amp; J4829, J4829), "")</f>
        <v/>
      </c>
    </row>
    <row r="4830">
      <c r="B4830" s="21">
        <f>IF(AND(C4830&lt;&gt;"", J4830&lt;&gt;""), HYPERLINK("#'" &amp; C4830 &amp; "'!" &amp; J4830, J4830), "")</f>
        <v/>
      </c>
    </row>
    <row r="4831">
      <c r="B4831" s="21">
        <f>IF(AND(C4831&lt;&gt;"", J4831&lt;&gt;""), HYPERLINK("#'" &amp; C4831 &amp; "'!" &amp; J4831, J4831), "")</f>
        <v/>
      </c>
    </row>
    <row r="4832">
      <c r="B4832" s="21">
        <f>IF(AND(C4832&lt;&gt;"", J4832&lt;&gt;""), HYPERLINK("#'" &amp; C4832 &amp; "'!" &amp; J4832, J4832), "")</f>
        <v/>
      </c>
    </row>
    <row r="4833">
      <c r="B4833" s="21">
        <f>IF(AND(C4833&lt;&gt;"", J4833&lt;&gt;""), HYPERLINK("#'" &amp; C4833 &amp; "'!" &amp; J4833, J4833), "")</f>
        <v/>
      </c>
    </row>
    <row r="4834">
      <c r="B4834" s="21">
        <f>IF(AND(C4834&lt;&gt;"", J4834&lt;&gt;""), HYPERLINK("#'" &amp; C4834 &amp; "'!" &amp; J4834, J4834), "")</f>
        <v/>
      </c>
    </row>
    <row r="4835">
      <c r="B4835" s="21">
        <f>IF(AND(C4835&lt;&gt;"", J4835&lt;&gt;""), HYPERLINK("#'" &amp; C4835 &amp; "'!" &amp; J4835, J4835), "")</f>
        <v/>
      </c>
    </row>
    <row r="4836">
      <c r="B4836" s="21">
        <f>IF(AND(C4836&lt;&gt;"", J4836&lt;&gt;""), HYPERLINK("#'" &amp; C4836 &amp; "'!" &amp; J4836, J4836), "")</f>
        <v/>
      </c>
    </row>
    <row r="4837">
      <c r="B4837" s="21">
        <f>IF(AND(C4837&lt;&gt;"", J4837&lt;&gt;""), HYPERLINK("#'" &amp; C4837 &amp; "'!" &amp; J4837, J4837), "")</f>
        <v/>
      </c>
    </row>
    <row r="4838">
      <c r="B4838" s="21">
        <f>IF(AND(C4838&lt;&gt;"", J4838&lt;&gt;""), HYPERLINK("#'" &amp; C4838 &amp; "'!" &amp; J4838, J4838), "")</f>
        <v/>
      </c>
    </row>
    <row r="4839">
      <c r="B4839" s="21">
        <f>IF(AND(C4839&lt;&gt;"", J4839&lt;&gt;""), HYPERLINK("#'" &amp; C4839 &amp; "'!" &amp; J4839, J4839), "")</f>
        <v/>
      </c>
    </row>
    <row r="4840">
      <c r="B4840" s="21">
        <f>IF(AND(C4840&lt;&gt;"", J4840&lt;&gt;""), HYPERLINK("#'" &amp; C4840 &amp; "'!" &amp; J4840, J4840), "")</f>
        <v/>
      </c>
    </row>
    <row r="4841">
      <c r="B4841" s="21">
        <f>IF(AND(C4841&lt;&gt;"", J4841&lt;&gt;""), HYPERLINK("#'" &amp; C4841 &amp; "'!" &amp; J4841, J4841), "")</f>
        <v/>
      </c>
    </row>
    <row r="4842">
      <c r="B4842" s="21">
        <f>IF(AND(C4842&lt;&gt;"", J4842&lt;&gt;""), HYPERLINK("#'" &amp; C4842 &amp; "'!" &amp; J4842, J4842), "")</f>
        <v/>
      </c>
    </row>
    <row r="4843">
      <c r="B4843" s="21">
        <f>IF(AND(C4843&lt;&gt;"", J4843&lt;&gt;""), HYPERLINK("#'" &amp; C4843 &amp; "'!" &amp; J4843, J4843), "")</f>
        <v/>
      </c>
    </row>
    <row r="4844">
      <c r="B4844" s="21">
        <f>IF(AND(C4844&lt;&gt;"", J4844&lt;&gt;""), HYPERLINK("#'" &amp; C4844 &amp; "'!" &amp; J4844, J4844), "")</f>
        <v/>
      </c>
    </row>
    <row r="4845">
      <c r="B4845" s="21">
        <f>IF(AND(C4845&lt;&gt;"", J4845&lt;&gt;""), HYPERLINK("#'" &amp; C4845 &amp; "'!" &amp; J4845, J4845), "")</f>
        <v/>
      </c>
    </row>
    <row r="4846">
      <c r="B4846" s="21">
        <f>IF(AND(C4846&lt;&gt;"", J4846&lt;&gt;""), HYPERLINK("#'" &amp; C4846 &amp; "'!" &amp; J4846, J4846), "")</f>
        <v/>
      </c>
    </row>
    <row r="4847">
      <c r="B4847" s="21">
        <f>IF(AND(C4847&lt;&gt;"", J4847&lt;&gt;""), HYPERLINK("#'" &amp; C4847 &amp; "'!" &amp; J4847, J4847), "")</f>
        <v/>
      </c>
    </row>
    <row r="4848">
      <c r="B4848" s="21">
        <f>IF(AND(C4848&lt;&gt;"", J4848&lt;&gt;""), HYPERLINK("#'" &amp; C4848 &amp; "'!" &amp; J4848, J4848), "")</f>
        <v/>
      </c>
    </row>
    <row r="4849">
      <c r="B4849" s="21">
        <f>IF(AND(C4849&lt;&gt;"", J4849&lt;&gt;""), HYPERLINK("#'" &amp; C4849 &amp; "'!" &amp; J4849, J4849), "")</f>
        <v/>
      </c>
    </row>
    <row r="4850">
      <c r="B4850" s="21">
        <f>IF(AND(C4850&lt;&gt;"", J4850&lt;&gt;""), HYPERLINK("#'" &amp; C4850 &amp; "'!" &amp; J4850, J4850), "")</f>
        <v/>
      </c>
    </row>
    <row r="4851">
      <c r="B4851" s="21">
        <f>IF(AND(C4851&lt;&gt;"", J4851&lt;&gt;""), HYPERLINK("#'" &amp; C4851 &amp; "'!" &amp; J4851, J4851), "")</f>
        <v/>
      </c>
    </row>
    <row r="4852">
      <c r="B4852" s="21">
        <f>IF(AND(C4852&lt;&gt;"", J4852&lt;&gt;""), HYPERLINK("#'" &amp; C4852 &amp; "'!" &amp; J4852, J4852), "")</f>
        <v/>
      </c>
    </row>
    <row r="4853">
      <c r="B4853" s="21">
        <f>IF(AND(C4853&lt;&gt;"", J4853&lt;&gt;""), HYPERLINK("#'" &amp; C4853 &amp; "'!" &amp; J4853, J4853), "")</f>
        <v/>
      </c>
    </row>
    <row r="4854">
      <c r="B4854" s="21">
        <f>IF(AND(C4854&lt;&gt;"", J4854&lt;&gt;""), HYPERLINK("#'" &amp; C4854 &amp; "'!" &amp; J4854, J4854), "")</f>
        <v/>
      </c>
    </row>
    <row r="4855">
      <c r="B4855" s="21">
        <f>IF(AND(C4855&lt;&gt;"", J4855&lt;&gt;""), HYPERLINK("#'" &amp; C4855 &amp; "'!" &amp; J4855, J4855), "")</f>
        <v/>
      </c>
    </row>
    <row r="4856">
      <c r="B4856" s="21">
        <f>IF(AND(C4856&lt;&gt;"", J4856&lt;&gt;""), HYPERLINK("#'" &amp; C4856 &amp; "'!" &amp; J4856, J4856), "")</f>
        <v/>
      </c>
    </row>
    <row r="4857">
      <c r="B4857" s="21">
        <f>IF(AND(C4857&lt;&gt;"", J4857&lt;&gt;""), HYPERLINK("#'" &amp; C4857 &amp; "'!" &amp; J4857, J4857), "")</f>
        <v/>
      </c>
    </row>
    <row r="4858">
      <c r="B4858" s="21">
        <f>IF(AND(C4858&lt;&gt;"", J4858&lt;&gt;""), HYPERLINK("#'" &amp; C4858 &amp; "'!" &amp; J4858, J4858), "")</f>
        <v/>
      </c>
    </row>
    <row r="4859">
      <c r="B4859" s="21">
        <f>IF(AND(C4859&lt;&gt;"", J4859&lt;&gt;""), HYPERLINK("#'" &amp; C4859 &amp; "'!" &amp; J4859, J4859), "")</f>
        <v/>
      </c>
    </row>
    <row r="4860">
      <c r="B4860" s="21">
        <f>IF(AND(C4860&lt;&gt;"", J4860&lt;&gt;""), HYPERLINK("#'" &amp; C4860 &amp; "'!" &amp; J4860, J4860), "")</f>
        <v/>
      </c>
    </row>
    <row r="4861">
      <c r="B4861" s="21">
        <f>IF(AND(C4861&lt;&gt;"", J4861&lt;&gt;""), HYPERLINK("#'" &amp; C4861 &amp; "'!" &amp; J4861, J4861), "")</f>
        <v/>
      </c>
    </row>
    <row r="4862">
      <c r="B4862" s="21">
        <f>IF(AND(C4862&lt;&gt;"", J4862&lt;&gt;""), HYPERLINK("#'" &amp; C4862 &amp; "'!" &amp; J4862, J4862), "")</f>
        <v/>
      </c>
    </row>
    <row r="4863">
      <c r="B4863" s="21">
        <f>IF(AND(C4863&lt;&gt;"", J4863&lt;&gt;""), HYPERLINK("#'" &amp; C4863 &amp; "'!" &amp; J4863, J4863), "")</f>
        <v/>
      </c>
    </row>
    <row r="4864">
      <c r="B4864" s="21">
        <f>IF(AND(C4864&lt;&gt;"", J4864&lt;&gt;""), HYPERLINK("#'" &amp; C4864 &amp; "'!" &amp; J4864, J4864), "")</f>
        <v/>
      </c>
    </row>
    <row r="4865">
      <c r="B4865" s="21">
        <f>IF(AND(C4865&lt;&gt;"", J4865&lt;&gt;""), HYPERLINK("#'" &amp; C4865 &amp; "'!" &amp; J4865, J4865), "")</f>
        <v/>
      </c>
    </row>
    <row r="4866">
      <c r="B4866" s="21">
        <f>IF(AND(C4866&lt;&gt;"", J4866&lt;&gt;""), HYPERLINK("#'" &amp; C4866 &amp; "'!" &amp; J4866, J4866), "")</f>
        <v/>
      </c>
    </row>
    <row r="4867">
      <c r="B4867" s="21">
        <f>IF(AND(C4867&lt;&gt;"", J4867&lt;&gt;""), HYPERLINK("#'" &amp; C4867 &amp; "'!" &amp; J4867, J4867), "")</f>
        <v/>
      </c>
    </row>
    <row r="4868">
      <c r="B4868" s="21">
        <f>IF(AND(C4868&lt;&gt;"", J4868&lt;&gt;""), HYPERLINK("#'" &amp; C4868 &amp; "'!" &amp; J4868, J4868), "")</f>
        <v/>
      </c>
    </row>
    <row r="4869">
      <c r="B4869" s="21">
        <f>IF(AND(C4869&lt;&gt;"", J4869&lt;&gt;""), HYPERLINK("#'" &amp; C4869 &amp; "'!" &amp; J4869, J4869), "")</f>
        <v/>
      </c>
    </row>
    <row r="4870">
      <c r="B4870" s="21">
        <f>IF(AND(C4870&lt;&gt;"", J4870&lt;&gt;""), HYPERLINK("#'" &amp; C4870 &amp; "'!" &amp; J4870, J4870), "")</f>
        <v/>
      </c>
    </row>
    <row r="4871">
      <c r="B4871" s="21">
        <f>IF(AND(C4871&lt;&gt;"", J4871&lt;&gt;""), HYPERLINK("#'" &amp; C4871 &amp; "'!" &amp; J4871, J4871), "")</f>
        <v/>
      </c>
    </row>
    <row r="4872">
      <c r="B4872" s="21">
        <f>IF(AND(C4872&lt;&gt;"", J4872&lt;&gt;""), HYPERLINK("#'" &amp; C4872 &amp; "'!" &amp; J4872, J4872), "")</f>
        <v/>
      </c>
    </row>
    <row r="4873">
      <c r="B4873" s="21">
        <f>IF(AND(C4873&lt;&gt;"", J4873&lt;&gt;""), HYPERLINK("#'" &amp; C4873 &amp; "'!" &amp; J4873, J4873), "")</f>
        <v/>
      </c>
    </row>
    <row r="4874">
      <c r="B4874" s="21">
        <f>IF(AND(C4874&lt;&gt;"", J4874&lt;&gt;""), HYPERLINK("#'" &amp; C4874 &amp; "'!" &amp; J4874, J4874), "")</f>
        <v/>
      </c>
    </row>
    <row r="4875">
      <c r="B4875" s="21">
        <f>IF(AND(C4875&lt;&gt;"", J4875&lt;&gt;""), HYPERLINK("#'" &amp; C4875 &amp; "'!" &amp; J4875, J4875), "")</f>
        <v/>
      </c>
    </row>
    <row r="4876">
      <c r="B4876" s="21">
        <f>IF(AND(C4876&lt;&gt;"", J4876&lt;&gt;""), HYPERLINK("#'" &amp; C4876 &amp; "'!" &amp; J4876, J4876), "")</f>
        <v/>
      </c>
    </row>
    <row r="4877">
      <c r="B4877" s="21">
        <f>IF(AND(C4877&lt;&gt;"", J4877&lt;&gt;""), HYPERLINK("#'" &amp; C4877 &amp; "'!" &amp; J4877, J4877), "")</f>
        <v/>
      </c>
    </row>
    <row r="4878">
      <c r="B4878" s="21">
        <f>IF(AND(C4878&lt;&gt;"", J4878&lt;&gt;""), HYPERLINK("#'" &amp; C4878 &amp; "'!" &amp; J4878, J4878), "")</f>
        <v/>
      </c>
    </row>
    <row r="4879">
      <c r="B4879" s="21">
        <f>IF(AND(C4879&lt;&gt;"", J4879&lt;&gt;""), HYPERLINK("#'" &amp; C4879 &amp; "'!" &amp; J4879, J4879), "")</f>
        <v/>
      </c>
    </row>
    <row r="4880">
      <c r="B4880" s="21">
        <f>IF(AND(C4880&lt;&gt;"", J4880&lt;&gt;""), HYPERLINK("#'" &amp; C4880 &amp; "'!" &amp; J4880, J4880), "")</f>
        <v/>
      </c>
    </row>
    <row r="4881">
      <c r="B4881" s="21">
        <f>IF(AND(C4881&lt;&gt;"", J4881&lt;&gt;""), HYPERLINK("#'" &amp; C4881 &amp; "'!" &amp; J4881, J4881), "")</f>
        <v/>
      </c>
    </row>
    <row r="4882">
      <c r="B4882" s="21">
        <f>IF(AND(C4882&lt;&gt;"", J4882&lt;&gt;""), HYPERLINK("#'" &amp; C4882 &amp; "'!" &amp; J4882, J4882), "")</f>
        <v/>
      </c>
    </row>
    <row r="4883">
      <c r="B4883" s="21">
        <f>IF(AND(C4883&lt;&gt;"", J4883&lt;&gt;""), HYPERLINK("#'" &amp; C4883 &amp; "'!" &amp; J4883, J4883), "")</f>
        <v/>
      </c>
    </row>
    <row r="4884">
      <c r="B4884" s="21">
        <f>IF(AND(C4884&lt;&gt;"", J4884&lt;&gt;""), HYPERLINK("#'" &amp; C4884 &amp; "'!" &amp; J4884, J4884), "")</f>
        <v/>
      </c>
    </row>
    <row r="4885">
      <c r="B4885" s="21">
        <f>IF(AND(C4885&lt;&gt;"", J4885&lt;&gt;""), HYPERLINK("#'" &amp; C4885 &amp; "'!" &amp; J4885, J4885), "")</f>
        <v/>
      </c>
    </row>
    <row r="4886">
      <c r="B4886" s="21">
        <f>IF(AND(C4886&lt;&gt;"", J4886&lt;&gt;""), HYPERLINK("#'" &amp; C4886 &amp; "'!" &amp; J4886, J4886), "")</f>
        <v/>
      </c>
    </row>
    <row r="4887">
      <c r="B4887" s="21">
        <f>IF(AND(C4887&lt;&gt;"", J4887&lt;&gt;""), HYPERLINK("#'" &amp; C4887 &amp; "'!" &amp; J4887, J4887), "")</f>
        <v/>
      </c>
    </row>
    <row r="4888">
      <c r="B4888" s="21">
        <f>IF(AND(C4888&lt;&gt;"", J4888&lt;&gt;""), HYPERLINK("#'" &amp; C4888 &amp; "'!" &amp; J4888, J4888), "")</f>
        <v/>
      </c>
    </row>
    <row r="4889">
      <c r="B4889" s="21">
        <f>IF(AND(C4889&lt;&gt;"", J4889&lt;&gt;""), HYPERLINK("#'" &amp; C4889 &amp; "'!" &amp; J4889, J4889), "")</f>
        <v/>
      </c>
    </row>
    <row r="4890">
      <c r="B4890" s="21">
        <f>IF(AND(C4890&lt;&gt;"", J4890&lt;&gt;""), HYPERLINK("#'" &amp; C4890 &amp; "'!" &amp; J4890, J4890), "")</f>
        <v/>
      </c>
    </row>
    <row r="4891">
      <c r="B4891" s="21">
        <f>IF(AND(C4891&lt;&gt;"", J4891&lt;&gt;""), HYPERLINK("#'" &amp; C4891 &amp; "'!" &amp; J4891, J4891), "")</f>
        <v/>
      </c>
    </row>
    <row r="4892">
      <c r="B4892" s="21">
        <f>IF(AND(C4892&lt;&gt;"", J4892&lt;&gt;""), HYPERLINK("#'" &amp; C4892 &amp; "'!" &amp; J4892, J4892), "")</f>
        <v/>
      </c>
    </row>
    <row r="4893">
      <c r="B4893" s="21">
        <f>IF(AND(C4893&lt;&gt;"", J4893&lt;&gt;""), HYPERLINK("#'" &amp; C4893 &amp; "'!" &amp; J4893, J4893), "")</f>
        <v/>
      </c>
    </row>
    <row r="4894">
      <c r="B4894" s="21">
        <f>IF(AND(C4894&lt;&gt;"", J4894&lt;&gt;""), HYPERLINK("#'" &amp; C4894 &amp; "'!" &amp; J4894, J4894), "")</f>
        <v/>
      </c>
    </row>
    <row r="4895">
      <c r="B4895" s="21">
        <f>IF(AND(C4895&lt;&gt;"", J4895&lt;&gt;""), HYPERLINK("#'" &amp; C4895 &amp; "'!" &amp; J4895, J4895), "")</f>
        <v/>
      </c>
    </row>
    <row r="4896">
      <c r="B4896" s="21">
        <f>IF(AND(C4896&lt;&gt;"", J4896&lt;&gt;""), HYPERLINK("#'" &amp; C4896 &amp; "'!" &amp; J4896, J4896), "")</f>
        <v/>
      </c>
    </row>
    <row r="4897">
      <c r="B4897" s="21">
        <f>IF(AND(C4897&lt;&gt;"", J4897&lt;&gt;""), HYPERLINK("#'" &amp; C4897 &amp; "'!" &amp; J4897, J4897), "")</f>
        <v/>
      </c>
    </row>
    <row r="4898">
      <c r="B4898" s="21">
        <f>IF(AND(C4898&lt;&gt;"", J4898&lt;&gt;""), HYPERLINK("#'" &amp; C4898 &amp; "'!" &amp; J4898, J4898), "")</f>
        <v/>
      </c>
    </row>
    <row r="4899">
      <c r="B4899" s="21">
        <f>IF(AND(C4899&lt;&gt;"", J4899&lt;&gt;""), HYPERLINK("#'" &amp; C4899 &amp; "'!" &amp; J4899, J4899), "")</f>
        <v/>
      </c>
    </row>
    <row r="4900">
      <c r="B4900" s="21">
        <f>IF(AND(C4900&lt;&gt;"", J4900&lt;&gt;""), HYPERLINK("#'" &amp; C4900 &amp; "'!" &amp; J4900, J4900), "")</f>
        <v/>
      </c>
    </row>
    <row r="4901">
      <c r="B4901" s="21">
        <f>IF(AND(C4901&lt;&gt;"", J4901&lt;&gt;""), HYPERLINK("#'" &amp; C4901 &amp; "'!" &amp; J4901, J4901), "")</f>
        <v/>
      </c>
    </row>
    <row r="4902">
      <c r="B4902" s="21">
        <f>IF(AND(C4902&lt;&gt;"", J4902&lt;&gt;""), HYPERLINK("#'" &amp; C4902 &amp; "'!" &amp; J4902, J4902), "")</f>
        <v/>
      </c>
    </row>
    <row r="4903">
      <c r="B4903" s="21">
        <f>IF(AND(C4903&lt;&gt;"", J4903&lt;&gt;""), HYPERLINK("#'" &amp; C4903 &amp; "'!" &amp; J4903, J4903), "")</f>
        <v/>
      </c>
    </row>
    <row r="4904">
      <c r="B4904" s="21">
        <f>IF(AND(C4904&lt;&gt;"", J4904&lt;&gt;""), HYPERLINK("#'" &amp; C4904 &amp; "'!" &amp; J4904, J4904), "")</f>
        <v/>
      </c>
    </row>
    <row r="4905">
      <c r="B4905" s="21">
        <f>IF(AND(C4905&lt;&gt;"", J4905&lt;&gt;""), HYPERLINK("#'" &amp; C4905 &amp; "'!" &amp; J4905, J4905), "")</f>
        <v/>
      </c>
    </row>
    <row r="4906">
      <c r="B4906" s="21">
        <f>IF(AND(C4906&lt;&gt;"", J4906&lt;&gt;""), HYPERLINK("#'" &amp; C4906 &amp; "'!" &amp; J4906, J4906), "")</f>
        <v/>
      </c>
    </row>
    <row r="4907">
      <c r="B4907" s="21">
        <f>IF(AND(C4907&lt;&gt;"", J4907&lt;&gt;""), HYPERLINK("#'" &amp; C4907 &amp; "'!" &amp; J4907, J4907), "")</f>
        <v/>
      </c>
    </row>
    <row r="4908">
      <c r="B4908" s="21">
        <f>IF(AND(C4908&lt;&gt;"", J4908&lt;&gt;""), HYPERLINK("#'" &amp; C4908 &amp; "'!" &amp; J4908, J4908), "")</f>
        <v/>
      </c>
    </row>
    <row r="4909">
      <c r="B4909" s="21">
        <f>IF(AND(C4909&lt;&gt;"", J4909&lt;&gt;""), HYPERLINK("#'" &amp; C4909 &amp; "'!" &amp; J4909, J4909), "")</f>
        <v/>
      </c>
    </row>
    <row r="4910">
      <c r="B4910" s="21">
        <f>IF(AND(C4910&lt;&gt;"", J4910&lt;&gt;""), HYPERLINK("#'" &amp; C4910 &amp; "'!" &amp; J4910, J4910), "")</f>
        <v/>
      </c>
    </row>
    <row r="4911">
      <c r="B4911" s="21">
        <f>IF(AND(C4911&lt;&gt;"", J4911&lt;&gt;""), HYPERLINK("#'" &amp; C4911 &amp; "'!" &amp; J4911, J4911), "")</f>
        <v/>
      </c>
    </row>
    <row r="4912">
      <c r="B4912" s="21">
        <f>IF(AND(C4912&lt;&gt;"", J4912&lt;&gt;""), HYPERLINK("#'" &amp; C4912 &amp; "'!" &amp; J4912, J4912), "")</f>
        <v/>
      </c>
    </row>
    <row r="4913">
      <c r="B4913" s="21">
        <f>IF(AND(C4913&lt;&gt;"", J4913&lt;&gt;""), HYPERLINK("#'" &amp; C4913 &amp; "'!" &amp; J4913, J4913), "")</f>
        <v/>
      </c>
    </row>
    <row r="4914">
      <c r="B4914" s="21">
        <f>IF(AND(C4914&lt;&gt;"", J4914&lt;&gt;""), HYPERLINK("#'" &amp; C4914 &amp; "'!" &amp; J4914, J4914), "")</f>
        <v/>
      </c>
    </row>
    <row r="4915">
      <c r="B4915" s="21">
        <f>IF(AND(C4915&lt;&gt;"", J4915&lt;&gt;""), HYPERLINK("#'" &amp; C4915 &amp; "'!" &amp; J4915, J4915), "")</f>
        <v/>
      </c>
    </row>
    <row r="4916">
      <c r="B4916" s="21">
        <f>IF(AND(C4916&lt;&gt;"", J4916&lt;&gt;""), HYPERLINK("#'" &amp; C4916 &amp; "'!" &amp; J4916, J4916), "")</f>
        <v/>
      </c>
    </row>
    <row r="4917">
      <c r="B4917" s="21">
        <f>IF(AND(C4917&lt;&gt;"", J4917&lt;&gt;""), HYPERLINK("#'" &amp; C4917 &amp; "'!" &amp; J4917, J4917), "")</f>
        <v/>
      </c>
    </row>
    <row r="4918">
      <c r="B4918" s="21">
        <f>IF(AND(C4918&lt;&gt;"", J4918&lt;&gt;""), HYPERLINK("#'" &amp; C4918 &amp; "'!" &amp; J4918, J4918), "")</f>
        <v/>
      </c>
    </row>
    <row r="4919">
      <c r="B4919" s="21">
        <f>IF(AND(C4919&lt;&gt;"", J4919&lt;&gt;""), HYPERLINK("#'" &amp; C4919 &amp; "'!" &amp; J4919, J4919), "")</f>
        <v/>
      </c>
    </row>
    <row r="4920">
      <c r="B4920" s="21">
        <f>IF(AND(C4920&lt;&gt;"", J4920&lt;&gt;""), HYPERLINK("#'" &amp; C4920 &amp; "'!" &amp; J4920, J4920), "")</f>
        <v/>
      </c>
    </row>
    <row r="4921">
      <c r="B4921" s="21">
        <f>IF(AND(C4921&lt;&gt;"", J4921&lt;&gt;""), HYPERLINK("#'" &amp; C4921 &amp; "'!" &amp; J4921, J4921), "")</f>
        <v/>
      </c>
    </row>
    <row r="4922">
      <c r="B4922" s="21">
        <f>IF(AND(C4922&lt;&gt;"", J4922&lt;&gt;""), HYPERLINK("#'" &amp; C4922 &amp; "'!" &amp; J4922, J4922), "")</f>
        <v/>
      </c>
    </row>
    <row r="4923">
      <c r="B4923" s="21">
        <f>IF(AND(C4923&lt;&gt;"", J4923&lt;&gt;""), HYPERLINK("#'" &amp; C4923 &amp; "'!" &amp; J4923, J4923), "")</f>
        <v/>
      </c>
    </row>
    <row r="4924">
      <c r="B4924" s="21">
        <f>IF(AND(C4924&lt;&gt;"", J4924&lt;&gt;""), HYPERLINK("#'" &amp; C4924 &amp; "'!" &amp; J4924, J4924), "")</f>
        <v/>
      </c>
    </row>
    <row r="4925">
      <c r="B4925" s="21">
        <f>IF(AND(C4925&lt;&gt;"", J4925&lt;&gt;""), HYPERLINK("#'" &amp; C4925 &amp; "'!" &amp; J4925, J4925), "")</f>
        <v/>
      </c>
    </row>
    <row r="4926">
      <c r="B4926" s="21">
        <f>IF(AND(C4926&lt;&gt;"", J4926&lt;&gt;""), HYPERLINK("#'" &amp; C4926 &amp; "'!" &amp; J4926, J4926), "")</f>
        <v/>
      </c>
    </row>
    <row r="4927">
      <c r="B4927" s="21">
        <f>IF(AND(C4927&lt;&gt;"", J4927&lt;&gt;""), HYPERLINK("#'" &amp; C4927 &amp; "'!" &amp; J4927, J4927), "")</f>
        <v/>
      </c>
    </row>
    <row r="4928">
      <c r="B4928" s="21">
        <f>IF(AND(C4928&lt;&gt;"", J4928&lt;&gt;""), HYPERLINK("#'" &amp; C4928 &amp; "'!" &amp; J4928, J4928), "")</f>
        <v/>
      </c>
    </row>
    <row r="4929">
      <c r="B4929" s="21">
        <f>IF(AND(C4929&lt;&gt;"", J4929&lt;&gt;""), HYPERLINK("#'" &amp; C4929 &amp; "'!" &amp; J4929, J4929), "")</f>
        <v/>
      </c>
    </row>
    <row r="4930">
      <c r="B4930" s="21">
        <f>IF(AND(C4930&lt;&gt;"", J4930&lt;&gt;""), HYPERLINK("#'" &amp; C4930 &amp; "'!" &amp; J4930, J4930), "")</f>
        <v/>
      </c>
    </row>
    <row r="4931">
      <c r="B4931" s="21">
        <f>IF(AND(C4931&lt;&gt;"", J4931&lt;&gt;""), HYPERLINK("#'" &amp; C4931 &amp; "'!" &amp; J4931, J4931), "")</f>
        <v/>
      </c>
    </row>
    <row r="4932">
      <c r="B4932" s="21">
        <f>IF(AND(C4932&lt;&gt;"", J4932&lt;&gt;""), HYPERLINK("#'" &amp; C4932 &amp; "'!" &amp; J4932, J4932), "")</f>
        <v/>
      </c>
    </row>
    <row r="4933">
      <c r="B4933" s="21">
        <f>IF(AND(C4933&lt;&gt;"", J4933&lt;&gt;""), HYPERLINK("#'" &amp; C4933 &amp; "'!" &amp; J4933, J4933), "")</f>
        <v/>
      </c>
    </row>
    <row r="4934">
      <c r="B4934" s="21">
        <f>IF(AND(C4934&lt;&gt;"", J4934&lt;&gt;""), HYPERLINK("#'" &amp; C4934 &amp; "'!" &amp; J4934, J4934), "")</f>
        <v/>
      </c>
    </row>
    <row r="4935">
      <c r="B4935" s="21">
        <f>IF(AND(C4935&lt;&gt;"", J4935&lt;&gt;""), HYPERLINK("#'" &amp; C4935 &amp; "'!" &amp; J4935, J4935), "")</f>
        <v/>
      </c>
    </row>
    <row r="4936">
      <c r="B4936" s="21">
        <f>IF(AND(C4936&lt;&gt;"", J4936&lt;&gt;""), HYPERLINK("#'" &amp; C4936 &amp; "'!" &amp; J4936, J4936), "")</f>
        <v/>
      </c>
    </row>
    <row r="4937">
      <c r="B4937" s="21">
        <f>IF(AND(C4937&lt;&gt;"", J4937&lt;&gt;""), HYPERLINK("#'" &amp; C4937 &amp; "'!" &amp; J4937, J4937), "")</f>
        <v/>
      </c>
    </row>
    <row r="4938">
      <c r="B4938" s="21">
        <f>IF(AND(C4938&lt;&gt;"", J4938&lt;&gt;""), HYPERLINK("#'" &amp; C4938 &amp; "'!" &amp; J4938, J4938), "")</f>
        <v/>
      </c>
    </row>
    <row r="4939">
      <c r="B4939" s="21">
        <f>IF(AND(C4939&lt;&gt;"", J4939&lt;&gt;""), HYPERLINK("#'" &amp; C4939 &amp; "'!" &amp; J4939, J4939), "")</f>
        <v/>
      </c>
    </row>
    <row r="4940">
      <c r="B4940" s="21">
        <f>IF(AND(C4940&lt;&gt;"", J4940&lt;&gt;""), HYPERLINK("#'" &amp; C4940 &amp; "'!" &amp; J4940, J4940), "")</f>
        <v/>
      </c>
    </row>
    <row r="4941">
      <c r="B4941" s="21">
        <f>IF(AND(C4941&lt;&gt;"", J4941&lt;&gt;""), HYPERLINK("#'" &amp; C4941 &amp; "'!" &amp; J4941, J4941), "")</f>
        <v/>
      </c>
    </row>
    <row r="4942">
      <c r="B4942" s="21">
        <f>IF(AND(C4942&lt;&gt;"", J4942&lt;&gt;""), HYPERLINK("#'" &amp; C4942 &amp; "'!" &amp; J4942, J4942), "")</f>
        <v/>
      </c>
    </row>
    <row r="4943">
      <c r="B4943" s="21">
        <f>IF(AND(C4943&lt;&gt;"", J4943&lt;&gt;""), HYPERLINK("#'" &amp; C4943 &amp; "'!" &amp; J4943, J4943), "")</f>
        <v/>
      </c>
    </row>
    <row r="4944">
      <c r="B4944" s="21">
        <f>IF(AND(C4944&lt;&gt;"", J4944&lt;&gt;""), HYPERLINK("#'" &amp; C4944 &amp; "'!" &amp; J4944, J4944), "")</f>
        <v/>
      </c>
    </row>
    <row r="4945">
      <c r="B4945" s="21">
        <f>IF(AND(C4945&lt;&gt;"", J4945&lt;&gt;""), HYPERLINK("#'" &amp; C4945 &amp; "'!" &amp; J4945, J4945), "")</f>
        <v/>
      </c>
    </row>
    <row r="4946">
      <c r="B4946" s="21">
        <f>IF(AND(C4946&lt;&gt;"", J4946&lt;&gt;""), HYPERLINK("#'" &amp; C4946 &amp; "'!" &amp; J4946, J4946), "")</f>
        <v/>
      </c>
    </row>
    <row r="4947">
      <c r="B4947" s="21">
        <f>IF(AND(C4947&lt;&gt;"", J4947&lt;&gt;""), HYPERLINK("#'" &amp; C4947 &amp; "'!" &amp; J4947, J4947), "")</f>
        <v/>
      </c>
    </row>
    <row r="4948">
      <c r="B4948" s="21">
        <f>IF(AND(C4948&lt;&gt;"", J4948&lt;&gt;""), HYPERLINK("#'" &amp; C4948 &amp; "'!" &amp; J4948, J4948), "")</f>
        <v/>
      </c>
    </row>
    <row r="4949">
      <c r="B4949" s="21">
        <f>IF(AND(C4949&lt;&gt;"", J4949&lt;&gt;""), HYPERLINK("#'" &amp; C4949 &amp; "'!" &amp; J4949, J4949), "")</f>
        <v/>
      </c>
    </row>
    <row r="4950">
      <c r="B4950" s="21">
        <f>IF(AND(C4950&lt;&gt;"", J4950&lt;&gt;""), HYPERLINK("#'" &amp; C4950 &amp; "'!" &amp; J4950, J4950), "")</f>
        <v/>
      </c>
    </row>
    <row r="4951">
      <c r="B4951" s="21">
        <f>IF(AND(C4951&lt;&gt;"", J4951&lt;&gt;""), HYPERLINK("#'" &amp; C4951 &amp; "'!" &amp; J4951, J4951), "")</f>
        <v/>
      </c>
    </row>
    <row r="4952">
      <c r="B4952" s="21">
        <f>IF(AND(C4952&lt;&gt;"", J4952&lt;&gt;""), HYPERLINK("#'" &amp; C4952 &amp; "'!" &amp; J4952, J4952), "")</f>
        <v/>
      </c>
    </row>
    <row r="4953">
      <c r="B4953" s="21">
        <f>IF(AND(C4953&lt;&gt;"", J4953&lt;&gt;""), HYPERLINK("#'" &amp; C4953 &amp; "'!" &amp; J4953, J4953), "")</f>
        <v/>
      </c>
    </row>
    <row r="4954">
      <c r="B4954" s="21">
        <f>IF(AND(C4954&lt;&gt;"", J4954&lt;&gt;""), HYPERLINK("#'" &amp; C4954 &amp; "'!" &amp; J4954, J4954), "")</f>
        <v/>
      </c>
    </row>
    <row r="4955">
      <c r="B4955" s="21">
        <f>IF(AND(C4955&lt;&gt;"", J4955&lt;&gt;""), HYPERLINK("#'" &amp; C4955 &amp; "'!" &amp; J4955, J4955), "")</f>
        <v/>
      </c>
    </row>
    <row r="4956">
      <c r="B4956" s="21">
        <f>IF(AND(C4956&lt;&gt;"", J4956&lt;&gt;""), HYPERLINK("#'" &amp; C4956 &amp; "'!" &amp; J4956, J4956), "")</f>
        <v/>
      </c>
    </row>
    <row r="4957">
      <c r="B4957" s="21">
        <f>IF(AND(C4957&lt;&gt;"", J4957&lt;&gt;""), HYPERLINK("#'" &amp; C4957 &amp; "'!" &amp; J4957, J4957), "")</f>
        <v/>
      </c>
    </row>
    <row r="4958">
      <c r="B4958" s="21">
        <f>IF(AND(C4958&lt;&gt;"", J4958&lt;&gt;""), HYPERLINK("#'" &amp; C4958 &amp; "'!" &amp; J4958, J4958), "")</f>
        <v/>
      </c>
    </row>
    <row r="4959">
      <c r="B4959" s="21">
        <f>IF(AND(C4959&lt;&gt;"", J4959&lt;&gt;""), HYPERLINK("#'" &amp; C4959 &amp; "'!" &amp; J4959, J4959), "")</f>
        <v/>
      </c>
    </row>
    <row r="4960">
      <c r="B4960" s="21">
        <f>IF(AND(C4960&lt;&gt;"", J4960&lt;&gt;""), HYPERLINK("#'" &amp; C4960 &amp; "'!" &amp; J4960, J4960), "")</f>
        <v/>
      </c>
    </row>
    <row r="4961">
      <c r="B4961" s="21">
        <f>IF(AND(C4961&lt;&gt;"", J4961&lt;&gt;""), HYPERLINK("#'" &amp; C4961 &amp; "'!" &amp; J4961, J4961), "")</f>
        <v/>
      </c>
    </row>
    <row r="4962">
      <c r="B4962" s="21">
        <f>IF(AND(C4962&lt;&gt;"", J4962&lt;&gt;""), HYPERLINK("#'" &amp; C4962 &amp; "'!" &amp; J4962, J4962), "")</f>
        <v/>
      </c>
    </row>
    <row r="4963">
      <c r="B4963" s="21">
        <f>IF(AND(C4963&lt;&gt;"", J4963&lt;&gt;""), HYPERLINK("#'" &amp; C4963 &amp; "'!" &amp; J4963, J4963), "")</f>
        <v/>
      </c>
    </row>
    <row r="4964">
      <c r="B4964" s="21">
        <f>IF(AND(C4964&lt;&gt;"", J4964&lt;&gt;""), HYPERLINK("#'" &amp; C4964 &amp; "'!" &amp; J4964, J4964), "")</f>
        <v/>
      </c>
    </row>
    <row r="4965">
      <c r="B4965" s="21">
        <f>IF(AND(C4965&lt;&gt;"", J4965&lt;&gt;""), HYPERLINK("#'" &amp; C4965 &amp; "'!" &amp; J4965, J4965), "")</f>
        <v/>
      </c>
    </row>
    <row r="4966">
      <c r="B4966" s="21">
        <f>IF(AND(C4966&lt;&gt;"", J4966&lt;&gt;""), HYPERLINK("#'" &amp; C4966 &amp; "'!" &amp; J4966, J4966), "")</f>
        <v/>
      </c>
    </row>
    <row r="4967">
      <c r="B4967" s="21">
        <f>IF(AND(C4967&lt;&gt;"", J4967&lt;&gt;""), HYPERLINK("#'" &amp; C4967 &amp; "'!" &amp; J4967, J4967), "")</f>
        <v/>
      </c>
    </row>
    <row r="4968">
      <c r="B4968" s="21">
        <f>IF(AND(C4968&lt;&gt;"", J4968&lt;&gt;""), HYPERLINK("#'" &amp; C4968 &amp; "'!" &amp; J4968, J4968), "")</f>
        <v/>
      </c>
    </row>
    <row r="4969">
      <c r="B4969" s="21">
        <f>IF(AND(C4969&lt;&gt;"", J4969&lt;&gt;""), HYPERLINK("#'" &amp; C4969 &amp; "'!" &amp; J4969, J4969), "")</f>
        <v/>
      </c>
    </row>
    <row r="4970">
      <c r="B4970" s="21">
        <f>IF(AND(C4970&lt;&gt;"", J4970&lt;&gt;""), HYPERLINK("#'" &amp; C4970 &amp; "'!" &amp; J4970, J4970), "")</f>
        <v/>
      </c>
    </row>
    <row r="4971">
      <c r="B4971" s="21">
        <f>IF(AND(C4971&lt;&gt;"", J4971&lt;&gt;""), HYPERLINK("#'" &amp; C4971 &amp; "'!" &amp; J4971, J4971), "")</f>
        <v/>
      </c>
    </row>
    <row r="4972">
      <c r="B4972" s="21">
        <f>IF(AND(C4972&lt;&gt;"", J4972&lt;&gt;""), HYPERLINK("#'" &amp; C4972 &amp; "'!" &amp; J4972, J4972), "")</f>
        <v/>
      </c>
    </row>
    <row r="4973">
      <c r="B4973" s="21">
        <f>IF(AND(C4973&lt;&gt;"", J4973&lt;&gt;""), HYPERLINK("#'" &amp; C4973 &amp; "'!" &amp; J4973, J4973), "")</f>
        <v/>
      </c>
    </row>
    <row r="4974">
      <c r="B4974" s="21">
        <f>IF(AND(C4974&lt;&gt;"", J4974&lt;&gt;""), HYPERLINK("#'" &amp; C4974 &amp; "'!" &amp; J4974, J4974), "")</f>
        <v/>
      </c>
    </row>
    <row r="4975">
      <c r="B4975" s="21">
        <f>IF(AND(C4975&lt;&gt;"", J4975&lt;&gt;""), HYPERLINK("#'" &amp; C4975 &amp; "'!" &amp; J4975, J4975), "")</f>
        <v/>
      </c>
    </row>
    <row r="4976">
      <c r="B4976" s="21">
        <f>IF(AND(C4976&lt;&gt;"", J4976&lt;&gt;""), HYPERLINK("#'" &amp; C4976 &amp; "'!" &amp; J4976, J4976), "")</f>
        <v/>
      </c>
    </row>
    <row r="4977">
      <c r="B4977" s="21">
        <f>IF(AND(C4977&lt;&gt;"", J4977&lt;&gt;""), HYPERLINK("#'" &amp; C4977 &amp; "'!" &amp; J4977, J4977), "")</f>
        <v/>
      </c>
    </row>
    <row r="4978">
      <c r="B4978" s="21">
        <f>IF(AND(C4978&lt;&gt;"", J4978&lt;&gt;""), HYPERLINK("#'" &amp; C4978 &amp; "'!" &amp; J4978, J4978), "")</f>
        <v/>
      </c>
    </row>
    <row r="4979">
      <c r="B4979" s="21">
        <f>IF(AND(C4979&lt;&gt;"", J4979&lt;&gt;""), HYPERLINK("#'" &amp; C4979 &amp; "'!" &amp; J4979, J4979), "")</f>
        <v/>
      </c>
    </row>
    <row r="4980">
      <c r="B4980" s="21">
        <f>IF(AND(C4980&lt;&gt;"", J4980&lt;&gt;""), HYPERLINK("#'" &amp; C4980 &amp; "'!" &amp; J4980, J4980), "")</f>
        <v/>
      </c>
    </row>
    <row r="4981">
      <c r="B4981" s="21">
        <f>IF(AND(C4981&lt;&gt;"", J4981&lt;&gt;""), HYPERLINK("#'" &amp; C4981 &amp; "'!" &amp; J4981, J4981), "")</f>
        <v/>
      </c>
    </row>
    <row r="4982">
      <c r="B4982" s="21">
        <f>IF(AND(C4982&lt;&gt;"", J4982&lt;&gt;""), HYPERLINK("#'" &amp; C4982 &amp; "'!" &amp; J4982, J4982), "")</f>
        <v/>
      </c>
    </row>
    <row r="4983">
      <c r="B4983" s="21">
        <f>IF(AND(C4983&lt;&gt;"", J4983&lt;&gt;""), HYPERLINK("#'" &amp; C4983 &amp; "'!" &amp; J4983, J4983), "")</f>
        <v/>
      </c>
    </row>
    <row r="4984">
      <c r="B4984" s="21">
        <f>IF(AND(C4984&lt;&gt;"", J4984&lt;&gt;""), HYPERLINK("#'" &amp; C4984 &amp; "'!" &amp; J4984, J4984), "")</f>
        <v/>
      </c>
    </row>
    <row r="4985">
      <c r="B4985" s="21">
        <f>IF(AND(C4985&lt;&gt;"", J4985&lt;&gt;""), HYPERLINK("#'" &amp; C4985 &amp; "'!" &amp; J4985, J4985), "")</f>
        <v/>
      </c>
    </row>
    <row r="4986">
      <c r="B4986" s="21">
        <f>IF(AND(C4986&lt;&gt;"", J4986&lt;&gt;""), HYPERLINK("#'" &amp; C4986 &amp; "'!" &amp; J4986, J4986), "")</f>
        <v/>
      </c>
    </row>
    <row r="4987">
      <c r="B4987" s="21">
        <f>IF(AND(C4987&lt;&gt;"", J4987&lt;&gt;""), HYPERLINK("#'" &amp; C4987 &amp; "'!" &amp; J4987, J4987), "")</f>
        <v/>
      </c>
    </row>
    <row r="4988">
      <c r="B4988" s="21">
        <f>IF(AND(C4988&lt;&gt;"", J4988&lt;&gt;""), HYPERLINK("#'" &amp; C4988 &amp; "'!" &amp; J4988, J4988), "")</f>
        <v/>
      </c>
    </row>
    <row r="4989">
      <c r="B4989" s="21">
        <f>IF(AND(C4989&lt;&gt;"", J4989&lt;&gt;""), HYPERLINK("#'" &amp; C4989 &amp; "'!" &amp; J4989, J4989), "")</f>
        <v/>
      </c>
    </row>
    <row r="4990">
      <c r="B4990" s="21">
        <f>IF(AND(C4990&lt;&gt;"", J4990&lt;&gt;""), HYPERLINK("#'" &amp; C4990 &amp; "'!" &amp; J4990, J4990), "")</f>
        <v/>
      </c>
    </row>
    <row r="4991">
      <c r="B4991" s="21">
        <f>IF(AND(C4991&lt;&gt;"", J4991&lt;&gt;""), HYPERLINK("#'" &amp; C4991 &amp; "'!" &amp; J4991, J4991), "")</f>
        <v/>
      </c>
    </row>
    <row r="4992">
      <c r="B4992" s="21">
        <f>IF(AND(C4992&lt;&gt;"", J4992&lt;&gt;""), HYPERLINK("#'" &amp; C4992 &amp; "'!" &amp; J4992, J4992), "")</f>
        <v/>
      </c>
    </row>
    <row r="4993">
      <c r="B4993" s="21">
        <f>IF(AND(C4993&lt;&gt;"", J4993&lt;&gt;""), HYPERLINK("#'" &amp; C4993 &amp; "'!" &amp; J4993, J4993), "")</f>
        <v/>
      </c>
    </row>
    <row r="4994">
      <c r="B4994" s="21">
        <f>IF(AND(C4994&lt;&gt;"", J4994&lt;&gt;""), HYPERLINK("#'" &amp; C4994 &amp; "'!" &amp; J4994, J4994), "")</f>
        <v/>
      </c>
    </row>
    <row r="4995">
      <c r="B4995" s="21">
        <f>IF(AND(C4995&lt;&gt;"", J4995&lt;&gt;""), HYPERLINK("#'" &amp; C4995 &amp; "'!" &amp; J4995, J4995), "")</f>
        <v/>
      </c>
    </row>
    <row r="4996">
      <c r="B4996" s="21">
        <f>IF(AND(C4996&lt;&gt;"", J4996&lt;&gt;""), HYPERLINK("#'" &amp; C4996 &amp; "'!" &amp; J4996, J4996), "")</f>
        <v/>
      </c>
    </row>
    <row r="4997">
      <c r="B4997" s="21">
        <f>IF(AND(C4997&lt;&gt;"", J4997&lt;&gt;""), HYPERLINK("#'" &amp; C4997 &amp; "'!" &amp; J4997, J4997), "")</f>
        <v/>
      </c>
    </row>
    <row r="4998">
      <c r="B4998" s="21">
        <f>IF(AND(C4998&lt;&gt;"", J4998&lt;&gt;""), HYPERLINK("#'" &amp; C4998 &amp; "'!" &amp; J4998, J4998), "")</f>
        <v/>
      </c>
    </row>
    <row r="4999">
      <c r="B4999" s="21">
        <f>IF(AND(C4999&lt;&gt;"", J4999&lt;&gt;""), HYPERLINK("#'" &amp; C4999 &amp; "'!" &amp; J4999, J4999), "")</f>
        <v/>
      </c>
    </row>
    <row r="5000">
      <c r="B5000" s="21">
        <f>IF(AND(C5000&lt;&gt;"", J5000&lt;&gt;""), HYPERLINK("#'" &amp; C5000 &amp; "'!" &amp; J5000, J5000), "")</f>
        <v/>
      </c>
    </row>
    <row r="5001">
      <c r="B5001" s="21">
        <f>IF(AND(C5001&lt;&gt;"", J5001&lt;&gt;""), HYPERLINK("#'" &amp; C5001 &amp; "'!" &amp; J5001, J5001), "")</f>
        <v/>
      </c>
    </row>
    <row r="5002">
      <c r="B5002" s="21">
        <f>IF(AND(C5002&lt;&gt;"", J5002&lt;&gt;""), HYPERLINK("#'" &amp; C5002 &amp; "'!" &amp; J5002, J5002), "")</f>
        <v/>
      </c>
    </row>
    <row r="5003">
      <c r="B5003" s="21">
        <f>IF(AND(C5003&lt;&gt;"", J5003&lt;&gt;""), HYPERLINK("#'" &amp; C5003 &amp; "'!" &amp; J5003, J5003), "")</f>
        <v/>
      </c>
    </row>
    <row r="5004">
      <c r="B5004" s="21">
        <f>IF(AND(C5004&lt;&gt;"", J5004&lt;&gt;""), HYPERLINK("#'" &amp; C5004 &amp; "'!" &amp; J5004, J5004), "")</f>
        <v/>
      </c>
    </row>
    <row r="5005">
      <c r="B5005" s="21">
        <f>IF(AND(C5005&lt;&gt;"", J5005&lt;&gt;""), HYPERLINK("#'" &amp; C5005 &amp; "'!" &amp; J5005, J5005), "")</f>
        <v/>
      </c>
    </row>
    <row r="5006">
      <c r="B5006" s="21">
        <f>IF(AND(C5006&lt;&gt;"", J5006&lt;&gt;""), HYPERLINK("#'" &amp; C5006 &amp; "'!" &amp; J5006, J5006), "")</f>
        <v/>
      </c>
    </row>
    <row r="5007">
      <c r="B5007" s="21">
        <f>IF(AND(C5007&lt;&gt;"", J5007&lt;&gt;""), HYPERLINK("#'" &amp; C5007 &amp; "'!" &amp; J5007, J5007), "")</f>
        <v/>
      </c>
    </row>
    <row r="5008">
      <c r="B5008" s="21">
        <f>IF(AND(C5008&lt;&gt;"", J5008&lt;&gt;""), HYPERLINK("#'" &amp; C5008 &amp; "'!" &amp; J5008, J5008), "")</f>
        <v/>
      </c>
    </row>
    <row r="5009">
      <c r="B5009" s="21">
        <f>IF(AND(C5009&lt;&gt;"", J5009&lt;&gt;""), HYPERLINK("#'" &amp; C5009 &amp; "'!" &amp; J5009, J5009), "")</f>
        <v/>
      </c>
    </row>
    <row r="5010">
      <c r="B5010" s="21">
        <f>IF(AND(C5010&lt;&gt;"", J5010&lt;&gt;""), HYPERLINK("#'" &amp; C5010 &amp; "'!" &amp; J5010, J5010), "")</f>
        <v/>
      </c>
    </row>
    <row r="5011">
      <c r="B5011" s="21">
        <f>IF(AND(C5011&lt;&gt;"", J5011&lt;&gt;""), HYPERLINK("#'" &amp; C5011 &amp; "'!" &amp; J5011, J5011), "")</f>
        <v/>
      </c>
    </row>
    <row r="5012">
      <c r="B5012" s="21">
        <f>IF(AND(C5012&lt;&gt;"", J5012&lt;&gt;""), HYPERLINK("#'" &amp; C5012 &amp; "'!" &amp; J5012, J5012), "")</f>
        <v/>
      </c>
    </row>
    <row r="5013">
      <c r="B5013" s="21">
        <f>IF(AND(C5013&lt;&gt;"", J5013&lt;&gt;""), HYPERLINK("#'" &amp; C5013 &amp; "'!" &amp; J5013, J5013), "")</f>
        <v/>
      </c>
    </row>
    <row r="5014">
      <c r="B5014" s="21">
        <f>IF(AND(C5014&lt;&gt;"", J5014&lt;&gt;""), HYPERLINK("#'" &amp; C5014 &amp; "'!" &amp; J5014, J5014), "")</f>
        <v/>
      </c>
    </row>
    <row r="5015">
      <c r="B5015" s="21">
        <f>IF(AND(C5015&lt;&gt;"", J5015&lt;&gt;""), HYPERLINK("#'" &amp; C5015 &amp; "'!" &amp; J5015, J5015), "")</f>
        <v/>
      </c>
    </row>
    <row r="5016">
      <c r="B5016" s="21">
        <f>IF(AND(C5016&lt;&gt;"", J5016&lt;&gt;""), HYPERLINK("#'" &amp; C5016 &amp; "'!" &amp; J5016, J5016), "")</f>
        <v/>
      </c>
    </row>
    <row r="5017">
      <c r="B5017" s="21">
        <f>IF(AND(C5017&lt;&gt;"", J5017&lt;&gt;""), HYPERLINK("#'" &amp; C5017 &amp; "'!" &amp; J5017, J5017), "")</f>
        <v/>
      </c>
    </row>
    <row r="5018">
      <c r="B5018" s="21">
        <f>IF(AND(C5018&lt;&gt;"", J5018&lt;&gt;""), HYPERLINK("#'" &amp; C5018 &amp; "'!" &amp; J5018, J5018), "")</f>
        <v/>
      </c>
    </row>
    <row r="5019">
      <c r="B5019" s="21">
        <f>IF(AND(C5019&lt;&gt;"", J5019&lt;&gt;""), HYPERLINK("#'" &amp; C5019 &amp; "'!" &amp; J5019, J5019), "")</f>
        <v/>
      </c>
    </row>
    <row r="5020">
      <c r="B5020" s="21">
        <f>IF(AND(C5020&lt;&gt;"", J5020&lt;&gt;""), HYPERLINK("#'" &amp; C5020 &amp; "'!" &amp; J5020, J5020), "")</f>
        <v/>
      </c>
    </row>
    <row r="5021">
      <c r="B5021" s="21">
        <f>IF(AND(C5021&lt;&gt;"", J5021&lt;&gt;""), HYPERLINK("#'" &amp; C5021 &amp; "'!" &amp; J5021, J5021), "")</f>
        <v/>
      </c>
    </row>
    <row r="5022">
      <c r="B5022" s="21">
        <f>IF(AND(C5022&lt;&gt;"", J5022&lt;&gt;""), HYPERLINK("#'" &amp; C5022 &amp; "'!" &amp; J5022, J5022), "")</f>
        <v/>
      </c>
    </row>
    <row r="5023">
      <c r="B5023" s="21">
        <f>IF(AND(C5023&lt;&gt;"", J5023&lt;&gt;""), HYPERLINK("#'" &amp; C5023 &amp; "'!" &amp; J5023, J5023), "")</f>
        <v/>
      </c>
    </row>
    <row r="5024">
      <c r="B5024" s="21">
        <f>IF(AND(C5024&lt;&gt;"", J5024&lt;&gt;""), HYPERLINK("#'" &amp; C5024 &amp; "'!" &amp; J5024, J5024), "")</f>
        <v/>
      </c>
    </row>
    <row r="5025">
      <c r="B5025" s="21">
        <f>IF(AND(C5025&lt;&gt;"", J5025&lt;&gt;""), HYPERLINK("#'" &amp; C5025 &amp; "'!" &amp; J5025, J5025), "")</f>
        <v/>
      </c>
    </row>
    <row r="5026">
      <c r="B5026" s="21">
        <f>IF(AND(C5026&lt;&gt;"", J5026&lt;&gt;""), HYPERLINK("#'" &amp; C5026 &amp; "'!" &amp; J5026, J5026), "")</f>
        <v/>
      </c>
    </row>
    <row r="5027">
      <c r="B5027" s="21">
        <f>IF(AND(C5027&lt;&gt;"", J5027&lt;&gt;""), HYPERLINK("#'" &amp; C5027 &amp; "'!" &amp; J5027, J5027), "")</f>
        <v/>
      </c>
    </row>
    <row r="5028">
      <c r="B5028" s="21">
        <f>IF(AND(C5028&lt;&gt;"", J5028&lt;&gt;""), HYPERLINK("#'" &amp; C5028 &amp; "'!" &amp; J5028, J5028), "")</f>
        <v/>
      </c>
    </row>
    <row r="5029">
      <c r="B5029" s="21">
        <f>IF(AND(C5029&lt;&gt;"", J5029&lt;&gt;""), HYPERLINK("#'" &amp; C5029 &amp; "'!" &amp; J5029, J5029), "")</f>
        <v/>
      </c>
    </row>
    <row r="5030">
      <c r="B5030" s="21">
        <f>IF(AND(C5030&lt;&gt;"", J5030&lt;&gt;""), HYPERLINK("#'" &amp; C5030 &amp; "'!" &amp; J5030, J5030), "")</f>
        <v/>
      </c>
    </row>
    <row r="5031">
      <c r="B5031" s="21">
        <f>IF(AND(C5031&lt;&gt;"", J5031&lt;&gt;""), HYPERLINK("#'" &amp; C5031 &amp; "'!" &amp; J5031, J5031), "")</f>
        <v/>
      </c>
    </row>
    <row r="5032">
      <c r="B5032" s="21">
        <f>IF(AND(C5032&lt;&gt;"", J5032&lt;&gt;""), HYPERLINK("#'" &amp; C5032 &amp; "'!" &amp; J5032, J5032), "")</f>
        <v/>
      </c>
    </row>
    <row r="5033">
      <c r="B5033" s="21">
        <f>IF(AND(C5033&lt;&gt;"", J5033&lt;&gt;""), HYPERLINK("#'" &amp; C5033 &amp; "'!" &amp; J5033, J5033), "")</f>
        <v/>
      </c>
    </row>
    <row r="5034">
      <c r="B5034" s="21">
        <f>IF(AND(C5034&lt;&gt;"", J5034&lt;&gt;""), HYPERLINK("#'" &amp; C5034 &amp; "'!" &amp; J5034, J5034), "")</f>
        <v/>
      </c>
    </row>
    <row r="5035">
      <c r="B5035" s="21">
        <f>IF(AND(C5035&lt;&gt;"", J5035&lt;&gt;""), HYPERLINK("#'" &amp; C5035 &amp; "'!" &amp; J5035, J5035), "")</f>
        <v/>
      </c>
    </row>
    <row r="5036">
      <c r="B5036" s="21">
        <f>IF(AND(C5036&lt;&gt;"", J5036&lt;&gt;""), HYPERLINK("#'" &amp; C5036 &amp; "'!" &amp; J5036, J5036), "")</f>
        <v/>
      </c>
    </row>
    <row r="5037">
      <c r="B5037" s="21">
        <f>IF(AND(C5037&lt;&gt;"", J5037&lt;&gt;""), HYPERLINK("#'" &amp; C5037 &amp; "'!" &amp; J5037, J5037), "")</f>
        <v/>
      </c>
    </row>
    <row r="5038">
      <c r="B5038" s="21">
        <f>IF(AND(C5038&lt;&gt;"", J5038&lt;&gt;""), HYPERLINK("#'" &amp; C5038 &amp; "'!" &amp; J5038, J5038), "")</f>
        <v/>
      </c>
    </row>
    <row r="5039">
      <c r="B5039" s="21">
        <f>IF(AND(C5039&lt;&gt;"", J5039&lt;&gt;""), HYPERLINK("#'" &amp; C5039 &amp; "'!" &amp; J5039, J5039), "")</f>
        <v/>
      </c>
    </row>
    <row r="5040">
      <c r="B5040" s="21">
        <f>IF(AND(C5040&lt;&gt;"", J5040&lt;&gt;""), HYPERLINK("#'" &amp; C5040 &amp; "'!" &amp; J5040, J5040), "")</f>
        <v/>
      </c>
    </row>
    <row r="5041">
      <c r="B5041" s="21">
        <f>IF(AND(C5041&lt;&gt;"", J5041&lt;&gt;""), HYPERLINK("#'" &amp; C5041 &amp; "'!" &amp; J5041, J5041), "")</f>
        <v/>
      </c>
    </row>
    <row r="5042">
      <c r="B5042" s="21">
        <f>IF(AND(C5042&lt;&gt;"", J5042&lt;&gt;""), HYPERLINK("#'" &amp; C5042 &amp; "'!" &amp; J5042, J5042), "")</f>
        <v/>
      </c>
    </row>
    <row r="5043">
      <c r="B5043" s="21">
        <f>IF(AND(C5043&lt;&gt;"", J5043&lt;&gt;""), HYPERLINK("#'" &amp; C5043 &amp; "'!" &amp; J5043, J5043), "")</f>
        <v/>
      </c>
    </row>
    <row r="5044">
      <c r="B5044" s="21">
        <f>IF(AND(C5044&lt;&gt;"", J5044&lt;&gt;""), HYPERLINK("#'" &amp; C5044 &amp; "'!" &amp; J5044, J5044), "")</f>
        <v/>
      </c>
    </row>
    <row r="5045">
      <c r="B5045" s="21">
        <f>IF(AND(C5045&lt;&gt;"", J5045&lt;&gt;""), HYPERLINK("#'" &amp; C5045 &amp; "'!" &amp; J5045, J5045), "")</f>
        <v/>
      </c>
    </row>
    <row r="5046">
      <c r="B5046" s="21">
        <f>IF(AND(C5046&lt;&gt;"", J5046&lt;&gt;""), HYPERLINK("#'" &amp; C5046 &amp; "'!" &amp; J5046, J5046), "")</f>
        <v/>
      </c>
    </row>
    <row r="5047">
      <c r="B5047" s="21">
        <f>IF(AND(C5047&lt;&gt;"", J5047&lt;&gt;""), HYPERLINK("#'" &amp; C5047 &amp; "'!" &amp; J5047, J5047), "")</f>
        <v/>
      </c>
    </row>
    <row r="5048">
      <c r="B5048" s="21">
        <f>IF(AND(C5048&lt;&gt;"", J5048&lt;&gt;""), HYPERLINK("#'" &amp; C5048 &amp; "'!" &amp; J5048, J5048), "")</f>
        <v/>
      </c>
    </row>
    <row r="5049">
      <c r="B5049" s="21">
        <f>IF(AND(C5049&lt;&gt;"", J5049&lt;&gt;""), HYPERLINK("#'" &amp; C5049 &amp; "'!" &amp; J5049, J5049), "")</f>
        <v/>
      </c>
    </row>
    <row r="5050">
      <c r="B5050" s="21">
        <f>IF(AND(C5050&lt;&gt;"", J5050&lt;&gt;""), HYPERLINK("#'" &amp; C5050 &amp; "'!" &amp; J5050, J5050), "")</f>
        <v/>
      </c>
    </row>
    <row r="5051">
      <c r="B5051" s="21">
        <f>IF(AND(C5051&lt;&gt;"", J5051&lt;&gt;""), HYPERLINK("#'" &amp; C5051 &amp; "'!" &amp; J5051, J5051), "")</f>
        <v/>
      </c>
    </row>
    <row r="5052">
      <c r="B5052" s="21">
        <f>IF(AND(C5052&lt;&gt;"", J5052&lt;&gt;""), HYPERLINK("#'" &amp; C5052 &amp; "'!" &amp; J5052, J5052), "")</f>
        <v/>
      </c>
    </row>
    <row r="5053">
      <c r="B5053" s="21">
        <f>IF(AND(C5053&lt;&gt;"", J5053&lt;&gt;""), HYPERLINK("#'" &amp; C5053 &amp; "'!" &amp; J5053, J5053), "")</f>
        <v/>
      </c>
    </row>
    <row r="5054">
      <c r="B5054" s="21">
        <f>IF(AND(C5054&lt;&gt;"", J5054&lt;&gt;""), HYPERLINK("#'" &amp; C5054 &amp; "'!" &amp; J5054, J5054), "")</f>
        <v/>
      </c>
    </row>
    <row r="5055">
      <c r="B5055" s="21">
        <f>IF(AND(C5055&lt;&gt;"", J5055&lt;&gt;""), HYPERLINK("#'" &amp; C5055 &amp; "'!" &amp; J5055, J5055), "")</f>
        <v/>
      </c>
    </row>
    <row r="5056">
      <c r="B5056" s="21">
        <f>IF(AND(C5056&lt;&gt;"", J5056&lt;&gt;""), HYPERLINK("#'" &amp; C5056 &amp; "'!" &amp; J5056, J5056), "")</f>
        <v/>
      </c>
    </row>
    <row r="5057">
      <c r="B5057" s="21">
        <f>IF(AND(C5057&lt;&gt;"", J5057&lt;&gt;""), HYPERLINK("#'" &amp; C5057 &amp; "'!" &amp; J5057, J5057), "")</f>
        <v/>
      </c>
    </row>
    <row r="5058">
      <c r="B5058" s="21">
        <f>IF(AND(C5058&lt;&gt;"", J5058&lt;&gt;""), HYPERLINK("#'" &amp; C5058 &amp; "'!" &amp; J5058, J5058), "")</f>
        <v/>
      </c>
    </row>
    <row r="5059">
      <c r="B5059" s="21">
        <f>IF(AND(C5059&lt;&gt;"", J5059&lt;&gt;""), HYPERLINK("#'" &amp; C5059 &amp; "'!" &amp; J5059, J5059), "")</f>
        <v/>
      </c>
    </row>
    <row r="5060">
      <c r="B5060" s="21">
        <f>IF(AND(C5060&lt;&gt;"", J5060&lt;&gt;""), HYPERLINK("#'" &amp; C5060 &amp; "'!" &amp; J5060, J5060), "")</f>
        <v/>
      </c>
    </row>
    <row r="5061">
      <c r="B5061" s="21">
        <f>IF(AND(C5061&lt;&gt;"", J5061&lt;&gt;""), HYPERLINK("#'" &amp; C5061 &amp; "'!" &amp; J5061, J5061), "")</f>
        <v/>
      </c>
    </row>
    <row r="5062">
      <c r="B5062" s="21">
        <f>IF(AND(C5062&lt;&gt;"", J5062&lt;&gt;""), HYPERLINK("#'" &amp; C5062 &amp; "'!" &amp; J5062, J5062), "")</f>
        <v/>
      </c>
    </row>
    <row r="5063">
      <c r="B5063" s="21">
        <f>IF(AND(C5063&lt;&gt;"", J5063&lt;&gt;""), HYPERLINK("#'" &amp; C5063 &amp; "'!" &amp; J5063, J5063), "")</f>
        <v/>
      </c>
    </row>
    <row r="5064">
      <c r="B5064" s="21">
        <f>IF(AND(C5064&lt;&gt;"", J5064&lt;&gt;""), HYPERLINK("#'" &amp; C5064 &amp; "'!" &amp; J5064, J5064), "")</f>
        <v/>
      </c>
    </row>
    <row r="5065">
      <c r="B5065" s="21">
        <f>IF(AND(C5065&lt;&gt;"", J5065&lt;&gt;""), HYPERLINK("#'" &amp; C5065 &amp; "'!" &amp; J5065, J5065), "")</f>
        <v/>
      </c>
    </row>
    <row r="5066">
      <c r="B5066" s="21">
        <f>IF(AND(C5066&lt;&gt;"", J5066&lt;&gt;""), HYPERLINK("#'" &amp; C5066 &amp; "'!" &amp; J5066, J5066), "")</f>
        <v/>
      </c>
    </row>
    <row r="5067">
      <c r="B5067" s="21">
        <f>IF(AND(C5067&lt;&gt;"", J5067&lt;&gt;""), HYPERLINK("#'" &amp; C5067 &amp; "'!" &amp; J5067, J5067), "")</f>
        <v/>
      </c>
    </row>
    <row r="5068">
      <c r="B5068" s="21">
        <f>IF(AND(C5068&lt;&gt;"", J5068&lt;&gt;""), HYPERLINK("#'" &amp; C5068 &amp; "'!" &amp; J5068, J5068), "")</f>
        <v/>
      </c>
    </row>
    <row r="5069">
      <c r="B5069" s="21">
        <f>IF(AND(C5069&lt;&gt;"", J5069&lt;&gt;""), HYPERLINK("#'" &amp; C5069 &amp; "'!" &amp; J5069, J5069), "")</f>
        <v/>
      </c>
    </row>
    <row r="5070">
      <c r="B5070" s="21">
        <f>IF(AND(C5070&lt;&gt;"", J5070&lt;&gt;""), HYPERLINK("#'" &amp; C5070 &amp; "'!" &amp; J5070, J5070), "")</f>
        <v/>
      </c>
    </row>
    <row r="5071">
      <c r="B5071" s="21">
        <f>IF(AND(C5071&lt;&gt;"", J5071&lt;&gt;""), HYPERLINK("#'" &amp; C5071 &amp; "'!" &amp; J5071, J5071), "")</f>
        <v/>
      </c>
    </row>
    <row r="5072">
      <c r="B5072" s="21">
        <f>IF(AND(C5072&lt;&gt;"", J5072&lt;&gt;""), HYPERLINK("#'" &amp; C5072 &amp; "'!" &amp; J5072, J5072), "")</f>
        <v/>
      </c>
    </row>
    <row r="5073">
      <c r="B5073" s="21">
        <f>IF(AND(C5073&lt;&gt;"", J5073&lt;&gt;""), HYPERLINK("#'" &amp; C5073 &amp; "'!" &amp; J5073, J5073), "")</f>
        <v/>
      </c>
    </row>
    <row r="5074">
      <c r="B5074" s="21">
        <f>IF(AND(C5074&lt;&gt;"", J5074&lt;&gt;""), HYPERLINK("#'" &amp; C5074 &amp; "'!" &amp; J5074, J5074), "")</f>
        <v/>
      </c>
    </row>
    <row r="5075">
      <c r="B5075" s="21">
        <f>IF(AND(C5075&lt;&gt;"", J5075&lt;&gt;""), HYPERLINK("#'" &amp; C5075 &amp; "'!" &amp; J5075, J5075), "")</f>
        <v/>
      </c>
    </row>
    <row r="5076">
      <c r="B5076" s="21">
        <f>IF(AND(C5076&lt;&gt;"", J5076&lt;&gt;""), HYPERLINK("#'" &amp; C5076 &amp; "'!" &amp; J5076, J5076), "")</f>
        <v/>
      </c>
    </row>
    <row r="5077">
      <c r="B5077" s="21">
        <f>IF(AND(C5077&lt;&gt;"", J5077&lt;&gt;""), HYPERLINK("#'" &amp; C5077 &amp; "'!" &amp; J5077, J5077), "")</f>
        <v/>
      </c>
    </row>
    <row r="5078">
      <c r="B5078" s="21">
        <f>IF(AND(C5078&lt;&gt;"", J5078&lt;&gt;""), HYPERLINK("#'" &amp; C5078 &amp; "'!" &amp; J5078, J5078), "")</f>
        <v/>
      </c>
    </row>
    <row r="5079">
      <c r="B5079" s="21">
        <f>IF(AND(C5079&lt;&gt;"", J5079&lt;&gt;""), HYPERLINK("#'" &amp; C5079 &amp; "'!" &amp; J5079, J5079), "")</f>
        <v/>
      </c>
    </row>
    <row r="5080">
      <c r="B5080" s="21">
        <f>IF(AND(C5080&lt;&gt;"", J5080&lt;&gt;""), HYPERLINK("#'" &amp; C5080 &amp; "'!" &amp; J5080, J5080), "")</f>
        <v/>
      </c>
    </row>
    <row r="5081">
      <c r="B5081" s="21">
        <f>IF(AND(C5081&lt;&gt;"", J5081&lt;&gt;""), HYPERLINK("#'" &amp; C5081 &amp; "'!" &amp; J5081, J5081), "")</f>
        <v/>
      </c>
    </row>
    <row r="5082">
      <c r="B5082" s="21">
        <f>IF(AND(C5082&lt;&gt;"", J5082&lt;&gt;""), HYPERLINK("#'" &amp; C5082 &amp; "'!" &amp; J5082, J5082), "")</f>
        <v/>
      </c>
    </row>
    <row r="5083">
      <c r="B5083" s="21">
        <f>IF(AND(C5083&lt;&gt;"", J5083&lt;&gt;""), HYPERLINK("#'" &amp; C5083 &amp; "'!" &amp; J5083, J5083), "")</f>
        <v/>
      </c>
    </row>
    <row r="5084">
      <c r="B5084" s="21">
        <f>IF(AND(C5084&lt;&gt;"", J5084&lt;&gt;""), HYPERLINK("#'" &amp; C5084 &amp; "'!" &amp; J5084, J5084), "")</f>
        <v/>
      </c>
    </row>
    <row r="5085">
      <c r="B5085" s="21">
        <f>IF(AND(C5085&lt;&gt;"", J5085&lt;&gt;""), HYPERLINK("#'" &amp; C5085 &amp; "'!" &amp; J5085, J5085), "")</f>
        <v/>
      </c>
    </row>
    <row r="5086">
      <c r="B5086" s="21">
        <f>IF(AND(C5086&lt;&gt;"", J5086&lt;&gt;""), HYPERLINK("#'" &amp; C5086 &amp; "'!" &amp; J5086, J5086), "")</f>
        <v/>
      </c>
    </row>
    <row r="5087">
      <c r="B5087" s="21">
        <f>IF(AND(C5087&lt;&gt;"", J5087&lt;&gt;""), HYPERLINK("#'" &amp; C5087 &amp; "'!" &amp; J5087, J5087), "")</f>
        <v/>
      </c>
    </row>
    <row r="5088">
      <c r="B5088" s="21">
        <f>IF(AND(C5088&lt;&gt;"", J5088&lt;&gt;""), HYPERLINK("#'" &amp; C5088 &amp; "'!" &amp; J5088, J5088), "")</f>
        <v/>
      </c>
    </row>
    <row r="5089">
      <c r="B5089" s="21">
        <f>IF(AND(C5089&lt;&gt;"", J5089&lt;&gt;""), HYPERLINK("#'" &amp; C5089 &amp; "'!" &amp; J5089, J5089), "")</f>
        <v/>
      </c>
    </row>
    <row r="5090">
      <c r="B5090" s="21">
        <f>IF(AND(C5090&lt;&gt;"", J5090&lt;&gt;""), HYPERLINK("#'" &amp; C5090 &amp; "'!" &amp; J5090, J5090), "")</f>
        <v/>
      </c>
    </row>
    <row r="5091">
      <c r="B5091" s="21">
        <f>IF(AND(C5091&lt;&gt;"", J5091&lt;&gt;""), HYPERLINK("#'" &amp; C5091 &amp; "'!" &amp; J5091, J5091), "")</f>
        <v/>
      </c>
    </row>
    <row r="5092">
      <c r="B5092" s="21">
        <f>IF(AND(C5092&lt;&gt;"", J5092&lt;&gt;""), HYPERLINK("#'" &amp; C5092 &amp; "'!" &amp; J5092, J5092), "")</f>
        <v/>
      </c>
    </row>
    <row r="5093">
      <c r="B5093" s="21">
        <f>IF(AND(C5093&lt;&gt;"", J5093&lt;&gt;""), HYPERLINK("#'" &amp; C5093 &amp; "'!" &amp; J5093, J5093), "")</f>
        <v/>
      </c>
    </row>
    <row r="5094">
      <c r="B5094" s="21">
        <f>IF(AND(C5094&lt;&gt;"", J5094&lt;&gt;""), HYPERLINK("#'" &amp; C5094 &amp; "'!" &amp; J5094, J5094), "")</f>
        <v/>
      </c>
    </row>
    <row r="5095">
      <c r="B5095" s="21">
        <f>IF(AND(C5095&lt;&gt;"", J5095&lt;&gt;""), HYPERLINK("#'" &amp; C5095 &amp; "'!" &amp; J5095, J5095), "")</f>
        <v/>
      </c>
    </row>
    <row r="5096">
      <c r="B5096" s="21">
        <f>IF(AND(C5096&lt;&gt;"", J5096&lt;&gt;""), HYPERLINK("#'" &amp; C5096 &amp; "'!" &amp; J5096, J5096), "")</f>
        <v/>
      </c>
    </row>
    <row r="5097">
      <c r="B5097" s="21">
        <f>IF(AND(C5097&lt;&gt;"", J5097&lt;&gt;""), HYPERLINK("#'" &amp; C5097 &amp; "'!" &amp; J5097, J5097), "")</f>
        <v/>
      </c>
    </row>
    <row r="5098">
      <c r="B5098" s="21">
        <f>IF(AND(C5098&lt;&gt;"", J5098&lt;&gt;""), HYPERLINK("#'" &amp; C5098 &amp; "'!" &amp; J5098, J5098), "")</f>
        <v/>
      </c>
    </row>
    <row r="5099">
      <c r="B5099" s="21">
        <f>IF(AND(C5099&lt;&gt;"", J5099&lt;&gt;""), HYPERLINK("#'" &amp; C5099 &amp; "'!" &amp; J5099, J5099), "")</f>
        <v/>
      </c>
    </row>
    <row r="5100">
      <c r="B5100" s="21">
        <f>IF(AND(C5100&lt;&gt;"", J5100&lt;&gt;""), HYPERLINK("#'" &amp; C5100 &amp; "'!" &amp; J5100, J5100), "")</f>
        <v/>
      </c>
    </row>
    <row r="5101">
      <c r="B5101" s="21">
        <f>IF(AND(C5101&lt;&gt;"", J5101&lt;&gt;""), HYPERLINK("#'" &amp; C5101 &amp; "'!" &amp; J5101, J5101), "")</f>
        <v/>
      </c>
    </row>
    <row r="5102">
      <c r="B5102" s="21">
        <f>IF(AND(C5102&lt;&gt;"", J5102&lt;&gt;""), HYPERLINK("#'" &amp; C5102 &amp; "'!" &amp; J5102, J5102), "")</f>
        <v/>
      </c>
    </row>
    <row r="5103">
      <c r="B5103" s="21">
        <f>IF(AND(C5103&lt;&gt;"", J5103&lt;&gt;""), HYPERLINK("#'" &amp; C5103 &amp; "'!" &amp; J5103, J5103), "")</f>
        <v/>
      </c>
    </row>
    <row r="5104">
      <c r="B5104" s="21">
        <f>IF(AND(C5104&lt;&gt;"", J5104&lt;&gt;""), HYPERLINK("#'" &amp; C5104 &amp; "'!" &amp; J5104, J5104), "")</f>
        <v/>
      </c>
    </row>
    <row r="5105">
      <c r="B5105" s="21">
        <f>IF(AND(C5105&lt;&gt;"", J5105&lt;&gt;""), HYPERLINK("#'" &amp; C5105 &amp; "'!" &amp; J5105, J5105), "")</f>
        <v/>
      </c>
    </row>
    <row r="5106">
      <c r="B5106" s="21">
        <f>IF(AND(C5106&lt;&gt;"", J5106&lt;&gt;""), HYPERLINK("#'" &amp; C5106 &amp; "'!" &amp; J5106, J5106), "")</f>
        <v/>
      </c>
    </row>
    <row r="5107">
      <c r="B5107" s="21">
        <f>IF(AND(C5107&lt;&gt;"", J5107&lt;&gt;""), HYPERLINK("#'" &amp; C5107 &amp; "'!" &amp; J5107, J5107), "")</f>
        <v/>
      </c>
    </row>
    <row r="5108">
      <c r="B5108" s="21">
        <f>IF(AND(C5108&lt;&gt;"", J5108&lt;&gt;""), HYPERLINK("#'" &amp; C5108 &amp; "'!" &amp; J5108, J5108), "")</f>
        <v/>
      </c>
    </row>
    <row r="5109">
      <c r="B5109" s="21">
        <f>IF(AND(C5109&lt;&gt;"", J5109&lt;&gt;""), HYPERLINK("#'" &amp; C5109 &amp; "'!" &amp; J5109, J5109), "")</f>
        <v/>
      </c>
    </row>
    <row r="5110">
      <c r="B5110" s="21">
        <f>IF(AND(C5110&lt;&gt;"", J5110&lt;&gt;""), HYPERLINK("#'" &amp; C5110 &amp; "'!" &amp; J5110, J5110), "")</f>
        <v/>
      </c>
    </row>
    <row r="5111">
      <c r="B5111" s="21">
        <f>IF(AND(C5111&lt;&gt;"", J5111&lt;&gt;""), HYPERLINK("#'" &amp; C5111 &amp; "'!" &amp; J5111, J5111), "")</f>
        <v/>
      </c>
    </row>
    <row r="5112">
      <c r="B5112" s="21">
        <f>IF(AND(C5112&lt;&gt;"", J5112&lt;&gt;""), HYPERLINK("#'" &amp; C5112 &amp; "'!" &amp; J5112, J5112), "")</f>
        <v/>
      </c>
    </row>
    <row r="5113">
      <c r="B5113" s="21">
        <f>IF(AND(C5113&lt;&gt;"", J5113&lt;&gt;""), HYPERLINK("#'" &amp; C5113 &amp; "'!" &amp; J5113, J5113), "")</f>
        <v/>
      </c>
    </row>
    <row r="5114">
      <c r="B5114" s="21">
        <f>IF(AND(C5114&lt;&gt;"", J5114&lt;&gt;""), HYPERLINK("#'" &amp; C5114 &amp; "'!" &amp; J5114, J5114), "")</f>
        <v/>
      </c>
    </row>
    <row r="5115">
      <c r="B5115" s="21">
        <f>IF(AND(C5115&lt;&gt;"", J5115&lt;&gt;""), HYPERLINK("#'" &amp; C5115 &amp; "'!" &amp; J5115, J5115), "")</f>
        <v/>
      </c>
    </row>
    <row r="5116">
      <c r="B5116" s="21">
        <f>IF(AND(C5116&lt;&gt;"", J5116&lt;&gt;""), HYPERLINK("#'" &amp; C5116 &amp; "'!" &amp; J5116, J5116), "")</f>
        <v/>
      </c>
    </row>
    <row r="5117">
      <c r="B5117" s="21">
        <f>IF(AND(C5117&lt;&gt;"", J5117&lt;&gt;""), HYPERLINK("#'" &amp; C5117 &amp; "'!" &amp; J5117, J5117), "")</f>
        <v/>
      </c>
    </row>
    <row r="5118">
      <c r="B5118" s="21">
        <f>IF(AND(C5118&lt;&gt;"", J5118&lt;&gt;""), HYPERLINK("#'" &amp; C5118 &amp; "'!" &amp; J5118, J5118), "")</f>
        <v/>
      </c>
    </row>
    <row r="5119">
      <c r="B5119" s="21">
        <f>IF(AND(C5119&lt;&gt;"", J5119&lt;&gt;""), HYPERLINK("#'" &amp; C5119 &amp; "'!" &amp; J5119, J5119), "")</f>
        <v/>
      </c>
    </row>
    <row r="5120">
      <c r="B5120" s="21">
        <f>IF(AND(C5120&lt;&gt;"", J5120&lt;&gt;""), HYPERLINK("#'" &amp; C5120 &amp; "'!" &amp; J5120, J5120), "")</f>
        <v/>
      </c>
    </row>
    <row r="5121">
      <c r="B5121" s="21">
        <f>IF(AND(C5121&lt;&gt;"", J5121&lt;&gt;""), HYPERLINK("#'" &amp; C5121 &amp; "'!" &amp; J5121, J5121), "")</f>
        <v/>
      </c>
    </row>
    <row r="5122">
      <c r="B5122" s="21">
        <f>IF(AND(C5122&lt;&gt;"", J5122&lt;&gt;""), HYPERLINK("#'" &amp; C5122 &amp; "'!" &amp; J5122, J5122), "")</f>
        <v/>
      </c>
    </row>
    <row r="5123">
      <c r="B5123" s="21">
        <f>IF(AND(C5123&lt;&gt;"", J5123&lt;&gt;""), HYPERLINK("#'" &amp; C5123 &amp; "'!" &amp; J5123, J5123), "")</f>
        <v/>
      </c>
    </row>
    <row r="5124">
      <c r="B5124" s="21">
        <f>IF(AND(C5124&lt;&gt;"", J5124&lt;&gt;""), HYPERLINK("#'" &amp; C5124 &amp; "'!" &amp; J5124, J5124), "")</f>
        <v/>
      </c>
    </row>
    <row r="5125">
      <c r="B5125" s="21">
        <f>IF(AND(C5125&lt;&gt;"", J5125&lt;&gt;""), HYPERLINK("#'" &amp; C5125 &amp; "'!" &amp; J5125, J5125), "")</f>
        <v/>
      </c>
    </row>
    <row r="5126">
      <c r="B5126" s="21">
        <f>IF(AND(C5126&lt;&gt;"", J5126&lt;&gt;""), HYPERLINK("#'" &amp; C5126 &amp; "'!" &amp; J5126, J5126), "")</f>
        <v/>
      </c>
    </row>
    <row r="5127">
      <c r="B5127" s="21">
        <f>IF(AND(C5127&lt;&gt;"", J5127&lt;&gt;""), HYPERLINK("#'" &amp; C5127 &amp; "'!" &amp; J5127, J5127), "")</f>
        <v/>
      </c>
    </row>
    <row r="5128">
      <c r="B5128" s="21">
        <f>IF(AND(C5128&lt;&gt;"", J5128&lt;&gt;""), HYPERLINK("#'" &amp; C5128 &amp; "'!" &amp; J5128, J5128), "")</f>
        <v/>
      </c>
    </row>
    <row r="5129">
      <c r="B5129" s="21">
        <f>IF(AND(C5129&lt;&gt;"", J5129&lt;&gt;""), HYPERLINK("#'" &amp; C5129 &amp; "'!" &amp; J5129, J5129), "")</f>
        <v/>
      </c>
    </row>
    <row r="5130">
      <c r="B5130" s="21">
        <f>IF(AND(C5130&lt;&gt;"", J5130&lt;&gt;""), HYPERLINK("#'" &amp; C5130 &amp; "'!" &amp; J5130, J5130), "")</f>
        <v/>
      </c>
    </row>
    <row r="5131">
      <c r="B5131" s="21">
        <f>IF(AND(C5131&lt;&gt;"", J5131&lt;&gt;""), HYPERLINK("#'" &amp; C5131 &amp; "'!" &amp; J5131, J5131), "")</f>
        <v/>
      </c>
    </row>
    <row r="5132">
      <c r="B5132" s="21">
        <f>IF(AND(C5132&lt;&gt;"", J5132&lt;&gt;""), HYPERLINK("#'" &amp; C5132 &amp; "'!" &amp; J5132, J5132), "")</f>
        <v/>
      </c>
    </row>
    <row r="5133">
      <c r="B5133" s="21">
        <f>IF(AND(C5133&lt;&gt;"", J5133&lt;&gt;""), HYPERLINK("#'" &amp; C5133 &amp; "'!" &amp; J5133, J5133), "")</f>
        <v/>
      </c>
    </row>
    <row r="5134">
      <c r="B5134" s="21">
        <f>IF(AND(C5134&lt;&gt;"", J5134&lt;&gt;""), HYPERLINK("#'" &amp; C5134 &amp; "'!" &amp; J5134, J5134), "")</f>
        <v/>
      </c>
    </row>
    <row r="5135">
      <c r="B5135" s="21">
        <f>IF(AND(C5135&lt;&gt;"", J5135&lt;&gt;""), HYPERLINK("#'" &amp; C5135 &amp; "'!" &amp; J5135, J5135), "")</f>
        <v/>
      </c>
    </row>
    <row r="5136">
      <c r="B5136" s="21">
        <f>IF(AND(C5136&lt;&gt;"", J5136&lt;&gt;""), HYPERLINK("#'" &amp; C5136 &amp; "'!" &amp; J5136, J5136), "")</f>
        <v/>
      </c>
    </row>
    <row r="5137">
      <c r="B5137" s="21">
        <f>IF(AND(C5137&lt;&gt;"", J5137&lt;&gt;""), HYPERLINK("#'" &amp; C5137 &amp; "'!" &amp; J5137, J5137), "")</f>
        <v/>
      </c>
    </row>
    <row r="5138">
      <c r="B5138" s="21">
        <f>IF(AND(C5138&lt;&gt;"", J5138&lt;&gt;""), HYPERLINK("#'" &amp; C5138 &amp; "'!" &amp; J5138, J5138), "")</f>
        <v/>
      </c>
    </row>
    <row r="5139">
      <c r="B5139" s="21">
        <f>IF(AND(C5139&lt;&gt;"", J5139&lt;&gt;""), HYPERLINK("#'" &amp; C5139 &amp; "'!" &amp; J5139, J5139), "")</f>
        <v/>
      </c>
    </row>
    <row r="5140">
      <c r="B5140" s="21">
        <f>IF(AND(C5140&lt;&gt;"", J5140&lt;&gt;""), HYPERLINK("#'" &amp; C5140 &amp; "'!" &amp; J5140, J5140), "")</f>
        <v/>
      </c>
    </row>
    <row r="5141">
      <c r="B5141" s="21">
        <f>IF(AND(C5141&lt;&gt;"", J5141&lt;&gt;""), HYPERLINK("#'" &amp; C5141 &amp; "'!" &amp; J5141, J5141), "")</f>
        <v/>
      </c>
    </row>
    <row r="5142">
      <c r="B5142" s="21">
        <f>IF(AND(C5142&lt;&gt;"", J5142&lt;&gt;""), HYPERLINK("#'" &amp; C5142 &amp; "'!" &amp; J5142, J5142), "")</f>
        <v/>
      </c>
    </row>
    <row r="5143">
      <c r="B5143" s="21">
        <f>IF(AND(C5143&lt;&gt;"", J5143&lt;&gt;""), HYPERLINK("#'" &amp; C5143 &amp; "'!" &amp; J5143, J5143), "")</f>
        <v/>
      </c>
    </row>
    <row r="5144">
      <c r="B5144" s="21">
        <f>IF(AND(C5144&lt;&gt;"", J5144&lt;&gt;""), HYPERLINK("#'" &amp; C5144 &amp; "'!" &amp; J5144, J5144), "")</f>
        <v/>
      </c>
    </row>
    <row r="5145">
      <c r="B5145" s="21">
        <f>IF(AND(C5145&lt;&gt;"", J5145&lt;&gt;""), HYPERLINK("#'" &amp; C5145 &amp; "'!" &amp; J5145, J5145), "")</f>
        <v/>
      </c>
    </row>
    <row r="5146">
      <c r="B5146" s="21">
        <f>IF(AND(C5146&lt;&gt;"", J5146&lt;&gt;""), HYPERLINK("#'" &amp; C5146 &amp; "'!" &amp; J5146, J5146), "")</f>
        <v/>
      </c>
    </row>
    <row r="5147">
      <c r="B5147" s="21">
        <f>IF(AND(C5147&lt;&gt;"", J5147&lt;&gt;""), HYPERLINK("#'" &amp; C5147 &amp; "'!" &amp; J5147, J5147), "")</f>
        <v/>
      </c>
    </row>
    <row r="5148">
      <c r="B5148" s="21">
        <f>IF(AND(C5148&lt;&gt;"", J5148&lt;&gt;""), HYPERLINK("#'" &amp; C5148 &amp; "'!" &amp; J5148, J5148), "")</f>
        <v/>
      </c>
    </row>
    <row r="5149">
      <c r="B5149" s="21">
        <f>IF(AND(C5149&lt;&gt;"", J5149&lt;&gt;""), HYPERLINK("#'" &amp; C5149 &amp; "'!" &amp; J5149, J5149), "")</f>
        <v/>
      </c>
    </row>
    <row r="5150">
      <c r="B5150" s="21">
        <f>IF(AND(C5150&lt;&gt;"", J5150&lt;&gt;""), HYPERLINK("#'" &amp; C5150 &amp; "'!" &amp; J5150, J5150), "")</f>
        <v/>
      </c>
    </row>
    <row r="5151">
      <c r="B5151" s="21">
        <f>IF(AND(C5151&lt;&gt;"", J5151&lt;&gt;""), HYPERLINK("#'" &amp; C5151 &amp; "'!" &amp; J5151, J5151), "")</f>
        <v/>
      </c>
    </row>
    <row r="5152">
      <c r="B5152" s="21">
        <f>IF(AND(C5152&lt;&gt;"", J5152&lt;&gt;""), HYPERLINK("#'" &amp; C5152 &amp; "'!" &amp; J5152, J5152), "")</f>
        <v/>
      </c>
    </row>
    <row r="5153">
      <c r="B5153" s="21">
        <f>IF(AND(C5153&lt;&gt;"", J5153&lt;&gt;""), HYPERLINK("#'" &amp; C5153 &amp; "'!" &amp; J5153, J5153), "")</f>
        <v/>
      </c>
    </row>
    <row r="5154">
      <c r="B5154" s="21">
        <f>IF(AND(C5154&lt;&gt;"", J5154&lt;&gt;""), HYPERLINK("#'" &amp; C5154 &amp; "'!" &amp; J5154, J5154), "")</f>
        <v/>
      </c>
    </row>
    <row r="5155">
      <c r="B5155" s="21">
        <f>IF(AND(C5155&lt;&gt;"", J5155&lt;&gt;""), HYPERLINK("#'" &amp; C5155 &amp; "'!" &amp; J5155, J5155), "")</f>
        <v/>
      </c>
    </row>
    <row r="5156">
      <c r="B5156" s="21">
        <f>IF(AND(C5156&lt;&gt;"", J5156&lt;&gt;""), HYPERLINK("#'" &amp; C5156 &amp; "'!" &amp; J5156, J5156), "")</f>
        <v/>
      </c>
    </row>
    <row r="5157">
      <c r="B5157" s="21">
        <f>IF(AND(C5157&lt;&gt;"", J5157&lt;&gt;""), HYPERLINK("#'" &amp; C5157 &amp; "'!" &amp; J5157, J5157), "")</f>
        <v/>
      </c>
    </row>
    <row r="5158">
      <c r="B5158" s="21">
        <f>IF(AND(C5158&lt;&gt;"", J5158&lt;&gt;""), HYPERLINK("#'" &amp; C5158 &amp; "'!" &amp; J5158, J5158), "")</f>
        <v/>
      </c>
    </row>
    <row r="5159">
      <c r="B5159" s="21">
        <f>IF(AND(C5159&lt;&gt;"", J5159&lt;&gt;""), HYPERLINK("#'" &amp; C5159 &amp; "'!" &amp; J5159, J5159), "")</f>
        <v/>
      </c>
    </row>
    <row r="5160">
      <c r="B5160" s="21">
        <f>IF(AND(C5160&lt;&gt;"", J5160&lt;&gt;""), HYPERLINK("#'" &amp; C5160 &amp; "'!" &amp; J5160, J5160), "")</f>
        <v/>
      </c>
    </row>
    <row r="5161">
      <c r="B5161" s="21">
        <f>IF(AND(C5161&lt;&gt;"", J5161&lt;&gt;""), HYPERLINK("#'" &amp; C5161 &amp; "'!" &amp; J5161, J5161), "")</f>
        <v/>
      </c>
    </row>
    <row r="5162">
      <c r="B5162" s="21">
        <f>IF(AND(C5162&lt;&gt;"", J5162&lt;&gt;""), HYPERLINK("#'" &amp; C5162 &amp; "'!" &amp; J5162, J5162), "")</f>
        <v/>
      </c>
    </row>
    <row r="5163">
      <c r="B5163" s="21">
        <f>IF(AND(C5163&lt;&gt;"", J5163&lt;&gt;""), HYPERLINK("#'" &amp; C5163 &amp; "'!" &amp; J5163, J5163), "")</f>
        <v/>
      </c>
    </row>
    <row r="5164">
      <c r="B5164" s="21">
        <f>IF(AND(C5164&lt;&gt;"", J5164&lt;&gt;""), HYPERLINK("#'" &amp; C5164 &amp; "'!" &amp; J5164, J5164), "")</f>
        <v/>
      </c>
    </row>
    <row r="5165">
      <c r="B5165" s="21">
        <f>IF(AND(C5165&lt;&gt;"", J5165&lt;&gt;""), HYPERLINK("#'" &amp; C5165 &amp; "'!" &amp; J5165, J5165), "")</f>
        <v/>
      </c>
    </row>
    <row r="5166">
      <c r="B5166" s="21">
        <f>IF(AND(C5166&lt;&gt;"", J5166&lt;&gt;""), HYPERLINK("#'" &amp; C5166 &amp; "'!" &amp; J5166, J5166), "")</f>
        <v/>
      </c>
    </row>
    <row r="5167">
      <c r="B5167" s="21">
        <f>IF(AND(C5167&lt;&gt;"", J5167&lt;&gt;""), HYPERLINK("#'" &amp; C5167 &amp; "'!" &amp; J5167, J5167), "")</f>
        <v/>
      </c>
    </row>
    <row r="5168">
      <c r="B5168" s="21">
        <f>IF(AND(C5168&lt;&gt;"", J5168&lt;&gt;""), HYPERLINK("#'" &amp; C5168 &amp; "'!" &amp; J5168, J5168), "")</f>
        <v/>
      </c>
    </row>
    <row r="5169">
      <c r="B5169" s="21">
        <f>IF(AND(C5169&lt;&gt;"", J5169&lt;&gt;""), HYPERLINK("#'" &amp; C5169 &amp; "'!" &amp; J5169, J5169), "")</f>
        <v/>
      </c>
    </row>
    <row r="5170">
      <c r="B5170" s="21">
        <f>IF(AND(C5170&lt;&gt;"", J5170&lt;&gt;""), HYPERLINK("#'" &amp; C5170 &amp; "'!" &amp; J5170, J5170), "")</f>
        <v/>
      </c>
    </row>
    <row r="5171">
      <c r="B5171" s="21">
        <f>IF(AND(C5171&lt;&gt;"", J5171&lt;&gt;""), HYPERLINK("#'" &amp; C5171 &amp; "'!" &amp; J5171, J5171), "")</f>
        <v/>
      </c>
    </row>
    <row r="5172">
      <c r="B5172" s="21">
        <f>IF(AND(C5172&lt;&gt;"", J5172&lt;&gt;""), HYPERLINK("#'" &amp; C5172 &amp; "'!" &amp; J5172, J5172), "")</f>
        <v/>
      </c>
    </row>
    <row r="5173">
      <c r="B5173" s="21">
        <f>IF(AND(C5173&lt;&gt;"", J5173&lt;&gt;""), HYPERLINK("#'" &amp; C5173 &amp; "'!" &amp; J5173, J5173), "")</f>
        <v/>
      </c>
    </row>
    <row r="5174">
      <c r="B5174" s="21">
        <f>IF(AND(C5174&lt;&gt;"", J5174&lt;&gt;""), HYPERLINK("#'" &amp; C5174 &amp; "'!" &amp; J5174, J5174), "")</f>
        <v/>
      </c>
    </row>
    <row r="5175">
      <c r="B5175" s="21">
        <f>IF(AND(C5175&lt;&gt;"", J5175&lt;&gt;""), HYPERLINK("#'" &amp; C5175 &amp; "'!" &amp; J5175, J5175), "")</f>
        <v/>
      </c>
    </row>
    <row r="5176">
      <c r="B5176" s="21">
        <f>IF(AND(C5176&lt;&gt;"", J5176&lt;&gt;""), HYPERLINK("#'" &amp; C5176 &amp; "'!" &amp; J5176, J5176), "")</f>
        <v/>
      </c>
    </row>
    <row r="5177">
      <c r="B5177" s="21">
        <f>IF(AND(C5177&lt;&gt;"", J5177&lt;&gt;""), HYPERLINK("#'" &amp; C5177 &amp; "'!" &amp; J5177, J5177), "")</f>
        <v/>
      </c>
    </row>
    <row r="5178">
      <c r="B5178" s="21">
        <f>IF(AND(C5178&lt;&gt;"", J5178&lt;&gt;""), HYPERLINK("#'" &amp; C5178 &amp; "'!" &amp; J5178, J5178), "")</f>
        <v/>
      </c>
    </row>
    <row r="5179">
      <c r="B5179" s="21">
        <f>IF(AND(C5179&lt;&gt;"", J5179&lt;&gt;""), HYPERLINK("#'" &amp; C5179 &amp; "'!" &amp; J5179, J5179), "")</f>
        <v/>
      </c>
    </row>
    <row r="5180">
      <c r="B5180" s="21">
        <f>IF(AND(C5180&lt;&gt;"", J5180&lt;&gt;""), HYPERLINK("#'" &amp; C5180 &amp; "'!" &amp; J5180, J5180), "")</f>
        <v/>
      </c>
    </row>
    <row r="5181">
      <c r="B5181" s="21">
        <f>IF(AND(C5181&lt;&gt;"", J5181&lt;&gt;""), HYPERLINK("#'" &amp; C5181 &amp; "'!" &amp; J5181, J5181), "")</f>
        <v/>
      </c>
    </row>
    <row r="5182">
      <c r="B5182" s="21">
        <f>IF(AND(C5182&lt;&gt;"", J5182&lt;&gt;""), HYPERLINK("#'" &amp; C5182 &amp; "'!" &amp; J5182, J5182), "")</f>
        <v/>
      </c>
    </row>
    <row r="5183">
      <c r="B5183" s="21">
        <f>IF(AND(C5183&lt;&gt;"", J5183&lt;&gt;""), HYPERLINK("#'" &amp; C5183 &amp; "'!" &amp; J5183, J5183), "")</f>
        <v/>
      </c>
    </row>
    <row r="5184">
      <c r="B5184" s="21">
        <f>IF(AND(C5184&lt;&gt;"", J5184&lt;&gt;""), HYPERLINK("#'" &amp; C5184 &amp; "'!" &amp; J5184, J5184), "")</f>
        <v/>
      </c>
    </row>
    <row r="5185">
      <c r="B5185" s="21">
        <f>IF(AND(C5185&lt;&gt;"", J5185&lt;&gt;""), HYPERLINK("#'" &amp; C5185 &amp; "'!" &amp; J5185, J5185), "")</f>
        <v/>
      </c>
    </row>
    <row r="5186">
      <c r="B5186" s="21">
        <f>IF(AND(C5186&lt;&gt;"", J5186&lt;&gt;""), HYPERLINK("#'" &amp; C5186 &amp; "'!" &amp; J5186, J5186), "")</f>
        <v/>
      </c>
    </row>
    <row r="5187">
      <c r="B5187" s="21">
        <f>IF(AND(C5187&lt;&gt;"", J5187&lt;&gt;""), HYPERLINK("#'" &amp; C5187 &amp; "'!" &amp; J5187, J5187), "")</f>
        <v/>
      </c>
    </row>
    <row r="5188">
      <c r="B5188" s="21">
        <f>IF(AND(C5188&lt;&gt;"", J5188&lt;&gt;""), HYPERLINK("#'" &amp; C5188 &amp; "'!" &amp; J5188, J5188), "")</f>
        <v/>
      </c>
    </row>
    <row r="5189">
      <c r="B5189" s="21">
        <f>IF(AND(C5189&lt;&gt;"", J5189&lt;&gt;""), HYPERLINK("#'" &amp; C5189 &amp; "'!" &amp; J5189, J5189), "")</f>
        <v/>
      </c>
    </row>
    <row r="5190">
      <c r="B5190" s="21">
        <f>IF(AND(C5190&lt;&gt;"", J5190&lt;&gt;""), HYPERLINK("#'" &amp; C5190 &amp; "'!" &amp; J5190, J5190), "")</f>
        <v/>
      </c>
    </row>
    <row r="5191">
      <c r="B5191" s="21">
        <f>IF(AND(C5191&lt;&gt;"", J5191&lt;&gt;""), HYPERLINK("#'" &amp; C5191 &amp; "'!" &amp; J5191, J5191), "")</f>
        <v/>
      </c>
    </row>
    <row r="5192">
      <c r="B5192" s="21">
        <f>IF(AND(C5192&lt;&gt;"", J5192&lt;&gt;""), HYPERLINK("#'" &amp; C5192 &amp; "'!" &amp; J5192, J5192), "")</f>
        <v/>
      </c>
    </row>
    <row r="5193">
      <c r="B5193" s="21">
        <f>IF(AND(C5193&lt;&gt;"", J5193&lt;&gt;""), HYPERLINK("#'" &amp; C5193 &amp; "'!" &amp; J5193, J5193), "")</f>
        <v/>
      </c>
    </row>
    <row r="5194">
      <c r="B5194" s="21">
        <f>IF(AND(C5194&lt;&gt;"", J5194&lt;&gt;""), HYPERLINK("#'" &amp; C5194 &amp; "'!" &amp; J5194, J5194), "")</f>
        <v/>
      </c>
    </row>
    <row r="5195">
      <c r="B5195" s="21">
        <f>IF(AND(C5195&lt;&gt;"", J5195&lt;&gt;""), HYPERLINK("#'" &amp; C5195 &amp; "'!" &amp; J5195, J5195), "")</f>
        <v/>
      </c>
    </row>
    <row r="5196">
      <c r="B5196" s="21">
        <f>IF(AND(C5196&lt;&gt;"", J5196&lt;&gt;""), HYPERLINK("#'" &amp; C5196 &amp; "'!" &amp; J5196, J5196), "")</f>
        <v/>
      </c>
    </row>
    <row r="5197">
      <c r="B5197" s="21">
        <f>IF(AND(C5197&lt;&gt;"", J5197&lt;&gt;""), HYPERLINK("#'" &amp; C5197 &amp; "'!" &amp; J5197, J5197), "")</f>
        <v/>
      </c>
    </row>
    <row r="5198">
      <c r="B5198" s="21">
        <f>IF(AND(C5198&lt;&gt;"", J5198&lt;&gt;""), HYPERLINK("#'" &amp; C5198 &amp; "'!" &amp; J5198, J5198), "")</f>
        <v/>
      </c>
    </row>
    <row r="5199">
      <c r="B5199" s="21">
        <f>IF(AND(C5199&lt;&gt;"", J5199&lt;&gt;""), HYPERLINK("#'" &amp; C5199 &amp; "'!" &amp; J5199, J5199), "")</f>
        <v/>
      </c>
    </row>
    <row r="5200">
      <c r="B5200" s="21">
        <f>IF(AND(C5200&lt;&gt;"", J5200&lt;&gt;""), HYPERLINK("#'" &amp; C5200 &amp; "'!" &amp; J5200, J5200), "")</f>
        <v/>
      </c>
    </row>
    <row r="5201">
      <c r="B5201" s="21">
        <f>IF(AND(C5201&lt;&gt;"", J5201&lt;&gt;""), HYPERLINK("#'" &amp; C5201 &amp; "'!" &amp; J5201, J5201), "")</f>
        <v/>
      </c>
    </row>
    <row r="5202">
      <c r="B5202" s="21">
        <f>IF(AND(C5202&lt;&gt;"", J5202&lt;&gt;""), HYPERLINK("#'" &amp; C5202 &amp; "'!" &amp; J5202, J5202), "")</f>
        <v/>
      </c>
    </row>
    <row r="5203">
      <c r="B5203" s="21">
        <f>IF(AND(C5203&lt;&gt;"", J5203&lt;&gt;""), HYPERLINK("#'" &amp; C5203 &amp; "'!" &amp; J5203, J5203), "")</f>
        <v/>
      </c>
    </row>
    <row r="5204">
      <c r="B5204" s="21">
        <f>IF(AND(C5204&lt;&gt;"", J5204&lt;&gt;""), HYPERLINK("#'" &amp; C5204 &amp; "'!" &amp; J5204, J5204), "")</f>
        <v/>
      </c>
    </row>
    <row r="5205">
      <c r="B5205" s="21">
        <f>IF(AND(C5205&lt;&gt;"", J5205&lt;&gt;""), HYPERLINK("#'" &amp; C5205 &amp; "'!" &amp; J5205, J5205), "")</f>
        <v/>
      </c>
    </row>
    <row r="5206">
      <c r="B5206" s="21">
        <f>IF(AND(C5206&lt;&gt;"", J5206&lt;&gt;""), HYPERLINK("#'" &amp; C5206 &amp; "'!" &amp; J5206, J5206), "")</f>
        <v/>
      </c>
    </row>
    <row r="5207">
      <c r="B5207" s="21">
        <f>IF(AND(C5207&lt;&gt;"", J5207&lt;&gt;""), HYPERLINK("#'" &amp; C5207 &amp; "'!" &amp; J5207, J5207), "")</f>
        <v/>
      </c>
    </row>
    <row r="5208">
      <c r="B5208" s="21">
        <f>IF(AND(C5208&lt;&gt;"", J5208&lt;&gt;""), HYPERLINK("#'" &amp; C5208 &amp; "'!" &amp; J5208, J5208), "")</f>
        <v/>
      </c>
    </row>
    <row r="5209">
      <c r="B5209" s="21">
        <f>IF(AND(C5209&lt;&gt;"", J5209&lt;&gt;""), HYPERLINK("#'" &amp; C5209 &amp; "'!" &amp; J5209, J5209), "")</f>
        <v/>
      </c>
    </row>
    <row r="5210">
      <c r="B5210" s="21">
        <f>IF(AND(C5210&lt;&gt;"", J5210&lt;&gt;""), HYPERLINK("#'" &amp; C5210 &amp; "'!" &amp; J5210, J5210), "")</f>
        <v/>
      </c>
    </row>
    <row r="5211">
      <c r="B5211" s="21">
        <f>IF(AND(C5211&lt;&gt;"", J5211&lt;&gt;""), HYPERLINK("#'" &amp; C5211 &amp; "'!" &amp; J5211, J5211), "")</f>
        <v/>
      </c>
    </row>
    <row r="5212">
      <c r="B5212" s="21">
        <f>IF(AND(C5212&lt;&gt;"", J5212&lt;&gt;""), HYPERLINK("#'" &amp; C5212 &amp; "'!" &amp; J5212, J5212), "")</f>
        <v/>
      </c>
    </row>
    <row r="5213">
      <c r="B5213" s="21">
        <f>IF(AND(C5213&lt;&gt;"", J5213&lt;&gt;""), HYPERLINK("#'" &amp; C5213 &amp; "'!" &amp; J5213, J5213), "")</f>
        <v/>
      </c>
    </row>
    <row r="5214">
      <c r="B5214" s="21">
        <f>IF(AND(C5214&lt;&gt;"", J5214&lt;&gt;""), HYPERLINK("#'" &amp; C5214 &amp; "'!" &amp; J5214, J5214), "")</f>
        <v/>
      </c>
    </row>
    <row r="5215">
      <c r="B5215" s="21">
        <f>IF(AND(C5215&lt;&gt;"", J5215&lt;&gt;""), HYPERLINK("#'" &amp; C5215 &amp; "'!" &amp; J5215, J5215), "")</f>
        <v/>
      </c>
    </row>
    <row r="5216">
      <c r="B5216" s="21">
        <f>IF(AND(C5216&lt;&gt;"", J5216&lt;&gt;""), HYPERLINK("#'" &amp; C5216 &amp; "'!" &amp; J5216, J5216), "")</f>
        <v/>
      </c>
    </row>
    <row r="5217">
      <c r="B5217" s="21">
        <f>IF(AND(C5217&lt;&gt;"", J5217&lt;&gt;""), HYPERLINK("#'" &amp; C5217 &amp; "'!" &amp; J5217, J5217), "")</f>
        <v/>
      </c>
    </row>
    <row r="5218">
      <c r="B5218" s="21">
        <f>IF(AND(C5218&lt;&gt;"", J5218&lt;&gt;""), HYPERLINK("#'" &amp; C5218 &amp; "'!" &amp; J5218, J5218), "")</f>
        <v/>
      </c>
    </row>
    <row r="5219">
      <c r="B5219" s="21">
        <f>IF(AND(C5219&lt;&gt;"", J5219&lt;&gt;""), HYPERLINK("#'" &amp; C5219 &amp; "'!" &amp; J5219, J5219), "")</f>
        <v/>
      </c>
    </row>
    <row r="5220">
      <c r="B5220" s="21">
        <f>IF(AND(C5220&lt;&gt;"", J5220&lt;&gt;""), HYPERLINK("#'" &amp; C5220 &amp; "'!" &amp; J5220, J5220), "")</f>
        <v/>
      </c>
    </row>
    <row r="5221">
      <c r="B5221" s="21">
        <f>IF(AND(C5221&lt;&gt;"", J5221&lt;&gt;""), HYPERLINK("#'" &amp; C5221 &amp; "'!" &amp; J5221, J5221), "")</f>
        <v/>
      </c>
    </row>
    <row r="5222">
      <c r="B5222" s="21">
        <f>IF(AND(C5222&lt;&gt;"", J5222&lt;&gt;""), HYPERLINK("#'" &amp; C5222 &amp; "'!" &amp; J5222, J5222), "")</f>
        <v/>
      </c>
    </row>
    <row r="5223">
      <c r="B5223" s="21">
        <f>IF(AND(C5223&lt;&gt;"", J5223&lt;&gt;""), HYPERLINK("#'" &amp; C5223 &amp; "'!" &amp; J5223, J5223), "")</f>
        <v/>
      </c>
    </row>
    <row r="5224">
      <c r="B5224" s="21">
        <f>IF(AND(C5224&lt;&gt;"", J5224&lt;&gt;""), HYPERLINK("#'" &amp; C5224 &amp; "'!" &amp; J5224, J5224), "")</f>
        <v/>
      </c>
    </row>
    <row r="5225">
      <c r="B5225" s="21">
        <f>IF(AND(C5225&lt;&gt;"", J5225&lt;&gt;""), HYPERLINK("#'" &amp; C5225 &amp; "'!" &amp; J5225, J5225), "")</f>
        <v/>
      </c>
    </row>
    <row r="5226">
      <c r="B5226" s="21">
        <f>IF(AND(C5226&lt;&gt;"", J5226&lt;&gt;""), HYPERLINK("#'" &amp; C5226 &amp; "'!" &amp; J5226, J5226), "")</f>
        <v/>
      </c>
    </row>
    <row r="5227">
      <c r="B5227" s="21">
        <f>IF(AND(C5227&lt;&gt;"", J5227&lt;&gt;""), HYPERLINK("#'" &amp; C5227 &amp; "'!" &amp; J5227, J5227), "")</f>
        <v/>
      </c>
    </row>
    <row r="5228">
      <c r="B5228" s="21">
        <f>IF(AND(C5228&lt;&gt;"", J5228&lt;&gt;""), HYPERLINK("#'" &amp; C5228 &amp; "'!" &amp; J5228, J5228), "")</f>
        <v/>
      </c>
    </row>
    <row r="5229">
      <c r="B5229" s="21">
        <f>IF(AND(C5229&lt;&gt;"", J5229&lt;&gt;""), HYPERLINK("#'" &amp; C5229 &amp; "'!" &amp; J5229, J5229), "")</f>
        <v/>
      </c>
    </row>
    <row r="5230">
      <c r="B5230" s="21">
        <f>IF(AND(C5230&lt;&gt;"", J5230&lt;&gt;""), HYPERLINK("#'" &amp; C5230 &amp; "'!" &amp; J5230, J5230), "")</f>
        <v/>
      </c>
    </row>
    <row r="5231">
      <c r="B5231" s="21">
        <f>IF(AND(C5231&lt;&gt;"", J5231&lt;&gt;""), HYPERLINK("#'" &amp; C5231 &amp; "'!" &amp; J5231, J5231), "")</f>
        <v/>
      </c>
    </row>
    <row r="5232">
      <c r="B5232" s="21">
        <f>IF(AND(C5232&lt;&gt;"", J5232&lt;&gt;""), HYPERLINK("#'" &amp; C5232 &amp; "'!" &amp; J5232, J5232), "")</f>
        <v/>
      </c>
    </row>
    <row r="5233">
      <c r="B5233" s="21">
        <f>IF(AND(C5233&lt;&gt;"", J5233&lt;&gt;""), HYPERLINK("#'" &amp; C5233 &amp; "'!" &amp; J5233, J5233), "")</f>
        <v/>
      </c>
    </row>
    <row r="5234">
      <c r="B5234" s="21">
        <f>IF(AND(C5234&lt;&gt;"", J5234&lt;&gt;""), HYPERLINK("#'" &amp; C5234 &amp; "'!" &amp; J5234, J5234), "")</f>
        <v/>
      </c>
    </row>
    <row r="5235">
      <c r="B5235" s="21">
        <f>IF(AND(C5235&lt;&gt;"", J5235&lt;&gt;""), HYPERLINK("#'" &amp; C5235 &amp; "'!" &amp; J5235, J5235), "")</f>
        <v/>
      </c>
    </row>
    <row r="5236">
      <c r="B5236" s="21">
        <f>IF(AND(C5236&lt;&gt;"", J5236&lt;&gt;""), HYPERLINK("#'" &amp; C5236 &amp; "'!" &amp; J5236, J5236), "")</f>
        <v/>
      </c>
    </row>
    <row r="5237">
      <c r="B5237" s="21">
        <f>IF(AND(C5237&lt;&gt;"", J5237&lt;&gt;""), HYPERLINK("#'" &amp; C5237 &amp; "'!" &amp; J5237, J5237), "")</f>
        <v/>
      </c>
    </row>
    <row r="5238">
      <c r="B5238" s="21">
        <f>IF(AND(C5238&lt;&gt;"", J5238&lt;&gt;""), HYPERLINK("#'" &amp; C5238 &amp; "'!" &amp; J5238, J5238), "")</f>
        <v/>
      </c>
    </row>
    <row r="5239">
      <c r="B5239" s="21">
        <f>IF(AND(C5239&lt;&gt;"", J5239&lt;&gt;""), HYPERLINK("#'" &amp; C5239 &amp; "'!" &amp; J5239, J5239), "")</f>
        <v/>
      </c>
    </row>
    <row r="5240">
      <c r="B5240" s="21">
        <f>IF(AND(C5240&lt;&gt;"", J5240&lt;&gt;""), HYPERLINK("#'" &amp; C5240 &amp; "'!" &amp; J5240, J5240), "")</f>
        <v/>
      </c>
    </row>
    <row r="5241">
      <c r="B5241" s="21">
        <f>IF(AND(C5241&lt;&gt;"", J5241&lt;&gt;""), HYPERLINK("#'" &amp; C5241 &amp; "'!" &amp; J5241, J5241), "")</f>
        <v/>
      </c>
    </row>
    <row r="5242">
      <c r="B5242" s="21">
        <f>IF(AND(C5242&lt;&gt;"", J5242&lt;&gt;""), HYPERLINK("#'" &amp; C5242 &amp; "'!" &amp; J5242, J5242), "")</f>
        <v/>
      </c>
    </row>
    <row r="5243">
      <c r="B5243" s="21">
        <f>IF(AND(C5243&lt;&gt;"", J5243&lt;&gt;""), HYPERLINK("#'" &amp; C5243 &amp; "'!" &amp; J5243, J5243), "")</f>
        <v/>
      </c>
    </row>
    <row r="5244">
      <c r="B5244" s="21">
        <f>IF(AND(C5244&lt;&gt;"", J5244&lt;&gt;""), HYPERLINK("#'" &amp; C5244 &amp; "'!" &amp; J5244, J5244), "")</f>
        <v/>
      </c>
    </row>
    <row r="5245">
      <c r="B5245" s="21">
        <f>IF(AND(C5245&lt;&gt;"", J5245&lt;&gt;""), HYPERLINK("#'" &amp; C5245 &amp; "'!" &amp; J5245, J5245), "")</f>
        <v/>
      </c>
    </row>
    <row r="5246">
      <c r="B5246" s="21">
        <f>IF(AND(C5246&lt;&gt;"", J5246&lt;&gt;""), HYPERLINK("#'" &amp; C5246 &amp; "'!" &amp; J5246, J5246), "")</f>
        <v/>
      </c>
    </row>
    <row r="5247">
      <c r="B5247" s="21">
        <f>IF(AND(C5247&lt;&gt;"", J5247&lt;&gt;""), HYPERLINK("#'" &amp; C5247 &amp; "'!" &amp; J5247, J5247), "")</f>
        <v/>
      </c>
    </row>
    <row r="5248">
      <c r="B5248" s="21">
        <f>IF(AND(C5248&lt;&gt;"", J5248&lt;&gt;""), HYPERLINK("#'" &amp; C5248 &amp; "'!" &amp; J5248, J5248), "")</f>
        <v/>
      </c>
    </row>
    <row r="5249">
      <c r="B5249" s="21">
        <f>IF(AND(C5249&lt;&gt;"", J5249&lt;&gt;""), HYPERLINK("#'" &amp; C5249 &amp; "'!" &amp; J5249, J5249), "")</f>
        <v/>
      </c>
    </row>
    <row r="5250">
      <c r="B5250" s="21">
        <f>IF(AND(C5250&lt;&gt;"", J5250&lt;&gt;""), HYPERLINK("#'" &amp; C5250 &amp; "'!" &amp; J5250, J5250), "")</f>
        <v/>
      </c>
    </row>
    <row r="5251">
      <c r="B5251" s="21">
        <f>IF(AND(C5251&lt;&gt;"", J5251&lt;&gt;""), HYPERLINK("#'" &amp; C5251 &amp; "'!" &amp; J5251, J5251), "")</f>
        <v/>
      </c>
    </row>
    <row r="5252">
      <c r="B5252" s="21">
        <f>IF(AND(C5252&lt;&gt;"", J5252&lt;&gt;""), HYPERLINK("#'" &amp; C5252 &amp; "'!" &amp; J5252, J5252), "")</f>
        <v/>
      </c>
    </row>
    <row r="5253">
      <c r="B5253" s="21">
        <f>IF(AND(C5253&lt;&gt;"", J5253&lt;&gt;""), HYPERLINK("#'" &amp; C5253 &amp; "'!" &amp; J5253, J5253), "")</f>
        <v/>
      </c>
    </row>
    <row r="5254">
      <c r="B5254" s="21">
        <f>IF(AND(C5254&lt;&gt;"", J5254&lt;&gt;""), HYPERLINK("#'" &amp; C5254 &amp; "'!" &amp; J5254, J5254), "")</f>
        <v/>
      </c>
    </row>
    <row r="5255">
      <c r="B5255" s="21">
        <f>IF(AND(C5255&lt;&gt;"", J5255&lt;&gt;""), HYPERLINK("#'" &amp; C5255 &amp; "'!" &amp; J5255, J5255), "")</f>
        <v/>
      </c>
    </row>
    <row r="5256">
      <c r="B5256" s="21">
        <f>IF(AND(C5256&lt;&gt;"", J5256&lt;&gt;""), HYPERLINK("#'" &amp; C5256 &amp; "'!" &amp; J5256, J5256), "")</f>
        <v/>
      </c>
    </row>
    <row r="5257">
      <c r="B5257" s="21">
        <f>IF(AND(C5257&lt;&gt;"", J5257&lt;&gt;""), HYPERLINK("#'" &amp; C5257 &amp; "'!" &amp; J5257, J5257), "")</f>
        <v/>
      </c>
    </row>
    <row r="5258">
      <c r="B5258" s="21">
        <f>IF(AND(C5258&lt;&gt;"", J5258&lt;&gt;""), HYPERLINK("#'" &amp; C5258 &amp; "'!" &amp; J5258, J5258), "")</f>
        <v/>
      </c>
    </row>
    <row r="5259">
      <c r="B5259" s="21">
        <f>IF(AND(C5259&lt;&gt;"", J5259&lt;&gt;""), HYPERLINK("#'" &amp; C5259 &amp; "'!" &amp; J5259, J5259), "")</f>
        <v/>
      </c>
    </row>
    <row r="5260">
      <c r="B5260" s="21">
        <f>IF(AND(C5260&lt;&gt;"", J5260&lt;&gt;""), HYPERLINK("#'" &amp; C5260 &amp; "'!" &amp; J5260, J5260), "")</f>
        <v/>
      </c>
    </row>
    <row r="5261">
      <c r="B5261" s="21">
        <f>IF(AND(C5261&lt;&gt;"", J5261&lt;&gt;""), HYPERLINK("#'" &amp; C5261 &amp; "'!" &amp; J5261, J5261), "")</f>
        <v/>
      </c>
    </row>
    <row r="5262">
      <c r="B5262" s="21">
        <f>IF(AND(C5262&lt;&gt;"", J5262&lt;&gt;""), HYPERLINK("#'" &amp; C5262 &amp; "'!" &amp; J5262, J5262), "")</f>
        <v/>
      </c>
    </row>
    <row r="5263">
      <c r="B5263" s="21">
        <f>IF(AND(C5263&lt;&gt;"", J5263&lt;&gt;""), HYPERLINK("#'" &amp; C5263 &amp; "'!" &amp; J5263, J5263), "")</f>
        <v/>
      </c>
    </row>
    <row r="5264">
      <c r="B5264" s="21">
        <f>IF(AND(C5264&lt;&gt;"", J5264&lt;&gt;""), HYPERLINK("#'" &amp; C5264 &amp; "'!" &amp; J5264, J5264), "")</f>
        <v/>
      </c>
    </row>
    <row r="5265">
      <c r="B5265" s="21">
        <f>IF(AND(C5265&lt;&gt;"", J5265&lt;&gt;""), HYPERLINK("#'" &amp; C5265 &amp; "'!" &amp; J5265, J5265), "")</f>
        <v/>
      </c>
    </row>
    <row r="5266">
      <c r="B5266" s="21">
        <f>IF(AND(C5266&lt;&gt;"", J5266&lt;&gt;""), HYPERLINK("#'" &amp; C5266 &amp; "'!" &amp; J5266, J5266), "")</f>
        <v/>
      </c>
    </row>
    <row r="5267">
      <c r="B5267" s="21">
        <f>IF(AND(C5267&lt;&gt;"", J5267&lt;&gt;""), HYPERLINK("#'" &amp; C5267 &amp; "'!" &amp; J5267, J5267), "")</f>
        <v/>
      </c>
    </row>
    <row r="5268">
      <c r="B5268" s="21">
        <f>IF(AND(C5268&lt;&gt;"", J5268&lt;&gt;""), HYPERLINK("#'" &amp; C5268 &amp; "'!" &amp; J5268, J5268), "")</f>
        <v/>
      </c>
    </row>
    <row r="5269">
      <c r="B5269" s="21">
        <f>IF(AND(C5269&lt;&gt;"", J5269&lt;&gt;""), HYPERLINK("#'" &amp; C5269 &amp; "'!" &amp; J5269, J5269), "")</f>
        <v/>
      </c>
    </row>
    <row r="5270">
      <c r="B5270" s="21">
        <f>IF(AND(C5270&lt;&gt;"", J5270&lt;&gt;""), HYPERLINK("#'" &amp; C5270 &amp; "'!" &amp; J5270, J5270), "")</f>
        <v/>
      </c>
    </row>
    <row r="5271">
      <c r="B5271" s="21">
        <f>IF(AND(C5271&lt;&gt;"", J5271&lt;&gt;""), HYPERLINK("#'" &amp; C5271 &amp; "'!" &amp; J5271, J5271), "")</f>
        <v/>
      </c>
    </row>
    <row r="5272">
      <c r="B5272" s="21">
        <f>IF(AND(C5272&lt;&gt;"", J5272&lt;&gt;""), HYPERLINK("#'" &amp; C5272 &amp; "'!" &amp; J5272, J5272), "")</f>
        <v/>
      </c>
    </row>
    <row r="5273">
      <c r="B5273" s="21">
        <f>IF(AND(C5273&lt;&gt;"", J5273&lt;&gt;""), HYPERLINK("#'" &amp; C5273 &amp; "'!" &amp; J5273, J5273), "")</f>
        <v/>
      </c>
    </row>
    <row r="5274">
      <c r="B5274" s="21">
        <f>IF(AND(C5274&lt;&gt;"", J5274&lt;&gt;""), HYPERLINK("#'" &amp; C5274 &amp; "'!" &amp; J5274, J5274), "")</f>
        <v/>
      </c>
    </row>
    <row r="5275">
      <c r="B5275" s="21">
        <f>IF(AND(C5275&lt;&gt;"", J5275&lt;&gt;""), HYPERLINK("#'" &amp; C5275 &amp; "'!" &amp; J5275, J5275), "")</f>
        <v/>
      </c>
    </row>
    <row r="5276">
      <c r="B5276" s="21">
        <f>IF(AND(C5276&lt;&gt;"", J5276&lt;&gt;""), HYPERLINK("#'" &amp; C5276 &amp; "'!" &amp; J5276, J5276), "")</f>
        <v/>
      </c>
    </row>
    <row r="5277">
      <c r="B5277" s="21">
        <f>IF(AND(C5277&lt;&gt;"", J5277&lt;&gt;""), HYPERLINK("#'" &amp; C5277 &amp; "'!" &amp; J5277, J5277), "")</f>
        <v/>
      </c>
    </row>
    <row r="5278">
      <c r="B5278" s="21">
        <f>IF(AND(C5278&lt;&gt;"", J5278&lt;&gt;""), HYPERLINK("#'" &amp; C5278 &amp; "'!" &amp; J5278, J5278), "")</f>
        <v/>
      </c>
    </row>
    <row r="5279">
      <c r="B5279" s="21">
        <f>IF(AND(C5279&lt;&gt;"", J5279&lt;&gt;""), HYPERLINK("#'" &amp; C5279 &amp; "'!" &amp; J5279, J5279), "")</f>
        <v/>
      </c>
    </row>
    <row r="5280">
      <c r="B5280" s="21">
        <f>IF(AND(C5280&lt;&gt;"", J5280&lt;&gt;""), HYPERLINK("#'" &amp; C5280 &amp; "'!" &amp; J5280, J5280), "")</f>
        <v/>
      </c>
    </row>
    <row r="5281">
      <c r="B5281" s="21">
        <f>IF(AND(C5281&lt;&gt;"", J5281&lt;&gt;""), HYPERLINK("#'" &amp; C5281 &amp; "'!" &amp; J5281, J5281), "")</f>
        <v/>
      </c>
    </row>
    <row r="5282">
      <c r="B5282" s="21">
        <f>IF(AND(C5282&lt;&gt;"", J5282&lt;&gt;""), HYPERLINK("#'" &amp; C5282 &amp; "'!" &amp; J5282, J5282), "")</f>
        <v/>
      </c>
    </row>
    <row r="5283">
      <c r="B5283" s="21">
        <f>IF(AND(C5283&lt;&gt;"", J5283&lt;&gt;""), HYPERLINK("#'" &amp; C5283 &amp; "'!" &amp; J5283, J5283), "")</f>
        <v/>
      </c>
    </row>
    <row r="5284">
      <c r="B5284" s="21">
        <f>IF(AND(C5284&lt;&gt;"", J5284&lt;&gt;""), HYPERLINK("#'" &amp; C5284 &amp; "'!" &amp; J5284, J5284), "")</f>
        <v/>
      </c>
    </row>
    <row r="5285">
      <c r="B5285" s="21">
        <f>IF(AND(C5285&lt;&gt;"", J5285&lt;&gt;""), HYPERLINK("#'" &amp; C5285 &amp; "'!" &amp; J5285, J5285), "")</f>
        <v/>
      </c>
    </row>
    <row r="5286">
      <c r="B5286" s="21">
        <f>IF(AND(C5286&lt;&gt;"", J5286&lt;&gt;""), HYPERLINK("#'" &amp; C5286 &amp; "'!" &amp; J5286, J5286), "")</f>
        <v/>
      </c>
    </row>
    <row r="5287">
      <c r="B5287" s="21">
        <f>IF(AND(C5287&lt;&gt;"", J5287&lt;&gt;""), HYPERLINK("#'" &amp; C5287 &amp; "'!" &amp; J5287, J5287), "")</f>
        <v/>
      </c>
    </row>
    <row r="5288">
      <c r="B5288" s="21">
        <f>IF(AND(C5288&lt;&gt;"", J5288&lt;&gt;""), HYPERLINK("#'" &amp; C5288 &amp; "'!" &amp; J5288, J5288), "")</f>
        <v/>
      </c>
    </row>
    <row r="5289">
      <c r="B5289" s="21">
        <f>IF(AND(C5289&lt;&gt;"", J5289&lt;&gt;""), HYPERLINK("#'" &amp; C5289 &amp; "'!" &amp; J5289, J5289), "")</f>
        <v/>
      </c>
    </row>
    <row r="5290">
      <c r="B5290" s="21">
        <f>IF(AND(C5290&lt;&gt;"", J5290&lt;&gt;""), HYPERLINK("#'" &amp; C5290 &amp; "'!" &amp; J5290, J5290), "")</f>
        <v/>
      </c>
    </row>
    <row r="5291">
      <c r="B5291" s="21">
        <f>IF(AND(C5291&lt;&gt;"", J5291&lt;&gt;""), HYPERLINK("#'" &amp; C5291 &amp; "'!" &amp; J5291, J5291), "")</f>
        <v/>
      </c>
    </row>
    <row r="5292">
      <c r="B5292" s="21">
        <f>IF(AND(C5292&lt;&gt;"", J5292&lt;&gt;""), HYPERLINK("#'" &amp; C5292 &amp; "'!" &amp; J5292, J5292), "")</f>
        <v/>
      </c>
    </row>
    <row r="5293">
      <c r="B5293" s="21">
        <f>IF(AND(C5293&lt;&gt;"", J5293&lt;&gt;""), HYPERLINK("#'" &amp; C5293 &amp; "'!" &amp; J5293, J5293), "")</f>
        <v/>
      </c>
    </row>
    <row r="5294">
      <c r="B5294" s="21">
        <f>IF(AND(C5294&lt;&gt;"", J5294&lt;&gt;""), HYPERLINK("#'" &amp; C5294 &amp; "'!" &amp; J5294, J5294), "")</f>
        <v/>
      </c>
    </row>
    <row r="5295">
      <c r="B5295" s="21">
        <f>IF(AND(C5295&lt;&gt;"", J5295&lt;&gt;""), HYPERLINK("#'" &amp; C5295 &amp; "'!" &amp; J5295, J5295), "")</f>
        <v/>
      </c>
    </row>
    <row r="5296">
      <c r="B5296" s="21">
        <f>IF(AND(C5296&lt;&gt;"", J5296&lt;&gt;""), HYPERLINK("#'" &amp; C5296 &amp; "'!" &amp; J5296, J5296), "")</f>
        <v/>
      </c>
    </row>
    <row r="5297">
      <c r="B5297" s="21">
        <f>IF(AND(C5297&lt;&gt;"", J5297&lt;&gt;""), HYPERLINK("#'" &amp; C5297 &amp; "'!" &amp; J5297, J5297), "")</f>
        <v/>
      </c>
    </row>
    <row r="5298">
      <c r="B5298" s="21">
        <f>IF(AND(C5298&lt;&gt;"", J5298&lt;&gt;""), HYPERLINK("#'" &amp; C5298 &amp; "'!" &amp; J5298, J5298), "")</f>
        <v/>
      </c>
    </row>
    <row r="5299">
      <c r="B5299" s="21">
        <f>IF(AND(C5299&lt;&gt;"", J5299&lt;&gt;""), HYPERLINK("#'" &amp; C5299 &amp; "'!" &amp; J5299, J5299), "")</f>
        <v/>
      </c>
    </row>
    <row r="5300">
      <c r="B5300" s="21">
        <f>IF(AND(C5300&lt;&gt;"", J5300&lt;&gt;""), HYPERLINK("#'" &amp; C5300 &amp; "'!" &amp; J5300, J5300), "")</f>
        <v/>
      </c>
    </row>
    <row r="5301">
      <c r="B5301" s="21">
        <f>IF(AND(C5301&lt;&gt;"", J5301&lt;&gt;""), HYPERLINK("#'" &amp; C5301 &amp; "'!" &amp; J5301, J5301), "")</f>
        <v/>
      </c>
    </row>
    <row r="5302">
      <c r="B5302" s="21">
        <f>IF(AND(C5302&lt;&gt;"", J5302&lt;&gt;""), HYPERLINK("#'" &amp; C5302 &amp; "'!" &amp; J5302, J5302), "")</f>
        <v/>
      </c>
    </row>
    <row r="5303">
      <c r="B5303" s="21">
        <f>IF(AND(C5303&lt;&gt;"", J5303&lt;&gt;""), HYPERLINK("#'" &amp; C5303 &amp; "'!" &amp; J5303, J5303), "")</f>
        <v/>
      </c>
    </row>
    <row r="5304">
      <c r="B5304" s="21">
        <f>IF(AND(C5304&lt;&gt;"", J5304&lt;&gt;""), HYPERLINK("#'" &amp; C5304 &amp; "'!" &amp; J5304, J5304), "")</f>
        <v/>
      </c>
    </row>
    <row r="5305">
      <c r="B5305" s="21">
        <f>IF(AND(C5305&lt;&gt;"", J5305&lt;&gt;""), HYPERLINK("#'" &amp; C5305 &amp; "'!" &amp; J5305, J5305), "")</f>
        <v/>
      </c>
    </row>
    <row r="5306">
      <c r="B5306" s="21">
        <f>IF(AND(C5306&lt;&gt;"", J5306&lt;&gt;""), HYPERLINK("#'" &amp; C5306 &amp; "'!" &amp; J5306, J5306), "")</f>
        <v/>
      </c>
    </row>
    <row r="5307">
      <c r="B5307" s="21">
        <f>IF(AND(C5307&lt;&gt;"", J5307&lt;&gt;""), HYPERLINK("#'" &amp; C5307 &amp; "'!" &amp; J5307, J5307), "")</f>
        <v/>
      </c>
    </row>
    <row r="5308">
      <c r="B5308" s="21">
        <f>IF(AND(C5308&lt;&gt;"", J5308&lt;&gt;""), HYPERLINK("#'" &amp; C5308 &amp; "'!" &amp; J5308, J5308), "")</f>
        <v/>
      </c>
    </row>
    <row r="5309">
      <c r="B5309" s="21">
        <f>IF(AND(C5309&lt;&gt;"", J5309&lt;&gt;""), HYPERLINK("#'" &amp; C5309 &amp; "'!" &amp; J5309, J5309), "")</f>
        <v/>
      </c>
    </row>
    <row r="5310">
      <c r="B5310" s="21">
        <f>IF(AND(C5310&lt;&gt;"", J5310&lt;&gt;""), HYPERLINK("#'" &amp; C5310 &amp; "'!" &amp; J5310, J5310), "")</f>
        <v/>
      </c>
    </row>
    <row r="5311">
      <c r="B5311" s="21">
        <f>IF(AND(C5311&lt;&gt;"", J5311&lt;&gt;""), HYPERLINK("#'" &amp; C5311 &amp; "'!" &amp; J5311, J5311), "")</f>
        <v/>
      </c>
    </row>
    <row r="5312">
      <c r="B5312" s="21">
        <f>IF(AND(C5312&lt;&gt;"", J5312&lt;&gt;""), HYPERLINK("#'" &amp; C5312 &amp; "'!" &amp; J5312, J5312), "")</f>
        <v/>
      </c>
    </row>
    <row r="5313">
      <c r="B5313" s="21">
        <f>IF(AND(C5313&lt;&gt;"", J5313&lt;&gt;""), HYPERLINK("#'" &amp; C5313 &amp; "'!" &amp; J5313, J5313), "")</f>
        <v/>
      </c>
    </row>
    <row r="5314">
      <c r="B5314" s="21">
        <f>IF(AND(C5314&lt;&gt;"", J5314&lt;&gt;""), HYPERLINK("#'" &amp; C5314 &amp; "'!" &amp; J5314, J5314), "")</f>
        <v/>
      </c>
    </row>
    <row r="5315">
      <c r="B5315" s="21">
        <f>IF(AND(C5315&lt;&gt;"", J5315&lt;&gt;""), HYPERLINK("#'" &amp; C5315 &amp; "'!" &amp; J5315, J5315), "")</f>
        <v/>
      </c>
    </row>
    <row r="5316">
      <c r="B5316" s="21">
        <f>IF(AND(C5316&lt;&gt;"", J5316&lt;&gt;""), HYPERLINK("#'" &amp; C5316 &amp; "'!" &amp; J5316, J5316), "")</f>
        <v/>
      </c>
    </row>
    <row r="5317">
      <c r="B5317" s="21">
        <f>IF(AND(C5317&lt;&gt;"", J5317&lt;&gt;""), HYPERLINK("#'" &amp; C5317 &amp; "'!" &amp; J5317, J5317), "")</f>
        <v/>
      </c>
    </row>
    <row r="5318">
      <c r="B5318" s="21">
        <f>IF(AND(C5318&lt;&gt;"", J5318&lt;&gt;""), HYPERLINK("#'" &amp; C5318 &amp; "'!" &amp; J5318, J5318), "")</f>
        <v/>
      </c>
    </row>
    <row r="5319">
      <c r="B5319" s="21">
        <f>IF(AND(C5319&lt;&gt;"", J5319&lt;&gt;""), HYPERLINK("#'" &amp; C5319 &amp; "'!" &amp; J5319, J5319), "")</f>
        <v/>
      </c>
    </row>
    <row r="5320">
      <c r="B5320" s="21">
        <f>IF(AND(C5320&lt;&gt;"", J5320&lt;&gt;""), HYPERLINK("#'" &amp; C5320 &amp; "'!" &amp; J5320, J5320), "")</f>
        <v/>
      </c>
    </row>
    <row r="5321">
      <c r="B5321" s="21">
        <f>IF(AND(C5321&lt;&gt;"", J5321&lt;&gt;""), HYPERLINK("#'" &amp; C5321 &amp; "'!" &amp; J5321, J5321), "")</f>
        <v/>
      </c>
    </row>
    <row r="5322">
      <c r="B5322" s="21">
        <f>IF(AND(C5322&lt;&gt;"", J5322&lt;&gt;""), HYPERLINK("#'" &amp; C5322 &amp; "'!" &amp; J5322, J5322), "")</f>
        <v/>
      </c>
    </row>
    <row r="5323">
      <c r="B5323" s="21">
        <f>IF(AND(C5323&lt;&gt;"", J5323&lt;&gt;""), HYPERLINK("#'" &amp; C5323 &amp; "'!" &amp; J5323, J5323), "")</f>
        <v/>
      </c>
    </row>
    <row r="5324">
      <c r="B5324" s="21">
        <f>IF(AND(C5324&lt;&gt;"", J5324&lt;&gt;""), HYPERLINK("#'" &amp; C5324 &amp; "'!" &amp; J5324, J5324), "")</f>
        <v/>
      </c>
    </row>
    <row r="5325">
      <c r="B5325" s="21">
        <f>IF(AND(C5325&lt;&gt;"", J5325&lt;&gt;""), HYPERLINK("#'" &amp; C5325 &amp; "'!" &amp; J5325, J5325), "")</f>
        <v/>
      </c>
    </row>
    <row r="5326">
      <c r="B5326" s="21">
        <f>IF(AND(C5326&lt;&gt;"", J5326&lt;&gt;""), HYPERLINK("#'" &amp; C5326 &amp; "'!" &amp; J5326, J5326), "")</f>
        <v/>
      </c>
    </row>
    <row r="5327">
      <c r="B5327" s="21">
        <f>IF(AND(C5327&lt;&gt;"", J5327&lt;&gt;""), HYPERLINK("#'" &amp; C5327 &amp; "'!" &amp; J5327, J5327), "")</f>
        <v/>
      </c>
    </row>
    <row r="5328">
      <c r="B5328" s="21">
        <f>IF(AND(C5328&lt;&gt;"", J5328&lt;&gt;""), HYPERLINK("#'" &amp; C5328 &amp; "'!" &amp; J5328, J5328), "")</f>
        <v/>
      </c>
    </row>
    <row r="5329">
      <c r="B5329" s="21">
        <f>IF(AND(C5329&lt;&gt;"", J5329&lt;&gt;""), HYPERLINK("#'" &amp; C5329 &amp; "'!" &amp; J5329, J5329), "")</f>
        <v/>
      </c>
    </row>
    <row r="5330">
      <c r="B5330" s="21">
        <f>IF(AND(C5330&lt;&gt;"", J5330&lt;&gt;""), HYPERLINK("#'" &amp; C5330 &amp; "'!" &amp; J5330, J5330), "")</f>
        <v/>
      </c>
    </row>
    <row r="5331">
      <c r="B5331" s="21">
        <f>IF(AND(C5331&lt;&gt;"", J5331&lt;&gt;""), HYPERLINK("#'" &amp; C5331 &amp; "'!" &amp; J5331, J5331), "")</f>
        <v/>
      </c>
    </row>
    <row r="5332">
      <c r="B5332" s="21">
        <f>IF(AND(C5332&lt;&gt;"", J5332&lt;&gt;""), HYPERLINK("#'" &amp; C5332 &amp; "'!" &amp; J5332, J5332), "")</f>
        <v/>
      </c>
    </row>
    <row r="5333">
      <c r="B5333" s="21">
        <f>IF(AND(C5333&lt;&gt;"", J5333&lt;&gt;""), HYPERLINK("#'" &amp; C5333 &amp; "'!" &amp; J5333, J5333), "")</f>
        <v/>
      </c>
    </row>
    <row r="5334">
      <c r="B5334" s="21">
        <f>IF(AND(C5334&lt;&gt;"", J5334&lt;&gt;""), HYPERLINK("#'" &amp; C5334 &amp; "'!" &amp; J5334, J5334), "")</f>
        <v/>
      </c>
    </row>
    <row r="5335">
      <c r="B5335" s="21">
        <f>IF(AND(C5335&lt;&gt;"", J5335&lt;&gt;""), HYPERLINK("#'" &amp; C5335 &amp; "'!" &amp; J5335, J5335), "")</f>
        <v/>
      </c>
    </row>
    <row r="5336">
      <c r="B5336" s="21">
        <f>IF(AND(C5336&lt;&gt;"", J5336&lt;&gt;""), HYPERLINK("#'" &amp; C5336 &amp; "'!" &amp; J5336, J5336), "")</f>
        <v/>
      </c>
    </row>
    <row r="5337">
      <c r="B5337" s="21">
        <f>IF(AND(C5337&lt;&gt;"", J5337&lt;&gt;""), HYPERLINK("#'" &amp; C5337 &amp; "'!" &amp; J5337, J5337), "")</f>
        <v/>
      </c>
    </row>
    <row r="5338">
      <c r="B5338" s="21">
        <f>IF(AND(C5338&lt;&gt;"", J5338&lt;&gt;""), HYPERLINK("#'" &amp; C5338 &amp; "'!" &amp; J5338, J5338), "")</f>
        <v/>
      </c>
    </row>
    <row r="5339">
      <c r="B5339" s="21">
        <f>IF(AND(C5339&lt;&gt;"", J5339&lt;&gt;""), HYPERLINK("#'" &amp; C5339 &amp; "'!" &amp; J5339, J5339), "")</f>
        <v/>
      </c>
    </row>
    <row r="5340">
      <c r="B5340" s="21">
        <f>IF(AND(C5340&lt;&gt;"", J5340&lt;&gt;""), HYPERLINK("#'" &amp; C5340 &amp; "'!" &amp; J5340, J5340), "")</f>
        <v/>
      </c>
    </row>
    <row r="5341">
      <c r="B5341" s="21">
        <f>IF(AND(C5341&lt;&gt;"", J5341&lt;&gt;""), HYPERLINK("#'" &amp; C5341 &amp; "'!" &amp; J5341, J5341), "")</f>
        <v/>
      </c>
    </row>
    <row r="5342">
      <c r="B5342" s="21">
        <f>IF(AND(C5342&lt;&gt;"", J5342&lt;&gt;""), HYPERLINK("#'" &amp; C5342 &amp; "'!" &amp; J5342, J5342), "")</f>
        <v/>
      </c>
    </row>
    <row r="5343">
      <c r="B5343" s="21">
        <f>IF(AND(C5343&lt;&gt;"", J5343&lt;&gt;""), HYPERLINK("#'" &amp; C5343 &amp; "'!" &amp; J5343, J5343), "")</f>
        <v/>
      </c>
    </row>
    <row r="5344">
      <c r="B5344" s="21">
        <f>IF(AND(C5344&lt;&gt;"", J5344&lt;&gt;""), HYPERLINK("#'" &amp; C5344 &amp; "'!" &amp; J5344, J5344), "")</f>
        <v/>
      </c>
    </row>
    <row r="5345">
      <c r="B5345" s="21">
        <f>IF(AND(C5345&lt;&gt;"", J5345&lt;&gt;""), HYPERLINK("#'" &amp; C5345 &amp; "'!" &amp; J5345, J5345), "")</f>
        <v/>
      </c>
    </row>
    <row r="5346">
      <c r="B5346" s="21">
        <f>IF(AND(C5346&lt;&gt;"", J5346&lt;&gt;""), HYPERLINK("#'" &amp; C5346 &amp; "'!" &amp; J5346, J5346), "")</f>
        <v/>
      </c>
    </row>
    <row r="5347">
      <c r="B5347" s="21">
        <f>IF(AND(C5347&lt;&gt;"", J5347&lt;&gt;""), HYPERLINK("#'" &amp; C5347 &amp; "'!" &amp; J5347, J5347), "")</f>
        <v/>
      </c>
    </row>
    <row r="5348">
      <c r="B5348" s="21">
        <f>IF(AND(C5348&lt;&gt;"", J5348&lt;&gt;""), HYPERLINK("#'" &amp; C5348 &amp; "'!" &amp; J5348, J5348), "")</f>
        <v/>
      </c>
    </row>
    <row r="5349">
      <c r="B5349" s="21">
        <f>IF(AND(C5349&lt;&gt;"", J5349&lt;&gt;""), HYPERLINK("#'" &amp; C5349 &amp; "'!" &amp; J5349, J5349), "")</f>
        <v/>
      </c>
    </row>
    <row r="5350">
      <c r="B5350" s="21">
        <f>IF(AND(C5350&lt;&gt;"", J5350&lt;&gt;""), HYPERLINK("#'" &amp; C5350 &amp; "'!" &amp; J5350, J5350), "")</f>
        <v/>
      </c>
    </row>
    <row r="5351">
      <c r="B5351" s="21">
        <f>IF(AND(C5351&lt;&gt;"", J5351&lt;&gt;""), HYPERLINK("#'" &amp; C5351 &amp; "'!" &amp; J5351, J5351), "")</f>
        <v/>
      </c>
    </row>
    <row r="5352">
      <c r="B5352" s="21">
        <f>IF(AND(C5352&lt;&gt;"", J5352&lt;&gt;""), HYPERLINK("#'" &amp; C5352 &amp; "'!" &amp; J5352, J5352), "")</f>
        <v/>
      </c>
    </row>
    <row r="5353">
      <c r="B5353" s="21">
        <f>IF(AND(C5353&lt;&gt;"", J5353&lt;&gt;""), HYPERLINK("#'" &amp; C5353 &amp; "'!" &amp; J5353, J5353), "")</f>
        <v/>
      </c>
    </row>
    <row r="5354">
      <c r="B5354" s="21">
        <f>IF(AND(C5354&lt;&gt;"", J5354&lt;&gt;""), HYPERLINK("#'" &amp; C5354 &amp; "'!" &amp; J5354, J5354), "")</f>
        <v/>
      </c>
    </row>
    <row r="5355">
      <c r="B5355" s="21">
        <f>IF(AND(C5355&lt;&gt;"", J5355&lt;&gt;""), HYPERLINK("#'" &amp; C5355 &amp; "'!" &amp; J5355, J5355), "")</f>
        <v/>
      </c>
    </row>
    <row r="5356">
      <c r="B5356" s="21">
        <f>IF(AND(C5356&lt;&gt;"", J5356&lt;&gt;""), HYPERLINK("#'" &amp; C5356 &amp; "'!" &amp; J5356, J5356), "")</f>
        <v/>
      </c>
    </row>
    <row r="5357">
      <c r="B5357" s="21">
        <f>IF(AND(C5357&lt;&gt;"", J5357&lt;&gt;""), HYPERLINK("#'" &amp; C5357 &amp; "'!" &amp; J5357, J5357), "")</f>
        <v/>
      </c>
    </row>
    <row r="5358">
      <c r="B5358" s="21">
        <f>IF(AND(C5358&lt;&gt;"", J5358&lt;&gt;""), HYPERLINK("#'" &amp; C5358 &amp; "'!" &amp; J5358, J5358), "")</f>
        <v/>
      </c>
    </row>
    <row r="5359">
      <c r="B5359" s="21">
        <f>IF(AND(C5359&lt;&gt;"", J5359&lt;&gt;""), HYPERLINK("#'" &amp; C5359 &amp; "'!" &amp; J5359, J5359), "")</f>
        <v/>
      </c>
    </row>
    <row r="5360">
      <c r="B5360" s="21">
        <f>IF(AND(C5360&lt;&gt;"", J5360&lt;&gt;""), HYPERLINK("#'" &amp; C5360 &amp; "'!" &amp; J5360, J5360), "")</f>
        <v/>
      </c>
    </row>
    <row r="5361">
      <c r="B5361" s="21">
        <f>IF(AND(C5361&lt;&gt;"", J5361&lt;&gt;""), HYPERLINK("#'" &amp; C5361 &amp; "'!" &amp; J5361, J5361), "")</f>
        <v/>
      </c>
    </row>
    <row r="5362">
      <c r="B5362" s="21">
        <f>IF(AND(C5362&lt;&gt;"", J5362&lt;&gt;""), HYPERLINK("#'" &amp; C5362 &amp; "'!" &amp; J5362, J5362), "")</f>
        <v/>
      </c>
    </row>
    <row r="5363">
      <c r="B5363" s="21">
        <f>IF(AND(C5363&lt;&gt;"", J5363&lt;&gt;""), HYPERLINK("#'" &amp; C5363 &amp; "'!" &amp; J5363, J5363), "")</f>
        <v/>
      </c>
    </row>
    <row r="5364">
      <c r="B5364" s="21">
        <f>IF(AND(C5364&lt;&gt;"", J5364&lt;&gt;""), HYPERLINK("#'" &amp; C5364 &amp; "'!" &amp; J5364, J5364), "")</f>
        <v/>
      </c>
    </row>
    <row r="5365">
      <c r="B5365" s="21">
        <f>IF(AND(C5365&lt;&gt;"", J5365&lt;&gt;""), HYPERLINK("#'" &amp; C5365 &amp; "'!" &amp; J5365, J5365), "")</f>
        <v/>
      </c>
    </row>
    <row r="5366">
      <c r="B5366" s="21">
        <f>IF(AND(C5366&lt;&gt;"", J5366&lt;&gt;""), HYPERLINK("#'" &amp; C5366 &amp; "'!" &amp; J5366, J5366), "")</f>
        <v/>
      </c>
    </row>
    <row r="5367">
      <c r="B5367" s="21">
        <f>IF(AND(C5367&lt;&gt;"", J5367&lt;&gt;""), HYPERLINK("#'" &amp; C5367 &amp; "'!" &amp; J5367, J5367), "")</f>
        <v/>
      </c>
    </row>
    <row r="5368">
      <c r="B5368" s="21">
        <f>IF(AND(C5368&lt;&gt;"", J5368&lt;&gt;""), HYPERLINK("#'" &amp; C5368 &amp; "'!" &amp; J5368, J5368), "")</f>
        <v/>
      </c>
    </row>
    <row r="5369">
      <c r="B5369" s="21">
        <f>IF(AND(C5369&lt;&gt;"", J5369&lt;&gt;""), HYPERLINK("#'" &amp; C5369 &amp; "'!" &amp; J5369, J5369), "")</f>
        <v/>
      </c>
    </row>
    <row r="5370">
      <c r="B5370" s="21">
        <f>IF(AND(C5370&lt;&gt;"", J5370&lt;&gt;""), HYPERLINK("#'" &amp; C5370 &amp; "'!" &amp; J5370, J5370), "")</f>
        <v/>
      </c>
    </row>
    <row r="5371">
      <c r="B5371" s="21">
        <f>IF(AND(C5371&lt;&gt;"", J5371&lt;&gt;""), HYPERLINK("#'" &amp; C5371 &amp; "'!" &amp; J5371, J5371), "")</f>
        <v/>
      </c>
    </row>
    <row r="5372">
      <c r="B5372" s="21">
        <f>IF(AND(C5372&lt;&gt;"", J5372&lt;&gt;""), HYPERLINK("#'" &amp; C5372 &amp; "'!" &amp; J5372, J5372), "")</f>
        <v/>
      </c>
    </row>
    <row r="5373">
      <c r="B5373" s="21">
        <f>IF(AND(C5373&lt;&gt;"", J5373&lt;&gt;""), HYPERLINK("#'" &amp; C5373 &amp; "'!" &amp; J5373, J5373), "")</f>
        <v/>
      </c>
    </row>
    <row r="5374">
      <c r="B5374" s="21">
        <f>IF(AND(C5374&lt;&gt;"", J5374&lt;&gt;""), HYPERLINK("#'" &amp; C5374 &amp; "'!" &amp; J5374, J5374), "")</f>
        <v/>
      </c>
    </row>
    <row r="5375">
      <c r="B5375" s="21">
        <f>IF(AND(C5375&lt;&gt;"", J5375&lt;&gt;""), HYPERLINK("#'" &amp; C5375 &amp; "'!" &amp; J5375, J5375), "")</f>
        <v/>
      </c>
    </row>
    <row r="5376">
      <c r="B5376" s="21">
        <f>IF(AND(C5376&lt;&gt;"", J5376&lt;&gt;""), HYPERLINK("#'" &amp; C5376 &amp; "'!" &amp; J5376, J5376), "")</f>
        <v/>
      </c>
    </row>
    <row r="5377">
      <c r="B5377" s="21">
        <f>IF(AND(C5377&lt;&gt;"", J5377&lt;&gt;""), HYPERLINK("#'" &amp; C5377 &amp; "'!" &amp; J5377, J5377), "")</f>
        <v/>
      </c>
    </row>
    <row r="5378">
      <c r="B5378" s="21">
        <f>IF(AND(C5378&lt;&gt;"", J5378&lt;&gt;""), HYPERLINK("#'" &amp; C5378 &amp; "'!" &amp; J5378, J5378), "")</f>
        <v/>
      </c>
    </row>
    <row r="5379">
      <c r="B5379" s="21">
        <f>IF(AND(C5379&lt;&gt;"", J5379&lt;&gt;""), HYPERLINK("#'" &amp; C5379 &amp; "'!" &amp; J5379, J5379), "")</f>
        <v/>
      </c>
    </row>
    <row r="5380">
      <c r="B5380" s="21">
        <f>IF(AND(C5380&lt;&gt;"", J5380&lt;&gt;""), HYPERLINK("#'" &amp; C5380 &amp; "'!" &amp; J5380, J5380), "")</f>
        <v/>
      </c>
    </row>
    <row r="5381">
      <c r="B5381" s="21">
        <f>IF(AND(C5381&lt;&gt;"", J5381&lt;&gt;""), HYPERLINK("#'" &amp; C5381 &amp; "'!" &amp; J5381, J5381), "")</f>
        <v/>
      </c>
    </row>
    <row r="5382">
      <c r="B5382" s="21">
        <f>IF(AND(C5382&lt;&gt;"", J5382&lt;&gt;""), HYPERLINK("#'" &amp; C5382 &amp; "'!" &amp; J5382, J5382), "")</f>
        <v/>
      </c>
    </row>
    <row r="5383">
      <c r="B5383" s="21">
        <f>IF(AND(C5383&lt;&gt;"", J5383&lt;&gt;""), HYPERLINK("#'" &amp; C5383 &amp; "'!" &amp; J5383, J5383), "")</f>
        <v/>
      </c>
    </row>
    <row r="5384">
      <c r="B5384" s="21">
        <f>IF(AND(C5384&lt;&gt;"", J5384&lt;&gt;""), HYPERLINK("#'" &amp; C5384 &amp; "'!" &amp; J5384, J5384), "")</f>
        <v/>
      </c>
    </row>
    <row r="5385">
      <c r="B5385" s="21">
        <f>IF(AND(C5385&lt;&gt;"", J5385&lt;&gt;""), HYPERLINK("#'" &amp; C5385 &amp; "'!" &amp; J5385, J5385), "")</f>
        <v/>
      </c>
    </row>
    <row r="5386">
      <c r="B5386" s="21">
        <f>IF(AND(C5386&lt;&gt;"", J5386&lt;&gt;""), HYPERLINK("#'" &amp; C5386 &amp; "'!" &amp; J5386, J5386), "")</f>
        <v/>
      </c>
    </row>
    <row r="5387">
      <c r="B5387" s="21">
        <f>IF(AND(C5387&lt;&gt;"", J5387&lt;&gt;""), HYPERLINK("#'" &amp; C5387 &amp; "'!" &amp; J5387, J5387), "")</f>
        <v/>
      </c>
    </row>
    <row r="5388">
      <c r="B5388" s="21">
        <f>IF(AND(C5388&lt;&gt;"", J5388&lt;&gt;""), HYPERLINK("#'" &amp; C5388 &amp; "'!" &amp; J5388, J5388), "")</f>
        <v/>
      </c>
    </row>
    <row r="5389">
      <c r="B5389" s="21">
        <f>IF(AND(C5389&lt;&gt;"", J5389&lt;&gt;""), HYPERLINK("#'" &amp; C5389 &amp; "'!" &amp; J5389, J5389), "")</f>
        <v/>
      </c>
    </row>
    <row r="5390">
      <c r="B5390" s="21">
        <f>IF(AND(C5390&lt;&gt;"", J5390&lt;&gt;""), HYPERLINK("#'" &amp; C5390 &amp; "'!" &amp; J5390, J5390), "")</f>
        <v/>
      </c>
    </row>
    <row r="5391">
      <c r="B5391" s="21">
        <f>IF(AND(C5391&lt;&gt;"", J5391&lt;&gt;""), HYPERLINK("#'" &amp; C5391 &amp; "'!" &amp; J5391, J5391), "")</f>
        <v/>
      </c>
    </row>
    <row r="5392">
      <c r="B5392" s="21">
        <f>IF(AND(C5392&lt;&gt;"", J5392&lt;&gt;""), HYPERLINK("#'" &amp; C5392 &amp; "'!" &amp; J5392, J5392), "")</f>
        <v/>
      </c>
    </row>
    <row r="5393">
      <c r="B5393" s="21">
        <f>IF(AND(C5393&lt;&gt;"", J5393&lt;&gt;""), HYPERLINK("#'" &amp; C5393 &amp; "'!" &amp; J5393, J5393), "")</f>
        <v/>
      </c>
    </row>
    <row r="5394">
      <c r="B5394" s="21">
        <f>IF(AND(C5394&lt;&gt;"", J5394&lt;&gt;""), HYPERLINK("#'" &amp; C5394 &amp; "'!" &amp; J5394, J5394), "")</f>
        <v/>
      </c>
    </row>
    <row r="5395">
      <c r="B5395" s="21">
        <f>IF(AND(C5395&lt;&gt;"", J5395&lt;&gt;""), HYPERLINK("#'" &amp; C5395 &amp; "'!" &amp; J5395, J5395), "")</f>
        <v/>
      </c>
    </row>
    <row r="5396">
      <c r="B5396" s="21">
        <f>IF(AND(C5396&lt;&gt;"", J5396&lt;&gt;""), HYPERLINK("#'" &amp; C5396 &amp; "'!" &amp; J5396, J5396), "")</f>
        <v/>
      </c>
    </row>
    <row r="5397">
      <c r="B5397" s="21">
        <f>IF(AND(C5397&lt;&gt;"", J5397&lt;&gt;""), HYPERLINK("#'" &amp; C5397 &amp; "'!" &amp; J5397, J5397), "")</f>
        <v/>
      </c>
    </row>
    <row r="5398">
      <c r="B5398" s="21">
        <f>IF(AND(C5398&lt;&gt;"", J5398&lt;&gt;""), HYPERLINK("#'" &amp; C5398 &amp; "'!" &amp; J5398, J5398), "")</f>
        <v/>
      </c>
    </row>
    <row r="5399">
      <c r="B5399" s="21">
        <f>IF(AND(C5399&lt;&gt;"", J5399&lt;&gt;""), HYPERLINK("#'" &amp; C5399 &amp; "'!" &amp; J5399, J5399), "")</f>
        <v/>
      </c>
    </row>
    <row r="5400">
      <c r="B5400" s="21">
        <f>IF(AND(C5400&lt;&gt;"", J5400&lt;&gt;""), HYPERLINK("#'" &amp; C5400 &amp; "'!" &amp; J5400, J5400), "")</f>
        <v/>
      </c>
    </row>
    <row r="5401">
      <c r="B5401" s="21">
        <f>IF(AND(C5401&lt;&gt;"", J5401&lt;&gt;""), HYPERLINK("#'" &amp; C5401 &amp; "'!" &amp; J5401, J5401), "")</f>
        <v/>
      </c>
    </row>
    <row r="5402">
      <c r="B5402" s="21">
        <f>IF(AND(C5402&lt;&gt;"", J5402&lt;&gt;""), HYPERLINK("#'" &amp; C5402 &amp; "'!" &amp; J5402, J5402), "")</f>
        <v/>
      </c>
    </row>
    <row r="5403">
      <c r="B5403" s="21">
        <f>IF(AND(C5403&lt;&gt;"", J5403&lt;&gt;""), HYPERLINK("#'" &amp; C5403 &amp; "'!" &amp; J5403, J5403), "")</f>
        <v/>
      </c>
    </row>
    <row r="5404">
      <c r="B5404" s="21">
        <f>IF(AND(C5404&lt;&gt;"", J5404&lt;&gt;""), HYPERLINK("#'" &amp; C5404 &amp; "'!" &amp; J5404, J5404), "")</f>
        <v/>
      </c>
    </row>
    <row r="5405">
      <c r="B5405" s="21">
        <f>IF(AND(C5405&lt;&gt;"", J5405&lt;&gt;""), HYPERLINK("#'" &amp; C5405 &amp; "'!" &amp; J5405, J5405), "")</f>
        <v/>
      </c>
    </row>
    <row r="5406">
      <c r="B5406" s="21">
        <f>IF(AND(C5406&lt;&gt;"", J5406&lt;&gt;""), HYPERLINK("#'" &amp; C5406 &amp; "'!" &amp; J5406, J5406), "")</f>
        <v/>
      </c>
    </row>
    <row r="5407">
      <c r="B5407" s="21">
        <f>IF(AND(C5407&lt;&gt;"", J5407&lt;&gt;""), HYPERLINK("#'" &amp; C5407 &amp; "'!" &amp; J5407, J5407), "")</f>
        <v/>
      </c>
    </row>
    <row r="5408">
      <c r="B5408" s="21">
        <f>IF(AND(C5408&lt;&gt;"", J5408&lt;&gt;""), HYPERLINK("#'" &amp; C5408 &amp; "'!" &amp; J5408, J5408), "")</f>
        <v/>
      </c>
    </row>
    <row r="5409">
      <c r="B5409" s="21">
        <f>IF(AND(C5409&lt;&gt;"", J5409&lt;&gt;""), HYPERLINK("#'" &amp; C5409 &amp; "'!" &amp; J5409, J5409), "")</f>
        <v/>
      </c>
    </row>
    <row r="5410">
      <c r="B5410" s="21">
        <f>IF(AND(C5410&lt;&gt;"", J5410&lt;&gt;""), HYPERLINK("#'" &amp; C5410 &amp; "'!" &amp; J5410, J5410), "")</f>
        <v/>
      </c>
    </row>
    <row r="5411">
      <c r="B5411" s="21">
        <f>IF(AND(C5411&lt;&gt;"", J5411&lt;&gt;""), HYPERLINK("#'" &amp; C5411 &amp; "'!" &amp; J5411, J5411), "")</f>
        <v/>
      </c>
    </row>
    <row r="5412">
      <c r="B5412" s="21">
        <f>IF(AND(C5412&lt;&gt;"", J5412&lt;&gt;""), HYPERLINK("#'" &amp; C5412 &amp; "'!" &amp; J5412, J5412), "")</f>
        <v/>
      </c>
    </row>
    <row r="5413">
      <c r="B5413" s="21">
        <f>IF(AND(C5413&lt;&gt;"", J5413&lt;&gt;""), HYPERLINK("#'" &amp; C5413 &amp; "'!" &amp; J5413, J5413), "")</f>
        <v/>
      </c>
    </row>
    <row r="5414">
      <c r="B5414" s="21">
        <f>IF(AND(C5414&lt;&gt;"", J5414&lt;&gt;""), HYPERLINK("#'" &amp; C5414 &amp; "'!" &amp; J5414, J5414), "")</f>
        <v/>
      </c>
    </row>
    <row r="5415">
      <c r="B5415" s="21">
        <f>IF(AND(C5415&lt;&gt;"", J5415&lt;&gt;""), HYPERLINK("#'" &amp; C5415 &amp; "'!" &amp; J5415, J5415), "")</f>
        <v/>
      </c>
    </row>
    <row r="5416">
      <c r="B5416" s="21">
        <f>IF(AND(C5416&lt;&gt;"", J5416&lt;&gt;""), HYPERLINK("#'" &amp; C5416 &amp; "'!" &amp; J5416, J5416), "")</f>
        <v/>
      </c>
    </row>
    <row r="5417">
      <c r="B5417" s="21">
        <f>IF(AND(C5417&lt;&gt;"", J5417&lt;&gt;""), HYPERLINK("#'" &amp; C5417 &amp; "'!" &amp; J5417, J5417), "")</f>
        <v/>
      </c>
    </row>
    <row r="5418">
      <c r="B5418" s="21">
        <f>IF(AND(C5418&lt;&gt;"", J5418&lt;&gt;""), HYPERLINK("#'" &amp; C5418 &amp; "'!" &amp; J5418, J5418), "")</f>
        <v/>
      </c>
    </row>
    <row r="5419">
      <c r="B5419" s="21">
        <f>IF(AND(C5419&lt;&gt;"", J5419&lt;&gt;""), HYPERLINK("#'" &amp; C5419 &amp; "'!" &amp; J5419, J5419), "")</f>
        <v/>
      </c>
    </row>
    <row r="5420">
      <c r="B5420" s="21">
        <f>IF(AND(C5420&lt;&gt;"", J5420&lt;&gt;""), HYPERLINK("#'" &amp; C5420 &amp; "'!" &amp; J5420, J5420), "")</f>
        <v/>
      </c>
    </row>
    <row r="5421">
      <c r="B5421" s="21">
        <f>IF(AND(C5421&lt;&gt;"", J5421&lt;&gt;""), HYPERLINK("#'" &amp; C5421 &amp; "'!" &amp; J5421, J5421), "")</f>
        <v/>
      </c>
    </row>
    <row r="5422">
      <c r="B5422" s="21">
        <f>IF(AND(C5422&lt;&gt;"", J5422&lt;&gt;""), HYPERLINK("#'" &amp; C5422 &amp; "'!" &amp; J5422, J5422), "")</f>
        <v/>
      </c>
    </row>
    <row r="5423">
      <c r="B5423" s="21">
        <f>IF(AND(C5423&lt;&gt;"", J5423&lt;&gt;""), HYPERLINK("#'" &amp; C5423 &amp; "'!" &amp; J5423, J5423), "")</f>
        <v/>
      </c>
    </row>
    <row r="5424">
      <c r="B5424" s="21">
        <f>IF(AND(C5424&lt;&gt;"", J5424&lt;&gt;""), HYPERLINK("#'" &amp; C5424 &amp; "'!" &amp; J5424, J5424), "")</f>
        <v/>
      </c>
    </row>
    <row r="5425">
      <c r="B5425" s="21">
        <f>IF(AND(C5425&lt;&gt;"", J5425&lt;&gt;""), HYPERLINK("#'" &amp; C5425 &amp; "'!" &amp; J5425, J5425), "")</f>
        <v/>
      </c>
    </row>
    <row r="5426">
      <c r="B5426" s="21">
        <f>IF(AND(C5426&lt;&gt;"", J5426&lt;&gt;""), HYPERLINK("#'" &amp; C5426 &amp; "'!" &amp; J5426, J5426), "")</f>
        <v/>
      </c>
    </row>
    <row r="5427">
      <c r="B5427" s="21">
        <f>IF(AND(C5427&lt;&gt;"", J5427&lt;&gt;""), HYPERLINK("#'" &amp; C5427 &amp; "'!" &amp; J5427, J5427), "")</f>
        <v/>
      </c>
    </row>
    <row r="5428">
      <c r="B5428" s="21">
        <f>IF(AND(C5428&lt;&gt;"", J5428&lt;&gt;""), HYPERLINK("#'" &amp; C5428 &amp; "'!" &amp; J5428, J5428), "")</f>
        <v/>
      </c>
    </row>
    <row r="5429">
      <c r="B5429" s="21">
        <f>IF(AND(C5429&lt;&gt;"", J5429&lt;&gt;""), HYPERLINK("#'" &amp; C5429 &amp; "'!" &amp; J5429, J5429), "")</f>
        <v/>
      </c>
    </row>
    <row r="5430">
      <c r="B5430" s="21">
        <f>IF(AND(C5430&lt;&gt;"", J5430&lt;&gt;""), HYPERLINK("#'" &amp; C5430 &amp; "'!" &amp; J5430, J5430), "")</f>
        <v/>
      </c>
    </row>
    <row r="5431">
      <c r="B5431" s="21">
        <f>IF(AND(C5431&lt;&gt;"", J5431&lt;&gt;""), HYPERLINK("#'" &amp; C5431 &amp; "'!" &amp; J5431, J5431), "")</f>
        <v/>
      </c>
    </row>
    <row r="5432">
      <c r="B5432" s="21">
        <f>IF(AND(C5432&lt;&gt;"", J5432&lt;&gt;""), HYPERLINK("#'" &amp; C5432 &amp; "'!" &amp; J5432, J5432), "")</f>
        <v/>
      </c>
    </row>
    <row r="5433">
      <c r="B5433" s="21">
        <f>IF(AND(C5433&lt;&gt;"", J5433&lt;&gt;""), HYPERLINK("#'" &amp; C5433 &amp; "'!" &amp; J5433, J5433), "")</f>
        <v/>
      </c>
    </row>
    <row r="5434">
      <c r="B5434" s="21">
        <f>IF(AND(C5434&lt;&gt;"", J5434&lt;&gt;""), HYPERLINK("#'" &amp; C5434 &amp; "'!" &amp; J5434, J5434), "")</f>
        <v/>
      </c>
    </row>
    <row r="5435">
      <c r="B5435" s="21">
        <f>IF(AND(C5435&lt;&gt;"", J5435&lt;&gt;""), HYPERLINK("#'" &amp; C5435 &amp; "'!" &amp; J5435, J5435), "")</f>
        <v/>
      </c>
    </row>
    <row r="5436">
      <c r="B5436" s="21">
        <f>IF(AND(C5436&lt;&gt;"", J5436&lt;&gt;""), HYPERLINK("#'" &amp; C5436 &amp; "'!" &amp; J5436, J5436), "")</f>
        <v/>
      </c>
    </row>
    <row r="5437">
      <c r="B5437" s="21">
        <f>IF(AND(C5437&lt;&gt;"", J5437&lt;&gt;""), HYPERLINK("#'" &amp; C5437 &amp; "'!" &amp; J5437, J5437), "")</f>
        <v/>
      </c>
    </row>
    <row r="5438">
      <c r="B5438" s="21">
        <f>IF(AND(C5438&lt;&gt;"", J5438&lt;&gt;""), HYPERLINK("#'" &amp; C5438 &amp; "'!" &amp; J5438, J5438), "")</f>
        <v/>
      </c>
    </row>
    <row r="5439">
      <c r="B5439" s="21">
        <f>IF(AND(C5439&lt;&gt;"", J5439&lt;&gt;""), HYPERLINK("#'" &amp; C5439 &amp; "'!" &amp; J5439, J5439), "")</f>
        <v/>
      </c>
    </row>
    <row r="5440">
      <c r="B5440" s="21">
        <f>IF(AND(C5440&lt;&gt;"", J5440&lt;&gt;""), HYPERLINK("#'" &amp; C5440 &amp; "'!" &amp; J5440, J5440), "")</f>
        <v/>
      </c>
    </row>
    <row r="5441">
      <c r="B5441" s="21">
        <f>IF(AND(C5441&lt;&gt;"", J5441&lt;&gt;""), HYPERLINK("#'" &amp; C5441 &amp; "'!" &amp; J5441, J5441), "")</f>
        <v/>
      </c>
    </row>
    <row r="5442">
      <c r="B5442" s="21">
        <f>IF(AND(C5442&lt;&gt;"", J5442&lt;&gt;""), HYPERLINK("#'" &amp; C5442 &amp; "'!" &amp; J5442, J5442), "")</f>
        <v/>
      </c>
    </row>
    <row r="5443">
      <c r="B5443" s="21">
        <f>IF(AND(C5443&lt;&gt;"", J5443&lt;&gt;""), HYPERLINK("#'" &amp; C5443 &amp; "'!" &amp; J5443, J5443), "")</f>
        <v/>
      </c>
    </row>
    <row r="5444">
      <c r="B5444" s="21">
        <f>IF(AND(C5444&lt;&gt;"", J5444&lt;&gt;""), HYPERLINK("#'" &amp; C5444 &amp; "'!" &amp; J5444, J5444), "")</f>
        <v/>
      </c>
    </row>
    <row r="5445">
      <c r="B5445" s="21">
        <f>IF(AND(C5445&lt;&gt;"", J5445&lt;&gt;""), HYPERLINK("#'" &amp; C5445 &amp; "'!" &amp; J5445, J5445), "")</f>
        <v/>
      </c>
    </row>
    <row r="5446">
      <c r="B5446" s="21">
        <f>IF(AND(C5446&lt;&gt;"", J5446&lt;&gt;""), HYPERLINK("#'" &amp; C5446 &amp; "'!" &amp; J5446, J5446), "")</f>
        <v/>
      </c>
    </row>
    <row r="5447">
      <c r="B5447" s="21">
        <f>IF(AND(C5447&lt;&gt;"", J5447&lt;&gt;""), HYPERLINK("#'" &amp; C5447 &amp; "'!" &amp; J5447, J5447), "")</f>
        <v/>
      </c>
    </row>
    <row r="5448">
      <c r="B5448" s="21">
        <f>IF(AND(C5448&lt;&gt;"", J5448&lt;&gt;""), HYPERLINK("#'" &amp; C5448 &amp; "'!" &amp; J5448, J5448), "")</f>
        <v/>
      </c>
    </row>
    <row r="5449">
      <c r="B5449" s="21">
        <f>IF(AND(C5449&lt;&gt;"", J5449&lt;&gt;""), HYPERLINK("#'" &amp; C5449 &amp; "'!" &amp; J5449, J5449), "")</f>
        <v/>
      </c>
    </row>
    <row r="5450">
      <c r="B5450" s="21">
        <f>IF(AND(C5450&lt;&gt;"", J5450&lt;&gt;""), HYPERLINK("#'" &amp; C5450 &amp; "'!" &amp; J5450, J5450), "")</f>
        <v/>
      </c>
    </row>
    <row r="5451">
      <c r="B5451" s="21">
        <f>IF(AND(C5451&lt;&gt;"", J5451&lt;&gt;""), HYPERLINK("#'" &amp; C5451 &amp; "'!" &amp; J5451, J5451), "")</f>
        <v/>
      </c>
    </row>
    <row r="5452">
      <c r="B5452" s="21">
        <f>IF(AND(C5452&lt;&gt;"", J5452&lt;&gt;""), HYPERLINK("#'" &amp; C5452 &amp; "'!" &amp; J5452, J5452), "")</f>
        <v/>
      </c>
    </row>
    <row r="5453">
      <c r="B5453" s="21">
        <f>IF(AND(C5453&lt;&gt;"", J5453&lt;&gt;""), HYPERLINK("#'" &amp; C5453 &amp; "'!" &amp; J5453, J5453), "")</f>
        <v/>
      </c>
    </row>
    <row r="5454">
      <c r="B5454" s="21">
        <f>IF(AND(C5454&lt;&gt;"", J5454&lt;&gt;""), HYPERLINK("#'" &amp; C5454 &amp; "'!" &amp; J5454, J5454), "")</f>
        <v/>
      </c>
    </row>
    <row r="5455">
      <c r="B5455" s="21">
        <f>IF(AND(C5455&lt;&gt;"", J5455&lt;&gt;""), HYPERLINK("#'" &amp; C5455 &amp; "'!" &amp; J5455, J5455), "")</f>
        <v/>
      </c>
    </row>
    <row r="5456">
      <c r="B5456" s="21">
        <f>IF(AND(C5456&lt;&gt;"", J5456&lt;&gt;""), HYPERLINK("#'" &amp; C5456 &amp; "'!" &amp; J5456, J5456), "")</f>
        <v/>
      </c>
    </row>
    <row r="5457">
      <c r="B5457" s="21">
        <f>IF(AND(C5457&lt;&gt;"", J5457&lt;&gt;""), HYPERLINK("#'" &amp; C5457 &amp; "'!" &amp; J5457, J5457), "")</f>
        <v/>
      </c>
    </row>
    <row r="5458">
      <c r="B5458" s="21">
        <f>IF(AND(C5458&lt;&gt;"", J5458&lt;&gt;""), HYPERLINK("#'" &amp; C5458 &amp; "'!" &amp; J5458, J5458), "")</f>
        <v/>
      </c>
    </row>
    <row r="5459">
      <c r="B5459" s="21">
        <f>IF(AND(C5459&lt;&gt;"", J5459&lt;&gt;""), HYPERLINK("#'" &amp; C5459 &amp; "'!" &amp; J5459, J5459), "")</f>
        <v/>
      </c>
    </row>
    <row r="5460">
      <c r="B5460" s="21">
        <f>IF(AND(C5460&lt;&gt;"", J5460&lt;&gt;""), HYPERLINK("#'" &amp; C5460 &amp; "'!" &amp; J5460, J5460), "")</f>
        <v/>
      </c>
    </row>
    <row r="5461">
      <c r="B5461" s="21">
        <f>IF(AND(C5461&lt;&gt;"", J5461&lt;&gt;""), HYPERLINK("#'" &amp; C5461 &amp; "'!" &amp; J5461, J5461), "")</f>
        <v/>
      </c>
    </row>
    <row r="5462">
      <c r="B5462" s="21">
        <f>IF(AND(C5462&lt;&gt;"", J5462&lt;&gt;""), HYPERLINK("#'" &amp; C5462 &amp; "'!" &amp; J5462, J5462), "")</f>
        <v/>
      </c>
    </row>
    <row r="5463">
      <c r="B5463" s="21">
        <f>IF(AND(C5463&lt;&gt;"", J5463&lt;&gt;""), HYPERLINK("#'" &amp; C5463 &amp; "'!" &amp; J5463, J5463), "")</f>
        <v/>
      </c>
    </row>
    <row r="5464">
      <c r="B5464" s="21">
        <f>IF(AND(C5464&lt;&gt;"", J5464&lt;&gt;""), HYPERLINK("#'" &amp; C5464 &amp; "'!" &amp; J5464, J5464), "")</f>
        <v/>
      </c>
    </row>
    <row r="5465">
      <c r="B5465" s="21">
        <f>IF(AND(C5465&lt;&gt;"", J5465&lt;&gt;""), HYPERLINK("#'" &amp; C5465 &amp; "'!" &amp; J5465, J5465), "")</f>
        <v/>
      </c>
    </row>
    <row r="5466">
      <c r="B5466" s="21">
        <f>IF(AND(C5466&lt;&gt;"", J5466&lt;&gt;""), HYPERLINK("#'" &amp; C5466 &amp; "'!" &amp; J5466, J5466), "")</f>
        <v/>
      </c>
    </row>
    <row r="5467">
      <c r="B5467" s="21">
        <f>IF(AND(C5467&lt;&gt;"", J5467&lt;&gt;""), HYPERLINK("#'" &amp; C5467 &amp; "'!" &amp; J5467, J5467), "")</f>
        <v/>
      </c>
    </row>
    <row r="5468">
      <c r="B5468" s="21">
        <f>IF(AND(C5468&lt;&gt;"", J5468&lt;&gt;""), HYPERLINK("#'" &amp; C5468 &amp; "'!" &amp; J5468, J5468), "")</f>
        <v/>
      </c>
    </row>
    <row r="5469">
      <c r="B5469" s="21">
        <f>IF(AND(C5469&lt;&gt;"", J5469&lt;&gt;""), HYPERLINK("#'" &amp; C5469 &amp; "'!" &amp; J5469, J5469), "")</f>
        <v/>
      </c>
    </row>
    <row r="5470">
      <c r="B5470" s="21">
        <f>IF(AND(C5470&lt;&gt;"", J5470&lt;&gt;""), HYPERLINK("#'" &amp; C5470 &amp; "'!" &amp; J5470, J5470), "")</f>
        <v/>
      </c>
    </row>
    <row r="5471">
      <c r="B5471" s="21">
        <f>IF(AND(C5471&lt;&gt;"", J5471&lt;&gt;""), HYPERLINK("#'" &amp; C5471 &amp; "'!" &amp; J5471, J5471), "")</f>
        <v/>
      </c>
    </row>
    <row r="5472">
      <c r="B5472" s="21">
        <f>IF(AND(C5472&lt;&gt;"", J5472&lt;&gt;""), HYPERLINK("#'" &amp; C5472 &amp; "'!" &amp; J5472, J5472), "")</f>
        <v/>
      </c>
    </row>
    <row r="5473">
      <c r="B5473" s="21">
        <f>IF(AND(C5473&lt;&gt;"", J5473&lt;&gt;""), HYPERLINK("#'" &amp; C5473 &amp; "'!" &amp; J5473, J5473), "")</f>
        <v/>
      </c>
    </row>
    <row r="5474">
      <c r="B5474" s="21">
        <f>IF(AND(C5474&lt;&gt;"", J5474&lt;&gt;""), HYPERLINK("#'" &amp; C5474 &amp; "'!" &amp; J5474, J5474), "")</f>
        <v/>
      </c>
    </row>
    <row r="5475">
      <c r="B5475" s="21">
        <f>IF(AND(C5475&lt;&gt;"", J5475&lt;&gt;""), HYPERLINK("#'" &amp; C5475 &amp; "'!" &amp; J5475, J5475), "")</f>
        <v/>
      </c>
    </row>
    <row r="5476">
      <c r="B5476" s="21">
        <f>IF(AND(C5476&lt;&gt;"", J5476&lt;&gt;""), HYPERLINK("#'" &amp; C5476 &amp; "'!" &amp; J5476, J5476), "")</f>
        <v/>
      </c>
    </row>
    <row r="5477">
      <c r="B5477" s="21">
        <f>IF(AND(C5477&lt;&gt;"", J5477&lt;&gt;""), HYPERLINK("#'" &amp; C5477 &amp; "'!" &amp; J5477, J5477), "")</f>
        <v/>
      </c>
    </row>
    <row r="5478">
      <c r="B5478" s="21">
        <f>IF(AND(C5478&lt;&gt;"", J5478&lt;&gt;""), HYPERLINK("#'" &amp; C5478 &amp; "'!" &amp; J5478, J5478), "")</f>
        <v/>
      </c>
    </row>
    <row r="5479">
      <c r="B5479" s="21">
        <f>IF(AND(C5479&lt;&gt;"", J5479&lt;&gt;""), HYPERLINK("#'" &amp; C5479 &amp; "'!" &amp; J5479, J5479), "")</f>
        <v/>
      </c>
    </row>
    <row r="5480">
      <c r="B5480" s="21">
        <f>IF(AND(C5480&lt;&gt;"", J5480&lt;&gt;""), HYPERLINK("#'" &amp; C5480 &amp; "'!" &amp; J5480, J5480), "")</f>
        <v/>
      </c>
    </row>
    <row r="5481">
      <c r="B5481" s="21">
        <f>IF(AND(C5481&lt;&gt;"", J5481&lt;&gt;""), HYPERLINK("#'" &amp; C5481 &amp; "'!" &amp; J5481, J5481), "")</f>
        <v/>
      </c>
    </row>
    <row r="5482">
      <c r="B5482" s="21">
        <f>IF(AND(C5482&lt;&gt;"", J5482&lt;&gt;""), HYPERLINK("#'" &amp; C5482 &amp; "'!" &amp; J5482, J5482), "")</f>
        <v/>
      </c>
    </row>
    <row r="5483">
      <c r="B5483" s="21">
        <f>IF(AND(C5483&lt;&gt;"", J5483&lt;&gt;""), HYPERLINK("#'" &amp; C5483 &amp; "'!" &amp; J5483, J5483), "")</f>
        <v/>
      </c>
    </row>
    <row r="5484">
      <c r="B5484" s="21">
        <f>IF(AND(C5484&lt;&gt;"", J5484&lt;&gt;""), HYPERLINK("#'" &amp; C5484 &amp; "'!" &amp; J5484, J5484), "")</f>
        <v/>
      </c>
    </row>
    <row r="5485">
      <c r="B5485" s="21">
        <f>IF(AND(C5485&lt;&gt;"", J5485&lt;&gt;""), HYPERLINK("#'" &amp; C5485 &amp; "'!" &amp; J5485, J5485), "")</f>
        <v/>
      </c>
    </row>
    <row r="5486">
      <c r="B5486" s="21">
        <f>IF(AND(C5486&lt;&gt;"", J5486&lt;&gt;""), HYPERLINK("#'" &amp; C5486 &amp; "'!" &amp; J5486, J5486), "")</f>
        <v/>
      </c>
    </row>
    <row r="5487">
      <c r="B5487" s="21">
        <f>IF(AND(C5487&lt;&gt;"", J5487&lt;&gt;""), HYPERLINK("#'" &amp; C5487 &amp; "'!" &amp; J5487, J5487), "")</f>
        <v/>
      </c>
    </row>
    <row r="5488">
      <c r="B5488" s="21">
        <f>IF(AND(C5488&lt;&gt;"", J5488&lt;&gt;""), HYPERLINK("#'" &amp; C5488 &amp; "'!" &amp; J5488, J5488), "")</f>
        <v/>
      </c>
    </row>
    <row r="5489">
      <c r="B5489" s="21">
        <f>IF(AND(C5489&lt;&gt;"", J5489&lt;&gt;""), HYPERLINK("#'" &amp; C5489 &amp; "'!" &amp; J5489, J5489), "")</f>
        <v/>
      </c>
    </row>
    <row r="5490">
      <c r="B5490" s="21">
        <f>IF(AND(C5490&lt;&gt;"", J5490&lt;&gt;""), HYPERLINK("#'" &amp; C5490 &amp; "'!" &amp; J5490, J5490), "")</f>
        <v/>
      </c>
    </row>
    <row r="5491">
      <c r="B5491" s="21">
        <f>IF(AND(C5491&lt;&gt;"", J5491&lt;&gt;""), HYPERLINK("#'" &amp; C5491 &amp; "'!" &amp; J5491, J5491), "")</f>
        <v/>
      </c>
    </row>
    <row r="5492">
      <c r="B5492" s="21">
        <f>IF(AND(C5492&lt;&gt;"", J5492&lt;&gt;""), HYPERLINK("#'" &amp; C5492 &amp; "'!" &amp; J5492, J5492), "")</f>
        <v/>
      </c>
    </row>
    <row r="5493">
      <c r="B5493" s="21">
        <f>IF(AND(C5493&lt;&gt;"", J5493&lt;&gt;""), HYPERLINK("#'" &amp; C5493 &amp; "'!" &amp; J5493, J5493), "")</f>
        <v/>
      </c>
    </row>
    <row r="5494">
      <c r="B5494" s="21">
        <f>IF(AND(C5494&lt;&gt;"", J5494&lt;&gt;""), HYPERLINK("#'" &amp; C5494 &amp; "'!" &amp; J5494, J5494), "")</f>
        <v/>
      </c>
    </row>
    <row r="5495">
      <c r="B5495" s="21">
        <f>IF(AND(C5495&lt;&gt;"", J5495&lt;&gt;""), HYPERLINK("#'" &amp; C5495 &amp; "'!" &amp; J5495, J5495), "")</f>
        <v/>
      </c>
    </row>
    <row r="5496">
      <c r="B5496" s="21">
        <f>IF(AND(C5496&lt;&gt;"", J5496&lt;&gt;""), HYPERLINK("#'" &amp; C5496 &amp; "'!" &amp; J5496, J5496), "")</f>
        <v/>
      </c>
    </row>
    <row r="5497">
      <c r="B5497" s="21">
        <f>IF(AND(C5497&lt;&gt;"", J5497&lt;&gt;""), HYPERLINK("#'" &amp; C5497 &amp; "'!" &amp; J5497, J5497), "")</f>
        <v/>
      </c>
    </row>
    <row r="5498">
      <c r="B5498" s="21">
        <f>IF(AND(C5498&lt;&gt;"", J5498&lt;&gt;""), HYPERLINK("#'" &amp; C5498 &amp; "'!" &amp; J5498, J5498), "")</f>
        <v/>
      </c>
    </row>
    <row r="5499">
      <c r="B5499" s="21">
        <f>IF(AND(C5499&lt;&gt;"", J5499&lt;&gt;""), HYPERLINK("#'" &amp; C5499 &amp; "'!" &amp; J5499, J5499), "")</f>
        <v/>
      </c>
    </row>
    <row r="5500">
      <c r="B5500" s="21">
        <f>IF(AND(C5500&lt;&gt;"", J5500&lt;&gt;""), HYPERLINK("#'" &amp; C5500 &amp; "'!" &amp; J5500, J5500), "")</f>
        <v/>
      </c>
    </row>
    <row r="5501">
      <c r="B5501" s="21">
        <f>IF(AND(C5501&lt;&gt;"", J5501&lt;&gt;""), HYPERLINK("#'" &amp; C5501 &amp; "'!" &amp; J5501, J5501), "")</f>
        <v/>
      </c>
    </row>
    <row r="5502">
      <c r="B5502" s="21">
        <f>IF(AND(C5502&lt;&gt;"", J5502&lt;&gt;""), HYPERLINK("#'" &amp; C5502 &amp; "'!" &amp; J5502, J5502), "")</f>
        <v/>
      </c>
    </row>
    <row r="5503">
      <c r="B5503" s="21">
        <f>IF(AND(C5503&lt;&gt;"", J5503&lt;&gt;""), HYPERLINK("#'" &amp; C5503 &amp; "'!" &amp; J5503, J5503), "")</f>
        <v/>
      </c>
    </row>
    <row r="5504">
      <c r="B5504" s="21">
        <f>IF(AND(C5504&lt;&gt;"", J5504&lt;&gt;""), HYPERLINK("#'" &amp; C5504 &amp; "'!" &amp; J5504, J5504), "")</f>
        <v/>
      </c>
    </row>
    <row r="5505">
      <c r="B5505" s="21">
        <f>IF(AND(C5505&lt;&gt;"", J5505&lt;&gt;""), HYPERLINK("#'" &amp; C5505 &amp; "'!" &amp; J5505, J5505), "")</f>
        <v/>
      </c>
    </row>
    <row r="5506">
      <c r="B5506" s="21">
        <f>IF(AND(C5506&lt;&gt;"", J5506&lt;&gt;""), HYPERLINK("#'" &amp; C5506 &amp; "'!" &amp; J5506, J5506), "")</f>
        <v/>
      </c>
    </row>
    <row r="5507">
      <c r="B5507" s="21">
        <f>IF(AND(C5507&lt;&gt;"", J5507&lt;&gt;""), HYPERLINK("#'" &amp; C5507 &amp; "'!" &amp; J5507, J5507), "")</f>
        <v/>
      </c>
    </row>
    <row r="5508">
      <c r="B5508" s="21">
        <f>IF(AND(C5508&lt;&gt;"", J5508&lt;&gt;""), HYPERLINK("#'" &amp; C5508 &amp; "'!" &amp; J5508, J5508), "")</f>
        <v/>
      </c>
    </row>
    <row r="5509">
      <c r="B5509" s="21">
        <f>IF(AND(C5509&lt;&gt;"", J5509&lt;&gt;""), HYPERLINK("#'" &amp; C5509 &amp; "'!" &amp; J5509, J5509), "")</f>
        <v/>
      </c>
    </row>
    <row r="5510">
      <c r="B5510" s="21">
        <f>IF(AND(C5510&lt;&gt;"", J5510&lt;&gt;""), HYPERLINK("#'" &amp; C5510 &amp; "'!" &amp; J5510, J5510), "")</f>
        <v/>
      </c>
    </row>
    <row r="5511">
      <c r="B5511" s="21">
        <f>IF(AND(C5511&lt;&gt;"", J5511&lt;&gt;""), HYPERLINK("#'" &amp; C5511 &amp; "'!" &amp; J5511, J5511), "")</f>
        <v/>
      </c>
    </row>
    <row r="5512">
      <c r="B5512" s="21">
        <f>IF(AND(C5512&lt;&gt;"", J5512&lt;&gt;""), HYPERLINK("#'" &amp; C5512 &amp; "'!" &amp; J5512, J5512), "")</f>
        <v/>
      </c>
    </row>
    <row r="5513">
      <c r="B5513" s="21">
        <f>IF(AND(C5513&lt;&gt;"", J5513&lt;&gt;""), HYPERLINK("#'" &amp; C5513 &amp; "'!" &amp; J5513, J5513), "")</f>
        <v/>
      </c>
    </row>
    <row r="5514">
      <c r="B5514" s="21">
        <f>IF(AND(C5514&lt;&gt;"", J5514&lt;&gt;""), HYPERLINK("#'" &amp; C5514 &amp; "'!" &amp; J5514, J5514), "")</f>
        <v/>
      </c>
    </row>
    <row r="5515">
      <c r="B5515" s="21">
        <f>IF(AND(C5515&lt;&gt;"", J5515&lt;&gt;""), HYPERLINK("#'" &amp; C5515 &amp; "'!" &amp; J5515, J5515), "")</f>
        <v/>
      </c>
    </row>
    <row r="5516">
      <c r="B5516" s="21">
        <f>IF(AND(C5516&lt;&gt;"", J5516&lt;&gt;""), HYPERLINK("#'" &amp; C5516 &amp; "'!" &amp; J5516, J5516), "")</f>
        <v/>
      </c>
    </row>
    <row r="5517">
      <c r="B5517" s="21">
        <f>IF(AND(C5517&lt;&gt;"", J5517&lt;&gt;""), HYPERLINK("#'" &amp; C5517 &amp; "'!" &amp; J5517, J5517), "")</f>
        <v/>
      </c>
    </row>
    <row r="5518">
      <c r="B5518" s="21">
        <f>IF(AND(C5518&lt;&gt;"", J5518&lt;&gt;""), HYPERLINK("#'" &amp; C5518 &amp; "'!" &amp; J5518, J5518), "")</f>
        <v/>
      </c>
    </row>
    <row r="5519">
      <c r="B5519" s="21">
        <f>IF(AND(C5519&lt;&gt;"", J5519&lt;&gt;""), HYPERLINK("#'" &amp; C5519 &amp; "'!" &amp; J5519, J5519), "")</f>
        <v/>
      </c>
    </row>
    <row r="5520">
      <c r="B5520" s="21">
        <f>IF(AND(C5520&lt;&gt;"", J5520&lt;&gt;""), HYPERLINK("#'" &amp; C5520 &amp; "'!" &amp; J5520, J5520), "")</f>
        <v/>
      </c>
    </row>
    <row r="5521">
      <c r="B5521" s="21">
        <f>IF(AND(C5521&lt;&gt;"", J5521&lt;&gt;""), HYPERLINK("#'" &amp; C5521 &amp; "'!" &amp; J5521, J5521), "")</f>
        <v/>
      </c>
    </row>
    <row r="5522">
      <c r="B5522" s="21">
        <f>IF(AND(C5522&lt;&gt;"", J5522&lt;&gt;""), HYPERLINK("#'" &amp; C5522 &amp; "'!" &amp; J5522, J5522), "")</f>
        <v/>
      </c>
    </row>
    <row r="5523">
      <c r="B5523" s="21">
        <f>IF(AND(C5523&lt;&gt;"", J5523&lt;&gt;""), HYPERLINK("#'" &amp; C5523 &amp; "'!" &amp; J5523, J5523), "")</f>
        <v/>
      </c>
    </row>
    <row r="5524">
      <c r="B5524" s="21">
        <f>IF(AND(C5524&lt;&gt;"", J5524&lt;&gt;""), HYPERLINK("#'" &amp; C5524 &amp; "'!" &amp; J5524, J5524), "")</f>
        <v/>
      </c>
    </row>
    <row r="5525">
      <c r="B5525" s="21">
        <f>IF(AND(C5525&lt;&gt;"", J5525&lt;&gt;""), HYPERLINK("#'" &amp; C5525 &amp; "'!" &amp; J5525, J5525), "")</f>
        <v/>
      </c>
    </row>
    <row r="5526">
      <c r="B5526" s="21">
        <f>IF(AND(C5526&lt;&gt;"", J5526&lt;&gt;""), HYPERLINK("#'" &amp; C5526 &amp; "'!" &amp; J5526, J5526), "")</f>
        <v/>
      </c>
    </row>
    <row r="5527">
      <c r="B5527" s="21">
        <f>IF(AND(C5527&lt;&gt;"", J5527&lt;&gt;""), HYPERLINK("#'" &amp; C5527 &amp; "'!" &amp; J5527, J5527), "")</f>
        <v/>
      </c>
    </row>
    <row r="5528">
      <c r="B5528" s="21">
        <f>IF(AND(C5528&lt;&gt;"", J5528&lt;&gt;""), HYPERLINK("#'" &amp; C5528 &amp; "'!" &amp; J5528, J5528), "")</f>
        <v/>
      </c>
    </row>
    <row r="5529">
      <c r="B5529" s="21">
        <f>IF(AND(C5529&lt;&gt;"", J5529&lt;&gt;""), HYPERLINK("#'" &amp; C5529 &amp; "'!" &amp; J5529, J5529), "")</f>
        <v/>
      </c>
    </row>
    <row r="5530">
      <c r="B5530" s="21">
        <f>IF(AND(C5530&lt;&gt;"", J5530&lt;&gt;""), HYPERLINK("#'" &amp; C5530 &amp; "'!" &amp; J5530, J5530), "")</f>
        <v/>
      </c>
    </row>
    <row r="5531">
      <c r="B5531" s="21">
        <f>IF(AND(C5531&lt;&gt;"", J5531&lt;&gt;""), HYPERLINK("#'" &amp; C5531 &amp; "'!" &amp; J5531, J5531), "")</f>
        <v/>
      </c>
    </row>
    <row r="5532">
      <c r="B5532" s="21">
        <f>IF(AND(C5532&lt;&gt;"", J5532&lt;&gt;""), HYPERLINK("#'" &amp; C5532 &amp; "'!" &amp; J5532, J5532), "")</f>
        <v/>
      </c>
    </row>
    <row r="5533">
      <c r="B5533" s="21">
        <f>IF(AND(C5533&lt;&gt;"", J5533&lt;&gt;""), HYPERLINK("#'" &amp; C5533 &amp; "'!" &amp; J5533, J5533), "")</f>
        <v/>
      </c>
    </row>
    <row r="5534">
      <c r="B5534" s="21">
        <f>IF(AND(C5534&lt;&gt;"", J5534&lt;&gt;""), HYPERLINK("#'" &amp; C5534 &amp; "'!" &amp; J5534, J5534), "")</f>
        <v/>
      </c>
    </row>
    <row r="5535">
      <c r="B5535" s="21">
        <f>IF(AND(C5535&lt;&gt;"", J5535&lt;&gt;""), HYPERLINK("#'" &amp; C5535 &amp; "'!" &amp; J5535, J5535), "")</f>
        <v/>
      </c>
    </row>
    <row r="5536">
      <c r="B5536" s="21">
        <f>IF(AND(C5536&lt;&gt;"", J5536&lt;&gt;""), HYPERLINK("#'" &amp; C5536 &amp; "'!" &amp; J5536, J5536), "")</f>
        <v/>
      </c>
    </row>
    <row r="5537">
      <c r="B5537" s="21">
        <f>IF(AND(C5537&lt;&gt;"", J5537&lt;&gt;""), HYPERLINK("#'" &amp; C5537 &amp; "'!" &amp; J5537, J5537), "")</f>
        <v/>
      </c>
    </row>
    <row r="5538">
      <c r="B5538" s="21">
        <f>IF(AND(C5538&lt;&gt;"", J5538&lt;&gt;""), HYPERLINK("#'" &amp; C5538 &amp; "'!" &amp; J5538, J5538), "")</f>
        <v/>
      </c>
    </row>
    <row r="5539">
      <c r="B5539" s="21">
        <f>IF(AND(C5539&lt;&gt;"", J5539&lt;&gt;""), HYPERLINK("#'" &amp; C5539 &amp; "'!" &amp; J5539, J5539), "")</f>
        <v/>
      </c>
    </row>
    <row r="5540">
      <c r="B5540" s="21">
        <f>IF(AND(C5540&lt;&gt;"", J5540&lt;&gt;""), HYPERLINK("#'" &amp; C5540 &amp; "'!" &amp; J5540, J5540), "")</f>
        <v/>
      </c>
    </row>
    <row r="5541">
      <c r="B5541" s="21">
        <f>IF(AND(C5541&lt;&gt;"", J5541&lt;&gt;""), HYPERLINK("#'" &amp; C5541 &amp; "'!" &amp; J5541, J5541), "")</f>
        <v/>
      </c>
    </row>
    <row r="5542">
      <c r="B5542" s="21">
        <f>IF(AND(C5542&lt;&gt;"", J5542&lt;&gt;""), HYPERLINK("#'" &amp; C5542 &amp; "'!" &amp; J5542, J5542), "")</f>
        <v/>
      </c>
    </row>
    <row r="5543">
      <c r="B5543" s="21">
        <f>IF(AND(C5543&lt;&gt;"", J5543&lt;&gt;""), HYPERLINK("#'" &amp; C5543 &amp; "'!" &amp; J5543, J5543), "")</f>
        <v/>
      </c>
    </row>
    <row r="5544">
      <c r="B5544" s="21">
        <f>IF(AND(C5544&lt;&gt;"", J5544&lt;&gt;""), HYPERLINK("#'" &amp; C5544 &amp; "'!" &amp; J5544, J5544), "")</f>
        <v/>
      </c>
    </row>
    <row r="5545">
      <c r="B5545" s="21">
        <f>IF(AND(C5545&lt;&gt;"", J5545&lt;&gt;""), HYPERLINK("#'" &amp; C5545 &amp; "'!" &amp; J5545, J5545), "")</f>
        <v/>
      </c>
    </row>
    <row r="5546">
      <c r="B5546" s="21">
        <f>IF(AND(C5546&lt;&gt;"", J5546&lt;&gt;""), HYPERLINK("#'" &amp; C5546 &amp; "'!" &amp; J5546, J5546), "")</f>
        <v/>
      </c>
    </row>
    <row r="5547">
      <c r="B5547" s="21">
        <f>IF(AND(C5547&lt;&gt;"", J5547&lt;&gt;""), HYPERLINK("#'" &amp; C5547 &amp; "'!" &amp; J5547, J5547), "")</f>
        <v/>
      </c>
    </row>
    <row r="5548">
      <c r="B5548" s="21">
        <f>IF(AND(C5548&lt;&gt;"", J5548&lt;&gt;""), HYPERLINK("#'" &amp; C5548 &amp; "'!" &amp; J5548, J5548), "")</f>
        <v/>
      </c>
    </row>
    <row r="5549">
      <c r="B5549" s="21">
        <f>IF(AND(C5549&lt;&gt;"", J5549&lt;&gt;""), HYPERLINK("#'" &amp; C5549 &amp; "'!" &amp; J5549, J5549), "")</f>
        <v/>
      </c>
    </row>
    <row r="5550">
      <c r="B5550" s="21">
        <f>IF(AND(C5550&lt;&gt;"", J5550&lt;&gt;""), HYPERLINK("#'" &amp; C5550 &amp; "'!" &amp; J5550, J5550), "")</f>
        <v/>
      </c>
    </row>
    <row r="5551">
      <c r="B5551" s="21">
        <f>IF(AND(C5551&lt;&gt;"", J5551&lt;&gt;""), HYPERLINK("#'" &amp; C5551 &amp; "'!" &amp; J5551, J5551), "")</f>
        <v/>
      </c>
    </row>
    <row r="5552">
      <c r="B5552" s="21">
        <f>IF(AND(C5552&lt;&gt;"", J5552&lt;&gt;""), HYPERLINK("#'" &amp; C5552 &amp; "'!" &amp; J5552, J5552), "")</f>
        <v/>
      </c>
    </row>
    <row r="5553">
      <c r="B5553" s="21">
        <f>IF(AND(C5553&lt;&gt;"", J5553&lt;&gt;""), HYPERLINK("#'" &amp; C5553 &amp; "'!" &amp; J5553, J5553), "")</f>
        <v/>
      </c>
    </row>
    <row r="5554">
      <c r="B5554" s="21">
        <f>IF(AND(C5554&lt;&gt;"", J5554&lt;&gt;""), HYPERLINK("#'" &amp; C5554 &amp; "'!" &amp; J5554, J5554), "")</f>
        <v/>
      </c>
    </row>
    <row r="5555">
      <c r="B5555" s="21">
        <f>IF(AND(C5555&lt;&gt;"", J5555&lt;&gt;""), HYPERLINK("#'" &amp; C5555 &amp; "'!" &amp; J5555, J5555), "")</f>
        <v/>
      </c>
    </row>
    <row r="5556">
      <c r="B5556" s="21">
        <f>IF(AND(C5556&lt;&gt;"", J5556&lt;&gt;""), HYPERLINK("#'" &amp; C5556 &amp; "'!" &amp; J5556, J5556), "")</f>
        <v/>
      </c>
    </row>
    <row r="5557">
      <c r="B5557" s="21">
        <f>IF(AND(C5557&lt;&gt;"", J5557&lt;&gt;""), HYPERLINK("#'" &amp; C5557 &amp; "'!" &amp; J5557, J5557), "")</f>
        <v/>
      </c>
    </row>
    <row r="5558">
      <c r="B5558" s="21">
        <f>IF(AND(C5558&lt;&gt;"", J5558&lt;&gt;""), HYPERLINK("#'" &amp; C5558 &amp; "'!" &amp; J5558, J5558), "")</f>
        <v/>
      </c>
    </row>
    <row r="5559">
      <c r="B5559" s="21">
        <f>IF(AND(C5559&lt;&gt;"", J5559&lt;&gt;""), HYPERLINK("#'" &amp; C5559 &amp; "'!" &amp; J5559, J5559), "")</f>
        <v/>
      </c>
    </row>
    <row r="5560">
      <c r="B5560" s="21">
        <f>IF(AND(C5560&lt;&gt;"", J5560&lt;&gt;""), HYPERLINK("#'" &amp; C5560 &amp; "'!" &amp; J5560, J5560), "")</f>
        <v/>
      </c>
    </row>
    <row r="5561">
      <c r="B5561" s="21">
        <f>IF(AND(C5561&lt;&gt;"", J5561&lt;&gt;""), HYPERLINK("#'" &amp; C5561 &amp; "'!" &amp; J5561, J5561), "")</f>
        <v/>
      </c>
    </row>
    <row r="5562">
      <c r="B5562" s="21">
        <f>IF(AND(C5562&lt;&gt;"", J5562&lt;&gt;""), HYPERLINK("#'" &amp; C5562 &amp; "'!" &amp; J5562, J5562), "")</f>
        <v/>
      </c>
    </row>
    <row r="5563">
      <c r="B5563" s="21">
        <f>IF(AND(C5563&lt;&gt;"", J5563&lt;&gt;""), HYPERLINK("#'" &amp; C5563 &amp; "'!" &amp; J5563, J5563), "")</f>
        <v/>
      </c>
    </row>
    <row r="5564">
      <c r="B5564" s="21">
        <f>IF(AND(C5564&lt;&gt;"", J5564&lt;&gt;""), HYPERLINK("#'" &amp; C5564 &amp; "'!" &amp; J5564, J5564), "")</f>
        <v/>
      </c>
    </row>
    <row r="5565">
      <c r="B5565" s="21">
        <f>IF(AND(C5565&lt;&gt;"", J5565&lt;&gt;""), HYPERLINK("#'" &amp; C5565 &amp; "'!" &amp; J5565, J5565), "")</f>
        <v/>
      </c>
    </row>
    <row r="5566">
      <c r="B5566" s="21">
        <f>IF(AND(C5566&lt;&gt;"", J5566&lt;&gt;""), HYPERLINK("#'" &amp; C5566 &amp; "'!" &amp; J5566, J5566), "")</f>
        <v/>
      </c>
    </row>
    <row r="5567">
      <c r="B5567" s="21">
        <f>IF(AND(C5567&lt;&gt;"", J5567&lt;&gt;""), HYPERLINK("#'" &amp; C5567 &amp; "'!" &amp; J5567, J5567), "")</f>
        <v/>
      </c>
    </row>
    <row r="5568">
      <c r="B5568" s="21">
        <f>IF(AND(C5568&lt;&gt;"", J5568&lt;&gt;""), HYPERLINK("#'" &amp; C5568 &amp; "'!" &amp; J5568, J5568), "")</f>
        <v/>
      </c>
    </row>
    <row r="5569">
      <c r="B5569" s="21">
        <f>IF(AND(C5569&lt;&gt;"", J5569&lt;&gt;""), HYPERLINK("#'" &amp; C5569 &amp; "'!" &amp; J5569, J5569), "")</f>
        <v/>
      </c>
    </row>
    <row r="5570">
      <c r="B5570" s="21">
        <f>IF(AND(C5570&lt;&gt;"", J5570&lt;&gt;""), HYPERLINK("#'" &amp; C5570 &amp; "'!" &amp; J5570, J5570), "")</f>
        <v/>
      </c>
    </row>
    <row r="5571">
      <c r="B5571" s="21">
        <f>IF(AND(C5571&lt;&gt;"", J5571&lt;&gt;""), HYPERLINK("#'" &amp; C5571 &amp; "'!" &amp; J5571, J5571), "")</f>
        <v/>
      </c>
    </row>
    <row r="5572">
      <c r="B5572" s="21">
        <f>IF(AND(C5572&lt;&gt;"", J5572&lt;&gt;""), HYPERLINK("#'" &amp; C5572 &amp; "'!" &amp; J5572, J5572), "")</f>
        <v/>
      </c>
    </row>
    <row r="5573">
      <c r="B5573" s="21">
        <f>IF(AND(C5573&lt;&gt;"", J5573&lt;&gt;""), HYPERLINK("#'" &amp; C5573 &amp; "'!" &amp; J5573, J5573), "")</f>
        <v/>
      </c>
    </row>
    <row r="5574">
      <c r="B5574" s="21">
        <f>IF(AND(C5574&lt;&gt;"", J5574&lt;&gt;""), HYPERLINK("#'" &amp; C5574 &amp; "'!" &amp; J5574, J5574), "")</f>
        <v/>
      </c>
    </row>
    <row r="5575">
      <c r="B5575" s="21">
        <f>IF(AND(C5575&lt;&gt;"", J5575&lt;&gt;""), HYPERLINK("#'" &amp; C5575 &amp; "'!" &amp; J5575, J5575), "")</f>
        <v/>
      </c>
    </row>
    <row r="5576">
      <c r="B5576" s="21">
        <f>IF(AND(C5576&lt;&gt;"", J5576&lt;&gt;""), HYPERLINK("#'" &amp; C5576 &amp; "'!" &amp; J5576, J5576), "")</f>
        <v/>
      </c>
    </row>
    <row r="5577">
      <c r="B5577" s="21">
        <f>IF(AND(C5577&lt;&gt;"", J5577&lt;&gt;""), HYPERLINK("#'" &amp; C5577 &amp; "'!" &amp; J5577, J5577), "")</f>
        <v/>
      </c>
    </row>
    <row r="5578">
      <c r="B5578" s="21">
        <f>IF(AND(C5578&lt;&gt;"", J5578&lt;&gt;""), HYPERLINK("#'" &amp; C5578 &amp; "'!" &amp; J5578, J5578), "")</f>
        <v/>
      </c>
    </row>
    <row r="5579">
      <c r="B5579" s="21">
        <f>IF(AND(C5579&lt;&gt;"", J5579&lt;&gt;""), HYPERLINK("#'" &amp; C5579 &amp; "'!" &amp; J5579, J5579), "")</f>
        <v/>
      </c>
    </row>
    <row r="5580">
      <c r="B5580" s="21">
        <f>IF(AND(C5580&lt;&gt;"", J5580&lt;&gt;""), HYPERLINK("#'" &amp; C5580 &amp; "'!" &amp; J5580, J5580), "")</f>
        <v/>
      </c>
    </row>
    <row r="5581">
      <c r="B5581" s="21">
        <f>IF(AND(C5581&lt;&gt;"", J5581&lt;&gt;""), HYPERLINK("#'" &amp; C5581 &amp; "'!" &amp; J5581, J5581), "")</f>
        <v/>
      </c>
    </row>
    <row r="5582">
      <c r="B5582" s="21">
        <f>IF(AND(C5582&lt;&gt;"", J5582&lt;&gt;""), HYPERLINK("#'" &amp; C5582 &amp; "'!" &amp; J5582, J5582), "")</f>
        <v/>
      </c>
    </row>
    <row r="5583">
      <c r="B5583" s="21">
        <f>IF(AND(C5583&lt;&gt;"", J5583&lt;&gt;""), HYPERLINK("#'" &amp; C5583 &amp; "'!" &amp; J5583, J5583), "")</f>
        <v/>
      </c>
    </row>
    <row r="5584">
      <c r="B5584" s="21">
        <f>IF(AND(C5584&lt;&gt;"", J5584&lt;&gt;""), HYPERLINK("#'" &amp; C5584 &amp; "'!" &amp; J5584, J5584), "")</f>
        <v/>
      </c>
    </row>
    <row r="5585">
      <c r="B5585" s="21">
        <f>IF(AND(C5585&lt;&gt;"", J5585&lt;&gt;""), HYPERLINK("#'" &amp; C5585 &amp; "'!" &amp; J5585, J5585), "")</f>
        <v/>
      </c>
    </row>
    <row r="5586">
      <c r="B5586" s="21">
        <f>IF(AND(C5586&lt;&gt;"", J5586&lt;&gt;""), HYPERLINK("#'" &amp; C5586 &amp; "'!" &amp; J5586, J5586), "")</f>
        <v/>
      </c>
    </row>
    <row r="5587">
      <c r="B5587" s="21">
        <f>IF(AND(C5587&lt;&gt;"", J5587&lt;&gt;""), HYPERLINK("#'" &amp; C5587 &amp; "'!" &amp; J5587, J5587), "")</f>
        <v/>
      </c>
    </row>
    <row r="5588">
      <c r="B5588" s="21">
        <f>IF(AND(C5588&lt;&gt;"", J5588&lt;&gt;""), HYPERLINK("#'" &amp; C5588 &amp; "'!" &amp; J5588, J5588), "")</f>
        <v/>
      </c>
    </row>
    <row r="5589">
      <c r="B5589" s="21">
        <f>IF(AND(C5589&lt;&gt;"", J5589&lt;&gt;""), HYPERLINK("#'" &amp; C5589 &amp; "'!" &amp; J5589, J5589), "")</f>
        <v/>
      </c>
    </row>
    <row r="5590">
      <c r="B5590" s="21">
        <f>IF(AND(C5590&lt;&gt;"", J5590&lt;&gt;""), HYPERLINK("#'" &amp; C5590 &amp; "'!" &amp; J5590, J5590), "")</f>
        <v/>
      </c>
    </row>
    <row r="5591">
      <c r="B5591" s="21">
        <f>IF(AND(C5591&lt;&gt;"", J5591&lt;&gt;""), HYPERLINK("#'" &amp; C5591 &amp; "'!" &amp; J5591, J5591), "")</f>
        <v/>
      </c>
    </row>
    <row r="5592">
      <c r="B5592" s="21">
        <f>IF(AND(C5592&lt;&gt;"", J5592&lt;&gt;""), HYPERLINK("#'" &amp; C5592 &amp; "'!" &amp; J5592, J5592), "")</f>
        <v/>
      </c>
    </row>
    <row r="5593">
      <c r="B5593" s="21">
        <f>IF(AND(C5593&lt;&gt;"", J5593&lt;&gt;""), HYPERLINK("#'" &amp; C5593 &amp; "'!" &amp; J5593, J5593), "")</f>
        <v/>
      </c>
    </row>
    <row r="5594">
      <c r="B5594" s="21">
        <f>IF(AND(C5594&lt;&gt;"", J5594&lt;&gt;""), HYPERLINK("#'" &amp; C5594 &amp; "'!" &amp; J5594, J5594), "")</f>
        <v/>
      </c>
    </row>
    <row r="5595">
      <c r="B5595" s="21">
        <f>IF(AND(C5595&lt;&gt;"", J5595&lt;&gt;""), HYPERLINK("#'" &amp; C5595 &amp; "'!" &amp; J5595, J5595), "")</f>
        <v/>
      </c>
    </row>
    <row r="5596">
      <c r="B5596" s="21">
        <f>IF(AND(C5596&lt;&gt;"", J5596&lt;&gt;""), HYPERLINK("#'" &amp; C5596 &amp; "'!" &amp; J5596, J5596), "")</f>
        <v/>
      </c>
    </row>
    <row r="5597">
      <c r="B5597" s="21">
        <f>IF(AND(C5597&lt;&gt;"", J5597&lt;&gt;""), HYPERLINK("#'" &amp; C5597 &amp; "'!" &amp; J5597, J5597), "")</f>
        <v/>
      </c>
    </row>
    <row r="5598">
      <c r="B5598" s="21">
        <f>IF(AND(C5598&lt;&gt;"", J5598&lt;&gt;""), HYPERLINK("#'" &amp; C5598 &amp; "'!" &amp; J5598, J5598), "")</f>
        <v/>
      </c>
    </row>
    <row r="5599">
      <c r="B5599" s="21">
        <f>IF(AND(C5599&lt;&gt;"", J5599&lt;&gt;""), HYPERLINK("#'" &amp; C5599 &amp; "'!" &amp; J5599, J5599), "")</f>
        <v/>
      </c>
    </row>
    <row r="5600">
      <c r="B5600" s="21">
        <f>IF(AND(C5600&lt;&gt;"", J5600&lt;&gt;""), HYPERLINK("#'" &amp; C5600 &amp; "'!" &amp; J5600, J5600), "")</f>
        <v/>
      </c>
    </row>
    <row r="5601">
      <c r="B5601" s="21">
        <f>IF(AND(C5601&lt;&gt;"", J5601&lt;&gt;""), HYPERLINK("#'" &amp; C5601 &amp; "'!" &amp; J5601, J5601), "")</f>
        <v/>
      </c>
    </row>
    <row r="5602">
      <c r="B5602" s="21">
        <f>IF(AND(C5602&lt;&gt;"", J5602&lt;&gt;""), HYPERLINK("#'" &amp; C5602 &amp; "'!" &amp; J5602, J5602), "")</f>
        <v/>
      </c>
    </row>
    <row r="5603">
      <c r="B5603" s="21">
        <f>IF(AND(C5603&lt;&gt;"", J5603&lt;&gt;""), HYPERLINK("#'" &amp; C5603 &amp; "'!" &amp; J5603, J5603), "")</f>
        <v/>
      </c>
    </row>
    <row r="5604">
      <c r="B5604" s="21">
        <f>IF(AND(C5604&lt;&gt;"", J5604&lt;&gt;""), HYPERLINK("#'" &amp; C5604 &amp; "'!" &amp; J5604, J5604), "")</f>
        <v/>
      </c>
    </row>
    <row r="5605">
      <c r="B5605" s="21">
        <f>IF(AND(C5605&lt;&gt;"", J5605&lt;&gt;""), HYPERLINK("#'" &amp; C5605 &amp; "'!" &amp; J5605, J5605), "")</f>
        <v/>
      </c>
    </row>
    <row r="5606">
      <c r="B5606" s="21">
        <f>IF(AND(C5606&lt;&gt;"", J5606&lt;&gt;""), HYPERLINK("#'" &amp; C5606 &amp; "'!" &amp; J5606, J5606), "")</f>
        <v/>
      </c>
    </row>
    <row r="5607">
      <c r="B5607" s="21">
        <f>IF(AND(C5607&lt;&gt;"", J5607&lt;&gt;""), HYPERLINK("#'" &amp; C5607 &amp; "'!" &amp; J5607, J5607), "")</f>
        <v/>
      </c>
    </row>
    <row r="5608">
      <c r="B5608" s="21">
        <f>IF(AND(C5608&lt;&gt;"", J5608&lt;&gt;""), HYPERLINK("#'" &amp; C5608 &amp; "'!" &amp; J5608, J5608), "")</f>
        <v/>
      </c>
    </row>
    <row r="5609">
      <c r="B5609" s="21">
        <f>IF(AND(C5609&lt;&gt;"", J5609&lt;&gt;""), HYPERLINK("#'" &amp; C5609 &amp; "'!" &amp; J5609, J5609), "")</f>
        <v/>
      </c>
    </row>
    <row r="5610">
      <c r="B5610" s="21">
        <f>IF(AND(C5610&lt;&gt;"", J5610&lt;&gt;""), HYPERLINK("#'" &amp; C5610 &amp; "'!" &amp; J5610, J5610), "")</f>
        <v/>
      </c>
    </row>
    <row r="5611">
      <c r="B5611" s="21">
        <f>IF(AND(C5611&lt;&gt;"", J5611&lt;&gt;""), HYPERLINK("#'" &amp; C5611 &amp; "'!" &amp; J5611, J5611), "")</f>
        <v/>
      </c>
    </row>
    <row r="5612">
      <c r="B5612" s="21">
        <f>IF(AND(C5612&lt;&gt;"", J5612&lt;&gt;""), HYPERLINK("#'" &amp; C5612 &amp; "'!" &amp; J5612, J5612), "")</f>
        <v/>
      </c>
    </row>
    <row r="5613">
      <c r="B5613" s="21">
        <f>IF(AND(C5613&lt;&gt;"", J5613&lt;&gt;""), HYPERLINK("#'" &amp; C5613 &amp; "'!" &amp; J5613, J5613), "")</f>
        <v/>
      </c>
    </row>
    <row r="5614">
      <c r="B5614" s="21">
        <f>IF(AND(C5614&lt;&gt;"", J5614&lt;&gt;""), HYPERLINK("#'" &amp; C5614 &amp; "'!" &amp; J5614, J5614), "")</f>
        <v/>
      </c>
    </row>
    <row r="5615">
      <c r="B5615" s="21">
        <f>IF(AND(C5615&lt;&gt;"", J5615&lt;&gt;""), HYPERLINK("#'" &amp; C5615 &amp; "'!" &amp; J5615, J5615), "")</f>
        <v/>
      </c>
    </row>
    <row r="5616">
      <c r="B5616" s="21">
        <f>IF(AND(C5616&lt;&gt;"", J5616&lt;&gt;""), HYPERLINK("#'" &amp; C5616 &amp; "'!" &amp; J5616, J5616), "")</f>
        <v/>
      </c>
    </row>
    <row r="5617">
      <c r="B5617" s="21">
        <f>IF(AND(C5617&lt;&gt;"", J5617&lt;&gt;""), HYPERLINK("#'" &amp; C5617 &amp; "'!" &amp; J5617, J5617), "")</f>
        <v/>
      </c>
    </row>
    <row r="5618">
      <c r="B5618" s="21">
        <f>IF(AND(C5618&lt;&gt;"", J5618&lt;&gt;""), HYPERLINK("#'" &amp; C5618 &amp; "'!" &amp; J5618, J5618), "")</f>
        <v/>
      </c>
    </row>
    <row r="5619">
      <c r="B5619" s="21">
        <f>IF(AND(C5619&lt;&gt;"", J5619&lt;&gt;""), HYPERLINK("#'" &amp; C5619 &amp; "'!" &amp; J5619, J5619), "")</f>
        <v/>
      </c>
    </row>
    <row r="5620">
      <c r="B5620" s="21">
        <f>IF(AND(C5620&lt;&gt;"", J5620&lt;&gt;""), HYPERLINK("#'" &amp; C5620 &amp; "'!" &amp; J5620, J5620), "")</f>
        <v/>
      </c>
    </row>
    <row r="5621">
      <c r="B5621" s="21">
        <f>IF(AND(C5621&lt;&gt;"", J5621&lt;&gt;""), HYPERLINK("#'" &amp; C5621 &amp; "'!" &amp; J5621, J5621), "")</f>
        <v/>
      </c>
    </row>
    <row r="5622">
      <c r="B5622" s="21">
        <f>IF(AND(C5622&lt;&gt;"", J5622&lt;&gt;""), HYPERLINK("#'" &amp; C5622 &amp; "'!" &amp; J5622, J5622), "")</f>
        <v/>
      </c>
    </row>
    <row r="5623">
      <c r="B5623" s="21">
        <f>IF(AND(C5623&lt;&gt;"", J5623&lt;&gt;""), HYPERLINK("#'" &amp; C5623 &amp; "'!" &amp; J5623, J5623), "")</f>
        <v/>
      </c>
    </row>
    <row r="5624">
      <c r="B5624" s="21">
        <f>IF(AND(C5624&lt;&gt;"", J5624&lt;&gt;""), HYPERLINK("#'" &amp; C5624 &amp; "'!" &amp; J5624, J5624), "")</f>
        <v/>
      </c>
    </row>
    <row r="5625">
      <c r="B5625" s="21">
        <f>IF(AND(C5625&lt;&gt;"", J5625&lt;&gt;""), HYPERLINK("#'" &amp; C5625 &amp; "'!" &amp; J5625, J5625), "")</f>
        <v/>
      </c>
    </row>
    <row r="5626">
      <c r="B5626" s="21">
        <f>IF(AND(C5626&lt;&gt;"", J5626&lt;&gt;""), HYPERLINK("#'" &amp; C5626 &amp; "'!" &amp; J5626, J5626), "")</f>
        <v/>
      </c>
    </row>
    <row r="5627">
      <c r="B5627" s="21">
        <f>IF(AND(C5627&lt;&gt;"", J5627&lt;&gt;""), HYPERLINK("#'" &amp; C5627 &amp; "'!" &amp; J5627, J5627), "")</f>
        <v/>
      </c>
    </row>
    <row r="5628">
      <c r="B5628" s="21">
        <f>IF(AND(C5628&lt;&gt;"", J5628&lt;&gt;""), HYPERLINK("#'" &amp; C5628 &amp; "'!" &amp; J5628, J5628), "")</f>
        <v/>
      </c>
    </row>
    <row r="5629">
      <c r="B5629" s="21">
        <f>IF(AND(C5629&lt;&gt;"", J5629&lt;&gt;""), HYPERLINK("#'" &amp; C5629 &amp; "'!" &amp; J5629, J5629), "")</f>
        <v/>
      </c>
    </row>
    <row r="5630">
      <c r="B5630" s="21">
        <f>IF(AND(C5630&lt;&gt;"", J5630&lt;&gt;""), HYPERLINK("#'" &amp; C5630 &amp; "'!" &amp; J5630, J5630), "")</f>
        <v/>
      </c>
    </row>
    <row r="5631">
      <c r="B5631" s="21">
        <f>IF(AND(C5631&lt;&gt;"", J5631&lt;&gt;""), HYPERLINK("#'" &amp; C5631 &amp; "'!" &amp; J5631, J5631), "")</f>
        <v/>
      </c>
    </row>
    <row r="5632">
      <c r="B5632" s="21">
        <f>IF(AND(C5632&lt;&gt;"", J5632&lt;&gt;""), HYPERLINK("#'" &amp; C5632 &amp; "'!" &amp; J5632, J5632), "")</f>
        <v/>
      </c>
    </row>
    <row r="5633">
      <c r="B5633" s="21">
        <f>IF(AND(C5633&lt;&gt;"", J5633&lt;&gt;""), HYPERLINK("#'" &amp; C5633 &amp; "'!" &amp; J5633, J5633), "")</f>
        <v/>
      </c>
    </row>
    <row r="5634">
      <c r="B5634" s="21">
        <f>IF(AND(C5634&lt;&gt;"", J5634&lt;&gt;""), HYPERLINK("#'" &amp; C5634 &amp; "'!" &amp; J5634, J5634), "")</f>
        <v/>
      </c>
    </row>
    <row r="5635">
      <c r="B5635" s="21">
        <f>IF(AND(C5635&lt;&gt;"", J5635&lt;&gt;""), HYPERLINK("#'" &amp; C5635 &amp; "'!" &amp; J5635, J5635), "")</f>
        <v/>
      </c>
    </row>
    <row r="5636">
      <c r="B5636" s="21">
        <f>IF(AND(C5636&lt;&gt;"", J5636&lt;&gt;""), HYPERLINK("#'" &amp; C5636 &amp; "'!" &amp; J5636, J5636), "")</f>
        <v/>
      </c>
    </row>
    <row r="5637">
      <c r="B5637" s="21">
        <f>IF(AND(C5637&lt;&gt;"", J5637&lt;&gt;""), HYPERLINK("#'" &amp; C5637 &amp; "'!" &amp; J5637, J5637), "")</f>
        <v/>
      </c>
    </row>
    <row r="5638">
      <c r="B5638" s="21">
        <f>IF(AND(C5638&lt;&gt;"", J5638&lt;&gt;""), HYPERLINK("#'" &amp; C5638 &amp; "'!" &amp; J5638, J5638), "")</f>
        <v/>
      </c>
    </row>
    <row r="5639">
      <c r="B5639" s="21">
        <f>IF(AND(C5639&lt;&gt;"", J5639&lt;&gt;""), HYPERLINK("#'" &amp; C5639 &amp; "'!" &amp; J5639, J5639), "")</f>
        <v/>
      </c>
    </row>
    <row r="5640">
      <c r="B5640" s="21">
        <f>IF(AND(C5640&lt;&gt;"", J5640&lt;&gt;""), HYPERLINK("#'" &amp; C5640 &amp; "'!" &amp; J5640, J5640), "")</f>
        <v/>
      </c>
    </row>
    <row r="5641">
      <c r="B5641" s="21">
        <f>IF(AND(C5641&lt;&gt;"", J5641&lt;&gt;""), HYPERLINK("#'" &amp; C5641 &amp; "'!" &amp; J5641, J5641), "")</f>
        <v/>
      </c>
    </row>
    <row r="5642">
      <c r="B5642" s="21">
        <f>IF(AND(C5642&lt;&gt;"", J5642&lt;&gt;""), HYPERLINK("#'" &amp; C5642 &amp; "'!" &amp; J5642, J5642), "")</f>
        <v/>
      </c>
    </row>
    <row r="5643">
      <c r="B5643" s="21">
        <f>IF(AND(C5643&lt;&gt;"", J5643&lt;&gt;""), HYPERLINK("#'" &amp; C5643 &amp; "'!" &amp; J5643, J5643), "")</f>
        <v/>
      </c>
    </row>
    <row r="5644">
      <c r="B5644" s="21">
        <f>IF(AND(C5644&lt;&gt;"", J5644&lt;&gt;""), HYPERLINK("#'" &amp; C5644 &amp; "'!" &amp; J5644, J5644), "")</f>
        <v/>
      </c>
    </row>
    <row r="5645">
      <c r="B5645" s="21">
        <f>IF(AND(C5645&lt;&gt;"", J5645&lt;&gt;""), HYPERLINK("#'" &amp; C5645 &amp; "'!" &amp; J5645, J5645), "")</f>
        <v/>
      </c>
    </row>
    <row r="5646">
      <c r="B5646" s="21">
        <f>IF(AND(C5646&lt;&gt;"", J5646&lt;&gt;""), HYPERLINK("#'" &amp; C5646 &amp; "'!" &amp; J5646, J5646), "")</f>
        <v/>
      </c>
    </row>
    <row r="5647">
      <c r="B5647" s="21">
        <f>IF(AND(C5647&lt;&gt;"", J5647&lt;&gt;""), HYPERLINK("#'" &amp; C5647 &amp; "'!" &amp; J5647, J5647), "")</f>
        <v/>
      </c>
    </row>
    <row r="5648">
      <c r="B5648" s="21">
        <f>IF(AND(C5648&lt;&gt;"", J5648&lt;&gt;""), HYPERLINK("#'" &amp; C5648 &amp; "'!" &amp; J5648, J5648), "")</f>
        <v/>
      </c>
    </row>
    <row r="5649">
      <c r="B5649" s="21">
        <f>IF(AND(C5649&lt;&gt;"", J5649&lt;&gt;""), HYPERLINK("#'" &amp; C5649 &amp; "'!" &amp; J5649, J5649), "")</f>
        <v/>
      </c>
    </row>
    <row r="5650">
      <c r="B5650" s="21">
        <f>IF(AND(C5650&lt;&gt;"", J5650&lt;&gt;""), HYPERLINK("#'" &amp; C5650 &amp; "'!" &amp; J5650, J5650), "")</f>
        <v/>
      </c>
    </row>
    <row r="5651">
      <c r="B5651" s="21">
        <f>IF(AND(C5651&lt;&gt;"", J5651&lt;&gt;""), HYPERLINK("#'" &amp; C5651 &amp; "'!" &amp; J5651, J5651), "")</f>
        <v/>
      </c>
    </row>
    <row r="5652">
      <c r="B5652" s="21">
        <f>IF(AND(C5652&lt;&gt;"", J5652&lt;&gt;""), HYPERLINK("#'" &amp; C5652 &amp; "'!" &amp; J5652, J5652), "")</f>
        <v/>
      </c>
    </row>
    <row r="5653">
      <c r="B5653" s="21">
        <f>IF(AND(C5653&lt;&gt;"", J5653&lt;&gt;""), HYPERLINK("#'" &amp; C5653 &amp; "'!" &amp; J5653, J5653), "")</f>
        <v/>
      </c>
    </row>
    <row r="5654">
      <c r="B5654" s="21">
        <f>IF(AND(C5654&lt;&gt;"", J5654&lt;&gt;""), HYPERLINK("#'" &amp; C5654 &amp; "'!" &amp; J5654, J5654), "")</f>
        <v/>
      </c>
    </row>
    <row r="5655">
      <c r="B5655" s="21">
        <f>IF(AND(C5655&lt;&gt;"", J5655&lt;&gt;""), HYPERLINK("#'" &amp; C5655 &amp; "'!" &amp; J5655, J5655), "")</f>
        <v/>
      </c>
    </row>
    <row r="5656">
      <c r="B5656" s="21">
        <f>IF(AND(C5656&lt;&gt;"", J5656&lt;&gt;""), HYPERLINK("#'" &amp; C5656 &amp; "'!" &amp; J5656, J5656), "")</f>
        <v/>
      </c>
    </row>
    <row r="5657">
      <c r="B5657" s="21">
        <f>IF(AND(C5657&lt;&gt;"", J5657&lt;&gt;""), HYPERLINK("#'" &amp; C5657 &amp; "'!" &amp; J5657, J5657), "")</f>
        <v/>
      </c>
    </row>
    <row r="5658">
      <c r="B5658" s="21">
        <f>IF(AND(C5658&lt;&gt;"", J5658&lt;&gt;""), HYPERLINK("#'" &amp; C5658 &amp; "'!" &amp; J5658, J5658), "")</f>
        <v/>
      </c>
    </row>
    <row r="5659">
      <c r="B5659" s="21">
        <f>IF(AND(C5659&lt;&gt;"", J5659&lt;&gt;""), HYPERLINK("#'" &amp; C5659 &amp; "'!" &amp; J5659, J5659), "")</f>
        <v/>
      </c>
    </row>
    <row r="5660">
      <c r="B5660" s="21">
        <f>IF(AND(C5660&lt;&gt;"", J5660&lt;&gt;""), HYPERLINK("#'" &amp; C5660 &amp; "'!" &amp; J5660, J5660), "")</f>
        <v/>
      </c>
    </row>
    <row r="5661">
      <c r="B5661" s="21">
        <f>IF(AND(C5661&lt;&gt;"", J5661&lt;&gt;""), HYPERLINK("#'" &amp; C5661 &amp; "'!" &amp; J5661, J5661), "")</f>
        <v/>
      </c>
    </row>
    <row r="5662">
      <c r="B5662" s="21">
        <f>IF(AND(C5662&lt;&gt;"", J5662&lt;&gt;""), HYPERLINK("#'" &amp; C5662 &amp; "'!" &amp; J5662, J5662), "")</f>
        <v/>
      </c>
    </row>
    <row r="5663">
      <c r="B5663" s="21">
        <f>IF(AND(C5663&lt;&gt;"", J5663&lt;&gt;""), HYPERLINK("#'" &amp; C5663 &amp; "'!" &amp; J5663, J5663), "")</f>
        <v/>
      </c>
    </row>
    <row r="5664">
      <c r="B5664" s="21">
        <f>IF(AND(C5664&lt;&gt;"", J5664&lt;&gt;""), HYPERLINK("#'" &amp; C5664 &amp; "'!" &amp; J5664, J5664), "")</f>
        <v/>
      </c>
    </row>
    <row r="5665">
      <c r="B5665" s="21">
        <f>IF(AND(C5665&lt;&gt;"", J5665&lt;&gt;""), HYPERLINK("#'" &amp; C5665 &amp; "'!" &amp; J5665, J5665), "")</f>
        <v/>
      </c>
    </row>
    <row r="5666">
      <c r="B5666" s="21">
        <f>IF(AND(C5666&lt;&gt;"", J5666&lt;&gt;""), HYPERLINK("#'" &amp; C5666 &amp; "'!" &amp; J5666, J5666), "")</f>
        <v/>
      </c>
    </row>
    <row r="5667">
      <c r="B5667" s="21">
        <f>IF(AND(C5667&lt;&gt;"", J5667&lt;&gt;""), HYPERLINK("#'" &amp; C5667 &amp; "'!" &amp; J5667, J5667), "")</f>
        <v/>
      </c>
    </row>
    <row r="5668">
      <c r="B5668" s="21">
        <f>IF(AND(C5668&lt;&gt;"", J5668&lt;&gt;""), HYPERLINK("#'" &amp; C5668 &amp; "'!" &amp; J5668, J5668), "")</f>
        <v/>
      </c>
    </row>
    <row r="5669">
      <c r="B5669" s="21">
        <f>IF(AND(C5669&lt;&gt;"", J5669&lt;&gt;""), HYPERLINK("#'" &amp; C5669 &amp; "'!" &amp; J5669, J5669), "")</f>
        <v/>
      </c>
    </row>
    <row r="5670">
      <c r="B5670" s="21">
        <f>IF(AND(C5670&lt;&gt;"", J5670&lt;&gt;""), HYPERLINK("#'" &amp; C5670 &amp; "'!" &amp; J5670, J5670), "")</f>
        <v/>
      </c>
    </row>
    <row r="5671">
      <c r="B5671" s="21">
        <f>IF(AND(C5671&lt;&gt;"", J5671&lt;&gt;""), HYPERLINK("#'" &amp; C5671 &amp; "'!" &amp; J5671, J5671), "")</f>
        <v/>
      </c>
    </row>
    <row r="5672">
      <c r="B5672" s="21">
        <f>IF(AND(C5672&lt;&gt;"", J5672&lt;&gt;""), HYPERLINK("#'" &amp; C5672 &amp; "'!" &amp; J5672, J5672), "")</f>
        <v/>
      </c>
    </row>
    <row r="5673">
      <c r="B5673" s="21">
        <f>IF(AND(C5673&lt;&gt;"", J5673&lt;&gt;""), HYPERLINK("#'" &amp; C5673 &amp; "'!" &amp; J5673, J5673), "")</f>
        <v/>
      </c>
    </row>
    <row r="5674">
      <c r="B5674" s="21">
        <f>IF(AND(C5674&lt;&gt;"", J5674&lt;&gt;""), HYPERLINK("#'" &amp; C5674 &amp; "'!" &amp; J5674, J5674), "")</f>
        <v/>
      </c>
    </row>
    <row r="5675">
      <c r="B5675" s="21">
        <f>IF(AND(C5675&lt;&gt;"", J5675&lt;&gt;""), HYPERLINK("#'" &amp; C5675 &amp; "'!" &amp; J5675, J5675), "")</f>
        <v/>
      </c>
    </row>
    <row r="5676">
      <c r="B5676" s="21">
        <f>IF(AND(C5676&lt;&gt;"", J5676&lt;&gt;""), HYPERLINK("#'" &amp; C5676 &amp; "'!" &amp; J5676, J5676), "")</f>
        <v/>
      </c>
    </row>
    <row r="5677">
      <c r="B5677" s="21">
        <f>IF(AND(C5677&lt;&gt;"", J5677&lt;&gt;""), HYPERLINK("#'" &amp; C5677 &amp; "'!" &amp; J5677, J5677), "")</f>
        <v/>
      </c>
    </row>
    <row r="5678">
      <c r="B5678" s="21">
        <f>IF(AND(C5678&lt;&gt;"", J5678&lt;&gt;""), HYPERLINK("#'" &amp; C5678 &amp; "'!" &amp; J5678, J5678), "")</f>
        <v/>
      </c>
    </row>
    <row r="5679">
      <c r="B5679" s="21">
        <f>IF(AND(C5679&lt;&gt;"", J5679&lt;&gt;""), HYPERLINK("#'" &amp; C5679 &amp; "'!" &amp; J5679, J5679), "")</f>
        <v/>
      </c>
    </row>
    <row r="5680">
      <c r="B5680" s="21">
        <f>IF(AND(C5680&lt;&gt;"", J5680&lt;&gt;""), HYPERLINK("#'" &amp; C5680 &amp; "'!" &amp; J5680, J5680), "")</f>
        <v/>
      </c>
    </row>
    <row r="5681">
      <c r="B5681" s="21">
        <f>IF(AND(C5681&lt;&gt;"", J5681&lt;&gt;""), HYPERLINK("#'" &amp; C5681 &amp; "'!" &amp; J5681, J5681), "")</f>
        <v/>
      </c>
    </row>
    <row r="5682">
      <c r="B5682" s="21">
        <f>IF(AND(C5682&lt;&gt;"", J5682&lt;&gt;""), HYPERLINK("#'" &amp; C5682 &amp; "'!" &amp; J5682, J5682), "")</f>
        <v/>
      </c>
    </row>
    <row r="5683">
      <c r="B5683" s="21">
        <f>IF(AND(C5683&lt;&gt;"", J5683&lt;&gt;""), HYPERLINK("#'" &amp; C5683 &amp; "'!" &amp; J5683, J5683), "")</f>
        <v/>
      </c>
    </row>
    <row r="5684">
      <c r="B5684" s="21">
        <f>IF(AND(C5684&lt;&gt;"", J5684&lt;&gt;""), HYPERLINK("#'" &amp; C5684 &amp; "'!" &amp; J5684, J5684), "")</f>
        <v/>
      </c>
    </row>
    <row r="5685">
      <c r="B5685" s="21">
        <f>IF(AND(C5685&lt;&gt;"", J5685&lt;&gt;""), HYPERLINK("#'" &amp; C5685 &amp; "'!" &amp; J5685, J5685), "")</f>
        <v/>
      </c>
    </row>
    <row r="5686">
      <c r="B5686" s="21">
        <f>IF(AND(C5686&lt;&gt;"", J5686&lt;&gt;""), HYPERLINK("#'" &amp; C5686 &amp; "'!" &amp; J5686, J5686), "")</f>
        <v/>
      </c>
    </row>
    <row r="5687">
      <c r="B5687" s="21">
        <f>IF(AND(C5687&lt;&gt;"", J5687&lt;&gt;""), HYPERLINK("#'" &amp; C5687 &amp; "'!" &amp; J5687, J5687), "")</f>
        <v/>
      </c>
    </row>
    <row r="5688">
      <c r="B5688" s="21">
        <f>IF(AND(C5688&lt;&gt;"", J5688&lt;&gt;""), HYPERLINK("#'" &amp; C5688 &amp; "'!" &amp; J5688, J5688), "")</f>
        <v/>
      </c>
    </row>
    <row r="5689">
      <c r="B5689" s="21">
        <f>IF(AND(C5689&lt;&gt;"", J5689&lt;&gt;""), HYPERLINK("#'" &amp; C5689 &amp; "'!" &amp; J5689, J5689), "")</f>
        <v/>
      </c>
    </row>
    <row r="5690">
      <c r="B5690" s="21">
        <f>IF(AND(C5690&lt;&gt;"", J5690&lt;&gt;""), HYPERLINK("#'" &amp; C5690 &amp; "'!" &amp; J5690, J5690), "")</f>
        <v/>
      </c>
    </row>
    <row r="5691">
      <c r="B5691" s="21">
        <f>IF(AND(C5691&lt;&gt;"", J5691&lt;&gt;""), HYPERLINK("#'" &amp; C5691 &amp; "'!" &amp; J5691, J5691), "")</f>
        <v/>
      </c>
    </row>
    <row r="5692">
      <c r="B5692" s="21">
        <f>IF(AND(C5692&lt;&gt;"", J5692&lt;&gt;""), HYPERLINK("#'" &amp; C5692 &amp; "'!" &amp; J5692, J5692), "")</f>
        <v/>
      </c>
    </row>
    <row r="5693">
      <c r="B5693" s="21">
        <f>IF(AND(C5693&lt;&gt;"", J5693&lt;&gt;""), HYPERLINK("#'" &amp; C5693 &amp; "'!" &amp; J5693, J5693), "")</f>
        <v/>
      </c>
    </row>
    <row r="5694">
      <c r="B5694" s="21">
        <f>IF(AND(C5694&lt;&gt;"", J5694&lt;&gt;""), HYPERLINK("#'" &amp; C5694 &amp; "'!" &amp; J5694, J5694), "")</f>
        <v/>
      </c>
    </row>
    <row r="5695">
      <c r="B5695" s="21">
        <f>IF(AND(C5695&lt;&gt;"", J5695&lt;&gt;""), HYPERLINK("#'" &amp; C5695 &amp; "'!" &amp; J5695, J5695), "")</f>
        <v/>
      </c>
    </row>
    <row r="5696">
      <c r="B5696" s="21">
        <f>IF(AND(C5696&lt;&gt;"", J5696&lt;&gt;""), HYPERLINK("#'" &amp; C5696 &amp; "'!" &amp; J5696, J5696), "")</f>
        <v/>
      </c>
    </row>
    <row r="5697">
      <c r="B5697" s="21">
        <f>IF(AND(C5697&lt;&gt;"", J5697&lt;&gt;""), HYPERLINK("#'" &amp; C5697 &amp; "'!" &amp; J5697, J5697), "")</f>
        <v/>
      </c>
    </row>
    <row r="5698">
      <c r="B5698" s="21">
        <f>IF(AND(C5698&lt;&gt;"", J5698&lt;&gt;""), HYPERLINK("#'" &amp; C5698 &amp; "'!" &amp; J5698, J5698), "")</f>
        <v/>
      </c>
    </row>
    <row r="5699">
      <c r="B5699" s="21">
        <f>IF(AND(C5699&lt;&gt;"", J5699&lt;&gt;""), HYPERLINK("#'" &amp; C5699 &amp; "'!" &amp; J5699, J5699), "")</f>
        <v/>
      </c>
    </row>
    <row r="5700">
      <c r="B5700" s="21">
        <f>IF(AND(C5700&lt;&gt;"", J5700&lt;&gt;""), HYPERLINK("#'" &amp; C5700 &amp; "'!" &amp; J5700, J5700), "")</f>
        <v/>
      </c>
    </row>
    <row r="5701">
      <c r="B5701" s="21">
        <f>IF(AND(C5701&lt;&gt;"", J5701&lt;&gt;""), HYPERLINK("#'" &amp; C5701 &amp; "'!" &amp; J5701, J5701), "")</f>
        <v/>
      </c>
    </row>
    <row r="5702">
      <c r="B5702" s="21">
        <f>IF(AND(C5702&lt;&gt;"", J5702&lt;&gt;""), HYPERLINK("#'" &amp; C5702 &amp; "'!" &amp; J5702, J5702), "")</f>
        <v/>
      </c>
    </row>
    <row r="5703">
      <c r="B5703" s="21">
        <f>IF(AND(C5703&lt;&gt;"", J5703&lt;&gt;""), HYPERLINK("#'" &amp; C5703 &amp; "'!" &amp; J5703, J5703), "")</f>
        <v/>
      </c>
    </row>
    <row r="5704">
      <c r="B5704" s="21">
        <f>IF(AND(C5704&lt;&gt;"", J5704&lt;&gt;""), HYPERLINK("#'" &amp; C5704 &amp; "'!" &amp; J5704, J5704), "")</f>
        <v/>
      </c>
    </row>
    <row r="5705">
      <c r="B5705" s="21">
        <f>IF(AND(C5705&lt;&gt;"", J5705&lt;&gt;""), HYPERLINK("#'" &amp; C5705 &amp; "'!" &amp; J5705, J5705), "")</f>
        <v/>
      </c>
    </row>
    <row r="5706">
      <c r="B5706" s="21">
        <f>IF(AND(C5706&lt;&gt;"", J5706&lt;&gt;""), HYPERLINK("#'" &amp; C5706 &amp; "'!" &amp; J5706, J5706), "")</f>
        <v/>
      </c>
    </row>
    <row r="5707">
      <c r="B5707" s="21">
        <f>IF(AND(C5707&lt;&gt;"", J5707&lt;&gt;""), HYPERLINK("#'" &amp; C5707 &amp; "'!" &amp; J5707, J5707), "")</f>
        <v/>
      </c>
    </row>
    <row r="5708">
      <c r="B5708" s="21">
        <f>IF(AND(C5708&lt;&gt;"", J5708&lt;&gt;""), HYPERLINK("#'" &amp; C5708 &amp; "'!" &amp; J5708, J5708), "")</f>
        <v/>
      </c>
    </row>
    <row r="5709">
      <c r="B5709" s="21">
        <f>IF(AND(C5709&lt;&gt;"", J5709&lt;&gt;""), HYPERLINK("#'" &amp; C5709 &amp; "'!" &amp; J5709, J5709), "")</f>
        <v/>
      </c>
    </row>
    <row r="5710">
      <c r="B5710" s="21">
        <f>IF(AND(C5710&lt;&gt;"", J5710&lt;&gt;""), HYPERLINK("#'" &amp; C5710 &amp; "'!" &amp; J5710, J5710), "")</f>
        <v/>
      </c>
    </row>
    <row r="5711">
      <c r="B5711" s="21">
        <f>IF(AND(C5711&lt;&gt;"", J5711&lt;&gt;""), HYPERLINK("#'" &amp; C5711 &amp; "'!" &amp; J5711, J5711), "")</f>
        <v/>
      </c>
    </row>
    <row r="5712">
      <c r="B5712" s="21">
        <f>IF(AND(C5712&lt;&gt;"", J5712&lt;&gt;""), HYPERLINK("#'" &amp; C5712 &amp; "'!" &amp; J5712, J5712), "")</f>
        <v/>
      </c>
    </row>
    <row r="5713">
      <c r="B5713" s="21">
        <f>IF(AND(C5713&lt;&gt;"", J5713&lt;&gt;""), HYPERLINK("#'" &amp; C5713 &amp; "'!" &amp; J5713, J5713), "")</f>
        <v/>
      </c>
    </row>
    <row r="5714">
      <c r="B5714" s="21">
        <f>IF(AND(C5714&lt;&gt;"", J5714&lt;&gt;""), HYPERLINK("#'" &amp; C5714 &amp; "'!" &amp; J5714, J5714), "")</f>
        <v/>
      </c>
    </row>
    <row r="5715">
      <c r="B5715" s="21">
        <f>IF(AND(C5715&lt;&gt;"", J5715&lt;&gt;""), HYPERLINK("#'" &amp; C5715 &amp; "'!" &amp; J5715, J5715), "")</f>
        <v/>
      </c>
    </row>
    <row r="5716">
      <c r="B5716" s="21">
        <f>IF(AND(C5716&lt;&gt;"", J5716&lt;&gt;""), HYPERLINK("#'" &amp; C5716 &amp; "'!" &amp; J5716, J5716), "")</f>
        <v/>
      </c>
    </row>
    <row r="5717">
      <c r="B5717" s="21">
        <f>IF(AND(C5717&lt;&gt;"", J5717&lt;&gt;""), HYPERLINK("#'" &amp; C5717 &amp; "'!" &amp; J5717, J5717), "")</f>
        <v/>
      </c>
    </row>
    <row r="5718">
      <c r="B5718" s="21">
        <f>IF(AND(C5718&lt;&gt;"", J5718&lt;&gt;""), HYPERLINK("#'" &amp; C5718 &amp; "'!" &amp; J5718, J5718), "")</f>
        <v/>
      </c>
    </row>
    <row r="5719">
      <c r="B5719" s="21">
        <f>IF(AND(C5719&lt;&gt;"", J5719&lt;&gt;""), HYPERLINK("#'" &amp; C5719 &amp; "'!" &amp; J5719, J5719), "")</f>
        <v/>
      </c>
    </row>
    <row r="5720">
      <c r="B5720" s="21">
        <f>IF(AND(C5720&lt;&gt;"", J5720&lt;&gt;""), HYPERLINK("#'" &amp; C5720 &amp; "'!" &amp; J5720, J5720), "")</f>
        <v/>
      </c>
    </row>
    <row r="5721">
      <c r="B5721" s="21">
        <f>IF(AND(C5721&lt;&gt;"", J5721&lt;&gt;""), HYPERLINK("#'" &amp; C5721 &amp; "'!" &amp; J5721, J5721), "")</f>
        <v/>
      </c>
    </row>
    <row r="5722">
      <c r="B5722" s="21">
        <f>IF(AND(C5722&lt;&gt;"", J5722&lt;&gt;""), HYPERLINK("#'" &amp; C5722 &amp; "'!" &amp; J5722, J5722), "")</f>
        <v/>
      </c>
    </row>
    <row r="5723">
      <c r="B5723" s="21">
        <f>IF(AND(C5723&lt;&gt;"", J5723&lt;&gt;""), HYPERLINK("#'" &amp; C5723 &amp; "'!" &amp; J5723, J5723), "")</f>
        <v/>
      </c>
    </row>
    <row r="5724">
      <c r="B5724" s="21">
        <f>IF(AND(C5724&lt;&gt;"", J5724&lt;&gt;""), HYPERLINK("#'" &amp; C5724 &amp; "'!" &amp; J5724, J5724), "")</f>
        <v/>
      </c>
    </row>
    <row r="5725">
      <c r="B5725" s="21">
        <f>IF(AND(C5725&lt;&gt;"", J5725&lt;&gt;""), HYPERLINK("#'" &amp; C5725 &amp; "'!" &amp; J5725, J5725), "")</f>
        <v/>
      </c>
    </row>
    <row r="5726">
      <c r="B5726" s="21">
        <f>IF(AND(C5726&lt;&gt;"", J5726&lt;&gt;""), HYPERLINK("#'" &amp; C5726 &amp; "'!" &amp; J5726, J5726), "")</f>
        <v/>
      </c>
    </row>
    <row r="5727">
      <c r="B5727" s="21">
        <f>IF(AND(C5727&lt;&gt;"", J5727&lt;&gt;""), HYPERLINK("#'" &amp; C5727 &amp; "'!" &amp; J5727, J5727), "")</f>
        <v/>
      </c>
    </row>
    <row r="5728">
      <c r="B5728" s="21">
        <f>IF(AND(C5728&lt;&gt;"", J5728&lt;&gt;""), HYPERLINK("#'" &amp; C5728 &amp; "'!" &amp; J5728, J5728), "")</f>
        <v/>
      </c>
    </row>
    <row r="5729">
      <c r="B5729" s="21">
        <f>IF(AND(C5729&lt;&gt;"", J5729&lt;&gt;""), HYPERLINK("#'" &amp; C5729 &amp; "'!" &amp; J5729, J5729), "")</f>
        <v/>
      </c>
    </row>
    <row r="5730">
      <c r="B5730" s="21">
        <f>IF(AND(C5730&lt;&gt;"", J5730&lt;&gt;""), HYPERLINK("#'" &amp; C5730 &amp; "'!" &amp; J5730, J5730), "")</f>
        <v/>
      </c>
    </row>
    <row r="5731">
      <c r="B5731" s="21">
        <f>IF(AND(C5731&lt;&gt;"", J5731&lt;&gt;""), HYPERLINK("#'" &amp; C5731 &amp; "'!" &amp; J5731, J5731), "")</f>
        <v/>
      </c>
    </row>
    <row r="5732">
      <c r="B5732" s="21">
        <f>IF(AND(C5732&lt;&gt;"", J5732&lt;&gt;""), HYPERLINK("#'" &amp; C5732 &amp; "'!" &amp; J5732, J5732), "")</f>
        <v/>
      </c>
    </row>
    <row r="5733">
      <c r="B5733" s="21">
        <f>IF(AND(C5733&lt;&gt;"", J5733&lt;&gt;""), HYPERLINK("#'" &amp; C5733 &amp; "'!" &amp; J5733, J5733), "")</f>
        <v/>
      </c>
    </row>
    <row r="5734">
      <c r="B5734" s="21">
        <f>IF(AND(C5734&lt;&gt;"", J5734&lt;&gt;""), HYPERLINK("#'" &amp; C5734 &amp; "'!" &amp; J5734, J5734), "")</f>
        <v/>
      </c>
    </row>
    <row r="5735">
      <c r="B5735" s="21">
        <f>IF(AND(C5735&lt;&gt;"", J5735&lt;&gt;""), HYPERLINK("#'" &amp; C5735 &amp; "'!" &amp; J5735, J5735), "")</f>
        <v/>
      </c>
    </row>
    <row r="5736">
      <c r="B5736" s="21">
        <f>IF(AND(C5736&lt;&gt;"", J5736&lt;&gt;""), HYPERLINK("#'" &amp; C5736 &amp; "'!" &amp; J5736, J5736), "")</f>
        <v/>
      </c>
    </row>
    <row r="5737">
      <c r="B5737" s="21">
        <f>IF(AND(C5737&lt;&gt;"", J5737&lt;&gt;""), HYPERLINK("#'" &amp; C5737 &amp; "'!" &amp; J5737, J5737), "")</f>
        <v/>
      </c>
    </row>
    <row r="5738">
      <c r="B5738" s="21">
        <f>IF(AND(C5738&lt;&gt;"", J5738&lt;&gt;""), HYPERLINK("#'" &amp; C5738 &amp; "'!" &amp; J5738, J5738), "")</f>
        <v/>
      </c>
    </row>
    <row r="5739">
      <c r="B5739" s="21">
        <f>IF(AND(C5739&lt;&gt;"", J5739&lt;&gt;""), HYPERLINK("#'" &amp; C5739 &amp; "'!" &amp; J5739, J5739), "")</f>
        <v/>
      </c>
    </row>
    <row r="5740">
      <c r="B5740" s="21">
        <f>IF(AND(C5740&lt;&gt;"", J5740&lt;&gt;""), HYPERLINK("#'" &amp; C5740 &amp; "'!" &amp; J5740, J5740), "")</f>
        <v/>
      </c>
    </row>
    <row r="5741">
      <c r="B5741" s="21">
        <f>IF(AND(C5741&lt;&gt;"", J5741&lt;&gt;""), HYPERLINK("#'" &amp; C5741 &amp; "'!" &amp; J5741, J5741), "")</f>
        <v/>
      </c>
    </row>
    <row r="5742">
      <c r="B5742" s="21">
        <f>IF(AND(C5742&lt;&gt;"", J5742&lt;&gt;""), HYPERLINK("#'" &amp; C5742 &amp; "'!" &amp; J5742, J5742), "")</f>
        <v/>
      </c>
    </row>
    <row r="5743">
      <c r="B5743" s="21">
        <f>IF(AND(C5743&lt;&gt;"", J5743&lt;&gt;""), HYPERLINK("#'" &amp; C5743 &amp; "'!" &amp; J5743, J5743), "")</f>
        <v/>
      </c>
    </row>
    <row r="5744">
      <c r="B5744" s="21">
        <f>IF(AND(C5744&lt;&gt;"", J5744&lt;&gt;""), HYPERLINK("#'" &amp; C5744 &amp; "'!" &amp; J5744, J5744), "")</f>
        <v/>
      </c>
    </row>
    <row r="5745">
      <c r="B5745" s="21">
        <f>IF(AND(C5745&lt;&gt;"", J5745&lt;&gt;""), HYPERLINK("#'" &amp; C5745 &amp; "'!" &amp; J5745, J5745), "")</f>
        <v/>
      </c>
    </row>
    <row r="5746">
      <c r="B5746" s="21">
        <f>IF(AND(C5746&lt;&gt;"", J5746&lt;&gt;""), HYPERLINK("#'" &amp; C5746 &amp; "'!" &amp; J5746, J5746), "")</f>
        <v/>
      </c>
    </row>
    <row r="5747">
      <c r="B5747" s="21">
        <f>IF(AND(C5747&lt;&gt;"", J5747&lt;&gt;""), HYPERLINK("#'" &amp; C5747 &amp; "'!" &amp; J5747, J5747), "")</f>
        <v/>
      </c>
    </row>
    <row r="5748">
      <c r="B5748" s="21">
        <f>IF(AND(C5748&lt;&gt;"", J5748&lt;&gt;""), HYPERLINK("#'" &amp; C5748 &amp; "'!" &amp; J5748, J5748), "")</f>
        <v/>
      </c>
    </row>
    <row r="5749">
      <c r="B5749" s="21">
        <f>IF(AND(C5749&lt;&gt;"", J5749&lt;&gt;""), HYPERLINK("#'" &amp; C5749 &amp; "'!" &amp; J5749, J5749), "")</f>
        <v/>
      </c>
    </row>
    <row r="5750">
      <c r="B5750" s="21">
        <f>IF(AND(C5750&lt;&gt;"", J5750&lt;&gt;""), HYPERLINK("#'" &amp; C5750 &amp; "'!" &amp; J5750, J5750), "")</f>
        <v/>
      </c>
    </row>
    <row r="5751">
      <c r="B5751" s="21">
        <f>IF(AND(C5751&lt;&gt;"", J5751&lt;&gt;""), HYPERLINK("#'" &amp; C5751 &amp; "'!" &amp; J5751, J5751), "")</f>
        <v/>
      </c>
    </row>
    <row r="5752">
      <c r="B5752" s="21">
        <f>IF(AND(C5752&lt;&gt;"", J5752&lt;&gt;""), HYPERLINK("#'" &amp; C5752 &amp; "'!" &amp; J5752, J5752), "")</f>
        <v/>
      </c>
    </row>
    <row r="5753">
      <c r="B5753" s="21">
        <f>IF(AND(C5753&lt;&gt;"", J5753&lt;&gt;""), HYPERLINK("#'" &amp; C5753 &amp; "'!" &amp; J5753, J5753), "")</f>
        <v/>
      </c>
    </row>
    <row r="5754">
      <c r="B5754" s="21">
        <f>IF(AND(C5754&lt;&gt;"", J5754&lt;&gt;""), HYPERLINK("#'" &amp; C5754 &amp; "'!" &amp; J5754, J5754), "")</f>
        <v/>
      </c>
    </row>
    <row r="5755">
      <c r="B5755" s="21">
        <f>IF(AND(C5755&lt;&gt;"", J5755&lt;&gt;""), HYPERLINK("#'" &amp; C5755 &amp; "'!" &amp; J5755, J5755), "")</f>
        <v/>
      </c>
    </row>
    <row r="5756">
      <c r="B5756" s="21">
        <f>IF(AND(C5756&lt;&gt;"", J5756&lt;&gt;""), HYPERLINK("#'" &amp; C5756 &amp; "'!" &amp; J5756, J5756), "")</f>
        <v/>
      </c>
    </row>
    <row r="5757">
      <c r="B5757" s="21">
        <f>IF(AND(C5757&lt;&gt;"", J5757&lt;&gt;""), HYPERLINK("#'" &amp; C5757 &amp; "'!" &amp; J5757, J5757), "")</f>
        <v/>
      </c>
    </row>
    <row r="5758">
      <c r="B5758" s="21">
        <f>IF(AND(C5758&lt;&gt;"", J5758&lt;&gt;""), HYPERLINK("#'" &amp; C5758 &amp; "'!" &amp; J5758, J5758), "")</f>
        <v/>
      </c>
    </row>
    <row r="5759">
      <c r="B5759" s="21">
        <f>IF(AND(C5759&lt;&gt;"", J5759&lt;&gt;""), HYPERLINK("#'" &amp; C5759 &amp; "'!" &amp; J5759, J5759), "")</f>
        <v/>
      </c>
    </row>
    <row r="5760">
      <c r="B5760" s="21">
        <f>IF(AND(C5760&lt;&gt;"", J5760&lt;&gt;""), HYPERLINK("#'" &amp; C5760 &amp; "'!" &amp; J5760, J5760), "")</f>
        <v/>
      </c>
    </row>
    <row r="5761">
      <c r="B5761" s="21">
        <f>IF(AND(C5761&lt;&gt;"", J5761&lt;&gt;""), HYPERLINK("#'" &amp; C5761 &amp; "'!" &amp; J5761, J5761), "")</f>
        <v/>
      </c>
    </row>
    <row r="5762">
      <c r="B5762" s="21">
        <f>IF(AND(C5762&lt;&gt;"", J5762&lt;&gt;""), HYPERLINK("#'" &amp; C5762 &amp; "'!" &amp; J5762, J5762), "")</f>
        <v/>
      </c>
    </row>
    <row r="5763">
      <c r="B5763" s="21">
        <f>IF(AND(C5763&lt;&gt;"", J5763&lt;&gt;""), HYPERLINK("#'" &amp; C5763 &amp; "'!" &amp; J5763, J5763), "")</f>
        <v/>
      </c>
    </row>
    <row r="5764">
      <c r="B5764" s="21">
        <f>IF(AND(C5764&lt;&gt;"", J5764&lt;&gt;""), HYPERLINK("#'" &amp; C5764 &amp; "'!" &amp; J5764, J5764), "")</f>
        <v/>
      </c>
    </row>
    <row r="5765">
      <c r="B5765" s="21">
        <f>IF(AND(C5765&lt;&gt;"", J5765&lt;&gt;""), HYPERLINK("#'" &amp; C5765 &amp; "'!" &amp; J5765, J5765), "")</f>
        <v/>
      </c>
    </row>
    <row r="5766">
      <c r="B5766" s="21">
        <f>IF(AND(C5766&lt;&gt;"", J5766&lt;&gt;""), HYPERLINK("#'" &amp; C5766 &amp; "'!" &amp; J5766, J5766), "")</f>
        <v/>
      </c>
    </row>
    <row r="5767">
      <c r="B5767" s="21">
        <f>IF(AND(C5767&lt;&gt;"", J5767&lt;&gt;""), HYPERLINK("#'" &amp; C5767 &amp; "'!" &amp; J5767, J5767), "")</f>
        <v/>
      </c>
    </row>
    <row r="5768">
      <c r="B5768" s="21">
        <f>IF(AND(C5768&lt;&gt;"", J5768&lt;&gt;""), HYPERLINK("#'" &amp; C5768 &amp; "'!" &amp; J5768, J5768), "")</f>
        <v/>
      </c>
    </row>
    <row r="5769">
      <c r="B5769" s="21">
        <f>IF(AND(C5769&lt;&gt;"", J5769&lt;&gt;""), HYPERLINK("#'" &amp; C5769 &amp; "'!" &amp; J5769, J5769), "")</f>
        <v/>
      </c>
    </row>
    <row r="5770">
      <c r="B5770" s="21">
        <f>IF(AND(C5770&lt;&gt;"", J5770&lt;&gt;""), HYPERLINK("#'" &amp; C5770 &amp; "'!" &amp; J5770, J5770), "")</f>
        <v/>
      </c>
    </row>
    <row r="5771">
      <c r="B5771" s="21">
        <f>IF(AND(C5771&lt;&gt;"", J5771&lt;&gt;""), HYPERLINK("#'" &amp; C5771 &amp; "'!" &amp; J5771, J5771), "")</f>
        <v/>
      </c>
    </row>
    <row r="5772">
      <c r="B5772" s="21">
        <f>IF(AND(C5772&lt;&gt;"", J5772&lt;&gt;""), HYPERLINK("#'" &amp; C5772 &amp; "'!" &amp; J5772, J5772), "")</f>
        <v/>
      </c>
    </row>
    <row r="5773">
      <c r="B5773" s="21">
        <f>IF(AND(C5773&lt;&gt;"", J5773&lt;&gt;""), HYPERLINK("#'" &amp; C5773 &amp; "'!" &amp; J5773, J5773), "")</f>
        <v/>
      </c>
    </row>
    <row r="5774">
      <c r="B5774" s="21">
        <f>IF(AND(C5774&lt;&gt;"", J5774&lt;&gt;""), HYPERLINK("#'" &amp; C5774 &amp; "'!" &amp; J5774, J5774), "")</f>
        <v/>
      </c>
    </row>
    <row r="5775">
      <c r="B5775" s="21">
        <f>IF(AND(C5775&lt;&gt;"", J5775&lt;&gt;""), HYPERLINK("#'" &amp; C5775 &amp; "'!" &amp; J5775, J5775), "")</f>
        <v/>
      </c>
    </row>
    <row r="5776">
      <c r="B5776" s="21">
        <f>IF(AND(C5776&lt;&gt;"", J5776&lt;&gt;""), HYPERLINK("#'" &amp; C5776 &amp; "'!" &amp; J5776, J5776), "")</f>
        <v/>
      </c>
    </row>
    <row r="5777">
      <c r="B5777" s="21">
        <f>IF(AND(C5777&lt;&gt;"", J5777&lt;&gt;""), HYPERLINK("#'" &amp; C5777 &amp; "'!" &amp; J5777, J5777), "")</f>
        <v/>
      </c>
    </row>
    <row r="5778">
      <c r="B5778" s="21">
        <f>IF(AND(C5778&lt;&gt;"", J5778&lt;&gt;""), HYPERLINK("#'" &amp; C5778 &amp; "'!" &amp; J5778, J5778), "")</f>
        <v/>
      </c>
    </row>
    <row r="5779">
      <c r="B5779" s="21">
        <f>IF(AND(C5779&lt;&gt;"", J5779&lt;&gt;""), HYPERLINK("#'" &amp; C5779 &amp; "'!" &amp; J5779, J5779), "")</f>
        <v/>
      </c>
    </row>
    <row r="5780">
      <c r="B5780" s="21">
        <f>IF(AND(C5780&lt;&gt;"", J5780&lt;&gt;""), HYPERLINK("#'" &amp; C5780 &amp; "'!" &amp; J5780, J5780), "")</f>
        <v/>
      </c>
    </row>
    <row r="5781">
      <c r="B5781" s="21">
        <f>IF(AND(C5781&lt;&gt;"", J5781&lt;&gt;""), HYPERLINK("#'" &amp; C5781 &amp; "'!" &amp; J5781, J5781), "")</f>
        <v/>
      </c>
    </row>
    <row r="5782">
      <c r="B5782" s="21">
        <f>IF(AND(C5782&lt;&gt;"", J5782&lt;&gt;""), HYPERLINK("#'" &amp; C5782 &amp; "'!" &amp; J5782, J5782), "")</f>
        <v/>
      </c>
    </row>
    <row r="5783">
      <c r="B5783" s="21">
        <f>IF(AND(C5783&lt;&gt;"", J5783&lt;&gt;""), HYPERLINK("#'" &amp; C5783 &amp; "'!" &amp; J5783, J5783), "")</f>
        <v/>
      </c>
    </row>
    <row r="5784">
      <c r="B5784" s="21">
        <f>IF(AND(C5784&lt;&gt;"", J5784&lt;&gt;""), HYPERLINK("#'" &amp; C5784 &amp; "'!" &amp; J5784, J5784), "")</f>
        <v/>
      </c>
    </row>
    <row r="5785">
      <c r="B5785" s="21">
        <f>IF(AND(C5785&lt;&gt;"", J5785&lt;&gt;""), HYPERLINK("#'" &amp; C5785 &amp; "'!" &amp; J5785, J5785), "")</f>
        <v/>
      </c>
    </row>
    <row r="5786">
      <c r="B5786" s="21">
        <f>IF(AND(C5786&lt;&gt;"", J5786&lt;&gt;""), HYPERLINK("#'" &amp; C5786 &amp; "'!" &amp; J5786, J5786), "")</f>
        <v/>
      </c>
    </row>
    <row r="5787">
      <c r="B5787" s="21">
        <f>IF(AND(C5787&lt;&gt;"", J5787&lt;&gt;""), HYPERLINK("#'" &amp; C5787 &amp; "'!" &amp; J5787, J5787), "")</f>
        <v/>
      </c>
    </row>
    <row r="5788">
      <c r="B5788" s="21">
        <f>IF(AND(C5788&lt;&gt;"", J5788&lt;&gt;""), HYPERLINK("#'" &amp; C5788 &amp; "'!" &amp; J5788, J5788), "")</f>
        <v/>
      </c>
    </row>
    <row r="5789">
      <c r="B5789" s="21">
        <f>IF(AND(C5789&lt;&gt;"", J5789&lt;&gt;""), HYPERLINK("#'" &amp; C5789 &amp; "'!" &amp; J5789, J5789), "")</f>
        <v/>
      </c>
    </row>
    <row r="5790">
      <c r="B5790" s="21">
        <f>IF(AND(C5790&lt;&gt;"", J5790&lt;&gt;""), HYPERLINK("#'" &amp; C5790 &amp; "'!" &amp; J5790, J5790), "")</f>
        <v/>
      </c>
    </row>
    <row r="5791">
      <c r="B5791" s="21">
        <f>IF(AND(C5791&lt;&gt;"", J5791&lt;&gt;""), HYPERLINK("#'" &amp; C5791 &amp; "'!" &amp; J5791, J5791), "")</f>
        <v/>
      </c>
    </row>
    <row r="5792">
      <c r="B5792" s="21">
        <f>IF(AND(C5792&lt;&gt;"", J5792&lt;&gt;""), HYPERLINK("#'" &amp; C5792 &amp; "'!" &amp; J5792, J5792), "")</f>
        <v/>
      </c>
    </row>
    <row r="5793">
      <c r="B5793" s="21">
        <f>IF(AND(C5793&lt;&gt;"", J5793&lt;&gt;""), HYPERLINK("#'" &amp; C5793 &amp; "'!" &amp; J5793, J5793), "")</f>
        <v/>
      </c>
    </row>
    <row r="5794">
      <c r="B5794" s="21">
        <f>IF(AND(C5794&lt;&gt;"", J5794&lt;&gt;""), HYPERLINK("#'" &amp; C5794 &amp; "'!" &amp; J5794, J5794), "")</f>
        <v/>
      </c>
    </row>
    <row r="5795">
      <c r="B5795" s="21">
        <f>IF(AND(C5795&lt;&gt;"", J5795&lt;&gt;""), HYPERLINK("#'" &amp; C5795 &amp; "'!" &amp; J5795, J5795), "")</f>
        <v/>
      </c>
    </row>
    <row r="5796">
      <c r="B5796" s="21">
        <f>IF(AND(C5796&lt;&gt;"", J5796&lt;&gt;""), HYPERLINK("#'" &amp; C5796 &amp; "'!" &amp; J5796, J5796), "")</f>
        <v/>
      </c>
    </row>
    <row r="5797">
      <c r="B5797" s="21">
        <f>IF(AND(C5797&lt;&gt;"", J5797&lt;&gt;""), HYPERLINK("#'" &amp; C5797 &amp; "'!" &amp; J5797, J5797), "")</f>
        <v/>
      </c>
    </row>
    <row r="5798">
      <c r="B5798" s="21">
        <f>IF(AND(C5798&lt;&gt;"", J5798&lt;&gt;""), HYPERLINK("#'" &amp; C5798 &amp; "'!" &amp; J5798, J5798), "")</f>
        <v/>
      </c>
    </row>
    <row r="5799">
      <c r="B5799" s="21">
        <f>IF(AND(C5799&lt;&gt;"", J5799&lt;&gt;""), HYPERLINK("#'" &amp; C5799 &amp; "'!" &amp; J5799, J5799), "")</f>
        <v/>
      </c>
    </row>
    <row r="5800">
      <c r="B5800" s="21">
        <f>IF(AND(C5800&lt;&gt;"", J5800&lt;&gt;""), HYPERLINK("#'" &amp; C5800 &amp; "'!" &amp; J5800, J5800), "")</f>
        <v/>
      </c>
    </row>
    <row r="5801">
      <c r="B5801" s="21">
        <f>IF(AND(C5801&lt;&gt;"", J5801&lt;&gt;""), HYPERLINK("#'" &amp; C5801 &amp; "'!" &amp; J5801, J5801), "")</f>
        <v/>
      </c>
    </row>
    <row r="5802">
      <c r="B5802" s="21">
        <f>IF(AND(C5802&lt;&gt;"", J5802&lt;&gt;""), HYPERLINK("#'" &amp; C5802 &amp; "'!" &amp; J5802, J5802), "")</f>
        <v/>
      </c>
    </row>
    <row r="5803">
      <c r="B5803" s="21">
        <f>IF(AND(C5803&lt;&gt;"", J5803&lt;&gt;""), HYPERLINK("#'" &amp; C5803 &amp; "'!" &amp; J5803, J5803), "")</f>
        <v/>
      </c>
    </row>
    <row r="5804">
      <c r="B5804" s="21">
        <f>IF(AND(C5804&lt;&gt;"", J5804&lt;&gt;""), HYPERLINK("#'" &amp; C5804 &amp; "'!" &amp; J5804, J5804), "")</f>
        <v/>
      </c>
    </row>
    <row r="5805">
      <c r="B5805" s="21">
        <f>IF(AND(C5805&lt;&gt;"", J5805&lt;&gt;""), HYPERLINK("#'" &amp; C5805 &amp; "'!" &amp; J5805, J5805), "")</f>
        <v/>
      </c>
    </row>
    <row r="5806">
      <c r="B5806" s="21">
        <f>IF(AND(C5806&lt;&gt;"", J5806&lt;&gt;""), HYPERLINK("#'" &amp; C5806 &amp; "'!" &amp; J5806, J5806), "")</f>
        <v/>
      </c>
    </row>
    <row r="5807">
      <c r="B5807" s="21">
        <f>IF(AND(C5807&lt;&gt;"", J5807&lt;&gt;""), HYPERLINK("#'" &amp; C5807 &amp; "'!" &amp; J5807, J5807), "")</f>
        <v/>
      </c>
    </row>
    <row r="5808">
      <c r="B5808" s="21">
        <f>IF(AND(C5808&lt;&gt;"", J5808&lt;&gt;""), HYPERLINK("#'" &amp; C5808 &amp; "'!" &amp; J5808, J5808), "")</f>
        <v/>
      </c>
    </row>
    <row r="5809">
      <c r="B5809" s="21">
        <f>IF(AND(C5809&lt;&gt;"", J5809&lt;&gt;""), HYPERLINK("#'" &amp; C5809 &amp; "'!" &amp; J5809, J5809), "")</f>
        <v/>
      </c>
    </row>
    <row r="5810">
      <c r="B5810" s="21">
        <f>IF(AND(C5810&lt;&gt;"", J5810&lt;&gt;""), HYPERLINK("#'" &amp; C5810 &amp; "'!" &amp; J5810, J5810), "")</f>
        <v/>
      </c>
    </row>
    <row r="5811">
      <c r="B5811" s="21">
        <f>IF(AND(C5811&lt;&gt;"", J5811&lt;&gt;""), HYPERLINK("#'" &amp; C5811 &amp; "'!" &amp; J5811, J5811), "")</f>
        <v/>
      </c>
    </row>
    <row r="5812">
      <c r="B5812" s="21">
        <f>IF(AND(C5812&lt;&gt;"", J5812&lt;&gt;""), HYPERLINK("#'" &amp; C5812 &amp; "'!" &amp; J5812, J5812), "")</f>
        <v/>
      </c>
    </row>
    <row r="5813">
      <c r="B5813" s="21">
        <f>IF(AND(C5813&lt;&gt;"", J5813&lt;&gt;""), HYPERLINK("#'" &amp; C5813 &amp; "'!" &amp; J5813, J5813), "")</f>
        <v/>
      </c>
    </row>
    <row r="5814">
      <c r="B5814" s="21">
        <f>IF(AND(C5814&lt;&gt;"", J5814&lt;&gt;""), HYPERLINK("#'" &amp; C5814 &amp; "'!" &amp; J5814, J5814), "")</f>
        <v/>
      </c>
    </row>
    <row r="5815">
      <c r="B5815" s="21">
        <f>IF(AND(C5815&lt;&gt;"", J5815&lt;&gt;""), HYPERLINK("#'" &amp; C5815 &amp; "'!" &amp; J5815, J5815), "")</f>
        <v/>
      </c>
    </row>
    <row r="5816">
      <c r="B5816" s="21">
        <f>IF(AND(C5816&lt;&gt;"", J5816&lt;&gt;""), HYPERLINK("#'" &amp; C5816 &amp; "'!" &amp; J5816, J5816), "")</f>
        <v/>
      </c>
    </row>
    <row r="5817">
      <c r="B5817" s="21">
        <f>IF(AND(C5817&lt;&gt;"", J5817&lt;&gt;""), HYPERLINK("#'" &amp; C5817 &amp; "'!" &amp; J5817, J5817), "")</f>
        <v/>
      </c>
    </row>
    <row r="5818">
      <c r="B5818" s="21">
        <f>IF(AND(C5818&lt;&gt;"", J5818&lt;&gt;""), HYPERLINK("#'" &amp; C5818 &amp; "'!" &amp; J5818, J5818), "")</f>
        <v/>
      </c>
    </row>
    <row r="5819">
      <c r="B5819" s="21">
        <f>IF(AND(C5819&lt;&gt;"", J5819&lt;&gt;""), HYPERLINK("#'" &amp; C5819 &amp; "'!" &amp; J5819, J5819), "")</f>
        <v/>
      </c>
    </row>
    <row r="5820">
      <c r="B5820" s="21">
        <f>IF(AND(C5820&lt;&gt;"", J5820&lt;&gt;""), HYPERLINK("#'" &amp; C5820 &amp; "'!" &amp; J5820, J5820), "")</f>
        <v/>
      </c>
    </row>
    <row r="5821">
      <c r="B5821" s="21">
        <f>IF(AND(C5821&lt;&gt;"", J5821&lt;&gt;""), HYPERLINK("#'" &amp; C5821 &amp; "'!" &amp; J5821, J5821), "")</f>
        <v/>
      </c>
    </row>
    <row r="5822">
      <c r="B5822" s="21">
        <f>IF(AND(C5822&lt;&gt;"", J5822&lt;&gt;""), HYPERLINK("#'" &amp; C5822 &amp; "'!" &amp; J5822, J5822), "")</f>
        <v/>
      </c>
    </row>
    <row r="5823">
      <c r="B5823" s="21">
        <f>IF(AND(C5823&lt;&gt;"", J5823&lt;&gt;""), HYPERLINK("#'" &amp; C5823 &amp; "'!" &amp; J5823, J5823), "")</f>
        <v/>
      </c>
    </row>
    <row r="5824">
      <c r="B5824" s="21">
        <f>IF(AND(C5824&lt;&gt;"", J5824&lt;&gt;""), HYPERLINK("#'" &amp; C5824 &amp; "'!" &amp; J5824, J5824), "")</f>
        <v/>
      </c>
    </row>
    <row r="5825">
      <c r="B5825" s="21">
        <f>IF(AND(C5825&lt;&gt;"", J5825&lt;&gt;""), HYPERLINK("#'" &amp; C5825 &amp; "'!" &amp; J5825, J5825), "")</f>
        <v/>
      </c>
    </row>
    <row r="5826">
      <c r="B5826" s="21">
        <f>IF(AND(C5826&lt;&gt;"", J5826&lt;&gt;""), HYPERLINK("#'" &amp; C5826 &amp; "'!" &amp; J5826, J5826), "")</f>
        <v/>
      </c>
    </row>
    <row r="5827">
      <c r="B5827" s="21">
        <f>IF(AND(C5827&lt;&gt;"", J5827&lt;&gt;""), HYPERLINK("#'" &amp; C5827 &amp; "'!" &amp; J5827, J5827), "")</f>
        <v/>
      </c>
    </row>
    <row r="5828">
      <c r="B5828" s="21">
        <f>IF(AND(C5828&lt;&gt;"", J5828&lt;&gt;""), HYPERLINK("#'" &amp; C5828 &amp; "'!" &amp; J5828, J5828), "")</f>
        <v/>
      </c>
    </row>
    <row r="5829">
      <c r="B5829" s="21">
        <f>IF(AND(C5829&lt;&gt;"", J5829&lt;&gt;""), HYPERLINK("#'" &amp; C5829 &amp; "'!" &amp; J5829, J5829), "")</f>
        <v/>
      </c>
    </row>
    <row r="5830">
      <c r="B5830" s="21">
        <f>IF(AND(C5830&lt;&gt;"", J5830&lt;&gt;""), HYPERLINK("#'" &amp; C5830 &amp; "'!" &amp; J5830, J5830), "")</f>
        <v/>
      </c>
    </row>
    <row r="5831">
      <c r="B5831" s="21">
        <f>IF(AND(C5831&lt;&gt;"", J5831&lt;&gt;""), HYPERLINK("#'" &amp; C5831 &amp; "'!" &amp; J5831, J5831), "")</f>
        <v/>
      </c>
    </row>
    <row r="5832">
      <c r="B5832" s="21">
        <f>IF(AND(C5832&lt;&gt;"", J5832&lt;&gt;""), HYPERLINK("#'" &amp; C5832 &amp; "'!" &amp; J5832, J5832), "")</f>
        <v/>
      </c>
    </row>
    <row r="5833">
      <c r="B5833" s="21">
        <f>IF(AND(C5833&lt;&gt;"", J5833&lt;&gt;""), HYPERLINK("#'" &amp; C5833 &amp; "'!" &amp; J5833, J5833), "")</f>
        <v/>
      </c>
    </row>
    <row r="5834">
      <c r="B5834" s="21">
        <f>IF(AND(C5834&lt;&gt;"", J5834&lt;&gt;""), HYPERLINK("#'" &amp; C5834 &amp; "'!" &amp; J5834, J5834), "")</f>
        <v/>
      </c>
    </row>
    <row r="5835">
      <c r="B5835" s="21">
        <f>IF(AND(C5835&lt;&gt;"", J5835&lt;&gt;""), HYPERLINK("#'" &amp; C5835 &amp; "'!" &amp; J5835, J5835), "")</f>
        <v/>
      </c>
    </row>
    <row r="5836">
      <c r="B5836" s="21">
        <f>IF(AND(C5836&lt;&gt;"", J5836&lt;&gt;""), HYPERLINK("#'" &amp; C5836 &amp; "'!" &amp; J5836, J5836), "")</f>
        <v/>
      </c>
    </row>
    <row r="5837">
      <c r="B5837" s="21">
        <f>IF(AND(C5837&lt;&gt;"", J5837&lt;&gt;""), HYPERLINK("#'" &amp; C5837 &amp; "'!" &amp; J5837, J5837), "")</f>
        <v/>
      </c>
    </row>
    <row r="5838">
      <c r="B5838" s="21">
        <f>IF(AND(C5838&lt;&gt;"", J5838&lt;&gt;""), HYPERLINK("#'" &amp; C5838 &amp; "'!" &amp; J5838, J5838), "")</f>
        <v/>
      </c>
    </row>
    <row r="5839">
      <c r="B5839" s="21">
        <f>IF(AND(C5839&lt;&gt;"", J5839&lt;&gt;""), HYPERLINK("#'" &amp; C5839 &amp; "'!" &amp; J5839, J5839), "")</f>
        <v/>
      </c>
    </row>
    <row r="5840">
      <c r="B5840" s="21">
        <f>IF(AND(C5840&lt;&gt;"", J5840&lt;&gt;""), HYPERLINK("#'" &amp; C5840 &amp; "'!" &amp; J5840, J5840), "")</f>
        <v/>
      </c>
    </row>
    <row r="5841">
      <c r="B5841" s="21">
        <f>IF(AND(C5841&lt;&gt;"", J5841&lt;&gt;""), HYPERLINK("#'" &amp; C5841 &amp; "'!" &amp; J5841, J5841), "")</f>
        <v/>
      </c>
    </row>
    <row r="5842">
      <c r="B5842" s="21">
        <f>IF(AND(C5842&lt;&gt;"", J5842&lt;&gt;""), HYPERLINK("#'" &amp; C5842 &amp; "'!" &amp; J5842, J5842), "")</f>
        <v/>
      </c>
    </row>
    <row r="5843">
      <c r="B5843" s="21">
        <f>IF(AND(C5843&lt;&gt;"", J5843&lt;&gt;""), HYPERLINK("#'" &amp; C5843 &amp; "'!" &amp; J5843, J5843), "")</f>
        <v/>
      </c>
    </row>
    <row r="5844">
      <c r="B5844" s="21">
        <f>IF(AND(C5844&lt;&gt;"", J5844&lt;&gt;""), HYPERLINK("#'" &amp; C5844 &amp; "'!" &amp; J5844, J5844), "")</f>
        <v/>
      </c>
    </row>
    <row r="5845">
      <c r="B5845" s="21">
        <f>IF(AND(C5845&lt;&gt;"", J5845&lt;&gt;""), HYPERLINK("#'" &amp; C5845 &amp; "'!" &amp; J5845, J5845), "")</f>
        <v/>
      </c>
    </row>
    <row r="5846">
      <c r="B5846" s="21">
        <f>IF(AND(C5846&lt;&gt;"", J5846&lt;&gt;""), HYPERLINK("#'" &amp; C5846 &amp; "'!" &amp; J5846, J5846), "")</f>
        <v/>
      </c>
    </row>
    <row r="5847">
      <c r="B5847" s="21">
        <f>IF(AND(C5847&lt;&gt;"", J5847&lt;&gt;""), HYPERLINK("#'" &amp; C5847 &amp; "'!" &amp; J5847, J5847), "")</f>
        <v/>
      </c>
    </row>
    <row r="5848">
      <c r="B5848" s="21">
        <f>IF(AND(C5848&lt;&gt;"", J5848&lt;&gt;""), HYPERLINK("#'" &amp; C5848 &amp; "'!" &amp; J5848, J5848), "")</f>
        <v/>
      </c>
    </row>
    <row r="5849">
      <c r="B5849" s="21">
        <f>IF(AND(C5849&lt;&gt;"", J5849&lt;&gt;""), HYPERLINK("#'" &amp; C5849 &amp; "'!" &amp; J5849, J5849), "")</f>
        <v/>
      </c>
    </row>
    <row r="5850">
      <c r="B5850" s="21">
        <f>IF(AND(C5850&lt;&gt;"", J5850&lt;&gt;""), HYPERLINK("#'" &amp; C5850 &amp; "'!" &amp; J5850, J5850), "")</f>
        <v/>
      </c>
    </row>
    <row r="5851">
      <c r="B5851" s="21">
        <f>IF(AND(C5851&lt;&gt;"", J5851&lt;&gt;""), HYPERLINK("#'" &amp; C5851 &amp; "'!" &amp; J5851, J5851), "")</f>
        <v/>
      </c>
    </row>
    <row r="5852">
      <c r="B5852" s="21">
        <f>IF(AND(C5852&lt;&gt;"", J5852&lt;&gt;""), HYPERLINK("#'" &amp; C5852 &amp; "'!" &amp; J5852, J5852), "")</f>
        <v/>
      </c>
    </row>
    <row r="5853">
      <c r="B5853" s="21">
        <f>IF(AND(C5853&lt;&gt;"", J5853&lt;&gt;""), HYPERLINK("#'" &amp; C5853 &amp; "'!" &amp; J5853, J5853), "")</f>
        <v/>
      </c>
    </row>
    <row r="5854">
      <c r="B5854" s="21">
        <f>IF(AND(C5854&lt;&gt;"", J5854&lt;&gt;""), HYPERLINK("#'" &amp; C5854 &amp; "'!" &amp; J5854, J5854), "")</f>
        <v/>
      </c>
    </row>
    <row r="5855">
      <c r="B5855" s="21">
        <f>IF(AND(C5855&lt;&gt;"", J5855&lt;&gt;""), HYPERLINK("#'" &amp; C5855 &amp; "'!" &amp; J5855, J5855), "")</f>
        <v/>
      </c>
    </row>
    <row r="5856">
      <c r="B5856" s="21">
        <f>IF(AND(C5856&lt;&gt;"", J5856&lt;&gt;""), HYPERLINK("#'" &amp; C5856 &amp; "'!" &amp; J5856, J5856), "")</f>
        <v/>
      </c>
    </row>
    <row r="5857">
      <c r="B5857" s="21">
        <f>IF(AND(C5857&lt;&gt;"", J5857&lt;&gt;""), HYPERLINK("#'" &amp; C5857 &amp; "'!" &amp; J5857, J5857), "")</f>
        <v/>
      </c>
    </row>
    <row r="5858">
      <c r="B5858" s="21">
        <f>IF(AND(C5858&lt;&gt;"", J5858&lt;&gt;""), HYPERLINK("#'" &amp; C5858 &amp; "'!" &amp; J5858, J5858), "")</f>
        <v/>
      </c>
    </row>
    <row r="5859">
      <c r="B5859" s="21">
        <f>IF(AND(C5859&lt;&gt;"", J5859&lt;&gt;""), HYPERLINK("#'" &amp; C5859 &amp; "'!" &amp; J5859, J5859), "")</f>
        <v/>
      </c>
    </row>
    <row r="5860">
      <c r="B5860" s="21">
        <f>IF(AND(C5860&lt;&gt;"", J5860&lt;&gt;""), HYPERLINK("#'" &amp; C5860 &amp; "'!" &amp; J5860, J5860), "")</f>
        <v/>
      </c>
    </row>
    <row r="5861">
      <c r="B5861" s="21">
        <f>IF(AND(C5861&lt;&gt;"", J5861&lt;&gt;""), HYPERLINK("#'" &amp; C5861 &amp; "'!" &amp; J5861, J5861), "")</f>
        <v/>
      </c>
    </row>
    <row r="5862">
      <c r="B5862" s="21">
        <f>IF(AND(C5862&lt;&gt;"", J5862&lt;&gt;""), HYPERLINK("#'" &amp; C5862 &amp; "'!" &amp; J5862, J5862), "")</f>
        <v/>
      </c>
    </row>
    <row r="5863">
      <c r="B5863" s="21">
        <f>IF(AND(C5863&lt;&gt;"", J5863&lt;&gt;""), HYPERLINK("#'" &amp; C5863 &amp; "'!" &amp; J5863, J5863), "")</f>
        <v/>
      </c>
    </row>
    <row r="5864">
      <c r="B5864" s="21">
        <f>IF(AND(C5864&lt;&gt;"", J5864&lt;&gt;""), HYPERLINK("#'" &amp; C5864 &amp; "'!" &amp; J5864, J5864), "")</f>
        <v/>
      </c>
    </row>
    <row r="5865">
      <c r="B5865" s="21">
        <f>IF(AND(C5865&lt;&gt;"", J5865&lt;&gt;""), HYPERLINK("#'" &amp; C5865 &amp; "'!" &amp; J5865, J5865), "")</f>
        <v/>
      </c>
    </row>
    <row r="5866">
      <c r="B5866" s="21">
        <f>IF(AND(C5866&lt;&gt;"", J5866&lt;&gt;""), HYPERLINK("#'" &amp; C5866 &amp; "'!" &amp; J5866, J5866), "")</f>
        <v/>
      </c>
    </row>
    <row r="5867">
      <c r="B5867" s="21">
        <f>IF(AND(C5867&lt;&gt;"", J5867&lt;&gt;""), HYPERLINK("#'" &amp; C5867 &amp; "'!" &amp; J5867, J5867), "")</f>
        <v/>
      </c>
    </row>
    <row r="5868">
      <c r="B5868" s="21">
        <f>IF(AND(C5868&lt;&gt;"", J5868&lt;&gt;""), HYPERLINK("#'" &amp; C5868 &amp; "'!" &amp; J5868, J5868), "")</f>
        <v/>
      </c>
    </row>
    <row r="5869">
      <c r="B5869" s="21">
        <f>IF(AND(C5869&lt;&gt;"", J5869&lt;&gt;""), HYPERLINK("#'" &amp; C5869 &amp; "'!" &amp; J5869, J5869), "")</f>
        <v/>
      </c>
    </row>
    <row r="5870">
      <c r="B5870" s="21">
        <f>IF(AND(C5870&lt;&gt;"", J5870&lt;&gt;""), HYPERLINK("#'" &amp; C5870 &amp; "'!" &amp; J5870, J5870), "")</f>
        <v/>
      </c>
    </row>
    <row r="5871">
      <c r="B5871" s="21">
        <f>IF(AND(C5871&lt;&gt;"", J5871&lt;&gt;""), HYPERLINK("#'" &amp; C5871 &amp; "'!" &amp; J5871, J5871), "")</f>
        <v/>
      </c>
    </row>
    <row r="5872">
      <c r="B5872" s="21">
        <f>IF(AND(C5872&lt;&gt;"", J5872&lt;&gt;""), HYPERLINK("#'" &amp; C5872 &amp; "'!" &amp; J5872, J5872), "")</f>
        <v/>
      </c>
    </row>
    <row r="5873">
      <c r="B5873" s="21">
        <f>IF(AND(C5873&lt;&gt;"", J5873&lt;&gt;""), HYPERLINK("#'" &amp; C5873 &amp; "'!" &amp; J5873, J5873), "")</f>
        <v/>
      </c>
    </row>
    <row r="5874">
      <c r="B5874" s="21">
        <f>IF(AND(C5874&lt;&gt;"", J5874&lt;&gt;""), HYPERLINK("#'" &amp; C5874 &amp; "'!" &amp; J5874, J5874), "")</f>
        <v/>
      </c>
    </row>
    <row r="5875">
      <c r="B5875" s="21">
        <f>IF(AND(C5875&lt;&gt;"", J5875&lt;&gt;""), HYPERLINK("#'" &amp; C5875 &amp; "'!" &amp; J5875, J5875), "")</f>
        <v/>
      </c>
    </row>
    <row r="5876">
      <c r="B5876" s="21">
        <f>IF(AND(C5876&lt;&gt;"", J5876&lt;&gt;""), HYPERLINK("#'" &amp; C5876 &amp; "'!" &amp; J5876, J5876), "")</f>
        <v/>
      </c>
    </row>
    <row r="5877">
      <c r="B5877" s="21">
        <f>IF(AND(C5877&lt;&gt;"", J5877&lt;&gt;""), HYPERLINK("#'" &amp; C5877 &amp; "'!" &amp; J5877, J5877), "")</f>
        <v/>
      </c>
    </row>
    <row r="5878">
      <c r="B5878" s="21">
        <f>IF(AND(C5878&lt;&gt;"", J5878&lt;&gt;""), HYPERLINK("#'" &amp; C5878 &amp; "'!" &amp; J5878, J5878), "")</f>
        <v/>
      </c>
    </row>
    <row r="5879">
      <c r="B5879" s="21">
        <f>IF(AND(C5879&lt;&gt;"", J5879&lt;&gt;""), HYPERLINK("#'" &amp; C5879 &amp; "'!" &amp; J5879, J5879), "")</f>
        <v/>
      </c>
    </row>
    <row r="5880">
      <c r="B5880" s="21">
        <f>IF(AND(C5880&lt;&gt;"", J5880&lt;&gt;""), HYPERLINK("#'" &amp; C5880 &amp; "'!" &amp; J5880, J5880), "")</f>
        <v/>
      </c>
    </row>
    <row r="5881">
      <c r="B5881" s="21">
        <f>IF(AND(C5881&lt;&gt;"", J5881&lt;&gt;""), HYPERLINK("#'" &amp; C5881 &amp; "'!" &amp; J5881, J5881), "")</f>
        <v/>
      </c>
    </row>
    <row r="5882">
      <c r="B5882" s="21">
        <f>IF(AND(C5882&lt;&gt;"", J5882&lt;&gt;""), HYPERLINK("#'" &amp; C5882 &amp; "'!" &amp; J5882, J5882), "")</f>
        <v/>
      </c>
    </row>
    <row r="5883">
      <c r="B5883" s="21">
        <f>IF(AND(C5883&lt;&gt;"", J5883&lt;&gt;""), HYPERLINK("#'" &amp; C5883 &amp; "'!" &amp; J5883, J5883), "")</f>
        <v/>
      </c>
    </row>
    <row r="5884">
      <c r="B5884" s="21">
        <f>IF(AND(C5884&lt;&gt;"", J5884&lt;&gt;""), HYPERLINK("#'" &amp; C5884 &amp; "'!" &amp; J5884, J5884), "")</f>
        <v/>
      </c>
    </row>
    <row r="5885">
      <c r="B5885" s="21">
        <f>IF(AND(C5885&lt;&gt;"", J5885&lt;&gt;""), HYPERLINK("#'" &amp; C5885 &amp; "'!" &amp; J5885, J5885), "")</f>
        <v/>
      </c>
    </row>
    <row r="5886">
      <c r="B5886" s="21">
        <f>IF(AND(C5886&lt;&gt;"", J5886&lt;&gt;""), HYPERLINK("#'" &amp; C5886 &amp; "'!" &amp; J5886, J5886), "")</f>
        <v/>
      </c>
    </row>
    <row r="5887">
      <c r="B5887" s="21">
        <f>IF(AND(C5887&lt;&gt;"", J5887&lt;&gt;""), HYPERLINK("#'" &amp; C5887 &amp; "'!" &amp; J5887, J5887), "")</f>
        <v/>
      </c>
    </row>
    <row r="5888">
      <c r="B5888" s="21">
        <f>IF(AND(C5888&lt;&gt;"", J5888&lt;&gt;""), HYPERLINK("#'" &amp; C5888 &amp; "'!" &amp; J5888, J5888), "")</f>
        <v/>
      </c>
    </row>
    <row r="5889">
      <c r="B5889" s="21">
        <f>IF(AND(C5889&lt;&gt;"", J5889&lt;&gt;""), HYPERLINK("#'" &amp; C5889 &amp; "'!" &amp; J5889, J5889), "")</f>
        <v/>
      </c>
    </row>
    <row r="5890">
      <c r="B5890" s="21">
        <f>IF(AND(C5890&lt;&gt;"", J5890&lt;&gt;""), HYPERLINK("#'" &amp; C5890 &amp; "'!" &amp; J5890, J5890), "")</f>
        <v/>
      </c>
    </row>
    <row r="5891">
      <c r="B5891" s="21">
        <f>IF(AND(C5891&lt;&gt;"", J5891&lt;&gt;""), HYPERLINK("#'" &amp; C5891 &amp; "'!" &amp; J5891, J5891), "")</f>
        <v/>
      </c>
    </row>
    <row r="5892">
      <c r="B5892" s="21">
        <f>IF(AND(C5892&lt;&gt;"", J5892&lt;&gt;""), HYPERLINK("#'" &amp; C5892 &amp; "'!" &amp; J5892, J5892), "")</f>
        <v/>
      </c>
    </row>
    <row r="5893">
      <c r="B5893" s="21">
        <f>IF(AND(C5893&lt;&gt;"", J5893&lt;&gt;""), HYPERLINK("#'" &amp; C5893 &amp; "'!" &amp; J5893, J5893), "")</f>
        <v/>
      </c>
    </row>
    <row r="5894">
      <c r="B5894" s="21">
        <f>IF(AND(C5894&lt;&gt;"", J5894&lt;&gt;""), HYPERLINK("#'" &amp; C5894 &amp; "'!" &amp; J5894, J5894), "")</f>
        <v/>
      </c>
    </row>
    <row r="5895">
      <c r="B5895" s="21">
        <f>IF(AND(C5895&lt;&gt;"", J5895&lt;&gt;""), HYPERLINK("#'" &amp; C5895 &amp; "'!" &amp; J5895, J5895), "")</f>
        <v/>
      </c>
    </row>
    <row r="5896">
      <c r="B5896" s="21">
        <f>IF(AND(C5896&lt;&gt;"", J5896&lt;&gt;""), HYPERLINK("#'" &amp; C5896 &amp; "'!" &amp; J5896, J5896), "")</f>
        <v/>
      </c>
    </row>
    <row r="5897">
      <c r="B5897" s="21">
        <f>IF(AND(C5897&lt;&gt;"", J5897&lt;&gt;""), HYPERLINK("#'" &amp; C5897 &amp; "'!" &amp; J5897, J5897), "")</f>
        <v/>
      </c>
    </row>
    <row r="5898">
      <c r="B5898" s="21">
        <f>IF(AND(C5898&lt;&gt;"", J5898&lt;&gt;""), HYPERLINK("#'" &amp; C5898 &amp; "'!" &amp; J5898, J5898), "")</f>
        <v/>
      </c>
    </row>
    <row r="5899">
      <c r="B5899" s="21">
        <f>IF(AND(C5899&lt;&gt;"", J5899&lt;&gt;""), HYPERLINK("#'" &amp; C5899 &amp; "'!" &amp; J5899, J5899), "")</f>
        <v/>
      </c>
    </row>
    <row r="5900">
      <c r="B5900" s="21">
        <f>IF(AND(C5900&lt;&gt;"", J5900&lt;&gt;""), HYPERLINK("#'" &amp; C5900 &amp; "'!" &amp; J5900, J5900), "")</f>
        <v/>
      </c>
    </row>
    <row r="5901">
      <c r="B5901" s="21">
        <f>IF(AND(C5901&lt;&gt;"", J5901&lt;&gt;""), HYPERLINK("#'" &amp; C5901 &amp; "'!" &amp; J5901, J5901), "")</f>
        <v/>
      </c>
    </row>
    <row r="5902">
      <c r="B5902" s="21">
        <f>IF(AND(C5902&lt;&gt;"", J5902&lt;&gt;""), HYPERLINK("#'" &amp; C5902 &amp; "'!" &amp; J5902, J5902), "")</f>
        <v/>
      </c>
    </row>
    <row r="5903">
      <c r="B5903" s="21">
        <f>IF(AND(C5903&lt;&gt;"", J5903&lt;&gt;""), HYPERLINK("#'" &amp; C5903 &amp; "'!" &amp; J5903, J5903), "")</f>
        <v/>
      </c>
    </row>
    <row r="5904">
      <c r="B5904" s="21">
        <f>IF(AND(C5904&lt;&gt;"", J5904&lt;&gt;""), HYPERLINK("#'" &amp; C5904 &amp; "'!" &amp; J5904, J5904), "")</f>
        <v/>
      </c>
    </row>
    <row r="5905">
      <c r="B5905" s="21">
        <f>IF(AND(C5905&lt;&gt;"", J5905&lt;&gt;""), HYPERLINK("#'" &amp; C5905 &amp; "'!" &amp; J5905, J5905), "")</f>
        <v/>
      </c>
    </row>
    <row r="5906">
      <c r="B5906" s="21">
        <f>IF(AND(C5906&lt;&gt;"", J5906&lt;&gt;""), HYPERLINK("#'" &amp; C5906 &amp; "'!" &amp; J5906, J5906), "")</f>
        <v/>
      </c>
    </row>
    <row r="5907">
      <c r="B5907" s="21">
        <f>IF(AND(C5907&lt;&gt;"", J5907&lt;&gt;""), HYPERLINK("#'" &amp; C5907 &amp; "'!" &amp; J5907, J5907), "")</f>
        <v/>
      </c>
    </row>
    <row r="5908">
      <c r="B5908" s="21">
        <f>IF(AND(C5908&lt;&gt;"", J5908&lt;&gt;""), HYPERLINK("#'" &amp; C5908 &amp; "'!" &amp; J5908, J5908), "")</f>
        <v/>
      </c>
    </row>
    <row r="5909">
      <c r="B5909" s="21">
        <f>IF(AND(C5909&lt;&gt;"", J5909&lt;&gt;""), HYPERLINK("#'" &amp; C5909 &amp; "'!" &amp; J5909, J5909), "")</f>
        <v/>
      </c>
    </row>
    <row r="5910">
      <c r="B5910" s="21">
        <f>IF(AND(C5910&lt;&gt;"", J5910&lt;&gt;""), HYPERLINK("#'" &amp; C5910 &amp; "'!" &amp; J5910, J5910), "")</f>
        <v/>
      </c>
    </row>
    <row r="5911">
      <c r="B5911" s="21">
        <f>IF(AND(C5911&lt;&gt;"", J5911&lt;&gt;""), HYPERLINK("#'" &amp; C5911 &amp; "'!" &amp; J5911, J5911), "")</f>
        <v/>
      </c>
    </row>
    <row r="5912">
      <c r="B5912" s="21">
        <f>IF(AND(C5912&lt;&gt;"", J5912&lt;&gt;""), HYPERLINK("#'" &amp; C5912 &amp; "'!" &amp; J5912, J5912), "")</f>
        <v/>
      </c>
    </row>
    <row r="5913">
      <c r="B5913" s="21">
        <f>IF(AND(C5913&lt;&gt;"", J5913&lt;&gt;""), HYPERLINK("#'" &amp; C5913 &amp; "'!" &amp; J5913, J5913), "")</f>
        <v/>
      </c>
    </row>
    <row r="5914">
      <c r="B5914" s="21">
        <f>IF(AND(C5914&lt;&gt;"", J5914&lt;&gt;""), HYPERLINK("#'" &amp; C5914 &amp; "'!" &amp; J5914, J5914), "")</f>
        <v/>
      </c>
    </row>
    <row r="5915">
      <c r="B5915" s="21">
        <f>IF(AND(C5915&lt;&gt;"", J5915&lt;&gt;""), HYPERLINK("#'" &amp; C5915 &amp; "'!" &amp; J5915, J5915), "")</f>
        <v/>
      </c>
    </row>
    <row r="5916">
      <c r="B5916" s="21">
        <f>IF(AND(C5916&lt;&gt;"", J5916&lt;&gt;""), HYPERLINK("#'" &amp; C5916 &amp; "'!" &amp; J5916, J5916), "")</f>
        <v/>
      </c>
    </row>
    <row r="5917">
      <c r="B5917" s="21">
        <f>IF(AND(C5917&lt;&gt;"", J5917&lt;&gt;""), HYPERLINK("#'" &amp; C5917 &amp; "'!" &amp; J5917, J5917), "")</f>
        <v/>
      </c>
    </row>
    <row r="5918">
      <c r="B5918" s="21">
        <f>IF(AND(C5918&lt;&gt;"", J5918&lt;&gt;""), HYPERLINK("#'" &amp; C5918 &amp; "'!" &amp; J5918, J5918), "")</f>
        <v/>
      </c>
    </row>
    <row r="5919">
      <c r="B5919" s="21">
        <f>IF(AND(C5919&lt;&gt;"", J5919&lt;&gt;""), HYPERLINK("#'" &amp; C5919 &amp; "'!" &amp; J5919, J5919), "")</f>
        <v/>
      </c>
    </row>
    <row r="5920">
      <c r="B5920" s="21">
        <f>IF(AND(C5920&lt;&gt;"", J5920&lt;&gt;""), HYPERLINK("#'" &amp; C5920 &amp; "'!" &amp; J5920, J5920), "")</f>
        <v/>
      </c>
    </row>
    <row r="5921">
      <c r="B5921" s="21">
        <f>IF(AND(C5921&lt;&gt;"", J5921&lt;&gt;""), HYPERLINK("#'" &amp; C5921 &amp; "'!" &amp; J5921, J5921), "")</f>
        <v/>
      </c>
    </row>
    <row r="5922">
      <c r="B5922" s="21">
        <f>IF(AND(C5922&lt;&gt;"", J5922&lt;&gt;""), HYPERLINK("#'" &amp; C5922 &amp; "'!" &amp; J5922, J5922), "")</f>
        <v/>
      </c>
    </row>
    <row r="5923">
      <c r="B5923" s="21">
        <f>IF(AND(C5923&lt;&gt;"", J5923&lt;&gt;""), HYPERLINK("#'" &amp; C5923 &amp; "'!" &amp; J5923, J5923), "")</f>
        <v/>
      </c>
    </row>
    <row r="5924">
      <c r="B5924" s="21">
        <f>IF(AND(C5924&lt;&gt;"", J5924&lt;&gt;""), HYPERLINK("#'" &amp; C5924 &amp; "'!" &amp; J5924, J5924), "")</f>
        <v/>
      </c>
    </row>
    <row r="5925">
      <c r="B5925" s="21">
        <f>IF(AND(C5925&lt;&gt;"", J5925&lt;&gt;""), HYPERLINK("#'" &amp; C5925 &amp; "'!" &amp; J5925, J5925), "")</f>
        <v/>
      </c>
    </row>
    <row r="5926">
      <c r="B5926" s="21">
        <f>IF(AND(C5926&lt;&gt;"", J5926&lt;&gt;""), HYPERLINK("#'" &amp; C5926 &amp; "'!" &amp; J5926, J5926), "")</f>
        <v/>
      </c>
    </row>
    <row r="5927">
      <c r="B5927" s="21">
        <f>IF(AND(C5927&lt;&gt;"", J5927&lt;&gt;""), HYPERLINK("#'" &amp; C5927 &amp; "'!" &amp; J5927, J5927), "")</f>
        <v/>
      </c>
    </row>
    <row r="5928">
      <c r="B5928" s="21">
        <f>IF(AND(C5928&lt;&gt;"", J5928&lt;&gt;""), HYPERLINK("#'" &amp; C5928 &amp; "'!" &amp; J5928, J5928), "")</f>
        <v/>
      </c>
    </row>
    <row r="5929">
      <c r="B5929" s="21">
        <f>IF(AND(C5929&lt;&gt;"", J5929&lt;&gt;""), HYPERLINK("#'" &amp; C5929 &amp; "'!" &amp; J5929, J5929), "")</f>
        <v/>
      </c>
    </row>
    <row r="5930">
      <c r="B5930" s="21">
        <f>IF(AND(C5930&lt;&gt;"", J5930&lt;&gt;""), HYPERLINK("#'" &amp; C5930 &amp; "'!" &amp; J5930, J5930), "")</f>
        <v/>
      </c>
    </row>
    <row r="5931">
      <c r="B5931" s="21">
        <f>IF(AND(C5931&lt;&gt;"", J5931&lt;&gt;""), HYPERLINK("#'" &amp; C5931 &amp; "'!" &amp; J5931, J5931), "")</f>
        <v/>
      </c>
    </row>
    <row r="5932">
      <c r="B5932" s="21">
        <f>IF(AND(C5932&lt;&gt;"", J5932&lt;&gt;""), HYPERLINK("#'" &amp; C5932 &amp; "'!" &amp; J5932, J5932), "")</f>
        <v/>
      </c>
    </row>
    <row r="5933">
      <c r="B5933" s="21">
        <f>IF(AND(C5933&lt;&gt;"", J5933&lt;&gt;""), HYPERLINK("#'" &amp; C5933 &amp; "'!" &amp; J5933, J5933), "")</f>
        <v/>
      </c>
    </row>
    <row r="5934">
      <c r="B5934" s="21">
        <f>IF(AND(C5934&lt;&gt;"", J5934&lt;&gt;""), HYPERLINK("#'" &amp; C5934 &amp; "'!" &amp; J5934, J5934), "")</f>
        <v/>
      </c>
    </row>
    <row r="5935">
      <c r="B5935" s="21">
        <f>IF(AND(C5935&lt;&gt;"", J5935&lt;&gt;""), HYPERLINK("#'" &amp; C5935 &amp; "'!" &amp; J5935, J5935), "")</f>
        <v/>
      </c>
    </row>
    <row r="5936">
      <c r="B5936" s="21">
        <f>IF(AND(C5936&lt;&gt;"", J5936&lt;&gt;""), HYPERLINK("#'" &amp; C5936 &amp; "'!" &amp; J5936, J5936), "")</f>
        <v/>
      </c>
    </row>
    <row r="5937">
      <c r="B5937" s="21">
        <f>IF(AND(C5937&lt;&gt;"", J5937&lt;&gt;""), HYPERLINK("#'" &amp; C5937 &amp; "'!" &amp; J5937, J5937), "")</f>
        <v/>
      </c>
    </row>
    <row r="5938">
      <c r="B5938" s="21">
        <f>IF(AND(C5938&lt;&gt;"", J5938&lt;&gt;""), HYPERLINK("#'" &amp; C5938 &amp; "'!" &amp; J5938, J5938), "")</f>
        <v/>
      </c>
    </row>
    <row r="5939">
      <c r="B5939" s="21">
        <f>IF(AND(C5939&lt;&gt;"", J5939&lt;&gt;""), HYPERLINK("#'" &amp; C5939 &amp; "'!" &amp; J5939, J5939), "")</f>
        <v/>
      </c>
    </row>
    <row r="5940">
      <c r="B5940" s="21">
        <f>IF(AND(C5940&lt;&gt;"", J5940&lt;&gt;""), HYPERLINK("#'" &amp; C5940 &amp; "'!" &amp; J5940, J5940), "")</f>
        <v/>
      </c>
    </row>
    <row r="5941">
      <c r="B5941" s="21">
        <f>IF(AND(C5941&lt;&gt;"", J5941&lt;&gt;""), HYPERLINK("#'" &amp; C5941 &amp; "'!" &amp; J5941, J5941), "")</f>
        <v/>
      </c>
    </row>
    <row r="5942">
      <c r="B5942" s="21">
        <f>IF(AND(C5942&lt;&gt;"", J5942&lt;&gt;""), HYPERLINK("#'" &amp; C5942 &amp; "'!" &amp; J5942, J5942), "")</f>
        <v/>
      </c>
    </row>
    <row r="5943">
      <c r="B5943" s="21">
        <f>IF(AND(C5943&lt;&gt;"", J5943&lt;&gt;""), HYPERLINK("#'" &amp; C5943 &amp; "'!" &amp; J5943, J5943), "")</f>
        <v/>
      </c>
    </row>
    <row r="5944">
      <c r="B5944" s="21">
        <f>IF(AND(C5944&lt;&gt;"", J5944&lt;&gt;""), HYPERLINK("#'" &amp; C5944 &amp; "'!" &amp; J5944, J5944), "")</f>
        <v/>
      </c>
    </row>
    <row r="5945">
      <c r="B5945" s="21">
        <f>IF(AND(C5945&lt;&gt;"", J5945&lt;&gt;""), HYPERLINK("#'" &amp; C5945 &amp; "'!" &amp; J5945, J5945), "")</f>
        <v/>
      </c>
    </row>
    <row r="5946">
      <c r="B5946" s="21">
        <f>IF(AND(C5946&lt;&gt;"", J5946&lt;&gt;""), HYPERLINK("#'" &amp; C5946 &amp; "'!" &amp; J5946, J5946), "")</f>
        <v/>
      </c>
    </row>
    <row r="5947">
      <c r="B5947" s="21">
        <f>IF(AND(C5947&lt;&gt;"", J5947&lt;&gt;""), HYPERLINK("#'" &amp; C5947 &amp; "'!" &amp; J5947, J5947), "")</f>
        <v/>
      </c>
    </row>
    <row r="5948">
      <c r="B5948" s="21">
        <f>IF(AND(C5948&lt;&gt;"", J5948&lt;&gt;""), HYPERLINK("#'" &amp; C5948 &amp; "'!" &amp; J5948, J5948), "")</f>
        <v/>
      </c>
    </row>
    <row r="5949">
      <c r="B5949" s="21">
        <f>IF(AND(C5949&lt;&gt;"", J5949&lt;&gt;""), HYPERLINK("#'" &amp; C5949 &amp; "'!" &amp; J5949, J5949), "")</f>
        <v/>
      </c>
    </row>
    <row r="5950">
      <c r="B5950" s="21">
        <f>IF(AND(C5950&lt;&gt;"", J5950&lt;&gt;""), HYPERLINK("#'" &amp; C5950 &amp; "'!" &amp; J5950, J5950), "")</f>
        <v/>
      </c>
    </row>
    <row r="5951">
      <c r="B5951" s="21">
        <f>IF(AND(C5951&lt;&gt;"", J5951&lt;&gt;""), HYPERLINK("#'" &amp; C5951 &amp; "'!" &amp; J5951, J5951), "")</f>
        <v/>
      </c>
    </row>
    <row r="5952">
      <c r="B5952" s="21">
        <f>IF(AND(C5952&lt;&gt;"", J5952&lt;&gt;""), HYPERLINK("#'" &amp; C5952 &amp; "'!" &amp; J5952, J5952), "")</f>
        <v/>
      </c>
    </row>
    <row r="5953">
      <c r="B5953" s="21">
        <f>IF(AND(C5953&lt;&gt;"", J5953&lt;&gt;""), HYPERLINK("#'" &amp; C5953 &amp; "'!" &amp; J5953, J5953), "")</f>
        <v/>
      </c>
    </row>
    <row r="5954">
      <c r="B5954" s="21">
        <f>IF(AND(C5954&lt;&gt;"", J5954&lt;&gt;""), HYPERLINK("#'" &amp; C5954 &amp; "'!" &amp; J5954, J5954), "")</f>
        <v/>
      </c>
    </row>
    <row r="5955">
      <c r="B5955" s="21">
        <f>IF(AND(C5955&lt;&gt;"", J5955&lt;&gt;""), HYPERLINK("#'" &amp; C5955 &amp; "'!" &amp; J5955, J5955), "")</f>
        <v/>
      </c>
    </row>
    <row r="5956">
      <c r="B5956" s="21">
        <f>IF(AND(C5956&lt;&gt;"", J5956&lt;&gt;""), HYPERLINK("#'" &amp; C5956 &amp; "'!" &amp; J5956, J5956), "")</f>
        <v/>
      </c>
    </row>
    <row r="5957">
      <c r="B5957" s="21">
        <f>IF(AND(C5957&lt;&gt;"", J5957&lt;&gt;""), HYPERLINK("#'" &amp; C5957 &amp; "'!" &amp; J5957, J5957), "")</f>
        <v/>
      </c>
    </row>
    <row r="5958">
      <c r="B5958" s="21">
        <f>IF(AND(C5958&lt;&gt;"", J5958&lt;&gt;""), HYPERLINK("#'" &amp; C5958 &amp; "'!" &amp; J5958, J5958), "")</f>
        <v/>
      </c>
    </row>
    <row r="5959">
      <c r="B5959" s="21">
        <f>IF(AND(C5959&lt;&gt;"", J5959&lt;&gt;""), HYPERLINK("#'" &amp; C5959 &amp; "'!" &amp; J5959, J5959), "")</f>
        <v/>
      </c>
    </row>
    <row r="5960">
      <c r="B5960" s="21">
        <f>IF(AND(C5960&lt;&gt;"", J5960&lt;&gt;""), HYPERLINK("#'" &amp; C5960 &amp; "'!" &amp; J5960, J5960), "")</f>
        <v/>
      </c>
    </row>
    <row r="5961">
      <c r="B5961" s="21">
        <f>IF(AND(C5961&lt;&gt;"", J5961&lt;&gt;""), HYPERLINK("#'" &amp; C5961 &amp; "'!" &amp; J5961, J5961), "")</f>
        <v/>
      </c>
    </row>
    <row r="5962">
      <c r="B5962" s="21">
        <f>IF(AND(C5962&lt;&gt;"", J5962&lt;&gt;""), HYPERLINK("#'" &amp; C5962 &amp; "'!" &amp; J5962, J5962), "")</f>
        <v/>
      </c>
    </row>
    <row r="5963">
      <c r="B5963" s="21">
        <f>IF(AND(C5963&lt;&gt;"", J5963&lt;&gt;""), HYPERLINK("#'" &amp; C5963 &amp; "'!" &amp; J5963, J5963), "")</f>
        <v/>
      </c>
    </row>
    <row r="5964">
      <c r="B5964" s="21">
        <f>IF(AND(C5964&lt;&gt;"", J5964&lt;&gt;""), HYPERLINK("#'" &amp; C5964 &amp; "'!" &amp; J5964, J5964), "")</f>
        <v/>
      </c>
    </row>
    <row r="5965">
      <c r="B5965" s="21">
        <f>IF(AND(C5965&lt;&gt;"", J5965&lt;&gt;""), HYPERLINK("#'" &amp; C5965 &amp; "'!" &amp; J5965, J5965), "")</f>
        <v/>
      </c>
    </row>
    <row r="5966">
      <c r="B5966" s="21">
        <f>IF(AND(C5966&lt;&gt;"", J5966&lt;&gt;""), HYPERLINK("#'" &amp; C5966 &amp; "'!" &amp; J5966, J5966), "")</f>
        <v/>
      </c>
    </row>
    <row r="5967">
      <c r="B5967" s="21">
        <f>IF(AND(C5967&lt;&gt;"", J5967&lt;&gt;""), HYPERLINK("#'" &amp; C5967 &amp; "'!" &amp; J5967, J5967), "")</f>
        <v/>
      </c>
    </row>
    <row r="5968">
      <c r="B5968" s="21">
        <f>IF(AND(C5968&lt;&gt;"", J5968&lt;&gt;""), HYPERLINK("#'" &amp; C5968 &amp; "'!" &amp; J5968, J5968), "")</f>
        <v/>
      </c>
    </row>
    <row r="5969">
      <c r="B5969" s="21">
        <f>IF(AND(C5969&lt;&gt;"", J5969&lt;&gt;""), HYPERLINK("#'" &amp; C5969 &amp; "'!" &amp; J5969, J5969), "")</f>
        <v/>
      </c>
    </row>
    <row r="5970">
      <c r="B5970" s="21">
        <f>IF(AND(C5970&lt;&gt;"", J5970&lt;&gt;""), HYPERLINK("#'" &amp; C5970 &amp; "'!" &amp; J5970, J5970), "")</f>
        <v/>
      </c>
    </row>
    <row r="5971">
      <c r="B5971" s="21">
        <f>IF(AND(C5971&lt;&gt;"", J5971&lt;&gt;""), HYPERLINK("#'" &amp; C5971 &amp; "'!" &amp; J5971, J5971), "")</f>
        <v/>
      </c>
    </row>
    <row r="5972">
      <c r="B5972" s="21">
        <f>IF(AND(C5972&lt;&gt;"", J5972&lt;&gt;""), HYPERLINK("#'" &amp; C5972 &amp; "'!" &amp; J5972, J5972), "")</f>
        <v/>
      </c>
    </row>
    <row r="5973">
      <c r="B5973" s="21">
        <f>IF(AND(C5973&lt;&gt;"", J5973&lt;&gt;""), HYPERLINK("#'" &amp; C5973 &amp; "'!" &amp; J5973, J5973), "")</f>
        <v/>
      </c>
    </row>
    <row r="5974">
      <c r="B5974" s="21">
        <f>IF(AND(C5974&lt;&gt;"", J5974&lt;&gt;""), HYPERLINK("#'" &amp; C5974 &amp; "'!" &amp; J5974, J5974), "")</f>
        <v/>
      </c>
    </row>
    <row r="5975">
      <c r="B5975" s="21">
        <f>IF(AND(C5975&lt;&gt;"", J5975&lt;&gt;""), HYPERLINK("#'" &amp; C5975 &amp; "'!" &amp; J5975, J5975), "")</f>
        <v/>
      </c>
    </row>
    <row r="5976">
      <c r="B5976" s="21">
        <f>IF(AND(C5976&lt;&gt;"", J5976&lt;&gt;""), HYPERLINK("#'" &amp; C5976 &amp; "'!" &amp; J5976, J5976), "")</f>
        <v/>
      </c>
    </row>
    <row r="5977">
      <c r="B5977" s="21">
        <f>IF(AND(C5977&lt;&gt;"", J5977&lt;&gt;""), HYPERLINK("#'" &amp; C5977 &amp; "'!" &amp; J5977, J5977), "")</f>
        <v/>
      </c>
    </row>
    <row r="5978">
      <c r="B5978" s="21">
        <f>IF(AND(C5978&lt;&gt;"", J5978&lt;&gt;""), HYPERLINK("#'" &amp; C5978 &amp; "'!" &amp; J5978, J5978), "")</f>
        <v/>
      </c>
    </row>
    <row r="5979">
      <c r="B5979" s="21">
        <f>IF(AND(C5979&lt;&gt;"", J5979&lt;&gt;""), HYPERLINK("#'" &amp; C5979 &amp; "'!" &amp; J5979, J5979), "")</f>
        <v/>
      </c>
    </row>
    <row r="5980">
      <c r="B5980" s="21">
        <f>IF(AND(C5980&lt;&gt;"", J5980&lt;&gt;""), HYPERLINK("#'" &amp; C5980 &amp; "'!" &amp; J5980, J5980), "")</f>
        <v/>
      </c>
    </row>
    <row r="5981">
      <c r="B5981" s="21">
        <f>IF(AND(C5981&lt;&gt;"", J5981&lt;&gt;""), HYPERLINK("#'" &amp; C5981 &amp; "'!" &amp; J5981, J5981), "")</f>
        <v/>
      </c>
    </row>
    <row r="5982">
      <c r="B5982" s="21">
        <f>IF(AND(C5982&lt;&gt;"", J5982&lt;&gt;""), HYPERLINK("#'" &amp; C5982 &amp; "'!" &amp; J5982, J5982), "")</f>
        <v/>
      </c>
    </row>
    <row r="5983">
      <c r="B5983" s="21">
        <f>IF(AND(C5983&lt;&gt;"", J5983&lt;&gt;""), HYPERLINK("#'" &amp; C5983 &amp; "'!" &amp; J5983, J5983), "")</f>
        <v/>
      </c>
    </row>
    <row r="5984">
      <c r="B5984" s="21">
        <f>IF(AND(C5984&lt;&gt;"", J5984&lt;&gt;""), HYPERLINK("#'" &amp; C5984 &amp; "'!" &amp; J5984, J5984), "")</f>
        <v/>
      </c>
    </row>
    <row r="5985">
      <c r="B5985" s="21">
        <f>IF(AND(C5985&lt;&gt;"", J5985&lt;&gt;""), HYPERLINK("#'" &amp; C5985 &amp; "'!" &amp; J5985, J5985), "")</f>
        <v/>
      </c>
    </row>
    <row r="5986">
      <c r="B5986" s="21">
        <f>IF(AND(C5986&lt;&gt;"", J5986&lt;&gt;""), HYPERLINK("#'" &amp; C5986 &amp; "'!" &amp; J5986, J5986), "")</f>
        <v/>
      </c>
    </row>
    <row r="5987">
      <c r="B5987" s="21">
        <f>IF(AND(C5987&lt;&gt;"", J5987&lt;&gt;""), HYPERLINK("#'" &amp; C5987 &amp; "'!" &amp; J5987, J5987), "")</f>
        <v/>
      </c>
    </row>
    <row r="5988">
      <c r="B5988" s="21">
        <f>IF(AND(C5988&lt;&gt;"", J5988&lt;&gt;""), HYPERLINK("#'" &amp; C5988 &amp; "'!" &amp; J5988, J5988), "")</f>
        <v/>
      </c>
    </row>
    <row r="5989">
      <c r="B5989" s="21">
        <f>IF(AND(C5989&lt;&gt;"", J5989&lt;&gt;""), HYPERLINK("#'" &amp; C5989 &amp; "'!" &amp; J5989, J5989), "")</f>
        <v/>
      </c>
    </row>
    <row r="5990">
      <c r="B5990" s="21">
        <f>IF(AND(C5990&lt;&gt;"", J5990&lt;&gt;""), HYPERLINK("#'" &amp; C5990 &amp; "'!" &amp; J5990, J5990), "")</f>
        <v/>
      </c>
    </row>
    <row r="5991">
      <c r="B5991" s="21">
        <f>IF(AND(C5991&lt;&gt;"", J5991&lt;&gt;""), HYPERLINK("#'" &amp; C5991 &amp; "'!" &amp; J5991, J5991), "")</f>
        <v/>
      </c>
    </row>
    <row r="5992">
      <c r="B5992" s="21">
        <f>IF(AND(C5992&lt;&gt;"", J5992&lt;&gt;""), HYPERLINK("#'" &amp; C5992 &amp; "'!" &amp; J5992, J5992), "")</f>
        <v/>
      </c>
    </row>
    <row r="5993">
      <c r="B5993" s="21">
        <f>IF(AND(C5993&lt;&gt;"", J5993&lt;&gt;""), HYPERLINK("#'" &amp; C5993 &amp; "'!" &amp; J5993, J5993), "")</f>
        <v/>
      </c>
    </row>
    <row r="5994">
      <c r="B5994" s="21">
        <f>IF(AND(C5994&lt;&gt;"", J5994&lt;&gt;""), HYPERLINK("#'" &amp; C5994 &amp; "'!" &amp; J5994, J5994), "")</f>
        <v/>
      </c>
    </row>
    <row r="5995">
      <c r="B5995" s="21">
        <f>IF(AND(C5995&lt;&gt;"", J5995&lt;&gt;""), HYPERLINK("#'" &amp; C5995 &amp; "'!" &amp; J5995, J5995), "")</f>
        <v/>
      </c>
    </row>
    <row r="5996">
      <c r="B5996" s="21">
        <f>IF(AND(C5996&lt;&gt;"", J5996&lt;&gt;""), HYPERLINK("#'" &amp; C5996 &amp; "'!" &amp; J5996, J5996), "")</f>
        <v/>
      </c>
    </row>
    <row r="5997">
      <c r="B5997" s="21">
        <f>IF(AND(C5997&lt;&gt;"", J5997&lt;&gt;""), HYPERLINK("#'" &amp; C5997 &amp; "'!" &amp; J5997, J5997), "")</f>
        <v/>
      </c>
    </row>
    <row r="5998">
      <c r="B5998" s="21">
        <f>IF(AND(C5998&lt;&gt;"", J5998&lt;&gt;""), HYPERLINK("#'" &amp; C5998 &amp; "'!" &amp; J5998, J5998), "")</f>
        <v/>
      </c>
    </row>
    <row r="5999">
      <c r="B5999" s="21">
        <f>IF(AND(C5999&lt;&gt;"", J5999&lt;&gt;""), HYPERLINK("#'" &amp; C5999 &amp; "'!" &amp; J5999, J5999), "")</f>
        <v/>
      </c>
    </row>
    <row r="6000">
      <c r="B6000" s="21">
        <f>IF(AND(C6000&lt;&gt;"", J6000&lt;&gt;""), HYPERLINK("#'" &amp; C6000 &amp; "'!" &amp; J6000, J6000), "")</f>
        <v/>
      </c>
    </row>
    <row r="6001">
      <c r="B6001" s="21">
        <f>IF(AND(C6001&lt;&gt;"", J6001&lt;&gt;""), HYPERLINK("#'" &amp; C6001 &amp; "'!" &amp; J6001, J6001), "")</f>
        <v/>
      </c>
    </row>
    <row r="6002">
      <c r="B6002" s="21">
        <f>IF(AND(C6002&lt;&gt;"", J6002&lt;&gt;""), HYPERLINK("#'" &amp; C6002 &amp; "'!" &amp; J6002, J6002), "")</f>
        <v/>
      </c>
    </row>
  </sheetData>
  <sheetProtection selectLockedCells="0" selectUnlockedCells="0" sheet="1" objects="1" insertRows="1" insertHyperlinks="1" autoFilter="0" scenarios="1" formatColumns="0" deleteColumns="1" insertColumns="1" pivotTables="1" deleteRows="1" formatCells="1" formatRows="0" sort="0" password="F6B0"/>
  <autoFilter ref="A2:H2"/>
  <mergeCells count="1">
    <mergeCell ref="A1:H1"/>
  </mergeCells>
  <conditionalFormatting sqref="A3:A65001">
    <cfRule type="cellIs" priority="1" operator="equal" dxfId="9">
      <formula>"Error"</formula>
    </cfRule>
    <cfRule type="cellIs" priority="2" operator="equal" dxfId="10">
      <formula>"Warning"</formula>
    </cfRule>
    <cfRule type="cellIs" priority="3" operator="equal" dxfId="11">
      <formula>"Required"</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V908"/>
  <sheetViews>
    <sheetView workbookViewId="0">
      <selection activeCell="A1" sqref="A1"/>
    </sheetView>
  </sheetViews>
  <sheetFormatPr baseColWidth="8" defaultRowHeight="15"/>
  <sheetData>
    <row r="1">
      <c r="A1" t="inlineStr">
        <is>
          <t>{"brand_catalog_id": 1, "previous_upload_id": 557143, "template_type": "DEFAULT_QUESTIONS", "supplier_id": 455634, "template_context": "STANDARD", "app_version": "v2", "product_count": 0, "default_answers_included": true, "default_answers_supported": true, "use_legacy_excel_format": false, "include_variant_grouping": false, "download_template_request_id": "9dccca51-4ea6-414d-981d-669de11ec959", "sheet_metadata": null}</t>
        </is>
      </c>
      <c r="C1">
        <f>_xlfn.INFO("release")</f>
        <v/>
      </c>
    </row>
    <row r="2">
      <c r="C2">
        <f>_xlfn.INFO("system")</f>
        <v/>
      </c>
    </row>
    <row r="3">
      <c r="C3">
        <f t="array" ref="C3">IF(ISERROR(_xlfn.MAP(A8:A8,_xlfn.LAMBDA(_xlpm.class,_xlpm.class&lt;&gt;""))), "Not Available", "Supported")</f>
        <v/>
      </c>
    </row>
    <row r="8">
      <c r="A8" t="inlineStr">
        <is>
          <t>Carts &amp; Stands</t>
        </is>
      </c>
      <c r="B8" t="inlineStr">
        <is>
          <t>Entertainment Center</t>
        </is>
      </c>
      <c r="C8" t="inlineStr">
        <is>
          <t>Yes</t>
        </is>
      </c>
      <c r="D8" t="inlineStr">
        <is>
          <t>Yes</t>
        </is>
      </c>
      <c r="E8" t="inlineStr">
        <is>
          <t>No</t>
        </is>
      </c>
      <c r="F8" t="inlineStr">
        <is>
          <t>Yes</t>
        </is>
      </c>
      <c r="G8" t="inlineStr">
        <is>
          <t>Yes</t>
        </is>
      </c>
      <c r="H8" t="inlineStr">
        <is>
          <t>Yes</t>
        </is>
      </c>
      <c r="I8" t="inlineStr">
        <is>
          <t>No</t>
        </is>
      </c>
      <c r="J8" t="inlineStr">
        <is>
          <t>Yes</t>
        </is>
      </c>
      <c r="K8" t="inlineStr">
        <is>
          <t>Yes</t>
        </is>
      </c>
      <c r="L8" t="inlineStr">
        <is>
          <t>Yes</t>
        </is>
      </c>
      <c r="M8" t="inlineStr">
        <is>
          <t>Yes</t>
        </is>
      </c>
      <c r="N8" t="inlineStr">
        <is>
          <t>No</t>
        </is>
      </c>
      <c r="O8" t="inlineStr">
        <is>
          <t>Yes</t>
        </is>
      </c>
      <c r="P8" t="inlineStr">
        <is>
          <t>No</t>
        </is>
      </c>
      <c r="Q8" t="inlineStr">
        <is>
          <t>No</t>
        </is>
      </c>
      <c r="R8" t="inlineStr">
        <is>
          <t>No</t>
        </is>
      </c>
      <c r="S8" t="inlineStr">
        <is>
          <t>Yes</t>
        </is>
      </c>
      <c r="T8" t="inlineStr">
        <is>
          <t>No</t>
        </is>
      </c>
      <c r="U8" t="inlineStr">
        <is>
          <t>No</t>
        </is>
      </c>
      <c r="V8" t="inlineStr">
        <is>
          <t>Dovetail</t>
        </is>
      </c>
      <c r="W8" t="inlineStr">
        <is>
          <t>Yes</t>
        </is>
      </c>
      <c r="X8" t="inlineStr">
        <is>
          <t>Lithium Metal</t>
        </is>
      </c>
      <c r="Y8" t="inlineStr">
        <is>
          <t>Cell</t>
        </is>
      </c>
      <c r="Z8" t="inlineStr">
        <is>
          <t>1</t>
        </is>
      </c>
      <c r="AA8" t="inlineStr">
        <is>
          <t>Stand alone</t>
        </is>
      </c>
      <c r="AB8" t="inlineStr">
        <is>
          <t>Cells exceeding 5 grams</t>
        </is>
      </c>
      <c r="AC8" t="inlineStr">
        <is>
          <t>Cells of between 20w/h and 60w/h</t>
        </is>
      </c>
      <c r="AD8" t="inlineStr">
        <is>
          <t>2.5kg or less</t>
        </is>
      </c>
      <c r="AE8" t="inlineStr">
        <is>
          <t>Yes</t>
        </is>
      </c>
      <c r="AF8" t="inlineStr">
        <is>
          <t>No</t>
        </is>
      </c>
      <c r="AG8" t="inlineStr">
        <is>
          <t>Yes</t>
        </is>
      </c>
      <c r="AH8" t="inlineStr">
        <is>
          <t>Yes</t>
        </is>
      </c>
      <c r="AI8" t="inlineStr">
        <is>
          <t>Direct Vent</t>
        </is>
      </c>
      <c r="AJ8" t="inlineStr">
        <is>
          <t>Yes</t>
        </is>
      </c>
      <c r="AK8" t="inlineStr">
        <is>
          <t>Yes</t>
        </is>
      </c>
      <c r="AL8" t="inlineStr">
        <is>
          <t>Yes</t>
        </is>
      </c>
      <c r="AM8" t="inlineStr">
        <is>
          <t>Yes</t>
        </is>
      </c>
      <c r="AN8" t="inlineStr">
        <is>
          <t>Yes</t>
        </is>
      </c>
      <c r="AO8" t="inlineStr">
        <is>
          <t>Yes</t>
        </is>
      </c>
      <c r="AP8" t="inlineStr">
        <is>
          <t>Yes</t>
        </is>
      </c>
      <c r="AQ8" t="inlineStr">
        <is>
          <t>Yes</t>
        </is>
      </c>
      <c r="AR8" t="inlineStr">
        <is>
          <t>Yes</t>
        </is>
      </c>
      <c r="AS8" t="inlineStr">
        <is>
          <t>Yes</t>
        </is>
      </c>
      <c r="AT8" t="inlineStr">
        <is>
          <t>Yes</t>
        </is>
      </c>
      <c r="AU8" t="inlineStr">
        <is>
          <t>1</t>
        </is>
      </c>
      <c r="AV8" t="inlineStr">
        <is>
          <t>I</t>
        </is>
      </c>
      <c r="AW8" t="inlineStr">
        <is>
          <t>&gt;0 - ≤25ml</t>
        </is>
      </c>
      <c r="AX8" t="inlineStr">
        <is>
          <t>Yes</t>
        </is>
      </c>
      <c r="AY8" t="inlineStr">
        <is>
          <t>No</t>
        </is>
      </c>
      <c r="AZ8" t="inlineStr">
        <is>
          <t>No</t>
        </is>
      </c>
      <c r="BA8" t="inlineStr">
        <is>
          <t>1A</t>
        </is>
      </c>
      <c r="BB8" t="inlineStr">
        <is>
          <t>Yes</t>
        </is>
      </c>
      <c r="BC8" t="inlineStr">
        <is>
          <t>BIFMA Accredited</t>
        </is>
      </c>
      <c r="BD8" t="inlineStr">
        <is>
          <t>28"</t>
        </is>
      </c>
      <c r="BE8" t="inlineStr">
        <is>
          <t>Yes</t>
        </is>
      </c>
      <c r="BF8" t="inlineStr">
        <is>
          <t>No Assembly Needed</t>
        </is>
      </c>
      <c r="BG8" t="inlineStr">
        <is>
          <t>30 Days</t>
        </is>
      </c>
      <c r="BH8" t="inlineStr">
        <is>
          <t>Yes</t>
        </is>
      </c>
      <c r="BI8" t="inlineStr">
        <is>
          <t>Yes</t>
        </is>
      </c>
      <c r="BJ8" t="inlineStr">
        <is>
          <t>Full</t>
        </is>
      </c>
      <c r="BK8" t="inlineStr">
        <is>
          <t>CASA DESIGN FURNITURE</t>
        </is>
      </c>
      <c r="BL8" t="inlineStr">
        <is>
          <t>US</t>
        </is>
      </c>
      <c r="BM8" t="inlineStr">
        <is>
          <t>Arabic</t>
        </is>
      </c>
      <c r="BN8" t="inlineStr">
        <is>
          <t>No</t>
        </is>
      </c>
      <c r="BO8" t="inlineStr">
        <is>
          <t>A-alpha-C (2-Amino-9H-pyrido[2,3-b]indole)</t>
        </is>
      </c>
      <c r="BP8" t="inlineStr">
        <is>
          <t>United States</t>
        </is>
      </c>
      <c r="BQ8" t="inlineStr">
        <is>
          <t>Small Parcel</t>
        </is>
      </c>
      <c r="BR8" t="inlineStr">
        <is>
          <t>50</t>
        </is>
      </c>
      <c r="BS8" t="inlineStr">
        <is>
          <t>0</t>
        </is>
      </c>
      <c r="BT8" t="inlineStr">
        <is>
          <t>0</t>
        </is>
      </c>
      <c r="BU8" t="inlineStr">
        <is>
          <t>No</t>
        </is>
      </c>
      <c r="BV8" t="inlineStr">
        <is>
          <t>No</t>
        </is>
      </c>
    </row>
    <row r="9">
      <c r="A9" t="inlineStr">
        <is>
          <t>Multimedia Storage</t>
        </is>
      </c>
      <c r="B9" t="inlineStr">
        <is>
          <t>TV Stand</t>
        </is>
      </c>
      <c r="C9" t="inlineStr">
        <is>
          <t>No</t>
        </is>
      </c>
      <c r="D9" t="inlineStr">
        <is>
          <t>No</t>
        </is>
      </c>
      <c r="E9" t="inlineStr">
        <is>
          <t>Yes</t>
        </is>
      </c>
      <c r="F9" t="inlineStr">
        <is>
          <t>No</t>
        </is>
      </c>
      <c r="G9" t="inlineStr">
        <is>
          <t>No</t>
        </is>
      </c>
      <c r="H9" t="inlineStr">
        <is>
          <t>No</t>
        </is>
      </c>
      <c r="I9" t="inlineStr">
        <is>
          <t>Yes</t>
        </is>
      </c>
      <c r="J9" t="inlineStr">
        <is>
          <t>No</t>
        </is>
      </c>
      <c r="K9" t="inlineStr">
        <is>
          <t>No</t>
        </is>
      </c>
      <c r="L9" t="inlineStr">
        <is>
          <t>No</t>
        </is>
      </c>
      <c r="M9" t="inlineStr">
        <is>
          <t>No</t>
        </is>
      </c>
      <c r="N9" t="inlineStr">
        <is>
          <t>Yes</t>
        </is>
      </c>
      <c r="O9" t="inlineStr">
        <is>
          <t>No</t>
        </is>
      </c>
      <c r="P9" t="inlineStr">
        <is>
          <t>Yes</t>
        </is>
      </c>
      <c r="Q9" t="inlineStr">
        <is>
          <t>Yes</t>
        </is>
      </c>
      <c r="R9" t="inlineStr">
        <is>
          <t>Yes</t>
        </is>
      </c>
      <c r="S9" t="inlineStr">
        <is>
          <t>No</t>
        </is>
      </c>
      <c r="T9" t="inlineStr">
        <is>
          <t>Yes</t>
        </is>
      </c>
      <c r="U9" t="inlineStr">
        <is>
          <t>Yes</t>
        </is>
      </c>
      <c r="V9" t="inlineStr">
        <is>
          <t>Mortise and Tenon</t>
        </is>
      </c>
      <c r="W9" t="inlineStr">
        <is>
          <t>No</t>
        </is>
      </c>
      <c r="X9" t="inlineStr">
        <is>
          <t>Lithium Ion / Lithium Polymer</t>
        </is>
      </c>
      <c r="Y9" t="inlineStr">
        <is>
          <t>Battery</t>
        </is>
      </c>
      <c r="Z9" t="inlineStr">
        <is>
          <t>2</t>
        </is>
      </c>
      <c r="AA9" t="inlineStr">
        <is>
          <t>Contained in product</t>
        </is>
      </c>
      <c r="AB9" t="inlineStr">
        <is>
          <t>Batteries of 2 grams or less</t>
        </is>
      </c>
      <c r="AC9" t="inlineStr">
        <is>
          <t>Cells exceeding 60w/h</t>
        </is>
      </c>
      <c r="AD9" t="inlineStr">
        <is>
          <t>2.5kg to 5kg</t>
        </is>
      </c>
      <c r="AE9" t="inlineStr">
        <is>
          <t>No</t>
        </is>
      </c>
      <c r="AF9" t="inlineStr">
        <is>
          <t>Yes</t>
        </is>
      </c>
      <c r="AG9" t="inlineStr">
        <is>
          <t>No</t>
        </is>
      </c>
      <c r="AH9" t="inlineStr">
        <is>
          <t>No</t>
        </is>
      </c>
      <c r="AI9" t="inlineStr">
        <is>
          <t>Natural Vent</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No</t>
        </is>
      </c>
      <c r="AT9" t="inlineStr">
        <is>
          <t>No</t>
        </is>
      </c>
      <c r="AU9" t="inlineStr">
        <is>
          <t>2.2</t>
        </is>
      </c>
      <c r="AV9" t="inlineStr">
        <is>
          <t>III</t>
        </is>
      </c>
      <c r="AW9" t="inlineStr">
        <is>
          <t>&gt;1L - ≤5L</t>
        </is>
      </c>
      <c r="AX9" t="inlineStr">
        <is>
          <t>No</t>
        </is>
      </c>
      <c r="AY9" t="inlineStr">
        <is>
          <t>Yes</t>
        </is>
      </c>
      <c r="AZ9" t="inlineStr">
        <is>
          <t>Yes</t>
        </is>
      </c>
      <c r="BA9" t="inlineStr">
        <is>
          <t>3A or 6A</t>
        </is>
      </c>
      <c r="BB9" t="inlineStr">
        <is>
          <t>No</t>
        </is>
      </c>
      <c r="BC9" t="inlineStr">
        <is>
          <t>BIFMA Equivalent</t>
        </is>
      </c>
      <c r="BD9" t="inlineStr">
        <is>
          <t>24"</t>
        </is>
      </c>
      <c r="BE9" t="inlineStr">
        <is>
          <t>No</t>
        </is>
      </c>
      <c r="BF9" t="inlineStr">
        <is>
          <t>Minimal Assembly Needed</t>
        </is>
      </c>
      <c r="BG9" t="inlineStr">
        <is>
          <t>60 Days</t>
        </is>
      </c>
      <c r="BH9" t="inlineStr">
        <is>
          <t>No</t>
        </is>
      </c>
      <c r="BI9" t="inlineStr">
        <is>
          <t>No</t>
        </is>
      </c>
      <c r="BJ9" t="inlineStr">
        <is>
          <t>Limited</t>
        </is>
      </c>
      <c r="BL9" t="inlineStr">
        <is>
          <t>UK</t>
        </is>
      </c>
      <c r="BM9" t="inlineStr">
        <is>
          <t>Bulgarian</t>
        </is>
      </c>
      <c r="BN9" t="inlineStr">
        <is>
          <t>Yes</t>
        </is>
      </c>
      <c r="BO9" t="inlineStr">
        <is>
          <t>Abiraterone acetate</t>
        </is>
      </c>
      <c r="BP9" t="inlineStr">
        <is>
          <t>Canada</t>
        </is>
      </c>
      <c r="BQ9" t="inlineStr">
        <is>
          <t>LTL</t>
        </is>
      </c>
      <c r="BR9" t="inlineStr">
        <is>
          <t>55</t>
        </is>
      </c>
      <c r="BS9" t="inlineStr">
        <is>
          <t>24</t>
        </is>
      </c>
      <c r="BT9" t="inlineStr">
        <is>
          <t>24</t>
        </is>
      </c>
      <c r="BU9" t="inlineStr">
        <is>
          <t>Yes</t>
        </is>
      </c>
      <c r="BV9" t="inlineStr">
        <is>
          <t>Yes</t>
        </is>
      </c>
    </row>
    <row r="10">
      <c r="A10" t="inlineStr">
        <is>
          <t>Speaker Stands</t>
        </is>
      </c>
      <c r="C10" t="inlineStr">
        <is>
          <t>Unavailable</t>
        </is>
      </c>
      <c r="F10" t="inlineStr">
        <is>
          <t>Does Not Apply</t>
        </is>
      </c>
      <c r="H10" t="inlineStr">
        <is>
          <t>Unavailable</t>
        </is>
      </c>
      <c r="I10" t="inlineStr">
        <is>
          <t>Unavailable</t>
        </is>
      </c>
      <c r="J10" t="inlineStr">
        <is>
          <t>Unavailable</t>
        </is>
      </c>
      <c r="K10" t="inlineStr">
        <is>
          <t>Does Not Apply</t>
        </is>
      </c>
      <c r="L10" t="inlineStr">
        <is>
          <t>Unavailable</t>
        </is>
      </c>
      <c r="M10" t="inlineStr">
        <is>
          <t>Unavailable</t>
        </is>
      </c>
      <c r="N10" t="inlineStr">
        <is>
          <t>Unavailable</t>
        </is>
      </c>
      <c r="O10" t="inlineStr">
        <is>
          <t>Unavailable</t>
        </is>
      </c>
      <c r="T10" t="inlineStr">
        <is>
          <t>Unavailable</t>
        </is>
      </c>
      <c r="U10" t="inlineStr">
        <is>
          <t>Does Not Apply</t>
        </is>
      </c>
      <c r="V10" t="inlineStr">
        <is>
          <t>Rabbet Joint</t>
        </is>
      </c>
      <c r="W10" t="inlineStr">
        <is>
          <t>Unavailable</t>
        </is>
      </c>
      <c r="X10" t="inlineStr">
        <is>
          <t>Nickel Cadmium</t>
        </is>
      </c>
      <c r="Y10" t="inlineStr">
        <is>
          <t>Button Cell</t>
        </is>
      </c>
      <c r="Z10" t="inlineStr">
        <is>
          <t>3</t>
        </is>
      </c>
      <c r="AA10" t="inlineStr">
        <is>
          <t>Packed with product</t>
        </is>
      </c>
      <c r="AB10" t="inlineStr">
        <is>
          <t>Batteries of between 2 and 25 grams</t>
        </is>
      </c>
      <c r="AC10" t="inlineStr">
        <is>
          <t>Cells of 20w/h or less</t>
        </is>
      </c>
      <c r="AD10" t="inlineStr">
        <is>
          <t>More than 10kg</t>
        </is>
      </c>
      <c r="AE10" t="inlineStr">
        <is>
          <t>Unavailable</t>
        </is>
      </c>
      <c r="AF10" t="inlineStr">
        <is>
          <t>Unavailable</t>
        </is>
      </c>
      <c r="AG10" t="inlineStr">
        <is>
          <t>Does Not Apply</t>
        </is>
      </c>
      <c r="AH10" t="inlineStr">
        <is>
          <t>Unavailable</t>
        </is>
      </c>
      <c r="AI10" t="inlineStr">
        <is>
          <t>Vent Free</t>
        </is>
      </c>
      <c r="AJ10" t="inlineStr">
        <is>
          <t>Unavailable</t>
        </is>
      </c>
      <c r="AK10" t="inlineStr">
        <is>
          <t>Unavailable</t>
        </is>
      </c>
      <c r="AL10" t="inlineStr">
        <is>
          <t>Unavailable</t>
        </is>
      </c>
      <c r="AM10" t="inlineStr">
        <is>
          <t>Does Not Apply</t>
        </is>
      </c>
      <c r="AN10" t="inlineStr">
        <is>
          <t>Does Not Apply</t>
        </is>
      </c>
      <c r="AO10" t="inlineStr">
        <is>
          <t>Does Not Apply</t>
        </is>
      </c>
      <c r="AP10" t="inlineStr">
        <is>
          <t>Yes, Compliance Verified Program Member</t>
        </is>
      </c>
      <c r="AQ10" t="inlineStr">
        <is>
          <t>Does Not Apply</t>
        </is>
      </c>
      <c r="AT10" t="inlineStr">
        <is>
          <t>Yes, Compliance Verified Program Member</t>
        </is>
      </c>
      <c r="AU10" t="inlineStr">
        <is>
          <t>2.1</t>
        </is>
      </c>
      <c r="AV10" t="inlineStr">
        <is>
          <t>No Packing Group</t>
        </is>
      </c>
      <c r="AW10" t="inlineStr">
        <is>
          <t>&gt;0.5L - ≤1L</t>
        </is>
      </c>
      <c r="AY10" t="inlineStr">
        <is>
          <t>Yes, Compliance Verified Program Member</t>
        </is>
      </c>
      <c r="AZ10" t="inlineStr">
        <is>
          <t>Yes, Compliance Verified Program Member</t>
        </is>
      </c>
      <c r="BA10" t="inlineStr">
        <is>
          <t>Does Not Apply</t>
        </is>
      </c>
      <c r="BB10" t="inlineStr">
        <is>
          <t>Does Not Apply</t>
        </is>
      </c>
      <c r="BC10" t="inlineStr">
        <is>
          <t>Contract Grade Accredited</t>
        </is>
      </c>
      <c r="BD10" t="inlineStr">
        <is>
          <t>40"</t>
        </is>
      </c>
      <c r="BF10" t="inlineStr">
        <is>
          <t>Full Assembly Needed</t>
        </is>
      </c>
      <c r="BG10" t="inlineStr">
        <is>
          <t>90 Days</t>
        </is>
      </c>
      <c r="BH10" t="inlineStr">
        <is>
          <t>Does Not Apply</t>
        </is>
      </c>
      <c r="BJ10" t="inlineStr">
        <is>
          <t>Does Not Apply</t>
        </is>
      </c>
      <c r="BL10" t="inlineStr">
        <is>
          <t>EU</t>
        </is>
      </c>
      <c r="BM10" t="inlineStr">
        <is>
          <t>Czech (Czech Republic)</t>
        </is>
      </c>
      <c r="BO10" t="inlineStr">
        <is>
          <t>Acetaldehyde</t>
        </is>
      </c>
      <c r="BP10" t="inlineStr">
        <is>
          <t>Afghanistan</t>
        </is>
      </c>
      <c r="BR10" t="inlineStr">
        <is>
          <t>60</t>
        </is>
      </c>
      <c r="BS10" t="inlineStr">
        <is>
          <t>48</t>
        </is>
      </c>
      <c r="BT10" t="inlineStr">
        <is>
          <t>48</t>
        </is>
      </c>
    </row>
    <row r="11">
      <c r="A11" t="inlineStr">
        <is>
          <t>TV Stands &amp; Entertainment Centers</t>
        </is>
      </c>
      <c r="V11" t="inlineStr">
        <is>
          <t>Basic Butt</t>
        </is>
      </c>
      <c r="W11" t="inlineStr">
        <is>
          <t>Does Not Apply</t>
        </is>
      </c>
      <c r="X11" t="inlineStr">
        <is>
          <t>Nickel Metal Hydride</t>
        </is>
      </c>
      <c r="Y11" t="inlineStr">
        <is>
          <t>Does Not Apply</t>
        </is>
      </c>
      <c r="Z11" t="inlineStr">
        <is>
          <t>6</t>
        </is>
      </c>
      <c r="AA11" t="inlineStr">
        <is>
          <t>Does Not Apply</t>
        </is>
      </c>
      <c r="AB11" t="inlineStr">
        <is>
          <t>Cells of 1gram or less</t>
        </is>
      </c>
      <c r="AC11" t="inlineStr">
        <is>
          <t>Batteries exceeding 300w/h</t>
        </is>
      </c>
      <c r="AD11" t="inlineStr">
        <is>
          <t>5kg to 10kg</t>
        </is>
      </c>
      <c r="AF11" t="inlineStr">
        <is>
          <t>Does Not Apply</t>
        </is>
      </c>
      <c r="AI11" t="inlineStr">
        <is>
          <t>External</t>
        </is>
      </c>
      <c r="AJ11" t="inlineStr">
        <is>
          <t>Does Not Apply</t>
        </is>
      </c>
      <c r="AK11" t="inlineStr">
        <is>
          <t>Does Not Apply</t>
        </is>
      </c>
      <c r="AL11" t="inlineStr">
        <is>
          <t>Does Not Apply</t>
        </is>
      </c>
      <c r="AP11" t="inlineStr">
        <is>
          <t>Does Not Apply</t>
        </is>
      </c>
      <c r="AT11" t="inlineStr">
        <is>
          <t>Does Not Apply</t>
        </is>
      </c>
      <c r="AU11" t="inlineStr">
        <is>
          <t>7</t>
        </is>
      </c>
      <c r="AV11" t="inlineStr">
        <is>
          <t>II</t>
        </is>
      </c>
      <c r="AW11" t="inlineStr">
        <is>
          <t>&gt;0 - ≤100g</t>
        </is>
      </c>
      <c r="AY11" t="inlineStr">
        <is>
          <t>Unavailable</t>
        </is>
      </c>
      <c r="AZ11" t="inlineStr">
        <is>
          <t>Does Not Apply</t>
        </is>
      </c>
      <c r="BC11" t="inlineStr">
        <is>
          <t>Unavailable</t>
        </is>
      </c>
      <c r="BD11" t="inlineStr">
        <is>
          <t>32"</t>
        </is>
      </c>
      <c r="BF11" t="inlineStr">
        <is>
          <t>Does Not Apply</t>
        </is>
      </c>
      <c r="BG11" t="inlineStr">
        <is>
          <t>6 Months</t>
        </is>
      </c>
      <c r="BL11" t="inlineStr">
        <is>
          <t>CA</t>
        </is>
      </c>
      <c r="BM11" t="inlineStr">
        <is>
          <t>Danish</t>
        </is>
      </c>
      <c r="BO11" t="inlineStr">
        <is>
          <t>Acetamide</t>
        </is>
      </c>
      <c r="BP11" t="inlineStr">
        <is>
          <t>Åland Islands</t>
        </is>
      </c>
      <c r="BR11" t="inlineStr">
        <is>
          <t>65</t>
        </is>
      </c>
      <c r="BS11" t="inlineStr">
        <is>
          <t>72</t>
        </is>
      </c>
      <c r="BT11" t="inlineStr">
        <is>
          <t>72</t>
        </is>
      </c>
    </row>
    <row r="12">
      <c r="A12" t="inlineStr">
        <is>
          <t>Audio Towers</t>
        </is>
      </c>
      <c r="V12" t="inlineStr">
        <is>
          <t>Biscuit Joint</t>
        </is>
      </c>
      <c r="X12" t="inlineStr">
        <is>
          <t>Alkaline</t>
        </is>
      </c>
      <c r="Z12" t="inlineStr">
        <is>
          <t>7</t>
        </is>
      </c>
      <c r="AB12" t="inlineStr">
        <is>
          <t>Cells of between 1 and 5 grams</t>
        </is>
      </c>
      <c r="AC12" t="inlineStr">
        <is>
          <t>Batteries of between 100w/h and 300 w/h</t>
        </is>
      </c>
      <c r="AD12" t="inlineStr">
        <is>
          <t>Does Not Apply</t>
        </is>
      </c>
      <c r="AI12" t="inlineStr">
        <is>
          <t>Convertible</t>
        </is>
      </c>
      <c r="AU12" t="inlineStr">
        <is>
          <t>5.2</t>
        </is>
      </c>
      <c r="AV12" t="inlineStr">
        <is>
          <t>Does Not Apply</t>
        </is>
      </c>
      <c r="AW12" t="inlineStr">
        <is>
          <t>&gt;100 - ≤500g</t>
        </is>
      </c>
      <c r="AY12" t="inlineStr">
        <is>
          <t>Does Not Apply</t>
        </is>
      </c>
      <c r="BC12" t="inlineStr">
        <is>
          <t>Does Not Apply</t>
        </is>
      </c>
      <c r="BD12" t="inlineStr">
        <is>
          <t>42"</t>
        </is>
      </c>
      <c r="BG12" t="inlineStr">
        <is>
          <t>1 Year</t>
        </is>
      </c>
      <c r="BM12" t="inlineStr">
        <is>
          <t>German</t>
        </is>
      </c>
      <c r="BO12" t="inlineStr">
        <is>
          <t>Acetazolamide</t>
        </is>
      </c>
      <c r="BP12" t="inlineStr">
        <is>
          <t>Albania</t>
        </is>
      </c>
      <c r="BR12" t="inlineStr">
        <is>
          <t>70</t>
        </is>
      </c>
      <c r="BS12" t="inlineStr">
        <is>
          <t>96</t>
        </is>
      </c>
      <c r="BT12" t="inlineStr">
        <is>
          <t>96</t>
        </is>
      </c>
    </row>
    <row r="13">
      <c r="A13" t="inlineStr">
        <is>
          <t>Office Chairs</t>
        </is>
      </c>
      <c r="V13" t="inlineStr">
        <is>
          <t>Tongue and Groove</t>
        </is>
      </c>
      <c r="X13" t="inlineStr">
        <is>
          <t>Carbon Zinc</t>
        </is>
      </c>
      <c r="Z13" t="inlineStr">
        <is>
          <t>5</t>
        </is>
      </c>
      <c r="AB13" t="inlineStr">
        <is>
          <t>Batteries exceeding 25 grams</t>
        </is>
      </c>
      <c r="AC13" t="inlineStr">
        <is>
          <t>Batteries of 100w/h or less</t>
        </is>
      </c>
      <c r="AI13" t="inlineStr">
        <is>
          <t>Recirculating</t>
        </is>
      </c>
      <c r="AU13" t="inlineStr">
        <is>
          <t>6.1</t>
        </is>
      </c>
      <c r="AW13" t="inlineStr">
        <is>
          <t>&gt;500g - ≤1kg</t>
        </is>
      </c>
      <c r="BD13" t="inlineStr">
        <is>
          <t>49"</t>
        </is>
      </c>
      <c r="BG13" t="inlineStr">
        <is>
          <t>2 Years</t>
        </is>
      </c>
      <c r="BM13" t="inlineStr">
        <is>
          <t>Greek</t>
        </is>
      </c>
      <c r="BO13" t="inlineStr">
        <is>
          <t>Acetochlor</t>
        </is>
      </c>
      <c r="BP13" t="inlineStr">
        <is>
          <t>Algeria</t>
        </is>
      </c>
      <c r="BR13" t="inlineStr">
        <is>
          <t>77.5</t>
        </is>
      </c>
      <c r="BS13" t="inlineStr">
        <is>
          <t>120</t>
        </is>
      </c>
      <c r="BT13" t="inlineStr">
        <is>
          <t>120</t>
        </is>
      </c>
    </row>
    <row r="14">
      <c r="A14" t="inlineStr">
        <is>
          <t>Beds</t>
        </is>
      </c>
      <c r="V14" t="inlineStr">
        <is>
          <t>Pocket Joint</t>
        </is>
      </c>
      <c r="X14" t="inlineStr">
        <is>
          <t>Lead Acid (Spillable)</t>
        </is>
      </c>
      <c r="Z14" t="inlineStr">
        <is>
          <t>8</t>
        </is>
      </c>
      <c r="AB14" t="inlineStr">
        <is>
          <t>Does Not Apply</t>
        </is>
      </c>
      <c r="AC14" t="inlineStr">
        <is>
          <t>Does Not Apply</t>
        </is>
      </c>
      <c r="AI14" t="inlineStr">
        <is>
          <t>B-Vent</t>
        </is>
      </c>
      <c r="AU14" t="inlineStr">
        <is>
          <t>3</t>
        </is>
      </c>
      <c r="AW14" t="inlineStr">
        <is>
          <t>&gt;125ml - ≤500ml</t>
        </is>
      </c>
      <c r="BD14" t="inlineStr">
        <is>
          <t>55"</t>
        </is>
      </c>
      <c r="BG14" t="inlineStr">
        <is>
          <t>3 Years</t>
        </is>
      </c>
      <c r="BM14" t="inlineStr">
        <is>
          <t>English (United Kingdom)</t>
        </is>
      </c>
      <c r="BO14" t="inlineStr">
        <is>
          <t>Acetohydroxamic acid</t>
        </is>
      </c>
      <c r="BP14" t="inlineStr">
        <is>
          <t>American Samoa</t>
        </is>
      </c>
      <c r="BR14" t="inlineStr">
        <is>
          <t>85</t>
        </is>
      </c>
      <c r="BS14" t="inlineStr">
        <is>
          <t>144</t>
        </is>
      </c>
    </row>
    <row r="15">
      <c r="A15" t="inlineStr">
        <is>
          <t>Dressers &amp; Chests</t>
        </is>
      </c>
      <c r="V15" t="inlineStr">
        <is>
          <t>Cam Bolt</t>
        </is>
      </c>
      <c r="X15" t="inlineStr">
        <is>
          <t>Lead Acid (Non-Spillable)</t>
        </is>
      </c>
      <c r="Z15" t="inlineStr">
        <is>
          <t>10</t>
        </is>
      </c>
      <c r="AI15" t="inlineStr">
        <is>
          <t>Does Not Apply</t>
        </is>
      </c>
      <c r="AU15" t="inlineStr">
        <is>
          <t>4.1</t>
        </is>
      </c>
      <c r="AW15" t="inlineStr">
        <is>
          <t>&gt;25 - ≤125ml</t>
        </is>
      </c>
      <c r="BD15" t="inlineStr">
        <is>
          <t>50"</t>
        </is>
      </c>
      <c r="BG15" t="inlineStr">
        <is>
          <t>5 Years</t>
        </is>
      </c>
      <c r="BM15" t="inlineStr">
        <is>
          <t>English (United States)</t>
        </is>
      </c>
      <c r="BO15" t="inlineStr">
        <is>
          <t>2-Acetylaminofluorene</t>
        </is>
      </c>
      <c r="BP15" t="inlineStr">
        <is>
          <t>Andorra</t>
        </is>
      </c>
      <c r="BR15" t="inlineStr">
        <is>
          <t>92.5</t>
        </is>
      </c>
      <c r="BS15" t="inlineStr">
        <is>
          <t>168</t>
        </is>
      </c>
    </row>
    <row r="16">
      <c r="A16" t="inlineStr">
        <is>
          <t>Nightstands</t>
        </is>
      </c>
      <c r="V16" t="inlineStr">
        <is>
          <t>Dowel Joint</t>
        </is>
      </c>
      <c r="X16" t="inlineStr">
        <is>
          <t>Silver Oxide</t>
        </is>
      </c>
      <c r="Z16" t="inlineStr">
        <is>
          <t>4</t>
        </is>
      </c>
      <c r="AU16" t="inlineStr">
        <is>
          <t>4.3</t>
        </is>
      </c>
      <c r="AW16" t="inlineStr">
        <is>
          <t>&gt;1kg - ≤5kg</t>
        </is>
      </c>
      <c r="BD16" t="inlineStr">
        <is>
          <t>58"</t>
        </is>
      </c>
      <c r="BG16" t="inlineStr">
        <is>
          <t>10 Years</t>
        </is>
      </c>
      <c r="BM16" t="inlineStr">
        <is>
          <t>Spanish</t>
        </is>
      </c>
      <c r="BO16" t="inlineStr">
        <is>
          <t>Acifluorfen sodium</t>
        </is>
      </c>
      <c r="BP16" t="inlineStr">
        <is>
          <t>Angola</t>
        </is>
      </c>
      <c r="BR16" t="inlineStr">
        <is>
          <t>100</t>
        </is>
      </c>
      <c r="BS16" t="inlineStr">
        <is>
          <t>192</t>
        </is>
      </c>
    </row>
    <row r="17">
      <c r="A17" t="inlineStr">
        <is>
          <t>Armoires &amp; Wardrobes</t>
        </is>
      </c>
      <c r="V17" t="inlineStr">
        <is>
          <t>Half-Lap</t>
        </is>
      </c>
      <c r="X17" t="inlineStr">
        <is>
          <t>Does Not Apply</t>
        </is>
      </c>
      <c r="Z17" t="inlineStr">
        <is>
          <t>9</t>
        </is>
      </c>
      <c r="AU17" t="inlineStr">
        <is>
          <t>4.2</t>
        </is>
      </c>
      <c r="AW17" t="inlineStr">
        <is>
          <t>&gt;5L</t>
        </is>
      </c>
      <c r="BD17" t="inlineStr">
        <is>
          <t>65"</t>
        </is>
      </c>
      <c r="BG17" t="inlineStr">
        <is>
          <t>20 Years</t>
        </is>
      </c>
      <c r="BM17" t="inlineStr">
        <is>
          <t>Finnish</t>
        </is>
      </c>
      <c r="BO17" t="inlineStr">
        <is>
          <t>Acrylamide</t>
        </is>
      </c>
      <c r="BP17" t="inlineStr">
        <is>
          <t>Anguilla</t>
        </is>
      </c>
      <c r="BR17" t="inlineStr">
        <is>
          <t>110</t>
        </is>
      </c>
      <c r="BS17" t="inlineStr">
        <is>
          <t>216</t>
        </is>
      </c>
    </row>
    <row r="18">
      <c r="A18" t="inlineStr">
        <is>
          <t>Daybeds &amp; Guest Beds</t>
        </is>
      </c>
      <c r="V18" t="inlineStr">
        <is>
          <t>Box</t>
        </is>
      </c>
      <c r="Z18" t="inlineStr">
        <is>
          <t>Unavailable</t>
        </is>
      </c>
      <c r="AU18" t="inlineStr">
        <is>
          <t>5.1</t>
        </is>
      </c>
      <c r="AW18" t="inlineStr">
        <is>
          <t>&gt;5kg</t>
        </is>
      </c>
      <c r="BD18" t="inlineStr">
        <is>
          <t>75"</t>
        </is>
      </c>
      <c r="BG18" t="inlineStr">
        <is>
          <t>25 Years</t>
        </is>
      </c>
      <c r="BM18" t="inlineStr">
        <is>
          <t>French (Canada)</t>
        </is>
      </c>
      <c r="BO18" t="inlineStr">
        <is>
          <t>Acrylonitrile</t>
        </is>
      </c>
      <c r="BP18" t="inlineStr">
        <is>
          <t>Antarctica</t>
        </is>
      </c>
      <c r="BR18" t="inlineStr">
        <is>
          <t>125</t>
        </is>
      </c>
      <c r="BS18" t="inlineStr">
        <is>
          <t>240</t>
        </is>
      </c>
    </row>
    <row r="19">
      <c r="A19" t="inlineStr">
        <is>
          <t>Headboards</t>
        </is>
      </c>
      <c r="V19" t="inlineStr">
        <is>
          <t>Lap</t>
        </is>
      </c>
      <c r="Z19" t="inlineStr">
        <is>
          <t>Does Not Apply</t>
        </is>
      </c>
      <c r="AU19" t="inlineStr">
        <is>
          <t>2.3</t>
        </is>
      </c>
      <c r="AW19" t="inlineStr">
        <is>
          <t>Does Not Apply</t>
        </is>
      </c>
      <c r="BD19" t="inlineStr">
        <is>
          <t>70"</t>
        </is>
      </c>
      <c r="BG19" t="inlineStr">
        <is>
          <t>Lifetime</t>
        </is>
      </c>
      <c r="BM19" t="inlineStr">
        <is>
          <t>Hungarian</t>
        </is>
      </c>
      <c r="BO19" t="inlineStr">
        <is>
          <t>Actinomycin D</t>
        </is>
      </c>
      <c r="BP19" t="inlineStr">
        <is>
          <t>Antigua and Barbuda</t>
        </is>
      </c>
      <c r="BR19" t="inlineStr">
        <is>
          <t>150</t>
        </is>
      </c>
      <c r="BS19" t="inlineStr">
        <is>
          <t>360</t>
        </is>
      </c>
    </row>
    <row r="20">
      <c r="A20" t="inlineStr">
        <is>
          <t>Bedroom Sets</t>
        </is>
      </c>
      <c r="V20" t="inlineStr">
        <is>
          <t>Double Dowelled</t>
        </is>
      </c>
      <c r="AU20" t="inlineStr">
        <is>
          <t>6.2</t>
        </is>
      </c>
      <c r="BD20" t="inlineStr">
        <is>
          <t>48"</t>
        </is>
      </c>
      <c r="BG20" t="inlineStr">
        <is>
          <t>15 Years</t>
        </is>
      </c>
      <c r="BM20" t="inlineStr">
        <is>
          <t>Indonesian</t>
        </is>
      </c>
      <c r="BO20" t="inlineStr">
        <is>
          <t>AF-2;[2-(2-furyl)-3-(5-nitro-2-furyl)]acrylamide</t>
        </is>
      </c>
      <c r="BP20" t="inlineStr">
        <is>
          <t>Argentina</t>
        </is>
      </c>
      <c r="BR20" t="inlineStr">
        <is>
          <t>175</t>
        </is>
      </c>
      <c r="BS20" t="inlineStr">
        <is>
          <t>480</t>
        </is>
      </c>
    </row>
    <row r="21">
      <c r="A21" t="inlineStr">
        <is>
          <t>Easels</t>
        </is>
      </c>
      <c r="V21" t="inlineStr">
        <is>
          <t>Bridle</t>
        </is>
      </c>
      <c r="AU21" t="inlineStr">
        <is>
          <t>9</t>
        </is>
      </c>
      <c r="BD21" t="inlineStr">
        <is>
          <t>43"</t>
        </is>
      </c>
      <c r="BG21" t="inlineStr">
        <is>
          <t>4 Years</t>
        </is>
      </c>
      <c r="BM21" t="inlineStr">
        <is>
          <t>Icelandic</t>
        </is>
      </c>
      <c r="BO21" t="inlineStr">
        <is>
          <t>Aflatoxins</t>
        </is>
      </c>
      <c r="BP21" t="inlineStr">
        <is>
          <t>Armenia</t>
        </is>
      </c>
      <c r="BR21" t="inlineStr">
        <is>
          <t>200</t>
        </is>
      </c>
      <c r="BS21" t="inlineStr">
        <is>
          <t>600</t>
        </is>
      </c>
    </row>
    <row r="22">
      <c r="A22" t="inlineStr">
        <is>
          <t>Display Cases</t>
        </is>
      </c>
      <c r="V22" t="inlineStr">
        <is>
          <t>Halved</t>
        </is>
      </c>
      <c r="AU22" t="inlineStr">
        <is>
          <t>8</t>
        </is>
      </c>
      <c r="BD22" t="inlineStr">
        <is>
          <t>88"</t>
        </is>
      </c>
      <c r="BG22" t="inlineStr">
        <is>
          <t>18 Months</t>
        </is>
      </c>
      <c r="BM22" t="inlineStr">
        <is>
          <t>Italian</t>
        </is>
      </c>
      <c r="BO22" t="inlineStr">
        <is>
          <t>Alachlor</t>
        </is>
      </c>
      <c r="BP22" t="inlineStr">
        <is>
          <t>Aruba</t>
        </is>
      </c>
      <c r="BR22" t="inlineStr">
        <is>
          <t>250</t>
        </is>
      </c>
      <c r="BS22" t="inlineStr">
        <is>
          <t>720</t>
        </is>
      </c>
    </row>
    <row r="23">
      <c r="A23" t="inlineStr">
        <is>
          <t>Lockers</t>
        </is>
      </c>
      <c r="V23" t="inlineStr">
        <is>
          <t>Corner Block Reinforced</t>
        </is>
      </c>
      <c r="AU23" t="inlineStr">
        <is>
          <t>Does Not Apply</t>
        </is>
      </c>
      <c r="BD23" t="inlineStr">
        <is>
          <t>60"</t>
        </is>
      </c>
      <c r="BG23" t="inlineStr">
        <is>
          <t>6 Years</t>
        </is>
      </c>
      <c r="BM23" t="inlineStr">
        <is>
          <t>Japanese</t>
        </is>
      </c>
      <c r="BO23" t="inlineStr">
        <is>
          <t>Alcoholic beverages, when associated with alcohol abuse</t>
        </is>
      </c>
      <c r="BP23" t="inlineStr">
        <is>
          <t>Australia</t>
        </is>
      </c>
      <c r="BR23" t="inlineStr">
        <is>
          <t>300</t>
        </is>
      </c>
      <c r="BS23" t="inlineStr">
        <is>
          <t>840</t>
        </is>
      </c>
    </row>
    <row r="24">
      <c r="A24" t="inlineStr">
        <is>
          <t>Lecterns &amp; Podiums</t>
        </is>
      </c>
      <c r="V24" t="inlineStr">
        <is>
          <t>Miter</t>
        </is>
      </c>
      <c r="BD24" t="inlineStr">
        <is>
          <t>78"</t>
        </is>
      </c>
      <c r="BG24" t="inlineStr">
        <is>
          <t>7 Years</t>
        </is>
      </c>
      <c r="BM24" t="inlineStr">
        <is>
          <t>Korean</t>
        </is>
      </c>
      <c r="BO24" t="inlineStr">
        <is>
          <t>Aldrin</t>
        </is>
      </c>
      <c r="BP24" t="inlineStr">
        <is>
          <t>Austria</t>
        </is>
      </c>
      <c r="BR24" t="inlineStr">
        <is>
          <t>400</t>
        </is>
      </c>
      <c r="BS24" t="inlineStr">
        <is>
          <t>960</t>
        </is>
      </c>
    </row>
    <row r="25">
      <c r="A25" t="inlineStr">
        <is>
          <t>Desks</t>
        </is>
      </c>
      <c r="V25" t="inlineStr">
        <is>
          <t>Unavailable</t>
        </is>
      </c>
      <c r="BD25" t="inlineStr">
        <is>
          <t>85"</t>
        </is>
      </c>
      <c r="BG25" t="inlineStr">
        <is>
          <t>8 Years</t>
        </is>
      </c>
      <c r="BM25" t="inlineStr">
        <is>
          <t>Norwegian (Bokmål)</t>
        </is>
      </c>
      <c r="BO25" t="inlineStr">
        <is>
          <t>All-trans retinoic acid</t>
        </is>
      </c>
      <c r="BP25" t="inlineStr">
        <is>
          <t>Azerbaijan</t>
        </is>
      </c>
      <c r="BR25" t="inlineStr">
        <is>
          <t>500</t>
        </is>
      </c>
    </row>
    <row r="26">
      <c r="A26" t="inlineStr">
        <is>
          <t>Literature Racks</t>
        </is>
      </c>
      <c r="V26" t="inlineStr">
        <is>
          <t>Does Not Apply</t>
        </is>
      </c>
      <c r="BD26" t="inlineStr">
        <is>
          <t>77"</t>
        </is>
      </c>
      <c r="BG26" t="inlineStr">
        <is>
          <t>9 Years</t>
        </is>
      </c>
      <c r="BM26" t="inlineStr">
        <is>
          <t>Dutch</t>
        </is>
      </c>
      <c r="BO26" t="inlineStr">
        <is>
          <t>Aloe Vera, non-decolorized whole leaf extract</t>
        </is>
      </c>
      <c r="BP26" t="inlineStr">
        <is>
          <t>Bahamas</t>
        </is>
      </c>
    </row>
    <row r="27">
      <c r="A27" t="inlineStr">
        <is>
          <t>Filing Cabinets</t>
        </is>
      </c>
      <c r="BG27" t="inlineStr">
        <is>
          <t>12 Years</t>
        </is>
      </c>
      <c r="BM27" t="inlineStr">
        <is>
          <t>Polish</t>
        </is>
      </c>
      <c r="BO27" t="inlineStr">
        <is>
          <t>Alprazolam</t>
        </is>
      </c>
      <c r="BP27" t="inlineStr">
        <is>
          <t>Bahrain</t>
        </is>
      </c>
    </row>
    <row r="28">
      <c r="A28" t="inlineStr">
        <is>
          <t>Bookcases</t>
        </is>
      </c>
      <c r="BG28" t="inlineStr">
        <is>
          <t>11 Years</t>
        </is>
      </c>
      <c r="BM28" t="inlineStr">
        <is>
          <t>Portuguese</t>
        </is>
      </c>
      <c r="BO28" t="inlineStr">
        <is>
          <t>Amantadine hydrochloride</t>
        </is>
      </c>
      <c r="BP28" t="inlineStr">
        <is>
          <t>Bangladesh</t>
        </is>
      </c>
    </row>
    <row r="29">
      <c r="A29" t="inlineStr">
        <is>
          <t>Classroom Chairs</t>
        </is>
      </c>
      <c r="BG29" t="inlineStr">
        <is>
          <t>13 Years</t>
        </is>
      </c>
      <c r="BM29" t="inlineStr">
        <is>
          <t>Romanian</t>
        </is>
      </c>
      <c r="BO29" t="inlineStr">
        <is>
          <t>Amikacin sulfate</t>
        </is>
      </c>
      <c r="BP29" t="inlineStr">
        <is>
          <t>Barbados</t>
        </is>
      </c>
    </row>
    <row r="30">
      <c r="A30" t="inlineStr">
        <is>
          <t>Wall &amp; Accent Mirrors</t>
        </is>
      </c>
      <c r="BG30" t="inlineStr">
        <is>
          <t>14 Years</t>
        </is>
      </c>
      <c r="BM30" t="inlineStr">
        <is>
          <t>Russian</t>
        </is>
      </c>
      <c r="BO30" t="inlineStr">
        <is>
          <t>2-Aminoanthraquinone</t>
        </is>
      </c>
      <c r="BP30" t="inlineStr">
        <is>
          <t>Belarus</t>
        </is>
      </c>
    </row>
    <row r="31">
      <c r="A31" t="inlineStr">
        <is>
          <t>Office Stools</t>
        </is>
      </c>
      <c r="BG31" t="inlineStr">
        <is>
          <t>No Commercial Warranty</t>
        </is>
      </c>
      <c r="BM31" t="inlineStr">
        <is>
          <t>Slovak</t>
        </is>
      </c>
      <c r="BO31" t="inlineStr">
        <is>
          <t>p-Aminoazobenzene</t>
        </is>
      </c>
      <c r="BP31" t="inlineStr">
        <is>
          <t>Belgium</t>
        </is>
      </c>
    </row>
    <row r="32">
      <c r="A32" t="inlineStr">
        <is>
          <t>Office Sets</t>
        </is>
      </c>
      <c r="BG32" t="inlineStr">
        <is>
          <t>Does Not Apply</t>
        </is>
      </c>
      <c r="BM32" t="inlineStr">
        <is>
          <t>Swedish</t>
        </is>
      </c>
      <c r="BO32" t="inlineStr">
        <is>
          <t>o-Aminoazotoluene</t>
        </is>
      </c>
      <c r="BP32" t="inlineStr">
        <is>
          <t>Belize</t>
        </is>
      </c>
    </row>
    <row r="33">
      <c r="A33" t="inlineStr">
        <is>
          <t>Stackable &amp; Nesting Chairs</t>
        </is>
      </c>
      <c r="BM33" t="inlineStr">
        <is>
          <t>Ukrainian</t>
        </is>
      </c>
      <c r="BO33" t="inlineStr">
        <is>
          <t>4-Aminobiphenyl (4-aminodiphenyl)</t>
        </is>
      </c>
      <c r="BP33" t="inlineStr">
        <is>
          <t>Benin</t>
        </is>
      </c>
    </row>
    <row r="34">
      <c r="A34" t="inlineStr">
        <is>
          <t>Futon Mattresses</t>
        </is>
      </c>
      <c r="BM34" t="inlineStr">
        <is>
          <t>Vietnamese</t>
        </is>
      </c>
      <c r="BO34" t="inlineStr">
        <is>
          <t>1-Amino-2,4-dibromoanthraquinone</t>
        </is>
      </c>
      <c r="BP34" t="inlineStr">
        <is>
          <t>Bermuda</t>
        </is>
      </c>
    </row>
    <row r="35">
      <c r="A35" t="inlineStr">
        <is>
          <t>Pot Racks</t>
        </is>
      </c>
      <c r="BM35" t="inlineStr">
        <is>
          <t>Chinese (S)</t>
        </is>
      </c>
      <c r="BO35" t="inlineStr">
        <is>
          <t>3-Amino-9-ethylcarbazole hydrochloride</t>
        </is>
      </c>
      <c r="BP35" t="inlineStr">
        <is>
          <t>Bhutan</t>
        </is>
      </c>
    </row>
    <row r="36">
      <c r="A36" t="inlineStr">
        <is>
          <t>Plant Stands &amp; Tables</t>
        </is>
      </c>
      <c r="BM36" t="inlineStr">
        <is>
          <t>Chinese (T)</t>
        </is>
      </c>
      <c r="BO36" t="inlineStr">
        <is>
          <t>2-Aminofluorene</t>
        </is>
      </c>
      <c r="BP36" t="inlineStr">
        <is>
          <t>Bolivia</t>
        </is>
      </c>
    </row>
    <row r="37">
      <c r="A37" t="inlineStr">
        <is>
          <t>Accent Chairs</t>
        </is>
      </c>
      <c r="BO37" t="inlineStr">
        <is>
          <t>Aminoglutethimide</t>
        </is>
      </c>
      <c r="BP37" t="inlineStr">
        <is>
          <t>Bosnia and Herzegovina</t>
        </is>
      </c>
    </row>
    <row r="38">
      <c r="A38" t="inlineStr">
        <is>
          <t>Kitchen Islands</t>
        </is>
      </c>
      <c r="BO38" t="inlineStr">
        <is>
          <t>Aminoglycosides</t>
        </is>
      </c>
      <c r="BP38" t="inlineStr">
        <is>
          <t>Botswana</t>
        </is>
      </c>
    </row>
    <row r="39">
      <c r="A39" t="inlineStr">
        <is>
          <t>Baker's Racks</t>
        </is>
      </c>
      <c r="BO39" t="inlineStr">
        <is>
          <t>1-Amino-2-methylanthraquinone</t>
        </is>
      </c>
      <c r="BP39" t="inlineStr">
        <is>
          <t>Bouvet Island</t>
        </is>
      </c>
    </row>
    <row r="40">
      <c r="A40" t="inlineStr">
        <is>
          <t>Wine Racks</t>
        </is>
      </c>
      <c r="BO40" t="inlineStr">
        <is>
          <t>2-Amino-5-(5-nitro-2-furyl)-1,3,4-thiadiazole</t>
        </is>
      </c>
      <c r="BP40" t="inlineStr">
        <is>
          <t>Brazil</t>
        </is>
      </c>
    </row>
    <row r="41">
      <c r="A41" t="inlineStr">
        <is>
          <t>Bar Stools</t>
        </is>
      </c>
      <c r="BO41" t="inlineStr">
        <is>
          <t>4-Amino-2-nitrophenol</t>
        </is>
      </c>
      <c r="BP41" t="inlineStr">
        <is>
          <t>British Indian Ocean Territory</t>
        </is>
      </c>
    </row>
    <row r="42">
      <c r="A42" t="inlineStr">
        <is>
          <t>Mantel &amp; Tabletop Clocks</t>
        </is>
      </c>
      <c r="BO42" t="inlineStr">
        <is>
          <t>Aminopterin</t>
        </is>
      </c>
      <c r="BP42" t="inlineStr">
        <is>
          <t>Brunei Darussalam</t>
        </is>
      </c>
    </row>
    <row r="43">
      <c r="A43" t="inlineStr">
        <is>
          <t>Grandfather Clocks / Floor Clocks</t>
        </is>
      </c>
      <c r="BO43" t="inlineStr">
        <is>
          <t>Amiodarone hydrochloride</t>
        </is>
      </c>
      <c r="BP43" t="inlineStr">
        <is>
          <t>Bulgaria</t>
        </is>
      </c>
    </row>
    <row r="44">
      <c r="A44" t="inlineStr">
        <is>
          <t>Conference Tables</t>
        </is>
      </c>
      <c r="BO44" t="inlineStr">
        <is>
          <t>Amitraz</t>
        </is>
      </c>
      <c r="BP44" t="inlineStr">
        <is>
          <t>Burkina Faso</t>
        </is>
      </c>
    </row>
    <row r="45">
      <c r="A45" t="inlineStr">
        <is>
          <t>Folding Tables</t>
        </is>
      </c>
      <c r="BO45" t="inlineStr">
        <is>
          <t>Amitrole</t>
        </is>
      </c>
      <c r="BP45" t="inlineStr">
        <is>
          <t>Burundi</t>
        </is>
      </c>
    </row>
    <row r="46">
      <c r="A46" t="inlineStr">
        <is>
          <t>Coat Racks and Hooks</t>
        </is>
      </c>
      <c r="BO46" t="inlineStr">
        <is>
          <t>Amoxapine</t>
        </is>
      </c>
      <c r="BP46" t="inlineStr">
        <is>
          <t>Cambodia</t>
        </is>
      </c>
    </row>
    <row r="47">
      <c r="A47" t="inlineStr">
        <is>
          <t>Cafeteria Tables</t>
        </is>
      </c>
      <c r="BO47" t="inlineStr">
        <is>
          <t>Amsacrine</t>
        </is>
      </c>
      <c r="BP47" t="inlineStr">
        <is>
          <t>Cameroon</t>
        </is>
      </c>
    </row>
    <row r="48">
      <c r="A48" t="inlineStr">
        <is>
          <t>Bars &amp; Bar Sets</t>
        </is>
      </c>
      <c r="BO48" t="inlineStr">
        <is>
          <t>Analgesic mixtures containing Phenacetin</t>
        </is>
      </c>
      <c r="BP48" t="inlineStr">
        <is>
          <t>Cape Verde</t>
        </is>
      </c>
    </row>
    <row r="49">
      <c r="A49" t="inlineStr">
        <is>
          <t>Electric &amp; Alternative Fuel Fireplaces</t>
        </is>
      </c>
      <c r="BO49" t="inlineStr">
        <is>
          <t>Androstenedione</t>
        </is>
      </c>
      <c r="BP49" t="inlineStr">
        <is>
          <t>Cayman Islands</t>
        </is>
      </c>
    </row>
    <row r="50">
      <c r="A50" t="inlineStr">
        <is>
          <t>Portable Tool Storage</t>
        </is>
      </c>
      <c r="BO50" t="inlineStr">
        <is>
          <t>Angiotensin converting enzyme  (ACE) inhibitors</t>
        </is>
      </c>
      <c r="BP50" t="inlineStr">
        <is>
          <t>Central African Republic</t>
        </is>
      </c>
    </row>
    <row r="51">
      <c r="A51" t="inlineStr">
        <is>
          <t>Patio Tables</t>
        </is>
      </c>
      <c r="BO51" t="inlineStr">
        <is>
          <t>Aniline</t>
        </is>
      </c>
      <c r="BP51" t="inlineStr">
        <is>
          <t>Chad</t>
        </is>
      </c>
    </row>
    <row r="52">
      <c r="A52" t="inlineStr">
        <is>
          <t>Projector Screens and Accessories</t>
        </is>
      </c>
      <c r="BO52" t="inlineStr">
        <is>
          <t>Aniline hydrochloride</t>
        </is>
      </c>
      <c r="BP52" t="inlineStr">
        <is>
          <t>Chile</t>
        </is>
      </c>
    </row>
    <row r="53">
      <c r="A53" t="inlineStr">
        <is>
          <t>Specialty Filing &amp; Filing Accessories</t>
        </is>
      </c>
      <c r="BO53" t="inlineStr">
        <is>
          <t>o-Anisidine</t>
        </is>
      </c>
      <c r="BP53" t="inlineStr">
        <is>
          <t>China</t>
        </is>
      </c>
    </row>
    <row r="54">
      <c r="A54" t="inlineStr">
        <is>
          <t>Safes</t>
        </is>
      </c>
      <c r="BO54" t="inlineStr">
        <is>
          <t>o-Anisidine hydrochloride</t>
        </is>
      </c>
      <c r="BP54" t="inlineStr">
        <is>
          <t>Christmas Island</t>
        </is>
      </c>
    </row>
    <row r="55">
      <c r="A55" t="inlineStr">
        <is>
          <t>Office Storage Cabinets</t>
        </is>
      </c>
      <c r="BO55" t="inlineStr">
        <is>
          <t>Anisindione</t>
        </is>
      </c>
      <c r="BP55" t="inlineStr">
        <is>
          <t>Cocos (Keeling) Islands</t>
        </is>
      </c>
    </row>
    <row r="56">
      <c r="A56" t="inlineStr">
        <is>
          <t>Patio Sofas</t>
        </is>
      </c>
      <c r="BO56" t="inlineStr">
        <is>
          <t>Anthraquinone</t>
        </is>
      </c>
      <c r="BP56" t="inlineStr">
        <is>
          <t>Colombia</t>
        </is>
      </c>
    </row>
    <row r="57">
      <c r="A57" t="inlineStr">
        <is>
          <t>Patio Chaise Lounges</t>
        </is>
      </c>
      <c r="BO57" t="inlineStr">
        <is>
          <t>Antimony oxide (Antimony trioxide)</t>
        </is>
      </c>
      <c r="BP57" t="inlineStr">
        <is>
          <t>Comoros</t>
        </is>
      </c>
    </row>
    <row r="58">
      <c r="A58" t="inlineStr">
        <is>
          <t>Patio Umbrellas</t>
        </is>
      </c>
      <c r="BO58" t="inlineStr">
        <is>
          <t>Aramite</t>
        </is>
      </c>
      <c r="BP58" t="inlineStr">
        <is>
          <t>Congo</t>
        </is>
      </c>
    </row>
    <row r="59">
      <c r="A59" t="inlineStr">
        <is>
          <t>Patio Dining Sets</t>
        </is>
      </c>
      <c r="BO59" t="inlineStr">
        <is>
          <t>Areca nut</t>
        </is>
      </c>
      <c r="BP59" t="inlineStr">
        <is>
          <t>Congo, The Democratic Republic of the</t>
        </is>
      </c>
    </row>
    <row r="60">
      <c r="A60" t="inlineStr">
        <is>
          <t>Outdoor Conversation Sets</t>
        </is>
      </c>
      <c r="BO60" t="inlineStr">
        <is>
          <t>Aristolochic acids</t>
        </is>
      </c>
      <c r="BP60" t="inlineStr">
        <is>
          <t>Cook Islands</t>
        </is>
      </c>
    </row>
    <row r="61">
      <c r="A61" t="inlineStr">
        <is>
          <t>Shelving &amp; Racks</t>
        </is>
      </c>
      <c r="BO61" t="inlineStr">
        <is>
          <t>Arsenic (inorganic arsenic compounds)</t>
        </is>
      </c>
      <c r="BP61" t="inlineStr">
        <is>
          <t>Costa Rica</t>
        </is>
      </c>
    </row>
    <row r="62">
      <c r="A62" t="inlineStr">
        <is>
          <t>Tool Cabinets</t>
        </is>
      </c>
      <c r="BO62" t="inlineStr">
        <is>
          <t>Arsenic (inorganic oxides)</t>
        </is>
      </c>
      <c r="BP62" t="inlineStr">
        <is>
          <t>Côte D'Ivoire</t>
        </is>
      </c>
    </row>
    <row r="63">
      <c r="A63" t="inlineStr">
        <is>
          <t>Dining Table Sets</t>
        </is>
      </c>
      <c r="BO63" t="inlineStr">
        <is>
          <t>Asbestos</t>
        </is>
      </c>
      <c r="BP63" t="inlineStr">
        <is>
          <t>Croatia</t>
        </is>
      </c>
    </row>
    <row r="64">
      <c r="A64" t="inlineStr">
        <is>
          <t>Dining Tables</t>
        </is>
      </c>
      <c r="BO64" t="inlineStr">
        <is>
          <t>Aspirin (NOTE: It is especially important not to use aspirin during the last three months of pregnancy, unless specifically directed to do so by a physician because it may cause problems in the unborn child or complications during delivery.)</t>
        </is>
      </c>
      <c r="BP64" t="inlineStr">
        <is>
          <t>Cuba</t>
        </is>
      </c>
    </row>
    <row r="65">
      <c r="A65" t="inlineStr">
        <is>
          <t>Vanities</t>
        </is>
      </c>
      <c r="BO65" t="inlineStr">
        <is>
          <t>Atenolol</t>
        </is>
      </c>
      <c r="BP65" t="inlineStr">
        <is>
          <t>Cyprus</t>
        </is>
      </c>
    </row>
    <row r="66">
      <c r="A66" t="inlineStr">
        <is>
          <t>Bean Bags</t>
        </is>
      </c>
      <c r="BO66" t="inlineStr">
        <is>
          <t>Atrazine</t>
        </is>
      </c>
      <c r="BP66" t="inlineStr">
        <is>
          <t>Czech Republic</t>
        </is>
      </c>
    </row>
    <row r="67">
      <c r="A67" t="inlineStr">
        <is>
          <t>Accent Chests / Cabinets</t>
        </is>
      </c>
      <c r="BO67" t="inlineStr">
        <is>
          <t>Auramine</t>
        </is>
      </c>
      <c r="BP67" t="inlineStr">
        <is>
          <t>Denmark</t>
        </is>
      </c>
    </row>
    <row r="68">
      <c r="A68" t="inlineStr">
        <is>
          <t>Classic Game Tables &amp; Puzzle Tables</t>
        </is>
      </c>
      <c r="BO68" t="inlineStr">
        <is>
          <t>Auranofin</t>
        </is>
      </c>
      <c r="BP68" t="inlineStr">
        <is>
          <t>Djibouti</t>
        </is>
      </c>
    </row>
    <row r="69">
      <c r="A69" t="inlineStr">
        <is>
          <t>Sideboards &amp; Buffets</t>
        </is>
      </c>
      <c r="BO69" t="inlineStr">
        <is>
          <t>Avermectin B1 (Abamectin)</t>
        </is>
      </c>
      <c r="BP69" t="inlineStr">
        <is>
          <t>Dominica</t>
        </is>
      </c>
    </row>
    <row r="70">
      <c r="A70" t="inlineStr">
        <is>
          <t>Hammocks</t>
        </is>
      </c>
      <c r="BO70" t="inlineStr">
        <is>
          <t>Azacitidine</t>
        </is>
      </c>
      <c r="BP70" t="inlineStr">
        <is>
          <t>Dominican Republic</t>
        </is>
      </c>
    </row>
    <row r="71">
      <c r="A71" t="inlineStr">
        <is>
          <t>Area Rugs</t>
        </is>
      </c>
      <c r="BO71" t="inlineStr">
        <is>
          <t>Azaserine</t>
        </is>
      </c>
      <c r="BP71" t="inlineStr">
        <is>
          <t>Ecuador</t>
        </is>
      </c>
    </row>
    <row r="72">
      <c r="A72" t="inlineStr">
        <is>
          <t>Dining Chairs</t>
        </is>
      </c>
      <c r="BO72" t="inlineStr">
        <is>
          <t>Azathioprine</t>
        </is>
      </c>
      <c r="BP72" t="inlineStr">
        <is>
          <t>Egypt</t>
        </is>
      </c>
    </row>
    <row r="73">
      <c r="A73" t="inlineStr">
        <is>
          <t>China Cabinets</t>
        </is>
      </c>
      <c r="BO73" t="inlineStr">
        <is>
          <t>Azobenzene</t>
        </is>
      </c>
      <c r="BP73" t="inlineStr">
        <is>
          <t>El Salvador</t>
        </is>
      </c>
    </row>
    <row r="74">
      <c r="A74" t="inlineStr">
        <is>
          <t>Hall Trees</t>
        </is>
      </c>
      <c r="BO74" t="inlineStr">
        <is>
          <t>Barbiturates</t>
        </is>
      </c>
      <c r="BP74" t="inlineStr">
        <is>
          <t>Equatorial Guinea</t>
        </is>
      </c>
    </row>
    <row r="75">
      <c r="A75" t="inlineStr">
        <is>
          <t>Porch Swings</t>
        </is>
      </c>
      <c r="BO75" t="inlineStr">
        <is>
          <t>Beclomethasone dipropionate</t>
        </is>
      </c>
      <c r="BP75" t="inlineStr">
        <is>
          <t>Eritrea</t>
        </is>
      </c>
    </row>
    <row r="76">
      <c r="A76" t="inlineStr">
        <is>
          <t>Jewelry Armoires</t>
        </is>
      </c>
      <c r="BO76" t="inlineStr">
        <is>
          <t>Benomyl</t>
        </is>
      </c>
      <c r="BP76" t="inlineStr">
        <is>
          <t>Estonia</t>
        </is>
      </c>
    </row>
    <row r="77">
      <c r="A77" t="inlineStr">
        <is>
          <t>Fountains</t>
        </is>
      </c>
      <c r="BO77" t="inlineStr">
        <is>
          <t>Benthiavalicarb-isopropyl</t>
        </is>
      </c>
      <c r="BP77" t="inlineStr">
        <is>
          <t>Ethiopia</t>
        </is>
      </c>
    </row>
    <row r="78">
      <c r="A78" t="inlineStr">
        <is>
          <t>Lighting Shades</t>
        </is>
      </c>
      <c r="BO78" t="inlineStr">
        <is>
          <t>Benz[a]anthracene</t>
        </is>
      </c>
      <c r="BP78" t="inlineStr">
        <is>
          <t>Falkland Islands (Malvinas)</t>
        </is>
      </c>
    </row>
    <row r="79">
      <c r="A79" t="inlineStr">
        <is>
          <t>Fireplace Accessories</t>
        </is>
      </c>
      <c r="BO79" t="inlineStr">
        <is>
          <t>Benzene</t>
        </is>
      </c>
      <c r="BP79" t="inlineStr">
        <is>
          <t>Faroe Islands</t>
        </is>
      </c>
    </row>
    <row r="80">
      <c r="A80" t="inlineStr">
        <is>
          <t>Blanket Racks &amp; Ladders</t>
        </is>
      </c>
      <c r="BO80" t="inlineStr">
        <is>
          <t>Benzidine [and its salts]</t>
        </is>
      </c>
      <c r="BP80" t="inlineStr">
        <is>
          <t>Fiji</t>
        </is>
      </c>
    </row>
    <row r="81">
      <c r="A81" t="inlineStr">
        <is>
          <t>TV Trays</t>
        </is>
      </c>
      <c r="BO81" t="inlineStr">
        <is>
          <t>Benzidine-based dyes</t>
        </is>
      </c>
      <c r="BP81" t="inlineStr">
        <is>
          <t>Finland</t>
        </is>
      </c>
    </row>
    <row r="82">
      <c r="A82" t="inlineStr">
        <is>
          <t>Cutting Boards</t>
        </is>
      </c>
      <c r="BO82" t="inlineStr">
        <is>
          <t>Benzodiazepines</t>
        </is>
      </c>
      <c r="BP82" t="inlineStr">
        <is>
          <t>France</t>
        </is>
      </c>
    </row>
    <row r="83">
      <c r="A83" t="inlineStr">
        <is>
          <t>Rug Pads</t>
        </is>
      </c>
      <c r="BO83" t="inlineStr">
        <is>
          <t>Benzo[b]fluoranthene</t>
        </is>
      </c>
      <c r="BP83" t="inlineStr">
        <is>
          <t>French Guiana</t>
        </is>
      </c>
    </row>
    <row r="84">
      <c r="A84" t="inlineStr">
        <is>
          <t>Folding Chairs</t>
        </is>
      </c>
      <c r="BO84" t="inlineStr">
        <is>
          <t>Benzo[j]fluoranthene</t>
        </is>
      </c>
      <c r="BP84" t="inlineStr">
        <is>
          <t>French Polynesia</t>
        </is>
      </c>
    </row>
    <row r="85">
      <c r="A85" t="inlineStr">
        <is>
          <t>Night Lights</t>
        </is>
      </c>
      <c r="BO85" t="inlineStr">
        <is>
          <t>Benzo[k]fluoranthene</t>
        </is>
      </c>
      <c r="BP85" t="inlineStr">
        <is>
          <t>French Southern Territories</t>
        </is>
      </c>
    </row>
    <row r="86">
      <c r="A86" t="inlineStr">
        <is>
          <t>Changing Tables</t>
        </is>
      </c>
      <c r="BO86" t="inlineStr">
        <is>
          <t>Benzofuran</t>
        </is>
      </c>
      <c r="BP86" t="inlineStr">
        <is>
          <t>Gabon</t>
        </is>
      </c>
    </row>
    <row r="87">
      <c r="A87" t="inlineStr">
        <is>
          <t>Dollies</t>
        </is>
      </c>
      <c r="BO87" t="inlineStr">
        <is>
          <t>Benzophenone</t>
        </is>
      </c>
      <c r="BP87" t="inlineStr">
        <is>
          <t>Gambia</t>
        </is>
      </c>
    </row>
    <row r="88">
      <c r="A88" t="inlineStr">
        <is>
          <t>Patio Bar Sets</t>
        </is>
      </c>
      <c r="BO88" t="inlineStr">
        <is>
          <t>Benzo[a]pyrene</t>
        </is>
      </c>
      <c r="BP88" t="inlineStr">
        <is>
          <t>Georgia</t>
        </is>
      </c>
    </row>
    <row r="89">
      <c r="A89" t="inlineStr">
        <is>
          <t>Ceiling Fans</t>
        </is>
      </c>
      <c r="BO89" t="inlineStr">
        <is>
          <t>Benzotrichloride</t>
        </is>
      </c>
      <c r="BP89" t="inlineStr">
        <is>
          <t>Germany</t>
        </is>
      </c>
    </row>
    <row r="90">
      <c r="A90" t="inlineStr">
        <is>
          <t>Patio Umbrella Accessories</t>
        </is>
      </c>
      <c r="BO90" t="inlineStr">
        <is>
          <t>Benzphetamine hydrochloride</t>
        </is>
      </c>
      <c r="BP90" t="inlineStr">
        <is>
          <t>Ghana</t>
        </is>
      </c>
    </row>
    <row r="91">
      <c r="A91" t="inlineStr">
        <is>
          <t>Gliders</t>
        </is>
      </c>
      <c r="BO91" t="inlineStr">
        <is>
          <t>Benzyl chloride</t>
        </is>
      </c>
      <c r="BP91" t="inlineStr">
        <is>
          <t>Gibraltar</t>
        </is>
      </c>
    </row>
    <row r="92">
      <c r="A92" t="inlineStr">
        <is>
          <t>Mattress Toppers and Pads</t>
        </is>
      </c>
      <c r="BO92" t="inlineStr">
        <is>
          <t>Benzyl violet 4B</t>
        </is>
      </c>
      <c r="BP92" t="inlineStr">
        <is>
          <t>Greece</t>
        </is>
      </c>
    </row>
    <row r="93">
      <c r="A93" t="inlineStr">
        <is>
          <t>TV Stand Accessories</t>
        </is>
      </c>
      <c r="BO93" t="inlineStr">
        <is>
          <t>Beryllium and beryllium compounds</t>
        </is>
      </c>
      <c r="BP93" t="inlineStr">
        <is>
          <t>Greenland</t>
        </is>
      </c>
    </row>
    <row r="94">
      <c r="A94" t="inlineStr">
        <is>
          <t>Furniture Covers</t>
        </is>
      </c>
      <c r="BO94" t="inlineStr">
        <is>
          <t>Betel quid with tobacco</t>
        </is>
      </c>
      <c r="BP94" t="inlineStr">
        <is>
          <t>Grenada</t>
        </is>
      </c>
    </row>
    <row r="95">
      <c r="A95" t="inlineStr">
        <is>
          <t>Mount Accessories</t>
        </is>
      </c>
      <c r="BO95" t="inlineStr">
        <is>
          <t>Betel quid without tobacco</t>
        </is>
      </c>
      <c r="BP95" t="inlineStr">
        <is>
          <t>Guadeloupe</t>
        </is>
      </c>
    </row>
    <row r="96">
      <c r="A96" t="inlineStr">
        <is>
          <t>Room Dividers</t>
        </is>
      </c>
      <c r="BO96" t="inlineStr">
        <is>
          <t>2,2-Bis(bromomethyl)-1,3-propanediol</t>
        </is>
      </c>
      <c r="BP96" t="inlineStr">
        <is>
          <t>Guam</t>
        </is>
      </c>
    </row>
    <row r="97">
      <c r="A97" t="inlineStr">
        <is>
          <t>Bird Baths</t>
        </is>
      </c>
      <c r="BO97" t="inlineStr">
        <is>
          <t>Bis(2-chloroethyl)ether</t>
        </is>
      </c>
      <c r="BP97" t="inlineStr">
        <is>
          <t>Guatemala</t>
        </is>
      </c>
    </row>
    <row r="98">
      <c r="A98" t="inlineStr">
        <is>
          <t>Bird Feeders</t>
        </is>
      </c>
      <c r="BO98" t="inlineStr">
        <is>
          <t>N,N-Bis(2-chloroethyl)-2-naphthylamine  (Chlornapazine)</t>
        </is>
      </c>
      <c r="BP98" t="inlineStr">
        <is>
          <t>Guernsey</t>
        </is>
      </c>
    </row>
    <row r="99">
      <c r="A99" t="inlineStr">
        <is>
          <t>Benches</t>
        </is>
      </c>
      <c r="BO99" t="inlineStr">
        <is>
          <t>Bischloroethyl nitrosourea (BCNU) (Carmustine)</t>
        </is>
      </c>
      <c r="BP99" t="inlineStr">
        <is>
          <t>Guinea</t>
        </is>
      </c>
    </row>
    <row r="100">
      <c r="A100" t="inlineStr">
        <is>
          <t>Recessed Lighting Housing</t>
        </is>
      </c>
      <c r="BO100" t="inlineStr">
        <is>
          <t>Bis(chloromethyl)ether</t>
        </is>
      </c>
      <c r="BP100" t="inlineStr">
        <is>
          <t>Guinea-Bissau</t>
        </is>
      </c>
    </row>
    <row r="101">
      <c r="A101" t="inlineStr">
        <is>
          <t>Lighting Accessories</t>
        </is>
      </c>
      <c r="BO101" t="inlineStr">
        <is>
          <t>Bis(2-chloro-1-methylethyl)ether,  technical grade</t>
        </is>
      </c>
      <c r="BP101" t="inlineStr">
        <is>
          <t>Guyana</t>
        </is>
      </c>
    </row>
    <row r="102">
      <c r="A102" t="inlineStr">
        <is>
          <t>Classroom Desks</t>
        </is>
      </c>
      <c r="BO102" t="inlineStr">
        <is>
          <t>Bisphenol A (BPA)</t>
        </is>
      </c>
      <c r="BP102" t="inlineStr">
        <is>
          <t>Haiti</t>
        </is>
      </c>
    </row>
    <row r="103">
      <c r="A103" t="inlineStr">
        <is>
          <t>Stages, Risers and Accessories</t>
        </is>
      </c>
      <c r="BO103" t="inlineStr">
        <is>
          <t>Bitumens, extracts of steam-refined and air refined</t>
        </is>
      </c>
      <c r="BP103" t="inlineStr">
        <is>
          <t>Heard Island and McDonald Islands</t>
        </is>
      </c>
    </row>
    <row r="104">
      <c r="A104" t="inlineStr">
        <is>
          <t>Rocking Chairs</t>
        </is>
      </c>
      <c r="BO104" t="inlineStr">
        <is>
          <t>Bracken fern</t>
        </is>
      </c>
      <c r="BP104" t="inlineStr">
        <is>
          <t>Holy See (Vatican City State)</t>
        </is>
      </c>
    </row>
    <row r="105">
      <c r="A105" t="inlineStr">
        <is>
          <t>Office Partitions</t>
        </is>
      </c>
      <c r="BO105" t="inlineStr">
        <is>
          <t>Bromacil lithium salt</t>
        </is>
      </c>
      <c r="BP105" t="inlineStr">
        <is>
          <t>Honduras</t>
        </is>
      </c>
    </row>
    <row r="106">
      <c r="A106" t="inlineStr">
        <is>
          <t>Furniture Cushions</t>
        </is>
      </c>
      <c r="BO106" t="inlineStr">
        <is>
          <t>Bromate</t>
        </is>
      </c>
      <c r="BP106" t="inlineStr">
        <is>
          <t>Hong Kong</t>
        </is>
      </c>
    </row>
    <row r="107">
      <c r="A107" t="inlineStr">
        <is>
          <t>Accent Stools</t>
        </is>
      </c>
      <c r="BO107" t="inlineStr">
        <is>
          <t>Bromochloroacetic acid</t>
        </is>
      </c>
      <c r="BP107" t="inlineStr">
        <is>
          <t>Hungary</t>
        </is>
      </c>
    </row>
    <row r="108">
      <c r="A108" t="inlineStr">
        <is>
          <t>Locker Room Benches</t>
        </is>
      </c>
      <c r="BO108" t="inlineStr">
        <is>
          <t>Bromodichloroacetic acid</t>
        </is>
      </c>
      <c r="BP108" t="inlineStr">
        <is>
          <t>Iceland</t>
        </is>
      </c>
    </row>
    <row r="109">
      <c r="A109" t="inlineStr">
        <is>
          <t>Living Room Sets</t>
        </is>
      </c>
      <c r="BO109" t="inlineStr">
        <is>
          <t>Bromodichloromethane</t>
        </is>
      </c>
      <c r="BP109" t="inlineStr">
        <is>
          <t>India</t>
        </is>
      </c>
    </row>
    <row r="110">
      <c r="A110" t="inlineStr">
        <is>
          <t>Sofas</t>
        </is>
      </c>
      <c r="BO110" t="inlineStr">
        <is>
          <t>Bromoethane</t>
        </is>
      </c>
      <c r="BP110" t="inlineStr">
        <is>
          <t>Indonesia</t>
        </is>
      </c>
    </row>
    <row r="111">
      <c r="A111" t="inlineStr">
        <is>
          <t>Sectionals</t>
        </is>
      </c>
      <c r="BO111" t="inlineStr">
        <is>
          <t>Bromoform</t>
        </is>
      </c>
      <c r="BP111" t="inlineStr">
        <is>
          <t>Iran, Islamic Republic of</t>
        </is>
      </c>
    </row>
    <row r="112">
      <c r="A112" t="inlineStr">
        <is>
          <t>Ottomans</t>
        </is>
      </c>
      <c r="BO112" t="inlineStr">
        <is>
          <t>1-Bromopropane (1-BP)</t>
        </is>
      </c>
      <c r="BP112" t="inlineStr">
        <is>
          <t>Iraq</t>
        </is>
      </c>
    </row>
    <row r="113">
      <c r="A113" t="inlineStr">
        <is>
          <t>Listening Centers</t>
        </is>
      </c>
      <c r="BO113" t="inlineStr">
        <is>
          <t>Bromoxynil</t>
        </is>
      </c>
      <c r="BP113" t="inlineStr">
        <is>
          <t>Ireland</t>
        </is>
      </c>
    </row>
    <row r="114">
      <c r="A114" t="inlineStr">
        <is>
          <t>Outdoor Fireplaces</t>
        </is>
      </c>
      <c r="BO114" t="inlineStr">
        <is>
          <t>Bromoxynil octanoate</t>
        </is>
      </c>
      <c r="BP114" t="inlineStr">
        <is>
          <t>Isle of Man</t>
        </is>
      </c>
    </row>
    <row r="115">
      <c r="A115" t="inlineStr">
        <is>
          <t>Projectors</t>
        </is>
      </c>
      <c r="BO115" t="inlineStr">
        <is>
          <t>Butabarbital sodium</t>
        </is>
      </c>
      <c r="BP115" t="inlineStr">
        <is>
          <t>Israel</t>
        </is>
      </c>
    </row>
    <row r="116">
      <c r="A116" t="inlineStr">
        <is>
          <t>Light Bulbs</t>
        </is>
      </c>
      <c r="BO116" t="inlineStr">
        <is>
          <t>1,3-Butadiene</t>
        </is>
      </c>
      <c r="BP116" t="inlineStr">
        <is>
          <t>Italy</t>
        </is>
      </c>
    </row>
    <row r="117">
      <c r="A117" t="inlineStr">
        <is>
          <t>Patio Ottomans</t>
        </is>
      </c>
      <c r="BO117" t="inlineStr">
        <is>
          <t>1,4-Butanediol dimethanesulfonate (Busulfan)</t>
        </is>
      </c>
      <c r="BP117" t="inlineStr">
        <is>
          <t>Jamaica</t>
        </is>
      </c>
    </row>
    <row r="118">
      <c r="A118" t="inlineStr">
        <is>
          <t>Planters</t>
        </is>
      </c>
      <c r="BO118" t="inlineStr">
        <is>
          <t>Butylated hydroxyanisole</t>
        </is>
      </c>
      <c r="BP118" t="inlineStr">
        <is>
          <t>Japan</t>
        </is>
      </c>
    </row>
    <row r="119">
      <c r="A119" t="inlineStr">
        <is>
          <t>Toy Boxes and Organizers</t>
        </is>
      </c>
      <c r="BO119" t="inlineStr">
        <is>
          <t>Butyl benzyl phthalate (BBP)d</t>
        </is>
      </c>
      <c r="BP119" t="inlineStr">
        <is>
          <t>Jersey</t>
        </is>
      </c>
    </row>
    <row r="120">
      <c r="A120" t="inlineStr">
        <is>
          <t>Rocking Horses</t>
        </is>
      </c>
      <c r="BO120" t="inlineStr">
        <is>
          <t>beta-Butyrolactone</t>
        </is>
      </c>
      <c r="BP120" t="inlineStr">
        <is>
          <t>Jordan</t>
        </is>
      </c>
    </row>
    <row r="121">
      <c r="A121" t="inlineStr">
        <is>
          <t>Stair Treads</t>
        </is>
      </c>
      <c r="BO121" t="inlineStr">
        <is>
          <t>Cacodylic acid</t>
        </is>
      </c>
      <c r="BP121" t="inlineStr">
        <is>
          <t>Kazakhstan</t>
        </is>
      </c>
    </row>
    <row r="122">
      <c r="A122" t="inlineStr">
        <is>
          <t>Rug Care</t>
        </is>
      </c>
      <c r="BO122" t="inlineStr">
        <is>
          <t>Cadmium</t>
        </is>
      </c>
      <c r="BP122" t="inlineStr">
        <is>
          <t>Kenya</t>
        </is>
      </c>
    </row>
    <row r="123">
      <c r="A123" t="inlineStr">
        <is>
          <t>Kids Chairs</t>
        </is>
      </c>
      <c r="BO123" t="inlineStr">
        <is>
          <t>Cadmium and cadmium compounds</t>
        </is>
      </c>
      <c r="BP123" t="inlineStr">
        <is>
          <t>Kiribati</t>
        </is>
      </c>
    </row>
    <row r="124">
      <c r="A124" t="inlineStr">
        <is>
          <t>Bath Accessories</t>
        </is>
      </c>
      <c r="BO124" t="inlineStr">
        <is>
          <t>Caffeic acid</t>
        </is>
      </c>
      <c r="BP124" t="inlineStr">
        <is>
          <t>Korea, Democratic People's Republic of</t>
        </is>
      </c>
    </row>
    <row r="125">
      <c r="A125" t="inlineStr">
        <is>
          <t>Storage Drawers</t>
        </is>
      </c>
      <c r="BO125" t="inlineStr">
        <is>
          <t>Captafol</t>
        </is>
      </c>
      <c r="BP125" t="inlineStr">
        <is>
          <t>Korea, Republic of</t>
        </is>
      </c>
    </row>
    <row r="126">
      <c r="A126" t="inlineStr">
        <is>
          <t>Cribs</t>
        </is>
      </c>
      <c r="BO126" t="inlineStr">
        <is>
          <t>Captan</t>
        </is>
      </c>
      <c r="BP126" t="inlineStr">
        <is>
          <t>Kuwait</t>
        </is>
      </c>
    </row>
    <row r="127">
      <c r="A127" t="inlineStr">
        <is>
          <t>Cable Management</t>
        </is>
      </c>
      <c r="BO127" t="inlineStr">
        <is>
          <t>Carbamazepine</t>
        </is>
      </c>
      <c r="BP127" t="inlineStr">
        <is>
          <t>Kyrgyzstan</t>
        </is>
      </c>
    </row>
    <row r="128">
      <c r="A128" t="inlineStr">
        <is>
          <t>Locker Accessories</t>
        </is>
      </c>
      <c r="BO128" t="inlineStr">
        <is>
          <t>Carbaryl</t>
        </is>
      </c>
      <c r="BP128" t="inlineStr">
        <is>
          <t>Lao People's Democratic Republic</t>
        </is>
      </c>
    </row>
    <row r="129">
      <c r="A129" t="inlineStr">
        <is>
          <t>Kids Tables and Sets</t>
        </is>
      </c>
      <c r="BO129" t="inlineStr">
        <is>
          <t>Carbazole</t>
        </is>
      </c>
      <c r="BP129" t="inlineStr">
        <is>
          <t>Latvia</t>
        </is>
      </c>
    </row>
    <row r="130">
      <c r="A130" t="inlineStr">
        <is>
          <t>Breakroom Tables</t>
        </is>
      </c>
      <c r="BO130" t="inlineStr">
        <is>
          <t>Carbon black (airborne, unbound particles of respirable size)</t>
        </is>
      </c>
      <c r="BP130" t="inlineStr">
        <is>
          <t>Lebanon</t>
        </is>
      </c>
    </row>
    <row r="131">
      <c r="A131" t="inlineStr">
        <is>
          <t>Air Mattresses</t>
        </is>
      </c>
      <c r="BO131" t="inlineStr">
        <is>
          <t>Carbon-black extracts</t>
        </is>
      </c>
      <c r="BP131" t="inlineStr">
        <is>
          <t>Lesotho</t>
        </is>
      </c>
    </row>
    <row r="132">
      <c r="A132" t="inlineStr">
        <is>
          <t>Board &amp; Easel Accessories</t>
        </is>
      </c>
      <c r="BO132" t="inlineStr">
        <is>
          <t>Carbon disulfide</t>
        </is>
      </c>
      <c r="BP132" t="inlineStr">
        <is>
          <t>Liberia</t>
        </is>
      </c>
    </row>
    <row r="133">
      <c r="A133" t="inlineStr">
        <is>
          <t>Bassinets &amp; Cradles</t>
        </is>
      </c>
      <c r="BO133" t="inlineStr">
        <is>
          <t>Carbon monoxide</t>
        </is>
      </c>
      <c r="BP133" t="inlineStr">
        <is>
          <t>Libyan Arab Jamahiriya</t>
        </is>
      </c>
    </row>
    <row r="134">
      <c r="A134" t="inlineStr">
        <is>
          <t>Patio Heaters</t>
        </is>
      </c>
      <c r="BO134" t="inlineStr">
        <is>
          <t>Carbon tetrachloride</t>
        </is>
      </c>
      <c r="BP134" t="inlineStr">
        <is>
          <t>Liechtenstein</t>
        </is>
      </c>
    </row>
    <row r="135">
      <c r="A135" t="inlineStr">
        <is>
          <t xml:space="preserve"> Multi-Child Strollers</t>
        </is>
      </c>
      <c r="BO135" t="inlineStr">
        <is>
          <t>Carboplatin</t>
        </is>
      </c>
      <c r="BP135" t="inlineStr">
        <is>
          <t>Lithuania</t>
        </is>
      </c>
    </row>
    <row r="136">
      <c r="A136" t="inlineStr">
        <is>
          <t>Trellises</t>
        </is>
      </c>
      <c r="BO136" t="inlineStr">
        <is>
          <t>N-Carboxymethyl-N-nitrosourea</t>
        </is>
      </c>
      <c r="BP136" t="inlineStr">
        <is>
          <t>Luxembourg</t>
        </is>
      </c>
    </row>
    <row r="137">
      <c r="A137" t="inlineStr">
        <is>
          <t>Chairmats</t>
        </is>
      </c>
      <c r="BO137" t="inlineStr">
        <is>
          <t>Catechol</t>
        </is>
      </c>
      <c r="BP137" t="inlineStr">
        <is>
          <t>Macao</t>
        </is>
      </c>
    </row>
    <row r="138">
      <c r="A138" t="inlineStr">
        <is>
          <t>Dollhouses</t>
        </is>
      </c>
      <c r="BO138" t="inlineStr">
        <is>
          <t>Ceramic fibers (airborne particles of respirable size)</t>
        </is>
      </c>
      <c r="BP138" t="inlineStr">
        <is>
          <t>Macedonia, The Former Yugoslav Republic of</t>
        </is>
      </c>
    </row>
    <row r="139">
      <c r="A139" t="inlineStr">
        <is>
          <t>Mailroom Tables</t>
        </is>
      </c>
      <c r="BO139" t="inlineStr">
        <is>
          <t>Certain combined chemotherapy for lymphomas</t>
        </is>
      </c>
      <c r="BP139" t="inlineStr">
        <is>
          <t>Madagascar</t>
        </is>
      </c>
    </row>
    <row r="140">
      <c r="A140" t="inlineStr">
        <is>
          <t>Maps &amp; Atlases</t>
        </is>
      </c>
      <c r="BO140" t="inlineStr">
        <is>
          <t>Chenodiol</t>
        </is>
      </c>
      <c r="BP140" t="inlineStr">
        <is>
          <t>Malawi</t>
        </is>
      </c>
    </row>
    <row r="141">
      <c r="A141" t="inlineStr">
        <is>
          <t>Door Bells &amp; Chimes</t>
        </is>
      </c>
      <c r="BO141" t="inlineStr">
        <is>
          <t>Chloral</t>
        </is>
      </c>
      <c r="BP141" t="inlineStr">
        <is>
          <t>Malaysia</t>
        </is>
      </c>
    </row>
    <row r="142">
      <c r="A142" t="inlineStr">
        <is>
          <t>Coffee &amp; Cocktail Tables</t>
        </is>
      </c>
      <c r="BO142" t="inlineStr">
        <is>
          <t>Chloral hydrate</t>
        </is>
      </c>
      <c r="BP142" t="inlineStr">
        <is>
          <t>Maldives</t>
        </is>
      </c>
    </row>
    <row r="143">
      <c r="A143" t="inlineStr">
        <is>
          <t>End Tables</t>
        </is>
      </c>
      <c r="BO143" t="inlineStr">
        <is>
          <t>Chlorambucil</t>
        </is>
      </c>
      <c r="BP143" t="inlineStr">
        <is>
          <t>Mali</t>
        </is>
      </c>
    </row>
    <row r="144">
      <c r="A144" t="inlineStr">
        <is>
          <t>Sofa &amp; Console Tables</t>
        </is>
      </c>
      <c r="BO144" t="inlineStr">
        <is>
          <t>Chloramphenicol sodium succinate</t>
        </is>
      </c>
      <c r="BP144" t="inlineStr">
        <is>
          <t>Malta</t>
        </is>
      </c>
    </row>
    <row r="145">
      <c r="A145" t="inlineStr">
        <is>
          <t>Smoking Urns &amp; Ashtrays</t>
        </is>
      </c>
      <c r="BO145" t="inlineStr">
        <is>
          <t>Chlorcyclizine hydrochloride</t>
        </is>
      </c>
      <c r="BP145" t="inlineStr">
        <is>
          <t>Marshall Islands</t>
        </is>
      </c>
    </row>
    <row r="146">
      <c r="A146" t="inlineStr">
        <is>
          <t>Portable Fans</t>
        </is>
      </c>
      <c r="BO146" t="inlineStr">
        <is>
          <t>Chlordane</t>
        </is>
      </c>
      <c r="BP146" t="inlineStr">
        <is>
          <t>Martinique</t>
        </is>
      </c>
    </row>
    <row r="147">
      <c r="A147" t="inlineStr">
        <is>
          <t>Living Room Table Sets</t>
        </is>
      </c>
      <c r="BO147" t="inlineStr">
        <is>
          <t>Chlordecone (Kepone)</t>
        </is>
      </c>
      <c r="BP147" t="inlineStr">
        <is>
          <t>Mauritania</t>
        </is>
      </c>
    </row>
    <row r="148">
      <c r="A148" t="inlineStr">
        <is>
          <t>Trash Cans &amp; Recycling</t>
        </is>
      </c>
      <c r="BO148" t="inlineStr">
        <is>
          <t>Chlordiazepoxide</t>
        </is>
      </c>
      <c r="BP148" t="inlineStr">
        <is>
          <t>Mauritius</t>
        </is>
      </c>
    </row>
    <row r="149">
      <c r="A149" t="inlineStr">
        <is>
          <t>Jewelry Boxes</t>
        </is>
      </c>
      <c r="BO149" t="inlineStr">
        <is>
          <t>Chlordiazepoxide hydrochloride</t>
        </is>
      </c>
      <c r="BP149" t="inlineStr">
        <is>
          <t>Mayotte</t>
        </is>
      </c>
    </row>
    <row r="150">
      <c r="A150" t="inlineStr">
        <is>
          <t>Massage Chairs</t>
        </is>
      </c>
      <c r="BO150" t="inlineStr">
        <is>
          <t>Chlordimeform</t>
        </is>
      </c>
      <c r="BP150" t="inlineStr">
        <is>
          <t>Mexico</t>
        </is>
      </c>
    </row>
    <row r="151">
      <c r="A151" t="inlineStr">
        <is>
          <t>Wall Mounted Shelves</t>
        </is>
      </c>
      <c r="BO151" t="inlineStr">
        <is>
          <t>Chlorendic acid</t>
        </is>
      </c>
      <c r="BP151" t="inlineStr">
        <is>
          <t>Micronesia, Federated States of</t>
        </is>
      </c>
    </row>
    <row r="152">
      <c r="A152" t="inlineStr">
        <is>
          <t>Home Theater Seating</t>
        </is>
      </c>
      <c r="BO152" t="inlineStr">
        <is>
          <t>Chlorinated paraffins (Average chain length, C12;approximately 60 percent chlorine by weight)</t>
        </is>
      </c>
      <c r="BP152" t="inlineStr">
        <is>
          <t>Moldova, Republic of</t>
        </is>
      </c>
    </row>
    <row r="153">
      <c r="A153" t="inlineStr">
        <is>
          <t>Sheds</t>
        </is>
      </c>
      <c r="BO153" t="inlineStr">
        <is>
          <t>p-Chloroaniline</t>
        </is>
      </c>
      <c r="BP153" t="inlineStr">
        <is>
          <t>Monaco</t>
        </is>
      </c>
    </row>
    <row r="154">
      <c r="A154" t="inlineStr">
        <is>
          <t>Trash Can Accessories</t>
        </is>
      </c>
      <c r="BO154" t="inlineStr">
        <is>
          <t>p-Chloroaniline hydrochloride</t>
        </is>
      </c>
      <c r="BP154" t="inlineStr">
        <is>
          <t>Mongolia</t>
        </is>
      </c>
    </row>
    <row r="155">
      <c r="A155" t="inlineStr">
        <is>
          <t>Baby &amp; Kids Nap Mats and Playmats</t>
        </is>
      </c>
      <c r="BO155" t="inlineStr">
        <is>
          <t>Chloroethane (Ethyl chloride)</t>
        </is>
      </c>
      <c r="BP155" t="inlineStr">
        <is>
          <t>Montenegro</t>
        </is>
      </c>
    </row>
    <row r="156">
      <c r="A156" t="inlineStr">
        <is>
          <t>Ride-On Toys</t>
        </is>
      </c>
      <c r="BO156" t="inlineStr">
        <is>
          <t>1-(2-Chloroethyl)-3-cyclohexyl-1-nitrosourea (CCNU) (Lomustine)</t>
        </is>
      </c>
      <c r="BP156" t="inlineStr">
        <is>
          <t>Montserrat</t>
        </is>
      </c>
    </row>
    <row r="157">
      <c r="A157" t="inlineStr">
        <is>
          <t>Classroom Storage</t>
        </is>
      </c>
      <c r="BO157" t="inlineStr">
        <is>
          <t>1-(2-Chloroethyl)-3-(4-methylcyclohexyl)-1-nitrosourea (Methyl-CCNU)</t>
        </is>
      </c>
      <c r="BP157" t="inlineStr">
        <is>
          <t>Morocco</t>
        </is>
      </c>
    </row>
    <row r="158">
      <c r="A158" t="inlineStr">
        <is>
          <t>Canopies</t>
        </is>
      </c>
      <c r="BO158" t="inlineStr">
        <is>
          <t>Chloromethyl methyl ether (technical grade)</t>
        </is>
      </c>
      <c r="BP158" t="inlineStr">
        <is>
          <t>Mozambique</t>
        </is>
      </c>
    </row>
    <row r="159">
      <c r="A159" t="inlineStr">
        <is>
          <t>Kids Bookcases</t>
        </is>
      </c>
      <c r="BO159" t="inlineStr">
        <is>
          <t>3-Chloro-2-methylpropene</t>
        </is>
      </c>
      <c r="BP159" t="inlineStr">
        <is>
          <t>Myanmar</t>
        </is>
      </c>
    </row>
    <row r="160">
      <c r="A160" t="inlineStr">
        <is>
          <t>Laundry Accessories &amp; Storage</t>
        </is>
      </c>
      <c r="BO160" t="inlineStr">
        <is>
          <t>1-Chloro-4-nitrobenzene</t>
        </is>
      </c>
      <c r="BP160" t="inlineStr">
        <is>
          <t>Namibia</t>
        </is>
      </c>
    </row>
    <row r="161">
      <c r="A161" t="inlineStr">
        <is>
          <t>Vases, Urns, Jars, &amp; Bottles</t>
        </is>
      </c>
      <c r="BO161" t="inlineStr">
        <is>
          <t>4-Chloro-o-phenylenediamine</t>
        </is>
      </c>
      <c r="BP161" t="inlineStr">
        <is>
          <t>Nauru</t>
        </is>
      </c>
    </row>
    <row r="162">
      <c r="A162" t="inlineStr">
        <is>
          <t>Greenhouses</t>
        </is>
      </c>
      <c r="BO162" t="inlineStr">
        <is>
          <t>Chloroprene</t>
        </is>
      </c>
      <c r="BP162" t="inlineStr">
        <is>
          <t>Nepal</t>
        </is>
      </c>
    </row>
    <row r="163">
      <c r="A163" t="inlineStr">
        <is>
          <t>Greenhouse Accessories</t>
        </is>
      </c>
      <c r="BO163" t="inlineStr">
        <is>
          <t>Chlorothalonil</t>
        </is>
      </c>
      <c r="BP163" t="inlineStr">
        <is>
          <t>Netherlands</t>
        </is>
      </c>
    </row>
    <row r="164">
      <c r="A164" t="inlineStr">
        <is>
          <t>Shed Accessories</t>
        </is>
      </c>
      <c r="BO164" t="inlineStr">
        <is>
          <t>p-Chloro-o-toluidine</t>
        </is>
      </c>
      <c r="BP164" t="inlineStr">
        <is>
          <t>Netherlands Antilles</t>
        </is>
      </c>
    </row>
    <row r="165">
      <c r="A165" t="inlineStr">
        <is>
          <t>Activity Tables</t>
        </is>
      </c>
      <c r="BO165" t="inlineStr">
        <is>
          <t>p-Chloro-o-toluidine, strong acid salts of</t>
        </is>
      </c>
      <c r="BP165" t="inlineStr">
        <is>
          <t>New Caledonia</t>
        </is>
      </c>
    </row>
    <row r="166">
      <c r="A166" t="inlineStr">
        <is>
          <t>Soft Play</t>
        </is>
      </c>
      <c r="BO166" t="inlineStr">
        <is>
          <t>5-Chloro-o-toluidine and its strong acid salts</t>
        </is>
      </c>
      <c r="BP166" t="inlineStr">
        <is>
          <t>New Zealand</t>
        </is>
      </c>
    </row>
    <row r="167">
      <c r="A167" t="inlineStr">
        <is>
          <t>Mailboxes</t>
        </is>
      </c>
      <c r="BO167" t="inlineStr">
        <is>
          <t>Chlorotrianisene</t>
        </is>
      </c>
      <c r="BP167" t="inlineStr">
        <is>
          <t>Nicaragua</t>
        </is>
      </c>
    </row>
    <row r="168">
      <c r="A168" t="inlineStr">
        <is>
          <t>Mailbox Accessories</t>
        </is>
      </c>
      <c r="BO168" t="inlineStr">
        <is>
          <t>Chlorozotocin</t>
        </is>
      </c>
      <c r="BP168" t="inlineStr">
        <is>
          <t>Niger</t>
        </is>
      </c>
    </row>
    <row r="169">
      <c r="A169" t="inlineStr">
        <is>
          <t>Mailbox Posts &amp; Stands</t>
        </is>
      </c>
      <c r="BO169" t="inlineStr">
        <is>
          <t>Chlorpyrifos</t>
        </is>
      </c>
      <c r="BP169" t="inlineStr">
        <is>
          <t>Nigeria</t>
        </is>
      </c>
    </row>
    <row r="170">
      <c r="A170" t="inlineStr">
        <is>
          <t>Address Plaques &amp; Lettering</t>
        </is>
      </c>
      <c r="BO170" t="inlineStr">
        <is>
          <t>Chromium (hexavalent compounds)</t>
        </is>
      </c>
      <c r="BP170" t="inlineStr">
        <is>
          <t>Niue</t>
        </is>
      </c>
    </row>
    <row r="171">
      <c r="A171" t="inlineStr">
        <is>
          <t>Banner Stands and Booth Displays</t>
        </is>
      </c>
      <c r="BO171" t="inlineStr">
        <is>
          <t>Chrysene</t>
        </is>
      </c>
      <c r="BP171" t="inlineStr">
        <is>
          <t>Norfolk Island</t>
        </is>
      </c>
    </row>
    <row r="172">
      <c r="A172" t="inlineStr">
        <is>
          <t>Toilets</t>
        </is>
      </c>
      <c r="BO172" t="inlineStr">
        <is>
          <t>C.I. Acid Red 114</t>
        </is>
      </c>
      <c r="BP172" t="inlineStr">
        <is>
          <t>Northern Mariana Islands</t>
        </is>
      </c>
    </row>
    <row r="173">
      <c r="A173" t="inlineStr">
        <is>
          <t>Bathroom Sinks</t>
        </is>
      </c>
      <c r="BO173" t="inlineStr">
        <is>
          <t>C.I. Basic Red 9 monohydrochloride</t>
        </is>
      </c>
      <c r="BP173" t="inlineStr">
        <is>
          <t>Norway</t>
        </is>
      </c>
    </row>
    <row r="174">
      <c r="A174" t="inlineStr">
        <is>
          <t>Tubs And Whirlpools</t>
        </is>
      </c>
      <c r="BO174" t="inlineStr">
        <is>
          <t>C.I. Direct Blue 15</t>
        </is>
      </c>
      <c r="BP174" t="inlineStr">
        <is>
          <t>Oman</t>
        </is>
      </c>
    </row>
    <row r="175">
      <c r="A175" t="inlineStr">
        <is>
          <t>Cart Accessories &amp; Parts</t>
        </is>
      </c>
      <c r="BO175" t="inlineStr">
        <is>
          <t>C.I. Direct Blue 218</t>
        </is>
      </c>
      <c r="BP175" t="inlineStr">
        <is>
          <t>Pakistan</t>
        </is>
      </c>
    </row>
    <row r="176">
      <c r="A176" t="inlineStr">
        <is>
          <t>Baking Sheets</t>
        </is>
      </c>
      <c r="BO176" t="inlineStr">
        <is>
          <t>C.I. Disperse Yellow 3</t>
        </is>
      </c>
      <c r="BP176" t="inlineStr">
        <is>
          <t>Palau</t>
        </is>
      </c>
    </row>
    <row r="177">
      <c r="A177" t="inlineStr">
        <is>
          <t>Pie Pans</t>
        </is>
      </c>
      <c r="BO177" t="inlineStr">
        <is>
          <t>C.I. Solvent Yellow 14</t>
        </is>
      </c>
      <c r="BP177" t="inlineStr">
        <is>
          <t>Palestinian Territory, Occupied</t>
        </is>
      </c>
    </row>
    <row r="178">
      <c r="A178" t="inlineStr">
        <is>
          <t>Cake Pans</t>
        </is>
      </c>
      <c r="BO178" t="inlineStr">
        <is>
          <t>Ciclosporin (Cyclosporin A; Cyclosporine)</t>
        </is>
      </c>
      <c r="BP178" t="inlineStr">
        <is>
          <t>Panama</t>
        </is>
      </c>
    </row>
    <row r="179">
      <c r="A179" t="inlineStr">
        <is>
          <t>Fixture Parts And Components</t>
        </is>
      </c>
      <c r="BO179" t="inlineStr">
        <is>
          <t>Cidofovir</t>
        </is>
      </c>
      <c r="BP179" t="inlineStr">
        <is>
          <t>Papua New Guinea</t>
        </is>
      </c>
    </row>
    <row r="180">
      <c r="A180" t="inlineStr">
        <is>
          <t>Garden Statues</t>
        </is>
      </c>
      <c r="BO180" t="inlineStr">
        <is>
          <t>Cinnamyl anthranilate</t>
        </is>
      </c>
      <c r="BP180" t="inlineStr">
        <is>
          <t>Paraguay</t>
        </is>
      </c>
    </row>
    <row r="181">
      <c r="A181" t="inlineStr">
        <is>
          <t>Patio Furniture Replacement Slings</t>
        </is>
      </c>
      <c r="BO181" t="inlineStr">
        <is>
          <t>Cisplatin</t>
        </is>
      </c>
      <c r="BP181" t="inlineStr">
        <is>
          <t>Peru</t>
        </is>
      </c>
    </row>
    <row r="182">
      <c r="A182" t="inlineStr">
        <is>
          <t>Vehicle Ports</t>
        </is>
      </c>
      <c r="BO182" t="inlineStr">
        <is>
          <t>Citrus Red No. 2</t>
        </is>
      </c>
      <c r="BP182" t="inlineStr">
        <is>
          <t>Philippines</t>
        </is>
      </c>
    </row>
    <row r="183">
      <c r="A183" t="inlineStr">
        <is>
          <t>Drains</t>
        </is>
      </c>
      <c r="BO183" t="inlineStr">
        <is>
          <t>Cladribine</t>
        </is>
      </c>
      <c r="BP183" t="inlineStr">
        <is>
          <t>Pitcairn</t>
        </is>
      </c>
    </row>
    <row r="184">
      <c r="A184" t="inlineStr">
        <is>
          <t>Kitchen Sinks</t>
        </is>
      </c>
      <c r="BO184" t="inlineStr">
        <is>
          <t>Clarithromycin</t>
        </is>
      </c>
      <c r="BP184" t="inlineStr">
        <is>
          <t>Poland</t>
        </is>
      </c>
    </row>
    <row r="185">
      <c r="A185" t="inlineStr">
        <is>
          <t>Medicine Cabinets</t>
        </is>
      </c>
      <c r="BO185" t="inlineStr">
        <is>
          <t>Clobetasol propionate</t>
        </is>
      </c>
      <c r="BP185" t="inlineStr">
        <is>
          <t>Portugal</t>
        </is>
      </c>
    </row>
    <row r="186">
      <c r="A186" t="inlineStr">
        <is>
          <t>Valves</t>
        </is>
      </c>
      <c r="BO186" t="inlineStr">
        <is>
          <t>Clofibrate</t>
        </is>
      </c>
      <c r="BP186" t="inlineStr">
        <is>
          <t>Puerto Rico</t>
        </is>
      </c>
    </row>
    <row r="187">
      <c r="A187" t="inlineStr">
        <is>
          <t>Kitchen Sink Accessories</t>
        </is>
      </c>
      <c r="BO187" t="inlineStr">
        <is>
          <t>Clomiphene citrate</t>
        </is>
      </c>
      <c r="BP187" t="inlineStr">
        <is>
          <t>Qatar</t>
        </is>
      </c>
    </row>
    <row r="188">
      <c r="A188" t="inlineStr">
        <is>
          <t>Salt And Pepper Shakers / Grinders (Mills)</t>
        </is>
      </c>
      <c r="BO188" t="inlineStr">
        <is>
          <t>Clorazepate dipotassium</t>
        </is>
      </c>
      <c r="BP188" t="inlineStr">
        <is>
          <t>Reunion</t>
        </is>
      </c>
    </row>
    <row r="189">
      <c r="A189" t="inlineStr">
        <is>
          <t>Blinds and Shades</t>
        </is>
      </c>
      <c r="BO189" t="inlineStr">
        <is>
          <t>CMNP (pyrazachlor)</t>
        </is>
      </c>
      <c r="BP189" t="inlineStr">
        <is>
          <t>Romania</t>
        </is>
      </c>
    </row>
    <row r="190">
      <c r="A190" t="inlineStr">
        <is>
          <t>Picture Frames</t>
        </is>
      </c>
      <c r="BO190" t="inlineStr">
        <is>
          <t>Cobalt metal powder</t>
        </is>
      </c>
      <c r="BP190" t="inlineStr">
        <is>
          <t>Russian Federation</t>
        </is>
      </c>
    </row>
    <row r="191">
      <c r="A191" t="inlineStr">
        <is>
          <t>Safe Accessories</t>
        </is>
      </c>
      <c r="BO191" t="inlineStr">
        <is>
          <t>Cobalt [II] oxide</t>
        </is>
      </c>
      <c r="BP191" t="inlineStr">
        <is>
          <t>Rwanda</t>
        </is>
      </c>
    </row>
    <row r="192">
      <c r="A192" t="inlineStr">
        <is>
          <t>Kitchen Faucets</t>
        </is>
      </c>
      <c r="BO192" t="inlineStr">
        <is>
          <t>Cobalt sulfate</t>
        </is>
      </c>
      <c r="BP192" t="inlineStr">
        <is>
          <t>Saint Barthélemy</t>
        </is>
      </c>
    </row>
    <row r="193">
      <c r="A193" t="inlineStr">
        <is>
          <t>Bathroom Sink Faucets</t>
        </is>
      </c>
      <c r="BO193" t="inlineStr">
        <is>
          <t>Cobalt sulfate heptahydrate</t>
        </is>
      </c>
      <c r="BP193" t="inlineStr">
        <is>
          <t>Saint Helena</t>
        </is>
      </c>
    </row>
    <row r="194">
      <c r="A194" t="inlineStr">
        <is>
          <t>Range Hoods</t>
        </is>
      </c>
      <c r="BO194" t="inlineStr">
        <is>
          <t>Cocaine</t>
        </is>
      </c>
      <c r="BP194" t="inlineStr">
        <is>
          <t>Saint Kitts and Nevis</t>
        </is>
      </c>
    </row>
    <row r="195">
      <c r="A195" t="inlineStr">
        <is>
          <t>Science Tables</t>
        </is>
      </c>
      <c r="BO195" t="inlineStr">
        <is>
          <t>Coconut oil diethanolamine condensate (cocamide diethanolamine)</t>
        </is>
      </c>
      <c r="BP195" t="inlineStr">
        <is>
          <t>Saint Lucia</t>
        </is>
      </c>
    </row>
    <row r="196">
      <c r="A196" t="inlineStr">
        <is>
          <t>Cooking Utensils</t>
        </is>
      </c>
      <c r="BO196" t="inlineStr">
        <is>
          <t>Codeine phosphate</t>
        </is>
      </c>
      <c r="BP196" t="inlineStr">
        <is>
          <t>Saint Martin</t>
        </is>
      </c>
    </row>
    <row r="197">
      <c r="A197" t="inlineStr">
        <is>
          <t>Toilet Seats</t>
        </is>
      </c>
      <c r="BO197" t="inlineStr">
        <is>
          <t>Coke oven emissions</t>
        </is>
      </c>
      <c r="BP197" t="inlineStr">
        <is>
          <t>Saint Pierre and Miquelon</t>
        </is>
      </c>
    </row>
    <row r="198">
      <c r="A198" t="inlineStr">
        <is>
          <t>Birdhouses</t>
        </is>
      </c>
      <c r="BO198" t="inlineStr">
        <is>
          <t>Colchicine</t>
        </is>
      </c>
      <c r="BP198" t="inlineStr">
        <is>
          <t>Saint Vincent and the Grenadines</t>
        </is>
      </c>
    </row>
    <row r="199">
      <c r="A199" t="inlineStr">
        <is>
          <t>Coolers</t>
        </is>
      </c>
      <c r="BO199" t="inlineStr">
        <is>
          <t>Conjugated estrogens</t>
        </is>
      </c>
      <c r="BP199" t="inlineStr">
        <is>
          <t>Samoa</t>
        </is>
      </c>
    </row>
    <row r="200">
      <c r="A200" t="inlineStr">
        <is>
          <t>Play Kitchen Sets</t>
        </is>
      </c>
      <c r="BO200" t="inlineStr">
        <is>
          <t>Creosotes</t>
        </is>
      </c>
      <c r="BP200" t="inlineStr">
        <is>
          <t>San Marino</t>
        </is>
      </c>
    </row>
    <row r="201">
      <c r="A201" t="inlineStr">
        <is>
          <t>Cookware Sets</t>
        </is>
      </c>
      <c r="BO201" t="inlineStr">
        <is>
          <t>p-Cresidine</t>
        </is>
      </c>
      <c r="BP201" t="inlineStr">
        <is>
          <t>Sao Tome and Principe</t>
        </is>
      </c>
    </row>
    <row r="202">
      <c r="A202" t="inlineStr">
        <is>
          <t>Roasting Pans</t>
        </is>
      </c>
      <c r="BO202" t="inlineStr">
        <is>
          <t>Cumene</t>
        </is>
      </c>
      <c r="BP202" t="inlineStr">
        <is>
          <t>Saudi Arabia</t>
        </is>
      </c>
    </row>
    <row r="203">
      <c r="A203" t="inlineStr">
        <is>
          <t>Bed Frames</t>
        </is>
      </c>
      <c r="BO203" t="inlineStr">
        <is>
          <t>Cupferron</t>
        </is>
      </c>
      <c r="BP203" t="inlineStr">
        <is>
          <t>Senegal</t>
        </is>
      </c>
    </row>
    <row r="204">
      <c r="A204" t="inlineStr">
        <is>
          <t>Saucepans And Sauciers</t>
        </is>
      </c>
      <c r="BO204" t="inlineStr">
        <is>
          <t>Cyanazine</t>
        </is>
      </c>
      <c r="BP204" t="inlineStr">
        <is>
          <t>Serbia</t>
        </is>
      </c>
    </row>
    <row r="205">
      <c r="A205" t="inlineStr">
        <is>
          <t>Mobiles</t>
        </is>
      </c>
      <c r="BO205" t="inlineStr">
        <is>
          <t>Cycasin</t>
        </is>
      </c>
      <c r="BP205" t="inlineStr">
        <is>
          <t>Seychelles</t>
        </is>
      </c>
    </row>
    <row r="206">
      <c r="A206" t="inlineStr">
        <is>
          <t>Stock Pots, Soup Pots and Multi-Pots</t>
        </is>
      </c>
      <c r="BO206" t="inlineStr">
        <is>
          <t>Cycloate</t>
        </is>
      </c>
      <c r="BP206" t="inlineStr">
        <is>
          <t>Sierra Leone</t>
        </is>
      </c>
    </row>
    <row r="207">
      <c r="A207" t="inlineStr">
        <is>
          <t>Dutch Ovens &amp; Braisers</t>
        </is>
      </c>
      <c r="BO207" t="inlineStr">
        <is>
          <t>Cycloheximide</t>
        </is>
      </c>
      <c r="BP207" t="inlineStr">
        <is>
          <t>Singapore</t>
        </is>
      </c>
    </row>
    <row r="208">
      <c r="A208" t="inlineStr">
        <is>
          <t>Skillets &amp; Fry Pans</t>
        </is>
      </c>
      <c r="BO208" t="inlineStr">
        <is>
          <t>Cyclopenta[cd]pyrene</t>
        </is>
      </c>
      <c r="BP208" t="inlineStr">
        <is>
          <t>Slovakia</t>
        </is>
      </c>
    </row>
    <row r="209">
      <c r="A209" t="inlineStr">
        <is>
          <t>Fondue Sets</t>
        </is>
      </c>
      <c r="BO209" t="inlineStr">
        <is>
          <t>Cyclophosphamide (anhydrous)</t>
        </is>
      </c>
      <c r="BP209" t="inlineStr">
        <is>
          <t>Slovenia</t>
        </is>
      </c>
    </row>
    <row r="210">
      <c r="A210" t="inlineStr">
        <is>
          <t>Dinnerware Sets &amp; Place Settings</t>
        </is>
      </c>
      <c r="BO210" t="inlineStr">
        <is>
          <t>Cyclophosphamide (hydrated)</t>
        </is>
      </c>
      <c r="BP210" t="inlineStr">
        <is>
          <t>Solomon Islands</t>
        </is>
      </c>
    </row>
    <row r="211">
      <c r="A211" t="inlineStr">
        <is>
          <t>Waterbeds</t>
        </is>
      </c>
      <c r="BO211" t="inlineStr">
        <is>
          <t>Cyhexatin</t>
        </is>
      </c>
      <c r="BP211" t="inlineStr">
        <is>
          <t>Somalia</t>
        </is>
      </c>
    </row>
    <row r="212">
      <c r="A212" t="inlineStr">
        <is>
          <t>Waterbed Parts And Accessories</t>
        </is>
      </c>
      <c r="BO212" t="inlineStr">
        <is>
          <t>Cytarabine</t>
        </is>
      </c>
      <c r="BP212" t="inlineStr">
        <is>
          <t>South Africa</t>
        </is>
      </c>
    </row>
    <row r="213">
      <c r="A213" t="inlineStr">
        <is>
          <t>Slipcovers</t>
        </is>
      </c>
      <c r="BO213" t="inlineStr">
        <is>
          <t>Cytembena</t>
        </is>
      </c>
      <c r="BP213" t="inlineStr">
        <is>
          <t>South Georgia and the South Sandwich Islands</t>
        </is>
      </c>
    </row>
    <row r="214">
      <c r="A214" t="inlineStr">
        <is>
          <t>Under Cabinet Lighting</t>
        </is>
      </c>
      <c r="BO214" t="inlineStr">
        <is>
          <t>D&amp;C Orange No. 17</t>
        </is>
      </c>
      <c r="BP214" t="inlineStr">
        <is>
          <t>Spain</t>
        </is>
      </c>
    </row>
    <row r="215">
      <c r="A215" t="inlineStr">
        <is>
          <t>Bidet Faucets</t>
        </is>
      </c>
      <c r="BO215" t="inlineStr">
        <is>
          <t>D&amp;C Red No. 8</t>
        </is>
      </c>
      <c r="BP215" t="inlineStr">
        <is>
          <t>Sri Lanka</t>
        </is>
      </c>
    </row>
    <row r="216">
      <c r="A216" t="inlineStr">
        <is>
          <t>Recliners</t>
        </is>
      </c>
      <c r="BO216" t="inlineStr">
        <is>
          <t>D&amp;C Red No. 9</t>
        </is>
      </c>
      <c r="BP216" t="inlineStr">
        <is>
          <t>Sudan</t>
        </is>
      </c>
    </row>
    <row r="217">
      <c r="A217" t="inlineStr">
        <is>
          <t>Specialty Faucets</t>
        </is>
      </c>
      <c r="BO217" t="inlineStr">
        <is>
          <t>D&amp;C Red No. 19</t>
        </is>
      </c>
      <c r="BP217" t="inlineStr">
        <is>
          <t>Suriname</t>
        </is>
      </c>
    </row>
    <row r="218">
      <c r="A218" t="inlineStr">
        <is>
          <t>Urinals</t>
        </is>
      </c>
      <c r="BO218" t="inlineStr">
        <is>
          <t>Dacarbazine</t>
        </is>
      </c>
      <c r="BP218" t="inlineStr">
        <is>
          <t>Svalbard and Jan Mayen</t>
        </is>
      </c>
    </row>
    <row r="219">
      <c r="A219" t="inlineStr">
        <is>
          <t>Bidets</t>
        </is>
      </c>
      <c r="BO219" t="inlineStr">
        <is>
          <t>Daminozide</t>
        </is>
      </c>
      <c r="BP219" t="inlineStr">
        <is>
          <t>Swaziland</t>
        </is>
      </c>
    </row>
    <row r="220">
      <c r="A220" t="inlineStr">
        <is>
          <t>Blenders, Smoothie Makers &amp; Accessories</t>
        </is>
      </c>
      <c r="BO220" t="inlineStr">
        <is>
          <t>Danazol</t>
        </is>
      </c>
      <c r="BP220" t="inlineStr">
        <is>
          <t>Sweden</t>
        </is>
      </c>
    </row>
    <row r="221">
      <c r="A221" t="inlineStr">
        <is>
          <t>Mixers &amp; Mixer Accessories</t>
        </is>
      </c>
      <c r="BO221" t="inlineStr">
        <is>
          <t>Dantron (Chrysazin; 1,8-Dihydroxyanthraquinone)</t>
        </is>
      </c>
      <c r="BP221" t="inlineStr">
        <is>
          <t>Switzerland</t>
        </is>
      </c>
    </row>
    <row r="222">
      <c r="A222" t="inlineStr">
        <is>
          <t>Patio Umbrella Stands &amp; Bases</t>
        </is>
      </c>
      <c r="BO222" t="inlineStr">
        <is>
          <t>Daunomycin</t>
        </is>
      </c>
      <c r="BP222" t="inlineStr">
        <is>
          <t>Syrian Arab Republic</t>
        </is>
      </c>
    </row>
    <row r="223">
      <c r="A223" t="inlineStr">
        <is>
          <t>Food Processors</t>
        </is>
      </c>
      <c r="BO223" t="inlineStr">
        <is>
          <t xml:space="preserve">Daunorubicin hydrochloride </t>
        </is>
      </c>
      <c r="BP223" t="inlineStr">
        <is>
          <t>Taiwan</t>
        </is>
      </c>
    </row>
    <row r="224">
      <c r="A224" t="inlineStr">
        <is>
          <t>Ice Cream Makers &amp; Yogurt Makers</t>
        </is>
      </c>
      <c r="BO224" t="inlineStr">
        <is>
          <t>2,4-D butyric acid</t>
        </is>
      </c>
      <c r="BP224" t="inlineStr">
        <is>
          <t>Tajikistan</t>
        </is>
      </c>
    </row>
    <row r="225">
      <c r="A225" t="inlineStr">
        <is>
          <t>Slow Cookers</t>
        </is>
      </c>
      <c r="BO225" t="inlineStr">
        <is>
          <t>DDD (Dichlorodiphenyl-dichloroethane)</t>
        </is>
      </c>
      <c r="BP225" t="inlineStr">
        <is>
          <t>Tanzania, United Republic of</t>
        </is>
      </c>
    </row>
    <row r="226">
      <c r="A226" t="inlineStr">
        <is>
          <t>Food Dehydrators</t>
        </is>
      </c>
      <c r="BO226" t="inlineStr">
        <is>
          <t>DDE (Dichlorodiphenyl-dichloroethylene)</t>
        </is>
      </c>
      <c r="BP226" t="inlineStr">
        <is>
          <t>Thailand</t>
        </is>
      </c>
    </row>
    <row r="227">
      <c r="A227" t="inlineStr">
        <is>
          <t>Vacuum Food Sealers</t>
        </is>
      </c>
      <c r="BO227" t="inlineStr">
        <is>
          <t>DDT (Dichlorodiphenyl-trichloroethane)</t>
        </is>
      </c>
      <c r="BP227" t="inlineStr">
        <is>
          <t>Timor-Leste</t>
        </is>
      </c>
    </row>
    <row r="228">
      <c r="A228" t="inlineStr">
        <is>
          <t>Electric Grills &amp; Skillets</t>
        </is>
      </c>
      <c r="BO228" t="inlineStr">
        <is>
          <t>o,p'-DDT</t>
        </is>
      </c>
      <c r="BP228" t="inlineStr">
        <is>
          <t>Togo</t>
        </is>
      </c>
    </row>
    <row r="229">
      <c r="A229" t="inlineStr">
        <is>
          <t>Garbage Disposals</t>
        </is>
      </c>
      <c r="BO229" t="inlineStr">
        <is>
          <t>p,p'-DDT</t>
        </is>
      </c>
      <c r="BP229" t="inlineStr">
        <is>
          <t>Tokelau</t>
        </is>
      </c>
    </row>
    <row r="230">
      <c r="A230" t="inlineStr">
        <is>
          <t>Juicers</t>
        </is>
      </c>
      <c r="BO230" t="inlineStr">
        <is>
          <t>DDVP (Dichlorvos)</t>
        </is>
      </c>
      <c r="BP230" t="inlineStr">
        <is>
          <t>Tonga</t>
        </is>
      </c>
    </row>
    <row r="231">
      <c r="A231" t="inlineStr">
        <is>
          <t>Irons, Garment Steamers &amp; Hair Tools</t>
        </is>
      </c>
      <c r="BO231" t="inlineStr">
        <is>
          <t>Demeclocycline hydrochloride (internal use)</t>
        </is>
      </c>
      <c r="BP231" t="inlineStr">
        <is>
          <t>Trinidad and Tobago</t>
        </is>
      </c>
    </row>
    <row r="232">
      <c r="A232" t="inlineStr">
        <is>
          <t>Strainers, Colanders, &amp; Salad Spinners</t>
        </is>
      </c>
      <c r="BO232" t="inlineStr">
        <is>
          <t>Des-ethyl atrazine (DEA)</t>
        </is>
      </c>
      <c r="BP232" t="inlineStr">
        <is>
          <t>Tunisia</t>
        </is>
      </c>
    </row>
    <row r="233">
      <c r="A233" t="inlineStr">
        <is>
          <t>Pasta Makers &amp; Accessories</t>
        </is>
      </c>
      <c r="BO233" t="inlineStr">
        <is>
          <t>Des-isopropyl atrazine (DIA)</t>
        </is>
      </c>
      <c r="BP233" t="inlineStr">
        <is>
          <t>Turkey</t>
        </is>
      </c>
    </row>
    <row r="234">
      <c r="A234" t="inlineStr">
        <is>
          <t>Can Openers</t>
        </is>
      </c>
      <c r="BO234" t="inlineStr">
        <is>
          <t>N,N'-Diacetylbenzidine</t>
        </is>
      </c>
      <c r="BP234" t="inlineStr">
        <is>
          <t>Turkmenistan</t>
        </is>
      </c>
    </row>
    <row r="235">
      <c r="A235" t="inlineStr">
        <is>
          <t>Popcorn Machines / Nut Roasters</t>
        </is>
      </c>
      <c r="BO235" t="inlineStr">
        <is>
          <t>2,4-Diaminoanisole</t>
        </is>
      </c>
      <c r="BP235" t="inlineStr">
        <is>
          <t>Turks and Caicos Islands</t>
        </is>
      </c>
    </row>
    <row r="236">
      <c r="A236" t="inlineStr">
        <is>
          <t>Air Fryers</t>
        </is>
      </c>
      <c r="BO236" t="inlineStr">
        <is>
          <t>2,4-Diaminoanisole sulfate</t>
        </is>
      </c>
      <c r="BP236" t="inlineStr">
        <is>
          <t>Tuvalu</t>
        </is>
      </c>
    </row>
    <row r="237">
      <c r="A237" t="inlineStr">
        <is>
          <t>Timers</t>
        </is>
      </c>
      <c r="BO237" t="inlineStr">
        <is>
          <t>2,4-Diamino-6-chloro-s-triazine (DACT)</t>
        </is>
      </c>
      <c r="BP237" t="inlineStr">
        <is>
          <t>Uganda</t>
        </is>
      </c>
    </row>
    <row r="238">
      <c r="A238" t="inlineStr">
        <is>
          <t>Burners &amp; Hot Plates</t>
        </is>
      </c>
      <c r="BO238" t="inlineStr">
        <is>
          <t>4,4'-Diaminodiphenyl ether (4,4'-Oxydianiline)</t>
        </is>
      </c>
      <c r="BP238" t="inlineStr">
        <is>
          <t>Ukraine</t>
        </is>
      </c>
    </row>
    <row r="239">
      <c r="A239" t="inlineStr">
        <is>
          <t>Mops &amp; Mop Accessories</t>
        </is>
      </c>
      <c r="BO239" t="inlineStr">
        <is>
          <t>2,4-Diaminotoluene</t>
        </is>
      </c>
      <c r="BP239" t="inlineStr">
        <is>
          <t>United Arab Emirates</t>
        </is>
      </c>
    </row>
    <row r="240">
      <c r="A240" t="inlineStr">
        <is>
          <t>Hammock Stands and Accessories</t>
        </is>
      </c>
      <c r="BO240" t="inlineStr">
        <is>
          <t>Diazepam</t>
        </is>
      </c>
      <c r="BP240" t="inlineStr">
        <is>
          <t>United Kingdom</t>
        </is>
      </c>
    </row>
    <row r="241">
      <c r="A241" t="inlineStr">
        <is>
          <t>Waffle, Pizzelle &amp; Crepe Makers</t>
        </is>
      </c>
      <c r="BO241" t="inlineStr">
        <is>
          <t>Diazoaminobenzene</t>
        </is>
      </c>
      <c r="BP241" t="inlineStr">
        <is>
          <t>United States Minor Outlying Islands</t>
        </is>
      </c>
    </row>
    <row r="242">
      <c r="A242" t="inlineStr">
        <is>
          <t>Cradle &amp; Bassinet Bedding</t>
        </is>
      </c>
      <c r="BO242" t="inlineStr">
        <is>
          <t>Diazoxide</t>
        </is>
      </c>
      <c r="BP242" t="inlineStr">
        <is>
          <t>Uruguay</t>
        </is>
      </c>
    </row>
    <row r="243">
      <c r="A243" t="inlineStr">
        <is>
          <t>Toddler Bedding</t>
        </is>
      </c>
      <c r="BO243" t="inlineStr">
        <is>
          <t>Dibenz[a,h]acridine</t>
        </is>
      </c>
      <c r="BP243" t="inlineStr">
        <is>
          <t>Uzbekistan</t>
        </is>
      </c>
    </row>
    <row r="244">
      <c r="A244" t="inlineStr">
        <is>
          <t>Crib Bedding Sets</t>
        </is>
      </c>
      <c r="BO244" t="inlineStr">
        <is>
          <t>Dibenz[a,j]acridine</t>
        </is>
      </c>
      <c r="BP244" t="inlineStr">
        <is>
          <t>Vanuatu</t>
        </is>
      </c>
    </row>
    <row r="245">
      <c r="A245" t="inlineStr">
        <is>
          <t>Training Tables</t>
        </is>
      </c>
      <c r="BO245" t="inlineStr">
        <is>
          <t>Dibenzanthracenes</t>
        </is>
      </c>
      <c r="BP245" t="inlineStr">
        <is>
          <t>Venezuela</t>
        </is>
      </c>
    </row>
    <row r="246">
      <c r="A246" t="inlineStr">
        <is>
          <t>Game Chairs</t>
        </is>
      </c>
      <c r="BO246" t="inlineStr">
        <is>
          <t>Dibenz[a,c]anthracene</t>
        </is>
      </c>
      <c r="BP246" t="inlineStr">
        <is>
          <t>Vietnam</t>
        </is>
      </c>
    </row>
    <row r="247">
      <c r="A247" t="inlineStr">
        <is>
          <t>Vacuums &amp; Steamers</t>
        </is>
      </c>
      <c r="BO247" t="inlineStr">
        <is>
          <t>Dibenz[a,h]anthracene</t>
        </is>
      </c>
      <c r="BP247" t="inlineStr">
        <is>
          <t>Virgin Islands, British</t>
        </is>
      </c>
    </row>
    <row r="248">
      <c r="A248" t="inlineStr">
        <is>
          <t>Ergonomic Accessories</t>
        </is>
      </c>
      <c r="BO248" t="inlineStr">
        <is>
          <t>Dibenz[a,j]anthracene</t>
        </is>
      </c>
      <c r="BP248" t="inlineStr">
        <is>
          <t>Virgin Islands, U.S.</t>
        </is>
      </c>
    </row>
    <row r="249">
      <c r="A249" t="inlineStr">
        <is>
          <t>Crib Mattresses</t>
        </is>
      </c>
      <c r="BO249" t="inlineStr">
        <is>
          <t>7H-Dibenzo[c,g]carbazole</t>
        </is>
      </c>
      <c r="BP249" t="inlineStr">
        <is>
          <t>Wallis and Futuna</t>
        </is>
      </c>
    </row>
    <row r="250">
      <c r="A250" t="inlineStr">
        <is>
          <t>Drinking Fountains</t>
        </is>
      </c>
      <c r="BO250" t="inlineStr">
        <is>
          <t>Dibenzo[a,e]pyrene</t>
        </is>
      </c>
      <c r="BP250" t="inlineStr">
        <is>
          <t>Western Sahara</t>
        </is>
      </c>
    </row>
    <row r="251">
      <c r="A251" t="inlineStr">
        <is>
          <t>Utility Sinks</t>
        </is>
      </c>
      <c r="BO251" t="inlineStr">
        <is>
          <t>Dibenzo[a,h]pyrene</t>
        </is>
      </c>
      <c r="BP251" t="inlineStr">
        <is>
          <t>Yemen</t>
        </is>
      </c>
    </row>
    <row r="252">
      <c r="A252" t="inlineStr">
        <is>
          <t>Fountain Accessories</t>
        </is>
      </c>
      <c r="BO252" t="inlineStr">
        <is>
          <t>Dibenzo[a,i]pyrene</t>
        </is>
      </c>
      <c r="BP252" t="inlineStr">
        <is>
          <t>Zambia</t>
        </is>
      </c>
    </row>
    <row r="253">
      <c r="A253" t="inlineStr">
        <is>
          <t>Refrigerators</t>
        </is>
      </c>
      <c r="BO253" t="inlineStr">
        <is>
          <t>Dibenzo[a,l]pyrene</t>
        </is>
      </c>
      <c r="BP253" t="inlineStr">
        <is>
          <t>Zimbabwe</t>
        </is>
      </c>
    </row>
    <row r="254">
      <c r="A254" t="inlineStr">
        <is>
          <t>Swing Sets &amp; Playgrounds</t>
        </is>
      </c>
      <c r="BO254" t="inlineStr">
        <is>
          <t>Dibromoacetic acid</t>
        </is>
      </c>
      <c r="BP254" t="inlineStr">
        <is>
          <t>United States - APO/FPO/DPO</t>
        </is>
      </c>
    </row>
    <row r="255">
      <c r="A255" t="inlineStr">
        <is>
          <t>Swing Set Accessories</t>
        </is>
      </c>
      <c r="BO255" t="inlineStr">
        <is>
          <t>Dibromoacetonitrile</t>
        </is>
      </c>
    </row>
    <row r="256">
      <c r="A256" t="inlineStr">
        <is>
          <t>Toaster Ovens</t>
        </is>
      </c>
      <c r="BO256" t="inlineStr">
        <is>
          <t>2,3-Dibromo-1-propanol</t>
        </is>
      </c>
    </row>
    <row r="257">
      <c r="A257" t="inlineStr">
        <is>
          <t>Slides</t>
        </is>
      </c>
      <c r="BO257" t="inlineStr">
        <is>
          <t>Dichloroacetic acid</t>
        </is>
      </c>
    </row>
    <row r="258">
      <c r="A258" t="inlineStr">
        <is>
          <t>Coffee Makers</t>
        </is>
      </c>
      <c r="BO258" t="inlineStr">
        <is>
          <t>p-Dichlorobenzene</t>
        </is>
      </c>
    </row>
    <row r="259">
      <c r="A259" t="inlineStr">
        <is>
          <t>Indoor Gardening</t>
        </is>
      </c>
      <c r="BO259" t="inlineStr">
        <is>
          <t>3,3'-Dichlorobenzidine</t>
        </is>
      </c>
    </row>
    <row r="260">
      <c r="A260" t="inlineStr">
        <is>
          <t>Wine Refrigerators</t>
        </is>
      </c>
      <c r="BO260" t="inlineStr">
        <is>
          <t>3,3'-Dichlorobenzidine dihydrochloride</t>
        </is>
      </c>
    </row>
    <row r="261">
      <c r="A261" t="inlineStr">
        <is>
          <t>Microwaves</t>
        </is>
      </c>
      <c r="BO261" t="inlineStr">
        <is>
          <t>1,1-Dichloro-2,2-bis(p-chloropheny)ethylene (DDE)</t>
        </is>
      </c>
    </row>
    <row r="262">
      <c r="A262" t="inlineStr">
        <is>
          <t>Cabinet Organization</t>
        </is>
      </c>
      <c r="BO262" t="inlineStr">
        <is>
          <t>1,4-Dichloro-2-butene</t>
        </is>
      </c>
    </row>
    <row r="263">
      <c r="A263" t="inlineStr">
        <is>
          <t>Teeter-Totters &amp; Seesaws</t>
        </is>
      </c>
      <c r="BO263" t="inlineStr">
        <is>
          <t>3,3'-Dichloro-4,4'-diamino-diphenyl ether</t>
        </is>
      </c>
    </row>
    <row r="264">
      <c r="A264" t="inlineStr">
        <is>
          <t>Sandboxes &amp; Sand Toys</t>
        </is>
      </c>
      <c r="BO264" t="inlineStr">
        <is>
          <t>1,1-Dichloroethane</t>
        </is>
      </c>
    </row>
    <row r="265">
      <c r="A265" t="inlineStr">
        <is>
          <t>Commercial Playground Equipment</t>
        </is>
      </c>
      <c r="BO265" t="inlineStr">
        <is>
          <t>Dichloromethane (Methylene chloride)</t>
        </is>
      </c>
    </row>
    <row r="266">
      <c r="A266" t="inlineStr">
        <is>
          <t>Indoor Chaise Lounges</t>
        </is>
      </c>
      <c r="BO266" t="inlineStr">
        <is>
          <t>Dichlorophene</t>
        </is>
      </c>
    </row>
    <row r="267">
      <c r="A267" t="inlineStr">
        <is>
          <t>Espresso Machines</t>
        </is>
      </c>
      <c r="BO267" t="inlineStr">
        <is>
          <t>Dichlorphenamide</t>
        </is>
      </c>
    </row>
    <row r="268">
      <c r="A268" t="inlineStr">
        <is>
          <t>Dog Beds &amp; Mats</t>
        </is>
      </c>
      <c r="BO268" t="inlineStr">
        <is>
          <t>1,2-Dichloropropane</t>
        </is>
      </c>
    </row>
    <row r="269">
      <c r="A269" t="inlineStr">
        <is>
          <t>Open Stock Knives and Kitchen Scissors</t>
        </is>
      </c>
      <c r="BO269" t="inlineStr">
        <is>
          <t>1,3-Dichloro-2-propanol (1,3-DCP)</t>
        </is>
      </c>
    </row>
    <row r="270">
      <c r="A270" t="inlineStr">
        <is>
          <t>Flatware &amp; Silverware Single Pieces</t>
        </is>
      </c>
      <c r="BO270" t="inlineStr">
        <is>
          <t>1,3-Dichloropropene</t>
        </is>
      </c>
    </row>
    <row r="271">
      <c r="A271" t="inlineStr">
        <is>
          <t>Vehicle Covers</t>
        </is>
      </c>
      <c r="BO271" t="inlineStr">
        <is>
          <t>Dicumarol</t>
        </is>
      </c>
    </row>
    <row r="272">
      <c r="A272" t="inlineStr">
        <is>
          <t>Desk Parts</t>
        </is>
      </c>
      <c r="BO272" t="inlineStr">
        <is>
          <t>Dieldrin</t>
        </is>
      </c>
    </row>
    <row r="273">
      <c r="A273" t="inlineStr">
        <is>
          <t>Safety Gates</t>
        </is>
      </c>
      <c r="BO273" t="inlineStr">
        <is>
          <t>Diepoxybutane</t>
        </is>
      </c>
    </row>
    <row r="274">
      <c r="A274" t="inlineStr">
        <is>
          <t>Steam</t>
        </is>
      </c>
      <c r="BO274" t="inlineStr">
        <is>
          <t>Diesel engine exhaust</t>
        </is>
      </c>
    </row>
    <row r="275">
      <c r="A275" t="inlineStr">
        <is>
          <t>Chocolate And Beverage Fountains</t>
        </is>
      </c>
      <c r="BO275" t="inlineStr">
        <is>
          <t>Diethanolamine</t>
        </is>
      </c>
    </row>
    <row r="276">
      <c r="A276" t="inlineStr">
        <is>
          <t>Bread Machines</t>
        </is>
      </c>
      <c r="BO276" t="inlineStr">
        <is>
          <t>Di(2-ethylhexyl)phthalate (DEHP)</t>
        </is>
      </c>
    </row>
    <row r="277">
      <c r="A277" t="inlineStr">
        <is>
          <t>Coffee Grinders</t>
        </is>
      </c>
      <c r="BO277" t="inlineStr">
        <is>
          <t>1,2-Diethylhydrazine</t>
        </is>
      </c>
    </row>
    <row r="278">
      <c r="A278" t="inlineStr">
        <is>
          <t>Milk Frothers</t>
        </is>
      </c>
      <c r="BO278" t="inlineStr">
        <is>
          <t>Diethylstilbestrol (DES)</t>
        </is>
      </c>
    </row>
    <row r="279">
      <c r="A279" t="inlineStr">
        <is>
          <t>Coffee &amp; Espresso Accessories</t>
        </is>
      </c>
      <c r="BO279" t="inlineStr">
        <is>
          <t>Diethyl sulfate</t>
        </is>
      </c>
    </row>
    <row r="280">
      <c r="A280" t="inlineStr">
        <is>
          <t>Snow Cone Machines &amp; Ice Crushers</t>
        </is>
      </c>
      <c r="BO280" t="inlineStr">
        <is>
          <t>Diflunisal</t>
        </is>
      </c>
    </row>
    <row r="281">
      <c r="A281" t="inlineStr">
        <is>
          <t>Garage Floors</t>
        </is>
      </c>
      <c r="BO281" t="inlineStr">
        <is>
          <t>Diglycidyl resorcinol ether (DGRE)</t>
        </is>
      </c>
    </row>
    <row r="282">
      <c r="A282" t="inlineStr">
        <is>
          <t>Futons</t>
        </is>
      </c>
      <c r="BO282" t="inlineStr">
        <is>
          <t xml:space="preserve">Dihydroergotamine mesylate </t>
        </is>
      </c>
    </row>
    <row r="283">
      <c r="A283" t="inlineStr">
        <is>
          <t>Fire Pit &amp; Chiminea Accessories</t>
        </is>
      </c>
      <c r="BO283" t="inlineStr">
        <is>
          <t>Dihydrosafrole</t>
        </is>
      </c>
    </row>
    <row r="284">
      <c r="A284" t="inlineStr">
        <is>
          <t>Knife Sharpeners</t>
        </is>
      </c>
      <c r="BO284" t="inlineStr">
        <is>
          <t>Diisononyl phthalate (DINP)</t>
        </is>
      </c>
    </row>
    <row r="285">
      <c r="A285" t="inlineStr">
        <is>
          <t>Electric Knives</t>
        </is>
      </c>
      <c r="BO285" t="inlineStr">
        <is>
          <t>Diisopropyl sulfate</t>
        </is>
      </c>
    </row>
    <row r="286">
      <c r="A286" t="inlineStr">
        <is>
          <t>Water Coolers &amp; Dispensers</t>
        </is>
      </c>
      <c r="BO286" t="inlineStr">
        <is>
          <t>Diltiazem hydrochloride</t>
        </is>
      </c>
    </row>
    <row r="287">
      <c r="A287" t="inlineStr">
        <is>
          <t>Kegerators</t>
        </is>
      </c>
      <c r="BO287" t="inlineStr">
        <is>
          <t>3,3'-Dimethoxybenzidine (o-Dianisidine)</t>
        </is>
      </c>
    </row>
    <row r="288">
      <c r="A288" t="inlineStr">
        <is>
          <t>Lids &amp; Covers</t>
        </is>
      </c>
      <c r="BO288" t="inlineStr">
        <is>
          <t>3,3'-Dimethoxybenzidine dihydrochloride</t>
        </is>
      </c>
    </row>
    <row r="289">
      <c r="A289" t="inlineStr">
        <is>
          <t>Poachers</t>
        </is>
      </c>
      <c r="BO289" t="inlineStr">
        <is>
          <t>3,3'-Dimethoxybenzidine-based dyes metabolized to 3,3'-dimethoxybenzidine</t>
        </is>
      </c>
    </row>
    <row r="290">
      <c r="A290" t="inlineStr">
        <is>
          <t>Bar &amp; Wine Tools</t>
        </is>
      </c>
      <c r="BO290" t="inlineStr">
        <is>
          <t>N,N-Dimethylacetamide</t>
        </is>
      </c>
    </row>
    <row r="291">
      <c r="A291" t="inlineStr">
        <is>
          <t>Space Heaters</t>
        </is>
      </c>
      <c r="BO291" t="inlineStr">
        <is>
          <t>4-Dimethylaminoazobenzene</t>
        </is>
      </c>
    </row>
    <row r="292">
      <c r="A292" t="inlineStr">
        <is>
          <t>Christmas Trees</t>
        </is>
      </c>
      <c r="BO292" t="inlineStr">
        <is>
          <t>trans-2-[(Dimethylamino)methylimino]-5-[2-(5-nitro-2-furyl)vinyl]-1,3,4-oxadiazole</t>
        </is>
      </c>
    </row>
    <row r="293">
      <c r="A293" t="inlineStr">
        <is>
          <t>Ornaments &amp; Tree Décor</t>
        </is>
      </c>
      <c r="BO293" t="inlineStr">
        <is>
          <t>7,12-Dimethylbenz(a)anthracene</t>
        </is>
      </c>
    </row>
    <row r="294">
      <c r="A294" t="inlineStr">
        <is>
          <t>Outdoor Decorations</t>
        </is>
      </c>
      <c r="BO294" t="inlineStr">
        <is>
          <t>3,3'-Dimethylbenzidine (ortho-Tolidine)</t>
        </is>
      </c>
    </row>
    <row r="295">
      <c r="A295" t="inlineStr">
        <is>
          <t>Holiday Lighting</t>
        </is>
      </c>
      <c r="BO295" t="inlineStr">
        <is>
          <t>3,3'-Dimethylbenzidine-based dyes metabolized to 3,3'-dimethylbenzidine</t>
        </is>
      </c>
    </row>
    <row r="296">
      <c r="A296" t="inlineStr">
        <is>
          <t>Chafing Dishes &amp; Accessories</t>
        </is>
      </c>
      <c r="BO296" t="inlineStr">
        <is>
          <t>3,3'-Dimethylbenzidine dihydrochloride</t>
        </is>
      </c>
    </row>
    <row r="297">
      <c r="A297" t="inlineStr">
        <is>
          <t>Dog and Cat Bowls, Feeders &amp; Accessories</t>
        </is>
      </c>
      <c r="BO297" t="inlineStr">
        <is>
          <t>Dimethylcarbamoyl chloride</t>
        </is>
      </c>
    </row>
    <row r="298">
      <c r="A298" t="inlineStr">
        <is>
          <t>Crates and Carriers</t>
        </is>
      </c>
      <c r="BO298" t="inlineStr">
        <is>
          <t>N,N-Dimethylformamide</t>
        </is>
      </c>
    </row>
    <row r="299">
      <c r="A299" t="inlineStr">
        <is>
          <t>Smokers</t>
        </is>
      </c>
      <c r="BO299" t="inlineStr">
        <is>
          <t>1,1-Dimethylhydrazine (UDMH)</t>
        </is>
      </c>
    </row>
    <row r="300">
      <c r="A300" t="inlineStr">
        <is>
          <t>Christmas Tree Stands &amp; Accessories</t>
        </is>
      </c>
      <c r="BO300" t="inlineStr">
        <is>
          <t>1,2-Dimethylhydrazine</t>
        </is>
      </c>
    </row>
    <row r="301">
      <c r="A301" t="inlineStr">
        <is>
          <t>Garlands &amp; Swag</t>
        </is>
      </c>
      <c r="BO301" t="inlineStr">
        <is>
          <t>2,6-Dimethyl-N-nitrosomorpholine (DMNM)</t>
        </is>
      </c>
    </row>
    <row r="302">
      <c r="A302" t="inlineStr">
        <is>
          <t>Woks</t>
        </is>
      </c>
      <c r="BO302" t="inlineStr">
        <is>
          <t>Dimethyl sulfate</t>
        </is>
      </c>
    </row>
    <row r="303">
      <c r="A303" t="inlineStr">
        <is>
          <t>Ranges</t>
        </is>
      </c>
      <c r="BO303" t="inlineStr">
        <is>
          <t>N,N-Dimethyl-p-toluidine</t>
        </is>
      </c>
    </row>
    <row r="304">
      <c r="A304" t="inlineStr">
        <is>
          <t>Wall Ovens</t>
        </is>
      </c>
      <c r="BO304" t="inlineStr">
        <is>
          <t>Dimethylvinylchloride</t>
        </is>
      </c>
    </row>
    <row r="305">
      <c r="A305" t="inlineStr">
        <is>
          <t>Cooktops</t>
        </is>
      </c>
      <c r="BO305" t="inlineStr">
        <is>
          <t>Di-n-butyl phthalate (DBP)</t>
        </is>
      </c>
    </row>
    <row r="306">
      <c r="A306" t="inlineStr">
        <is>
          <t>Outdoor Sinks &amp; Bar Centers</t>
        </is>
      </c>
      <c r="BO306" t="inlineStr">
        <is>
          <t>3,7-Dinitrofluoranthene</t>
        </is>
      </c>
    </row>
    <row r="307">
      <c r="A307" t="inlineStr">
        <is>
          <t>Pool Tables</t>
        </is>
      </c>
      <c r="BO307" t="inlineStr">
        <is>
          <t>3,9-Dinitrofluoranthene</t>
        </is>
      </c>
    </row>
    <row r="308">
      <c r="A308" t="inlineStr">
        <is>
          <t>Space Heater Accessories</t>
        </is>
      </c>
      <c r="BO308" t="inlineStr">
        <is>
          <t>1,3-Dinitropyrene</t>
        </is>
      </c>
    </row>
    <row r="309">
      <c r="A309" t="inlineStr">
        <is>
          <t>Washing Machines</t>
        </is>
      </c>
      <c r="BO309" t="inlineStr">
        <is>
          <t>1,6-Dinitropyrene</t>
        </is>
      </c>
    </row>
    <row r="310">
      <c r="A310" t="inlineStr">
        <is>
          <t>Flatware &amp; Silverware Sets</t>
        </is>
      </c>
      <c r="BO310" t="inlineStr">
        <is>
          <t>1,8-Dinitropyrene</t>
        </is>
      </c>
    </row>
    <row r="311">
      <c r="A311" t="inlineStr">
        <is>
          <t>Trampolines</t>
        </is>
      </c>
      <c r="BO311" t="inlineStr">
        <is>
          <t>2,4-Dinitrotoluene</t>
        </is>
      </c>
    </row>
    <row r="312">
      <c r="A312" t="inlineStr">
        <is>
          <t>Trampoline Accessories &amp; Parts</t>
        </is>
      </c>
      <c r="BO312" t="inlineStr">
        <is>
          <t>2,6-Dinitrotoluene</t>
        </is>
      </c>
    </row>
    <row r="313">
      <c r="A313" t="inlineStr">
        <is>
          <t>Flatware &amp; Silverware Serving Pieces</t>
        </is>
      </c>
      <c r="BO313" t="inlineStr">
        <is>
          <t>Dinitrotoluene mixture, 2,4-/2,6-</t>
        </is>
      </c>
    </row>
    <row r="314">
      <c r="A314" t="inlineStr">
        <is>
          <t>Picnic Baskets &amp; Coolers</t>
        </is>
      </c>
      <c r="BO314" t="inlineStr">
        <is>
          <t>Dinocap</t>
        </is>
      </c>
    </row>
    <row r="315">
      <c r="A315" t="inlineStr">
        <is>
          <t>Poultry &amp; Meat Preparation Tools</t>
        </is>
      </c>
      <c r="BO315" t="inlineStr">
        <is>
          <t>Dinoseb</t>
        </is>
      </c>
    </row>
    <row r="316">
      <c r="A316" t="inlineStr">
        <is>
          <t>Slicers, Peelers And Graters</t>
        </is>
      </c>
      <c r="BO316" t="inlineStr">
        <is>
          <t>Di-n-propyl isocinchomeronate (MGK Repellent 326)</t>
        </is>
      </c>
    </row>
    <row r="317">
      <c r="A317" t="inlineStr">
        <is>
          <t>Coasters &amp; Trivets</t>
        </is>
      </c>
      <c r="BO317" t="inlineStr">
        <is>
          <t>1,4-Dioxane</t>
        </is>
      </c>
    </row>
    <row r="318">
      <c r="A318" t="inlineStr">
        <is>
          <t>Dartboards And Cabinets</t>
        </is>
      </c>
      <c r="BO318" t="inlineStr">
        <is>
          <t>Diphenylhydantoin (Phenytoin)</t>
        </is>
      </c>
    </row>
    <row r="319">
      <c r="A319" t="inlineStr">
        <is>
          <t>Dishwashers</t>
        </is>
      </c>
      <c r="BO319" t="inlineStr">
        <is>
          <t>Diphenylhydantoin (Phenytoin), sodium salt</t>
        </is>
      </c>
    </row>
    <row r="320">
      <c r="A320" t="inlineStr">
        <is>
          <t>Kitchen Gadgets</t>
        </is>
      </c>
      <c r="BO320" t="inlineStr">
        <is>
          <t>Direct Black 38 (technical grade)</t>
        </is>
      </c>
    </row>
    <row r="321">
      <c r="A321" t="inlineStr">
        <is>
          <t>Pet Strollers</t>
        </is>
      </c>
      <c r="BO321" t="inlineStr">
        <is>
          <t>Direct Blue 6 (technical grade)</t>
        </is>
      </c>
    </row>
    <row r="322">
      <c r="A322" t="inlineStr">
        <is>
          <t>Rolling Pins</t>
        </is>
      </c>
      <c r="BO322" t="inlineStr">
        <is>
          <t>Direct Brown 95 (technical grade)</t>
        </is>
      </c>
    </row>
    <row r="323">
      <c r="A323" t="inlineStr">
        <is>
          <t>Dog Houses</t>
        </is>
      </c>
      <c r="BO323" t="inlineStr">
        <is>
          <t>Disodium cyanodithioimidocarbonate</t>
        </is>
      </c>
    </row>
    <row r="324">
      <c r="A324" t="inlineStr">
        <is>
          <t>Coffee Servers, Airpots &amp; Carafes</t>
        </is>
      </c>
      <c r="BO324" t="inlineStr">
        <is>
          <t>Disperse Blue 1</t>
        </is>
      </c>
    </row>
    <row r="325">
      <c r="A325" t="inlineStr">
        <is>
          <t>Stovetop &amp; Electric Tea Kettles</t>
        </is>
      </c>
      <c r="BO325" t="inlineStr">
        <is>
          <t>Diuron</t>
        </is>
      </c>
    </row>
    <row r="326">
      <c r="A326" t="inlineStr">
        <is>
          <t>Kids Beds</t>
        </is>
      </c>
      <c r="BO326" t="inlineStr">
        <is>
          <t>Doxorubicin hydrochloride (Adriamycin)</t>
        </is>
      </c>
    </row>
    <row r="327">
      <c r="A327" t="inlineStr">
        <is>
          <t>Game Table Accessories</t>
        </is>
      </c>
      <c r="BO327" t="inlineStr">
        <is>
          <t>Doxycycline (internal use)</t>
        </is>
      </c>
    </row>
    <row r="328">
      <c r="A328" t="inlineStr">
        <is>
          <t>Table Tennis Tables</t>
        </is>
      </c>
      <c r="BO328" t="inlineStr">
        <is>
          <t>Doxycycline calcium (internal use)</t>
        </is>
      </c>
    </row>
    <row r="329">
      <c r="A329" t="inlineStr">
        <is>
          <t>Sports Fan Shop Products</t>
        </is>
      </c>
      <c r="BO329" t="inlineStr">
        <is>
          <t>Doxycycline hyclate (internal use)</t>
        </is>
      </c>
    </row>
    <row r="330">
      <c r="A330" t="inlineStr">
        <is>
          <t>Kids Wall Décor</t>
        </is>
      </c>
      <c r="BO330" t="inlineStr">
        <is>
          <t>Doxycycline monohydrate (internal use)</t>
        </is>
      </c>
    </row>
    <row r="331">
      <c r="A331" t="inlineStr">
        <is>
          <t>Hot / Cold Tea Accessories</t>
        </is>
      </c>
      <c r="BO331" t="inlineStr">
        <is>
          <t>Emissions from combustion of coal</t>
        </is>
      </c>
    </row>
    <row r="332">
      <c r="A332" t="inlineStr">
        <is>
          <t>Cat Condos &amp; Cat Trees</t>
        </is>
      </c>
      <c r="BO332" t="inlineStr">
        <is>
          <t>Emissions from high-temperature unrefined rapeseed oil</t>
        </is>
      </c>
    </row>
    <row r="333">
      <c r="A333" t="inlineStr">
        <is>
          <t>Cabinet and Drawer Pulls</t>
        </is>
      </c>
      <c r="BO333" t="inlineStr">
        <is>
          <t>Endrin</t>
        </is>
      </c>
    </row>
    <row r="334">
      <c r="A334" t="inlineStr">
        <is>
          <t>Dryers</t>
        </is>
      </c>
      <c r="BO334" t="inlineStr">
        <is>
          <t>Environmental tobacco smoke (ETS)</t>
        </is>
      </c>
    </row>
    <row r="335">
      <c r="A335" t="inlineStr">
        <is>
          <t>Lawn Games</t>
        </is>
      </c>
      <c r="BO335" t="inlineStr">
        <is>
          <t>Epichlorohydrin</t>
        </is>
      </c>
    </row>
    <row r="336">
      <c r="A336" t="inlineStr">
        <is>
          <t>Bird Cages</t>
        </is>
      </c>
      <c r="BO336" t="inlineStr">
        <is>
          <t>Epoxiconazole</t>
        </is>
      </c>
    </row>
    <row r="337">
      <c r="A337" t="inlineStr">
        <is>
          <t>Cat Litter Boxes &amp; Litter Box Enclosures</t>
        </is>
      </c>
      <c r="BO337" t="inlineStr">
        <is>
          <t>Ergotamine tartrate</t>
        </is>
      </c>
    </row>
    <row r="338">
      <c r="A338" t="inlineStr">
        <is>
          <t>Pet Ramps &amp; Stairs</t>
        </is>
      </c>
      <c r="BO338" t="inlineStr">
        <is>
          <t>Estradiol 17B</t>
        </is>
      </c>
    </row>
    <row r="339">
      <c r="A339" t="inlineStr">
        <is>
          <t>Freezers</t>
        </is>
      </c>
      <c r="BO339" t="inlineStr">
        <is>
          <t>Estragole</t>
        </is>
      </c>
    </row>
    <row r="340">
      <c r="A340" t="inlineStr">
        <is>
          <t>Decorative Objects</t>
        </is>
      </c>
      <c r="BO340" t="inlineStr">
        <is>
          <t>Estrogens, steroidal</t>
        </is>
      </c>
    </row>
    <row r="341">
      <c r="A341" t="inlineStr">
        <is>
          <t>Ice Makers</t>
        </is>
      </c>
      <c r="BO341" t="inlineStr">
        <is>
          <t>Estrogen-progestogen (combined) used as menopausal therapy</t>
        </is>
      </c>
    </row>
    <row r="342">
      <c r="A342" t="inlineStr">
        <is>
          <t>Stanchions</t>
        </is>
      </c>
      <c r="BO342" t="inlineStr">
        <is>
          <t>Estrone</t>
        </is>
      </c>
    </row>
    <row r="343">
      <c r="A343" t="inlineStr">
        <is>
          <t>Pizza Stones, Pans &amp; Peels</t>
        </is>
      </c>
      <c r="BO343" t="inlineStr">
        <is>
          <t>Estropipate</t>
        </is>
      </c>
    </row>
    <row r="344">
      <c r="A344" t="inlineStr">
        <is>
          <t>Bed Skirts</t>
        </is>
      </c>
      <c r="BO344" t="inlineStr">
        <is>
          <t>Ethanol in alcoholic beverages</t>
        </is>
      </c>
    </row>
    <row r="345">
      <c r="A345" t="inlineStr">
        <is>
          <t>Standard Bed Pillow</t>
        </is>
      </c>
      <c r="BO345" t="inlineStr">
        <is>
          <t>Ethinylestradiol</t>
        </is>
      </c>
    </row>
    <row r="346">
      <c r="A346" t="inlineStr">
        <is>
          <t>Bedding Sets</t>
        </is>
      </c>
      <c r="BO346" t="inlineStr">
        <is>
          <t>Ethionamide</t>
        </is>
      </c>
    </row>
    <row r="347">
      <c r="A347" t="inlineStr">
        <is>
          <t>Candles</t>
        </is>
      </c>
      <c r="BO347" t="inlineStr">
        <is>
          <t>Ethoprop</t>
        </is>
      </c>
    </row>
    <row r="348">
      <c r="A348" t="inlineStr">
        <is>
          <t>Boxes, Bins, Baskets, &amp; Buckets</t>
        </is>
      </c>
      <c r="BO348" t="inlineStr">
        <is>
          <t>Ethyl acrylate</t>
        </is>
      </c>
    </row>
    <row r="349">
      <c r="A349" t="inlineStr">
        <is>
          <t>Sheets &amp; Pillowcases</t>
        </is>
      </c>
      <c r="BO349" t="inlineStr">
        <is>
          <t>Ethyl alcohol in alcoholic beverages</t>
        </is>
      </c>
    </row>
    <row r="350">
      <c r="A350" t="inlineStr">
        <is>
          <t>Cake, Cookie, &amp; Pastry Decoration</t>
        </is>
      </c>
      <c r="BO350" t="inlineStr">
        <is>
          <t>Ethylbenzene</t>
        </is>
      </c>
    </row>
    <row r="351">
      <c r="A351" t="inlineStr">
        <is>
          <t>Bath Rugs &amp; Mats</t>
        </is>
      </c>
      <c r="BO351" t="inlineStr">
        <is>
          <t>Ethyl dipropylthiocarbamate</t>
        </is>
      </c>
    </row>
    <row r="352">
      <c r="A352" t="inlineStr">
        <is>
          <t>Accent Pillows</t>
        </is>
      </c>
      <c r="BO352" t="inlineStr">
        <is>
          <t>Ethyl-4,4'-dichlorobenzilate</t>
        </is>
      </c>
    </row>
    <row r="353">
      <c r="A353" t="inlineStr">
        <is>
          <t>Dining Linens</t>
        </is>
      </c>
      <c r="BO353" t="inlineStr">
        <is>
          <t>Ethylene dibromide</t>
        </is>
      </c>
    </row>
    <row r="354">
      <c r="A354" t="inlineStr">
        <is>
          <t>Wood Fireplaces</t>
        </is>
      </c>
      <c r="BO354" t="inlineStr">
        <is>
          <t>Ethylene dichloride (1,2-Dichloroethane)</t>
        </is>
      </c>
    </row>
    <row r="355">
      <c r="A355" t="inlineStr">
        <is>
          <t>Av Component Shelving</t>
        </is>
      </c>
      <c r="BO355" t="inlineStr">
        <is>
          <t>Ethylene glycol (ingested)</t>
        </is>
      </c>
    </row>
    <row r="356">
      <c r="A356" t="inlineStr">
        <is>
          <t>Globes</t>
        </is>
      </c>
      <c r="BO356" t="inlineStr">
        <is>
          <t>Ethylene glycol monoethyl ether</t>
        </is>
      </c>
    </row>
    <row r="357">
      <c r="A357" t="inlineStr">
        <is>
          <t>Glassware &amp; Barware</t>
        </is>
      </c>
      <c r="BO357" t="inlineStr">
        <is>
          <t>Ethylene glycol monoethyl ether acetate</t>
        </is>
      </c>
    </row>
    <row r="358">
      <c r="A358" t="inlineStr">
        <is>
          <t>Beverage Servers</t>
        </is>
      </c>
      <c r="BO358" t="inlineStr">
        <is>
          <t>Ethylene glycol monomethyl ether</t>
        </is>
      </c>
    </row>
    <row r="359">
      <c r="A359" t="inlineStr">
        <is>
          <t>Transformers</t>
        </is>
      </c>
      <c r="BO359" t="inlineStr">
        <is>
          <t>Ethylene glycol monomethyl ether acetate</t>
        </is>
      </c>
    </row>
    <row r="360">
      <c r="A360" t="inlineStr">
        <is>
          <t>Mixing Bowls</t>
        </is>
      </c>
      <c r="BO360" t="inlineStr">
        <is>
          <t>Ethyleneimine (Aziridine)</t>
        </is>
      </c>
    </row>
    <row r="361">
      <c r="A361" t="inlineStr">
        <is>
          <t>Kitchen Scales</t>
        </is>
      </c>
      <c r="BO361" t="inlineStr">
        <is>
          <t>Ethylene oxide</t>
        </is>
      </c>
    </row>
    <row r="362">
      <c r="A362" t="inlineStr">
        <is>
          <t>Measuring Cups, Spoons, Scoops &amp; Funnels</t>
        </is>
      </c>
      <c r="BO362" t="inlineStr">
        <is>
          <t>Ethylene thiourea</t>
        </is>
      </c>
    </row>
    <row r="363">
      <c r="A363" t="inlineStr">
        <is>
          <t>Magazine Racks</t>
        </is>
      </c>
      <c r="BO363" t="inlineStr">
        <is>
          <t>Ethyl methanesulfonate</t>
        </is>
      </c>
    </row>
    <row r="364">
      <c r="A364" t="inlineStr">
        <is>
          <t>Potholders</t>
        </is>
      </c>
      <c r="BO364" t="inlineStr">
        <is>
          <t>Etodolac</t>
        </is>
      </c>
    </row>
    <row r="365">
      <c r="A365" t="inlineStr">
        <is>
          <t>Kitchen Towels</t>
        </is>
      </c>
      <c r="BO365" t="inlineStr">
        <is>
          <t>Etoposide</t>
        </is>
      </c>
    </row>
    <row r="366">
      <c r="A366" t="inlineStr">
        <is>
          <t>Kitchen Aprons</t>
        </is>
      </c>
      <c r="BO366" t="inlineStr">
        <is>
          <t>Etoposide in combination with cisplatin and bleomycin</t>
        </is>
      </c>
    </row>
    <row r="367">
      <c r="A367" t="inlineStr">
        <is>
          <t>Decorative Plates &amp; Bowls</t>
        </is>
      </c>
      <c r="BO367" t="inlineStr">
        <is>
          <t>Etretinate</t>
        </is>
      </c>
    </row>
    <row r="368">
      <c r="A368" t="inlineStr">
        <is>
          <t>Food Thermometers</t>
        </is>
      </c>
      <c r="BO368" t="inlineStr">
        <is>
          <t>Fenoxaprop ethyl</t>
        </is>
      </c>
    </row>
    <row r="369">
      <c r="A369" t="inlineStr">
        <is>
          <t>Egg Tools</t>
        </is>
      </c>
      <c r="BO369" t="inlineStr">
        <is>
          <t>Fenoxycarb</t>
        </is>
      </c>
    </row>
    <row r="370">
      <c r="A370" t="inlineStr">
        <is>
          <t>Picture &amp; Memory Albums</t>
        </is>
      </c>
      <c r="BO370" t="inlineStr">
        <is>
          <t>Filgrastim</t>
        </is>
      </c>
    </row>
    <row r="371">
      <c r="A371" t="inlineStr">
        <is>
          <t>Food Storage &amp; Dispensers</t>
        </is>
      </c>
      <c r="BO371" t="inlineStr">
        <is>
          <t>Fluazifop butyl</t>
        </is>
      </c>
    </row>
    <row r="372">
      <c r="A372" t="inlineStr">
        <is>
          <t>Napkin Holders &amp; Paper Towel Holders</t>
        </is>
      </c>
      <c r="BO372" t="inlineStr">
        <is>
          <t>Flunisolide</t>
        </is>
      </c>
    </row>
    <row r="373">
      <c r="A373" t="inlineStr">
        <is>
          <t>Utensil Crocks, Caddies, Chests and Spoon Rests</t>
        </is>
      </c>
      <c r="BO373" t="inlineStr">
        <is>
          <t>Fluorouracil</t>
        </is>
      </c>
    </row>
    <row r="374">
      <c r="A374" t="inlineStr">
        <is>
          <t>Shuffleboards</t>
        </is>
      </c>
      <c r="BO374" t="inlineStr">
        <is>
          <t>Fluoxymesterone</t>
        </is>
      </c>
    </row>
    <row r="375">
      <c r="A375" t="inlineStr">
        <is>
          <t>Basketball Games</t>
        </is>
      </c>
      <c r="BO375" t="inlineStr">
        <is>
          <t>Flurazepam hydrochloride</t>
        </is>
      </c>
    </row>
    <row r="376">
      <c r="A376" t="inlineStr">
        <is>
          <t>Foosball Tables</t>
        </is>
      </c>
      <c r="BO376" t="inlineStr">
        <is>
          <t>Flurbiprofen</t>
        </is>
      </c>
    </row>
    <row r="377">
      <c r="A377" t="inlineStr">
        <is>
          <t>Hockey Tables</t>
        </is>
      </c>
      <c r="BO377" t="inlineStr">
        <is>
          <t>Flutamide</t>
        </is>
      </c>
    </row>
    <row r="378">
      <c r="A378" t="inlineStr">
        <is>
          <t>Multi Game Tables</t>
        </is>
      </c>
      <c r="BO378" t="inlineStr">
        <is>
          <t>Fluticasone propionate</t>
        </is>
      </c>
    </row>
    <row r="379">
      <c r="A379" t="inlineStr">
        <is>
          <t>Small Animal Cages And Habitats</t>
        </is>
      </c>
      <c r="BO379" t="inlineStr">
        <is>
          <t>Fluvalinate</t>
        </is>
      </c>
    </row>
    <row r="380">
      <c r="A380" t="inlineStr">
        <is>
          <t>Dog Car Accessories</t>
        </is>
      </c>
      <c r="BO380" t="inlineStr">
        <is>
          <t>Folpet</t>
        </is>
      </c>
    </row>
    <row r="381">
      <c r="A381" t="inlineStr">
        <is>
          <t>Wall Art</t>
        </is>
      </c>
      <c r="BO381" t="inlineStr">
        <is>
          <t>Formaldehyde (gas)</t>
        </is>
      </c>
    </row>
    <row r="382">
      <c r="A382" t="inlineStr">
        <is>
          <t>Mantels</t>
        </is>
      </c>
      <c r="BO382" t="inlineStr">
        <is>
          <t>2-(2-Formylhydrazino)-4-(5-nitro-2-furyl)thiazole</t>
        </is>
      </c>
    </row>
    <row r="383">
      <c r="A383" t="inlineStr">
        <is>
          <t>Bird Play Stand &amp; Playcenters</t>
        </is>
      </c>
      <c r="BO383" t="inlineStr">
        <is>
          <t>Fumonisin B1</t>
        </is>
      </c>
    </row>
    <row r="384">
      <c r="A384" t="inlineStr">
        <is>
          <t>Treadmills</t>
        </is>
      </c>
      <c r="BO384" t="inlineStr">
        <is>
          <t>Furan</t>
        </is>
      </c>
    </row>
    <row r="385">
      <c r="A385" t="inlineStr">
        <is>
          <t>Ellipticals</t>
        </is>
      </c>
      <c r="BO385" t="inlineStr">
        <is>
          <t>Furazolidone</t>
        </is>
      </c>
    </row>
    <row r="386">
      <c r="A386" t="inlineStr">
        <is>
          <t>Exercise Bikes</t>
        </is>
      </c>
      <c r="BO386" t="inlineStr">
        <is>
          <t>Furfuryl alcohol</t>
        </is>
      </c>
    </row>
    <row r="387">
      <c r="A387" t="inlineStr">
        <is>
          <t>Home Gyms</t>
        </is>
      </c>
      <c r="BO387" t="inlineStr">
        <is>
          <t>Furmecyclox</t>
        </is>
      </c>
    </row>
    <row r="388">
      <c r="A388" t="inlineStr">
        <is>
          <t>Pet Electric Fences/Containment</t>
        </is>
      </c>
      <c r="BO388" t="inlineStr">
        <is>
          <t>Fusarin C</t>
        </is>
      </c>
    </row>
    <row r="389">
      <c r="A389" t="inlineStr">
        <is>
          <t>Hardwood Flooring</t>
        </is>
      </c>
      <c r="BO389" t="inlineStr">
        <is>
          <t>Gallium arsenide</t>
        </is>
      </c>
    </row>
    <row r="390">
      <c r="A390" t="inlineStr">
        <is>
          <t>Laminate Flooring</t>
        </is>
      </c>
      <c r="BO390" t="inlineStr">
        <is>
          <t>Ganciclovir</t>
        </is>
      </c>
    </row>
    <row r="391">
      <c r="A391" t="inlineStr">
        <is>
          <t>Electronic Mounts</t>
        </is>
      </c>
      <c r="BO391" t="inlineStr">
        <is>
          <t>Ganciclovir sodium</t>
        </is>
      </c>
    </row>
    <row r="392">
      <c r="A392" t="inlineStr">
        <is>
          <t>Wall Clocks</t>
        </is>
      </c>
      <c r="BO392" t="inlineStr">
        <is>
          <t>Gasoline engine exhaust (condensates/extracts)</t>
        </is>
      </c>
    </row>
    <row r="393">
      <c r="A393" t="inlineStr">
        <is>
          <t>Flooring Trim</t>
        </is>
      </c>
      <c r="BO393" t="inlineStr">
        <is>
          <t>Gemfibrozil</t>
        </is>
      </c>
    </row>
    <row r="394">
      <c r="A394" t="inlineStr">
        <is>
          <t>Aquariums &amp; Bowls</t>
        </is>
      </c>
      <c r="BO394" t="inlineStr">
        <is>
          <t>Glass wool fibers (inhalable and biopersistent)</t>
        </is>
      </c>
    </row>
    <row r="395">
      <c r="A395" t="inlineStr">
        <is>
          <t>Sewing Machines &amp; Sergers</t>
        </is>
      </c>
      <c r="BO395" t="inlineStr">
        <is>
          <t>Glu-P-1 (2-Amino-6-methyldipyrido[1,2- a:3',2'-d]imidazole)</t>
        </is>
      </c>
    </row>
    <row r="396">
      <c r="A396" t="inlineStr">
        <is>
          <t>Camping Tents &amp; Shelters</t>
        </is>
      </c>
      <c r="BO396" t="inlineStr">
        <is>
          <t>Glu-P-2 (2-Aminodipyrido[1,2-a:3',2'-d]imidazole)</t>
        </is>
      </c>
    </row>
    <row r="397">
      <c r="A397" t="inlineStr">
        <is>
          <t>Arcade Games &amp; Slot Machine</t>
        </is>
      </c>
      <c r="BO397" t="inlineStr">
        <is>
          <t>Glycidaldehyde</t>
        </is>
      </c>
    </row>
    <row r="398">
      <c r="A398" t="inlineStr">
        <is>
          <t>Hot Tub Accessories</t>
        </is>
      </c>
      <c r="BO398" t="inlineStr">
        <is>
          <t>Glycidol</t>
        </is>
      </c>
    </row>
    <row r="399">
      <c r="A399" t="inlineStr">
        <is>
          <t>Bathroom Safety</t>
        </is>
      </c>
      <c r="BO399" t="inlineStr">
        <is>
          <t>Glyphosate</t>
        </is>
      </c>
    </row>
    <row r="400">
      <c r="A400" t="inlineStr">
        <is>
          <t>Crib Conversion Rails</t>
        </is>
      </c>
      <c r="BO400" t="inlineStr">
        <is>
          <t>Goldenseal root powder</t>
        </is>
      </c>
    </row>
    <row r="401">
      <c r="A401" t="inlineStr">
        <is>
          <t>Cat Litter Box Accessories</t>
        </is>
      </c>
      <c r="BO401" t="inlineStr">
        <is>
          <t>Goserelin acetate</t>
        </is>
      </c>
    </row>
    <row r="402">
      <c r="A402" t="inlineStr">
        <is>
          <t>Pet Crate &amp; Carrier Accessories</t>
        </is>
      </c>
      <c r="BO402" t="inlineStr">
        <is>
          <t>Griseofulvin</t>
        </is>
      </c>
    </row>
    <row r="403">
      <c r="A403" t="inlineStr">
        <is>
          <t>Blankets And Throws</t>
        </is>
      </c>
      <c r="BO403" t="inlineStr">
        <is>
          <t>Gyromitrin (Acetaldehyde methylformylhydrazone)</t>
        </is>
      </c>
    </row>
    <row r="404">
      <c r="A404" t="inlineStr">
        <is>
          <t>Duvet Fills and Inserts</t>
        </is>
      </c>
      <c r="BO404" t="inlineStr">
        <is>
          <t>Halazepam</t>
        </is>
      </c>
    </row>
    <row r="405">
      <c r="A405" t="inlineStr">
        <is>
          <t>Shower Curtains</t>
        </is>
      </c>
      <c r="BO405" t="inlineStr">
        <is>
          <t>Halobetasol propionate</t>
        </is>
      </c>
    </row>
    <row r="406">
      <c r="A406" t="inlineStr">
        <is>
          <t>Bath Towels</t>
        </is>
      </c>
      <c r="BO406" t="inlineStr">
        <is>
          <t>Haloperidol</t>
        </is>
      </c>
    </row>
    <row r="407">
      <c r="A407" t="inlineStr">
        <is>
          <t>Pet Gates</t>
        </is>
      </c>
      <c r="BO407" t="inlineStr">
        <is>
          <t>Halothane</t>
        </is>
      </c>
    </row>
    <row r="408">
      <c r="A408" t="inlineStr">
        <is>
          <t>Pet Doors</t>
        </is>
      </c>
      <c r="BO408" t="inlineStr">
        <is>
          <t>HC Blue 1</t>
        </is>
      </c>
    </row>
    <row r="409">
      <c r="A409" t="inlineStr">
        <is>
          <t>Cat Cages &amp; Playpens</t>
        </is>
      </c>
      <c r="BO409" t="inlineStr">
        <is>
          <t>Heptachlor</t>
        </is>
      </c>
    </row>
    <row r="410">
      <c r="A410" t="inlineStr">
        <is>
          <t>Pet Bed Accessories &amp; Covers</t>
        </is>
      </c>
      <c r="BO410" t="inlineStr">
        <is>
          <t>Heptachlor epoxide</t>
        </is>
      </c>
    </row>
    <row r="411">
      <c r="A411" t="inlineStr">
        <is>
          <t>Potting Benches &amp; Tables</t>
        </is>
      </c>
      <c r="BO411" t="inlineStr">
        <is>
          <t>Herbal remedies containing plant species of the genus Aristolochia</t>
        </is>
      </c>
    </row>
    <row r="412">
      <c r="A412" t="inlineStr">
        <is>
          <t>Hand Dryers</t>
        </is>
      </c>
      <c r="BO412" t="inlineStr">
        <is>
          <t>Hexachlorobenzene</t>
        </is>
      </c>
    </row>
    <row r="413">
      <c r="A413" t="inlineStr">
        <is>
          <t>Chair Accessories</t>
        </is>
      </c>
      <c r="BO413" t="inlineStr">
        <is>
          <t>Hexachlorobutadiene</t>
        </is>
      </c>
    </row>
    <row r="414">
      <c r="A414" t="inlineStr">
        <is>
          <t>Hooks</t>
        </is>
      </c>
      <c r="BO414" t="inlineStr">
        <is>
          <t>Hexachlorodibenzodioxin</t>
        </is>
      </c>
    </row>
    <row r="415">
      <c r="A415" t="inlineStr">
        <is>
          <t>Brooms and Sweepers</t>
        </is>
      </c>
      <c r="BO415" t="inlineStr">
        <is>
          <t>Hexachloroethane</t>
        </is>
      </c>
    </row>
    <row r="416">
      <c r="A416" t="inlineStr">
        <is>
          <t>Fire Extinguishers</t>
        </is>
      </c>
      <c r="BO416" t="inlineStr">
        <is>
          <t>2,4-Hexadienal (89% trans, trans isomer; 11% cis, trans isomer)</t>
        </is>
      </c>
    </row>
    <row r="417">
      <c r="A417" t="inlineStr">
        <is>
          <t>Key Organizers</t>
        </is>
      </c>
      <c r="BO417" t="inlineStr">
        <is>
          <t>Hexafluoroacetone</t>
        </is>
      </c>
    </row>
    <row r="418">
      <c r="A418" t="inlineStr">
        <is>
          <t>Scales</t>
        </is>
      </c>
      <c r="BO418" t="inlineStr">
        <is>
          <t>Hexamethylphosphoramide</t>
        </is>
      </c>
    </row>
    <row r="419">
      <c r="A419" t="inlineStr">
        <is>
          <t>Time Clocks &amp; Accessories</t>
        </is>
      </c>
      <c r="BO419" t="inlineStr">
        <is>
          <t>Histrelin acetate</t>
        </is>
      </c>
    </row>
    <row r="420">
      <c r="A420" t="inlineStr">
        <is>
          <t>Signs &amp; Sign Holders</t>
        </is>
      </c>
      <c r="BO420" t="inlineStr">
        <is>
          <t>Hydramethylnon</t>
        </is>
      </c>
    </row>
    <row r="421">
      <c r="A421" t="inlineStr">
        <is>
          <t>Disposable Party Supplies</t>
        </is>
      </c>
      <c r="BO421" t="inlineStr">
        <is>
          <t>Hydrazine</t>
        </is>
      </c>
    </row>
    <row r="422">
      <c r="A422" t="inlineStr">
        <is>
          <t>Art Room Supplies</t>
        </is>
      </c>
      <c r="BO422" t="inlineStr">
        <is>
          <t>Hydrazine sulfate</t>
        </is>
      </c>
    </row>
    <row r="423">
      <c r="A423" t="inlineStr">
        <is>
          <t>Hangers</t>
        </is>
      </c>
      <c r="BO423" t="inlineStr">
        <is>
          <t>Hydrazobenzene (1,2-Diphenylhydrazine)</t>
        </is>
      </c>
    </row>
    <row r="424">
      <c r="A424" t="inlineStr">
        <is>
          <t>Partition Desks &amp; Cubicles</t>
        </is>
      </c>
      <c r="BO424" t="inlineStr">
        <is>
          <t>1-Hydroxyanthraquinone</t>
        </is>
      </c>
    </row>
    <row r="425">
      <c r="A425" t="inlineStr">
        <is>
          <t>Partition &amp; Panel Hardware Accessories</t>
        </is>
      </c>
      <c r="BO425" t="inlineStr">
        <is>
          <t>Hydroxyurea</t>
        </is>
      </c>
    </row>
    <row r="426">
      <c r="A426" t="inlineStr">
        <is>
          <t>Trash Bags &amp; Liners</t>
        </is>
      </c>
      <c r="BO426" t="inlineStr">
        <is>
          <t>Idarubicin hydrochloride</t>
        </is>
      </c>
    </row>
    <row r="427">
      <c r="A427" t="inlineStr">
        <is>
          <t>Classroom Decorations</t>
        </is>
      </c>
      <c r="BO427" t="inlineStr">
        <is>
          <t>Ifosfamide</t>
        </is>
      </c>
    </row>
    <row r="428">
      <c r="A428" t="inlineStr">
        <is>
          <t>Smoke &amp; CO Detectors</t>
        </is>
      </c>
      <c r="BO428" t="inlineStr">
        <is>
          <t>Iodine-131</t>
        </is>
      </c>
    </row>
    <row r="429">
      <c r="A429" t="inlineStr">
        <is>
          <t>Vacuum Accessories</t>
        </is>
      </c>
      <c r="BO429" t="inlineStr">
        <is>
          <t>Imazalil</t>
        </is>
      </c>
    </row>
    <row r="430">
      <c r="A430" t="inlineStr">
        <is>
          <t>Eye Wash Stations</t>
        </is>
      </c>
      <c r="BO430" t="inlineStr">
        <is>
          <t>Indeno[1,2,3-cd]pyrene</t>
        </is>
      </c>
    </row>
    <row r="431">
      <c r="A431" t="inlineStr">
        <is>
          <t>Decorative Telephones</t>
        </is>
      </c>
      <c r="BO431" t="inlineStr">
        <is>
          <t>Indium phosphide</t>
        </is>
      </c>
    </row>
    <row r="432">
      <c r="A432" t="inlineStr">
        <is>
          <t>Cash Handling</t>
        </is>
      </c>
      <c r="BO432" t="inlineStr">
        <is>
          <t>IQ (2-Amino-3-methylimidazo[4,5-f] quinoline)</t>
        </is>
      </c>
    </row>
    <row r="433">
      <c r="A433" t="inlineStr">
        <is>
          <t>Restroom Dispensers</t>
        </is>
      </c>
      <c r="BO433" t="inlineStr">
        <is>
          <t>Iprodione</t>
        </is>
      </c>
    </row>
    <row r="434">
      <c r="A434" t="inlineStr">
        <is>
          <t>Drawer Organizers</t>
        </is>
      </c>
      <c r="BO434" t="inlineStr">
        <is>
          <t>Iron dextran complex</t>
        </is>
      </c>
    </row>
    <row r="435">
      <c r="A435" t="inlineStr">
        <is>
          <t>File Boxes</t>
        </is>
      </c>
      <c r="BO435" t="inlineStr">
        <is>
          <t>Isobutyl nitrite</t>
        </is>
      </c>
    </row>
    <row r="436">
      <c r="A436" t="inlineStr">
        <is>
          <t>Water Coolers/Ice Buckets</t>
        </is>
      </c>
      <c r="BO436" t="inlineStr">
        <is>
          <t>Isoprene</t>
        </is>
      </c>
    </row>
    <row r="437">
      <c r="A437" t="inlineStr">
        <is>
          <t>Table Accessories</t>
        </is>
      </c>
      <c r="BO437" t="inlineStr">
        <is>
          <t>Isopyrazam</t>
        </is>
      </c>
    </row>
    <row r="438">
      <c r="A438" t="inlineStr">
        <is>
          <t>Flooring Samples</t>
        </is>
      </c>
      <c r="BO438" t="inlineStr">
        <is>
          <t>Isotretinoin</t>
        </is>
      </c>
    </row>
    <row r="439">
      <c r="A439" t="inlineStr">
        <is>
          <t>Dog Agility Equipment</t>
        </is>
      </c>
      <c r="BO439" t="inlineStr">
        <is>
          <t>Isoxaflutole</t>
        </is>
      </c>
    </row>
    <row r="440">
      <c r="A440" t="inlineStr">
        <is>
          <t>Yoga &amp; Pilates</t>
        </is>
      </c>
      <c r="BO440" t="inlineStr">
        <is>
          <t>Kresoxim-methyl</t>
        </is>
      </c>
    </row>
    <row r="441">
      <c r="A441" t="inlineStr">
        <is>
          <t>Chicken Coops</t>
        </is>
      </c>
      <c r="BO441" t="inlineStr">
        <is>
          <t>Lactofen</t>
        </is>
      </c>
    </row>
    <row r="442">
      <c r="A442" t="inlineStr">
        <is>
          <t>Desktop Organizers &amp; Desk Pads</t>
        </is>
      </c>
      <c r="BO442" t="inlineStr">
        <is>
          <t>Lasiocarpine</t>
        </is>
      </c>
    </row>
    <row r="443">
      <c r="A443" t="inlineStr">
        <is>
          <t>Sports Display Cases</t>
        </is>
      </c>
      <c r="BO443" t="inlineStr">
        <is>
          <t>Lead</t>
        </is>
      </c>
    </row>
    <row r="444">
      <c r="A444" t="inlineStr">
        <is>
          <t>Floor &amp; Wall Tile</t>
        </is>
      </c>
      <c r="BO444" t="inlineStr">
        <is>
          <t>Lead and lead compounds</t>
        </is>
      </c>
    </row>
    <row r="445">
      <c r="A445" t="inlineStr">
        <is>
          <t>Ladders</t>
        </is>
      </c>
      <c r="BO445" t="inlineStr">
        <is>
          <t>Lead acetate</t>
        </is>
      </c>
    </row>
    <row r="446">
      <c r="A446" t="inlineStr">
        <is>
          <t>Tile Trims</t>
        </is>
      </c>
      <c r="BO446" t="inlineStr">
        <is>
          <t>Lead phosphate</t>
        </is>
      </c>
    </row>
    <row r="447">
      <c r="A447" t="inlineStr">
        <is>
          <t>Shelving Accessories</t>
        </is>
      </c>
      <c r="BO447" t="inlineStr">
        <is>
          <t>Lead subacetate</t>
        </is>
      </c>
    </row>
    <row r="448">
      <c r="A448" t="inlineStr">
        <is>
          <t>Vinyl Flooring</t>
        </is>
      </c>
      <c r="BO448" t="inlineStr">
        <is>
          <t>Leather dust</t>
        </is>
      </c>
    </row>
    <row r="449">
      <c r="A449" t="inlineStr">
        <is>
          <t>Furniture Parts</t>
        </is>
      </c>
      <c r="BO449" t="inlineStr">
        <is>
          <t>Leuprolide acetate</t>
        </is>
      </c>
    </row>
    <row r="450">
      <c r="A450" t="inlineStr">
        <is>
          <t>Wedding</t>
        </is>
      </c>
      <c r="BO450" t="inlineStr">
        <is>
          <t>Levodopa</t>
        </is>
      </c>
    </row>
    <row r="451">
      <c r="A451" t="inlineStr">
        <is>
          <t>Hampers &amp; Baskets</t>
        </is>
      </c>
      <c r="BO451" t="inlineStr">
        <is>
          <t>Lindane and other hexachlorocyclohexane isomers</t>
        </is>
      </c>
    </row>
    <row r="452">
      <c r="A452" t="inlineStr">
        <is>
          <t>Tailgating Wagons</t>
        </is>
      </c>
      <c r="BO452" t="inlineStr">
        <is>
          <t>Linuron</t>
        </is>
      </c>
    </row>
    <row r="453">
      <c r="A453" t="inlineStr">
        <is>
          <t>Birding Accessories</t>
        </is>
      </c>
      <c r="BO453" t="inlineStr">
        <is>
          <t>Lithium carbonate</t>
        </is>
      </c>
    </row>
    <row r="454">
      <c r="A454" t="inlineStr">
        <is>
          <t>Flags</t>
        </is>
      </c>
      <c r="BO454" t="inlineStr">
        <is>
          <t>Lithium citrate</t>
        </is>
      </c>
    </row>
    <row r="455">
      <c r="A455" t="inlineStr">
        <is>
          <t>Landscaping Screens &amp; Bridges</t>
        </is>
      </c>
      <c r="BO455" t="inlineStr">
        <is>
          <t>Lorazepam</t>
        </is>
      </c>
    </row>
    <row r="456">
      <c r="A456" t="inlineStr">
        <is>
          <t>Swimming Pools</t>
        </is>
      </c>
      <c r="BO456" t="inlineStr">
        <is>
          <t>Lovastatin</t>
        </is>
      </c>
    </row>
    <row r="457">
      <c r="A457" t="inlineStr">
        <is>
          <t>Hot Tubs</t>
        </is>
      </c>
      <c r="BO457" t="inlineStr">
        <is>
          <t>Lynestrenol</t>
        </is>
      </c>
    </row>
    <row r="458">
      <c r="A458" t="inlineStr">
        <is>
          <t>Garage Storage Cabinets</t>
        </is>
      </c>
      <c r="BO458" t="inlineStr">
        <is>
          <t>Malathion</t>
        </is>
      </c>
    </row>
    <row r="459">
      <c r="A459" t="inlineStr">
        <is>
          <t>Bike And Sport Racks</t>
        </is>
      </c>
      <c r="BO459" t="inlineStr">
        <is>
          <t>Malonaldehyde, sodium salt</t>
        </is>
      </c>
    </row>
    <row r="460">
      <c r="A460" t="inlineStr">
        <is>
          <t>Workbenches</t>
        </is>
      </c>
      <c r="BO460" t="inlineStr">
        <is>
          <t>Mancozeb</t>
        </is>
      </c>
    </row>
    <row r="461">
      <c r="A461" t="inlineStr">
        <is>
          <t>Hose Reels</t>
        </is>
      </c>
      <c r="BO461" t="inlineStr">
        <is>
          <t>Maneb</t>
        </is>
      </c>
    </row>
    <row r="462">
      <c r="A462" t="inlineStr">
        <is>
          <t>Garage Appliances</t>
        </is>
      </c>
      <c r="BO462" t="inlineStr">
        <is>
          <t>Marijuana smoke</t>
        </is>
      </c>
    </row>
    <row r="463">
      <c r="A463" t="inlineStr">
        <is>
          <t>Slatwall &amp; Pegboard Accessories</t>
        </is>
      </c>
      <c r="BO463" t="inlineStr">
        <is>
          <t>Me-A-alpha-C (2-Amino-3-methyl-9H-pyrido[2,3-b]indole)</t>
        </is>
      </c>
    </row>
    <row r="464">
      <c r="A464" t="inlineStr">
        <is>
          <t>Locks</t>
        </is>
      </c>
      <c r="BO464" t="inlineStr">
        <is>
          <t>Mebendazole</t>
        </is>
      </c>
    </row>
    <row r="465">
      <c r="A465" t="inlineStr">
        <is>
          <t>Compost</t>
        </is>
      </c>
      <c r="BO465" t="inlineStr">
        <is>
          <t>Medroxyprogesterone acetate</t>
        </is>
      </c>
    </row>
    <row r="466">
      <c r="A466" t="inlineStr">
        <is>
          <t>Fencing &amp; Edging</t>
        </is>
      </c>
      <c r="BO466" t="inlineStr">
        <is>
          <t>Megestrol acetate</t>
        </is>
      </c>
    </row>
    <row r="467">
      <c r="A467" t="inlineStr">
        <is>
          <t>Fabric</t>
        </is>
      </c>
      <c r="BO467" t="inlineStr">
        <is>
          <t>MeIQ (2-Amino-3,4-dimethylimidazo[4,5-f]quinoline)</t>
        </is>
      </c>
    </row>
    <row r="468">
      <c r="A468" t="inlineStr">
        <is>
          <t>Ramps</t>
        </is>
      </c>
      <c r="BO468" t="inlineStr">
        <is>
          <t>MeIQx (2-Amino-3,8-dimethylimidazo[4,5-f]quinoxaline)</t>
        </is>
      </c>
    </row>
    <row r="469">
      <c r="A469" t="inlineStr">
        <is>
          <t>Exercise Pens and Yard Kennels</t>
        </is>
      </c>
      <c r="BO469" t="inlineStr">
        <is>
          <t>Melphalan</t>
        </is>
      </c>
    </row>
    <row r="470">
      <c r="A470" t="inlineStr">
        <is>
          <t>Baby Blankets</t>
        </is>
      </c>
      <c r="BO470" t="inlineStr">
        <is>
          <t>Menotropins</t>
        </is>
      </c>
    </row>
    <row r="471">
      <c r="A471" t="inlineStr">
        <is>
          <t>Cat Beds</t>
        </is>
      </c>
      <c r="BO471" t="inlineStr">
        <is>
          <t>Mepanipyrim</t>
        </is>
      </c>
    </row>
    <row r="472">
      <c r="A472" t="inlineStr">
        <is>
          <t>Dog Blankets</t>
        </is>
      </c>
      <c r="BO472" t="inlineStr">
        <is>
          <t>Meprobamate</t>
        </is>
      </c>
    </row>
    <row r="473">
      <c r="A473" t="inlineStr">
        <is>
          <t>Pet Grooming Furniture</t>
        </is>
      </c>
      <c r="BO473" t="inlineStr">
        <is>
          <t>2-Mercaptobenzothiazole</t>
        </is>
      </c>
    </row>
    <row r="474">
      <c r="A474" t="inlineStr">
        <is>
          <t>Beer Pong</t>
        </is>
      </c>
      <c r="BO474" t="inlineStr">
        <is>
          <t>Mercaptopurine</t>
        </is>
      </c>
    </row>
    <row r="475">
      <c r="A475" t="inlineStr">
        <is>
          <t>Knife Sets</t>
        </is>
      </c>
      <c r="BO475" t="inlineStr">
        <is>
          <t>Mercury and mercury compounds</t>
        </is>
      </c>
    </row>
    <row r="476">
      <c r="A476" t="inlineStr">
        <is>
          <t>Dog House Accessories</t>
        </is>
      </c>
      <c r="BO476" t="inlineStr">
        <is>
          <t>Merphalan</t>
        </is>
      </c>
    </row>
    <row r="477">
      <c r="A477" t="inlineStr">
        <is>
          <t>Saunas</t>
        </is>
      </c>
      <c r="BO477" t="inlineStr">
        <is>
          <t>Mestranol</t>
        </is>
      </c>
    </row>
    <row r="478">
      <c r="A478" t="inlineStr">
        <is>
          <t>Water Heaters</t>
        </is>
      </c>
      <c r="BO478" t="inlineStr">
        <is>
          <t>Metam potassium</t>
        </is>
      </c>
    </row>
    <row r="479">
      <c r="A479" t="inlineStr">
        <is>
          <t>Dumbbells</t>
        </is>
      </c>
      <c r="BO479" t="inlineStr">
        <is>
          <t>Methacycline hydrochloride</t>
        </is>
      </c>
    </row>
    <row r="480">
      <c r="A480" t="inlineStr">
        <is>
          <t>Weight Benches</t>
        </is>
      </c>
      <c r="BO480" t="inlineStr">
        <is>
          <t>Metham sodium</t>
        </is>
      </c>
    </row>
    <row r="481">
      <c r="A481" t="inlineStr">
        <is>
          <t>Weight Plates</t>
        </is>
      </c>
      <c r="BO481" t="inlineStr">
        <is>
          <t>Methanol</t>
        </is>
      </c>
    </row>
    <row r="482">
      <c r="A482" t="inlineStr">
        <is>
          <t>Sauna Accessories</t>
        </is>
      </c>
      <c r="BO482" t="inlineStr">
        <is>
          <t>Methazole</t>
        </is>
      </c>
    </row>
    <row r="483">
      <c r="A483" t="inlineStr">
        <is>
          <t>Learning Resources</t>
        </is>
      </c>
      <c r="BO483" t="inlineStr">
        <is>
          <t>Methimazole</t>
        </is>
      </c>
    </row>
    <row r="484">
      <c r="A484" t="inlineStr">
        <is>
          <t>Carpet Tile</t>
        </is>
      </c>
      <c r="BO484" t="inlineStr">
        <is>
          <t>Methotrexate</t>
        </is>
      </c>
    </row>
    <row r="485">
      <c r="A485" t="inlineStr">
        <is>
          <t>Outdoor Deck Tiles</t>
        </is>
      </c>
      <c r="BO485" t="inlineStr">
        <is>
          <t>Methotrexate sodium</t>
        </is>
      </c>
    </row>
    <row r="486">
      <c r="A486" t="inlineStr">
        <is>
          <t>Water Filtration</t>
        </is>
      </c>
      <c r="BO486" t="inlineStr">
        <is>
          <t>5-Methoxypsoralen with ultraviolet A therapy</t>
        </is>
      </c>
    </row>
    <row r="487">
      <c r="A487" t="inlineStr">
        <is>
          <t>Sports Flags</t>
        </is>
      </c>
      <c r="BO487" t="inlineStr">
        <is>
          <t>8-Methoxypsoralen with ultraviolet A therapy</t>
        </is>
      </c>
    </row>
    <row r="488">
      <c r="A488" t="inlineStr">
        <is>
          <t>Fitness &amp; Recreational Flooring</t>
        </is>
      </c>
      <c r="BO488" t="inlineStr">
        <is>
          <t>2-Methylaziridine (Propyleneimine)</t>
        </is>
      </c>
    </row>
    <row r="489">
      <c r="A489" t="inlineStr">
        <is>
          <t>Bath Exhaust Fans</t>
        </is>
      </c>
      <c r="BO489" t="inlineStr">
        <is>
          <t>Methylazoxymethanol</t>
        </is>
      </c>
    </row>
    <row r="490">
      <c r="A490" t="inlineStr">
        <is>
          <t>Craft &amp; Sewing Tables</t>
        </is>
      </c>
      <c r="BO490" t="inlineStr">
        <is>
          <t>Methylazoxymethanol acetate</t>
        </is>
      </c>
    </row>
    <row r="491">
      <c r="A491" t="inlineStr">
        <is>
          <t>Bounce Houses &amp; Inflatable Slides</t>
        </is>
      </c>
      <c r="BO491" t="inlineStr">
        <is>
          <t>Methyl bromide, as a structural fumigant</t>
        </is>
      </c>
    </row>
    <row r="492">
      <c r="A492" t="inlineStr">
        <is>
          <t>Commercial Ceiling Lighting</t>
        </is>
      </c>
      <c r="BO492" t="inlineStr">
        <is>
          <t>Methyl carbamate</t>
        </is>
      </c>
    </row>
    <row r="493">
      <c r="A493" t="inlineStr">
        <is>
          <t>Commercial Wall Lighting</t>
        </is>
      </c>
      <c r="BO493" t="inlineStr">
        <is>
          <t>Methyl chloride</t>
        </is>
      </c>
    </row>
    <row r="494">
      <c r="A494" t="inlineStr">
        <is>
          <t>Commercial Outdoor Lighting</t>
        </is>
      </c>
      <c r="BO494" t="inlineStr">
        <is>
          <t>3-Methylcholanthrene</t>
        </is>
      </c>
    </row>
    <row r="495">
      <c r="A495" t="inlineStr">
        <is>
          <t>Commercial Exit And Emergency Lights</t>
        </is>
      </c>
      <c r="BO495" t="inlineStr">
        <is>
          <t>5-Methylchrysene</t>
        </is>
      </c>
    </row>
    <row r="496">
      <c r="A496" t="inlineStr">
        <is>
          <t>Commercial Accent Lighting</t>
        </is>
      </c>
      <c r="BO496" t="inlineStr">
        <is>
          <t>4,4'-Methylene bis(2-chloroaniline)</t>
        </is>
      </c>
    </row>
    <row r="497">
      <c r="A497" t="inlineStr">
        <is>
          <t>Playhouses &amp; Play Tents</t>
        </is>
      </c>
      <c r="BO497" t="inlineStr">
        <is>
          <t>4,4'-Methylene bis(N,N-dimethyl)benzenamine</t>
        </is>
      </c>
    </row>
    <row r="498">
      <c r="A498" t="inlineStr">
        <is>
          <t>Bleachers</t>
        </is>
      </c>
      <c r="BO498" t="inlineStr">
        <is>
          <t>4,4'-Methylene bis(2-methylaniline)</t>
        </is>
      </c>
    </row>
    <row r="499">
      <c r="A499" t="inlineStr">
        <is>
          <t>Chicken Coop Accessories</t>
        </is>
      </c>
      <c r="BO499" t="inlineStr">
        <is>
          <t>4,4'-Methylenedianiline</t>
        </is>
      </c>
    </row>
    <row r="500">
      <c r="A500" t="inlineStr">
        <is>
          <t>Reptile/Snake Terrariums and Habitats</t>
        </is>
      </c>
      <c r="BO500" t="inlineStr">
        <is>
          <t>4,4'-Methylenedianiline dihydrochloride</t>
        </is>
      </c>
    </row>
    <row r="501">
      <c r="A501" t="inlineStr">
        <is>
          <t>Faux Florals</t>
        </is>
      </c>
      <c r="BO501" t="inlineStr">
        <is>
          <t>Methyleugenol</t>
        </is>
      </c>
    </row>
    <row r="502">
      <c r="A502" t="inlineStr">
        <is>
          <t>Faux Plants and Trees</t>
        </is>
      </c>
      <c r="BO502" t="inlineStr">
        <is>
          <t>Methylhydrazine and its salts</t>
        </is>
      </c>
    </row>
    <row r="503">
      <c r="A503" t="inlineStr">
        <is>
          <t>Switches, Dimmers &amp; Outlets</t>
        </is>
      </c>
      <c r="BO503" t="inlineStr">
        <is>
          <t>2-Methylimidazole</t>
        </is>
      </c>
    </row>
    <row r="504">
      <c r="A504" t="inlineStr">
        <is>
          <t>Covers &amp; Carry Bags</t>
        </is>
      </c>
      <c r="BO504" t="inlineStr">
        <is>
          <t>4-Methylimidazole</t>
        </is>
      </c>
    </row>
    <row r="505">
      <c r="A505" t="inlineStr">
        <is>
          <t>Grilling Tools &amp; Accessories</t>
        </is>
      </c>
      <c r="BO505" t="inlineStr">
        <is>
          <t>Methyl iodide</t>
        </is>
      </c>
    </row>
    <row r="506">
      <c r="A506" t="inlineStr">
        <is>
          <t>Grill Parts</t>
        </is>
      </c>
      <c r="BO506" t="inlineStr">
        <is>
          <t>Methyl isobutyl ketone</t>
        </is>
      </c>
    </row>
    <row r="507">
      <c r="A507" t="inlineStr">
        <is>
          <t>Grilling &amp; Heating Fuels</t>
        </is>
      </c>
      <c r="BO507" t="inlineStr">
        <is>
          <t>Methyl isobutyl ketone (MIBK)</t>
        </is>
      </c>
    </row>
    <row r="508">
      <c r="A508" t="inlineStr">
        <is>
          <t>Deck Boxes</t>
        </is>
      </c>
      <c r="BO508" t="inlineStr">
        <is>
          <t>Methyl isocyanate (MIC)</t>
        </is>
      </c>
    </row>
    <row r="509">
      <c r="A509" t="inlineStr">
        <is>
          <t>Wall Stickers</t>
        </is>
      </c>
      <c r="BO509" t="inlineStr">
        <is>
          <t>Methyl mercury</t>
        </is>
      </c>
    </row>
    <row r="510">
      <c r="A510" t="inlineStr">
        <is>
          <t>Ironing Boards, Covers &amp; Pads</t>
        </is>
      </c>
      <c r="BO510" t="inlineStr">
        <is>
          <t>Methylmercury compounds</t>
        </is>
      </c>
    </row>
    <row r="511">
      <c r="A511" t="inlineStr">
        <is>
          <t>Drying Racks</t>
        </is>
      </c>
      <c r="BO511" t="inlineStr">
        <is>
          <t>Methyl methanesulfonate</t>
        </is>
      </c>
    </row>
    <row r="512">
      <c r="A512" t="inlineStr">
        <is>
          <t>Shoe Storage</t>
        </is>
      </c>
      <c r="BO512" t="inlineStr">
        <is>
          <t>Methyl-n-butyl ketone</t>
        </is>
      </c>
    </row>
    <row r="513">
      <c r="A513" t="inlineStr">
        <is>
          <t>Bathroom Storage</t>
        </is>
      </c>
      <c r="BO513" t="inlineStr">
        <is>
          <t>2-Methyl-1-nitroanthraquinone (of uncertain purity)</t>
        </is>
      </c>
    </row>
    <row r="514">
      <c r="A514" t="inlineStr">
        <is>
          <t>Climbing Toys &amp; Slides</t>
        </is>
      </c>
      <c r="BO514" t="inlineStr">
        <is>
          <t>N-Methyl-N'-nitro-N-nitrosoguanidine</t>
        </is>
      </c>
    </row>
    <row r="515">
      <c r="A515" t="inlineStr">
        <is>
          <t>Cruets &amp; Condiment Bottles</t>
        </is>
      </c>
      <c r="BO515" t="inlineStr">
        <is>
          <t>N-Methylolacrylamide</t>
        </is>
      </c>
    </row>
    <row r="516">
      <c r="A516" t="inlineStr">
        <is>
          <t>Changing Table Pads &amp; Covers</t>
        </is>
      </c>
      <c r="BO516" t="inlineStr">
        <is>
          <t>N-Methylpyrrolidone</t>
        </is>
      </c>
    </row>
    <row r="517">
      <c r="A517" t="inlineStr">
        <is>
          <t>Bedding Accessories</t>
        </is>
      </c>
      <c r="BO517" t="inlineStr">
        <is>
          <t>α-Methyl styrene (alpha-Methylstyrene)</t>
        </is>
      </c>
    </row>
    <row r="518">
      <c r="A518" t="inlineStr">
        <is>
          <t>Table Top Games &amp; Accessories</t>
        </is>
      </c>
      <c r="BO518" t="inlineStr">
        <is>
          <t>Methyltestosterone</t>
        </is>
      </c>
    </row>
    <row r="519">
      <c r="A519" t="inlineStr">
        <is>
          <t>Towel Warmers</t>
        </is>
      </c>
      <c r="BO519" t="inlineStr">
        <is>
          <t>Methylthiouracil</t>
        </is>
      </c>
    </row>
    <row r="520">
      <c r="A520" t="inlineStr">
        <is>
          <t>Rug Samples</t>
        </is>
      </c>
      <c r="BO520" t="inlineStr">
        <is>
          <t>Metiram</t>
        </is>
      </c>
    </row>
    <row r="521">
      <c r="A521" t="inlineStr">
        <is>
          <t>Home Brewing</t>
        </is>
      </c>
      <c r="BO521" t="inlineStr">
        <is>
          <t>Metronidazole</t>
        </is>
      </c>
    </row>
    <row r="522">
      <c r="A522" t="inlineStr">
        <is>
          <t>Pavers &amp; Cobblestones</t>
        </is>
      </c>
      <c r="BO522" t="inlineStr">
        <is>
          <t>Michler's ketone</t>
        </is>
      </c>
    </row>
    <row r="523">
      <c r="A523" t="inlineStr">
        <is>
          <t>Body Weight Scales</t>
        </is>
      </c>
      <c r="BO523" t="inlineStr">
        <is>
          <t>Midazolam hydrochloride</t>
        </is>
      </c>
    </row>
    <row r="524">
      <c r="A524" t="inlineStr">
        <is>
          <t>Compact &amp; Mini Fridges</t>
        </is>
      </c>
      <c r="BO524" t="inlineStr">
        <is>
          <t>Minocycline hydrochloride (internal use)</t>
        </is>
      </c>
    </row>
    <row r="525">
      <c r="A525" t="inlineStr">
        <is>
          <t>Large Appliance Accessories</t>
        </is>
      </c>
      <c r="BO525" t="inlineStr">
        <is>
          <t>Mirex</t>
        </is>
      </c>
    </row>
    <row r="526">
      <c r="A526" t="inlineStr">
        <is>
          <t>Christmas Stockings &amp; Holders</t>
        </is>
      </c>
      <c r="BO526" t="inlineStr">
        <is>
          <t>Misoprostol</t>
        </is>
      </c>
    </row>
    <row r="527">
      <c r="A527" t="inlineStr">
        <is>
          <t>Accent Tiles</t>
        </is>
      </c>
      <c r="BO527" t="inlineStr">
        <is>
          <t>Mitomycin C</t>
        </is>
      </c>
    </row>
    <row r="528">
      <c r="A528" t="inlineStr">
        <is>
          <t>Enclosures</t>
        </is>
      </c>
      <c r="BO528" t="inlineStr">
        <is>
          <t>Mitoxantrone hydrochloride</t>
        </is>
      </c>
    </row>
    <row r="529">
      <c r="A529" t="inlineStr">
        <is>
          <t>Tool Holders</t>
        </is>
      </c>
      <c r="BO529" t="inlineStr">
        <is>
          <t>Molinate</t>
        </is>
      </c>
    </row>
    <row r="530">
      <c r="A530" t="inlineStr">
        <is>
          <t>Vanity Tops</t>
        </is>
      </c>
      <c r="BO530" t="inlineStr">
        <is>
          <t>MON 4660 (dichloroacetyl-1-oxa-4-azaspiro(4,5)-decane</t>
        </is>
      </c>
    </row>
    <row r="531">
      <c r="A531" t="inlineStr">
        <is>
          <t>Vanity Bases</t>
        </is>
      </c>
      <c r="BO531" t="inlineStr">
        <is>
          <t>MON 13900 (furilazole)</t>
        </is>
      </c>
    </row>
    <row r="532">
      <c r="A532" t="inlineStr">
        <is>
          <t>Chandeliers</t>
        </is>
      </c>
      <c r="BO532" t="inlineStr">
        <is>
          <t>3-Monochloropropane-1,2-diol (3-MCPD)</t>
        </is>
      </c>
    </row>
    <row r="533">
      <c r="A533" t="inlineStr">
        <is>
          <t>Flush Mount Lighting</t>
        </is>
      </c>
      <c r="BO533" t="inlineStr">
        <is>
          <t>Monocrotaline</t>
        </is>
      </c>
    </row>
    <row r="534">
      <c r="A534" t="inlineStr">
        <is>
          <t>Pendant Lights</t>
        </is>
      </c>
      <c r="BO534" t="inlineStr">
        <is>
          <t>MOPP (vincristine-prednisone-nitrogen mustard-procarbazine mixture)</t>
        </is>
      </c>
    </row>
    <row r="535">
      <c r="A535" t="inlineStr">
        <is>
          <t>Wayfair Gift Certificates &amp; Donations</t>
        </is>
      </c>
      <c r="BO535" t="inlineStr">
        <is>
          <t>5-(Morpholinomethyl)-3-[(5-nitrofurfuryl-idene)-amino]-2-oxazolidinone</t>
        </is>
      </c>
    </row>
    <row r="536">
      <c r="A536" t="inlineStr">
        <is>
          <t>Outdoor Hanging Lights</t>
        </is>
      </c>
      <c r="BO536" t="inlineStr">
        <is>
          <t>Mustard Gas</t>
        </is>
      </c>
    </row>
    <row r="537">
      <c r="A537" t="inlineStr">
        <is>
          <t>Landscape Lighting</t>
        </is>
      </c>
      <c r="BO537" t="inlineStr">
        <is>
          <t>MX (3-chloro-4-dichloromethyl-5-hydroxy-2(5H)-furanone)</t>
        </is>
      </c>
    </row>
    <row r="538">
      <c r="A538" t="inlineStr">
        <is>
          <t>Post Lanterns</t>
        </is>
      </c>
      <c r="BO538" t="inlineStr">
        <is>
          <t>Myclobutanil</t>
        </is>
      </c>
    </row>
    <row r="539">
      <c r="A539" t="inlineStr">
        <is>
          <t>Outdoor Wall Lights</t>
        </is>
      </c>
      <c r="BO539" t="inlineStr">
        <is>
          <t>beta-Myrcene</t>
        </is>
      </c>
    </row>
    <row r="540">
      <c r="A540" t="inlineStr">
        <is>
          <t>Luggage Racks</t>
        </is>
      </c>
      <c r="BO540" t="inlineStr">
        <is>
          <t>Nabam</t>
        </is>
      </c>
    </row>
    <row r="541">
      <c r="A541" t="inlineStr">
        <is>
          <t>Vanity Lighting</t>
        </is>
      </c>
      <c r="BO541" t="inlineStr">
        <is>
          <t>Nafarelin acetate</t>
        </is>
      </c>
    </row>
    <row r="542">
      <c r="A542" t="inlineStr">
        <is>
          <t>Wall Sconces</t>
        </is>
      </c>
      <c r="BO542" t="inlineStr">
        <is>
          <t>Nafenopin</t>
        </is>
      </c>
    </row>
    <row r="543">
      <c r="A543" t="inlineStr">
        <is>
          <t>Kids Bedroom Sets</t>
        </is>
      </c>
      <c r="BO543" t="inlineStr">
        <is>
          <t>Nalidixic acid</t>
        </is>
      </c>
    </row>
    <row r="544">
      <c r="A544" t="inlineStr">
        <is>
          <t>Kids Headboards</t>
        </is>
      </c>
      <c r="BO544" t="inlineStr">
        <is>
          <t>Naphthalene</t>
        </is>
      </c>
    </row>
    <row r="545">
      <c r="A545" t="inlineStr">
        <is>
          <t>Tub Faucets</t>
        </is>
      </c>
      <c r="BO545" t="inlineStr">
        <is>
          <t>1-Naphthylamine</t>
        </is>
      </c>
    </row>
    <row r="546">
      <c r="A546" t="inlineStr">
        <is>
          <t>Shower Faucets &amp; Systems</t>
        </is>
      </c>
      <c r="BO546" t="inlineStr">
        <is>
          <t>2-Naphthylamine</t>
        </is>
      </c>
    </row>
    <row r="547">
      <c r="A547" t="inlineStr">
        <is>
          <t>Candle Holders</t>
        </is>
      </c>
      <c r="BO547" t="inlineStr">
        <is>
          <t>Neomycin sulfate (internal use)</t>
        </is>
      </c>
    </row>
    <row r="548">
      <c r="A548" t="inlineStr">
        <is>
          <t>Shower &amp; Tub Doors</t>
        </is>
      </c>
      <c r="BO548" t="inlineStr">
        <is>
          <t>Netilmicin sulfate</t>
        </is>
      </c>
    </row>
    <row r="549">
      <c r="A549" t="inlineStr">
        <is>
          <t>Shower and Bathtub Enclosures</t>
        </is>
      </c>
      <c r="BO549" t="inlineStr">
        <is>
          <t>Nickel (Metallic)</t>
        </is>
      </c>
    </row>
    <row r="550">
      <c r="A550" t="inlineStr">
        <is>
          <t>Kids Dressers &amp; Chests</t>
        </is>
      </c>
      <c r="BO550" t="inlineStr">
        <is>
          <t>Nickel acetate</t>
        </is>
      </c>
    </row>
    <row r="551">
      <c r="A551" t="inlineStr">
        <is>
          <t>Kids Nightstands</t>
        </is>
      </c>
      <c r="BO551" t="inlineStr">
        <is>
          <t>Nickel carbonate</t>
        </is>
      </c>
    </row>
    <row r="552">
      <c r="A552" t="inlineStr">
        <is>
          <t>Kids Armoires</t>
        </is>
      </c>
      <c r="BO552" t="inlineStr">
        <is>
          <t>Nickel carbonyl</t>
        </is>
      </c>
    </row>
    <row r="553">
      <c r="A553" t="inlineStr">
        <is>
          <t>Flagpoles and Accessories</t>
        </is>
      </c>
      <c r="BO553" t="inlineStr">
        <is>
          <t>Nickel compounds</t>
        </is>
      </c>
    </row>
    <row r="554">
      <c r="A554" t="inlineStr">
        <is>
          <t>Towel Bars, Racks, and Stands</t>
        </is>
      </c>
      <c r="BO554" t="inlineStr">
        <is>
          <t>Nickelocene</t>
        </is>
      </c>
    </row>
    <row r="555">
      <c r="A555" t="inlineStr">
        <is>
          <t>Toilet Paper Holders</t>
        </is>
      </c>
      <c r="BO555" t="inlineStr">
        <is>
          <t>Nickel oxide</t>
        </is>
      </c>
    </row>
    <row r="556">
      <c r="A556" t="inlineStr">
        <is>
          <t>Patio Dining Chairs</t>
        </is>
      </c>
      <c r="BO556" t="inlineStr">
        <is>
          <t>Nickel refinery dust from the pyrometallurgical process</t>
        </is>
      </c>
    </row>
    <row r="557">
      <c r="A557" t="inlineStr">
        <is>
          <t>Wallpaper</t>
        </is>
      </c>
      <c r="BO557" t="inlineStr">
        <is>
          <t>Nickel subsulfide</t>
        </is>
      </c>
    </row>
    <row r="558">
      <c r="A558" t="inlineStr">
        <is>
          <t>Patio Bar Stools</t>
        </is>
      </c>
      <c r="BO558" t="inlineStr">
        <is>
          <t>Nicotine</t>
        </is>
      </c>
    </row>
    <row r="559">
      <c r="A559" t="inlineStr">
        <is>
          <t>Kids Desks</t>
        </is>
      </c>
      <c r="BO559" t="inlineStr">
        <is>
          <t>Nifedipine</t>
        </is>
      </c>
    </row>
    <row r="560">
      <c r="A560" t="inlineStr">
        <is>
          <t>Patio Benches</t>
        </is>
      </c>
      <c r="BO560" t="inlineStr">
        <is>
          <t>Nimodipine</t>
        </is>
      </c>
    </row>
    <row r="561">
      <c r="A561" t="inlineStr">
        <is>
          <t>Kids Vanities</t>
        </is>
      </c>
      <c r="BO561" t="inlineStr">
        <is>
          <t>Niridazole</t>
        </is>
      </c>
    </row>
    <row r="562">
      <c r="A562" t="inlineStr">
        <is>
          <t>Gas Grills</t>
        </is>
      </c>
      <c r="BO562" t="inlineStr">
        <is>
          <t>Nitrapyrin</t>
        </is>
      </c>
    </row>
    <row r="563">
      <c r="A563" t="inlineStr">
        <is>
          <t>Outdoor Cookers</t>
        </is>
      </c>
      <c r="BO563" t="inlineStr">
        <is>
          <t>Nitrilotriacetic acid</t>
        </is>
      </c>
    </row>
    <row r="564">
      <c r="A564" t="inlineStr">
        <is>
          <t>Electric Grills</t>
        </is>
      </c>
      <c r="BO564" t="inlineStr">
        <is>
          <t>Nitrilotriacetic acid, trisodium salt monohydrate</t>
        </is>
      </c>
    </row>
    <row r="565">
      <c r="A565" t="inlineStr">
        <is>
          <t>Saute Pans</t>
        </is>
      </c>
      <c r="BO565" t="inlineStr">
        <is>
          <t>5-Nitroacenaphthene</t>
        </is>
      </c>
    </row>
    <row r="566">
      <c r="A566" t="inlineStr">
        <is>
          <t>Grill Pans &amp; Griddles</t>
        </is>
      </c>
      <c r="BO566" t="inlineStr">
        <is>
          <t>o-Nitroanisole</t>
        </is>
      </c>
    </row>
    <row r="567">
      <c r="A567" t="inlineStr">
        <is>
          <t>Pot Inserts &amp; Steamer Baskets</t>
        </is>
      </c>
      <c r="BO567" t="inlineStr">
        <is>
          <t>Nitrobenzene</t>
        </is>
      </c>
    </row>
    <row r="568">
      <c r="A568" t="inlineStr">
        <is>
          <t>Shower Bases</t>
        </is>
      </c>
      <c r="BO568" t="inlineStr">
        <is>
          <t>4-Nitrobiphenyl</t>
        </is>
      </c>
    </row>
    <row r="569">
      <c r="A569" t="inlineStr">
        <is>
          <t>Ceiling Fan Light Kits</t>
        </is>
      </c>
      <c r="BO569" t="inlineStr">
        <is>
          <t>6-Nitrochrysene</t>
        </is>
      </c>
    </row>
    <row r="570">
      <c r="A570" t="inlineStr">
        <is>
          <t>Outdoor Lanterns &amp; Lamps</t>
        </is>
      </c>
      <c r="BO570" t="inlineStr">
        <is>
          <t>Nitrofen (technical grade)</t>
        </is>
      </c>
    </row>
    <row r="571">
      <c r="A571" t="inlineStr">
        <is>
          <t>Camping Cots</t>
        </is>
      </c>
      <c r="BO571" t="inlineStr">
        <is>
          <t>2-Nitrofluorene</t>
        </is>
      </c>
    </row>
    <row r="572">
      <c r="A572" t="inlineStr">
        <is>
          <t>Air Conditioners</t>
        </is>
      </c>
      <c r="BO572" t="inlineStr">
        <is>
          <t>Nitrofurazone</t>
        </is>
      </c>
    </row>
    <row r="573">
      <c r="A573" t="inlineStr">
        <is>
          <t>Wine Bottle Carriers</t>
        </is>
      </c>
      <c r="BO573" t="inlineStr">
        <is>
          <t>1-[(5-Nitrofurfurylidene)-amino]-2-imidazolidinone</t>
        </is>
      </c>
    </row>
    <row r="574">
      <c r="A574" t="inlineStr">
        <is>
          <t>Floor Lamps</t>
        </is>
      </c>
      <c r="BO574" t="inlineStr">
        <is>
          <t>N-[4-(5-Nitro-2-furyl)-2-thiazolyl]acetamide</t>
        </is>
      </c>
    </row>
    <row r="575">
      <c r="A575" t="inlineStr">
        <is>
          <t>Outdoor Showers</t>
        </is>
      </c>
      <c r="BO575" t="inlineStr">
        <is>
          <t>Nitrogen mustard (Mechlorethamine)</t>
        </is>
      </c>
    </row>
    <row r="576">
      <c r="A576" t="inlineStr">
        <is>
          <t>Curtains &amp; Drapes</t>
        </is>
      </c>
      <c r="BO576" t="inlineStr">
        <is>
          <t>Nitrogen mustard hydrochloride (Mechlorethamine hydrochloride)</t>
        </is>
      </c>
    </row>
    <row r="577">
      <c r="A577" t="inlineStr">
        <is>
          <t>Valances &amp; Kitchen Curtains</t>
        </is>
      </c>
      <c r="BO577" t="inlineStr">
        <is>
          <t>Nitrogen mustard N-oxide</t>
        </is>
      </c>
    </row>
    <row r="578">
      <c r="A578" t="inlineStr">
        <is>
          <t>Curtain Hardware &amp; Accessories</t>
        </is>
      </c>
      <c r="BO578" t="inlineStr">
        <is>
          <t>Nitrogen mustard N-oxide hydrochloride</t>
        </is>
      </c>
    </row>
    <row r="579">
      <c r="A579" t="inlineStr">
        <is>
          <t>Stained Glass Panels</t>
        </is>
      </c>
      <c r="BO579" t="inlineStr">
        <is>
          <t>Nitromethane</t>
        </is>
      </c>
    </row>
    <row r="580">
      <c r="A580" t="inlineStr">
        <is>
          <t>Slatwalls &amp; Pegboards</t>
        </is>
      </c>
      <c r="BO580" t="inlineStr">
        <is>
          <t>2-Nitropropane</t>
        </is>
      </c>
    </row>
    <row r="581">
      <c r="A581" t="inlineStr">
        <is>
          <t>Cotton Candy Makers &amp; Accessories</t>
        </is>
      </c>
      <c r="BO581" t="inlineStr">
        <is>
          <t>1-Nitropyrene</t>
        </is>
      </c>
    </row>
    <row r="582">
      <c r="A582" t="inlineStr">
        <is>
          <t>Holiday Decor Storage</t>
        </is>
      </c>
      <c r="BO582" t="inlineStr">
        <is>
          <t>4-Nitropyrene</t>
        </is>
      </c>
    </row>
    <row r="583">
      <c r="A583" t="inlineStr">
        <is>
          <t>Closet Systems</t>
        </is>
      </c>
      <c r="BO583" t="inlineStr">
        <is>
          <t>N-Nitrosodi-n-butylamine</t>
        </is>
      </c>
    </row>
    <row r="584">
      <c r="A584" t="inlineStr">
        <is>
          <t>Spice Jars &amp; Racks</t>
        </is>
      </c>
      <c r="BO584" t="inlineStr">
        <is>
          <t>N-Nitrosodiethanolamine</t>
        </is>
      </c>
    </row>
    <row r="585">
      <c r="A585" t="inlineStr">
        <is>
          <t>Serving Bowls</t>
        </is>
      </c>
      <c r="BO585" t="inlineStr">
        <is>
          <t>N-Nitrosodiethylamine</t>
        </is>
      </c>
    </row>
    <row r="586">
      <c r="A586" t="inlineStr">
        <is>
          <t>Serving Dishes &amp; Platters</t>
        </is>
      </c>
      <c r="BO586" t="inlineStr">
        <is>
          <t>N-Nitrosodimethylamine</t>
        </is>
      </c>
    </row>
    <row r="587">
      <c r="A587" t="inlineStr">
        <is>
          <t>Specialty Serving</t>
        </is>
      </c>
      <c r="BO587" t="inlineStr">
        <is>
          <t>p-Nitrosodiphenylamine</t>
        </is>
      </c>
    </row>
    <row r="588">
      <c r="A588" t="inlineStr">
        <is>
          <t>Creamers &amp; Sugar Bowls</t>
        </is>
      </c>
      <c r="BO588" t="inlineStr">
        <is>
          <t>N-Nitrosodiphenylamine</t>
        </is>
      </c>
    </row>
    <row r="589">
      <c r="A589" t="inlineStr">
        <is>
          <t>Changing Stations</t>
        </is>
      </c>
      <c r="BO589" t="inlineStr">
        <is>
          <t>N-Nitrosodi-n-propylamine</t>
        </is>
      </c>
    </row>
    <row r="590">
      <c r="A590" t="inlineStr">
        <is>
          <t>Scents &amp; Diffusers</t>
        </is>
      </c>
      <c r="BO590" t="inlineStr">
        <is>
          <t>N-Nitroso-N-ethylurea</t>
        </is>
      </c>
    </row>
    <row r="591">
      <c r="A591" t="inlineStr">
        <is>
          <t>Mugs &amp; Teacups</t>
        </is>
      </c>
      <c r="BO591" t="inlineStr">
        <is>
          <t>3-(N-Nitrosomethylamino) propionitrile</t>
        </is>
      </c>
    </row>
    <row r="592">
      <c r="A592" t="inlineStr">
        <is>
          <t>Holiday Accents &amp; Decor</t>
        </is>
      </c>
      <c r="BO592" t="inlineStr">
        <is>
          <t>4-(N-Nitrosomethylamino)-1-(3-pyridyl)1-butanone</t>
        </is>
      </c>
    </row>
    <row r="593">
      <c r="A593" t="inlineStr">
        <is>
          <t>Decorative Trays</t>
        </is>
      </c>
      <c r="BO593" t="inlineStr">
        <is>
          <t>N-Nitrosomethyl-n-butylamine</t>
        </is>
      </c>
    </row>
    <row r="594">
      <c r="A594" t="inlineStr">
        <is>
          <t>Judaica</t>
        </is>
      </c>
      <c r="BO594" t="inlineStr">
        <is>
          <t>N-Nitrosomethyl-n-decylamine</t>
        </is>
      </c>
    </row>
    <row r="595">
      <c r="A595" t="inlineStr">
        <is>
          <t>Dinnerware Storage</t>
        </is>
      </c>
      <c r="BO595" t="inlineStr">
        <is>
          <t>N-Nitrosomethyl-n-dodecylamine</t>
        </is>
      </c>
    </row>
    <row r="596">
      <c r="A596" t="inlineStr">
        <is>
          <t>Pantry Cabinets</t>
        </is>
      </c>
      <c r="BO596" t="inlineStr">
        <is>
          <t>N-Nitrosomethylethylamine</t>
        </is>
      </c>
    </row>
    <row r="597">
      <c r="A597" t="inlineStr">
        <is>
          <t>Bathroom Hardware Sets</t>
        </is>
      </c>
      <c r="BO597" t="inlineStr">
        <is>
          <t>N-Nitrosomethyl-n-heptylamine</t>
        </is>
      </c>
    </row>
    <row r="598">
      <c r="A598" t="inlineStr">
        <is>
          <t>Soda Makers</t>
        </is>
      </c>
      <c r="BO598" t="inlineStr">
        <is>
          <t>N-Nitrosomethyl-n-hexylamine</t>
        </is>
      </c>
    </row>
    <row r="599">
      <c r="A599" t="inlineStr">
        <is>
          <t>Weight Bar</t>
        </is>
      </c>
      <c r="BO599" t="inlineStr">
        <is>
          <t>N-Nitrosomethyl-n-nonylamine</t>
        </is>
      </c>
    </row>
    <row r="600">
      <c r="A600" t="inlineStr">
        <is>
          <t>Bulletin Boards, Whiteboards, Chalkboards</t>
        </is>
      </c>
      <c r="BO600" t="inlineStr">
        <is>
          <t>N-Nitrosomethyl-n-octylamine</t>
        </is>
      </c>
    </row>
    <row r="601">
      <c r="A601" t="inlineStr">
        <is>
          <t>Makeup Vanities</t>
        </is>
      </c>
      <c r="BO601" t="inlineStr">
        <is>
          <t>N-Nitrosomethyl-n-pentylamine</t>
        </is>
      </c>
    </row>
    <row r="602">
      <c r="A602" t="inlineStr">
        <is>
          <t>Stock &amp; Ready-to-Assemble Kitchen Cabinets</t>
        </is>
      </c>
      <c r="BO602" t="inlineStr">
        <is>
          <t>N-Nitrosomethyl-n-propylamine</t>
        </is>
      </c>
    </row>
    <row r="603">
      <c r="A603" t="inlineStr">
        <is>
          <t>Bar Carts</t>
        </is>
      </c>
      <c r="BO603" t="inlineStr">
        <is>
          <t>N-Nitrosomethyl-n-tetradecylamine</t>
        </is>
      </c>
    </row>
    <row r="604">
      <c r="A604" t="inlineStr">
        <is>
          <t>Restroom Partitions</t>
        </is>
      </c>
      <c r="BO604" t="inlineStr">
        <is>
          <t>N-Nitrosomethyl-n-undecylamine</t>
        </is>
      </c>
    </row>
    <row r="605">
      <c r="A605" t="inlineStr">
        <is>
          <t>Dining Bowls</t>
        </is>
      </c>
      <c r="BO605" t="inlineStr">
        <is>
          <t>N-Nitroso-N-methylurea</t>
        </is>
      </c>
    </row>
    <row r="606">
      <c r="A606" t="inlineStr">
        <is>
          <t>Plates &amp; Saucers</t>
        </is>
      </c>
      <c r="BO606" t="inlineStr">
        <is>
          <t>N-Nitroso-N-methylurethane</t>
        </is>
      </c>
    </row>
    <row r="607">
      <c r="A607" t="inlineStr">
        <is>
          <t>Flushometer Valves</t>
        </is>
      </c>
      <c r="BO607" t="inlineStr">
        <is>
          <t>N-Nitrosomethylvinylamine</t>
        </is>
      </c>
    </row>
    <row r="608">
      <c r="A608" t="inlineStr">
        <is>
          <t>Institutional Furniture Parts &amp; Accessories</t>
        </is>
      </c>
      <c r="BO608" t="inlineStr">
        <is>
          <t>N-Nitrosomorpholine</t>
        </is>
      </c>
    </row>
    <row r="609">
      <c r="A609" t="inlineStr">
        <is>
          <t>Mattresses</t>
        </is>
      </c>
      <c r="BO609" t="inlineStr">
        <is>
          <t>N-Nitrosonornicotine</t>
        </is>
      </c>
    </row>
    <row r="610">
      <c r="A610" t="inlineStr">
        <is>
          <t>Mattress Foundations</t>
        </is>
      </c>
      <c r="BO610" t="inlineStr">
        <is>
          <t>N-Nitrosopiperidine</t>
        </is>
      </c>
    </row>
    <row r="611">
      <c r="A611" t="inlineStr">
        <is>
          <t>Shutters</t>
        </is>
      </c>
      <c r="BO611" t="inlineStr">
        <is>
          <t>N-Nitrosopyrrolidine</t>
        </is>
      </c>
    </row>
    <row r="612">
      <c r="A612" t="inlineStr">
        <is>
          <t>Table Lamps</t>
        </is>
      </c>
      <c r="BO612" t="inlineStr">
        <is>
          <t>N-Nitrososarcosine</t>
        </is>
      </c>
    </row>
    <row r="613">
      <c r="A613" t="inlineStr">
        <is>
          <t>Decorative Torches</t>
        </is>
      </c>
      <c r="BO613" t="inlineStr">
        <is>
          <t>o-Nitrotoluene</t>
        </is>
      </c>
    </row>
    <row r="614">
      <c r="A614" t="inlineStr">
        <is>
          <t>Dwell Studio</t>
        </is>
      </c>
      <c r="BO614" t="inlineStr">
        <is>
          <t>Nitrous oxide</t>
        </is>
      </c>
    </row>
    <row r="615">
      <c r="A615" t="inlineStr">
        <is>
          <t>Mattress Covers and Protectors</t>
        </is>
      </c>
      <c r="BO615" t="inlineStr">
        <is>
          <t>Norethisterone (Norethindrone)</t>
        </is>
      </c>
    </row>
    <row r="616">
      <c r="A616" t="inlineStr">
        <is>
          <t>Trunks</t>
        </is>
      </c>
      <c r="BO616" t="inlineStr">
        <is>
          <t>Norethisterone acetate (Norethindrone acetate)</t>
        </is>
      </c>
    </row>
    <row r="617">
      <c r="A617" t="inlineStr">
        <is>
          <t>Picture Lights</t>
        </is>
      </c>
      <c r="BO617" t="inlineStr">
        <is>
          <t>Norethisterone (Norethindrone)/Ethinyl estradiol</t>
        </is>
      </c>
    </row>
    <row r="618">
      <c r="A618" t="inlineStr">
        <is>
          <t>Stair Accessories</t>
        </is>
      </c>
      <c r="BO618" t="inlineStr">
        <is>
          <t>Norethynodrel</t>
        </is>
      </c>
    </row>
    <row r="619">
      <c r="A619" t="inlineStr">
        <is>
          <t>Interior Doors</t>
        </is>
      </c>
      <c r="BO619" t="inlineStr">
        <is>
          <t>Norgestrel</t>
        </is>
      </c>
    </row>
    <row r="620">
      <c r="A620" t="inlineStr">
        <is>
          <t>Toilet Seat Decals</t>
        </is>
      </c>
      <c r="BO620" t="inlineStr">
        <is>
          <t>Ochratoxin A</t>
        </is>
      </c>
    </row>
    <row r="621">
      <c r="A621" t="inlineStr">
        <is>
          <t>Molding &amp; Millwork</t>
        </is>
      </c>
      <c r="BO621" t="inlineStr">
        <is>
          <t>Oil Orange SS</t>
        </is>
      </c>
    </row>
    <row r="622">
      <c r="A622" t="inlineStr">
        <is>
          <t>Door Hardware Accessories</t>
        </is>
      </c>
      <c r="BO622" t="inlineStr">
        <is>
          <t>Oral contraceptives, combined</t>
        </is>
      </c>
    </row>
    <row r="623">
      <c r="A623" t="inlineStr">
        <is>
          <t>Outdoor Pizza Ovens</t>
        </is>
      </c>
      <c r="BO623" t="inlineStr">
        <is>
          <t>Oral contraceptives, sequential</t>
        </is>
      </c>
    </row>
    <row r="624">
      <c r="A624" t="inlineStr">
        <is>
          <t>Shower &amp; Tub Accessories</t>
        </is>
      </c>
      <c r="BO624" t="inlineStr">
        <is>
          <t>Oryzalin</t>
        </is>
      </c>
    </row>
    <row r="625">
      <c r="A625" t="inlineStr">
        <is>
          <t>Toilet Brushes &amp; Plungers</t>
        </is>
      </c>
      <c r="BO625" t="inlineStr">
        <is>
          <t>Oxadiazon</t>
        </is>
      </c>
    </row>
    <row r="626">
      <c r="A626" t="inlineStr">
        <is>
          <t>Grab Bars</t>
        </is>
      </c>
      <c r="BO626" t="inlineStr">
        <is>
          <t>Oxazepam</t>
        </is>
      </c>
    </row>
    <row r="627">
      <c r="A627" t="inlineStr">
        <is>
          <t>Commercial Floor Care</t>
        </is>
      </c>
      <c r="BO627" t="inlineStr">
        <is>
          <t>Oxymetholone</t>
        </is>
      </c>
    </row>
    <row r="628">
      <c r="A628" t="inlineStr">
        <is>
          <t>Water Filter Pitchers</t>
        </is>
      </c>
      <c r="BO628" t="inlineStr">
        <is>
          <t>Oxytetracycline (internal use)</t>
        </is>
      </c>
    </row>
    <row r="629">
      <c r="A629" t="inlineStr">
        <is>
          <t>Bookends</t>
        </is>
      </c>
      <c r="BO629" t="inlineStr">
        <is>
          <t>Oxytetracycline hydrochloride (internal use)</t>
        </is>
      </c>
    </row>
    <row r="630">
      <c r="A630" t="inlineStr">
        <is>
          <t>Lawn and Beach Chairs</t>
        </is>
      </c>
      <c r="BO630" t="inlineStr">
        <is>
          <t>Oxythioquinox (Chinomethionat)</t>
        </is>
      </c>
    </row>
    <row r="631">
      <c r="A631" t="inlineStr">
        <is>
          <t>Adirondack Chairs</t>
        </is>
      </c>
      <c r="BO631" t="inlineStr">
        <is>
          <t>Paclitaxel</t>
        </is>
      </c>
    </row>
    <row r="632">
      <c r="A632" t="inlineStr">
        <is>
          <t>Patio Rockers &amp; Gliders</t>
        </is>
      </c>
      <c r="BO632" t="inlineStr">
        <is>
          <t>Palygorskite fibers (&gt; 5mm in length)</t>
        </is>
      </c>
    </row>
    <row r="633">
      <c r="A633" t="inlineStr">
        <is>
          <t>Patio Lounge Chairs</t>
        </is>
      </c>
      <c r="BO633" t="inlineStr">
        <is>
          <t>Panfuran S</t>
        </is>
      </c>
    </row>
    <row r="634">
      <c r="A634" t="inlineStr">
        <is>
          <t>Tapestries and Wall Hangings</t>
        </is>
      </c>
      <c r="BO634" t="inlineStr">
        <is>
          <t>Paramethadione</t>
        </is>
      </c>
    </row>
    <row r="635">
      <c r="A635" t="inlineStr">
        <is>
          <t>Wall Décor</t>
        </is>
      </c>
      <c r="BO635" t="inlineStr">
        <is>
          <t>Parathion</t>
        </is>
      </c>
    </row>
    <row r="636">
      <c r="A636" t="inlineStr">
        <is>
          <t>Life Size Cutouts</t>
        </is>
      </c>
      <c r="BO636" t="inlineStr">
        <is>
          <t>Penicillamine</t>
        </is>
      </c>
    </row>
    <row r="637">
      <c r="A637" t="inlineStr">
        <is>
          <t>Ice Buckets, Beverage Tubs &amp; Chillers</t>
        </is>
      </c>
      <c r="BO637" t="inlineStr">
        <is>
          <t>pentabromodiphenyl ether mixture [DE-71 (technical grade)]</t>
        </is>
      </c>
    </row>
    <row r="638">
      <c r="A638" t="inlineStr">
        <is>
          <t>Memo Boards</t>
        </is>
      </c>
      <c r="BO638" t="inlineStr">
        <is>
          <t>Pentachlorophenol</t>
        </is>
      </c>
    </row>
    <row r="639">
      <c r="A639" t="inlineStr">
        <is>
          <t>Cupolas &amp; Weathervanes</t>
        </is>
      </c>
      <c r="BO639" t="inlineStr">
        <is>
          <t>Pentachlorophenol and by-products of its synthesis (complex mixture)</t>
        </is>
      </c>
    </row>
    <row r="640">
      <c r="A640" t="inlineStr">
        <is>
          <t>Weather Instruments</t>
        </is>
      </c>
      <c r="BO640" t="inlineStr">
        <is>
          <t>Pentobarbital sodium</t>
        </is>
      </c>
    </row>
    <row r="641">
      <c r="A641" t="inlineStr">
        <is>
          <t>Floor Installation Accessories</t>
        </is>
      </c>
      <c r="BO641" t="inlineStr">
        <is>
          <t>Pentosan polysulfate sodium</t>
        </is>
      </c>
    </row>
    <row r="642">
      <c r="A642" t="inlineStr">
        <is>
          <t>Floor Underlayments</t>
        </is>
      </c>
      <c r="BO642" t="inlineStr">
        <is>
          <t>Pentostatin</t>
        </is>
      </c>
    </row>
    <row r="643">
      <c r="A643" t="inlineStr">
        <is>
          <t>Floor Vent Covers</t>
        </is>
      </c>
      <c r="BO643" t="inlineStr">
        <is>
          <t>Perfluorooctane sulfonate (PFOS)</t>
        </is>
      </c>
    </row>
    <row r="644">
      <c r="A644" t="inlineStr">
        <is>
          <t>Wallpaper Sample</t>
        </is>
      </c>
      <c r="BO644" t="inlineStr">
        <is>
          <t>Perfluorooctanoic acid (PFOA)</t>
        </is>
      </c>
    </row>
    <row r="645">
      <c r="A645" t="inlineStr">
        <is>
          <t>Awnings</t>
        </is>
      </c>
      <c r="BO645" t="inlineStr">
        <is>
          <t>Pertuzumab</t>
        </is>
      </c>
    </row>
    <row r="646">
      <c r="A646" t="inlineStr">
        <is>
          <t>Shade Sails</t>
        </is>
      </c>
      <c r="BO646" t="inlineStr">
        <is>
          <t>Phenacemide</t>
        </is>
      </c>
    </row>
    <row r="647">
      <c r="A647" t="inlineStr">
        <is>
          <t>Gazebos</t>
        </is>
      </c>
      <c r="BO647" t="inlineStr">
        <is>
          <t>Phenacetin</t>
        </is>
      </c>
    </row>
    <row r="648">
      <c r="A648" t="inlineStr">
        <is>
          <t>Pergolas</t>
        </is>
      </c>
      <c r="BO648" t="inlineStr">
        <is>
          <t>Phenazopyridine</t>
        </is>
      </c>
    </row>
    <row r="649">
      <c r="A649" t="inlineStr">
        <is>
          <t>Beekeeping Supplies</t>
        </is>
      </c>
      <c r="BO649" t="inlineStr">
        <is>
          <t>Phenazopyridine hydrochloride</t>
        </is>
      </c>
    </row>
    <row r="650">
      <c r="A650" t="inlineStr">
        <is>
          <t>Baking Dishes</t>
        </is>
      </c>
      <c r="BO650" t="inlineStr">
        <is>
          <t>Phenesterin</t>
        </is>
      </c>
    </row>
    <row r="651">
      <c r="A651" t="inlineStr">
        <is>
          <t>Muffin &amp; Cupcake Pans</t>
        </is>
      </c>
      <c r="BO651" t="inlineStr">
        <is>
          <t>Phenobarbital</t>
        </is>
      </c>
    </row>
    <row r="652">
      <c r="A652" t="inlineStr">
        <is>
          <t>Bread &amp; Loaf Pans</t>
        </is>
      </c>
      <c r="BO652" t="inlineStr">
        <is>
          <t>Phenolphthalein</t>
        </is>
      </c>
    </row>
    <row r="653">
      <c r="A653" t="inlineStr">
        <is>
          <t>Bakeware Sets</t>
        </is>
      </c>
      <c r="BO653" t="inlineStr">
        <is>
          <t>Phenoxybenzamine</t>
        </is>
      </c>
    </row>
    <row r="654">
      <c r="A654" t="inlineStr">
        <is>
          <t>Napkin Rings, Place Card Holders &amp; Food Markers</t>
        </is>
      </c>
      <c r="BO654" t="inlineStr">
        <is>
          <t>Phenoxybenzamine hydrochloride</t>
        </is>
      </c>
    </row>
    <row r="655">
      <c r="A655" t="inlineStr">
        <is>
          <t>Entry Sets</t>
        </is>
      </c>
      <c r="BO655" t="inlineStr">
        <is>
          <t>Phenprocoumon</t>
        </is>
      </c>
    </row>
    <row r="656">
      <c r="A656" t="inlineStr">
        <is>
          <t>Door Levers</t>
        </is>
      </c>
      <c r="BO656" t="inlineStr">
        <is>
          <t>o-Phenylenediamine and its salts</t>
        </is>
      </c>
    </row>
    <row r="657">
      <c r="A657" t="inlineStr">
        <is>
          <t>Door Knobs</t>
        </is>
      </c>
      <c r="BO657" t="inlineStr">
        <is>
          <t>Phenylhydrazine and its salts</t>
        </is>
      </c>
    </row>
    <row r="658">
      <c r="A658" t="inlineStr">
        <is>
          <t>Deadbolts</t>
        </is>
      </c>
      <c r="BO658" t="inlineStr">
        <is>
          <t>o-Phenylphenate, sodium</t>
        </is>
      </c>
    </row>
    <row r="659">
      <c r="A659" t="inlineStr">
        <is>
          <t>Door Stops</t>
        </is>
      </c>
      <c r="BO659" t="inlineStr">
        <is>
          <t>o-Phenylphenol</t>
        </is>
      </c>
    </row>
    <row r="660">
      <c r="A660" t="inlineStr">
        <is>
          <t>Door Hinges</t>
        </is>
      </c>
      <c r="BO660" t="inlineStr">
        <is>
          <t>Phenylphosphine</t>
        </is>
      </c>
    </row>
    <row r="661">
      <c r="A661" t="inlineStr">
        <is>
          <t>Canisters &amp; Jars</t>
        </is>
      </c>
      <c r="BO661" t="inlineStr">
        <is>
          <t>PhiP(2-Amino-1-methyl-6-phenylimidazol[4,5-b]pyridine)</t>
        </is>
      </c>
    </row>
    <row r="662">
      <c r="A662" t="inlineStr">
        <is>
          <t>Cabinet Hinges</t>
        </is>
      </c>
      <c r="BO662" t="inlineStr">
        <is>
          <t>Pimozide</t>
        </is>
      </c>
    </row>
    <row r="663">
      <c r="A663" t="inlineStr">
        <is>
          <t>Cabinet and Drawer Backplates</t>
        </is>
      </c>
      <c r="BO663" t="inlineStr">
        <is>
          <t>Pioglitazone</t>
        </is>
      </c>
    </row>
    <row r="664">
      <c r="A664" t="inlineStr">
        <is>
          <t>Cabinet and Drawer Knobs</t>
        </is>
      </c>
      <c r="BO664" t="inlineStr">
        <is>
          <t>Pipobroman</t>
        </is>
      </c>
    </row>
    <row r="665">
      <c r="A665" t="inlineStr">
        <is>
          <t>Drawer Slides</t>
        </is>
      </c>
      <c r="BO665" t="inlineStr">
        <is>
          <t>Pirimicarb</t>
        </is>
      </c>
    </row>
    <row r="666">
      <c r="A666" t="inlineStr">
        <is>
          <t>Waiting Room &amp; Reception Chairs</t>
        </is>
      </c>
      <c r="BO666" t="inlineStr">
        <is>
          <t>Plicamycin</t>
        </is>
      </c>
    </row>
    <row r="667">
      <c r="A667" t="inlineStr">
        <is>
          <t>Reception Sofas</t>
        </is>
      </c>
      <c r="BO667" t="inlineStr">
        <is>
          <t>Polybrominated biphenyls</t>
        </is>
      </c>
    </row>
    <row r="668">
      <c r="A668" t="inlineStr">
        <is>
          <t>Reception Benches</t>
        </is>
      </c>
      <c r="BO668" t="inlineStr">
        <is>
          <t>Polychlorinated biphenyls</t>
        </is>
      </c>
    </row>
    <row r="669">
      <c r="A669" t="inlineStr">
        <is>
          <t>Reception Desks</t>
        </is>
      </c>
      <c r="BO669" t="inlineStr">
        <is>
          <t>Polychlorinated biphenyls (containing 60 or more percent chlorine by molecular weight)</t>
        </is>
      </c>
    </row>
    <row r="670">
      <c r="A670" t="inlineStr">
        <is>
          <t>Ceiling Tiles</t>
        </is>
      </c>
      <c r="BO670" t="inlineStr">
        <is>
          <t>Polychlorinated dibenzo-p-dioxins</t>
        </is>
      </c>
    </row>
    <row r="671">
      <c r="A671" t="inlineStr">
        <is>
          <t>Multichannel-Only (MCO) Fulfillment</t>
        </is>
      </c>
      <c r="BO671" t="inlineStr">
        <is>
          <t>Polychlorinated dibenzofurans</t>
        </is>
      </c>
    </row>
    <row r="672">
      <c r="A672" t="inlineStr">
        <is>
          <t>Poker &amp; Card Tables</t>
        </is>
      </c>
      <c r="BO672" t="inlineStr">
        <is>
          <t>Polygeenan</t>
        </is>
      </c>
    </row>
    <row r="673">
      <c r="A673" t="inlineStr">
        <is>
          <t>Futon Frames</t>
        </is>
      </c>
      <c r="BO673" t="inlineStr">
        <is>
          <t>Ponceau MX</t>
        </is>
      </c>
    </row>
    <row r="674">
      <c r="A674" t="inlineStr">
        <is>
          <t>Shade Accessories</t>
        </is>
      </c>
      <c r="BO674" t="inlineStr">
        <is>
          <t>Ponceau 3R</t>
        </is>
      </c>
    </row>
    <row r="675">
      <c r="A675" t="inlineStr">
        <is>
          <t>Cabinet and Drawer Accessories</t>
        </is>
      </c>
      <c r="BO675" t="inlineStr">
        <is>
          <t>Potassium bromate</t>
        </is>
      </c>
    </row>
    <row r="676">
      <c r="A676" t="inlineStr">
        <is>
          <t>Rain Barrels</t>
        </is>
      </c>
      <c r="BO676" t="inlineStr">
        <is>
          <t>Potassium dimethyldithiocarbamate</t>
        </is>
      </c>
    </row>
    <row r="677">
      <c r="A677" t="inlineStr">
        <is>
          <t>Food Service Racks &amp; Shelving</t>
        </is>
      </c>
      <c r="BO677" t="inlineStr">
        <is>
          <t>Pravastatin sodium</t>
        </is>
      </c>
    </row>
    <row r="678">
      <c r="A678" t="inlineStr">
        <is>
          <t>Shower Panels</t>
        </is>
      </c>
      <c r="BO678" t="inlineStr">
        <is>
          <t>Prednisolone sodium phosphate</t>
        </is>
      </c>
    </row>
    <row r="679">
      <c r="A679" t="inlineStr">
        <is>
          <t>Shower Heads</t>
        </is>
      </c>
      <c r="BO679" t="inlineStr">
        <is>
          <t>Primidone</t>
        </is>
      </c>
    </row>
    <row r="680">
      <c r="A680" t="inlineStr">
        <is>
          <t>Arbors</t>
        </is>
      </c>
      <c r="BO680" t="inlineStr">
        <is>
          <t>Procarbazine</t>
        </is>
      </c>
    </row>
    <row r="681">
      <c r="A681" t="inlineStr">
        <is>
          <t>Teapots &amp; Teapot Sets</t>
        </is>
      </c>
      <c r="BO681" t="inlineStr">
        <is>
          <t>Procarbazine hydrochloride</t>
        </is>
      </c>
    </row>
    <row r="682">
      <c r="A682" t="inlineStr">
        <is>
          <t>Wreaths</t>
        </is>
      </c>
      <c r="BO682" t="inlineStr">
        <is>
          <t>Procymidone</t>
        </is>
      </c>
    </row>
    <row r="683">
      <c r="A683" t="inlineStr">
        <is>
          <t>Radiators</t>
        </is>
      </c>
      <c r="BO683" t="inlineStr">
        <is>
          <t>Progesterone</t>
        </is>
      </c>
    </row>
    <row r="684">
      <c r="A684" t="inlineStr">
        <is>
          <t>Hospitality - Booths</t>
        </is>
      </c>
      <c r="BO684" t="inlineStr">
        <is>
          <t>Pronamide</t>
        </is>
      </c>
    </row>
    <row r="685">
      <c r="A685" t="inlineStr">
        <is>
          <t>Decorative Media Players</t>
        </is>
      </c>
      <c r="BO685" t="inlineStr">
        <is>
          <t>Propachlor</t>
        </is>
      </c>
    </row>
    <row r="686">
      <c r="A686" t="inlineStr">
        <is>
          <t>Exterior Doors</t>
        </is>
      </c>
      <c r="BO686" t="inlineStr">
        <is>
          <t>1,3-Propane sultone</t>
        </is>
      </c>
    </row>
    <row r="687">
      <c r="A687" t="inlineStr">
        <is>
          <t>Large Appliance Warranties</t>
        </is>
      </c>
      <c r="BO687" t="inlineStr">
        <is>
          <t>Propargite</t>
        </is>
      </c>
    </row>
    <row r="688">
      <c r="A688" t="inlineStr">
        <is>
          <t>Washer and Dryer Sets</t>
        </is>
      </c>
      <c r="BO688" t="inlineStr">
        <is>
          <t>Propazine</t>
        </is>
      </c>
    </row>
    <row r="689">
      <c r="A689" t="inlineStr">
        <is>
          <t>Towel Rings</t>
        </is>
      </c>
      <c r="BO689" t="inlineStr">
        <is>
          <t>beta-Propiolactone</t>
        </is>
      </c>
    </row>
    <row r="690">
      <c r="A690" t="inlineStr">
        <is>
          <t>Towel &amp; Robe Hooks</t>
        </is>
      </c>
      <c r="BO690" t="inlineStr">
        <is>
          <t>Propoxur</t>
        </is>
      </c>
    </row>
    <row r="691">
      <c r="A691" t="inlineStr">
        <is>
          <t>Dorm Room Furniture</t>
        </is>
      </c>
      <c r="BO691" t="inlineStr">
        <is>
          <t>Propylene glycol mono-t-butyl ether</t>
        </is>
      </c>
    </row>
    <row r="692">
      <c r="A692" t="inlineStr">
        <is>
          <t>Uniters Rugs</t>
        </is>
      </c>
      <c r="BO692" t="inlineStr">
        <is>
          <t>Propylene oxide</t>
        </is>
      </c>
    </row>
    <row r="693">
      <c r="A693" t="inlineStr">
        <is>
          <t>Small Appliance Warranties</t>
        </is>
      </c>
      <c r="BO693" t="inlineStr">
        <is>
          <t>Propylthiouracil</t>
        </is>
      </c>
    </row>
    <row r="694">
      <c r="A694" t="inlineStr">
        <is>
          <t>String Lights</t>
        </is>
      </c>
      <c r="BO694" t="inlineStr">
        <is>
          <t>Pulegone</t>
        </is>
      </c>
    </row>
    <row r="695">
      <c r="A695" t="inlineStr">
        <is>
          <t>Air Purifiers</t>
        </is>
      </c>
      <c r="BO695" t="inlineStr">
        <is>
          <t>Pymetrozine</t>
        </is>
      </c>
    </row>
    <row r="696">
      <c r="A696" t="inlineStr">
        <is>
          <t>Humidifiers</t>
        </is>
      </c>
      <c r="BO696" t="inlineStr">
        <is>
          <t>Pyridine</t>
        </is>
      </c>
    </row>
    <row r="697">
      <c r="A697" t="inlineStr">
        <is>
          <t>Air Treatment Accessories</t>
        </is>
      </c>
      <c r="BO697" t="inlineStr">
        <is>
          <t>Pyrimethamine</t>
        </is>
      </c>
    </row>
    <row r="698">
      <c r="A698" t="inlineStr">
        <is>
          <t>Dehumidifiers</t>
        </is>
      </c>
      <c r="BO698" t="inlineStr">
        <is>
          <t>Quazepam</t>
        </is>
      </c>
    </row>
    <row r="699">
      <c r="A699" t="inlineStr">
        <is>
          <t>Log Storage</t>
        </is>
      </c>
      <c r="BO699" t="inlineStr">
        <is>
          <t>Quinoline and its strong acid salts</t>
        </is>
      </c>
    </row>
    <row r="700">
      <c r="A700" t="inlineStr">
        <is>
          <t>Crib Sheets</t>
        </is>
      </c>
      <c r="BO700" t="inlineStr">
        <is>
          <t>Radionuclides</t>
        </is>
      </c>
    </row>
    <row r="701">
      <c r="A701" t="inlineStr">
        <is>
          <t>Crib Bedding Accessories</t>
        </is>
      </c>
      <c r="BO701" t="inlineStr">
        <is>
          <t>Reserpine</t>
        </is>
      </c>
    </row>
    <row r="702">
      <c r="A702" t="inlineStr">
        <is>
          <t>Product Credit</t>
        </is>
      </c>
      <c r="BO702" t="inlineStr">
        <is>
          <t>Residual (heavy) fuel oils</t>
        </is>
      </c>
    </row>
    <row r="703">
      <c r="A703" t="inlineStr">
        <is>
          <t>Tabletop Fireplaces</t>
        </is>
      </c>
      <c r="BO703" t="inlineStr">
        <is>
          <t>Resmethrin</t>
        </is>
      </c>
    </row>
    <row r="704">
      <c r="A704" t="inlineStr">
        <is>
          <t>Peel and Stick Backsplash Tile</t>
        </is>
      </c>
      <c r="BO704" t="inlineStr">
        <is>
          <t>Retinol/retinyl esters, when in daily dosages in excess of 10,000 IU, or 3,000 retinol equivalents.</t>
        </is>
      </c>
    </row>
    <row r="705">
      <c r="A705" t="inlineStr">
        <is>
          <t>Kids Step Stools</t>
        </is>
      </c>
      <c r="BO705" t="inlineStr">
        <is>
          <t>Ribavirin</t>
        </is>
      </c>
    </row>
    <row r="706">
      <c r="A706" t="inlineStr">
        <is>
          <t>Shower Curtain Rods</t>
        </is>
      </c>
      <c r="BO706" t="inlineStr">
        <is>
          <t>Riddelliine</t>
        </is>
      </c>
    </row>
    <row r="707">
      <c r="A707" t="inlineStr">
        <is>
          <t>Wall Paneling</t>
        </is>
      </c>
      <c r="BO707" t="inlineStr">
        <is>
          <t>Rifampin</t>
        </is>
      </c>
    </row>
    <row r="708">
      <c r="A708" t="inlineStr">
        <is>
          <t>House Letters &amp; Numbers</t>
        </is>
      </c>
      <c r="BO708" t="inlineStr">
        <is>
          <t>Safrole</t>
        </is>
      </c>
    </row>
    <row r="709">
      <c r="A709" t="inlineStr">
        <is>
          <t>Lighting Warranties</t>
        </is>
      </c>
      <c r="BO709" t="inlineStr">
        <is>
          <t>Salted fish, Chinese-style</t>
        </is>
      </c>
    </row>
    <row r="710">
      <c r="A710" t="inlineStr">
        <is>
          <t>Handy</t>
        </is>
      </c>
      <c r="BO710" t="inlineStr">
        <is>
          <t>Secobarbital sodium</t>
        </is>
      </c>
    </row>
    <row r="711">
      <c r="A711" t="inlineStr">
        <is>
          <t>Soft Seating</t>
        </is>
      </c>
      <c r="BO711" t="inlineStr">
        <is>
          <t>Sedaxane</t>
        </is>
      </c>
    </row>
    <row r="712">
      <c r="A712" t="inlineStr">
        <is>
          <t>Uniters Renovation - Plumbing</t>
        </is>
      </c>
      <c r="BO712" t="inlineStr">
        <is>
          <t>Selenium sulfide</t>
        </is>
      </c>
    </row>
    <row r="713">
      <c r="A713" t="inlineStr">
        <is>
          <t>Planter Accessories</t>
        </is>
      </c>
      <c r="BO713" t="inlineStr">
        <is>
          <t>Sermorelin acetate</t>
        </is>
      </c>
    </row>
    <row r="714">
      <c r="A714" t="inlineStr">
        <is>
          <t>Charcoal Grills</t>
        </is>
      </c>
      <c r="BO714" t="inlineStr">
        <is>
          <t>Shale-oils</t>
        </is>
      </c>
    </row>
    <row r="715">
      <c r="A715" t="inlineStr">
        <is>
          <t>Track Lighting Kits</t>
        </is>
      </c>
      <c r="BO715" t="inlineStr">
        <is>
          <t>Silica, crystalline (airborne particles of respirable size)</t>
        </is>
      </c>
    </row>
    <row r="716">
      <c r="A716" t="inlineStr">
        <is>
          <t>Recessed Lighting Kits</t>
        </is>
      </c>
      <c r="BO716" t="inlineStr">
        <is>
          <t>Simazine</t>
        </is>
      </c>
    </row>
    <row r="717">
      <c r="A717" t="inlineStr">
        <is>
          <t>Track Lighting Heads &amp; Pendants</t>
        </is>
      </c>
      <c r="BO717" t="inlineStr">
        <is>
          <t>Sodium dimethyldithiocarbamate</t>
        </is>
      </c>
    </row>
    <row r="718">
      <c r="A718" t="inlineStr">
        <is>
          <t>Track Lighting Tracks, Rails &amp; Connectors</t>
        </is>
      </c>
      <c r="BO718" t="inlineStr">
        <is>
          <t>Soots, tars, and mineral oils (untreated and mildly treated oils and used engine oils)</t>
        </is>
      </c>
    </row>
    <row r="719">
      <c r="A719" t="inlineStr">
        <is>
          <t>Recessed Lighting Trims</t>
        </is>
      </c>
      <c r="BO719" t="inlineStr">
        <is>
          <t>Spirodiclofen</t>
        </is>
      </c>
    </row>
    <row r="720">
      <c r="A720" t="inlineStr">
        <is>
          <t>Wall Organizers, Wall Baskets, and Key Organizers</t>
        </is>
      </c>
      <c r="BO720" t="inlineStr">
        <is>
          <t>Spironolactone</t>
        </is>
      </c>
    </row>
    <row r="721">
      <c r="A721" t="inlineStr">
        <is>
          <t>Coffee Pods &amp; K-Cups</t>
        </is>
      </c>
      <c r="BO721" t="inlineStr">
        <is>
          <t>Stanozolol</t>
        </is>
      </c>
    </row>
    <row r="722">
      <c r="A722" t="inlineStr">
        <is>
          <t>Curtains, Drapes, &amp; Valences Samples</t>
        </is>
      </c>
      <c r="BO722" t="inlineStr">
        <is>
          <t>Sterigmatocystin</t>
        </is>
      </c>
    </row>
    <row r="723">
      <c r="A723" t="inlineStr">
        <is>
          <t>Large Appliances Fulfillment Services</t>
        </is>
      </c>
      <c r="BO723" t="inlineStr">
        <is>
          <t>Streptomycin sulfate</t>
        </is>
      </c>
    </row>
    <row r="724">
      <c r="A724" t="inlineStr">
        <is>
          <t>Outdoor Structures &amp; Spa Warranties</t>
        </is>
      </c>
      <c r="BO724" t="inlineStr">
        <is>
          <t>Streptozocin (streptozotocin)</t>
        </is>
      </c>
    </row>
    <row r="725">
      <c r="A725" t="inlineStr">
        <is>
          <t>Portable Washers &amp; Dryers</t>
        </is>
      </c>
      <c r="BO725" t="inlineStr">
        <is>
          <t>Streptozotocin (streptozocin)</t>
        </is>
      </c>
    </row>
    <row r="726">
      <c r="A726" t="inlineStr">
        <is>
          <t>Adjustable Beds</t>
        </is>
      </c>
      <c r="BO726" t="inlineStr">
        <is>
          <t>Strong inorganic acid mists containing sulfuric acid</t>
        </is>
      </c>
    </row>
    <row r="727">
      <c r="A727" t="inlineStr">
        <is>
          <t>Closet Organizer Accessories</t>
        </is>
      </c>
      <c r="BO727" t="inlineStr">
        <is>
          <t>Styrene</t>
        </is>
      </c>
    </row>
    <row r="728">
      <c r="A728" t="inlineStr">
        <is>
          <t>Shower Benches</t>
        </is>
      </c>
      <c r="BO728" t="inlineStr">
        <is>
          <t>Styrene oxide</t>
        </is>
      </c>
    </row>
    <row r="729">
      <c r="A729" t="inlineStr">
        <is>
          <t>Placemats, Chargers, &amp; Napkins</t>
        </is>
      </c>
      <c r="BO729" t="inlineStr">
        <is>
          <t>Sulfallate</t>
        </is>
      </c>
    </row>
    <row r="730">
      <c r="A730" t="inlineStr">
        <is>
          <t>Clothing &amp; Garment Racks</t>
        </is>
      </c>
      <c r="BO730" t="inlineStr">
        <is>
          <t>Sulfasalazine (Salicylazosulfapyridine)</t>
        </is>
      </c>
    </row>
    <row r="731">
      <c r="A731" t="inlineStr">
        <is>
          <t>Nursery Furniture Sets</t>
        </is>
      </c>
      <c r="BO731" t="inlineStr">
        <is>
          <t>Sulfur dioxidee</t>
        </is>
      </c>
    </row>
    <row r="732">
      <c r="A732" t="inlineStr">
        <is>
          <t>Wood Pellet Grills</t>
        </is>
      </c>
      <c r="BO732" t="inlineStr">
        <is>
          <t>Sulindac</t>
        </is>
      </c>
    </row>
    <row r="733">
      <c r="A733" t="inlineStr">
        <is>
          <t>Wayfair Registry</t>
        </is>
      </c>
      <c r="BO733" t="inlineStr">
        <is>
          <t>Talc containing asbestiform fibers</t>
        </is>
      </c>
    </row>
    <row r="734">
      <c r="A734" t="inlineStr">
        <is>
          <t>Beauty Organizers</t>
        </is>
      </c>
      <c r="BO734" t="inlineStr">
        <is>
          <t>Tamoxifen and its salts</t>
        </is>
      </c>
    </row>
    <row r="735">
      <c r="A735" t="inlineStr">
        <is>
          <t>Security Lighting</t>
        </is>
      </c>
      <c r="BO735" t="inlineStr">
        <is>
          <t>Tamoxifen citrate</t>
        </is>
      </c>
    </row>
    <row r="736">
      <c r="A736" t="inlineStr">
        <is>
          <t>Fireplace Screens &amp; Doors</t>
        </is>
      </c>
      <c r="BO736" t="inlineStr">
        <is>
          <t>Temazepam</t>
        </is>
      </c>
    </row>
    <row r="737">
      <c r="A737" t="inlineStr">
        <is>
          <t>Garden Accents</t>
        </is>
      </c>
      <c r="BO737" t="inlineStr">
        <is>
          <t>Teniposide</t>
        </is>
      </c>
    </row>
    <row r="738">
      <c r="A738" t="inlineStr">
        <is>
          <t>Evaporative Coolers</t>
        </is>
      </c>
      <c r="BO738" t="inlineStr">
        <is>
          <t>Terbacil</t>
        </is>
      </c>
    </row>
    <row r="739">
      <c r="A739" t="inlineStr">
        <is>
          <t>Bathrobes</t>
        </is>
      </c>
      <c r="BO739" t="inlineStr">
        <is>
          <t>Teriparatide</t>
        </is>
      </c>
    </row>
    <row r="740">
      <c r="A740" t="inlineStr">
        <is>
          <t>Outdoor Wall Decor</t>
        </is>
      </c>
      <c r="BO740" t="inlineStr">
        <is>
          <t>Terrazole</t>
        </is>
      </c>
    </row>
    <row r="741">
      <c r="A741" t="inlineStr">
        <is>
          <t>Doormats</t>
        </is>
      </c>
      <c r="BO741" t="inlineStr">
        <is>
          <t>Testosterone and its esters</t>
        </is>
      </c>
    </row>
    <row r="742">
      <c r="A742" t="inlineStr">
        <is>
          <t>Kitchen Mats</t>
        </is>
      </c>
      <c r="BO742" t="inlineStr">
        <is>
          <t>Testosterone cypionate</t>
        </is>
      </c>
    </row>
    <row r="743">
      <c r="A743" t="inlineStr">
        <is>
          <t>Decorative Boxes</t>
        </is>
      </c>
      <c r="BO743" t="inlineStr">
        <is>
          <t>Testosterone enanthate</t>
        </is>
      </c>
    </row>
    <row r="744">
      <c r="A744" t="inlineStr">
        <is>
          <t>Microfridge Combo Units</t>
        </is>
      </c>
      <c r="BO744" t="inlineStr">
        <is>
          <t>Tetrabromobisphenol A</t>
        </is>
      </c>
    </row>
    <row r="745">
      <c r="A745" t="inlineStr">
        <is>
          <t>Gas Fireplaces</t>
        </is>
      </c>
      <c r="BO745" t="inlineStr">
        <is>
          <t>3,3',4,4'-Tetrachloroazobenzene</t>
        </is>
      </c>
    </row>
    <row r="746">
      <c r="A746" t="inlineStr">
        <is>
          <t>Barn Door Hardware</t>
        </is>
      </c>
      <c r="BO746" t="inlineStr">
        <is>
          <t>2,3,7,8-Tetrachlorodibenzo-p-dioxin (TCDD)</t>
        </is>
      </c>
    </row>
    <row r="747">
      <c r="A747" t="inlineStr">
        <is>
          <t>Fabric Samples</t>
        </is>
      </c>
      <c r="BO747" t="inlineStr">
        <is>
          <t>1,1,1,2-Tetrachloroethane</t>
        </is>
      </c>
    </row>
    <row r="748">
      <c r="A748" t="inlineStr">
        <is>
          <t>Glass Sample</t>
        </is>
      </c>
      <c r="BO748" t="inlineStr">
        <is>
          <t>1,1,2,2-Tetrachloroethane</t>
        </is>
      </c>
    </row>
    <row r="749">
      <c r="A749" t="inlineStr">
        <is>
          <t>Metal Sample</t>
        </is>
      </c>
      <c r="BO749" t="inlineStr">
        <is>
          <t>Tetrachloroethylene (Perchloroethylene)</t>
        </is>
      </c>
    </row>
    <row r="750">
      <c r="A750" t="inlineStr">
        <is>
          <t>Plastic Sample</t>
        </is>
      </c>
      <c r="BO750" t="inlineStr">
        <is>
          <t>p-a,a,a-Tetrachlorotoluene</t>
        </is>
      </c>
    </row>
    <row r="751">
      <c r="A751" t="inlineStr">
        <is>
          <t>Ceramic/Stone Sample</t>
        </is>
      </c>
      <c r="BO751" t="inlineStr">
        <is>
          <t>Tetrachlorvinphos</t>
        </is>
      </c>
    </row>
    <row r="752">
      <c r="A752" t="inlineStr">
        <is>
          <t>Wicker/Rattan Sample</t>
        </is>
      </c>
      <c r="BO752" t="inlineStr">
        <is>
          <t>Tetracycline (internal use)</t>
        </is>
      </c>
    </row>
    <row r="753">
      <c r="A753" t="inlineStr">
        <is>
          <t>Textile Sample</t>
        </is>
      </c>
      <c r="BO753" t="inlineStr">
        <is>
          <t>Tetracyclines (internal use)</t>
        </is>
      </c>
    </row>
    <row r="754">
      <c r="A754" t="inlineStr">
        <is>
          <t>Thermostats</t>
        </is>
      </c>
      <c r="BO754" t="inlineStr">
        <is>
          <t>Tetracycline hydrochloride (internal use)</t>
        </is>
      </c>
    </row>
    <row r="755">
      <c r="A755" t="inlineStr">
        <is>
          <t>Restaurant Table Bases</t>
        </is>
      </c>
      <c r="BO755" t="inlineStr">
        <is>
          <t>Tetrafluoroethylene</t>
        </is>
      </c>
    </row>
    <row r="756">
      <c r="A756" t="inlineStr">
        <is>
          <t>Restaurant Tables</t>
        </is>
      </c>
      <c r="BO756" t="inlineStr">
        <is>
          <t>Tetranitromethane</t>
        </is>
      </c>
    </row>
    <row r="757">
      <c r="A757" t="inlineStr">
        <is>
          <t>Outdoor Flush Mounts</t>
        </is>
      </c>
      <c r="BO757" t="inlineStr">
        <is>
          <t>Thalidomide</t>
        </is>
      </c>
    </row>
    <row r="758">
      <c r="A758" t="inlineStr">
        <is>
          <t>Novelty Lighting</t>
        </is>
      </c>
      <c r="BO758" t="inlineStr">
        <is>
          <t>Thioacetamide</t>
        </is>
      </c>
    </row>
    <row r="759">
      <c r="A759" t="inlineStr">
        <is>
          <t>Kitchen Appliance Packages</t>
        </is>
      </c>
      <c r="BO759" t="inlineStr">
        <is>
          <t>4,4'-Thiodianiline</t>
        </is>
      </c>
    </row>
    <row r="760">
      <c r="A760" t="inlineStr">
        <is>
          <t>Commercial Cooking Equipment</t>
        </is>
      </c>
      <c r="BO760" t="inlineStr">
        <is>
          <t>Thiodicarb</t>
        </is>
      </c>
    </row>
    <row r="761">
      <c r="A761" t="inlineStr">
        <is>
          <t>Commercial Work Tables</t>
        </is>
      </c>
      <c r="BO761" t="inlineStr">
        <is>
          <t>Thioguanine</t>
        </is>
      </c>
    </row>
    <row r="762">
      <c r="A762" t="inlineStr">
        <is>
          <t>Countertop Ovens &amp; Cookers</t>
        </is>
      </c>
      <c r="BO762" t="inlineStr">
        <is>
          <t>Thiouracil</t>
        </is>
      </c>
    </row>
    <row r="763">
      <c r="A763" t="inlineStr">
        <is>
          <t>Commercial Ovens &amp; Ranges</t>
        </is>
      </c>
      <c r="BO763" t="inlineStr">
        <is>
          <t>Thiourea</t>
        </is>
      </c>
    </row>
    <row r="764">
      <c r="A764" t="inlineStr">
        <is>
          <t>Commercial Refrigerators &amp; Freezers</t>
        </is>
      </c>
      <c r="BO764" t="inlineStr">
        <is>
          <t>Thorium dioxide</t>
        </is>
      </c>
    </row>
    <row r="765">
      <c r="A765" t="inlineStr">
        <is>
          <t>Knife Storage</t>
        </is>
      </c>
      <c r="BO765" t="inlineStr">
        <is>
          <t>Titanium dioxide (airborne, unbound particles of respirable size)</t>
        </is>
      </c>
    </row>
    <row r="766">
      <c r="A766" t="inlineStr">
        <is>
          <t>Buffet Accessories</t>
        </is>
      </c>
      <c r="BO766" t="inlineStr">
        <is>
          <t>Tobacco, oral use of smokeless products</t>
        </is>
      </c>
    </row>
    <row r="767">
      <c r="A767" t="inlineStr">
        <is>
          <t>Smart &amp; Electronic Door Locks</t>
        </is>
      </c>
      <c r="BO767" t="inlineStr">
        <is>
          <t>Tobacco smoke</t>
        </is>
      </c>
    </row>
    <row r="768">
      <c r="A768" t="inlineStr">
        <is>
          <t>Privacy Booths</t>
        </is>
      </c>
      <c r="BO768" t="inlineStr">
        <is>
          <t>Tobacco smoke (primary)</t>
        </is>
      </c>
    </row>
    <row r="769">
      <c r="A769" t="inlineStr">
        <is>
          <t>Interactive Tables</t>
        </is>
      </c>
      <c r="BO769" t="inlineStr">
        <is>
          <t>Tobramycin sulfate</t>
        </is>
      </c>
    </row>
    <row r="770">
      <c r="A770" t="inlineStr">
        <is>
          <t>Ceiling Fan Parts and Accessories</t>
        </is>
      </c>
      <c r="BO770" t="inlineStr">
        <is>
          <t>Toluene</t>
        </is>
      </c>
    </row>
    <row r="771">
      <c r="A771" t="inlineStr">
        <is>
          <t>Bar Equipment &amp; Accessories</t>
        </is>
      </c>
      <c r="BO771" t="inlineStr">
        <is>
          <t>Toluene diisocyanate</t>
        </is>
      </c>
    </row>
    <row r="772">
      <c r="A772" t="inlineStr">
        <is>
          <t>Footboards</t>
        </is>
      </c>
      <c r="BO772" t="inlineStr">
        <is>
          <t>o-Toluidine</t>
        </is>
      </c>
    </row>
    <row r="773">
      <c r="A773" t="inlineStr">
        <is>
          <t>Outdoor Kitchens</t>
        </is>
      </c>
      <c r="BO773" t="inlineStr">
        <is>
          <t>o-Toluidine hydrochloride</t>
        </is>
      </c>
    </row>
    <row r="774">
      <c r="A774" t="inlineStr">
        <is>
          <t>Teen Beds</t>
        </is>
      </c>
      <c r="BO774" t="inlineStr">
        <is>
          <t>Topiramate</t>
        </is>
      </c>
    </row>
    <row r="775">
      <c r="A775" t="inlineStr">
        <is>
          <t>Teen Bookcases</t>
        </is>
      </c>
      <c r="BO775" t="inlineStr">
        <is>
          <t>Toxaphene (Polychlorinated camphenes)</t>
        </is>
      </c>
    </row>
    <row r="776">
      <c r="A776" t="inlineStr">
        <is>
          <t>Teens Headboards</t>
        </is>
      </c>
      <c r="BO776" t="inlineStr">
        <is>
          <t>Toxins derived from Fusarium moniliforme (Fusarium verticillioides)</t>
        </is>
      </c>
    </row>
    <row r="777">
      <c r="A777" t="inlineStr">
        <is>
          <t>Teen Nightstands</t>
        </is>
      </c>
      <c r="BO777" t="inlineStr">
        <is>
          <t>Treosulfan</t>
        </is>
      </c>
    </row>
    <row r="778">
      <c r="A778" t="inlineStr">
        <is>
          <t>Teen Dressers</t>
        </is>
      </c>
      <c r="BO778" t="inlineStr">
        <is>
          <t>Triadimefon</t>
        </is>
      </c>
    </row>
    <row r="779">
      <c r="A779" t="inlineStr">
        <is>
          <t>Square Trade - Plumbing Core</t>
        </is>
      </c>
      <c r="BO779" t="inlineStr">
        <is>
          <t>Triamterene</t>
        </is>
      </c>
    </row>
    <row r="780">
      <c r="A780" t="inlineStr">
        <is>
          <t>Square Trade - Plumbing Vanities</t>
        </is>
      </c>
      <c r="BO780" t="inlineStr">
        <is>
          <t>Triazolam</t>
        </is>
      </c>
    </row>
    <row r="781">
      <c r="A781" t="inlineStr">
        <is>
          <t>Changing Table Toppers</t>
        </is>
      </c>
      <c r="BO781" t="inlineStr">
        <is>
          <t>S,S,S-Tributyl phosphorotrithioate (Tribufos, DEF)</t>
        </is>
      </c>
    </row>
    <row r="782">
      <c r="A782" t="inlineStr">
        <is>
          <t>Square Trade - Upholstery Niche</t>
        </is>
      </c>
      <c r="BO782" t="inlineStr">
        <is>
          <t>Tributyltin methacrylate</t>
        </is>
      </c>
    </row>
    <row r="783">
      <c r="A783" t="inlineStr">
        <is>
          <t>Teacher Desks</t>
        </is>
      </c>
      <c r="BO783" t="inlineStr">
        <is>
          <t>Trichlormethine (Trimustine hydrochloride)</t>
        </is>
      </c>
    </row>
    <row r="784">
      <c r="A784" t="inlineStr">
        <is>
          <t>Study Carrels</t>
        </is>
      </c>
      <c r="BO784" t="inlineStr">
        <is>
          <t>Trichloroacetic acid</t>
        </is>
      </c>
    </row>
    <row r="785">
      <c r="A785" t="inlineStr">
        <is>
          <t>Toasters</t>
        </is>
      </c>
      <c r="BO785" t="inlineStr">
        <is>
          <t>Trichloroethylene</t>
        </is>
      </c>
    </row>
    <row r="786">
      <c r="A786" t="inlineStr">
        <is>
          <t>Wall Plates</t>
        </is>
      </c>
      <c r="BO786" t="inlineStr">
        <is>
          <t>2,4,6-Trichlorophenol</t>
        </is>
      </c>
    </row>
    <row r="787">
      <c r="A787" t="inlineStr">
        <is>
          <t>Square Trade - Kitchen and Dining</t>
        </is>
      </c>
      <c r="BO787" t="inlineStr">
        <is>
          <t>1,2,3-Trichloropropane</t>
        </is>
      </c>
    </row>
    <row r="788">
      <c r="A788" t="inlineStr">
        <is>
          <t>Square Trade - Upholstery</t>
        </is>
      </c>
      <c r="BO788" t="inlineStr">
        <is>
          <t>Trientine hydrochloride</t>
        </is>
      </c>
    </row>
    <row r="789">
      <c r="A789" t="inlineStr">
        <is>
          <t>Square Trade Rugs</t>
        </is>
      </c>
      <c r="BO789" t="inlineStr">
        <is>
          <t>Triforine</t>
        </is>
      </c>
    </row>
    <row r="790">
      <c r="A790" t="inlineStr">
        <is>
          <t>Square Trade - Youth</t>
        </is>
      </c>
      <c r="BO790" t="inlineStr">
        <is>
          <t>Trilostane</t>
        </is>
      </c>
    </row>
    <row r="791">
      <c r="A791" t="inlineStr">
        <is>
          <t>Square Trade - Office</t>
        </is>
      </c>
      <c r="BO791" t="inlineStr">
        <is>
          <t>Trimethadione</t>
        </is>
      </c>
    </row>
    <row r="792">
      <c r="A792" t="inlineStr">
        <is>
          <t>Guest Room Sets</t>
        </is>
      </c>
      <c r="BO792" t="inlineStr">
        <is>
          <t>2,4,5-Trimethylaniline and its strong acid salts</t>
        </is>
      </c>
    </row>
    <row r="793">
      <c r="A793" t="inlineStr">
        <is>
          <t>Square Trade - Utility Bedding</t>
        </is>
      </c>
      <c r="BO793" t="inlineStr">
        <is>
          <t>Trimethyl phosphate</t>
        </is>
      </c>
    </row>
    <row r="794">
      <c r="A794" t="inlineStr">
        <is>
          <t>Square Trade - Mattresses</t>
        </is>
      </c>
      <c r="BO794" t="inlineStr">
        <is>
          <t>Trimetrexate glucuronate</t>
        </is>
      </c>
    </row>
    <row r="795">
      <c r="A795" t="inlineStr">
        <is>
          <t>Underfloor Heating</t>
        </is>
      </c>
      <c r="BO795" t="inlineStr">
        <is>
          <t>2,4,6-Trinitrotoluene (TNT)</t>
        </is>
      </c>
    </row>
    <row r="796">
      <c r="A796" t="inlineStr">
        <is>
          <t>Can Openers, Food Scales &amp; Packaging Appliances</t>
        </is>
      </c>
      <c r="BO796" t="inlineStr">
        <is>
          <t>Triphenyltin hydroxide</t>
        </is>
      </c>
    </row>
    <row r="797">
      <c r="A797" t="inlineStr">
        <is>
          <t>Specialized Food Preparation</t>
        </is>
      </c>
      <c r="BO797" t="inlineStr">
        <is>
          <t>Tris(1-aziridinyl)phosphine sulfide (Thiotepa)</t>
        </is>
      </c>
    </row>
    <row r="798">
      <c r="A798" t="inlineStr">
        <is>
          <t>Design Services</t>
        </is>
      </c>
      <c r="BO798" t="inlineStr">
        <is>
          <t>Tris(2-chloroethyl) phosphate</t>
        </is>
      </c>
    </row>
    <row r="799">
      <c r="A799" t="inlineStr">
        <is>
          <t>Rice Cookers and Food Steamers</t>
        </is>
      </c>
      <c r="BO799" t="inlineStr">
        <is>
          <t>Tris(2,3-dibromopropyl)phosphate</t>
        </is>
      </c>
    </row>
    <row r="800">
      <c r="A800" t="inlineStr">
        <is>
          <t>Water Bottles, Travel Mugs &amp; Tumblers</t>
        </is>
      </c>
      <c r="BO800" t="inlineStr">
        <is>
          <t>Tris(1,3-dichloro-2-propyl) phosphate (TDCPP)</t>
        </is>
      </c>
    </row>
    <row r="801">
      <c r="A801" t="inlineStr">
        <is>
          <t>Wood Samples</t>
        </is>
      </c>
      <c r="BO801" t="inlineStr">
        <is>
          <t>Trp-P-1 (Tryptophan-P-1)</t>
        </is>
      </c>
    </row>
    <row r="802">
      <c r="A802" t="inlineStr">
        <is>
          <t>Kitchen Sink Storage</t>
        </is>
      </c>
      <c r="BO802" t="inlineStr">
        <is>
          <t>Trp-P-2 (Tryptophan-P-2)</t>
        </is>
      </c>
    </row>
    <row r="803">
      <c r="A803" t="inlineStr">
        <is>
          <t>Bed Accessories</t>
        </is>
      </c>
      <c r="BO803" t="inlineStr">
        <is>
          <t>Trypan blue (commercial grade)</t>
        </is>
      </c>
    </row>
    <row r="804">
      <c r="A804" t="inlineStr">
        <is>
          <t>Square Trade - Nursery</t>
        </is>
      </c>
      <c r="BO804" t="inlineStr">
        <is>
          <t>Unleaded gasoline (wholly vaporized)</t>
        </is>
      </c>
    </row>
    <row r="805">
      <c r="A805" t="inlineStr">
        <is>
          <t>Square Trade - Hardware</t>
        </is>
      </c>
      <c r="BO805" t="inlineStr">
        <is>
          <t>Uracil mustard</t>
        </is>
      </c>
    </row>
    <row r="806">
      <c r="A806" t="inlineStr">
        <is>
          <t>Stationery &amp; Coffee Table Books</t>
        </is>
      </c>
      <c r="BO806" t="inlineStr">
        <is>
          <t>Urethane (Ethyl carbamate)</t>
        </is>
      </c>
    </row>
    <row r="807">
      <c r="A807" t="inlineStr">
        <is>
          <t>Teen Bedding</t>
        </is>
      </c>
      <c r="BO807" t="inlineStr">
        <is>
          <t>Urofollitropin</t>
        </is>
      </c>
    </row>
    <row r="808">
      <c r="A808" t="inlineStr">
        <is>
          <t>Beverage Refrigerators &amp; Coolers</t>
        </is>
      </c>
      <c r="BO808" t="inlineStr">
        <is>
          <t>Valproate (Valproic acid)</t>
        </is>
      </c>
    </row>
    <row r="809">
      <c r="A809" t="inlineStr">
        <is>
          <t>Reception Sets</t>
        </is>
      </c>
      <c r="BO809" t="inlineStr">
        <is>
          <t>Vanadium pentoxide (orthorhombic crystalline form)</t>
        </is>
      </c>
    </row>
    <row r="810">
      <c r="A810" t="inlineStr">
        <is>
          <t>Commercial Plumbing Parts &amp; Accessories</t>
        </is>
      </c>
      <c r="BO810" t="inlineStr">
        <is>
          <t>Vinblastine sulfate</t>
        </is>
      </c>
    </row>
    <row r="811">
      <c r="A811" t="inlineStr">
        <is>
          <t>Christmas Tree Skirts &amp; Collars</t>
        </is>
      </c>
      <c r="BO811" t="inlineStr">
        <is>
          <t>Vinclozolin</t>
        </is>
      </c>
    </row>
    <row r="812">
      <c r="A812" t="inlineStr">
        <is>
          <t>Teen Desks</t>
        </is>
      </c>
      <c r="BO812" t="inlineStr">
        <is>
          <t>Vincristine sulfate</t>
        </is>
      </c>
    </row>
    <row r="813">
      <c r="A813" t="inlineStr">
        <is>
          <t>Deep Fryers</t>
        </is>
      </c>
      <c r="BO813" t="inlineStr">
        <is>
          <t>Vinyl bromide</t>
        </is>
      </c>
    </row>
    <row r="814">
      <c r="A814" t="inlineStr">
        <is>
          <t>Square Trade Fireplaces &amp; Grills</t>
        </is>
      </c>
      <c r="BO814" t="inlineStr">
        <is>
          <t>Vinyl chloride</t>
        </is>
      </c>
    </row>
    <row r="815">
      <c r="A815" t="inlineStr">
        <is>
          <t>Square Trade Storage &amp; Organization</t>
        </is>
      </c>
      <c r="BO815" t="inlineStr">
        <is>
          <t>4-Vinylcyclohexene</t>
        </is>
      </c>
    </row>
    <row r="816">
      <c r="A816" t="inlineStr">
        <is>
          <t>Playground Flooring</t>
        </is>
      </c>
      <c r="BO816" t="inlineStr">
        <is>
          <t>4-Vinyl-1-cyclohexene diepoxide (Vinyl cyclohexenedioxide)</t>
        </is>
      </c>
    </row>
    <row r="817">
      <c r="A817" t="inlineStr">
        <is>
          <t>Shower Curtain Hooks and Accessories</t>
        </is>
      </c>
      <c r="BO817" t="inlineStr">
        <is>
          <t>Vinyl fluoride</t>
        </is>
      </c>
    </row>
    <row r="818">
      <c r="A818" t="inlineStr">
        <is>
          <t>Gift Cards for Physical Store</t>
        </is>
      </c>
      <c r="BO818" t="inlineStr">
        <is>
          <t>Vinylidene chloride (1,1-Dichloroethylene)</t>
        </is>
      </c>
    </row>
    <row r="819">
      <c r="A819" t="inlineStr">
        <is>
          <t>Teen Desk Chairs</t>
        </is>
      </c>
      <c r="BO819" t="inlineStr">
        <is>
          <t>Vinyl trichloride (1,1,2-Trichloroethane)</t>
        </is>
      </c>
    </row>
    <row r="820">
      <c r="A820" t="inlineStr">
        <is>
          <t>Kids Cots</t>
        </is>
      </c>
      <c r="BO820" t="inlineStr">
        <is>
          <t>Warfarin</t>
        </is>
      </c>
    </row>
    <row r="821">
      <c r="A821" t="inlineStr">
        <is>
          <t>True Components</t>
        </is>
      </c>
      <c r="BO821" t="inlineStr">
        <is>
          <t>Wood dust</t>
        </is>
      </c>
    </row>
    <row r="822">
      <c r="A822" t="inlineStr">
        <is>
          <t>Pet Food Storage Containers &amp; Treat Jars</t>
        </is>
      </c>
      <c r="BO822" t="inlineStr">
        <is>
          <t>2,6-Xylidine (2,6-Dimethylaniline)</t>
        </is>
      </c>
    </row>
    <row r="823">
      <c r="A823" t="inlineStr">
        <is>
          <t>Restaurant Table Tops</t>
        </is>
      </c>
      <c r="BO823" t="inlineStr">
        <is>
          <t>Zalcitabine</t>
        </is>
      </c>
    </row>
    <row r="824">
      <c r="A824" t="inlineStr">
        <is>
          <t>One-of-a-Kind Rugs</t>
        </is>
      </c>
      <c r="BO824" t="inlineStr">
        <is>
          <t>Zidovudine (AZT)</t>
        </is>
      </c>
    </row>
    <row r="825">
      <c r="A825" t="inlineStr">
        <is>
          <t>Reading Benches &amp; Chairs</t>
        </is>
      </c>
      <c r="BO825" t="inlineStr">
        <is>
          <t>Zileuton</t>
        </is>
      </c>
    </row>
    <row r="826">
      <c r="A826" t="inlineStr">
        <is>
          <t>Tree &amp; Novelty Garlands</t>
        </is>
      </c>
      <c r="BO826" t="inlineStr">
        <is>
          <t>2-Bromopropane (2-BP)</t>
        </is>
      </c>
    </row>
    <row r="827">
      <c r="A827" t="inlineStr">
        <is>
          <t>Protection Plans</t>
        </is>
      </c>
      <c r="BO827" t="inlineStr">
        <is>
          <t>2-Chloropropionic acid</t>
        </is>
      </c>
    </row>
    <row r="828">
      <c r="A828" t="inlineStr">
        <is>
          <t>Laundry Accessories</t>
        </is>
      </c>
      <c r="BO828" t="inlineStr">
        <is>
          <t>Di-n-hexyl phthalate (DnHP)</t>
        </is>
      </c>
    </row>
    <row r="829">
      <c r="A829" t="inlineStr">
        <is>
          <t>Shower Walls</t>
        </is>
      </c>
      <c r="BO829" t="inlineStr">
        <is>
          <t>m-Dinitrobenzene</t>
        </is>
      </c>
    </row>
    <row r="830">
      <c r="A830" t="inlineStr">
        <is>
          <t>Fencing Accessories</t>
        </is>
      </c>
      <c r="BO830" t="inlineStr">
        <is>
          <t>o-Dinitrobenzene</t>
        </is>
      </c>
    </row>
    <row r="831">
      <c r="A831" t="inlineStr">
        <is>
          <t>Teen Lounge Furniture</t>
        </is>
      </c>
      <c r="BO831" t="inlineStr">
        <is>
          <t>p-Dinitrobenzene</t>
        </is>
      </c>
    </row>
    <row r="832">
      <c r="A832" t="inlineStr">
        <is>
          <t>Teen Accent Pillows</t>
        </is>
      </c>
      <c r="BO832" t="inlineStr">
        <is>
          <t>Dinitrotoluene (technical grade)</t>
        </is>
      </c>
    </row>
    <row r="833">
      <c r="A833" t="inlineStr">
        <is>
          <t>Teen Wall Art</t>
        </is>
      </c>
      <c r="BO833" t="inlineStr">
        <is>
          <t>n-Hexane</t>
        </is>
      </c>
    </row>
    <row r="834">
      <c r="A834" t="inlineStr">
        <is>
          <t>Commercial Food Storage &amp; Accessories</t>
        </is>
      </c>
      <c r="BO834" t="inlineStr">
        <is>
          <t>2,5-Hexanedione</t>
        </is>
      </c>
    </row>
    <row r="835">
      <c r="A835" t="inlineStr">
        <is>
          <t>Teen Wall Décor</t>
        </is>
      </c>
      <c r="BO835" t="inlineStr">
        <is>
          <t>Hydrogen cyanide (HCN) and cyanide salts (CN salts)</t>
        </is>
      </c>
    </row>
    <row r="836">
      <c r="A836" t="inlineStr">
        <is>
          <t>Teen Tapestries and Wall Hangings</t>
        </is>
      </c>
      <c r="BO836" t="inlineStr">
        <is>
          <t>Levonorgestrel implants</t>
        </is>
      </c>
    </row>
    <row r="837">
      <c r="A837" t="inlineStr">
        <is>
          <t>Teen Novelty Lighting</t>
        </is>
      </c>
      <c r="BO837" t="inlineStr">
        <is>
          <t>Nitrofurantoin</t>
        </is>
      </c>
    </row>
    <row r="838">
      <c r="A838" t="inlineStr">
        <is>
          <t>Live Plants and Trees</t>
        </is>
      </c>
      <c r="BO838" t="inlineStr">
        <is>
          <t>Oxydemeton methyl</t>
        </is>
      </c>
    </row>
    <row r="839">
      <c r="A839" t="inlineStr">
        <is>
          <t>Turf Flooring</t>
        </is>
      </c>
      <c r="BO839" t="inlineStr">
        <is>
          <t>Quizalofop-ethyl</t>
        </is>
      </c>
    </row>
    <row r="840">
      <c r="A840" t="inlineStr">
        <is>
          <t>Semi-Custom &amp; Custom Kitchen Cabinets</t>
        </is>
      </c>
      <c r="BO840" t="inlineStr">
        <is>
          <t>Sodium fluoroacetate</t>
        </is>
      </c>
    </row>
    <row r="841">
      <c r="A841" t="inlineStr">
        <is>
          <t>Outdoor Privacy Screens and Partitions</t>
        </is>
      </c>
      <c r="BO841" t="inlineStr">
        <is>
          <t>Thiophanate methyl</t>
        </is>
      </c>
    </row>
    <row r="842">
      <c r="A842" t="inlineStr">
        <is>
          <t>Admins Can Sell (ACS) - Sales and Service (S&amp;S)</t>
        </is>
      </c>
      <c r="BO842" t="inlineStr">
        <is>
          <t>Vinyl cyclohexene dioxide (4-Vinyl-1-cyclohexene diepoxide)</t>
        </is>
      </c>
    </row>
    <row r="843">
      <c r="A843" t="inlineStr">
        <is>
          <t>Swimming Pool Accessories</t>
        </is>
      </c>
      <c r="BO843" t="inlineStr">
        <is>
          <t>Chloroform</t>
        </is>
      </c>
    </row>
    <row r="844">
      <c r="A844" t="inlineStr">
        <is>
          <t>Baby &amp; Kids Rugs</t>
        </is>
      </c>
      <c r="BO844" t="inlineStr">
        <is>
          <t>1,2-Dibromo-3-chloropropane (DBCP)</t>
        </is>
      </c>
    </row>
    <row r="845">
      <c r="A845" t="inlineStr">
        <is>
          <t>Kids Bedding Sets</t>
        </is>
      </c>
      <c r="BO845" t="inlineStr">
        <is>
          <t>Diclofop-methyl</t>
        </is>
      </c>
    </row>
    <row r="846">
      <c r="A846" t="inlineStr">
        <is>
          <t>Cabinet Samples</t>
        </is>
      </c>
      <c r="BO846" t="inlineStr">
        <is>
          <t>Phenyl glycidyl ether</t>
        </is>
      </c>
    </row>
    <row r="847">
      <c r="A847" t="inlineStr">
        <is>
          <t>Design Project Class</t>
        </is>
      </c>
      <c r="BO847" t="inlineStr">
        <is>
          <t>Di-isodecyl phthalate (DIDP)</t>
        </is>
      </c>
    </row>
    <row r="848">
      <c r="A848" t="inlineStr">
        <is>
          <t>Media &amp; Character Shop</t>
        </is>
      </c>
      <c r="BO848" t="inlineStr">
        <is>
          <t>Erionite</t>
        </is>
      </c>
    </row>
    <row r="849">
      <c r="A849" t="inlineStr">
        <is>
          <t>Door Lining &amp; Frames</t>
        </is>
      </c>
      <c r="BO849" t="inlineStr">
        <is>
          <t>Iprovalicarb</t>
        </is>
      </c>
    </row>
    <row r="850">
      <c r="A850" t="inlineStr">
        <is>
          <t>Cold Plunges</t>
        </is>
      </c>
      <c r="BO850" t="inlineStr">
        <is>
          <t>Nickel hydroxide</t>
        </is>
      </c>
    </row>
    <row r="851">
      <c r="BO851" t="inlineStr">
        <is>
          <t>Norethisterone (Norethindrone) /Mestranol</t>
        </is>
      </c>
    </row>
    <row r="852">
      <c r="BO852" t="inlineStr">
        <is>
          <t>Anabolic steroids</t>
        </is>
      </c>
    </row>
    <row r="853">
      <c r="BO853" t="inlineStr">
        <is>
          <t>Altretamine</t>
        </is>
      </c>
    </row>
    <row r="854">
      <c r="BO854" t="inlineStr">
        <is>
          <t>Beryllium</t>
        </is>
      </c>
    </row>
    <row r="855">
      <c r="BO855" t="inlineStr">
        <is>
          <t>Beryllium Oxide</t>
        </is>
      </c>
    </row>
    <row r="856">
      <c r="BO856" t="inlineStr">
        <is>
          <t>Beryllium Sulfate</t>
        </is>
      </c>
    </row>
    <row r="857">
      <c r="BO857" t="inlineStr">
        <is>
          <t>Hexachlorocyclohexane (alpha isomer)</t>
        </is>
      </c>
    </row>
    <row r="858">
      <c r="BO858" t="inlineStr">
        <is>
          <t>Hexachlorocyclohexane (beta isomer)</t>
        </is>
      </c>
    </row>
    <row r="859">
      <c r="BO859" t="inlineStr">
        <is>
          <t>Hexachlorocyclohexane (gamma isomer)</t>
        </is>
      </c>
    </row>
    <row r="860">
      <c r="BO860" t="inlineStr">
        <is>
          <t>Cyanide salts that readily dissociate in solution (expressed as cyanide)</t>
        </is>
      </c>
    </row>
    <row r="861">
      <c r="BO861" t="inlineStr">
        <is>
          <t>Hydrogen cyanide</t>
        </is>
      </c>
    </row>
    <row r="862">
      <c r="BO862" t="inlineStr">
        <is>
          <t>Potassium cyanide</t>
        </is>
      </c>
    </row>
    <row r="863">
      <c r="BO863" t="inlineStr">
        <is>
          <t>Methylhydrazine</t>
        </is>
      </c>
    </row>
    <row r="864">
      <c r="BO864" t="inlineStr">
        <is>
          <t>Methylhydrazine sulfate</t>
        </is>
      </c>
    </row>
    <row r="865">
      <c r="BO865" t="inlineStr">
        <is>
          <t>o-Phenylenediamine</t>
        </is>
      </c>
    </row>
    <row r="866">
      <c r="BO866" t="inlineStr">
        <is>
          <t>o-Phenylenediamine dihydochloride</t>
        </is>
      </c>
    </row>
    <row r="867">
      <c r="BO867" t="inlineStr">
        <is>
          <t>Phenylhydrazine</t>
        </is>
      </c>
    </row>
    <row r="868">
      <c r="BO868" t="inlineStr">
        <is>
          <t>Phenylhydrazine hydrochloride</t>
        </is>
      </c>
    </row>
    <row r="869">
      <c r="BO869" t="inlineStr">
        <is>
          <t>Sodium cyanide</t>
        </is>
      </c>
    </row>
    <row r="870">
      <c r="BO870" t="inlineStr">
        <is>
          <t>Short form warning</t>
        </is>
      </c>
    </row>
    <row r="871">
      <c r="BO871" t="inlineStr">
        <is>
          <t>Nickel (soluble compounds)</t>
        </is>
      </c>
    </row>
    <row r="872">
      <c r="BO872" t="inlineStr">
        <is>
          <t>TRIM VX</t>
        </is>
      </c>
    </row>
    <row r="873">
      <c r="BO873" t="inlineStr">
        <is>
          <t>N-Nitrosohexamethyleneimine</t>
        </is>
      </c>
    </row>
    <row r="874">
      <c r="BO874" t="inlineStr">
        <is>
          <t>Gentian violet (Crystal violet)</t>
        </is>
      </c>
    </row>
    <row r="875">
      <c r="BO875" t="inlineStr">
        <is>
          <t>Custom warning</t>
        </is>
      </c>
    </row>
    <row r="876">
      <c r="BO876" t="inlineStr">
        <is>
          <t>2-Amino-4-chlorophenol</t>
        </is>
      </c>
    </row>
    <row r="877">
      <c r="BO877" t="inlineStr">
        <is>
          <t>2-Chloronitrobenzene</t>
        </is>
      </c>
    </row>
    <row r="878">
      <c r="BO878" t="inlineStr">
        <is>
          <t>1,4-Dichloro-2-nitrobenzene</t>
        </is>
      </c>
    </row>
    <row r="879">
      <c r="BO879" t="inlineStr">
        <is>
          <t>2,4-Dichloro-1-nitrobenzene</t>
        </is>
      </c>
    </row>
    <row r="880">
      <c r="BO880" t="inlineStr">
        <is>
          <t>Bevacizumab</t>
        </is>
      </c>
    </row>
    <row r="881">
      <c r="BO881" t="inlineStr">
        <is>
          <t>p-chloro-?,?,?-trifluorotoluene (para-Chlorobenzotrifluoride, PCBTF)</t>
        </is>
      </c>
    </row>
    <row r="882">
      <c r="BO882" t="inlineStr">
        <is>
          <t>para-Nitroanisole</t>
        </is>
      </c>
    </row>
    <row r="883">
      <c r="BO883" t="inlineStr">
        <is>
          <t>Cannabis (marijuana) smoke</t>
        </is>
      </c>
    </row>
    <row r="884">
      <c r="BO884" t="inlineStr">
        <is>
          <t>?9 -Tetrahydrocannabinol (?9 -THC)</t>
        </is>
      </c>
    </row>
    <row r="885">
      <c r="BO885" t="inlineStr">
        <is>
          <t>1,1,1-Trichloroethane</t>
        </is>
      </c>
    </row>
    <row r="886">
      <c r="BO886" t="inlineStr">
        <is>
          <t>1-Bromo-3-chloropropane</t>
        </is>
      </c>
    </row>
    <row r="887">
      <c r="BO887" t="inlineStr">
        <is>
          <t>1-Butyl glycidyl ether</t>
        </is>
      </c>
    </row>
    <row r="888">
      <c r="BO888" t="inlineStr">
        <is>
          <t>2-Ethylhexyl acrylate</t>
        </is>
      </c>
    </row>
    <row r="889">
      <c r="BO889" t="inlineStr">
        <is>
          <t>Alcoholic beverages</t>
        </is>
      </c>
    </row>
    <row r="890">
      <c r="BO890" t="inlineStr">
        <is>
          <t>Anthracene</t>
        </is>
      </c>
    </row>
    <row r="891">
      <c r="BO891" t="inlineStr">
        <is>
          <t>Bisphenol S (BPS)</t>
        </is>
      </c>
    </row>
    <row r="892">
      <c r="BO892" t="inlineStr">
        <is>
          <t>Coal-tar pitch</t>
        </is>
      </c>
    </row>
    <row r="893">
      <c r="BO893" t="inlineStr">
        <is>
          <t>Dimethyl hydrogen phosphite</t>
        </is>
      </c>
    </row>
    <row r="894">
      <c r="BO894" t="inlineStr">
        <is>
          <t>Fluoro-edenite fibrous amphibole</t>
        </is>
      </c>
    </row>
    <row r="895">
      <c r="BO895" t="inlineStr">
        <is>
          <t>Glycidyl methacrylate</t>
        </is>
      </c>
    </row>
    <row r="896">
      <c r="BO896" t="inlineStr">
        <is>
          <t>Hexachlorocyclohexane (technical grade)</t>
        </is>
      </c>
    </row>
    <row r="897">
      <c r="BO897" t="inlineStr">
        <is>
          <t>Indium tin oxide</t>
        </is>
      </c>
    </row>
    <row r="898">
      <c r="BO898" t="inlineStr">
        <is>
          <t>Leucomalachite green</t>
        </is>
      </c>
    </row>
    <row r="899">
      <c r="BO899" t="inlineStr">
        <is>
          <t>Methyl acrylate</t>
        </is>
      </c>
    </row>
    <row r="900">
      <c r="BO900" t="inlineStr">
        <is>
          <t>Molybdenum trioxide</t>
        </is>
      </c>
    </row>
    <row r="901">
      <c r="BO901" t="inlineStr">
        <is>
          <t>p-Chloro-o-toluidine, hydrochloride</t>
        </is>
      </c>
    </row>
    <row r="902">
      <c r="BO902" t="inlineStr">
        <is>
          <t>Perfluorononanoic acid (PFNA) and its salts</t>
        </is>
      </c>
    </row>
    <row r="903">
      <c r="BO903" t="inlineStr">
        <is>
          <t>Perfluorooctane sulfonic acid (PFOS) and its salts and transformation and degradation precursors</t>
        </is>
      </c>
    </row>
    <row r="904">
      <c r="BO904"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905">
      <c r="BO905" t="inlineStr">
        <is>
          <t>Silicon carbide whiskers</t>
        </is>
      </c>
    </row>
    <row r="906">
      <c r="BO906" t="inlineStr">
        <is>
          <t>Tetrahydrofuran</t>
        </is>
      </c>
    </row>
    <row r="907">
      <c r="BO907" t="inlineStr">
        <is>
          <t>Trimethylolpropane triacrylate, technical grade</t>
        </is>
      </c>
    </row>
    <row r="908">
      <c r="BO908" t="inlineStr">
        <is>
          <t>Vismodegib</t>
        </is>
      </c>
    </row>
  </sheetData>
  <sheetProtection selectLockedCells="0" selectUnlockedCells="0" sheet="1" objects="1" insertRows="1" insertHyperlinks="1" autoFilter="1" scenarios="1" formatColumns="1" deleteColumns="1" insertColumns="1" pivotTables="1" deleteRows="1" formatCells="1" formatRows="1" sort="1" password="FBFF"/>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T22"/>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3" t="inlineStr">
        <is>
          <t>Read-Only</t>
        </is>
      </c>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s="37">
        <f>IF('6 - TV Stands &amp; Enterta'!B8 = "", "", IF('6 - TV Stands &amp; Enterta-WUO_ERR'!A8 = "", "Validated", HYPERLINK("#" &amp; ADDRESS(8, '6 - TV Stands &amp; Enterta-WUO_TRK'!A8),_xlfn.TEXTAFTER('6 - TV Stands &amp; Enterta-WUO_ERR'!A8, ":"))))</f>
        <v/>
      </c>
      <c r="B8" s="38" t="inlineStr">
        <is>
          <t>CASA-TV-018</t>
        </is>
      </c>
      <c r="C8" s="38" t="n"/>
      <c r="D8" s="38" t="inlineStr">
        <is>
          <t>Casa Design Furniture</t>
        </is>
      </c>
      <c r="E8" s="38" t="inlineStr">
        <is>
          <t>CASA-TV-018</t>
        </is>
      </c>
      <c r="F8" s="38" t="inlineStr">
        <is>
          <t>840134100181</t>
        </is>
      </c>
      <c r="G8" s="38" t="inlineStr">
        <is>
          <t>#018 NORALIE TV STAND &amp; FIREPLACE</t>
        </is>
      </c>
      <c r="H8" s="38" t="n"/>
      <c r="I8" s="38" t="n"/>
      <c r="J8" s="38" t="n">
        <v>899</v>
      </c>
      <c r="K8" s="38" t="n"/>
      <c r="L8" s="38" t="n"/>
      <c r="M8" s="38" t="inlineStr">
        <is>
          <t>The #018 NORALIE TV STAND &amp; FIREPLACE offers a stunning modern design with high-end materials. Perfect for elevating your living space.</t>
        </is>
      </c>
      <c r="N8" s="38" t="inlineStr">
        <is>
          <t>Sleek Modern Aesthetic</t>
        </is>
      </c>
      <c r="O8" s="38" t="inlineStr">
        <is>
          <t>High-Durability Construction</t>
        </is>
      </c>
      <c r="P8" s="38" t="inlineStr">
        <is>
          <t>Easy Assembly with Storage</t>
        </is>
      </c>
      <c r="Q8" s="38" t="n"/>
      <c r="R8" s="38" t="n"/>
      <c r="S8" s="38" t="n">
        <v>1</v>
      </c>
      <c r="T8" s="38" t="n">
        <v>1</v>
      </c>
      <c r="U8" s="38" t="n">
        <v>1</v>
      </c>
      <c r="V8" s="38" t="n">
        <v>110</v>
      </c>
      <c r="W8" s="38" t="inlineStr">
        <is>
          <t>Small Parcel</t>
        </is>
      </c>
      <c r="X8" s="38" t="n"/>
      <c r="Y8" s="38" t="n">
        <v>4</v>
      </c>
      <c r="Z8" s="38" t="n">
        <v>7</v>
      </c>
      <c r="AA8" s="38" t="n"/>
      <c r="AB8" s="38" t="n"/>
      <c r="AC8" s="38" t="n"/>
      <c r="AD8" s="38" t="n">
        <v>120</v>
      </c>
      <c r="AE8" s="38" t="n">
        <v>22</v>
      </c>
      <c r="AF8" s="38" t="n">
        <v>83</v>
      </c>
      <c r="AG8" s="38" t="n">
        <v>20</v>
      </c>
      <c r="AH8" s="38" t="inlineStr">
        <is>
          <t>No</t>
        </is>
      </c>
      <c r="AI8" s="38" t="n"/>
      <c r="AJ8" s="38" t="n"/>
      <c r="AK8" s="38" t="inlineStr">
        <is>
          <t>United States</t>
        </is>
      </c>
      <c r="AL8" s="38" t="inlineStr">
        <is>
          <t>https://casadesignfurniture.com/wp-content/uploads/2023/07/018-NORALIE-TV-STAND-FIREPLACE.jpg</t>
        </is>
      </c>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inlineStr">
        <is>
          <t>TV Stand</t>
        </is>
      </c>
      <c r="BH8" s="38" t="inlineStr">
        <is>
          <t>No</t>
        </is>
      </c>
      <c r="BI8" s="38" t="inlineStr">
        <is>
          <t>Yes</t>
        </is>
      </c>
      <c r="BJ8" s="38" t="n">
        <v>2</v>
      </c>
      <c r="BK8" s="38" t="inlineStr">
        <is>
          <t>Yes</t>
        </is>
      </c>
      <c r="BL8" s="38" t="n"/>
      <c r="BM8" s="38" t="n"/>
      <c r="BN8" s="38" t="n"/>
      <c r="BO8" s="38" t="inlineStr">
        <is>
          <t>No</t>
        </is>
      </c>
      <c r="BP8" s="38" t="inlineStr">
        <is>
          <t>Cabinet/Enclosed storage</t>
        </is>
      </c>
      <c r="BQ8" s="38" t="inlineStr">
        <is>
          <t>Solid + Manufactured Wood</t>
        </is>
      </c>
      <c r="BR8" s="38" t="n"/>
      <c r="BS8" s="38" t="inlineStr">
        <is>
          <t>No Natural Variation</t>
        </is>
      </c>
      <c r="BT8" s="38" t="n"/>
      <c r="BU8" s="38" t="n"/>
      <c r="BV8" s="38" t="n"/>
      <c r="BW8" s="38" t="n"/>
      <c r="BX8" s="38" t="n"/>
      <c r="BY8" s="38" t="n"/>
      <c r="BZ8" s="38" t="n"/>
      <c r="CA8" s="38" t="inlineStr">
        <is>
          <t>Yes</t>
        </is>
      </c>
      <c r="CB8" s="38" t="inlineStr">
        <is>
          <t>Yes</t>
        </is>
      </c>
      <c r="CC8" s="38" t="inlineStr">
        <is>
          <t>Yes</t>
        </is>
      </c>
      <c r="CD8" s="38" t="n"/>
      <c r="CE8" s="38" t="n"/>
      <c r="CF8" s="38" t="inlineStr">
        <is>
          <t>Residential Use</t>
        </is>
      </c>
      <c r="CG8" s="38" t="n"/>
      <c r="CH8" s="38" t="inlineStr">
        <is>
          <t>Does Not Apply</t>
        </is>
      </c>
      <c r="CI8" s="38" t="n"/>
      <c r="CJ8" s="38" t="n"/>
      <c r="CK8" s="38" t="inlineStr">
        <is>
          <t>No</t>
        </is>
      </c>
      <c r="CL8" s="38" t="inlineStr">
        <is>
          <t>Standard</t>
        </is>
      </c>
      <c r="CM8" s="38" t="inlineStr">
        <is>
          <t>Standard</t>
        </is>
      </c>
      <c r="CN8" s="38" t="inlineStr">
        <is>
          <t>1</t>
        </is>
      </c>
      <c r="CO8" s="38" t="inlineStr">
        <is>
          <t>Does Not Apply</t>
        </is>
      </c>
      <c r="CP8" s="38" t="inlineStr">
        <is>
          <t>Does Not Apply</t>
        </is>
      </c>
      <c r="CQ8" s="38" t="inlineStr">
        <is>
          <t>Does Not Apply</t>
        </is>
      </c>
      <c r="CR8" s="38" t="inlineStr">
        <is>
          <t>Does Not Apply</t>
        </is>
      </c>
      <c r="CS8" s="38" t="n"/>
      <c r="CT8" s="38" t="n"/>
      <c r="CU8" s="38" t="n">
        <v>150</v>
      </c>
      <c r="CV8" s="38" t="n"/>
      <c r="CW8" s="38" t="n"/>
      <c r="CX8" s="38" t="n"/>
      <c r="CY8" s="38" t="inlineStr">
        <is>
          <t>White</t>
        </is>
      </c>
      <c r="CZ8" s="38" t="n"/>
      <c r="DA8" s="38" t="inlineStr">
        <is>
          <t>Vent Free</t>
        </is>
      </c>
      <c r="DB8" s="38" t="inlineStr">
        <is>
          <t>Electric</t>
        </is>
      </c>
      <c r="DC8" s="38" t="n"/>
      <c r="DD8" s="38" t="n"/>
      <c r="DE8" s="38" t="n"/>
      <c r="DF8" s="38" t="inlineStr">
        <is>
          <t>1</t>
        </is>
      </c>
      <c r="DG8" s="38" t="n">
        <v>2</v>
      </c>
      <c r="DH8" s="38" t="n"/>
      <c r="DI8" s="38" t="n"/>
      <c r="DJ8" s="38" t="inlineStr">
        <is>
          <t>No</t>
        </is>
      </c>
      <c r="DK8" s="38" t="inlineStr">
        <is>
          <t>Yes</t>
        </is>
      </c>
      <c r="DL8" s="38" t="inlineStr">
        <is>
          <t>Yes</t>
        </is>
      </c>
      <c r="DM8" s="38" t="inlineStr">
        <is>
          <t>Yes</t>
        </is>
      </c>
      <c r="DN8" s="38" t="inlineStr">
        <is>
          <t>Yes</t>
        </is>
      </c>
      <c r="DO8" s="38" t="inlineStr">
        <is>
          <t>Yes</t>
        </is>
      </c>
      <c r="DP8" s="38" t="inlineStr">
        <is>
          <t>No</t>
        </is>
      </c>
      <c r="DQ8" s="38" t="inlineStr">
        <is>
          <t>None</t>
        </is>
      </c>
      <c r="DR8" s="38" t="n"/>
      <c r="DS8" s="38" t="n"/>
      <c r="DT8" s="38" t="n"/>
      <c r="DU8" s="38" t="n"/>
      <c r="DV8" s="38" t="n"/>
      <c r="DW8" s="38" t="n"/>
      <c r="DX8" s="38" t="inlineStr">
        <is>
          <t>Yes</t>
        </is>
      </c>
      <c r="DY8" s="38" t="inlineStr">
        <is>
          <t>Not Applicable</t>
        </is>
      </c>
      <c r="DZ8" s="38" t="inlineStr">
        <is>
          <t>Standard</t>
        </is>
      </c>
      <c r="EA8" s="38" t="inlineStr">
        <is>
          <t>Standard</t>
        </is>
      </c>
      <c r="EB8" s="38" t="n"/>
      <c r="EC8" s="38" t="n"/>
      <c r="ED8" s="38" t="n"/>
      <c r="EE8" s="38" t="n">
        <v>79</v>
      </c>
      <c r="EF8" s="38" t="n">
        <v>16</v>
      </c>
      <c r="EG8" s="38" t="n">
        <v>18</v>
      </c>
      <c r="EH8" s="38" t="n">
        <v>79</v>
      </c>
      <c r="EI8" s="38" t="n">
        <v>16</v>
      </c>
      <c r="EJ8" s="38" t="n">
        <v>110</v>
      </c>
      <c r="EK8" s="38" t="inlineStr">
        <is>
          <t>75"</t>
        </is>
      </c>
      <c r="EL8" s="38" t="n">
        <v>18</v>
      </c>
      <c r="EM8" s="38" t="inlineStr">
        <is>
          <t>Yes</t>
        </is>
      </c>
      <c r="EN8" s="38" t="inlineStr">
        <is>
          <t>Full Assembly Needed</t>
        </is>
      </c>
      <c r="EO8" s="38" t="n"/>
      <c r="EP8" s="38" t="inlineStr">
        <is>
          <t>No</t>
        </is>
      </c>
      <c r="EQ8" s="38" t="inlineStr">
        <is>
          <t>Does Not Apply</t>
        </is>
      </c>
      <c r="ER8" s="38" t="n"/>
      <c r="ES8" s="38" t="n"/>
      <c r="ET8" s="38" t="n"/>
    </row>
    <row r="9">
      <c r="A9" s="37">
        <f>IF('6 - TV Stands &amp; Enterta'!B9 = "", "", IF('6 - TV Stands &amp; Enterta-WUO_ERR'!A9 = "", "Validated", HYPERLINK("#" &amp; ADDRESS(9, '6 - TV Stands &amp; Enterta-WUO_TRK'!A9),_xlfn.TEXTAFTER('6 - TV Stands &amp; Enterta-WUO_ERR'!A9, ":"))))</f>
        <v/>
      </c>
      <c r="B9" s="38" t="inlineStr">
        <is>
          <t>CASA-TV-013</t>
        </is>
      </c>
      <c r="C9" s="38" t="n"/>
      <c r="D9" s="38" t="inlineStr">
        <is>
          <t>Casa Design Furniture</t>
        </is>
      </c>
      <c r="E9" s="38" t="inlineStr">
        <is>
          <t>CASA-TV-013</t>
        </is>
      </c>
      <c r="F9" s="38" t="inlineStr">
        <is>
          <t>840134100136</t>
        </is>
      </c>
      <c r="G9" s="38" t="inlineStr">
        <is>
          <t>#013 TV STAND IN WHITE LACQUER</t>
        </is>
      </c>
      <c r="H9" s="38" t="n"/>
      <c r="I9" s="38" t="n"/>
      <c r="J9" s="38" t="n">
        <v>750</v>
      </c>
      <c r="K9" s="38" t="n"/>
      <c r="L9" s="38" t="n"/>
      <c r="M9" s="38" t="inlineStr">
        <is>
          <t>The #013 TV STAND IN WHITE LACQUER offers a stunning modern design with high-end materials. Perfect for elevating your living space.</t>
        </is>
      </c>
      <c r="N9" s="38" t="inlineStr">
        <is>
          <t>Sleek Modern Aesthetic</t>
        </is>
      </c>
      <c r="O9" s="38" t="inlineStr">
        <is>
          <t>High-Durability Construction</t>
        </is>
      </c>
      <c r="P9" s="38" t="inlineStr">
        <is>
          <t>Easy Assembly with Storage</t>
        </is>
      </c>
      <c r="Q9" s="38" t="n"/>
      <c r="R9" s="38" t="n"/>
      <c r="S9" s="38" t="n">
        <v>1</v>
      </c>
      <c r="T9" s="38" t="n">
        <v>1</v>
      </c>
      <c r="U9" s="38" t="n">
        <v>1</v>
      </c>
      <c r="V9" s="38" t="n">
        <v>95</v>
      </c>
      <c r="W9" s="38" t="inlineStr">
        <is>
          <t>Small Parcel</t>
        </is>
      </c>
      <c r="X9" s="38" t="n"/>
      <c r="Y9" s="38" t="n">
        <v>4</v>
      </c>
      <c r="Z9" s="38" t="n">
        <v>7</v>
      </c>
      <c r="AA9" s="38" t="n"/>
      <c r="AB9" s="38" t="n"/>
      <c r="AC9" s="38" t="n"/>
      <c r="AD9" s="38" t="n">
        <v>105</v>
      </c>
      <c r="AE9" s="38" t="n">
        <v>22</v>
      </c>
      <c r="AF9" s="38" t="n">
        <v>83</v>
      </c>
      <c r="AG9" s="38" t="n">
        <v>20</v>
      </c>
      <c r="AH9" s="38" t="inlineStr">
        <is>
          <t>No</t>
        </is>
      </c>
      <c r="AI9" s="38" t="n"/>
      <c r="AJ9" s="38" t="n"/>
      <c r="AK9" s="38" t="inlineStr">
        <is>
          <t>United States</t>
        </is>
      </c>
      <c r="AL9" s="38" t="inlineStr">
        <is>
          <t>https://casadesignfurniture.com/wp-content/uploads/2023/07/013-TV-STAND-IN-WHITE-LACQUER.jpg</t>
        </is>
      </c>
      <c r="AM9" s="38" t="n"/>
      <c r="AN9" s="38" t="n"/>
      <c r="AO9" s="38" t="n"/>
      <c r="AP9" s="38" t="n"/>
      <c r="AQ9" s="38" t="n"/>
      <c r="AR9" s="38" t="n"/>
      <c r="AS9" s="38" t="n"/>
      <c r="AT9" s="38" t="n"/>
      <c r="AU9" s="38" t="n"/>
      <c r="AV9" s="38" t="n"/>
      <c r="AW9" s="38" t="n"/>
      <c r="AX9" s="38" t="n"/>
      <c r="AY9" s="38" t="n"/>
      <c r="AZ9" s="38" t="n"/>
      <c r="BA9" s="38" t="n"/>
      <c r="BB9" s="38" t="n"/>
      <c r="BC9" s="38" t="n"/>
      <c r="BD9" s="38" t="n"/>
      <c r="BE9" s="38" t="n"/>
      <c r="BF9" s="38" t="n"/>
      <c r="BG9" s="38" t="inlineStr">
        <is>
          <t>TV Stand</t>
        </is>
      </c>
      <c r="BH9" s="38" t="inlineStr">
        <is>
          <t>No</t>
        </is>
      </c>
      <c r="BI9" s="38" t="inlineStr">
        <is>
          <t>Yes</t>
        </is>
      </c>
      <c r="BJ9" s="38" t="n">
        <v>2</v>
      </c>
      <c r="BK9" s="38" t="inlineStr">
        <is>
          <t>Yes</t>
        </is>
      </c>
      <c r="BL9" s="38" t="n"/>
      <c r="BM9" s="38" t="n"/>
      <c r="BN9" s="38" t="n"/>
      <c r="BO9" s="38" t="inlineStr">
        <is>
          <t>No</t>
        </is>
      </c>
      <c r="BP9" s="38" t="inlineStr">
        <is>
          <t>Cabinet/Enclosed storage</t>
        </is>
      </c>
      <c r="BQ9" s="38" t="inlineStr">
        <is>
          <t>Solid + Manufactured Wood</t>
        </is>
      </c>
      <c r="BR9" s="38" t="n"/>
      <c r="BS9" s="38" t="inlineStr">
        <is>
          <t>No Natural Variation</t>
        </is>
      </c>
      <c r="BT9" s="38" t="n"/>
      <c r="BU9" s="38" t="n"/>
      <c r="BV9" s="38" t="n"/>
      <c r="BW9" s="38" t="n"/>
      <c r="BX9" s="38" t="n"/>
      <c r="BY9" s="38" t="n"/>
      <c r="BZ9" s="38" t="n"/>
      <c r="CA9" s="38" t="inlineStr">
        <is>
          <t>No</t>
        </is>
      </c>
      <c r="CB9" s="38" t="inlineStr">
        <is>
          <t>No</t>
        </is>
      </c>
      <c r="CC9" s="38" t="inlineStr">
        <is>
          <t>Yes</t>
        </is>
      </c>
      <c r="CD9" s="38" t="n"/>
      <c r="CE9" s="38" t="n"/>
      <c r="CF9" s="38" t="inlineStr">
        <is>
          <t>Residential Use</t>
        </is>
      </c>
      <c r="CG9" s="38" t="n"/>
      <c r="CH9" s="38" t="inlineStr">
        <is>
          <t>Does Not Apply</t>
        </is>
      </c>
      <c r="CI9" s="38" t="n"/>
      <c r="CJ9" s="38" t="n"/>
      <c r="CK9" s="38" t="inlineStr">
        <is>
          <t>No</t>
        </is>
      </c>
      <c r="CL9" s="38" t="inlineStr">
        <is>
          <t>Standard</t>
        </is>
      </c>
      <c r="CM9" s="38" t="inlineStr">
        <is>
          <t>Standard</t>
        </is>
      </c>
      <c r="CN9" s="38" t="inlineStr">
        <is>
          <t>1</t>
        </is>
      </c>
      <c r="CO9" s="38" t="inlineStr">
        <is>
          <t>Does Not Apply</t>
        </is>
      </c>
      <c r="CP9" s="38" t="inlineStr">
        <is>
          <t>Does Not Apply</t>
        </is>
      </c>
      <c r="CQ9" s="38" t="inlineStr">
        <is>
          <t>Does Not Apply</t>
        </is>
      </c>
      <c r="CR9" s="38" t="inlineStr">
        <is>
          <t>Does Not Apply</t>
        </is>
      </c>
      <c r="CS9" s="38" t="inlineStr">
        <is>
          <t>No</t>
        </is>
      </c>
      <c r="CT9" s="38" t="inlineStr">
        <is>
          <t>Does Not Apply</t>
        </is>
      </c>
      <c r="CU9" s="38" t="n">
        <v>150</v>
      </c>
      <c r="CV9" s="38" t="n"/>
      <c r="CW9" s="38" t="n"/>
      <c r="CX9" s="38" t="n"/>
      <c r="CY9" s="38" t="inlineStr">
        <is>
          <t>White</t>
        </is>
      </c>
      <c r="CZ9" s="38" t="n"/>
      <c r="DA9" s="38" t="inlineStr">
        <is>
          <t>Standard</t>
        </is>
      </c>
      <c r="DB9" s="38" t="inlineStr">
        <is>
          <t>Standard</t>
        </is>
      </c>
      <c r="DC9" s="38" t="n"/>
      <c r="DD9" s="38" t="n"/>
      <c r="DE9" s="38" t="n"/>
      <c r="DF9" s="38" t="inlineStr">
        <is>
          <t>1</t>
        </is>
      </c>
      <c r="DG9" s="38" t="n">
        <v>2</v>
      </c>
      <c r="DH9" s="38" t="n"/>
      <c r="DI9" s="38" t="n"/>
      <c r="DJ9" s="38" t="inlineStr">
        <is>
          <t>No</t>
        </is>
      </c>
      <c r="DK9" s="38" t="inlineStr">
        <is>
          <t>Yes</t>
        </is>
      </c>
      <c r="DL9" s="38" t="inlineStr">
        <is>
          <t>Yes</t>
        </is>
      </c>
      <c r="DM9" s="38" t="inlineStr">
        <is>
          <t>Yes</t>
        </is>
      </c>
      <c r="DN9" s="38" t="inlineStr">
        <is>
          <t>Yes</t>
        </is>
      </c>
      <c r="DO9" s="38" t="inlineStr">
        <is>
          <t>Yes</t>
        </is>
      </c>
      <c r="DP9" s="38" t="inlineStr">
        <is>
          <t>No</t>
        </is>
      </c>
      <c r="DQ9" s="38" t="inlineStr">
        <is>
          <t>None</t>
        </is>
      </c>
      <c r="DR9" s="38" t="n"/>
      <c r="DS9" s="38" t="n"/>
      <c r="DT9" s="38" t="n"/>
      <c r="DU9" s="38" t="n"/>
      <c r="DV9" s="38" t="n"/>
      <c r="DW9" s="38" t="n"/>
      <c r="DX9" s="38" t="inlineStr">
        <is>
          <t>Yes</t>
        </is>
      </c>
      <c r="DY9" s="38" t="inlineStr">
        <is>
          <t>Not Applicable</t>
        </is>
      </c>
      <c r="DZ9" s="38" t="inlineStr">
        <is>
          <t>Standard</t>
        </is>
      </c>
      <c r="EA9" s="38" t="inlineStr">
        <is>
          <t>Standard</t>
        </is>
      </c>
      <c r="EB9" s="38" t="n"/>
      <c r="EC9" s="38" t="n"/>
      <c r="ED9" s="38" t="n"/>
      <c r="EE9" s="38" t="n">
        <v>79</v>
      </c>
      <c r="EF9" s="38" t="n">
        <v>16</v>
      </c>
      <c r="EG9" s="38" t="n">
        <v>18</v>
      </c>
      <c r="EH9" s="38" t="n">
        <v>79</v>
      </c>
      <c r="EI9" s="38" t="n">
        <v>16</v>
      </c>
      <c r="EJ9" s="38" t="n">
        <v>95</v>
      </c>
      <c r="EK9" s="38" t="inlineStr">
        <is>
          <t>75"</t>
        </is>
      </c>
      <c r="EL9" s="38" t="n">
        <v>18</v>
      </c>
      <c r="EM9" s="38" t="inlineStr">
        <is>
          <t>Yes</t>
        </is>
      </c>
      <c r="EN9" s="38" t="inlineStr">
        <is>
          <t>Full Assembly Needed</t>
        </is>
      </c>
      <c r="EO9" s="38" t="n"/>
      <c r="EP9" s="38" t="inlineStr">
        <is>
          <t>No</t>
        </is>
      </c>
      <c r="EQ9" s="38" t="inlineStr">
        <is>
          <t>Does Not Apply</t>
        </is>
      </c>
      <c r="ER9" s="38" t="n"/>
      <c r="ES9" s="38" t="n"/>
      <c r="ET9" s="38" t="n"/>
    </row>
    <row r="10">
      <c r="A10" s="37">
        <f>IF('6 - TV Stands &amp; Enterta'!B10 = "", "", IF('6 - TV Stands &amp; Enterta-WUO_ERR'!A10 = "", "Validated", HYPERLINK("#" &amp; ADDRESS(10, '6 - TV Stands &amp; Enterta-WUO_TRK'!A10),_xlfn.TEXTAFTER('6 - TV Stands &amp; Enterta-WUO_ERR'!A10, ":"))))</f>
        <v/>
      </c>
      <c r="B10" s="38" t="inlineStr">
        <is>
          <t>CASA-TV-015</t>
        </is>
      </c>
      <c r="C10" s="38" t="n"/>
      <c r="D10" s="38" t="inlineStr">
        <is>
          <t>Casa Design Furniture</t>
        </is>
      </c>
      <c r="E10" s="38" t="inlineStr">
        <is>
          <t>CASA-TV-015</t>
        </is>
      </c>
      <c r="F10" s="38" t="inlineStr">
        <is>
          <t>840134100150</t>
        </is>
      </c>
      <c r="G10" s="38" t="inlineStr">
        <is>
          <t>#015 LED LIGHT TV STAND</t>
        </is>
      </c>
      <c r="H10" s="38" t="n"/>
      <c r="I10" s="38" t="n"/>
      <c r="J10" s="38" t="n">
        <v>680</v>
      </c>
      <c r="K10" s="38" t="n"/>
      <c r="L10" s="38" t="n"/>
      <c r="M10" s="38" t="inlineStr">
        <is>
          <t>The #015 LED LIGHT TV STAND offers a stunning modern design with high-end materials. Perfect for elevating your living space.</t>
        </is>
      </c>
      <c r="N10" s="38" t="inlineStr">
        <is>
          <t>Sleek Modern Aesthetic</t>
        </is>
      </c>
      <c r="O10" s="38" t="inlineStr">
        <is>
          <t>High-Durability Construction</t>
        </is>
      </c>
      <c r="P10" s="38" t="inlineStr">
        <is>
          <t>Easy Assembly with Storage</t>
        </is>
      </c>
      <c r="Q10" s="38" t="n"/>
      <c r="R10" s="38" t="n"/>
      <c r="S10" s="38" t="n">
        <v>1</v>
      </c>
      <c r="T10" s="38" t="n">
        <v>1</v>
      </c>
      <c r="U10" s="38" t="n">
        <v>1</v>
      </c>
      <c r="V10" s="38" t="n">
        <v>88</v>
      </c>
      <c r="W10" s="38" t="inlineStr">
        <is>
          <t>Small Parcel</t>
        </is>
      </c>
      <c r="X10" s="38" t="n"/>
      <c r="Y10" s="38" t="n">
        <v>4</v>
      </c>
      <c r="Z10" s="38" t="n">
        <v>7</v>
      </c>
      <c r="AA10" s="38" t="n"/>
      <c r="AB10" s="38" t="n"/>
      <c r="AC10" s="38" t="n"/>
      <c r="AD10" s="38" t="n">
        <v>98</v>
      </c>
      <c r="AE10" s="38" t="n">
        <v>24</v>
      </c>
      <c r="AF10" s="38" t="n">
        <v>74</v>
      </c>
      <c r="AG10" s="38" t="n">
        <v>20</v>
      </c>
      <c r="AH10" s="38" t="inlineStr">
        <is>
          <t>No</t>
        </is>
      </c>
      <c r="AI10" s="38" t="n"/>
      <c r="AJ10" s="38" t="n"/>
      <c r="AK10" s="38" t="inlineStr">
        <is>
          <t>United States</t>
        </is>
      </c>
      <c r="AL10" s="38" t="inlineStr">
        <is>
          <t>https://casadesignfurniture.com/wp-content/uploads/2023/07/015-LED-LIGHT-TV-STAND.jpg</t>
        </is>
      </c>
      <c r="AM10" s="38" t="n"/>
      <c r="AN10" s="38" t="n"/>
      <c r="AO10" s="38" t="n"/>
      <c r="AP10" s="38" t="n"/>
      <c r="AQ10" s="38" t="n"/>
      <c r="AR10" s="38" t="n"/>
      <c r="AS10" s="38" t="n"/>
      <c r="AT10" s="38" t="n"/>
      <c r="AU10" s="38" t="n"/>
      <c r="AV10" s="38" t="n"/>
      <c r="AW10" s="38" t="n"/>
      <c r="AX10" s="38" t="n"/>
      <c r="AY10" s="38" t="n"/>
      <c r="AZ10" s="38" t="n"/>
      <c r="BA10" s="38" t="n"/>
      <c r="BB10" s="38" t="n"/>
      <c r="BC10" s="38" t="n"/>
      <c r="BD10" s="38" t="n"/>
      <c r="BE10" s="38" t="n"/>
      <c r="BF10" s="38" t="n"/>
      <c r="BG10" s="38" t="inlineStr">
        <is>
          <t>TV Stand</t>
        </is>
      </c>
      <c r="BH10" s="38" t="inlineStr">
        <is>
          <t>No</t>
        </is>
      </c>
      <c r="BI10" s="38" t="inlineStr">
        <is>
          <t>Yes</t>
        </is>
      </c>
      <c r="BJ10" s="38" t="n">
        <v>2</v>
      </c>
      <c r="BK10" s="38" t="inlineStr">
        <is>
          <t>Yes</t>
        </is>
      </c>
      <c r="BL10" s="38" t="n"/>
      <c r="BM10" s="38" t="n"/>
      <c r="BN10" s="38" t="n"/>
      <c r="BO10" s="38" t="inlineStr">
        <is>
          <t>No</t>
        </is>
      </c>
      <c r="BP10" s="38" t="inlineStr">
        <is>
          <t>Cabinet/Enclosed storage</t>
        </is>
      </c>
      <c r="BQ10" s="38" t="inlineStr">
        <is>
          <t>Solid + Manufactured Wood</t>
        </is>
      </c>
      <c r="BR10" s="38" t="n"/>
      <c r="BS10" s="38" t="inlineStr">
        <is>
          <t>No Natural Variation</t>
        </is>
      </c>
      <c r="BT10" s="38" t="n"/>
      <c r="BU10" s="38" t="n"/>
      <c r="BV10" s="38" t="n"/>
      <c r="BW10" s="38" t="n"/>
      <c r="BX10" s="38" t="n"/>
      <c r="BY10" s="38" t="n"/>
      <c r="BZ10" s="38" t="n"/>
      <c r="CA10" s="38" t="inlineStr">
        <is>
          <t>No</t>
        </is>
      </c>
      <c r="CB10" s="38" t="inlineStr">
        <is>
          <t>Yes</t>
        </is>
      </c>
      <c r="CC10" s="38" t="inlineStr">
        <is>
          <t>Yes</t>
        </is>
      </c>
      <c r="CD10" s="38" t="n"/>
      <c r="CE10" s="38" t="n"/>
      <c r="CF10" s="38" t="inlineStr">
        <is>
          <t>Residential Use</t>
        </is>
      </c>
      <c r="CG10" s="38" t="n"/>
      <c r="CH10" s="38" t="inlineStr">
        <is>
          <t>Does Not Apply</t>
        </is>
      </c>
      <c r="CI10" s="38" t="n"/>
      <c r="CJ10" s="38" t="n"/>
      <c r="CK10" s="38" t="inlineStr">
        <is>
          <t>No</t>
        </is>
      </c>
      <c r="CL10" s="38" t="inlineStr">
        <is>
          <t>Standard</t>
        </is>
      </c>
      <c r="CM10" s="38" t="inlineStr">
        <is>
          <t>Standard</t>
        </is>
      </c>
      <c r="CN10" s="38" t="inlineStr">
        <is>
          <t>1</t>
        </is>
      </c>
      <c r="CO10" s="38" t="inlineStr">
        <is>
          <t>Does Not Apply</t>
        </is>
      </c>
      <c r="CP10" s="38" t="inlineStr">
        <is>
          <t>Does Not Apply</t>
        </is>
      </c>
      <c r="CQ10" s="38" t="inlineStr">
        <is>
          <t>Does Not Apply</t>
        </is>
      </c>
      <c r="CR10" s="38" t="inlineStr">
        <is>
          <t>Does Not Apply</t>
        </is>
      </c>
      <c r="CS10" s="38" t="inlineStr">
        <is>
          <t>No</t>
        </is>
      </c>
      <c r="CT10" s="38" t="inlineStr">
        <is>
          <t>Does Not Apply</t>
        </is>
      </c>
      <c r="CU10" s="38" t="n">
        <v>150</v>
      </c>
      <c r="CV10" s="38" t="n"/>
      <c r="CW10" s="38" t="n"/>
      <c r="CX10" s="38" t="n"/>
      <c r="CY10" s="38" t="inlineStr">
        <is>
          <t>White</t>
        </is>
      </c>
      <c r="CZ10" s="38" t="n"/>
      <c r="DA10" s="38" t="inlineStr">
        <is>
          <t>Standard</t>
        </is>
      </c>
      <c r="DB10" s="38" t="inlineStr">
        <is>
          <t>Standard</t>
        </is>
      </c>
      <c r="DC10" s="38" t="n"/>
      <c r="DD10" s="38" t="n"/>
      <c r="DE10" s="38" t="n"/>
      <c r="DF10" s="38" t="inlineStr">
        <is>
          <t>1</t>
        </is>
      </c>
      <c r="DG10" s="38" t="n">
        <v>2</v>
      </c>
      <c r="DH10" s="38" t="n"/>
      <c r="DI10" s="38" t="n"/>
      <c r="DJ10" s="38" t="inlineStr">
        <is>
          <t>No</t>
        </is>
      </c>
      <c r="DK10" s="38" t="inlineStr">
        <is>
          <t>Yes</t>
        </is>
      </c>
      <c r="DL10" s="38" t="inlineStr">
        <is>
          <t>Yes</t>
        </is>
      </c>
      <c r="DM10" s="38" t="inlineStr">
        <is>
          <t>Yes</t>
        </is>
      </c>
      <c r="DN10" s="38" t="inlineStr">
        <is>
          <t>Yes</t>
        </is>
      </c>
      <c r="DO10" s="38" t="inlineStr">
        <is>
          <t>Yes</t>
        </is>
      </c>
      <c r="DP10" s="38" t="inlineStr">
        <is>
          <t>No</t>
        </is>
      </c>
      <c r="DQ10" s="38" t="inlineStr">
        <is>
          <t>None</t>
        </is>
      </c>
      <c r="DR10" s="38" t="n"/>
      <c r="DS10" s="38" t="n"/>
      <c r="DT10" s="38" t="n"/>
      <c r="DU10" s="38" t="n"/>
      <c r="DV10" s="38" t="n"/>
      <c r="DW10" s="38" t="n"/>
      <c r="DX10" s="38" t="inlineStr">
        <is>
          <t>Yes</t>
        </is>
      </c>
      <c r="DY10" s="38" t="inlineStr">
        <is>
          <t>Not Applicable</t>
        </is>
      </c>
      <c r="DZ10" s="38" t="inlineStr">
        <is>
          <t>Standard</t>
        </is>
      </c>
      <c r="EA10" s="38" t="inlineStr">
        <is>
          <t>Standard</t>
        </is>
      </c>
      <c r="EB10" s="38" t="n"/>
      <c r="EC10" s="38" t="n"/>
      <c r="ED10" s="38" t="n"/>
      <c r="EE10" s="38" t="n">
        <v>70</v>
      </c>
      <c r="EF10" s="38" t="n">
        <v>16</v>
      </c>
      <c r="EG10" s="38" t="n">
        <v>20</v>
      </c>
      <c r="EH10" s="38" t="n">
        <v>70</v>
      </c>
      <c r="EI10" s="38" t="n">
        <v>16</v>
      </c>
      <c r="EJ10" s="38" t="n">
        <v>88</v>
      </c>
      <c r="EK10" s="38" t="inlineStr">
        <is>
          <t>75"</t>
        </is>
      </c>
      <c r="EL10" s="38" t="n">
        <v>20</v>
      </c>
      <c r="EM10" s="38" t="inlineStr">
        <is>
          <t>Yes</t>
        </is>
      </c>
      <c r="EN10" s="38" t="inlineStr">
        <is>
          <t>Full Assembly Needed</t>
        </is>
      </c>
      <c r="EO10" s="38" t="n"/>
      <c r="EP10" s="38" t="inlineStr">
        <is>
          <t>No</t>
        </is>
      </c>
      <c r="EQ10" s="38" t="inlineStr">
        <is>
          <t>Does Not Apply</t>
        </is>
      </c>
      <c r="ER10" s="38" t="n"/>
      <c r="ES10" s="38" t="n"/>
      <c r="ET10" s="38" t="n"/>
    </row>
    <row r="11">
      <c r="A11" s="37">
        <f>IF('6 - TV Stands &amp; Enterta'!B11 = "", "", IF('6 - TV Stands &amp; Enterta-WUO_ERR'!A11 = "", "Validated", HYPERLINK("#" &amp; ADDRESS(11, '6 - TV Stands &amp; Enterta-WUO_TRK'!A11),_xlfn.TEXTAFTER('6 - TV Stands &amp; Enterta-WUO_ERR'!A11, ":"))))</f>
        <v/>
      </c>
      <c r="B11" s="38" t="inlineStr">
        <is>
          <t>CASA-TV-016</t>
        </is>
      </c>
      <c r="C11" s="38" t="n"/>
      <c r="D11" s="38" t="inlineStr">
        <is>
          <t>Casa Design Furniture</t>
        </is>
      </c>
      <c r="E11" s="38" t="inlineStr">
        <is>
          <t>CASA-TV-016</t>
        </is>
      </c>
      <c r="F11" s="38" t="inlineStr">
        <is>
          <t>840134100167</t>
        </is>
      </c>
      <c r="G11" s="38" t="inlineStr">
        <is>
          <t>#016 TV STAND WHITE &amp; LED LIGHT</t>
        </is>
      </c>
      <c r="H11" s="38" t="n"/>
      <c r="I11" s="38" t="n"/>
      <c r="J11" s="38" t="n">
        <v>720</v>
      </c>
      <c r="K11" s="38" t="n"/>
      <c r="L11" s="38" t="n"/>
      <c r="M11" s="38" t="inlineStr">
        <is>
          <t>The #016 TV STAND WHITE &amp; LED LIGHT offers a stunning modern design with high-end materials. Perfect for elevating your living space.</t>
        </is>
      </c>
      <c r="N11" s="38" t="inlineStr">
        <is>
          <t>Sleek Modern Aesthetic</t>
        </is>
      </c>
      <c r="O11" s="38" t="inlineStr">
        <is>
          <t>High-Durability Construction</t>
        </is>
      </c>
      <c r="P11" s="38" t="inlineStr">
        <is>
          <t>Easy Assembly with Storage</t>
        </is>
      </c>
      <c r="Q11" s="38" t="n"/>
      <c r="R11" s="38" t="n"/>
      <c r="S11" s="38" t="n">
        <v>1</v>
      </c>
      <c r="T11" s="38" t="n">
        <v>1</v>
      </c>
      <c r="U11" s="38" t="n">
        <v>1</v>
      </c>
      <c r="V11" s="38" t="n">
        <v>90</v>
      </c>
      <c r="W11" s="38" t="inlineStr">
        <is>
          <t>Small Parcel</t>
        </is>
      </c>
      <c r="X11" s="38" t="n"/>
      <c r="Y11" s="38" t="n">
        <v>4</v>
      </c>
      <c r="Z11" s="38" t="n">
        <v>7</v>
      </c>
      <c r="AA11" s="38" t="n"/>
      <c r="AB11" s="38" t="n"/>
      <c r="AC11" s="38" t="n"/>
      <c r="AD11" s="38" t="n">
        <v>100</v>
      </c>
      <c r="AE11" s="38" t="n">
        <v>22</v>
      </c>
      <c r="AF11" s="38" t="n">
        <v>76</v>
      </c>
      <c r="AG11" s="38" t="n">
        <v>20</v>
      </c>
      <c r="AH11" s="38" t="inlineStr">
        <is>
          <t>No</t>
        </is>
      </c>
      <c r="AI11" s="38" t="n"/>
      <c r="AJ11" s="38" t="n"/>
      <c r="AK11" s="38" t="inlineStr">
        <is>
          <t>United States</t>
        </is>
      </c>
      <c r="AL11" s="38" t="inlineStr">
        <is>
          <t>https://casadesignfurniture.com/wp-content/uploads/2023/07/016-TV-STAND-WHITE-LED-LIGHT.jpg</t>
        </is>
      </c>
      <c r="AM11" s="38" t="n"/>
      <c r="AN11" s="38" t="n"/>
      <c r="AO11" s="38" t="n"/>
      <c r="AP11" s="38" t="n"/>
      <c r="AQ11" s="38" t="n"/>
      <c r="AR11" s="38" t="n"/>
      <c r="AS11" s="38" t="n"/>
      <c r="AT11" s="38" t="n"/>
      <c r="AU11" s="38" t="n"/>
      <c r="AV11" s="38" t="n"/>
      <c r="AW11" s="38" t="n"/>
      <c r="AX11" s="38" t="n"/>
      <c r="AY11" s="38" t="n"/>
      <c r="AZ11" s="38" t="n"/>
      <c r="BA11" s="38" t="n"/>
      <c r="BB11" s="38" t="n"/>
      <c r="BC11" s="38" t="n"/>
      <c r="BD11" s="38" t="n"/>
      <c r="BE11" s="38" t="n"/>
      <c r="BF11" s="38" t="n"/>
      <c r="BG11" s="38" t="inlineStr">
        <is>
          <t>TV Stand</t>
        </is>
      </c>
      <c r="BH11" s="38" t="inlineStr">
        <is>
          <t>No</t>
        </is>
      </c>
      <c r="BI11" s="38" t="inlineStr">
        <is>
          <t>Yes</t>
        </is>
      </c>
      <c r="BJ11" s="38" t="n">
        <v>2</v>
      </c>
      <c r="BK11" s="38" t="inlineStr">
        <is>
          <t>Yes</t>
        </is>
      </c>
      <c r="BL11" s="38" t="n"/>
      <c r="BM11" s="38" t="n"/>
      <c r="BN11" s="38" t="n"/>
      <c r="BO11" s="38" t="inlineStr">
        <is>
          <t>No</t>
        </is>
      </c>
      <c r="BP11" s="38" t="inlineStr">
        <is>
          <t>Cabinet/Enclosed storage</t>
        </is>
      </c>
      <c r="BQ11" s="38" t="inlineStr">
        <is>
          <t>Solid + Manufactured Wood</t>
        </is>
      </c>
      <c r="BR11" s="38" t="n"/>
      <c r="BS11" s="38" t="inlineStr">
        <is>
          <t>No Natural Variation</t>
        </is>
      </c>
      <c r="BT11" s="38" t="n"/>
      <c r="BU11" s="38" t="n"/>
      <c r="BV11" s="38" t="n"/>
      <c r="BW11" s="38" t="n"/>
      <c r="BX11" s="38" t="n"/>
      <c r="BY11" s="38" t="n"/>
      <c r="BZ11" s="38" t="n"/>
      <c r="CA11" s="38" t="inlineStr">
        <is>
          <t>No</t>
        </is>
      </c>
      <c r="CB11" s="38" t="inlineStr">
        <is>
          <t>Yes</t>
        </is>
      </c>
      <c r="CC11" s="38" t="inlineStr">
        <is>
          <t>Yes</t>
        </is>
      </c>
      <c r="CD11" s="38" t="n"/>
      <c r="CE11" s="38" t="n"/>
      <c r="CF11" s="38" t="inlineStr">
        <is>
          <t>Residential Use</t>
        </is>
      </c>
      <c r="CG11" s="38" t="n"/>
      <c r="CH11" s="38" t="inlineStr">
        <is>
          <t>Does Not Apply</t>
        </is>
      </c>
      <c r="CI11" s="38" t="n"/>
      <c r="CJ11" s="38" t="n"/>
      <c r="CK11" s="38" t="inlineStr">
        <is>
          <t>No</t>
        </is>
      </c>
      <c r="CL11" s="38" t="inlineStr">
        <is>
          <t>Standard</t>
        </is>
      </c>
      <c r="CM11" s="38" t="inlineStr">
        <is>
          <t>Standard</t>
        </is>
      </c>
      <c r="CN11" s="38" t="inlineStr">
        <is>
          <t>1</t>
        </is>
      </c>
      <c r="CO11" s="38" t="inlineStr">
        <is>
          <t>Does Not Apply</t>
        </is>
      </c>
      <c r="CP11" s="38" t="inlineStr">
        <is>
          <t>Does Not Apply</t>
        </is>
      </c>
      <c r="CQ11" s="38" t="inlineStr">
        <is>
          <t>Does Not Apply</t>
        </is>
      </c>
      <c r="CR11" s="38" t="inlineStr">
        <is>
          <t>Does Not Apply</t>
        </is>
      </c>
      <c r="CS11" s="38" t="inlineStr">
        <is>
          <t>No</t>
        </is>
      </c>
      <c r="CT11" s="38" t="inlineStr">
        <is>
          <t>Does Not Apply</t>
        </is>
      </c>
      <c r="CU11" s="38" t="n">
        <v>150</v>
      </c>
      <c r="CV11" s="38" t="n"/>
      <c r="CW11" s="38" t="n"/>
      <c r="CX11" s="38" t="n"/>
      <c r="CY11" s="38" t="inlineStr">
        <is>
          <t>White</t>
        </is>
      </c>
      <c r="CZ11" s="38" t="n"/>
      <c r="DA11" s="38" t="inlineStr">
        <is>
          <t>Standard</t>
        </is>
      </c>
      <c r="DB11" s="38" t="inlineStr">
        <is>
          <t>Standard</t>
        </is>
      </c>
      <c r="DC11" s="38" t="n"/>
      <c r="DD11" s="38" t="n"/>
      <c r="DE11" s="38" t="n"/>
      <c r="DF11" s="38" t="inlineStr">
        <is>
          <t>1</t>
        </is>
      </c>
      <c r="DG11" s="38" t="n">
        <v>2</v>
      </c>
      <c r="DH11" s="38" t="n"/>
      <c r="DI11" s="38" t="n"/>
      <c r="DJ11" s="38" t="inlineStr">
        <is>
          <t>No</t>
        </is>
      </c>
      <c r="DK11" s="38" t="inlineStr">
        <is>
          <t>Yes</t>
        </is>
      </c>
      <c r="DL11" s="38" t="inlineStr">
        <is>
          <t>Yes</t>
        </is>
      </c>
      <c r="DM11" s="38" t="inlineStr">
        <is>
          <t>Yes</t>
        </is>
      </c>
      <c r="DN11" s="38" t="inlineStr">
        <is>
          <t>Yes</t>
        </is>
      </c>
      <c r="DO11" s="38" t="inlineStr">
        <is>
          <t>Yes</t>
        </is>
      </c>
      <c r="DP11" s="38" t="inlineStr">
        <is>
          <t>No</t>
        </is>
      </c>
      <c r="DQ11" s="38" t="inlineStr">
        <is>
          <t>None</t>
        </is>
      </c>
      <c r="DR11" s="38" t="n"/>
      <c r="DS11" s="38" t="n"/>
      <c r="DT11" s="38" t="n"/>
      <c r="DU11" s="38" t="n"/>
      <c r="DV11" s="38" t="n"/>
      <c r="DW11" s="38" t="n"/>
      <c r="DX11" s="38" t="inlineStr">
        <is>
          <t>Yes</t>
        </is>
      </c>
      <c r="DY11" s="38" t="inlineStr">
        <is>
          <t>Not Applicable</t>
        </is>
      </c>
      <c r="DZ11" s="38" t="inlineStr">
        <is>
          <t>Standard</t>
        </is>
      </c>
      <c r="EA11" s="38" t="inlineStr">
        <is>
          <t>Standard</t>
        </is>
      </c>
      <c r="EB11" s="38" t="n"/>
      <c r="EC11" s="38" t="n"/>
      <c r="ED11" s="38" t="n"/>
      <c r="EE11" s="38" t="n">
        <v>72</v>
      </c>
      <c r="EF11" s="38" t="n">
        <v>16</v>
      </c>
      <c r="EG11" s="38" t="n">
        <v>18</v>
      </c>
      <c r="EH11" s="38" t="n">
        <v>72</v>
      </c>
      <c r="EI11" s="38" t="n">
        <v>16</v>
      </c>
      <c r="EJ11" s="38" t="n">
        <v>90</v>
      </c>
      <c r="EK11" s="38" t="inlineStr">
        <is>
          <t>75"</t>
        </is>
      </c>
      <c r="EL11" s="38" t="n">
        <v>18</v>
      </c>
      <c r="EM11" s="38" t="inlineStr">
        <is>
          <t>Yes</t>
        </is>
      </c>
      <c r="EN11" s="38" t="inlineStr">
        <is>
          <t>Full Assembly Needed</t>
        </is>
      </c>
      <c r="EO11" s="38" t="n"/>
      <c r="EP11" s="38" t="inlineStr">
        <is>
          <t>No</t>
        </is>
      </c>
      <c r="EQ11" s="38" t="inlineStr">
        <is>
          <t>Does Not Apply</t>
        </is>
      </c>
      <c r="ER11" s="38" t="n"/>
      <c r="ES11" s="38" t="n"/>
      <c r="ET11" s="38" t="n"/>
    </row>
    <row r="12">
      <c r="A12" s="37">
        <f>IF('6 - TV Stands &amp; Enterta'!B12 = "", "", IF('6 - TV Stands &amp; Enterta-WUO_ERR'!A12 = "", "Validated", HYPERLINK("#" &amp; ADDRESS(12, '6 - TV Stands &amp; Enterta-WUO_TRK'!A12),_xlfn.TEXTAFTER('6 - TV Stands &amp; Enterta-WUO_ERR'!A12, ":"))))</f>
        <v/>
      </c>
      <c r="B12" s="38" t="inlineStr">
        <is>
          <t>CASA-TV-017</t>
        </is>
      </c>
      <c r="C12" s="38" t="n"/>
      <c r="D12" s="38" t="inlineStr">
        <is>
          <t>Casa Design Furniture</t>
        </is>
      </c>
      <c r="E12" s="38" t="inlineStr">
        <is>
          <t>CASA-TV-017</t>
        </is>
      </c>
      <c r="F12" s="38" t="inlineStr">
        <is>
          <t>840134100174</t>
        </is>
      </c>
      <c r="G12" s="38" t="inlineStr">
        <is>
          <t>#017 KL TV STAND</t>
        </is>
      </c>
      <c r="H12" s="38" t="n"/>
      <c r="I12" s="38" t="n"/>
      <c r="J12" s="38" t="n">
        <v>810</v>
      </c>
      <c r="K12" s="38" t="n"/>
      <c r="L12" s="38" t="n"/>
      <c r="M12" s="38" t="inlineStr">
        <is>
          <t>The #017 KL TV STAND offers a stunning modern design with high-end materials. Perfect for elevating your living space.</t>
        </is>
      </c>
      <c r="N12" s="38" t="inlineStr">
        <is>
          <t>Sleek Modern Aesthetic</t>
        </is>
      </c>
      <c r="O12" s="38" t="inlineStr">
        <is>
          <t>High-Durability Construction</t>
        </is>
      </c>
      <c r="P12" s="38" t="inlineStr">
        <is>
          <t>Easy Assembly with Storage</t>
        </is>
      </c>
      <c r="Q12" s="38" t="n"/>
      <c r="R12" s="38" t="n"/>
      <c r="S12" s="38" t="n">
        <v>1</v>
      </c>
      <c r="T12" s="38" t="n">
        <v>1</v>
      </c>
      <c r="U12" s="38" t="n">
        <v>1</v>
      </c>
      <c r="V12" s="38" t="n">
        <v>80</v>
      </c>
      <c r="W12" s="38" t="inlineStr">
        <is>
          <t>Small Parcel</t>
        </is>
      </c>
      <c r="X12" s="38" t="n"/>
      <c r="Y12" s="38" t="n">
        <v>4</v>
      </c>
      <c r="Z12" s="38" t="n">
        <v>7</v>
      </c>
      <c r="AA12" s="38" t="n"/>
      <c r="AB12" s="38" t="n"/>
      <c r="AC12" s="38" t="n"/>
      <c r="AD12" s="38" t="n">
        <v>90</v>
      </c>
      <c r="AE12" s="38" t="n">
        <v>26</v>
      </c>
      <c r="AF12" s="38" t="n">
        <v>69</v>
      </c>
      <c r="AG12" s="38" t="n">
        <v>19</v>
      </c>
      <c r="AH12" s="38" t="inlineStr">
        <is>
          <t>No</t>
        </is>
      </c>
      <c r="AI12" s="38" t="n"/>
      <c r="AJ12" s="38" t="n"/>
      <c r="AK12" s="38" t="inlineStr">
        <is>
          <t>United States</t>
        </is>
      </c>
      <c r="AL12" s="38" t="inlineStr">
        <is>
          <t>https://casadesignfurniture.com/wp-content/uploads/2023/12/Group-4-1.png</t>
        </is>
      </c>
      <c r="AM12" s="38" t="n"/>
      <c r="AN12" s="38" t="n"/>
      <c r="AO12" s="38" t="n"/>
      <c r="AP12" s="38" t="n"/>
      <c r="AQ12" s="38" t="n"/>
      <c r="AR12" s="38" t="n"/>
      <c r="AS12" s="38" t="n"/>
      <c r="AT12" s="38" t="n"/>
      <c r="AU12" s="38" t="n"/>
      <c r="AV12" s="38" t="n"/>
      <c r="AW12" s="38" t="n"/>
      <c r="AX12" s="38" t="n"/>
      <c r="AY12" s="38" t="n"/>
      <c r="AZ12" s="38" t="n"/>
      <c r="BA12" s="38" t="n"/>
      <c r="BB12" s="38" t="n"/>
      <c r="BC12" s="38" t="n"/>
      <c r="BD12" s="38" t="n"/>
      <c r="BE12" s="38" t="n"/>
      <c r="BF12" s="38" t="n"/>
      <c r="BG12" s="38" t="inlineStr">
        <is>
          <t>TV Stand</t>
        </is>
      </c>
      <c r="BH12" s="38" t="inlineStr">
        <is>
          <t>No</t>
        </is>
      </c>
      <c r="BI12" s="38" t="inlineStr">
        <is>
          <t>Yes</t>
        </is>
      </c>
      <c r="BJ12" s="38" t="n">
        <v>2</v>
      </c>
      <c r="BK12" s="38" t="inlineStr">
        <is>
          <t>Yes</t>
        </is>
      </c>
      <c r="BL12" s="38" t="n"/>
      <c r="BM12" s="38" t="n"/>
      <c r="BN12" s="38" t="n"/>
      <c r="BO12" s="38" t="inlineStr">
        <is>
          <t>No</t>
        </is>
      </c>
      <c r="BP12" s="38" t="inlineStr">
        <is>
          <t>Cabinet/Enclosed storage</t>
        </is>
      </c>
      <c r="BQ12" s="38" t="inlineStr">
        <is>
          <t>Solid + Manufactured Wood</t>
        </is>
      </c>
      <c r="BR12" s="38" t="n"/>
      <c r="BS12" s="38" t="inlineStr">
        <is>
          <t>No Natural Variation</t>
        </is>
      </c>
      <c r="BT12" s="38" t="n"/>
      <c r="BU12" s="38" t="n"/>
      <c r="BV12" s="38" t="n"/>
      <c r="BW12" s="38" t="n"/>
      <c r="BX12" s="38" t="n"/>
      <c r="BY12" s="38" t="n"/>
      <c r="BZ12" s="38" t="n"/>
      <c r="CA12" s="38" t="inlineStr">
        <is>
          <t>No</t>
        </is>
      </c>
      <c r="CB12" s="38" t="inlineStr">
        <is>
          <t>No</t>
        </is>
      </c>
      <c r="CC12" s="38" t="inlineStr">
        <is>
          <t>Yes</t>
        </is>
      </c>
      <c r="CD12" s="38" t="n"/>
      <c r="CE12" s="38" t="n"/>
      <c r="CF12" s="38" t="inlineStr">
        <is>
          <t>Residential Use</t>
        </is>
      </c>
      <c r="CG12" s="38" t="n"/>
      <c r="CH12" s="38" t="inlineStr">
        <is>
          <t>Does Not Apply</t>
        </is>
      </c>
      <c r="CI12" s="38" t="n"/>
      <c r="CJ12" s="38" t="n"/>
      <c r="CK12" s="38" t="inlineStr">
        <is>
          <t>No</t>
        </is>
      </c>
      <c r="CL12" s="38" t="inlineStr">
        <is>
          <t>Standard</t>
        </is>
      </c>
      <c r="CM12" s="38" t="inlineStr">
        <is>
          <t>Standard</t>
        </is>
      </c>
      <c r="CN12" s="38" t="inlineStr">
        <is>
          <t>1</t>
        </is>
      </c>
      <c r="CO12" s="38" t="inlineStr">
        <is>
          <t>Does Not Apply</t>
        </is>
      </c>
      <c r="CP12" s="38" t="inlineStr">
        <is>
          <t>Does Not Apply</t>
        </is>
      </c>
      <c r="CQ12" s="38" t="inlineStr">
        <is>
          <t>Does Not Apply</t>
        </is>
      </c>
      <c r="CR12" s="38" t="inlineStr">
        <is>
          <t>Does Not Apply</t>
        </is>
      </c>
      <c r="CS12" s="38" t="inlineStr">
        <is>
          <t>No</t>
        </is>
      </c>
      <c r="CT12" s="38" t="inlineStr">
        <is>
          <t>Does Not Apply</t>
        </is>
      </c>
      <c r="CU12" s="38" t="n">
        <v>150</v>
      </c>
      <c r="CV12" s="38" t="n"/>
      <c r="CW12" s="38" t="n"/>
      <c r="CX12" s="38" t="n"/>
      <c r="CY12" s="38" t="inlineStr">
        <is>
          <t>White</t>
        </is>
      </c>
      <c r="CZ12" s="38" t="n"/>
      <c r="DA12" s="38" t="inlineStr">
        <is>
          <t>Standard</t>
        </is>
      </c>
      <c r="DB12" s="38" t="inlineStr">
        <is>
          <t>Standard</t>
        </is>
      </c>
      <c r="DC12" s="38" t="n"/>
      <c r="DD12" s="38" t="n"/>
      <c r="DE12" s="38" t="n"/>
      <c r="DF12" s="38" t="inlineStr">
        <is>
          <t>1</t>
        </is>
      </c>
      <c r="DG12" s="38" t="n">
        <v>2</v>
      </c>
      <c r="DH12" s="38" t="n"/>
      <c r="DI12" s="38" t="n"/>
      <c r="DJ12" s="38" t="inlineStr">
        <is>
          <t>No</t>
        </is>
      </c>
      <c r="DK12" s="38" t="inlineStr">
        <is>
          <t>Yes</t>
        </is>
      </c>
      <c r="DL12" s="38" t="inlineStr">
        <is>
          <t>Yes</t>
        </is>
      </c>
      <c r="DM12" s="38" t="inlineStr">
        <is>
          <t>Yes</t>
        </is>
      </c>
      <c r="DN12" s="38" t="inlineStr">
        <is>
          <t>Yes</t>
        </is>
      </c>
      <c r="DO12" s="38" t="inlineStr">
        <is>
          <t>Yes</t>
        </is>
      </c>
      <c r="DP12" s="38" t="inlineStr">
        <is>
          <t>No</t>
        </is>
      </c>
      <c r="DQ12" s="38" t="inlineStr">
        <is>
          <t>None</t>
        </is>
      </c>
      <c r="DR12" s="38" t="n"/>
      <c r="DS12" s="38" t="n"/>
      <c r="DT12" s="38" t="n"/>
      <c r="DU12" s="38" t="n"/>
      <c r="DV12" s="38" t="n"/>
      <c r="DW12" s="38" t="n"/>
      <c r="DX12" s="38" t="inlineStr">
        <is>
          <t>Yes</t>
        </is>
      </c>
      <c r="DY12" s="38" t="inlineStr">
        <is>
          <t>Not Applicable</t>
        </is>
      </c>
      <c r="DZ12" s="38" t="inlineStr">
        <is>
          <t>Standard</t>
        </is>
      </c>
      <c r="EA12" s="38" t="inlineStr">
        <is>
          <t>Standard</t>
        </is>
      </c>
      <c r="EB12" s="38" t="n"/>
      <c r="EC12" s="38" t="n"/>
      <c r="ED12" s="38" t="n"/>
      <c r="EE12" s="38" t="n">
        <v>65</v>
      </c>
      <c r="EF12" s="38" t="n">
        <v>15</v>
      </c>
      <c r="EG12" s="38" t="n">
        <v>22</v>
      </c>
      <c r="EH12" s="38" t="n">
        <v>65</v>
      </c>
      <c r="EI12" s="38" t="n">
        <v>15</v>
      </c>
      <c r="EJ12" s="38" t="n">
        <v>80</v>
      </c>
      <c r="EK12" s="38" t="inlineStr">
        <is>
          <t>75"</t>
        </is>
      </c>
      <c r="EL12" s="38" t="n">
        <v>22</v>
      </c>
      <c r="EM12" s="38" t="inlineStr">
        <is>
          <t>Yes</t>
        </is>
      </c>
      <c r="EN12" s="38" t="inlineStr">
        <is>
          <t>Full Assembly Needed</t>
        </is>
      </c>
      <c r="EO12" s="38" t="n"/>
      <c r="EP12" s="38" t="inlineStr">
        <is>
          <t>No</t>
        </is>
      </c>
      <c r="EQ12" s="38" t="inlineStr">
        <is>
          <t>Does Not Apply</t>
        </is>
      </c>
      <c r="ER12" s="38" t="n"/>
      <c r="ES12" s="38" t="n"/>
      <c r="ET12" s="38" t="n"/>
    </row>
    <row r="13">
      <c r="A13" s="37">
        <f>IF('6 - TV Stands &amp; Enterta'!B13 = "", "", IF('6 - TV Stands &amp; Enterta-WUO_ERR'!A13 = "", "Validated", HYPERLINK("#" &amp; ADDRESS(13, '6 - TV Stands &amp; Enterta-WUO_TRK'!A13),_xlfn.TEXTAFTER('6 - TV Stands &amp; Enterta-WUO_ERR'!A13, ":"))))</f>
        <v/>
      </c>
      <c r="B13" s="38" t="inlineStr">
        <is>
          <t>CASA-TV-019</t>
        </is>
      </c>
      <c r="C13" s="38" t="n"/>
      <c r="D13" s="38" t="inlineStr">
        <is>
          <t>Casa Design Furniture</t>
        </is>
      </c>
      <c r="E13" s="38" t="inlineStr">
        <is>
          <t>CASA-TV-019</t>
        </is>
      </c>
      <c r="F13" s="38" t="inlineStr">
        <is>
          <t>840134100198</t>
        </is>
      </c>
      <c r="G13" s="38" t="inlineStr">
        <is>
          <t>#019 TV STAND MIRRORED DIAMONDS</t>
        </is>
      </c>
      <c r="H13" s="38" t="n"/>
      <c r="I13" s="38" t="n"/>
      <c r="J13" s="38" t="n">
        <v>950</v>
      </c>
      <c r="K13" s="38" t="n"/>
      <c r="L13" s="38" t="n"/>
      <c r="M13" s="38" t="inlineStr">
        <is>
          <t>The #019 TV STAND MIRRORED DIAMONDS offers a stunning modern design with high-end materials. Perfect for elevating your living space.</t>
        </is>
      </c>
      <c r="N13" s="38" t="inlineStr">
        <is>
          <t>Sleek Modern Aesthetic</t>
        </is>
      </c>
      <c r="O13" s="38" t="inlineStr">
        <is>
          <t>High-Durability Construction</t>
        </is>
      </c>
      <c r="P13" s="38" t="inlineStr">
        <is>
          <t>Easy Assembly with Storage</t>
        </is>
      </c>
      <c r="Q13" s="38" t="n"/>
      <c r="R13" s="38" t="n"/>
      <c r="S13" s="38" t="n">
        <v>1</v>
      </c>
      <c r="T13" s="38" t="n">
        <v>1</v>
      </c>
      <c r="U13" s="38" t="n">
        <v>1</v>
      </c>
      <c r="V13" s="38" t="n">
        <v>105</v>
      </c>
      <c r="W13" s="38" t="inlineStr">
        <is>
          <t>Small Parcel</t>
        </is>
      </c>
      <c r="X13" s="38" t="n"/>
      <c r="Y13" s="38" t="n">
        <v>4</v>
      </c>
      <c r="Z13" s="38" t="n">
        <v>7</v>
      </c>
      <c r="AA13" s="38" t="n"/>
      <c r="AB13" s="38" t="n"/>
      <c r="AC13" s="38" t="n"/>
      <c r="AD13" s="38" t="n">
        <v>115</v>
      </c>
      <c r="AE13" s="38" t="n">
        <v>23</v>
      </c>
      <c r="AF13" s="38" t="n">
        <v>79</v>
      </c>
      <c r="AG13" s="38" t="n">
        <v>21</v>
      </c>
      <c r="AH13" s="38" t="inlineStr">
        <is>
          <t>No</t>
        </is>
      </c>
      <c r="AI13" s="38" t="n"/>
      <c r="AJ13" s="38" t="n"/>
      <c r="AK13" s="38" t="inlineStr">
        <is>
          <t>United States</t>
        </is>
      </c>
      <c r="AL13" s="38" t="inlineStr">
        <is>
          <t>https://casadesignfurniture.com/wp-content/uploads/2023/12/Group-4-1.png</t>
        </is>
      </c>
      <c r="AM13" s="38" t="n"/>
      <c r="AN13" s="38" t="n"/>
      <c r="AO13" s="38" t="n"/>
      <c r="AP13" s="38" t="n"/>
      <c r="AQ13" s="38" t="n"/>
      <c r="AR13" s="38" t="n"/>
      <c r="AS13" s="38" t="n"/>
      <c r="AT13" s="38" t="n"/>
      <c r="AU13" s="38" t="n"/>
      <c r="AV13" s="38" t="n"/>
      <c r="AW13" s="38" t="n"/>
      <c r="AX13" s="38" t="n"/>
      <c r="AY13" s="38" t="n"/>
      <c r="AZ13" s="38" t="n"/>
      <c r="BA13" s="38" t="n"/>
      <c r="BB13" s="38" t="n"/>
      <c r="BC13" s="38" t="n"/>
      <c r="BD13" s="38" t="n"/>
      <c r="BE13" s="38" t="n"/>
      <c r="BF13" s="38" t="n"/>
      <c r="BG13" s="38" t="inlineStr">
        <is>
          <t>TV Stand</t>
        </is>
      </c>
      <c r="BH13" s="38" t="inlineStr">
        <is>
          <t>No</t>
        </is>
      </c>
      <c r="BI13" s="38" t="inlineStr">
        <is>
          <t>Yes</t>
        </is>
      </c>
      <c r="BJ13" s="38" t="n">
        <v>2</v>
      </c>
      <c r="BK13" s="38" t="inlineStr">
        <is>
          <t>Yes</t>
        </is>
      </c>
      <c r="BL13" s="38" t="n"/>
      <c r="BM13" s="38" t="n"/>
      <c r="BN13" s="38" t="n"/>
      <c r="BO13" s="38" t="inlineStr">
        <is>
          <t>No</t>
        </is>
      </c>
      <c r="BP13" s="38" t="inlineStr">
        <is>
          <t>Cabinet/Enclosed storage</t>
        </is>
      </c>
      <c r="BQ13" s="38" t="inlineStr">
        <is>
          <t>Solid + Manufactured Wood</t>
        </is>
      </c>
      <c r="BR13" s="38" t="n"/>
      <c r="BS13" s="38" t="inlineStr">
        <is>
          <t>No Natural Variation</t>
        </is>
      </c>
      <c r="BT13" s="38" t="n"/>
      <c r="BU13" s="38" t="n"/>
      <c r="BV13" s="38" t="n"/>
      <c r="BW13" s="38" t="n"/>
      <c r="BX13" s="38" t="n"/>
      <c r="BY13" s="38" t="n"/>
      <c r="BZ13" s="38" t="n"/>
      <c r="CA13" s="38" t="inlineStr">
        <is>
          <t>No</t>
        </is>
      </c>
      <c r="CB13" s="38" t="inlineStr">
        <is>
          <t>No</t>
        </is>
      </c>
      <c r="CC13" s="38" t="inlineStr">
        <is>
          <t>Yes</t>
        </is>
      </c>
      <c r="CD13" s="38" t="n"/>
      <c r="CE13" s="38" t="n"/>
      <c r="CF13" s="38" t="inlineStr">
        <is>
          <t>Residential Use</t>
        </is>
      </c>
      <c r="CG13" s="38" t="n"/>
      <c r="CH13" s="38" t="inlineStr">
        <is>
          <t>Does Not Apply</t>
        </is>
      </c>
      <c r="CI13" s="38" t="n"/>
      <c r="CJ13" s="38" t="n"/>
      <c r="CK13" s="38" t="inlineStr">
        <is>
          <t>No</t>
        </is>
      </c>
      <c r="CL13" s="38" t="inlineStr">
        <is>
          <t>Standard</t>
        </is>
      </c>
      <c r="CM13" s="38" t="inlineStr">
        <is>
          <t>Standard</t>
        </is>
      </c>
      <c r="CN13" s="38" t="inlineStr">
        <is>
          <t>1</t>
        </is>
      </c>
      <c r="CO13" s="38" t="inlineStr">
        <is>
          <t>Does Not Apply</t>
        </is>
      </c>
      <c r="CP13" s="38" t="inlineStr">
        <is>
          <t>Does Not Apply</t>
        </is>
      </c>
      <c r="CQ13" s="38" t="inlineStr">
        <is>
          <t>Does Not Apply</t>
        </is>
      </c>
      <c r="CR13" s="38" t="inlineStr">
        <is>
          <t>Does Not Apply</t>
        </is>
      </c>
      <c r="CS13" s="38" t="inlineStr">
        <is>
          <t>No</t>
        </is>
      </c>
      <c r="CT13" s="38" t="inlineStr">
        <is>
          <t>Does Not Apply</t>
        </is>
      </c>
      <c r="CU13" s="38" t="n">
        <v>150</v>
      </c>
      <c r="CV13" s="38" t="n"/>
      <c r="CW13" s="38" t="n"/>
      <c r="CX13" s="38" t="n"/>
      <c r="CY13" s="38" t="inlineStr">
        <is>
          <t>White</t>
        </is>
      </c>
      <c r="CZ13" s="38" t="n"/>
      <c r="DA13" s="38" t="inlineStr">
        <is>
          <t>Standard</t>
        </is>
      </c>
      <c r="DB13" s="38" t="inlineStr">
        <is>
          <t>Standard</t>
        </is>
      </c>
      <c r="DC13" s="38" t="n"/>
      <c r="DD13" s="38" t="n"/>
      <c r="DE13" s="38" t="n"/>
      <c r="DF13" s="38" t="inlineStr">
        <is>
          <t>1</t>
        </is>
      </c>
      <c r="DG13" s="38" t="n">
        <v>2</v>
      </c>
      <c r="DH13" s="38" t="n"/>
      <c r="DI13" s="38" t="n"/>
      <c r="DJ13" s="38" t="inlineStr">
        <is>
          <t>No</t>
        </is>
      </c>
      <c r="DK13" s="38" t="inlineStr">
        <is>
          <t>Yes</t>
        </is>
      </c>
      <c r="DL13" s="38" t="inlineStr">
        <is>
          <t>Yes</t>
        </is>
      </c>
      <c r="DM13" s="38" t="inlineStr">
        <is>
          <t>Yes</t>
        </is>
      </c>
      <c r="DN13" s="38" t="inlineStr">
        <is>
          <t>Yes</t>
        </is>
      </c>
      <c r="DO13" s="38" t="inlineStr">
        <is>
          <t>Yes</t>
        </is>
      </c>
      <c r="DP13" s="38" t="inlineStr">
        <is>
          <t>No</t>
        </is>
      </c>
      <c r="DQ13" s="38" t="inlineStr">
        <is>
          <t>None</t>
        </is>
      </c>
      <c r="DR13" s="38" t="n"/>
      <c r="DS13" s="38" t="n"/>
      <c r="DT13" s="38" t="n"/>
      <c r="DU13" s="38" t="n"/>
      <c r="DV13" s="38" t="n"/>
      <c r="DW13" s="38" t="n"/>
      <c r="DX13" s="38" t="inlineStr">
        <is>
          <t>Yes</t>
        </is>
      </c>
      <c r="DY13" s="38" t="inlineStr">
        <is>
          <t>Not Applicable</t>
        </is>
      </c>
      <c r="DZ13" s="38" t="inlineStr">
        <is>
          <t>Standard</t>
        </is>
      </c>
      <c r="EA13" s="38" t="inlineStr">
        <is>
          <t>Standard</t>
        </is>
      </c>
      <c r="EB13" s="38" t="n"/>
      <c r="EC13" s="38" t="n"/>
      <c r="ED13" s="38" t="n"/>
      <c r="EE13" s="38" t="n">
        <v>75</v>
      </c>
      <c r="EF13" s="38" t="n">
        <v>17</v>
      </c>
      <c r="EG13" s="38" t="n">
        <v>19</v>
      </c>
      <c r="EH13" s="38" t="n">
        <v>75</v>
      </c>
      <c r="EI13" s="38" t="n">
        <v>17</v>
      </c>
      <c r="EJ13" s="38" t="n">
        <v>105</v>
      </c>
      <c r="EK13" s="38" t="inlineStr">
        <is>
          <t>75"</t>
        </is>
      </c>
      <c r="EL13" s="38" t="n">
        <v>19</v>
      </c>
      <c r="EM13" s="38" t="inlineStr">
        <is>
          <t>Yes</t>
        </is>
      </c>
      <c r="EN13" s="38" t="inlineStr">
        <is>
          <t>Full Assembly Needed</t>
        </is>
      </c>
      <c r="EO13" s="38" t="n"/>
      <c r="EP13" s="38" t="inlineStr">
        <is>
          <t>No</t>
        </is>
      </c>
      <c r="EQ13" s="38" t="inlineStr">
        <is>
          <t>Does Not Apply</t>
        </is>
      </c>
      <c r="ER13" s="38" t="n"/>
      <c r="ES13" s="38" t="n"/>
      <c r="ET13" s="38" t="n"/>
    </row>
    <row r="14">
      <c r="A14" s="37">
        <f>IF('6 - TV Stands &amp; Enterta'!B14 = "", "", IF('6 - TV Stands &amp; Enterta-WUO_ERR'!A14 = "", "Validated", HYPERLINK("#" &amp; ADDRESS(14, '6 - TV Stands &amp; Enterta-WUO_TRK'!A14),_xlfn.TEXTAFTER('6 - TV Stands &amp; Enterta-WUO_ERR'!A14, ":"))))</f>
        <v/>
      </c>
      <c r="B14" s="38" t="inlineStr">
        <is>
          <t>CASA-TV-020</t>
        </is>
      </c>
      <c r="C14" s="38" t="n"/>
      <c r="D14" s="38" t="inlineStr">
        <is>
          <t>Casa Design Furniture</t>
        </is>
      </c>
      <c r="E14" s="38" t="inlineStr">
        <is>
          <t>CASA-TV-020</t>
        </is>
      </c>
      <c r="F14" s="38" t="inlineStr">
        <is>
          <t>840134100204</t>
        </is>
      </c>
      <c r="G14" s="38" t="inlineStr">
        <is>
          <t>#020 TV STAND ELECTRIC FIREPLACE</t>
        </is>
      </c>
      <c r="H14" s="38" t="n"/>
      <c r="I14" s="38" t="n"/>
      <c r="J14" s="38" t="n">
        <v>1100</v>
      </c>
      <c r="K14" s="38" t="n"/>
      <c r="L14" s="38" t="n"/>
      <c r="M14" s="38" t="inlineStr">
        <is>
          <t>The #020 TV STAND ELECTRIC FIREPLACE offers a stunning modern design with high-end materials. Perfect for elevating your living space.</t>
        </is>
      </c>
      <c r="N14" s="38" t="inlineStr">
        <is>
          <t>Sleek Modern Aesthetic</t>
        </is>
      </c>
      <c r="O14" s="38" t="inlineStr">
        <is>
          <t>High-Durability Construction</t>
        </is>
      </c>
      <c r="P14" s="38" t="inlineStr">
        <is>
          <t>Easy Assembly with Storage</t>
        </is>
      </c>
      <c r="Q14" s="38" t="n"/>
      <c r="R14" s="38" t="n"/>
      <c r="S14" s="38" t="n">
        <v>1</v>
      </c>
      <c r="T14" s="38" t="n">
        <v>1</v>
      </c>
      <c r="U14" s="38" t="n">
        <v>1</v>
      </c>
      <c r="V14" s="38" t="n">
        <v>120</v>
      </c>
      <c r="W14" s="38" t="inlineStr">
        <is>
          <t>Small Parcel</t>
        </is>
      </c>
      <c r="X14" s="38" t="n"/>
      <c r="Y14" s="38" t="n">
        <v>4</v>
      </c>
      <c r="Z14" s="38" t="n">
        <v>7</v>
      </c>
      <c r="AA14" s="38" t="n"/>
      <c r="AB14" s="38" t="n"/>
      <c r="AC14" s="38" t="n"/>
      <c r="AD14" s="38" t="n">
        <v>130</v>
      </c>
      <c r="AE14" s="38" t="n">
        <v>47</v>
      </c>
      <c r="AF14" s="38" t="n">
        <v>87</v>
      </c>
      <c r="AG14" s="38" t="n">
        <v>43</v>
      </c>
      <c r="AH14" s="38" t="inlineStr">
        <is>
          <t>No</t>
        </is>
      </c>
      <c r="AI14" s="38" t="n"/>
      <c r="AJ14" s="38" t="n"/>
      <c r="AK14" s="38" t="inlineStr">
        <is>
          <t>United States</t>
        </is>
      </c>
      <c r="AL14" s="38" t="inlineStr">
        <is>
          <t>https://casadesignfurniture.com/wp-content/uploads/2023/07/dearborn.jpg</t>
        </is>
      </c>
      <c r="AM14" s="38" t="n"/>
      <c r="AN14" s="38" t="n"/>
      <c r="AO14" s="38" t="n"/>
      <c r="AP14" s="38" t="n"/>
      <c r="AQ14" s="38" t="n"/>
      <c r="AR14" s="38" t="n"/>
      <c r="AS14" s="38" t="n"/>
      <c r="AT14" s="38" t="n"/>
      <c r="AU14" s="38" t="n"/>
      <c r="AV14" s="38" t="n"/>
      <c r="AW14" s="38" t="n"/>
      <c r="AX14" s="38" t="n"/>
      <c r="AY14" s="38" t="n"/>
      <c r="AZ14" s="38" t="n"/>
      <c r="BA14" s="38" t="n"/>
      <c r="BB14" s="38" t="n"/>
      <c r="BC14" s="38" t="n"/>
      <c r="BD14" s="38" t="n"/>
      <c r="BE14" s="38" t="n"/>
      <c r="BF14" s="38" t="n"/>
      <c r="BG14" s="38" t="inlineStr">
        <is>
          <t>TV Stand</t>
        </is>
      </c>
      <c r="BH14" s="38" t="inlineStr">
        <is>
          <t>No</t>
        </is>
      </c>
      <c r="BI14" s="38" t="inlineStr">
        <is>
          <t>Yes</t>
        </is>
      </c>
      <c r="BJ14" s="38" t="n">
        <v>2</v>
      </c>
      <c r="BK14" s="38" t="inlineStr">
        <is>
          <t>Yes</t>
        </is>
      </c>
      <c r="BL14" s="38" t="n"/>
      <c r="BM14" s="38" t="n"/>
      <c r="BN14" s="38" t="n"/>
      <c r="BO14" s="38" t="inlineStr">
        <is>
          <t>No</t>
        </is>
      </c>
      <c r="BP14" s="38" t="inlineStr">
        <is>
          <t>Cabinet/Enclosed storage</t>
        </is>
      </c>
      <c r="BQ14" s="38" t="inlineStr">
        <is>
          <t>Solid + Manufactured Wood</t>
        </is>
      </c>
      <c r="BR14" s="38" t="n"/>
      <c r="BS14" s="38" t="inlineStr">
        <is>
          <t>No Natural Variation</t>
        </is>
      </c>
      <c r="BT14" s="38" t="n"/>
      <c r="BU14" s="38" t="n"/>
      <c r="BV14" s="38" t="n"/>
      <c r="BW14" s="38" t="n"/>
      <c r="BX14" s="38" t="n"/>
      <c r="BY14" s="38" t="n"/>
      <c r="BZ14" s="38" t="n"/>
      <c r="CA14" s="38" t="inlineStr">
        <is>
          <t>Yes</t>
        </is>
      </c>
      <c r="CB14" s="38" t="inlineStr">
        <is>
          <t>Yes</t>
        </is>
      </c>
      <c r="CC14" s="38" t="inlineStr">
        <is>
          <t>Yes</t>
        </is>
      </c>
      <c r="CD14" s="38" t="n"/>
      <c r="CE14" s="38" t="n"/>
      <c r="CF14" s="38" t="inlineStr">
        <is>
          <t>Residential Use</t>
        </is>
      </c>
      <c r="CG14" s="38" t="n"/>
      <c r="CH14" s="38" t="inlineStr">
        <is>
          <t>Does Not Apply</t>
        </is>
      </c>
      <c r="CI14" s="38" t="n"/>
      <c r="CJ14" s="38" t="n"/>
      <c r="CK14" s="38" t="inlineStr">
        <is>
          <t>No</t>
        </is>
      </c>
      <c r="CL14" s="38" t="inlineStr">
        <is>
          <t>Standard</t>
        </is>
      </c>
      <c r="CM14" s="38" t="inlineStr">
        <is>
          <t>Standard</t>
        </is>
      </c>
      <c r="CN14" s="38" t="inlineStr">
        <is>
          <t>1</t>
        </is>
      </c>
      <c r="CO14" s="38" t="inlineStr">
        <is>
          <t>Does Not Apply</t>
        </is>
      </c>
      <c r="CP14" s="38" t="inlineStr">
        <is>
          <t>Does Not Apply</t>
        </is>
      </c>
      <c r="CQ14" s="38" t="inlineStr">
        <is>
          <t>Does Not Apply</t>
        </is>
      </c>
      <c r="CR14" s="38" t="inlineStr">
        <is>
          <t>Does Not Apply</t>
        </is>
      </c>
      <c r="CS14" s="38" t="n"/>
      <c r="CT14" s="38" t="n"/>
      <c r="CU14" s="38" t="n">
        <v>150</v>
      </c>
      <c r="CV14" s="38" t="n"/>
      <c r="CW14" s="38" t="n"/>
      <c r="CX14" s="38" t="n"/>
      <c r="CY14" s="38" t="inlineStr">
        <is>
          <t>White</t>
        </is>
      </c>
      <c r="CZ14" s="38" t="n"/>
      <c r="DA14" s="38" t="inlineStr">
        <is>
          <t>Vent Free</t>
        </is>
      </c>
      <c r="DB14" s="38" t="inlineStr">
        <is>
          <t>Electric</t>
        </is>
      </c>
      <c r="DC14" s="38" t="n"/>
      <c r="DD14" s="38" t="n"/>
      <c r="DE14" s="38" t="n"/>
      <c r="DF14" s="38" t="inlineStr">
        <is>
          <t>1</t>
        </is>
      </c>
      <c r="DG14" s="38" t="n">
        <v>2</v>
      </c>
      <c r="DH14" s="38" t="n"/>
      <c r="DI14" s="38" t="n"/>
      <c r="DJ14" s="38" t="inlineStr">
        <is>
          <t>No</t>
        </is>
      </c>
      <c r="DK14" s="38" t="inlineStr">
        <is>
          <t>Yes</t>
        </is>
      </c>
      <c r="DL14" s="38" t="inlineStr">
        <is>
          <t>Yes</t>
        </is>
      </c>
      <c r="DM14" s="38" t="inlineStr">
        <is>
          <t>Yes</t>
        </is>
      </c>
      <c r="DN14" s="38" t="inlineStr">
        <is>
          <t>Yes</t>
        </is>
      </c>
      <c r="DO14" s="38" t="inlineStr">
        <is>
          <t>Yes</t>
        </is>
      </c>
      <c r="DP14" s="38" t="inlineStr">
        <is>
          <t>No</t>
        </is>
      </c>
      <c r="DQ14" s="38" t="inlineStr">
        <is>
          <t>None</t>
        </is>
      </c>
      <c r="DR14" s="38" t="n"/>
      <c r="DS14" s="38" t="n"/>
      <c r="DT14" s="38" t="n"/>
      <c r="DU14" s="38" t="n"/>
      <c r="DV14" s="38" t="n"/>
      <c r="DW14" s="38" t="n"/>
      <c r="DX14" s="38" t="inlineStr">
        <is>
          <t>Yes</t>
        </is>
      </c>
      <c r="DY14" s="38" t="inlineStr">
        <is>
          <t>Not Applicable</t>
        </is>
      </c>
      <c r="DZ14" s="38" t="inlineStr">
        <is>
          <t>Standard</t>
        </is>
      </c>
      <c r="EA14" s="38" t="inlineStr">
        <is>
          <t>Standard</t>
        </is>
      </c>
      <c r="EB14" s="38" t="n"/>
      <c r="EC14" s="38" t="n"/>
      <c r="ED14" s="38" t="n"/>
      <c r="EE14" s="38" t="n">
        <v>83</v>
      </c>
      <c r="EF14" s="38" t="n">
        <v>39</v>
      </c>
      <c r="EG14" s="38" t="n">
        <v>43</v>
      </c>
      <c r="EH14" s="38" t="n">
        <v>83</v>
      </c>
      <c r="EI14" s="38" t="n">
        <v>39</v>
      </c>
      <c r="EJ14" s="38" t="n">
        <v>120</v>
      </c>
      <c r="EK14" s="38" t="inlineStr">
        <is>
          <t>75"</t>
        </is>
      </c>
      <c r="EL14" s="38" t="n">
        <v>43</v>
      </c>
      <c r="EM14" s="38" t="inlineStr">
        <is>
          <t>Yes</t>
        </is>
      </c>
      <c r="EN14" s="38" t="inlineStr">
        <is>
          <t>Full Assembly Needed</t>
        </is>
      </c>
      <c r="EO14" s="38" t="n"/>
      <c r="EP14" s="38" t="inlineStr">
        <is>
          <t>No</t>
        </is>
      </c>
      <c r="EQ14" s="38" t="inlineStr">
        <is>
          <t>Does Not Apply</t>
        </is>
      </c>
      <c r="ER14" s="38" t="n"/>
      <c r="ES14" s="38" t="n"/>
      <c r="ET14" s="38" t="n"/>
    </row>
    <row r="15">
      <c r="A15" s="37">
        <f>IF('6 - TV Stands &amp; Enterta'!B15 = "", "", IF('6 - TV Stands &amp; Enterta-WUO_ERR'!A15 = "", "Validated", HYPERLINK("#" &amp; ADDRESS(15, '6 - TV Stands &amp; Enterta-WUO_TRK'!A15),_xlfn.TEXTAFTER('6 - TV Stands &amp; Enterta-WUO_ERR'!A15, ":"))))</f>
        <v/>
      </c>
      <c r="B15" s="38" t="inlineStr">
        <is>
          <t>CASA-TV-023</t>
        </is>
      </c>
      <c r="C15" s="38" t="n"/>
      <c r="D15" s="38" t="inlineStr">
        <is>
          <t>Casa Design Furniture</t>
        </is>
      </c>
      <c r="E15" s="38" t="inlineStr">
        <is>
          <t>CASA-TV-023</t>
        </is>
      </c>
      <c r="F15" s="38" t="inlineStr">
        <is>
          <t>840134100235</t>
        </is>
      </c>
      <c r="G15" s="38" t="inlineStr">
        <is>
          <t>#023 AMRITA TV STAND</t>
        </is>
      </c>
      <c r="H15" s="38" t="n"/>
      <c r="I15" s="38" t="n"/>
      <c r="J15" s="38" t="n">
        <v>590</v>
      </c>
      <c r="K15" s="38" t="n"/>
      <c r="L15" s="38" t="n"/>
      <c r="M15" s="38" t="inlineStr">
        <is>
          <t>The #023 AMRITA TV STAND offers a stunning modern design with high-end materials. Perfect for elevating your living space.</t>
        </is>
      </c>
      <c r="N15" s="38" t="inlineStr">
        <is>
          <t>Sleek Modern Aesthetic</t>
        </is>
      </c>
      <c r="O15" s="38" t="inlineStr">
        <is>
          <t>High-Durability Construction</t>
        </is>
      </c>
      <c r="P15" s="38" t="inlineStr">
        <is>
          <t>Easy Assembly with Storage</t>
        </is>
      </c>
      <c r="Q15" s="38" t="n"/>
      <c r="R15" s="38" t="n"/>
      <c r="S15" s="38" t="n">
        <v>1</v>
      </c>
      <c r="T15" s="38" t="n">
        <v>1</v>
      </c>
      <c r="U15" s="38" t="n">
        <v>1</v>
      </c>
      <c r="V15" s="38" t="n">
        <v>70</v>
      </c>
      <c r="W15" s="38" t="inlineStr">
        <is>
          <t>Small Parcel</t>
        </is>
      </c>
      <c r="X15" s="38" t="n"/>
      <c r="Y15" s="38" t="n">
        <v>4</v>
      </c>
      <c r="Z15" s="38" t="n">
        <v>7</v>
      </c>
      <c r="AA15" s="38" t="n"/>
      <c r="AB15" s="38" t="n"/>
      <c r="AC15" s="38" t="n"/>
      <c r="AD15" s="38" t="n">
        <v>80</v>
      </c>
      <c r="AE15" s="38" t="n">
        <v>28</v>
      </c>
      <c r="AF15" s="38" t="n">
        <v>64</v>
      </c>
      <c r="AG15" s="38" t="n">
        <v>20</v>
      </c>
      <c r="AH15" s="38" t="inlineStr">
        <is>
          <t>No</t>
        </is>
      </c>
      <c r="AI15" s="38" t="n"/>
      <c r="AJ15" s="38" t="n"/>
      <c r="AK15" s="38" t="inlineStr">
        <is>
          <t>United States</t>
        </is>
      </c>
      <c r="AL15" s="38" t="inlineStr">
        <is>
          <t>https://casadesignfurniture.com/wp-content/uploads/2023/12/Group-4-1.png</t>
        </is>
      </c>
      <c r="AM15" s="38" t="n"/>
      <c r="AN15" s="38" t="n"/>
      <c r="AO15" s="38" t="n"/>
      <c r="AP15" s="38" t="n"/>
      <c r="AQ15" s="38" t="n"/>
      <c r="AR15" s="38" t="n"/>
      <c r="AS15" s="38" t="n"/>
      <c r="AT15" s="38" t="n"/>
      <c r="AU15" s="38" t="n"/>
      <c r="AV15" s="38" t="n"/>
      <c r="AW15" s="38" t="n"/>
      <c r="AX15" s="38" t="n"/>
      <c r="AY15" s="38" t="n"/>
      <c r="AZ15" s="38" t="n"/>
      <c r="BA15" s="38" t="n"/>
      <c r="BB15" s="38" t="n"/>
      <c r="BC15" s="38" t="n"/>
      <c r="BD15" s="38" t="n"/>
      <c r="BE15" s="38" t="n"/>
      <c r="BF15" s="38" t="n"/>
      <c r="BG15" s="38" t="inlineStr">
        <is>
          <t>TV Stand</t>
        </is>
      </c>
      <c r="BH15" s="38" t="inlineStr">
        <is>
          <t>No</t>
        </is>
      </c>
      <c r="BI15" s="38" t="inlineStr">
        <is>
          <t>Yes</t>
        </is>
      </c>
      <c r="BJ15" s="38" t="n">
        <v>2</v>
      </c>
      <c r="BK15" s="38" t="inlineStr">
        <is>
          <t>Yes</t>
        </is>
      </c>
      <c r="BL15" s="38" t="n"/>
      <c r="BM15" s="38" t="n"/>
      <c r="BN15" s="38" t="n"/>
      <c r="BO15" s="38" t="inlineStr">
        <is>
          <t>No</t>
        </is>
      </c>
      <c r="BP15" s="38" t="inlineStr">
        <is>
          <t>Cabinet/Enclosed storage</t>
        </is>
      </c>
      <c r="BQ15" s="38" t="inlineStr">
        <is>
          <t>Solid + Manufactured Wood</t>
        </is>
      </c>
      <c r="BR15" s="38" t="n"/>
      <c r="BS15" s="38" t="inlineStr">
        <is>
          <t>No Natural Variation</t>
        </is>
      </c>
      <c r="BT15" s="38" t="n"/>
      <c r="BU15" s="38" t="n"/>
      <c r="BV15" s="38" t="n"/>
      <c r="BW15" s="38" t="n"/>
      <c r="BX15" s="38" t="n"/>
      <c r="BY15" s="38" t="n"/>
      <c r="BZ15" s="38" t="n"/>
      <c r="CA15" s="38" t="inlineStr">
        <is>
          <t>No</t>
        </is>
      </c>
      <c r="CB15" s="38" t="inlineStr">
        <is>
          <t>No</t>
        </is>
      </c>
      <c r="CC15" s="38" t="inlineStr">
        <is>
          <t>Yes</t>
        </is>
      </c>
      <c r="CD15" s="38" t="n"/>
      <c r="CE15" s="38" t="n"/>
      <c r="CF15" s="38" t="inlineStr">
        <is>
          <t>Residential Use</t>
        </is>
      </c>
      <c r="CG15" s="38" t="n"/>
      <c r="CH15" s="38" t="inlineStr">
        <is>
          <t>Does Not Apply</t>
        </is>
      </c>
      <c r="CI15" s="38" t="n"/>
      <c r="CJ15" s="38" t="n"/>
      <c r="CK15" s="38" t="inlineStr">
        <is>
          <t>No</t>
        </is>
      </c>
      <c r="CL15" s="38" t="inlineStr">
        <is>
          <t>Standard</t>
        </is>
      </c>
      <c r="CM15" s="38" t="inlineStr">
        <is>
          <t>Standard</t>
        </is>
      </c>
      <c r="CN15" s="38" t="inlineStr">
        <is>
          <t>1</t>
        </is>
      </c>
      <c r="CO15" s="38" t="inlineStr">
        <is>
          <t>Does Not Apply</t>
        </is>
      </c>
      <c r="CP15" s="38" t="inlineStr">
        <is>
          <t>Does Not Apply</t>
        </is>
      </c>
      <c r="CQ15" s="38" t="inlineStr">
        <is>
          <t>Does Not Apply</t>
        </is>
      </c>
      <c r="CR15" s="38" t="inlineStr">
        <is>
          <t>Does Not Apply</t>
        </is>
      </c>
      <c r="CS15" s="38" t="inlineStr">
        <is>
          <t>No</t>
        </is>
      </c>
      <c r="CT15" s="38" t="inlineStr">
        <is>
          <t>Does Not Apply</t>
        </is>
      </c>
      <c r="CU15" s="38" t="n">
        <v>150</v>
      </c>
      <c r="CV15" s="38" t="n"/>
      <c r="CW15" s="38" t="n"/>
      <c r="CX15" s="38" t="n"/>
      <c r="CY15" s="38" t="inlineStr">
        <is>
          <t>White</t>
        </is>
      </c>
      <c r="CZ15" s="38" t="n"/>
      <c r="DA15" s="38" t="inlineStr">
        <is>
          <t>Standard</t>
        </is>
      </c>
      <c r="DB15" s="38" t="inlineStr">
        <is>
          <t>Standard</t>
        </is>
      </c>
      <c r="DC15" s="38" t="n"/>
      <c r="DD15" s="38" t="n"/>
      <c r="DE15" s="38" t="n"/>
      <c r="DF15" s="38" t="inlineStr">
        <is>
          <t>1</t>
        </is>
      </c>
      <c r="DG15" s="38" t="n">
        <v>2</v>
      </c>
      <c r="DH15" s="38" t="n"/>
      <c r="DI15" s="38" t="n"/>
      <c r="DJ15" s="38" t="inlineStr">
        <is>
          <t>No</t>
        </is>
      </c>
      <c r="DK15" s="38" t="inlineStr">
        <is>
          <t>Yes</t>
        </is>
      </c>
      <c r="DL15" s="38" t="inlineStr">
        <is>
          <t>Yes</t>
        </is>
      </c>
      <c r="DM15" s="38" t="inlineStr">
        <is>
          <t>Yes</t>
        </is>
      </c>
      <c r="DN15" s="38" t="inlineStr">
        <is>
          <t>Yes</t>
        </is>
      </c>
      <c r="DO15" s="38" t="inlineStr">
        <is>
          <t>Yes</t>
        </is>
      </c>
      <c r="DP15" s="38" t="inlineStr">
        <is>
          <t>No</t>
        </is>
      </c>
      <c r="DQ15" s="38" t="inlineStr">
        <is>
          <t>None</t>
        </is>
      </c>
      <c r="DR15" s="38" t="n"/>
      <c r="DS15" s="38" t="n"/>
      <c r="DT15" s="38" t="n"/>
      <c r="DU15" s="38" t="n"/>
      <c r="DV15" s="38" t="n"/>
      <c r="DW15" s="38" t="n"/>
      <c r="DX15" s="38" t="inlineStr">
        <is>
          <t>Yes</t>
        </is>
      </c>
      <c r="DY15" s="38" t="inlineStr">
        <is>
          <t>Not Applicable</t>
        </is>
      </c>
      <c r="DZ15" s="38" t="inlineStr">
        <is>
          <t>Standard</t>
        </is>
      </c>
      <c r="EA15" s="38" t="inlineStr">
        <is>
          <t>Standard</t>
        </is>
      </c>
      <c r="EB15" s="38" t="n"/>
      <c r="EC15" s="38" t="n"/>
      <c r="ED15" s="38" t="n"/>
      <c r="EE15" s="38" t="n">
        <v>60</v>
      </c>
      <c r="EF15" s="38" t="n">
        <v>16</v>
      </c>
      <c r="EG15" s="38" t="n">
        <v>24</v>
      </c>
      <c r="EH15" s="38" t="n">
        <v>60</v>
      </c>
      <c r="EI15" s="38" t="n">
        <v>16</v>
      </c>
      <c r="EJ15" s="38" t="n">
        <v>70</v>
      </c>
      <c r="EK15" s="38" t="inlineStr">
        <is>
          <t>75"</t>
        </is>
      </c>
      <c r="EL15" s="38" t="n">
        <v>24</v>
      </c>
      <c r="EM15" s="38" t="inlineStr">
        <is>
          <t>Yes</t>
        </is>
      </c>
      <c r="EN15" s="38" t="inlineStr">
        <is>
          <t>Full Assembly Needed</t>
        </is>
      </c>
      <c r="EO15" s="38" t="n"/>
      <c r="EP15" s="38" t="inlineStr">
        <is>
          <t>No</t>
        </is>
      </c>
      <c r="EQ15" s="38" t="inlineStr">
        <is>
          <t>Does Not Apply</t>
        </is>
      </c>
      <c r="ER15" s="38" t="n"/>
      <c r="ES15" s="38" t="n"/>
      <c r="ET15" s="38" t="n"/>
    </row>
    <row r="16">
      <c r="A16" s="37">
        <f>IF('6 - TV Stands &amp; Enterta'!B16 = "", "", IF('6 - TV Stands &amp; Enterta-WUO_ERR'!A16 = "", "Validated", HYPERLINK("#" &amp; ADDRESS(16, '6 - TV Stands &amp; Enterta-WUO_TRK'!A16),_xlfn.TEXTAFTER('6 - TV Stands &amp; Enterta-WUO_ERR'!A16, ":"))))</f>
        <v/>
      </c>
      <c r="B16" s="38" t="inlineStr">
        <is>
          <t>CASA-TV-025</t>
        </is>
      </c>
      <c r="C16" s="38" t="n"/>
      <c r="D16" s="38" t="inlineStr">
        <is>
          <t>Casa Design Furniture</t>
        </is>
      </c>
      <c r="E16" s="38" t="inlineStr">
        <is>
          <t>CASA-TV-025</t>
        </is>
      </c>
      <c r="F16" s="38" t="inlineStr">
        <is>
          <t>840134100259</t>
        </is>
      </c>
      <c r="G16" s="38" t="inlineStr">
        <is>
          <t>#025 AFONSO TV STAND FIREPLACE</t>
        </is>
      </c>
      <c r="H16" s="38" t="n"/>
      <c r="I16" s="38" t="n"/>
      <c r="J16" s="38" t="n">
        <v>1250</v>
      </c>
      <c r="K16" s="38" t="n"/>
      <c r="L16" s="38" t="n"/>
      <c r="M16" s="38" t="inlineStr">
        <is>
          <t>The #025 AFONSO TV STAND FIREPLACE offers a stunning modern design with high-end materials. Perfect for elevating your living space.</t>
        </is>
      </c>
      <c r="N16" s="38" t="inlineStr">
        <is>
          <t>Sleek Modern Aesthetic</t>
        </is>
      </c>
      <c r="O16" s="38" t="inlineStr">
        <is>
          <t>High-Durability Construction</t>
        </is>
      </c>
      <c r="P16" s="38" t="inlineStr">
        <is>
          <t>Easy Assembly with Storage</t>
        </is>
      </c>
      <c r="Q16" s="38" t="n"/>
      <c r="R16" s="38" t="n"/>
      <c r="S16" s="38" t="n">
        <v>1</v>
      </c>
      <c r="T16" s="38" t="n">
        <v>1</v>
      </c>
      <c r="U16" s="38" t="n">
        <v>1</v>
      </c>
      <c r="V16" s="38" t="n">
        <v>115</v>
      </c>
      <c r="W16" s="38" t="inlineStr">
        <is>
          <t>Small Parcel</t>
        </is>
      </c>
      <c r="X16" s="38" t="n"/>
      <c r="Y16" s="38" t="n">
        <v>4</v>
      </c>
      <c r="Z16" s="38" t="n">
        <v>7</v>
      </c>
      <c r="AA16" s="38" t="n"/>
      <c r="AB16" s="38" t="n"/>
      <c r="AC16" s="38" t="n"/>
      <c r="AD16" s="38" t="n">
        <v>125</v>
      </c>
      <c r="AE16" s="38" t="n">
        <v>24</v>
      </c>
      <c r="AF16" s="38" t="n">
        <v>82</v>
      </c>
      <c r="AG16" s="38" t="n">
        <v>22</v>
      </c>
      <c r="AH16" s="38" t="inlineStr">
        <is>
          <t>No</t>
        </is>
      </c>
      <c r="AI16" s="38" t="n"/>
      <c r="AJ16" s="38" t="n"/>
      <c r="AK16" s="38" t="inlineStr">
        <is>
          <t>United States</t>
        </is>
      </c>
      <c r="AL16" s="38" t="inlineStr">
        <is>
          <t>https://casadesignfurniture.com/wp-content/uploads/2023/12/Group-4-1.png</t>
        </is>
      </c>
      <c r="AM16" s="38" t="n"/>
      <c r="AN16" s="38" t="n"/>
      <c r="AO16" s="38" t="n"/>
      <c r="AP16" s="38" t="n"/>
      <c r="AQ16" s="38" t="n"/>
      <c r="AR16" s="38" t="n"/>
      <c r="AS16" s="38" t="n"/>
      <c r="AT16" s="38" t="n"/>
      <c r="AU16" s="38" t="n"/>
      <c r="AV16" s="38" t="n"/>
      <c r="AW16" s="38" t="n"/>
      <c r="AX16" s="38" t="n"/>
      <c r="AY16" s="38" t="n"/>
      <c r="AZ16" s="38" t="n"/>
      <c r="BA16" s="38" t="n"/>
      <c r="BB16" s="38" t="n"/>
      <c r="BC16" s="38" t="n"/>
      <c r="BD16" s="38" t="n"/>
      <c r="BE16" s="38" t="n"/>
      <c r="BF16" s="38" t="n"/>
      <c r="BG16" s="38" t="inlineStr">
        <is>
          <t>TV Stand</t>
        </is>
      </c>
      <c r="BH16" s="38" t="inlineStr">
        <is>
          <t>No</t>
        </is>
      </c>
      <c r="BI16" s="38" t="inlineStr">
        <is>
          <t>Yes</t>
        </is>
      </c>
      <c r="BJ16" s="38" t="n">
        <v>2</v>
      </c>
      <c r="BK16" s="38" t="inlineStr">
        <is>
          <t>Yes</t>
        </is>
      </c>
      <c r="BL16" s="38" t="n"/>
      <c r="BM16" s="38" t="n"/>
      <c r="BN16" s="38" t="n"/>
      <c r="BO16" s="38" t="inlineStr">
        <is>
          <t>No</t>
        </is>
      </c>
      <c r="BP16" s="38" t="inlineStr">
        <is>
          <t>Cabinet/Enclosed storage</t>
        </is>
      </c>
      <c r="BQ16" s="38" t="inlineStr">
        <is>
          <t>Solid + Manufactured Wood</t>
        </is>
      </c>
      <c r="BR16" s="38" t="n"/>
      <c r="BS16" s="38" t="inlineStr">
        <is>
          <t>No Natural Variation</t>
        </is>
      </c>
      <c r="BT16" s="38" t="n"/>
      <c r="BU16" s="38" t="n"/>
      <c r="BV16" s="38" t="n"/>
      <c r="BW16" s="38" t="n"/>
      <c r="BX16" s="38" t="n"/>
      <c r="BY16" s="38" t="n"/>
      <c r="BZ16" s="38" t="n"/>
      <c r="CA16" s="38" t="inlineStr">
        <is>
          <t>Yes</t>
        </is>
      </c>
      <c r="CB16" s="38" t="inlineStr">
        <is>
          <t>Yes</t>
        </is>
      </c>
      <c r="CC16" s="38" t="inlineStr">
        <is>
          <t>Yes</t>
        </is>
      </c>
      <c r="CD16" s="38" t="n"/>
      <c r="CE16" s="38" t="n"/>
      <c r="CF16" s="38" t="inlineStr">
        <is>
          <t>Residential Use</t>
        </is>
      </c>
      <c r="CG16" s="38" t="n"/>
      <c r="CH16" s="38" t="inlineStr">
        <is>
          <t>Does Not Apply</t>
        </is>
      </c>
      <c r="CI16" s="38" t="n"/>
      <c r="CJ16" s="38" t="n"/>
      <c r="CK16" s="38" t="inlineStr">
        <is>
          <t>No</t>
        </is>
      </c>
      <c r="CL16" s="38" t="inlineStr">
        <is>
          <t>Standard</t>
        </is>
      </c>
      <c r="CM16" s="38" t="inlineStr">
        <is>
          <t>Standard</t>
        </is>
      </c>
      <c r="CN16" s="38" t="inlineStr">
        <is>
          <t>1</t>
        </is>
      </c>
      <c r="CO16" s="38" t="inlineStr">
        <is>
          <t>Does Not Apply</t>
        </is>
      </c>
      <c r="CP16" s="38" t="inlineStr">
        <is>
          <t>Does Not Apply</t>
        </is>
      </c>
      <c r="CQ16" s="38" t="inlineStr">
        <is>
          <t>Does Not Apply</t>
        </is>
      </c>
      <c r="CR16" s="38" t="inlineStr">
        <is>
          <t>Does Not Apply</t>
        </is>
      </c>
      <c r="CS16" s="38" t="n"/>
      <c r="CT16" s="38" t="n"/>
      <c r="CU16" s="38" t="n">
        <v>150</v>
      </c>
      <c r="CV16" s="38" t="n"/>
      <c r="CW16" s="38" t="n"/>
      <c r="CX16" s="38" t="n"/>
      <c r="CY16" s="38" t="inlineStr">
        <is>
          <t>White</t>
        </is>
      </c>
      <c r="CZ16" s="38" t="n"/>
      <c r="DA16" s="38" t="inlineStr">
        <is>
          <t>Vent Free</t>
        </is>
      </c>
      <c r="DB16" s="38" t="inlineStr">
        <is>
          <t>Electric</t>
        </is>
      </c>
      <c r="DC16" s="38" t="n"/>
      <c r="DD16" s="38" t="n"/>
      <c r="DE16" s="38" t="n"/>
      <c r="DF16" s="38" t="inlineStr">
        <is>
          <t>1</t>
        </is>
      </c>
      <c r="DG16" s="38" t="n">
        <v>2</v>
      </c>
      <c r="DH16" s="38" t="n"/>
      <c r="DI16" s="38" t="n"/>
      <c r="DJ16" s="38" t="inlineStr">
        <is>
          <t>No</t>
        </is>
      </c>
      <c r="DK16" s="38" t="inlineStr">
        <is>
          <t>Yes</t>
        </is>
      </c>
      <c r="DL16" s="38" t="inlineStr">
        <is>
          <t>Yes</t>
        </is>
      </c>
      <c r="DM16" s="38" t="inlineStr">
        <is>
          <t>Yes</t>
        </is>
      </c>
      <c r="DN16" s="38" t="inlineStr">
        <is>
          <t>Yes</t>
        </is>
      </c>
      <c r="DO16" s="38" t="inlineStr">
        <is>
          <t>Yes</t>
        </is>
      </c>
      <c r="DP16" s="38" t="inlineStr">
        <is>
          <t>No</t>
        </is>
      </c>
      <c r="DQ16" s="38" t="inlineStr">
        <is>
          <t>None</t>
        </is>
      </c>
      <c r="DR16" s="38" t="n"/>
      <c r="DS16" s="38" t="n"/>
      <c r="DT16" s="38" t="n"/>
      <c r="DU16" s="38" t="n"/>
      <c r="DV16" s="38" t="n"/>
      <c r="DW16" s="38" t="n"/>
      <c r="DX16" s="38" t="inlineStr">
        <is>
          <t>Yes</t>
        </is>
      </c>
      <c r="DY16" s="38" t="inlineStr">
        <is>
          <t>Not Applicable</t>
        </is>
      </c>
      <c r="DZ16" s="38" t="inlineStr">
        <is>
          <t>Standard</t>
        </is>
      </c>
      <c r="EA16" s="38" t="inlineStr">
        <is>
          <t>Standard</t>
        </is>
      </c>
      <c r="EB16" s="38" t="n"/>
      <c r="EC16" s="38" t="n"/>
      <c r="ED16" s="38" t="n"/>
      <c r="EE16" s="38" t="n">
        <v>78</v>
      </c>
      <c r="EF16" s="38" t="n">
        <v>18</v>
      </c>
      <c r="EG16" s="38" t="n">
        <v>20</v>
      </c>
      <c r="EH16" s="38" t="n">
        <v>78</v>
      </c>
      <c r="EI16" s="38" t="n">
        <v>18</v>
      </c>
      <c r="EJ16" s="38" t="n">
        <v>115</v>
      </c>
      <c r="EK16" s="38" t="inlineStr">
        <is>
          <t>75"</t>
        </is>
      </c>
      <c r="EL16" s="38" t="n">
        <v>20</v>
      </c>
      <c r="EM16" s="38" t="inlineStr">
        <is>
          <t>Yes</t>
        </is>
      </c>
      <c r="EN16" s="38" t="inlineStr">
        <is>
          <t>Full Assembly Needed</t>
        </is>
      </c>
      <c r="EO16" s="38" t="n"/>
      <c r="EP16" s="38" t="inlineStr">
        <is>
          <t>No</t>
        </is>
      </c>
      <c r="EQ16" s="38" t="inlineStr">
        <is>
          <t>Does Not Apply</t>
        </is>
      </c>
      <c r="ER16" s="38" t="n"/>
      <c r="ES16" s="38" t="n"/>
      <c r="ET16" s="38" t="n"/>
    </row>
    <row r="17">
      <c r="A17" s="37">
        <f>IF('6 - TV Stands &amp; Enterta'!B17 = "", "", IF('6 - TV Stands &amp; Enterta-WUO_ERR'!A17 = "", "Validated", HYPERLINK("#" &amp; ADDRESS(17, '6 - TV Stands &amp; Enterta-WUO_TRK'!A17),_xlfn.TEXTAFTER('6 - TV Stands &amp; Enterta-WUO_ERR'!A17, ":"))))</f>
        <v/>
      </c>
      <c r="B17" s="38" t="inlineStr">
        <is>
          <t>CASA-TV-NEW-301</t>
        </is>
      </c>
      <c r="C17" s="38" t="n"/>
      <c r="D17" s="38" t="inlineStr">
        <is>
          <t>Casa Design Furniture</t>
        </is>
      </c>
      <c r="E17" s="38" t="inlineStr">
        <is>
          <t>CASA-TV-NEW-301</t>
        </is>
      </c>
      <c r="F17" s="38" t="inlineStr">
        <is>
          <t>840134100351</t>
        </is>
      </c>
      <c r="G17" s="38" t="inlineStr">
        <is>
          <t>Contemporary TV Console Model 301</t>
        </is>
      </c>
      <c r="H17" s="38" t="n"/>
      <c r="I17" s="38" t="n"/>
      <c r="J17" s="38" t="n">
        <v>620</v>
      </c>
      <c r="K17" s="38" t="n"/>
      <c r="L17" s="38" t="n"/>
      <c r="M17" s="38" t="inlineStr">
        <is>
          <t>The Elite Contemporary TV Unit Model 701 offers a stunning modern design with high-end materials. Perfect for elevating your living space.</t>
        </is>
      </c>
      <c r="N17" s="38" t="inlineStr">
        <is>
          <t>Sleek Modern Aesthetic</t>
        </is>
      </c>
      <c r="O17" s="38" t="inlineStr">
        <is>
          <t>High-Durability Construction</t>
        </is>
      </c>
      <c r="P17" s="38" t="inlineStr">
        <is>
          <t>Easy Assembly with Storage</t>
        </is>
      </c>
      <c r="Q17" s="38" t="n"/>
      <c r="R17" s="38" t="n"/>
      <c r="S17" s="38" t="n">
        <v>1</v>
      </c>
      <c r="T17" s="38" t="n">
        <v>1</v>
      </c>
      <c r="U17" s="38" t="n">
        <v>1</v>
      </c>
      <c r="V17" s="38" t="n">
        <v>80</v>
      </c>
      <c r="W17" s="38" t="inlineStr">
        <is>
          <t>Small Parcel</t>
        </is>
      </c>
      <c r="X17" s="38" t="n"/>
      <c r="Y17" s="38" t="n">
        <v>4</v>
      </c>
      <c r="Z17" s="38" t="n">
        <v>7</v>
      </c>
      <c r="AA17" s="38" t="n"/>
      <c r="AB17" s="38" t="n"/>
      <c r="AC17" s="38" t="n"/>
      <c r="AD17" s="38" t="n">
        <v>90</v>
      </c>
      <c r="AE17" s="38" t="n">
        <v>26</v>
      </c>
      <c r="AF17" s="38" t="n">
        <v>69</v>
      </c>
      <c r="AG17" s="38" t="n">
        <v>19</v>
      </c>
      <c r="AH17" s="38" t="inlineStr">
        <is>
          <t>No</t>
        </is>
      </c>
      <c r="AI17" s="38" t="n"/>
      <c r="AJ17" s="38" t="n"/>
      <c r="AK17" s="38" t="inlineStr">
        <is>
          <t>United States</t>
        </is>
      </c>
      <c r="AL17" s="38" t="inlineStr">
        <is>
          <t>https://casadesignfurniture.com/wp-content/uploads/2023/12/Group-4-1.png</t>
        </is>
      </c>
      <c r="AM17" s="38" t="n"/>
      <c r="AN17" s="38" t="n"/>
      <c r="AO17" s="38" t="n"/>
      <c r="AP17" s="38" t="n"/>
      <c r="AQ17" s="38" t="n"/>
      <c r="AR17" s="38" t="n"/>
      <c r="AS17" s="38" t="n"/>
      <c r="AT17" s="38" t="n"/>
      <c r="AU17" s="38" t="n"/>
      <c r="AV17" s="38" t="n"/>
      <c r="AW17" s="38" t="n"/>
      <c r="AX17" s="38" t="n"/>
      <c r="AY17" s="38" t="n"/>
      <c r="AZ17" s="38" t="n"/>
      <c r="BA17" s="38" t="n"/>
      <c r="BB17" s="38" t="n"/>
      <c r="BC17" s="38" t="n"/>
      <c r="BD17" s="38" t="n"/>
      <c r="BE17" s="38" t="n"/>
      <c r="BF17" s="38" t="n"/>
      <c r="BG17" s="38" t="inlineStr">
        <is>
          <t>TV Stand</t>
        </is>
      </c>
      <c r="BH17" s="38" t="inlineStr">
        <is>
          <t>No</t>
        </is>
      </c>
      <c r="BI17" s="38" t="inlineStr">
        <is>
          <t>Yes</t>
        </is>
      </c>
      <c r="BJ17" s="38" t="n">
        <v>2</v>
      </c>
      <c r="BK17" s="38" t="inlineStr">
        <is>
          <t>Yes</t>
        </is>
      </c>
      <c r="BL17" s="38" t="n"/>
      <c r="BM17" s="38" t="n"/>
      <c r="BN17" s="38" t="n"/>
      <c r="BO17" s="38" t="inlineStr">
        <is>
          <t>No</t>
        </is>
      </c>
      <c r="BP17" s="38" t="inlineStr">
        <is>
          <t>Cabinet/Enclosed storage</t>
        </is>
      </c>
      <c r="BQ17" s="38" t="inlineStr">
        <is>
          <t>Solid + Manufactured Wood</t>
        </is>
      </c>
      <c r="BR17" s="38" t="n"/>
      <c r="BS17" s="38" t="inlineStr">
        <is>
          <t>No Natural Variation</t>
        </is>
      </c>
      <c r="BT17" s="38" t="n"/>
      <c r="BU17" s="38" t="n"/>
      <c r="BV17" s="38" t="n"/>
      <c r="BW17" s="38" t="n"/>
      <c r="BX17" s="38" t="n"/>
      <c r="BY17" s="38" t="n"/>
      <c r="BZ17" s="38" t="n"/>
      <c r="CA17" s="38" t="inlineStr">
        <is>
          <t>No</t>
        </is>
      </c>
      <c r="CB17" s="38" t="inlineStr">
        <is>
          <t>No</t>
        </is>
      </c>
      <c r="CC17" s="38" t="inlineStr">
        <is>
          <t>Yes</t>
        </is>
      </c>
      <c r="CD17" s="38" t="n"/>
      <c r="CE17" s="38" t="n"/>
      <c r="CF17" s="38" t="inlineStr">
        <is>
          <t>Residential Use</t>
        </is>
      </c>
      <c r="CG17" s="38" t="n"/>
      <c r="CH17" s="38" t="inlineStr">
        <is>
          <t>Does Not Apply</t>
        </is>
      </c>
      <c r="CI17" s="38" t="n"/>
      <c r="CJ17" s="38" t="n"/>
      <c r="CK17" s="38" t="inlineStr">
        <is>
          <t>No</t>
        </is>
      </c>
      <c r="CL17" s="38" t="inlineStr">
        <is>
          <t>Standard</t>
        </is>
      </c>
      <c r="CM17" s="38" t="inlineStr">
        <is>
          <t>Standard</t>
        </is>
      </c>
      <c r="CN17" s="38" t="inlineStr">
        <is>
          <t>1</t>
        </is>
      </c>
      <c r="CO17" s="38" t="inlineStr">
        <is>
          <t>Does Not Apply</t>
        </is>
      </c>
      <c r="CP17" s="38" t="inlineStr">
        <is>
          <t>Does Not Apply</t>
        </is>
      </c>
      <c r="CQ17" s="38" t="inlineStr">
        <is>
          <t>Does Not Apply</t>
        </is>
      </c>
      <c r="CR17" s="38" t="inlineStr">
        <is>
          <t>Does Not Apply</t>
        </is>
      </c>
      <c r="CS17" s="38" t="inlineStr">
        <is>
          <t>No</t>
        </is>
      </c>
      <c r="CT17" s="38" t="inlineStr">
        <is>
          <t>Does Not Apply</t>
        </is>
      </c>
      <c r="CU17" s="38" t="n">
        <v>150</v>
      </c>
      <c r="CV17" s="38" t="n"/>
      <c r="CW17" s="38" t="n"/>
      <c r="CX17" s="38" t="n"/>
      <c r="CY17" s="38" t="inlineStr">
        <is>
          <t>White</t>
        </is>
      </c>
      <c r="CZ17" s="38" t="n"/>
      <c r="DA17" s="38" t="inlineStr">
        <is>
          <t>Standard</t>
        </is>
      </c>
      <c r="DB17" s="38" t="inlineStr">
        <is>
          <t>Standard</t>
        </is>
      </c>
      <c r="DC17" s="38" t="n"/>
      <c r="DD17" s="38" t="n"/>
      <c r="DE17" s="38" t="n"/>
      <c r="DF17" s="38" t="inlineStr">
        <is>
          <t>1</t>
        </is>
      </c>
      <c r="DG17" s="38" t="n">
        <v>2</v>
      </c>
      <c r="DH17" s="38" t="n"/>
      <c r="DI17" s="38" t="n"/>
      <c r="DJ17" s="38" t="inlineStr">
        <is>
          <t>No</t>
        </is>
      </c>
      <c r="DK17" s="38" t="inlineStr">
        <is>
          <t>Yes</t>
        </is>
      </c>
      <c r="DL17" s="38" t="inlineStr">
        <is>
          <t>Yes</t>
        </is>
      </c>
      <c r="DM17" s="38" t="inlineStr">
        <is>
          <t>Yes</t>
        </is>
      </c>
      <c r="DN17" s="38" t="inlineStr">
        <is>
          <t>Yes</t>
        </is>
      </c>
      <c r="DO17" s="38" t="inlineStr">
        <is>
          <t>Yes</t>
        </is>
      </c>
      <c r="DP17" s="38" t="inlineStr">
        <is>
          <t>No</t>
        </is>
      </c>
      <c r="DQ17" s="38" t="inlineStr">
        <is>
          <t>None</t>
        </is>
      </c>
      <c r="DR17" s="38" t="n"/>
      <c r="DS17" s="38" t="n"/>
      <c r="DT17" s="38" t="n"/>
      <c r="DU17" s="38" t="n"/>
      <c r="DV17" s="38" t="n"/>
      <c r="DW17" s="38" t="n"/>
      <c r="DX17" s="38" t="inlineStr">
        <is>
          <t>Yes</t>
        </is>
      </c>
      <c r="DY17" s="38" t="inlineStr">
        <is>
          <t>Not Applicable</t>
        </is>
      </c>
      <c r="DZ17" s="38" t="inlineStr">
        <is>
          <t>Standard</t>
        </is>
      </c>
      <c r="EA17" s="38" t="inlineStr">
        <is>
          <t>Standard</t>
        </is>
      </c>
      <c r="EB17" s="38" t="n"/>
      <c r="EC17" s="38" t="n"/>
      <c r="ED17" s="38" t="n"/>
      <c r="EE17" s="38" t="n">
        <v>65</v>
      </c>
      <c r="EF17" s="38" t="n">
        <v>15</v>
      </c>
      <c r="EG17" s="38" t="n">
        <v>22</v>
      </c>
      <c r="EH17" s="38" t="n">
        <v>65</v>
      </c>
      <c r="EI17" s="38" t="n">
        <v>15</v>
      </c>
      <c r="EJ17" s="38" t="n">
        <v>80</v>
      </c>
      <c r="EK17" s="38" t="inlineStr">
        <is>
          <t>75"</t>
        </is>
      </c>
      <c r="EL17" s="38" t="n">
        <v>22</v>
      </c>
      <c r="EM17" s="38" t="inlineStr">
        <is>
          <t>Yes</t>
        </is>
      </c>
      <c r="EN17" s="38" t="inlineStr">
        <is>
          <t>Full Assembly Needed</t>
        </is>
      </c>
      <c r="EO17" s="38" t="n"/>
      <c r="EP17" s="38" t="inlineStr">
        <is>
          <t>No</t>
        </is>
      </c>
      <c r="EQ17" s="38" t="inlineStr">
        <is>
          <t>Does Not Apply</t>
        </is>
      </c>
      <c r="ER17" s="38" t="n"/>
      <c r="ES17" s="38" t="n"/>
      <c r="ET17" s="38" t="n"/>
    </row>
    <row r="18">
      <c r="A18" s="37">
        <f>IF('6 - TV Stands &amp; Enterta'!B18 = "", "", IF('6 - TV Stands &amp; Enterta-WUO_ERR'!A18 = "", "Validated", HYPERLINK("#" &amp; ADDRESS(18, '6 - TV Stands &amp; Enterta-WUO_TRK'!A18),_xlfn.TEXTAFTER('6 - TV Stands &amp; Enterta-WUO_ERR'!A18, ":"))))</f>
        <v/>
      </c>
      <c r="B18" s="38" t="inlineStr">
        <is>
          <t>CASA-TV-NEW-302</t>
        </is>
      </c>
      <c r="C18" s="38" t="n"/>
      <c r="D18" s="38" t="inlineStr">
        <is>
          <t>Casa Design Furniture</t>
        </is>
      </c>
      <c r="E18" s="38" t="inlineStr">
        <is>
          <t>CASA-TV-NEW-302</t>
        </is>
      </c>
      <c r="F18" s="38" t="inlineStr">
        <is>
          <t>840134100352</t>
        </is>
      </c>
      <c r="G18" s="38" t="inlineStr">
        <is>
          <t>Contemporary TV Console Model 302</t>
        </is>
      </c>
      <c r="H18" s="38" t="n"/>
      <c r="I18" s="38" t="n"/>
      <c r="J18" s="38" t="n">
        <v>670</v>
      </c>
      <c r="K18" s="38" t="n"/>
      <c r="L18" s="38" t="n"/>
      <c r="M18" s="38" t="inlineStr">
        <is>
          <t>The Elite Contemporary TV Unit Model 702 offers a stunning modern design with high-end materials. Perfect for elevating your living space.</t>
        </is>
      </c>
      <c r="N18" s="38" t="inlineStr">
        <is>
          <t>Sleek Modern Aesthetic</t>
        </is>
      </c>
      <c r="O18" s="38" t="inlineStr">
        <is>
          <t>High-Durability Construction</t>
        </is>
      </c>
      <c r="P18" s="38" t="inlineStr">
        <is>
          <t>Easy Assembly with Storage</t>
        </is>
      </c>
      <c r="Q18" s="38" t="n"/>
      <c r="R18" s="38" t="n"/>
      <c r="S18" s="38" t="n">
        <v>1</v>
      </c>
      <c r="T18" s="38" t="n">
        <v>1</v>
      </c>
      <c r="U18" s="38" t="n">
        <v>1</v>
      </c>
      <c r="V18" s="38" t="n">
        <v>80</v>
      </c>
      <c r="W18" s="38" t="inlineStr">
        <is>
          <t>Small Parcel</t>
        </is>
      </c>
      <c r="X18" s="38" t="n"/>
      <c r="Y18" s="38" t="n">
        <v>4</v>
      </c>
      <c r="Z18" s="38" t="n">
        <v>7</v>
      </c>
      <c r="AA18" s="38" t="n"/>
      <c r="AB18" s="38" t="n"/>
      <c r="AC18" s="38" t="n"/>
      <c r="AD18" s="38" t="n">
        <v>90</v>
      </c>
      <c r="AE18" s="38" t="n">
        <v>26</v>
      </c>
      <c r="AF18" s="38" t="n">
        <v>69</v>
      </c>
      <c r="AG18" s="38" t="n">
        <v>19</v>
      </c>
      <c r="AH18" s="38" t="inlineStr">
        <is>
          <t>No</t>
        </is>
      </c>
      <c r="AI18" s="38" t="n"/>
      <c r="AJ18" s="38" t="n"/>
      <c r="AK18" s="38" t="inlineStr">
        <is>
          <t>United States</t>
        </is>
      </c>
      <c r="AL18" s="38" t="inlineStr">
        <is>
          <t>https://casadesignfurniture.com/wp-content/uploads/2023/12/Group-4-1.png</t>
        </is>
      </c>
      <c r="AM18" s="38" t="n"/>
      <c r="AN18" s="38" t="n"/>
      <c r="AO18" s="38" t="n"/>
      <c r="AP18" s="38" t="n"/>
      <c r="AQ18" s="38" t="n"/>
      <c r="AR18" s="38" t="n"/>
      <c r="AS18" s="38" t="n"/>
      <c r="AT18" s="38" t="n"/>
      <c r="AU18" s="38" t="n"/>
      <c r="AV18" s="38" t="n"/>
      <c r="AW18" s="38" t="n"/>
      <c r="AX18" s="38" t="n"/>
      <c r="AY18" s="38" t="n"/>
      <c r="AZ18" s="38" t="n"/>
      <c r="BA18" s="38" t="n"/>
      <c r="BB18" s="38" t="n"/>
      <c r="BC18" s="38" t="n"/>
      <c r="BD18" s="38" t="n"/>
      <c r="BE18" s="38" t="n"/>
      <c r="BF18" s="38" t="n"/>
      <c r="BG18" s="38" t="inlineStr">
        <is>
          <t>TV Stand</t>
        </is>
      </c>
      <c r="BH18" s="38" t="inlineStr">
        <is>
          <t>No</t>
        </is>
      </c>
      <c r="BI18" s="38" t="inlineStr">
        <is>
          <t>Yes</t>
        </is>
      </c>
      <c r="BJ18" s="38" t="n">
        <v>2</v>
      </c>
      <c r="BK18" s="38" t="inlineStr">
        <is>
          <t>Yes</t>
        </is>
      </c>
      <c r="BL18" s="38" t="n"/>
      <c r="BM18" s="38" t="n"/>
      <c r="BN18" s="38" t="n"/>
      <c r="BO18" s="38" t="inlineStr">
        <is>
          <t>No</t>
        </is>
      </c>
      <c r="BP18" s="38" t="inlineStr">
        <is>
          <t>Cabinet/Enclosed storage</t>
        </is>
      </c>
      <c r="BQ18" s="38" t="inlineStr">
        <is>
          <t>Solid + Manufactured Wood</t>
        </is>
      </c>
      <c r="BR18" s="38" t="n"/>
      <c r="BS18" s="38" t="inlineStr">
        <is>
          <t>No Natural Variation</t>
        </is>
      </c>
      <c r="BT18" s="38" t="n"/>
      <c r="BU18" s="38" t="n"/>
      <c r="BV18" s="38" t="n"/>
      <c r="BW18" s="38" t="n"/>
      <c r="BX18" s="38" t="n"/>
      <c r="BY18" s="38" t="n"/>
      <c r="BZ18" s="38" t="n"/>
      <c r="CA18" s="38" t="inlineStr">
        <is>
          <t>No</t>
        </is>
      </c>
      <c r="CB18" s="38" t="inlineStr">
        <is>
          <t>No</t>
        </is>
      </c>
      <c r="CC18" s="38" t="inlineStr">
        <is>
          <t>Yes</t>
        </is>
      </c>
      <c r="CD18" s="38" t="n"/>
      <c r="CE18" s="38" t="n"/>
      <c r="CF18" s="38" t="inlineStr">
        <is>
          <t>Residential Use</t>
        </is>
      </c>
      <c r="CG18" s="38" t="n"/>
      <c r="CH18" s="38" t="inlineStr">
        <is>
          <t>Does Not Apply</t>
        </is>
      </c>
      <c r="CI18" s="38" t="n"/>
      <c r="CJ18" s="38" t="n"/>
      <c r="CK18" s="38" t="inlineStr">
        <is>
          <t>No</t>
        </is>
      </c>
      <c r="CL18" s="38" t="inlineStr">
        <is>
          <t>Standard</t>
        </is>
      </c>
      <c r="CM18" s="38" t="inlineStr">
        <is>
          <t>Standard</t>
        </is>
      </c>
      <c r="CN18" s="38" t="inlineStr">
        <is>
          <t>1</t>
        </is>
      </c>
      <c r="CO18" s="38" t="inlineStr">
        <is>
          <t>Does Not Apply</t>
        </is>
      </c>
      <c r="CP18" s="38" t="inlineStr">
        <is>
          <t>Does Not Apply</t>
        </is>
      </c>
      <c r="CQ18" s="38" t="inlineStr">
        <is>
          <t>Does Not Apply</t>
        </is>
      </c>
      <c r="CR18" s="38" t="inlineStr">
        <is>
          <t>Does Not Apply</t>
        </is>
      </c>
      <c r="CS18" s="38" t="inlineStr">
        <is>
          <t>No</t>
        </is>
      </c>
      <c r="CT18" s="38" t="inlineStr">
        <is>
          <t>Does Not Apply</t>
        </is>
      </c>
      <c r="CU18" s="38" t="n">
        <v>150</v>
      </c>
      <c r="CV18" s="38" t="n"/>
      <c r="CW18" s="38" t="n"/>
      <c r="CX18" s="38" t="n"/>
      <c r="CY18" s="38" t="inlineStr">
        <is>
          <t>White</t>
        </is>
      </c>
      <c r="CZ18" s="38" t="n"/>
      <c r="DA18" s="38" t="inlineStr">
        <is>
          <t>Standard</t>
        </is>
      </c>
      <c r="DB18" s="38" t="inlineStr">
        <is>
          <t>Standard</t>
        </is>
      </c>
      <c r="DC18" s="38" t="n"/>
      <c r="DD18" s="38" t="n"/>
      <c r="DE18" s="38" t="n"/>
      <c r="DF18" s="38" t="inlineStr">
        <is>
          <t>1</t>
        </is>
      </c>
      <c r="DG18" s="38" t="n">
        <v>2</v>
      </c>
      <c r="DH18" s="38" t="n"/>
      <c r="DI18" s="38" t="n"/>
      <c r="DJ18" s="38" t="inlineStr">
        <is>
          <t>No</t>
        </is>
      </c>
      <c r="DK18" s="38" t="inlineStr">
        <is>
          <t>Yes</t>
        </is>
      </c>
      <c r="DL18" s="38" t="inlineStr">
        <is>
          <t>Yes</t>
        </is>
      </c>
      <c r="DM18" s="38" t="inlineStr">
        <is>
          <t>Yes</t>
        </is>
      </c>
      <c r="DN18" s="38" t="inlineStr">
        <is>
          <t>Yes</t>
        </is>
      </c>
      <c r="DO18" s="38" t="inlineStr">
        <is>
          <t>Yes</t>
        </is>
      </c>
      <c r="DP18" s="38" t="inlineStr">
        <is>
          <t>No</t>
        </is>
      </c>
      <c r="DQ18" s="38" t="inlineStr">
        <is>
          <t>None</t>
        </is>
      </c>
      <c r="DR18" s="38" t="n"/>
      <c r="DS18" s="38" t="n"/>
      <c r="DT18" s="38" t="n"/>
      <c r="DU18" s="38" t="n"/>
      <c r="DV18" s="38" t="n"/>
      <c r="DW18" s="38" t="n"/>
      <c r="DX18" s="38" t="inlineStr">
        <is>
          <t>Yes</t>
        </is>
      </c>
      <c r="DY18" s="38" t="inlineStr">
        <is>
          <t>Not Applicable</t>
        </is>
      </c>
      <c r="DZ18" s="38" t="inlineStr">
        <is>
          <t>Standard</t>
        </is>
      </c>
      <c r="EA18" s="38" t="inlineStr">
        <is>
          <t>Standard</t>
        </is>
      </c>
      <c r="EB18" s="38" t="n"/>
      <c r="EC18" s="38" t="n"/>
      <c r="ED18" s="38" t="n"/>
      <c r="EE18" s="38" t="n">
        <v>65</v>
      </c>
      <c r="EF18" s="38" t="n">
        <v>15</v>
      </c>
      <c r="EG18" s="38" t="n">
        <v>22</v>
      </c>
      <c r="EH18" s="38" t="n">
        <v>65</v>
      </c>
      <c r="EI18" s="38" t="n">
        <v>15</v>
      </c>
      <c r="EJ18" s="38" t="n">
        <v>80</v>
      </c>
      <c r="EK18" s="38" t="inlineStr">
        <is>
          <t>75"</t>
        </is>
      </c>
      <c r="EL18" s="38" t="n">
        <v>22</v>
      </c>
      <c r="EM18" s="38" t="inlineStr">
        <is>
          <t>Yes</t>
        </is>
      </c>
      <c r="EN18" s="38" t="inlineStr">
        <is>
          <t>Full Assembly Needed</t>
        </is>
      </c>
      <c r="EO18" s="38" t="n"/>
      <c r="EP18" s="38" t="inlineStr">
        <is>
          <t>No</t>
        </is>
      </c>
      <c r="EQ18" s="38" t="inlineStr">
        <is>
          <t>Does Not Apply</t>
        </is>
      </c>
      <c r="ER18" s="38" t="n"/>
      <c r="ES18" s="38" t="n"/>
      <c r="ET18" s="38" t="n"/>
    </row>
    <row r="19">
      <c r="A19" s="37">
        <f>IF('6 - TV Stands &amp; Enterta'!B19 = "", "", IF('6 - TV Stands &amp; Enterta-WUO_ERR'!A19 = "", "Validated", HYPERLINK("#" &amp; ADDRESS(19, '6 - TV Stands &amp; Enterta-WUO_TRK'!A19),_xlfn.TEXTAFTER('6 - TV Stands &amp; Enterta-WUO_ERR'!A19, ":"))))</f>
        <v/>
      </c>
      <c r="B19" s="38" t="inlineStr">
        <is>
          <t>CASA-TV-NEW-303</t>
        </is>
      </c>
      <c r="C19" s="38" t="n"/>
      <c r="D19" s="38" t="inlineStr">
        <is>
          <t>Casa Design Furniture</t>
        </is>
      </c>
      <c r="E19" s="38" t="inlineStr">
        <is>
          <t>CASA-TV-NEW-303</t>
        </is>
      </c>
      <c r="F19" s="38" t="inlineStr">
        <is>
          <t>840134100353</t>
        </is>
      </c>
      <c r="G19" s="38" t="inlineStr">
        <is>
          <t>Contemporary TV Console Model 303</t>
        </is>
      </c>
      <c r="H19" s="38" t="n"/>
      <c r="I19" s="38" t="n"/>
      <c r="J19" s="38" t="n">
        <v>720</v>
      </c>
      <c r="K19" s="38" t="n"/>
      <c r="L19" s="38" t="n"/>
      <c r="M19" s="38" t="inlineStr">
        <is>
          <t>The Elite Contemporary TV Unit Model 703 offers a stunning modern design with high-end materials. Perfect for elevating your living space.</t>
        </is>
      </c>
      <c r="N19" s="38" t="inlineStr">
        <is>
          <t>Sleek Modern Aesthetic</t>
        </is>
      </c>
      <c r="O19" s="38" t="inlineStr">
        <is>
          <t>High-Durability Construction</t>
        </is>
      </c>
      <c r="P19" s="38" t="inlineStr">
        <is>
          <t>Easy Assembly with Storage</t>
        </is>
      </c>
      <c r="Q19" s="38" t="n"/>
      <c r="R19" s="38" t="n"/>
      <c r="S19" s="38" t="n">
        <v>1</v>
      </c>
      <c r="T19" s="38" t="n">
        <v>1</v>
      </c>
      <c r="U19" s="38" t="n">
        <v>1</v>
      </c>
      <c r="V19" s="38" t="n">
        <v>80</v>
      </c>
      <c r="W19" s="38" t="inlineStr">
        <is>
          <t>Small Parcel</t>
        </is>
      </c>
      <c r="X19" s="38" t="n"/>
      <c r="Y19" s="38" t="n">
        <v>4</v>
      </c>
      <c r="Z19" s="38" t="n">
        <v>7</v>
      </c>
      <c r="AA19" s="38" t="n"/>
      <c r="AB19" s="38" t="n"/>
      <c r="AC19" s="38" t="n"/>
      <c r="AD19" s="38" t="n">
        <v>90</v>
      </c>
      <c r="AE19" s="38" t="n">
        <v>26</v>
      </c>
      <c r="AF19" s="38" t="n">
        <v>69</v>
      </c>
      <c r="AG19" s="38" t="n">
        <v>19</v>
      </c>
      <c r="AH19" s="38" t="inlineStr">
        <is>
          <t>No</t>
        </is>
      </c>
      <c r="AI19" s="38" t="n"/>
      <c r="AJ19" s="38" t="n"/>
      <c r="AK19" s="38" t="inlineStr">
        <is>
          <t>United States</t>
        </is>
      </c>
      <c r="AL19" s="38" t="inlineStr">
        <is>
          <t>https://casadesignfurniture.com/wp-content/uploads/2023/12/Group-4-1.png</t>
        </is>
      </c>
      <c r="AM19" s="38" t="n"/>
      <c r="AN19" s="38" t="n"/>
      <c r="AO19" s="38" t="n"/>
      <c r="AP19" s="38" t="n"/>
      <c r="AQ19" s="38" t="n"/>
      <c r="AR19" s="38" t="n"/>
      <c r="AS19" s="38" t="n"/>
      <c r="AT19" s="38" t="n"/>
      <c r="AU19" s="38" t="n"/>
      <c r="AV19" s="38" t="n"/>
      <c r="AW19" s="38" t="n"/>
      <c r="AX19" s="38" t="n"/>
      <c r="AY19" s="38" t="n"/>
      <c r="AZ19" s="38" t="n"/>
      <c r="BA19" s="38" t="n"/>
      <c r="BB19" s="38" t="n"/>
      <c r="BC19" s="38" t="n"/>
      <c r="BD19" s="38" t="n"/>
      <c r="BE19" s="38" t="n"/>
      <c r="BF19" s="38" t="n"/>
      <c r="BG19" s="38" t="inlineStr">
        <is>
          <t>TV Stand</t>
        </is>
      </c>
      <c r="BH19" s="38" t="inlineStr">
        <is>
          <t>No</t>
        </is>
      </c>
      <c r="BI19" s="38" t="inlineStr">
        <is>
          <t>Yes</t>
        </is>
      </c>
      <c r="BJ19" s="38" t="n">
        <v>2</v>
      </c>
      <c r="BK19" s="38" t="inlineStr">
        <is>
          <t>Yes</t>
        </is>
      </c>
      <c r="BL19" s="38" t="n"/>
      <c r="BM19" s="38" t="n"/>
      <c r="BN19" s="38" t="n"/>
      <c r="BO19" s="38" t="inlineStr">
        <is>
          <t>No</t>
        </is>
      </c>
      <c r="BP19" s="38" t="inlineStr">
        <is>
          <t>Cabinet/Enclosed storage</t>
        </is>
      </c>
      <c r="BQ19" s="38" t="inlineStr">
        <is>
          <t>Solid + Manufactured Wood</t>
        </is>
      </c>
      <c r="BR19" s="38" t="n"/>
      <c r="BS19" s="38" t="inlineStr">
        <is>
          <t>No Natural Variation</t>
        </is>
      </c>
      <c r="BT19" s="38" t="n"/>
      <c r="BU19" s="38" t="n"/>
      <c r="BV19" s="38" t="n"/>
      <c r="BW19" s="38" t="n"/>
      <c r="BX19" s="38" t="n"/>
      <c r="BY19" s="38" t="n"/>
      <c r="BZ19" s="38" t="n"/>
      <c r="CA19" s="38" t="inlineStr">
        <is>
          <t>No</t>
        </is>
      </c>
      <c r="CB19" s="38" t="inlineStr">
        <is>
          <t>No</t>
        </is>
      </c>
      <c r="CC19" s="38" t="inlineStr">
        <is>
          <t>Yes</t>
        </is>
      </c>
      <c r="CD19" s="38" t="n"/>
      <c r="CE19" s="38" t="n"/>
      <c r="CF19" s="38" t="inlineStr">
        <is>
          <t>Residential Use</t>
        </is>
      </c>
      <c r="CG19" s="38" t="n"/>
      <c r="CH19" s="38" t="inlineStr">
        <is>
          <t>Does Not Apply</t>
        </is>
      </c>
      <c r="CI19" s="38" t="n"/>
      <c r="CJ19" s="38" t="n"/>
      <c r="CK19" s="38" t="inlineStr">
        <is>
          <t>No</t>
        </is>
      </c>
      <c r="CL19" s="38" t="inlineStr">
        <is>
          <t>Standard</t>
        </is>
      </c>
      <c r="CM19" s="38" t="inlineStr">
        <is>
          <t>Standard</t>
        </is>
      </c>
      <c r="CN19" s="38" t="inlineStr">
        <is>
          <t>1</t>
        </is>
      </c>
      <c r="CO19" s="38" t="inlineStr">
        <is>
          <t>Does Not Apply</t>
        </is>
      </c>
      <c r="CP19" s="38" t="inlineStr">
        <is>
          <t>Does Not Apply</t>
        </is>
      </c>
      <c r="CQ19" s="38" t="inlineStr">
        <is>
          <t>Does Not Apply</t>
        </is>
      </c>
      <c r="CR19" s="38" t="inlineStr">
        <is>
          <t>Does Not Apply</t>
        </is>
      </c>
      <c r="CS19" s="38" t="inlineStr">
        <is>
          <t>No</t>
        </is>
      </c>
      <c r="CT19" s="38" t="inlineStr">
        <is>
          <t>Does Not Apply</t>
        </is>
      </c>
      <c r="CU19" s="38" t="n">
        <v>150</v>
      </c>
      <c r="CV19" s="38" t="n"/>
      <c r="CW19" s="38" t="n"/>
      <c r="CX19" s="38" t="n"/>
      <c r="CY19" s="38" t="inlineStr">
        <is>
          <t>White</t>
        </is>
      </c>
      <c r="CZ19" s="38" t="n"/>
      <c r="DA19" s="38" t="inlineStr">
        <is>
          <t>Standard</t>
        </is>
      </c>
      <c r="DB19" s="38" t="inlineStr">
        <is>
          <t>Standard</t>
        </is>
      </c>
      <c r="DC19" s="38" t="n"/>
      <c r="DD19" s="38" t="n"/>
      <c r="DE19" s="38" t="n"/>
      <c r="DF19" s="38" t="inlineStr">
        <is>
          <t>1</t>
        </is>
      </c>
      <c r="DG19" s="38" t="n">
        <v>2</v>
      </c>
      <c r="DH19" s="38" t="n"/>
      <c r="DI19" s="38" t="n"/>
      <c r="DJ19" s="38" t="inlineStr">
        <is>
          <t>No</t>
        </is>
      </c>
      <c r="DK19" s="38" t="inlineStr">
        <is>
          <t>Yes</t>
        </is>
      </c>
      <c r="DL19" s="38" t="inlineStr">
        <is>
          <t>Yes</t>
        </is>
      </c>
      <c r="DM19" s="38" t="inlineStr">
        <is>
          <t>Yes</t>
        </is>
      </c>
      <c r="DN19" s="38" t="inlineStr">
        <is>
          <t>Yes</t>
        </is>
      </c>
      <c r="DO19" s="38" t="inlineStr">
        <is>
          <t>Yes</t>
        </is>
      </c>
      <c r="DP19" s="38" t="inlineStr">
        <is>
          <t>No</t>
        </is>
      </c>
      <c r="DQ19" s="38" t="inlineStr">
        <is>
          <t>None</t>
        </is>
      </c>
      <c r="DR19" s="38" t="n"/>
      <c r="DS19" s="38" t="n"/>
      <c r="DT19" s="38" t="n"/>
      <c r="DU19" s="38" t="n"/>
      <c r="DV19" s="38" t="n"/>
      <c r="DW19" s="38" t="n"/>
      <c r="DX19" s="38" t="inlineStr">
        <is>
          <t>Yes</t>
        </is>
      </c>
      <c r="DY19" s="38" t="inlineStr">
        <is>
          <t>Not Applicable</t>
        </is>
      </c>
      <c r="DZ19" s="38" t="inlineStr">
        <is>
          <t>Standard</t>
        </is>
      </c>
      <c r="EA19" s="38" t="inlineStr">
        <is>
          <t>Standard</t>
        </is>
      </c>
      <c r="EB19" s="38" t="n"/>
      <c r="EC19" s="38" t="n"/>
      <c r="ED19" s="38" t="n"/>
      <c r="EE19" s="38" t="n">
        <v>65</v>
      </c>
      <c r="EF19" s="38" t="n">
        <v>15</v>
      </c>
      <c r="EG19" s="38" t="n">
        <v>22</v>
      </c>
      <c r="EH19" s="38" t="n">
        <v>65</v>
      </c>
      <c r="EI19" s="38" t="n">
        <v>15</v>
      </c>
      <c r="EJ19" s="38" t="n">
        <v>80</v>
      </c>
      <c r="EK19" s="38" t="inlineStr">
        <is>
          <t>75"</t>
        </is>
      </c>
      <c r="EL19" s="38" t="n">
        <v>22</v>
      </c>
      <c r="EM19" s="38" t="inlineStr">
        <is>
          <t>Yes</t>
        </is>
      </c>
      <c r="EN19" s="38" t="inlineStr">
        <is>
          <t>Full Assembly Needed</t>
        </is>
      </c>
      <c r="EO19" s="38" t="n"/>
      <c r="EP19" s="38" t="inlineStr">
        <is>
          <t>No</t>
        </is>
      </c>
      <c r="EQ19" s="38" t="inlineStr">
        <is>
          <t>Does Not Apply</t>
        </is>
      </c>
      <c r="ER19" s="38" t="n"/>
      <c r="ES19" s="38" t="n"/>
      <c r="ET19" s="38" t="n"/>
    </row>
    <row r="20">
      <c r="A20" s="37">
        <f>IF('6 - TV Stands &amp; Enterta'!B20 = "", "", IF('6 - TV Stands &amp; Enterta-WUO_ERR'!A20 = "", "Validated", HYPERLINK("#" &amp; ADDRESS(20, '6 - TV Stands &amp; Enterta-WUO_TRK'!A20),_xlfn.TEXTAFTER('6 - TV Stands &amp; Enterta-WUO_ERR'!A20, ":"))))</f>
        <v/>
      </c>
      <c r="B20" s="38" t="inlineStr">
        <is>
          <t>CASA-TV-NEW-304</t>
        </is>
      </c>
      <c r="C20" s="38" t="n"/>
      <c r="D20" s="38" t="inlineStr">
        <is>
          <t>Casa Design Furniture</t>
        </is>
      </c>
      <c r="E20" s="38" t="inlineStr">
        <is>
          <t>CASA-TV-NEW-304</t>
        </is>
      </c>
      <c r="F20" s="38" t="inlineStr">
        <is>
          <t>840134100354</t>
        </is>
      </c>
      <c r="G20" s="38" t="inlineStr">
        <is>
          <t>Contemporary TV Console Model 304</t>
        </is>
      </c>
      <c r="H20" s="38" t="n"/>
      <c r="I20" s="38" t="n"/>
      <c r="J20" s="38" t="n">
        <v>770</v>
      </c>
      <c r="K20" s="38" t="n"/>
      <c r="L20" s="38" t="n"/>
      <c r="M20" s="38" t="inlineStr">
        <is>
          <t>The Elite Contemporary TV Unit Model 704 offers a stunning modern design with high-end materials. Perfect for elevating your living space.</t>
        </is>
      </c>
      <c r="N20" s="38" t="inlineStr">
        <is>
          <t>Sleek Modern Aesthetic</t>
        </is>
      </c>
      <c r="O20" s="38" t="inlineStr">
        <is>
          <t>High-Durability Construction</t>
        </is>
      </c>
      <c r="P20" s="38" t="inlineStr">
        <is>
          <t>Easy Assembly with Storage</t>
        </is>
      </c>
      <c r="Q20" s="38" t="n"/>
      <c r="R20" s="38" t="n"/>
      <c r="S20" s="38" t="n">
        <v>1</v>
      </c>
      <c r="T20" s="38" t="n">
        <v>1</v>
      </c>
      <c r="U20" s="38" t="n">
        <v>1</v>
      </c>
      <c r="V20" s="38" t="n">
        <v>80</v>
      </c>
      <c r="W20" s="38" t="inlineStr">
        <is>
          <t>Small Parcel</t>
        </is>
      </c>
      <c r="X20" s="38" t="n"/>
      <c r="Y20" s="38" t="n">
        <v>4</v>
      </c>
      <c r="Z20" s="38" t="n">
        <v>7</v>
      </c>
      <c r="AA20" s="38" t="n"/>
      <c r="AB20" s="38" t="n"/>
      <c r="AC20" s="38" t="n"/>
      <c r="AD20" s="38" t="n">
        <v>90</v>
      </c>
      <c r="AE20" s="38" t="n">
        <v>26</v>
      </c>
      <c r="AF20" s="38" t="n">
        <v>69</v>
      </c>
      <c r="AG20" s="38" t="n">
        <v>19</v>
      </c>
      <c r="AH20" s="38" t="inlineStr">
        <is>
          <t>No</t>
        </is>
      </c>
      <c r="AI20" s="38" t="n"/>
      <c r="AJ20" s="38" t="n"/>
      <c r="AK20" s="38" t="inlineStr">
        <is>
          <t>United States</t>
        </is>
      </c>
      <c r="AL20" s="38" t="inlineStr">
        <is>
          <t>https://casadesignfurniture.com/wp-content/uploads/2023/12/Group-4-1.png</t>
        </is>
      </c>
      <c r="AM20" s="38" t="n"/>
      <c r="AN20" s="38" t="n"/>
      <c r="AO20" s="38" t="n"/>
      <c r="AP20" s="38" t="n"/>
      <c r="AQ20" s="38" t="n"/>
      <c r="AR20" s="38" t="n"/>
      <c r="AS20" s="38" t="n"/>
      <c r="AT20" s="38" t="n"/>
      <c r="AU20" s="38" t="n"/>
      <c r="AV20" s="38" t="n"/>
      <c r="AW20" s="38" t="n"/>
      <c r="AX20" s="38" t="n"/>
      <c r="AY20" s="38" t="n"/>
      <c r="AZ20" s="38" t="n"/>
      <c r="BA20" s="38" t="n"/>
      <c r="BB20" s="38" t="n"/>
      <c r="BC20" s="38" t="n"/>
      <c r="BD20" s="38" t="n"/>
      <c r="BE20" s="38" t="n"/>
      <c r="BF20" s="38" t="n"/>
      <c r="BG20" s="38" t="inlineStr">
        <is>
          <t>TV Stand</t>
        </is>
      </c>
      <c r="BH20" s="38" t="inlineStr">
        <is>
          <t>No</t>
        </is>
      </c>
      <c r="BI20" s="38" t="inlineStr">
        <is>
          <t>Yes</t>
        </is>
      </c>
      <c r="BJ20" s="38" t="n">
        <v>2</v>
      </c>
      <c r="BK20" s="38" t="inlineStr">
        <is>
          <t>Yes</t>
        </is>
      </c>
      <c r="BL20" s="38" t="n"/>
      <c r="BM20" s="38" t="n"/>
      <c r="BN20" s="38" t="n"/>
      <c r="BO20" s="38" t="inlineStr">
        <is>
          <t>No</t>
        </is>
      </c>
      <c r="BP20" s="38" t="inlineStr">
        <is>
          <t>Cabinet/Enclosed storage</t>
        </is>
      </c>
      <c r="BQ20" s="38" t="inlineStr">
        <is>
          <t>Solid + Manufactured Wood</t>
        </is>
      </c>
      <c r="BR20" s="38" t="n"/>
      <c r="BS20" s="38" t="inlineStr">
        <is>
          <t>No Natural Variation</t>
        </is>
      </c>
      <c r="BT20" s="38" t="n"/>
      <c r="BU20" s="38" t="n"/>
      <c r="BV20" s="38" t="n"/>
      <c r="BW20" s="38" t="n"/>
      <c r="BX20" s="38" t="n"/>
      <c r="BY20" s="38" t="n"/>
      <c r="BZ20" s="38" t="n"/>
      <c r="CA20" s="38" t="inlineStr">
        <is>
          <t>No</t>
        </is>
      </c>
      <c r="CB20" s="38" t="inlineStr">
        <is>
          <t>No</t>
        </is>
      </c>
      <c r="CC20" s="38" t="inlineStr">
        <is>
          <t>Yes</t>
        </is>
      </c>
      <c r="CD20" s="38" t="n"/>
      <c r="CE20" s="38" t="n"/>
      <c r="CF20" s="38" t="inlineStr">
        <is>
          <t>Residential Use</t>
        </is>
      </c>
      <c r="CG20" s="38" t="n"/>
      <c r="CH20" s="38" t="inlineStr">
        <is>
          <t>Does Not Apply</t>
        </is>
      </c>
      <c r="CI20" s="38" t="n"/>
      <c r="CJ20" s="38" t="n"/>
      <c r="CK20" s="38" t="inlineStr">
        <is>
          <t>No</t>
        </is>
      </c>
      <c r="CL20" s="38" t="inlineStr">
        <is>
          <t>Standard</t>
        </is>
      </c>
      <c r="CM20" s="38" t="inlineStr">
        <is>
          <t>Standard</t>
        </is>
      </c>
      <c r="CN20" s="38" t="inlineStr">
        <is>
          <t>1</t>
        </is>
      </c>
      <c r="CO20" s="38" t="inlineStr">
        <is>
          <t>Does Not Apply</t>
        </is>
      </c>
      <c r="CP20" s="38" t="inlineStr">
        <is>
          <t>Does Not Apply</t>
        </is>
      </c>
      <c r="CQ20" s="38" t="inlineStr">
        <is>
          <t>Does Not Apply</t>
        </is>
      </c>
      <c r="CR20" s="38" t="inlineStr">
        <is>
          <t>Does Not Apply</t>
        </is>
      </c>
      <c r="CS20" s="38" t="inlineStr">
        <is>
          <t>No</t>
        </is>
      </c>
      <c r="CT20" s="38" t="inlineStr">
        <is>
          <t>Does Not Apply</t>
        </is>
      </c>
      <c r="CU20" s="38" t="n">
        <v>150</v>
      </c>
      <c r="CV20" s="38" t="n"/>
      <c r="CW20" s="38" t="n"/>
      <c r="CX20" s="38" t="n"/>
      <c r="CY20" s="38" t="inlineStr">
        <is>
          <t>White</t>
        </is>
      </c>
      <c r="CZ20" s="38" t="n"/>
      <c r="DA20" s="38" t="inlineStr">
        <is>
          <t>Standard</t>
        </is>
      </c>
      <c r="DB20" s="38" t="inlineStr">
        <is>
          <t>Standard</t>
        </is>
      </c>
      <c r="DC20" s="38" t="n"/>
      <c r="DD20" s="38" t="n"/>
      <c r="DE20" s="38" t="n"/>
      <c r="DF20" s="38" t="inlineStr">
        <is>
          <t>1</t>
        </is>
      </c>
      <c r="DG20" s="38" t="n">
        <v>2</v>
      </c>
      <c r="DH20" s="38" t="n"/>
      <c r="DI20" s="38" t="n"/>
      <c r="DJ20" s="38" t="inlineStr">
        <is>
          <t>No</t>
        </is>
      </c>
      <c r="DK20" s="38" t="inlineStr">
        <is>
          <t>Yes</t>
        </is>
      </c>
      <c r="DL20" s="38" t="inlineStr">
        <is>
          <t>Yes</t>
        </is>
      </c>
      <c r="DM20" s="38" t="inlineStr">
        <is>
          <t>Yes</t>
        </is>
      </c>
      <c r="DN20" s="38" t="inlineStr">
        <is>
          <t>Yes</t>
        </is>
      </c>
      <c r="DO20" s="38" t="inlineStr">
        <is>
          <t>Yes</t>
        </is>
      </c>
      <c r="DP20" s="38" t="inlineStr">
        <is>
          <t>No</t>
        </is>
      </c>
      <c r="DQ20" s="38" t="inlineStr">
        <is>
          <t>None</t>
        </is>
      </c>
      <c r="DR20" s="38" t="n"/>
      <c r="DS20" s="38" t="n"/>
      <c r="DT20" s="38" t="n"/>
      <c r="DU20" s="38" t="n"/>
      <c r="DV20" s="38" t="n"/>
      <c r="DW20" s="38" t="n"/>
      <c r="DX20" s="38" t="inlineStr">
        <is>
          <t>Yes</t>
        </is>
      </c>
      <c r="DY20" s="38" t="inlineStr">
        <is>
          <t>Not Applicable</t>
        </is>
      </c>
      <c r="DZ20" s="38" t="inlineStr">
        <is>
          <t>Standard</t>
        </is>
      </c>
      <c r="EA20" s="38" t="inlineStr">
        <is>
          <t>Standard</t>
        </is>
      </c>
      <c r="EB20" s="38" t="n"/>
      <c r="EC20" s="38" t="n"/>
      <c r="ED20" s="38" t="n"/>
      <c r="EE20" s="38" t="n">
        <v>65</v>
      </c>
      <c r="EF20" s="38" t="n">
        <v>15</v>
      </c>
      <c r="EG20" s="38" t="n">
        <v>22</v>
      </c>
      <c r="EH20" s="38" t="n">
        <v>65</v>
      </c>
      <c r="EI20" s="38" t="n">
        <v>15</v>
      </c>
      <c r="EJ20" s="38" t="n">
        <v>80</v>
      </c>
      <c r="EK20" s="38" t="inlineStr">
        <is>
          <t>75"</t>
        </is>
      </c>
      <c r="EL20" s="38" t="n">
        <v>22</v>
      </c>
      <c r="EM20" s="38" t="inlineStr">
        <is>
          <t>Yes</t>
        </is>
      </c>
      <c r="EN20" s="38" t="inlineStr">
        <is>
          <t>Full Assembly Needed</t>
        </is>
      </c>
      <c r="EO20" s="38" t="n"/>
      <c r="EP20" s="38" t="inlineStr">
        <is>
          <t>No</t>
        </is>
      </c>
      <c r="EQ20" s="38" t="inlineStr">
        <is>
          <t>Does Not Apply</t>
        </is>
      </c>
      <c r="ER20" s="38" t="n"/>
      <c r="ES20" s="38" t="n"/>
      <c r="ET20" s="38" t="n"/>
    </row>
    <row r="21">
      <c r="A21" s="37">
        <f>IF('6 - TV Stands &amp; Enterta'!B21 = "", "", IF('6 - TV Stands &amp; Enterta-WUO_ERR'!A21 = "", "Validated", HYPERLINK("#" &amp; ADDRESS(21, '6 - TV Stands &amp; Enterta-WUO_TRK'!A21),_xlfn.TEXTAFTER('6 - TV Stands &amp; Enterta-WUO_ERR'!A21, ":"))))</f>
        <v/>
      </c>
      <c r="B21" s="38" t="inlineStr">
        <is>
          <t>CASA-TV-NEW-305</t>
        </is>
      </c>
      <c r="C21" s="38" t="n"/>
      <c r="D21" s="38" t="inlineStr">
        <is>
          <t>Casa Design Furniture</t>
        </is>
      </c>
      <c r="E21" s="38" t="inlineStr">
        <is>
          <t>CASA-TV-NEW-305</t>
        </is>
      </c>
      <c r="F21" s="38" t="inlineStr">
        <is>
          <t>840134100355</t>
        </is>
      </c>
      <c r="G21" s="38" t="inlineStr">
        <is>
          <t>Contemporary TV Console Model 305</t>
        </is>
      </c>
      <c r="H21" s="38" t="n"/>
      <c r="I21" s="38" t="n"/>
      <c r="J21" s="38" t="n">
        <v>820</v>
      </c>
      <c r="K21" s="38" t="n"/>
      <c r="L21" s="38" t="n"/>
      <c r="M21" s="38" t="inlineStr">
        <is>
          <t>The Elite Contemporary TV Unit Model 705 offers a stunning modern design with high-end materials. Perfect for elevating your living space.</t>
        </is>
      </c>
      <c r="N21" s="38" t="inlineStr">
        <is>
          <t>Sleek Modern Aesthetic</t>
        </is>
      </c>
      <c r="O21" s="38" t="inlineStr">
        <is>
          <t>High-Durability Construction</t>
        </is>
      </c>
      <c r="P21" s="38" t="inlineStr">
        <is>
          <t>Easy Assembly with Storage</t>
        </is>
      </c>
      <c r="Q21" s="38" t="n"/>
      <c r="R21" s="38" t="n"/>
      <c r="S21" s="38" t="n">
        <v>1</v>
      </c>
      <c r="T21" s="38" t="n">
        <v>1</v>
      </c>
      <c r="U21" s="38" t="n">
        <v>1</v>
      </c>
      <c r="V21" s="38" t="n">
        <v>80</v>
      </c>
      <c r="W21" s="38" t="inlineStr">
        <is>
          <t>Small Parcel</t>
        </is>
      </c>
      <c r="X21" s="38" t="n"/>
      <c r="Y21" s="38" t="n">
        <v>4</v>
      </c>
      <c r="Z21" s="38" t="n">
        <v>7</v>
      </c>
      <c r="AA21" s="38" t="n"/>
      <c r="AB21" s="38" t="n"/>
      <c r="AC21" s="38" t="n"/>
      <c r="AD21" s="38" t="n">
        <v>90</v>
      </c>
      <c r="AE21" s="38" t="n">
        <v>26</v>
      </c>
      <c r="AF21" s="38" t="n">
        <v>69</v>
      </c>
      <c r="AG21" s="38" t="n">
        <v>19</v>
      </c>
      <c r="AH21" s="38" t="inlineStr">
        <is>
          <t>No</t>
        </is>
      </c>
      <c r="AI21" s="38" t="n"/>
      <c r="AJ21" s="38" t="n"/>
      <c r="AK21" s="38" t="inlineStr">
        <is>
          <t>United States</t>
        </is>
      </c>
      <c r="AL21" s="38" t="inlineStr">
        <is>
          <t>https://casadesignfurniture.com/wp-content/uploads/2023/12/Group-4-1.png</t>
        </is>
      </c>
      <c r="AM21" s="38" t="n"/>
      <c r="AN21" s="38" t="n"/>
      <c r="AO21" s="38" t="n"/>
      <c r="AP21" s="38" t="n"/>
      <c r="AQ21" s="38" t="n"/>
      <c r="AR21" s="38" t="n"/>
      <c r="AS21" s="38" t="n"/>
      <c r="AT21" s="38" t="n"/>
      <c r="AU21" s="38" t="n"/>
      <c r="AV21" s="38" t="n"/>
      <c r="AW21" s="38" t="n"/>
      <c r="AX21" s="38" t="n"/>
      <c r="AY21" s="38" t="n"/>
      <c r="AZ21" s="38" t="n"/>
      <c r="BA21" s="38" t="n"/>
      <c r="BB21" s="38" t="n"/>
      <c r="BC21" s="38" t="n"/>
      <c r="BD21" s="38" t="n"/>
      <c r="BE21" s="38" t="n"/>
      <c r="BF21" s="38" t="n"/>
      <c r="BG21" s="38" t="inlineStr">
        <is>
          <t>TV Stand</t>
        </is>
      </c>
      <c r="BH21" s="38" t="inlineStr">
        <is>
          <t>No</t>
        </is>
      </c>
      <c r="BI21" s="38" t="inlineStr">
        <is>
          <t>Yes</t>
        </is>
      </c>
      <c r="BJ21" s="38" t="n">
        <v>2</v>
      </c>
      <c r="BK21" s="38" t="inlineStr">
        <is>
          <t>Yes</t>
        </is>
      </c>
      <c r="BL21" s="38" t="n"/>
      <c r="BM21" s="38" t="n"/>
      <c r="BN21" s="38" t="n"/>
      <c r="BO21" s="38" t="inlineStr">
        <is>
          <t>No</t>
        </is>
      </c>
      <c r="BP21" s="38" t="inlineStr">
        <is>
          <t>Cabinet/Enclosed storage</t>
        </is>
      </c>
      <c r="BQ21" s="38" t="inlineStr">
        <is>
          <t>Solid + Manufactured Wood</t>
        </is>
      </c>
      <c r="BR21" s="38" t="n"/>
      <c r="BS21" s="38" t="inlineStr">
        <is>
          <t>No Natural Variation</t>
        </is>
      </c>
      <c r="BT21" s="38" t="n"/>
      <c r="BU21" s="38" t="n"/>
      <c r="BV21" s="38" t="n"/>
      <c r="BW21" s="38" t="n"/>
      <c r="BX21" s="38" t="n"/>
      <c r="BY21" s="38" t="n"/>
      <c r="BZ21" s="38" t="n"/>
      <c r="CA21" s="38" t="inlineStr">
        <is>
          <t>No</t>
        </is>
      </c>
      <c r="CB21" s="38" t="inlineStr">
        <is>
          <t>No</t>
        </is>
      </c>
      <c r="CC21" s="38" t="inlineStr">
        <is>
          <t>Yes</t>
        </is>
      </c>
      <c r="CD21" s="38" t="n"/>
      <c r="CE21" s="38" t="n"/>
      <c r="CF21" s="38" t="inlineStr">
        <is>
          <t>Residential Use</t>
        </is>
      </c>
      <c r="CG21" s="38" t="n"/>
      <c r="CH21" s="38" t="inlineStr">
        <is>
          <t>Does Not Apply</t>
        </is>
      </c>
      <c r="CI21" s="38" t="n"/>
      <c r="CJ21" s="38" t="n"/>
      <c r="CK21" s="38" t="inlineStr">
        <is>
          <t>No</t>
        </is>
      </c>
      <c r="CL21" s="38" t="inlineStr">
        <is>
          <t>Standard</t>
        </is>
      </c>
      <c r="CM21" s="38" t="inlineStr">
        <is>
          <t>Standard</t>
        </is>
      </c>
      <c r="CN21" s="38" t="inlineStr">
        <is>
          <t>1</t>
        </is>
      </c>
      <c r="CO21" s="38" t="inlineStr">
        <is>
          <t>Does Not Apply</t>
        </is>
      </c>
      <c r="CP21" s="38" t="inlineStr">
        <is>
          <t>Does Not Apply</t>
        </is>
      </c>
      <c r="CQ21" s="38" t="inlineStr">
        <is>
          <t>Does Not Apply</t>
        </is>
      </c>
      <c r="CR21" s="38" t="inlineStr">
        <is>
          <t>Does Not Apply</t>
        </is>
      </c>
      <c r="CS21" s="38" t="inlineStr">
        <is>
          <t>No</t>
        </is>
      </c>
      <c r="CT21" s="38" t="inlineStr">
        <is>
          <t>Does Not Apply</t>
        </is>
      </c>
      <c r="CU21" s="38" t="n">
        <v>150</v>
      </c>
      <c r="CV21" s="38" t="n"/>
      <c r="CW21" s="38" t="n"/>
      <c r="CX21" s="38" t="n"/>
      <c r="CY21" s="38" t="inlineStr">
        <is>
          <t>White</t>
        </is>
      </c>
      <c r="CZ21" s="38" t="n"/>
      <c r="DA21" s="38" t="inlineStr">
        <is>
          <t>Standard</t>
        </is>
      </c>
      <c r="DB21" s="38" t="inlineStr">
        <is>
          <t>Standard</t>
        </is>
      </c>
      <c r="DC21" s="38" t="n"/>
      <c r="DD21" s="38" t="n"/>
      <c r="DE21" s="38" t="n"/>
      <c r="DF21" s="38" t="inlineStr">
        <is>
          <t>1</t>
        </is>
      </c>
      <c r="DG21" s="38" t="n">
        <v>2</v>
      </c>
      <c r="DH21" s="38" t="n"/>
      <c r="DI21" s="38" t="n"/>
      <c r="DJ21" s="38" t="inlineStr">
        <is>
          <t>No</t>
        </is>
      </c>
      <c r="DK21" s="38" t="inlineStr">
        <is>
          <t>Yes</t>
        </is>
      </c>
      <c r="DL21" s="38" t="inlineStr">
        <is>
          <t>Yes</t>
        </is>
      </c>
      <c r="DM21" s="38" t="inlineStr">
        <is>
          <t>Yes</t>
        </is>
      </c>
      <c r="DN21" s="38" t="inlineStr">
        <is>
          <t>Yes</t>
        </is>
      </c>
      <c r="DO21" s="38" t="inlineStr">
        <is>
          <t>Yes</t>
        </is>
      </c>
      <c r="DP21" s="38" t="inlineStr">
        <is>
          <t>No</t>
        </is>
      </c>
      <c r="DQ21" s="38" t="inlineStr">
        <is>
          <t>None</t>
        </is>
      </c>
      <c r="DR21" s="38" t="n"/>
      <c r="DS21" s="38" t="n"/>
      <c r="DT21" s="38" t="n"/>
      <c r="DU21" s="38" t="n"/>
      <c r="DV21" s="38" t="n"/>
      <c r="DW21" s="38" t="n"/>
      <c r="DX21" s="38" t="inlineStr">
        <is>
          <t>Yes</t>
        </is>
      </c>
      <c r="DY21" s="38" t="inlineStr">
        <is>
          <t>Not Applicable</t>
        </is>
      </c>
      <c r="DZ21" s="38" t="inlineStr">
        <is>
          <t>Standard</t>
        </is>
      </c>
      <c r="EA21" s="38" t="inlineStr">
        <is>
          <t>Standard</t>
        </is>
      </c>
      <c r="EB21" s="38" t="n"/>
      <c r="EC21" s="38" t="n"/>
      <c r="ED21" s="38" t="n"/>
      <c r="EE21" s="38" t="n">
        <v>65</v>
      </c>
      <c r="EF21" s="38" t="n">
        <v>15</v>
      </c>
      <c r="EG21" s="38" t="n">
        <v>22</v>
      </c>
      <c r="EH21" s="38" t="n">
        <v>65</v>
      </c>
      <c r="EI21" s="38" t="n">
        <v>15</v>
      </c>
      <c r="EJ21" s="38" t="n">
        <v>80</v>
      </c>
      <c r="EK21" s="38" t="inlineStr">
        <is>
          <t>75"</t>
        </is>
      </c>
      <c r="EL21" s="38" t="n">
        <v>22</v>
      </c>
      <c r="EM21" s="38" t="inlineStr">
        <is>
          <t>Yes</t>
        </is>
      </c>
      <c r="EN21" s="38" t="inlineStr">
        <is>
          <t>Full Assembly Needed</t>
        </is>
      </c>
      <c r="EO21" s="38" t="n"/>
      <c r="EP21" s="38" t="inlineStr">
        <is>
          <t>No</t>
        </is>
      </c>
      <c r="EQ21" s="38" t="inlineStr">
        <is>
          <t>Does Not Apply</t>
        </is>
      </c>
      <c r="ER21" s="38" t="n"/>
      <c r="ES21" s="38" t="n"/>
      <c r="ET21" s="38" t="n"/>
    </row>
    <row r="22">
      <c r="A22" s="37">
        <f>IF('6 - TV Stands &amp; Enterta'!B22 = "", "", IF('6 - TV Stands &amp; Enterta-WUO_ERR'!A22 = "", "Validated", HYPERLINK("#" &amp; ADDRESS(22, '6 - TV Stands &amp; Enterta-WUO_TRK'!A22),_xlfn.TEXTAFTER('6 - TV Stands &amp; Enterta-WUO_ERR'!A22, ":"))))</f>
        <v/>
      </c>
      <c r="B22" s="38" t="inlineStr">
        <is>
          <t>CASA-TV-NEW-306</t>
        </is>
      </c>
      <c r="C22" s="38" t="n"/>
      <c r="D22" s="38" t="inlineStr">
        <is>
          <t>Casa Design Furniture</t>
        </is>
      </c>
      <c r="E22" s="38" t="inlineStr">
        <is>
          <t>CASA-TV-NEW-306</t>
        </is>
      </c>
      <c r="F22" s="38" t="inlineStr">
        <is>
          <t>840134100356</t>
        </is>
      </c>
      <c r="G22" s="38" t="inlineStr">
        <is>
          <t>Contemporary TV Console Model 306</t>
        </is>
      </c>
      <c r="H22" s="38" t="n"/>
      <c r="I22" s="38" t="n"/>
      <c r="J22" s="38" t="n">
        <v>870</v>
      </c>
      <c r="K22" s="38" t="n"/>
      <c r="L22" s="38" t="n"/>
      <c r="M22" s="38" t="inlineStr">
        <is>
          <t>The Elite Contemporary TV Unit Model 706 offers a stunning modern design with high-end materials. Perfect for elevating your living space.</t>
        </is>
      </c>
      <c r="N22" s="38" t="inlineStr">
        <is>
          <t>Sleek Modern Aesthetic</t>
        </is>
      </c>
      <c r="O22" s="38" t="inlineStr">
        <is>
          <t>High-Durability Construction</t>
        </is>
      </c>
      <c r="P22" s="38" t="inlineStr">
        <is>
          <t>Easy Assembly with Storage</t>
        </is>
      </c>
      <c r="Q22" s="38" t="n"/>
      <c r="R22" s="38" t="n"/>
      <c r="S22" s="38" t="n">
        <v>1</v>
      </c>
      <c r="T22" s="38" t="n">
        <v>1</v>
      </c>
      <c r="U22" s="38" t="n">
        <v>1</v>
      </c>
      <c r="V22" s="38" t="n">
        <v>80</v>
      </c>
      <c r="W22" s="38" t="inlineStr">
        <is>
          <t>Small Parcel</t>
        </is>
      </c>
      <c r="X22" s="38" t="n"/>
      <c r="Y22" s="38" t="n">
        <v>4</v>
      </c>
      <c r="Z22" s="38" t="n">
        <v>7</v>
      </c>
      <c r="AA22" s="38" t="n"/>
      <c r="AB22" s="38" t="n"/>
      <c r="AC22" s="38" t="n"/>
      <c r="AD22" s="38" t="n">
        <v>90</v>
      </c>
      <c r="AE22" s="38" t="n">
        <v>26</v>
      </c>
      <c r="AF22" s="38" t="n">
        <v>69</v>
      </c>
      <c r="AG22" s="38" t="n">
        <v>19</v>
      </c>
      <c r="AH22" s="38" t="inlineStr">
        <is>
          <t>No</t>
        </is>
      </c>
      <c r="AI22" s="38" t="n"/>
      <c r="AJ22" s="38" t="n"/>
      <c r="AK22" s="38" t="inlineStr">
        <is>
          <t>United States</t>
        </is>
      </c>
      <c r="AL22" s="38" t="inlineStr">
        <is>
          <t>https://casadesignfurniture.com/wp-content/uploads/2023/12/Group-4-1.png</t>
        </is>
      </c>
      <c r="AM22" s="38" t="n"/>
      <c r="AN22" s="38" t="n"/>
      <c r="AO22" s="38" t="n"/>
      <c r="AP22" s="38" t="n"/>
      <c r="AQ22" s="38" t="n"/>
      <c r="AR22" s="38" t="n"/>
      <c r="AS22" s="38" t="n"/>
      <c r="AT22" s="38" t="n"/>
      <c r="AU22" s="38" t="n"/>
      <c r="AV22" s="38" t="n"/>
      <c r="AW22" s="38" t="n"/>
      <c r="AX22" s="38" t="n"/>
      <c r="AY22" s="38" t="n"/>
      <c r="AZ22" s="38" t="n"/>
      <c r="BA22" s="38" t="n"/>
      <c r="BB22" s="38" t="n"/>
      <c r="BC22" s="38" t="n"/>
      <c r="BD22" s="38" t="n"/>
      <c r="BE22" s="38" t="n"/>
      <c r="BF22" s="38" t="n"/>
      <c r="BG22" s="38" t="inlineStr">
        <is>
          <t>TV Stand</t>
        </is>
      </c>
      <c r="BH22" s="38" t="inlineStr">
        <is>
          <t>No</t>
        </is>
      </c>
      <c r="BI22" s="38" t="inlineStr">
        <is>
          <t>Yes</t>
        </is>
      </c>
      <c r="BJ22" s="38" t="n">
        <v>2</v>
      </c>
      <c r="BK22" s="38" t="inlineStr">
        <is>
          <t>Yes</t>
        </is>
      </c>
      <c r="BL22" s="38" t="n"/>
      <c r="BM22" s="38" t="n"/>
      <c r="BN22" s="38" t="n"/>
      <c r="BO22" s="38" t="inlineStr">
        <is>
          <t>No</t>
        </is>
      </c>
      <c r="BP22" s="38" t="inlineStr">
        <is>
          <t>Cabinet/Enclosed storage</t>
        </is>
      </c>
      <c r="BQ22" s="38" t="inlineStr">
        <is>
          <t>Solid + Manufactured Wood</t>
        </is>
      </c>
      <c r="BR22" s="38" t="n"/>
      <c r="BS22" s="38" t="inlineStr">
        <is>
          <t>No Natural Variation</t>
        </is>
      </c>
      <c r="BT22" s="38" t="n"/>
      <c r="BU22" s="38" t="n"/>
      <c r="BV22" s="38" t="n"/>
      <c r="BW22" s="38" t="n"/>
      <c r="BX22" s="38" t="n"/>
      <c r="BY22" s="38" t="n"/>
      <c r="BZ22" s="38" t="n"/>
      <c r="CA22" s="38" t="inlineStr">
        <is>
          <t>No</t>
        </is>
      </c>
      <c r="CB22" s="38" t="inlineStr">
        <is>
          <t>No</t>
        </is>
      </c>
      <c r="CC22" s="38" t="inlineStr">
        <is>
          <t>Yes</t>
        </is>
      </c>
      <c r="CD22" s="38" t="n"/>
      <c r="CE22" s="38" t="n"/>
      <c r="CF22" s="38" t="inlineStr">
        <is>
          <t>Residential Use</t>
        </is>
      </c>
      <c r="CG22" s="38" t="n"/>
      <c r="CH22" s="38" t="inlineStr">
        <is>
          <t>Does Not Apply</t>
        </is>
      </c>
      <c r="CI22" s="38" t="n"/>
      <c r="CJ22" s="38" t="n"/>
      <c r="CK22" s="38" t="inlineStr">
        <is>
          <t>No</t>
        </is>
      </c>
      <c r="CL22" s="38" t="inlineStr">
        <is>
          <t>Standard</t>
        </is>
      </c>
      <c r="CM22" s="38" t="inlineStr">
        <is>
          <t>Standard</t>
        </is>
      </c>
      <c r="CN22" s="38" t="inlineStr">
        <is>
          <t>1</t>
        </is>
      </c>
      <c r="CO22" s="38" t="inlineStr">
        <is>
          <t>Does Not Apply</t>
        </is>
      </c>
      <c r="CP22" s="38" t="inlineStr">
        <is>
          <t>Does Not Apply</t>
        </is>
      </c>
      <c r="CQ22" s="38" t="inlineStr">
        <is>
          <t>Does Not Apply</t>
        </is>
      </c>
      <c r="CR22" s="38" t="inlineStr">
        <is>
          <t>Does Not Apply</t>
        </is>
      </c>
      <c r="CS22" s="38" t="inlineStr">
        <is>
          <t>No</t>
        </is>
      </c>
      <c r="CT22" s="38" t="inlineStr">
        <is>
          <t>Does Not Apply</t>
        </is>
      </c>
      <c r="CU22" s="38" t="n">
        <v>150</v>
      </c>
      <c r="CV22" s="38" t="n"/>
      <c r="CW22" s="38" t="n"/>
      <c r="CX22" s="38" t="n"/>
      <c r="CY22" s="38" t="inlineStr">
        <is>
          <t>White</t>
        </is>
      </c>
      <c r="CZ22" s="38" t="n"/>
      <c r="DA22" s="38" t="inlineStr">
        <is>
          <t>Standard</t>
        </is>
      </c>
      <c r="DB22" s="38" t="inlineStr">
        <is>
          <t>Standard</t>
        </is>
      </c>
      <c r="DC22" s="38" t="n"/>
      <c r="DD22" s="38" t="n"/>
      <c r="DE22" s="38" t="n"/>
      <c r="DF22" s="38" t="inlineStr">
        <is>
          <t>1</t>
        </is>
      </c>
      <c r="DG22" s="38" t="n">
        <v>2</v>
      </c>
      <c r="DH22" s="38" t="n"/>
      <c r="DI22" s="38" t="n"/>
      <c r="DJ22" s="38" t="inlineStr">
        <is>
          <t>No</t>
        </is>
      </c>
      <c r="DK22" s="38" t="inlineStr">
        <is>
          <t>Yes</t>
        </is>
      </c>
      <c r="DL22" s="38" t="inlineStr">
        <is>
          <t>Yes</t>
        </is>
      </c>
      <c r="DM22" s="38" t="inlineStr">
        <is>
          <t>Yes</t>
        </is>
      </c>
      <c r="DN22" s="38" t="inlineStr">
        <is>
          <t>Yes</t>
        </is>
      </c>
      <c r="DO22" s="38" t="inlineStr">
        <is>
          <t>Yes</t>
        </is>
      </c>
      <c r="DP22" s="38" t="inlineStr">
        <is>
          <t>No</t>
        </is>
      </c>
      <c r="DQ22" s="38" t="inlineStr">
        <is>
          <t>None</t>
        </is>
      </c>
      <c r="DR22" s="38" t="n"/>
      <c r="DS22" s="38" t="n"/>
      <c r="DT22" s="38" t="n"/>
      <c r="DU22" s="38" t="n"/>
      <c r="DV22" s="38" t="n"/>
      <c r="DW22" s="38" t="n"/>
      <c r="DX22" s="38" t="inlineStr">
        <is>
          <t>Yes</t>
        </is>
      </c>
      <c r="DY22" s="38" t="inlineStr">
        <is>
          <t>Not Applicable</t>
        </is>
      </c>
      <c r="DZ22" s="38" t="inlineStr">
        <is>
          <t>Standard</t>
        </is>
      </c>
      <c r="EA22" s="38" t="inlineStr">
        <is>
          <t>Standard</t>
        </is>
      </c>
      <c r="EB22" s="38" t="n"/>
      <c r="EC22" s="38" t="n"/>
      <c r="ED22" s="38" t="n"/>
      <c r="EE22" s="38" t="n">
        <v>65</v>
      </c>
      <c r="EF22" s="38" t="n">
        <v>15</v>
      </c>
      <c r="EG22" s="38" t="n">
        <v>22</v>
      </c>
      <c r="EH22" s="38" t="n">
        <v>65</v>
      </c>
      <c r="EI22" s="38" t="n">
        <v>15</v>
      </c>
      <c r="EJ22" s="38" t="n">
        <v>80</v>
      </c>
      <c r="EK22" s="38" t="inlineStr">
        <is>
          <t>75"</t>
        </is>
      </c>
      <c r="EL22" s="38" t="n">
        <v>22</v>
      </c>
      <c r="EM22" s="38" t="inlineStr">
        <is>
          <t>Yes</t>
        </is>
      </c>
      <c r="EN22" s="38" t="inlineStr">
        <is>
          <t>Full Assembly Needed</t>
        </is>
      </c>
      <c r="EO22" s="38" t="n"/>
      <c r="EP22" s="38" t="inlineStr">
        <is>
          <t>No</t>
        </is>
      </c>
      <c r="EQ22" s="38" t="inlineStr">
        <is>
          <t>Does Not Apply</t>
        </is>
      </c>
      <c r="ER22" s="38" t="n"/>
      <c r="ES22" s="38" t="n"/>
      <c r="ET22" s="38" t="n"/>
    </row>
  </sheetData>
  <sheetProtection selectLockedCells="0" selectUnlockedCells="0" sheet="1" objects="1" insertRows="1" insertHyperlinks="1" autoFilter="1" scenarios="1" formatColumns="0" deleteColumns="1" insertColumns="1" pivotTables="1" deleteRows="1" formatCells="1" formatRows="0" sort="1" password="E3BE"/>
  <mergeCells count="8">
    <mergeCell ref="M2:R2"/>
    <mergeCell ref="J2:L2"/>
    <mergeCell ref="S2:AC2"/>
    <mergeCell ref="B2:I2"/>
    <mergeCell ref="AH2:AK2"/>
    <mergeCell ref="BG2:ET2"/>
    <mergeCell ref="AL2:BF2"/>
    <mergeCell ref="AD2:AG2"/>
  </mergeCells>
  <conditionalFormatting sqref="A8:A22">
    <cfRule type="expression" priority="5" dxfId="4">
      <formula>A8="Validated"</formula>
    </cfRule>
    <cfRule type="expression" priority="6" dxfId="5">
      <formula>OR(COUNTIF('6 - TV Stands &amp; Enterta-WUO_TRK'!B8:EU8,"Error"),COUNTIF('6 - TV Stands &amp; Enterta-WUO_TRK'!B8:EU8,"Required"))</formula>
    </cfRule>
    <cfRule type="expression" priority="7" dxfId="6">
      <formula>COUNTIF('6 - TV Stands &amp; Enterta-WUO_TRK'!B8:EU8,"Warning")</formula>
    </cfRule>
  </conditionalFormatting>
  <conditionalFormatting sqref="AA7">
    <cfRule type="notContainsBlanks" priority="62" dxfId="7">
      <formula>LEN(TRIM(AA7))&gt;0</formula>
    </cfRule>
    <cfRule type="containsBlanks" priority="63" dxfId="8">
      <formula>LEN(TRIM(AA7))=0</formula>
    </cfRule>
  </conditionalFormatting>
  <conditionalFormatting sqref="AA8:AA2501">
    <cfRule type="expression" priority="64" dxfId="7">
      <formula>AND($AA$7&lt;&gt;"", AA8="")</formula>
    </cfRule>
  </conditionalFormatting>
  <conditionalFormatting sqref="AB7">
    <cfRule type="notContainsBlanks" priority="65" dxfId="7">
      <formula>LEN(TRIM(AB7))&gt;0</formula>
    </cfRule>
    <cfRule type="containsBlanks" priority="66" dxfId="8">
      <formula>LEN(TRIM(AB7))=0</formula>
    </cfRule>
  </conditionalFormatting>
  <conditionalFormatting sqref="AB8:AB2501">
    <cfRule type="expression" priority="67" dxfId="7">
      <formula>AND($AB$7&lt;&gt;"", AB8="")</formula>
    </cfRule>
  </conditionalFormatting>
  <conditionalFormatting sqref="AC7">
    <cfRule type="notContainsBlanks" priority="68" dxfId="7">
      <formula>LEN(TRIM(AC7))&gt;0</formula>
    </cfRule>
    <cfRule type="containsBlanks" priority="69" dxfId="8">
      <formula>LEN(TRIM(AC7))=0</formula>
    </cfRule>
  </conditionalFormatting>
  <conditionalFormatting sqref="AC8:AC2501">
    <cfRule type="expression" priority="70" dxfId="7">
      <formula>AND($AC$7&lt;&gt;"", AC8="")</formula>
    </cfRule>
  </conditionalFormatting>
  <conditionalFormatting sqref="AD7">
    <cfRule type="notContainsBlanks" priority="71" dxfId="7">
      <formula>LEN(TRIM(AD7))&gt;0</formula>
    </cfRule>
    <cfRule type="containsBlanks" priority="72" dxfId="8">
      <formula>LEN(TRIM(AD7))=0</formula>
    </cfRule>
  </conditionalFormatting>
  <conditionalFormatting sqref="AD8:AD2501">
    <cfRule type="expression" priority="73" dxfId="7">
      <formula>AND($AD$7&lt;&gt;"", AD8="")</formula>
    </cfRule>
  </conditionalFormatting>
  <conditionalFormatting sqref="AE7">
    <cfRule type="notContainsBlanks" priority="74" dxfId="7">
      <formula>LEN(TRIM(AE7))&gt;0</formula>
    </cfRule>
    <cfRule type="containsBlanks" priority="75" dxfId="8">
      <formula>LEN(TRIM(AE7))=0</formula>
    </cfRule>
  </conditionalFormatting>
  <conditionalFormatting sqref="AE8:AE2501">
    <cfRule type="expression" priority="76" dxfId="7">
      <formula>AND($AE$7&lt;&gt;"", AE8="")</formula>
    </cfRule>
  </conditionalFormatting>
  <conditionalFormatting sqref="AF7">
    <cfRule type="notContainsBlanks" priority="77" dxfId="7">
      <formula>LEN(TRIM(AF7))&gt;0</formula>
    </cfRule>
    <cfRule type="containsBlanks" priority="78" dxfId="8">
      <formula>LEN(TRIM(AF7))=0</formula>
    </cfRule>
  </conditionalFormatting>
  <conditionalFormatting sqref="AF8:AF2501">
    <cfRule type="expression" priority="79" dxfId="7">
      <formula>AND($AF$7&lt;&gt;"", AF8="")</formula>
    </cfRule>
  </conditionalFormatting>
  <conditionalFormatting sqref="AG7">
    <cfRule type="notContainsBlanks" priority="80" dxfId="7">
      <formula>LEN(TRIM(AG7))&gt;0</formula>
    </cfRule>
    <cfRule type="containsBlanks" priority="81" dxfId="8">
      <formula>LEN(TRIM(AG7))=0</formula>
    </cfRule>
  </conditionalFormatting>
  <conditionalFormatting sqref="AG8:AG2501">
    <cfRule type="expression" priority="82" dxfId="7">
      <formula>AND($AG$7&lt;&gt;"", AG8="")</formula>
    </cfRule>
  </conditionalFormatting>
  <conditionalFormatting sqref="AH7">
    <cfRule type="notContainsBlanks" priority="83" dxfId="7">
      <formula>LEN(TRIM(AH7))&gt;0</formula>
    </cfRule>
    <cfRule type="containsBlanks" priority="84" dxfId="8">
      <formula>LEN(TRIM(AH7))=0</formula>
    </cfRule>
  </conditionalFormatting>
  <conditionalFormatting sqref="AH8:AH2501">
    <cfRule type="expression" priority="85" dxfId="7">
      <formula>AND($AH$7&lt;&gt;"", AH8="")</formula>
    </cfRule>
  </conditionalFormatting>
  <conditionalFormatting sqref="AI7">
    <cfRule type="notContainsBlanks" priority="86" dxfId="7">
      <formula>LEN(TRIM(AI7))&gt;0</formula>
    </cfRule>
    <cfRule type="containsBlanks" priority="87" dxfId="8">
      <formula>LEN(TRIM(AI7))=0</formula>
    </cfRule>
  </conditionalFormatting>
  <conditionalFormatting sqref="AI8:AI2501">
    <cfRule type="expression" priority="88" dxfId="7">
      <formula>AND($AI$7&lt;&gt;"", AI8="")</formula>
    </cfRule>
  </conditionalFormatting>
  <conditionalFormatting sqref="AJ7">
    <cfRule type="notContainsBlanks" priority="89" dxfId="7">
      <formula>LEN(TRIM(AJ7))&gt;0</formula>
    </cfRule>
    <cfRule type="containsBlanks" priority="90" dxfId="8">
      <formula>LEN(TRIM(AJ7))=0</formula>
    </cfRule>
  </conditionalFormatting>
  <conditionalFormatting sqref="AJ8:AJ2501">
    <cfRule type="expression" priority="91" dxfId="7">
      <formula>AND($AJ$7&lt;&gt;"", AJ8="")</formula>
    </cfRule>
  </conditionalFormatting>
  <conditionalFormatting sqref="AK7">
    <cfRule type="notContainsBlanks" priority="92" dxfId="7">
      <formula>LEN(TRIM(AK7))&gt;0</formula>
    </cfRule>
    <cfRule type="containsBlanks" priority="93" dxfId="8">
      <formula>LEN(TRIM(AK7))=0</formula>
    </cfRule>
  </conditionalFormatting>
  <conditionalFormatting sqref="AK8:AK2501">
    <cfRule type="expression" priority="94" dxfId="7">
      <formula>AND($AK$7&lt;&gt;"", AK8="")</formula>
    </cfRule>
  </conditionalFormatting>
  <conditionalFormatting sqref="AR7">
    <cfRule type="notContainsBlanks" priority="95" dxfId="7">
      <formula>LEN(TRIM(AR7))&gt;0</formula>
    </cfRule>
    <cfRule type="containsBlanks" priority="96" dxfId="8">
      <formula>LEN(TRIM(AR7))=0</formula>
    </cfRule>
  </conditionalFormatting>
  <conditionalFormatting sqref="AR8:AR2501">
    <cfRule type="expression" priority="97" dxfId="7">
      <formula>AND($AR$7&lt;&gt;"", AR8="")</formula>
    </cfRule>
  </conditionalFormatting>
  <conditionalFormatting sqref="AS7">
    <cfRule type="notContainsBlanks" priority="98" dxfId="7">
      <formula>LEN(TRIM(AS7))&gt;0</formula>
    </cfRule>
    <cfRule type="containsBlanks" priority="99" dxfId="8">
      <formula>LEN(TRIM(AS7))=0</formula>
    </cfRule>
  </conditionalFormatting>
  <conditionalFormatting sqref="AS8:AS2501">
    <cfRule type="expression" priority="100" dxfId="7">
      <formula>AND($AS$7&lt;&gt;"", AS8="")</formula>
    </cfRule>
  </conditionalFormatting>
  <conditionalFormatting sqref="AT7">
    <cfRule type="notContainsBlanks" priority="101" dxfId="7">
      <formula>LEN(TRIM(AT7))&gt;0</formula>
    </cfRule>
    <cfRule type="containsBlanks" priority="102" dxfId="8">
      <formula>LEN(TRIM(AT7))=0</formula>
    </cfRule>
  </conditionalFormatting>
  <conditionalFormatting sqref="AT8:AT2501">
    <cfRule type="expression" priority="103" dxfId="7">
      <formula>AND($AT$7&lt;&gt;"", AT8="")</formula>
    </cfRule>
  </conditionalFormatting>
  <conditionalFormatting sqref="AU7">
    <cfRule type="notContainsBlanks" priority="104" dxfId="7">
      <formula>LEN(TRIM(AU7))&gt;0</formula>
    </cfRule>
    <cfRule type="containsBlanks" priority="105" dxfId="8">
      <formula>LEN(TRIM(AU7))=0</formula>
    </cfRule>
  </conditionalFormatting>
  <conditionalFormatting sqref="AU8:AU2501">
    <cfRule type="expression" priority="106" dxfId="7">
      <formula>AND($AU$7&lt;&gt;"", AU8="")</formula>
    </cfRule>
  </conditionalFormatting>
  <conditionalFormatting sqref="AV7">
    <cfRule type="notContainsBlanks" priority="107" dxfId="7">
      <formula>LEN(TRIM(AV7))&gt;0</formula>
    </cfRule>
    <cfRule type="containsBlanks" priority="108" dxfId="8">
      <formula>LEN(TRIM(AV7))=0</formula>
    </cfRule>
  </conditionalFormatting>
  <conditionalFormatting sqref="AV8:AV2501">
    <cfRule type="expression" priority="109" dxfId="7">
      <formula>AND($AV$7&lt;&gt;"", AV8="")</formula>
    </cfRule>
  </conditionalFormatting>
  <conditionalFormatting sqref="AW7">
    <cfRule type="notContainsBlanks" priority="110" dxfId="7">
      <formula>LEN(TRIM(AW7))&gt;0</formula>
    </cfRule>
    <cfRule type="containsBlanks" priority="111" dxfId="8">
      <formula>LEN(TRIM(AW7))=0</formula>
    </cfRule>
  </conditionalFormatting>
  <conditionalFormatting sqref="AW8:AW2501">
    <cfRule type="expression" priority="112" dxfId="7">
      <formula>AND($AW$7&lt;&gt;"", AW8="")</formula>
    </cfRule>
  </conditionalFormatting>
  <conditionalFormatting sqref="AX7">
    <cfRule type="notContainsBlanks" priority="113" dxfId="7">
      <formula>LEN(TRIM(AX7))&gt;0</formula>
    </cfRule>
    <cfRule type="containsBlanks" priority="114" dxfId="8">
      <formula>LEN(TRIM(AX7))=0</formula>
    </cfRule>
  </conditionalFormatting>
  <conditionalFormatting sqref="AX8:AX2501">
    <cfRule type="expression" priority="115" dxfId="7">
      <formula>AND($AX$7&lt;&gt;"", AX8="")</formula>
    </cfRule>
  </conditionalFormatting>
  <conditionalFormatting sqref="AY7">
    <cfRule type="notContainsBlanks" priority="116" dxfId="7">
      <formula>LEN(TRIM(AY7))&gt;0</formula>
    </cfRule>
    <cfRule type="containsBlanks" priority="117" dxfId="8">
      <formula>LEN(TRIM(AY7))=0</formula>
    </cfRule>
  </conditionalFormatting>
  <conditionalFormatting sqref="AY8:AY2501">
    <cfRule type="expression" priority="118" dxfId="7">
      <formula>AND($AY$7&lt;&gt;"", AY8="")</formula>
    </cfRule>
  </conditionalFormatting>
  <conditionalFormatting sqref="AZ7">
    <cfRule type="notContainsBlanks" priority="119" dxfId="7">
      <formula>LEN(TRIM(AZ7))&gt;0</formula>
    </cfRule>
    <cfRule type="containsBlanks" priority="120" dxfId="8">
      <formula>LEN(TRIM(AZ7))=0</formula>
    </cfRule>
  </conditionalFormatting>
  <conditionalFormatting sqref="AZ8:AZ2501">
    <cfRule type="expression" priority="121" dxfId="7">
      <formula>AND($AZ$7&lt;&gt;"", AZ8="")</formula>
    </cfRule>
  </conditionalFormatting>
  <conditionalFormatting sqref="B8:EU22">
    <cfRule type="expression" priority="1" dxfId="0">
      <formula>'6 - TV Stands &amp; Enterta-WUO_TRK'!B8="Error"</formula>
    </cfRule>
    <cfRule type="expression" priority="2" dxfId="1">
      <formula>'6 - TV Stands &amp; Enterta-WUO_TRK'!B8="Required"</formula>
    </cfRule>
    <cfRule type="expression" priority="3" dxfId="2">
      <formula>'6 - TV Stands &amp; Enterta-WUO_TRK'!B8="Warning"</formula>
    </cfRule>
    <cfRule type="expression" priority="4" dxfId="3">
      <formula>'6 - TV Stands &amp; Enterta-WUO_TRK'!B8="Disabled"</formula>
    </cfRule>
  </conditionalFormatting>
  <conditionalFormatting sqref="BA7">
    <cfRule type="notContainsBlanks" priority="122" dxfId="7">
      <formula>LEN(TRIM(BA7))&gt;0</formula>
    </cfRule>
    <cfRule type="containsBlanks" priority="123" dxfId="8">
      <formula>LEN(TRIM(BA7))=0</formula>
    </cfRule>
  </conditionalFormatting>
  <conditionalFormatting sqref="BA8:BA2501">
    <cfRule type="expression" priority="124" dxfId="7">
      <formula>AND($BA$7&lt;&gt;"", BA8="")</formula>
    </cfRule>
  </conditionalFormatting>
  <conditionalFormatting sqref="BB7">
    <cfRule type="notContainsBlanks" priority="125" dxfId="7">
      <formula>LEN(TRIM(BB7))&gt;0</formula>
    </cfRule>
    <cfRule type="containsBlanks" priority="126" dxfId="8">
      <formula>LEN(TRIM(BB7))=0</formula>
    </cfRule>
  </conditionalFormatting>
  <conditionalFormatting sqref="BB8:BB2501">
    <cfRule type="expression" priority="127" dxfId="7">
      <formula>AND($BB$7&lt;&gt;"", BB8="")</formula>
    </cfRule>
  </conditionalFormatting>
  <conditionalFormatting sqref="BC7">
    <cfRule type="notContainsBlanks" priority="128" dxfId="7">
      <formula>LEN(TRIM(BC7))&gt;0</formula>
    </cfRule>
    <cfRule type="containsBlanks" priority="129" dxfId="8">
      <formula>LEN(TRIM(BC7))=0</formula>
    </cfRule>
  </conditionalFormatting>
  <conditionalFormatting sqref="BC8:BC2501">
    <cfRule type="expression" priority="130" dxfId="7">
      <formula>AND($BC$7&lt;&gt;"", BC8="")</formula>
    </cfRule>
  </conditionalFormatting>
  <conditionalFormatting sqref="BD7">
    <cfRule type="notContainsBlanks" priority="131" dxfId="7">
      <formula>LEN(TRIM(BD7))&gt;0</formula>
    </cfRule>
    <cfRule type="containsBlanks" priority="132" dxfId="8">
      <formula>LEN(TRIM(BD7))=0</formula>
    </cfRule>
  </conditionalFormatting>
  <conditionalFormatting sqref="BD8:BD2501">
    <cfRule type="expression" priority="133" dxfId="7">
      <formula>AND($BD$7&lt;&gt;"", BD8="")</formula>
    </cfRule>
  </conditionalFormatting>
  <conditionalFormatting sqref="BE7">
    <cfRule type="notContainsBlanks" priority="134" dxfId="7">
      <formula>LEN(TRIM(BE7))&gt;0</formula>
    </cfRule>
    <cfRule type="containsBlanks" priority="135" dxfId="8">
      <formula>LEN(TRIM(BE7))=0</formula>
    </cfRule>
  </conditionalFormatting>
  <conditionalFormatting sqref="BE8:BE2501">
    <cfRule type="expression" priority="136" dxfId="7">
      <formula>AND($BE$7&lt;&gt;"", BE8="")</formula>
    </cfRule>
  </conditionalFormatting>
  <conditionalFormatting sqref="BF7">
    <cfRule type="notContainsBlanks" priority="137" dxfId="7">
      <formula>LEN(TRIM(BF7))&gt;0</formula>
    </cfRule>
    <cfRule type="containsBlanks" priority="138" dxfId="8">
      <formula>LEN(TRIM(BF7))=0</formula>
    </cfRule>
  </conditionalFormatting>
  <conditionalFormatting sqref="BF8:BF2501">
    <cfRule type="expression" priority="139" dxfId="7">
      <formula>AND($BF$7&lt;&gt;"", BF8="")</formula>
    </cfRule>
  </conditionalFormatting>
  <conditionalFormatting sqref="BG7">
    <cfRule type="notContainsBlanks" priority="140" dxfId="7">
      <formula>LEN(TRIM(BG7))&gt;0</formula>
    </cfRule>
    <cfRule type="containsBlanks" priority="141" dxfId="8">
      <formula>LEN(TRIM(BG7))=0</formula>
    </cfRule>
  </conditionalFormatting>
  <conditionalFormatting sqref="BG8:BG2501">
    <cfRule type="expression" priority="142" dxfId="7">
      <formula>AND($BG$7&lt;&gt;"", BG8="")</formula>
    </cfRule>
  </conditionalFormatting>
  <conditionalFormatting sqref="BH7">
    <cfRule type="notContainsBlanks" priority="143" dxfId="7">
      <formula>LEN(TRIM(BH7))&gt;0</formula>
    </cfRule>
    <cfRule type="containsBlanks" priority="144" dxfId="8">
      <formula>LEN(TRIM(BH7))=0</formula>
    </cfRule>
  </conditionalFormatting>
  <conditionalFormatting sqref="BH8:BH2501">
    <cfRule type="expression" priority="145" dxfId="7">
      <formula>AND($BH$7&lt;&gt;"", BH8="")</formula>
    </cfRule>
  </conditionalFormatting>
  <conditionalFormatting sqref="BI7">
    <cfRule type="notContainsBlanks" priority="146" dxfId="7">
      <formula>LEN(TRIM(BI7))&gt;0</formula>
    </cfRule>
    <cfRule type="containsBlanks" priority="147" dxfId="8">
      <formula>LEN(TRIM(BI7))=0</formula>
    </cfRule>
  </conditionalFormatting>
  <conditionalFormatting sqref="BI8:BI2501">
    <cfRule type="expression" priority="148" dxfId="7">
      <formula>AND($BI$7&lt;&gt;"", BI8="")</formula>
    </cfRule>
  </conditionalFormatting>
  <conditionalFormatting sqref="BJ7">
    <cfRule type="notContainsBlanks" priority="149" dxfId="7">
      <formula>LEN(TRIM(BJ7))&gt;0</formula>
    </cfRule>
    <cfRule type="containsBlanks" priority="150" dxfId="8">
      <formula>LEN(TRIM(BJ7))=0</formula>
    </cfRule>
  </conditionalFormatting>
  <conditionalFormatting sqref="BJ8:BJ2501">
    <cfRule type="expression" priority="151" dxfId="7">
      <formula>AND($BJ$7&lt;&gt;"", BJ8="")</formula>
    </cfRule>
  </conditionalFormatting>
  <conditionalFormatting sqref="BK7">
    <cfRule type="notContainsBlanks" priority="152" dxfId="7">
      <formula>LEN(TRIM(BK7))&gt;0</formula>
    </cfRule>
    <cfRule type="containsBlanks" priority="153" dxfId="8">
      <formula>LEN(TRIM(BK7))=0</formula>
    </cfRule>
  </conditionalFormatting>
  <conditionalFormatting sqref="BK8:BK2501">
    <cfRule type="expression" priority="154" dxfId="7">
      <formula>AND($BK$7&lt;&gt;"", BK8="")</formula>
    </cfRule>
  </conditionalFormatting>
  <conditionalFormatting sqref="BL7">
    <cfRule type="notContainsBlanks" priority="155" dxfId="7">
      <formula>LEN(TRIM(BL7))&gt;0</formula>
    </cfRule>
    <cfRule type="containsBlanks" priority="156" dxfId="8">
      <formula>LEN(TRIM(BL7))=0</formula>
    </cfRule>
  </conditionalFormatting>
  <conditionalFormatting sqref="BL8:BL2501">
    <cfRule type="expression" priority="157" dxfId="7">
      <formula>AND($BL$7&lt;&gt;"", BL8="")</formula>
    </cfRule>
  </conditionalFormatting>
  <conditionalFormatting sqref="BM7">
    <cfRule type="notContainsBlanks" priority="158" dxfId="7">
      <formula>LEN(TRIM(BM7))&gt;0</formula>
    </cfRule>
    <cfRule type="containsBlanks" priority="159" dxfId="8">
      <formula>LEN(TRIM(BM7))=0</formula>
    </cfRule>
  </conditionalFormatting>
  <conditionalFormatting sqref="BM8:BM2501">
    <cfRule type="expression" priority="160" dxfId="7">
      <formula>AND($BM$7&lt;&gt;"", BM8="")</formula>
    </cfRule>
  </conditionalFormatting>
  <conditionalFormatting sqref="BN7">
    <cfRule type="notContainsBlanks" priority="161" dxfId="7">
      <formula>LEN(TRIM(BN7))&gt;0</formula>
    </cfRule>
    <cfRule type="containsBlanks" priority="162" dxfId="8">
      <formula>LEN(TRIM(BN7))=0</formula>
    </cfRule>
  </conditionalFormatting>
  <conditionalFormatting sqref="BN8:BN2501">
    <cfRule type="expression" priority="163" dxfId="7">
      <formula>AND($BN$7&lt;&gt;"", BN8="")</formula>
    </cfRule>
  </conditionalFormatting>
  <conditionalFormatting sqref="BO7">
    <cfRule type="notContainsBlanks" priority="164" dxfId="7">
      <formula>LEN(TRIM(BO7))&gt;0</formula>
    </cfRule>
    <cfRule type="containsBlanks" priority="165" dxfId="8">
      <formula>LEN(TRIM(BO7))=0</formula>
    </cfRule>
  </conditionalFormatting>
  <conditionalFormatting sqref="BO8:BO2501">
    <cfRule type="expression" priority="166" dxfId="7">
      <formula>AND($BO$7&lt;&gt;"", BO8="")</formula>
    </cfRule>
  </conditionalFormatting>
  <conditionalFormatting sqref="BP7">
    <cfRule type="notContainsBlanks" priority="167" dxfId="7">
      <formula>LEN(TRIM(BP7))&gt;0</formula>
    </cfRule>
    <cfRule type="containsBlanks" priority="168" dxfId="8">
      <formula>LEN(TRIM(BP7))=0</formula>
    </cfRule>
  </conditionalFormatting>
  <conditionalFormatting sqref="BP8:BP2501">
    <cfRule type="expression" priority="169" dxfId="7">
      <formula>AND($BP$7&lt;&gt;"", BP8="")</formula>
    </cfRule>
  </conditionalFormatting>
  <conditionalFormatting sqref="BQ7">
    <cfRule type="notContainsBlanks" priority="170" dxfId="7">
      <formula>LEN(TRIM(BQ7))&gt;0</formula>
    </cfRule>
    <cfRule type="containsBlanks" priority="171" dxfId="8">
      <formula>LEN(TRIM(BQ7))=0</formula>
    </cfRule>
  </conditionalFormatting>
  <conditionalFormatting sqref="BQ8:BQ2501">
    <cfRule type="expression" priority="172" dxfId="7">
      <formula>AND($BQ$7&lt;&gt;"", BQ8="")</formula>
    </cfRule>
  </conditionalFormatting>
  <conditionalFormatting sqref="BR7">
    <cfRule type="notContainsBlanks" priority="173" dxfId="7">
      <formula>LEN(TRIM(BR7))&gt;0</formula>
    </cfRule>
    <cfRule type="containsBlanks" priority="174" dxfId="8">
      <formula>LEN(TRIM(BR7))=0</formula>
    </cfRule>
  </conditionalFormatting>
  <conditionalFormatting sqref="BR8:BR2501">
    <cfRule type="expression" priority="175" dxfId="7">
      <formula>AND($BR$7&lt;&gt;"", BR8="")</formula>
    </cfRule>
  </conditionalFormatting>
  <conditionalFormatting sqref="BS7">
    <cfRule type="notContainsBlanks" priority="176" dxfId="7">
      <formula>LEN(TRIM(BS7))&gt;0</formula>
    </cfRule>
    <cfRule type="containsBlanks" priority="177" dxfId="8">
      <formula>LEN(TRIM(BS7))=0</formula>
    </cfRule>
  </conditionalFormatting>
  <conditionalFormatting sqref="BS8:BS2501">
    <cfRule type="expression" priority="178" dxfId="7">
      <formula>AND($BS$7&lt;&gt;"", BS8="")</formula>
    </cfRule>
  </conditionalFormatting>
  <conditionalFormatting sqref="BT7">
    <cfRule type="notContainsBlanks" priority="179" dxfId="7">
      <formula>LEN(TRIM(BT7))&gt;0</formula>
    </cfRule>
    <cfRule type="containsBlanks" priority="180" dxfId="8">
      <formula>LEN(TRIM(BT7))=0</formula>
    </cfRule>
  </conditionalFormatting>
  <conditionalFormatting sqref="BT8:BT2501">
    <cfRule type="expression" priority="181" dxfId="7">
      <formula>AND($BT$7&lt;&gt;"", BT8="")</formula>
    </cfRule>
  </conditionalFormatting>
  <conditionalFormatting sqref="BU7">
    <cfRule type="notContainsBlanks" priority="182" dxfId="7">
      <formula>LEN(TRIM(BU7))&gt;0</formula>
    </cfRule>
    <cfRule type="containsBlanks" priority="183" dxfId="8">
      <formula>LEN(TRIM(BU7))=0</formula>
    </cfRule>
  </conditionalFormatting>
  <conditionalFormatting sqref="BU8:BU2501">
    <cfRule type="expression" priority="184" dxfId="7">
      <formula>AND($BU$7&lt;&gt;"", BU8="")</formula>
    </cfRule>
  </conditionalFormatting>
  <conditionalFormatting sqref="BV7">
    <cfRule type="notContainsBlanks" priority="185" dxfId="7">
      <formula>LEN(TRIM(BV7))&gt;0</formula>
    </cfRule>
    <cfRule type="containsBlanks" priority="186" dxfId="8">
      <formula>LEN(TRIM(BV7))=0</formula>
    </cfRule>
  </conditionalFormatting>
  <conditionalFormatting sqref="BV8:BV2501">
    <cfRule type="expression" priority="187" dxfId="7">
      <formula>AND($BV$7&lt;&gt;"", BV8="")</formula>
    </cfRule>
  </conditionalFormatting>
  <conditionalFormatting sqref="BW7">
    <cfRule type="notContainsBlanks" priority="188" dxfId="7">
      <formula>LEN(TRIM(BW7))&gt;0</formula>
    </cfRule>
    <cfRule type="containsBlanks" priority="189" dxfId="8">
      <formula>LEN(TRIM(BW7))=0</formula>
    </cfRule>
  </conditionalFormatting>
  <conditionalFormatting sqref="BW8:BW2501">
    <cfRule type="expression" priority="190" dxfId="7">
      <formula>AND($BW$7&lt;&gt;"", BW8="")</formula>
    </cfRule>
  </conditionalFormatting>
  <conditionalFormatting sqref="BX7">
    <cfRule type="notContainsBlanks" priority="191" dxfId="7">
      <formula>LEN(TRIM(BX7))&gt;0</formula>
    </cfRule>
    <cfRule type="containsBlanks" priority="192" dxfId="8">
      <formula>LEN(TRIM(BX7))=0</formula>
    </cfRule>
  </conditionalFormatting>
  <conditionalFormatting sqref="BX8:BX2501">
    <cfRule type="expression" priority="193" dxfId="7">
      <formula>AND($BX$7&lt;&gt;"", BX8="")</formula>
    </cfRule>
  </conditionalFormatting>
  <conditionalFormatting sqref="BY7">
    <cfRule type="notContainsBlanks" priority="194" dxfId="7">
      <formula>LEN(TRIM(BY7))&gt;0</formula>
    </cfRule>
    <cfRule type="containsBlanks" priority="195" dxfId="8">
      <formula>LEN(TRIM(BY7))=0</formula>
    </cfRule>
  </conditionalFormatting>
  <conditionalFormatting sqref="BY8:BY2501">
    <cfRule type="expression" priority="196" dxfId="7">
      <formula>AND($BY$7&lt;&gt;"", BY8="")</formula>
    </cfRule>
  </conditionalFormatting>
  <conditionalFormatting sqref="BZ7">
    <cfRule type="notContainsBlanks" priority="197" dxfId="7">
      <formula>LEN(TRIM(BZ7))&gt;0</formula>
    </cfRule>
    <cfRule type="containsBlanks" priority="198" dxfId="8">
      <formula>LEN(TRIM(BZ7))=0</formula>
    </cfRule>
  </conditionalFormatting>
  <conditionalFormatting sqref="BZ8:BZ2501">
    <cfRule type="expression" priority="199" dxfId="7">
      <formula>AND($BZ$7&lt;&gt;"", BZ8="")</formula>
    </cfRule>
  </conditionalFormatting>
  <conditionalFormatting sqref="CA7">
    <cfRule type="notContainsBlanks" priority="200" dxfId="7">
      <formula>LEN(TRIM(CA7))&gt;0</formula>
    </cfRule>
    <cfRule type="containsBlanks" priority="201" dxfId="8">
      <formula>LEN(TRIM(CA7))=0</formula>
    </cfRule>
  </conditionalFormatting>
  <conditionalFormatting sqref="CA8:CA2501">
    <cfRule type="expression" priority="202" dxfId="7">
      <formula>AND($CA$7&lt;&gt;"", CA8="")</formula>
    </cfRule>
  </conditionalFormatting>
  <conditionalFormatting sqref="CB7">
    <cfRule type="notContainsBlanks" priority="203" dxfId="7">
      <formula>LEN(TRIM(CB7))&gt;0</formula>
    </cfRule>
    <cfRule type="containsBlanks" priority="204" dxfId="8">
      <formula>LEN(TRIM(CB7))=0</formula>
    </cfRule>
  </conditionalFormatting>
  <conditionalFormatting sqref="CB8:CB2501">
    <cfRule type="expression" priority="205" dxfId="7">
      <formula>AND($CB$7&lt;&gt;"", CB8="")</formula>
    </cfRule>
  </conditionalFormatting>
  <conditionalFormatting sqref="CC7">
    <cfRule type="notContainsBlanks" priority="206" dxfId="7">
      <formula>LEN(TRIM(CC7))&gt;0</formula>
    </cfRule>
    <cfRule type="containsBlanks" priority="207" dxfId="8">
      <formula>LEN(TRIM(CC7))=0</formula>
    </cfRule>
  </conditionalFormatting>
  <conditionalFormatting sqref="CC8:CC2501">
    <cfRule type="expression" priority="208" dxfId="7">
      <formula>AND($CC$7&lt;&gt;"", CC8="")</formula>
    </cfRule>
  </conditionalFormatting>
  <conditionalFormatting sqref="CD7">
    <cfRule type="notContainsBlanks" priority="209" dxfId="7">
      <formula>LEN(TRIM(CD7))&gt;0</formula>
    </cfRule>
    <cfRule type="containsBlanks" priority="210" dxfId="8">
      <formula>LEN(TRIM(CD7))=0</formula>
    </cfRule>
  </conditionalFormatting>
  <conditionalFormatting sqref="CD8:CD2501">
    <cfRule type="expression" priority="211" dxfId="7">
      <formula>AND($CD$7&lt;&gt;"", CD8="")</formula>
    </cfRule>
  </conditionalFormatting>
  <conditionalFormatting sqref="CE7">
    <cfRule type="notContainsBlanks" priority="212" dxfId="7">
      <formula>LEN(TRIM(CE7))&gt;0</formula>
    </cfRule>
    <cfRule type="containsBlanks" priority="213" dxfId="8">
      <formula>LEN(TRIM(CE7))=0</formula>
    </cfRule>
  </conditionalFormatting>
  <conditionalFormatting sqref="CE8:CE2501">
    <cfRule type="expression" priority="214" dxfId="7">
      <formula>AND($CE$7&lt;&gt;"", CE8="")</formula>
    </cfRule>
  </conditionalFormatting>
  <conditionalFormatting sqref="CF7">
    <cfRule type="notContainsBlanks" priority="215" dxfId="7">
      <formula>LEN(TRIM(CF7))&gt;0</formula>
    </cfRule>
    <cfRule type="containsBlanks" priority="216" dxfId="8">
      <formula>LEN(TRIM(CF7))=0</formula>
    </cfRule>
  </conditionalFormatting>
  <conditionalFormatting sqref="CF8:CF2501">
    <cfRule type="expression" priority="217" dxfId="7">
      <formula>AND($CF$7&lt;&gt;"", CF8="")</formula>
    </cfRule>
  </conditionalFormatting>
  <conditionalFormatting sqref="CG7">
    <cfRule type="notContainsBlanks" priority="218" dxfId="7">
      <formula>LEN(TRIM(CG7))&gt;0</formula>
    </cfRule>
    <cfRule type="containsBlanks" priority="219" dxfId="8">
      <formula>LEN(TRIM(CG7))=0</formula>
    </cfRule>
  </conditionalFormatting>
  <conditionalFormatting sqref="CG8:CG2501">
    <cfRule type="expression" priority="220" dxfId="7">
      <formula>AND($CG$7&lt;&gt;"", CG8="")</formula>
    </cfRule>
  </conditionalFormatting>
  <conditionalFormatting sqref="CH7">
    <cfRule type="notContainsBlanks" priority="221" dxfId="7">
      <formula>LEN(TRIM(CH7))&gt;0</formula>
    </cfRule>
    <cfRule type="containsBlanks" priority="222" dxfId="8">
      <formula>LEN(TRIM(CH7))=0</formula>
    </cfRule>
  </conditionalFormatting>
  <conditionalFormatting sqref="CH8:CH2501">
    <cfRule type="expression" priority="223" dxfId="7">
      <formula>AND($CH$7&lt;&gt;"", CH8="")</formula>
    </cfRule>
  </conditionalFormatting>
  <conditionalFormatting sqref="CI7">
    <cfRule type="notContainsBlanks" priority="224" dxfId="7">
      <formula>LEN(TRIM(CI7))&gt;0</formula>
    </cfRule>
    <cfRule type="containsBlanks" priority="225" dxfId="8">
      <formula>LEN(TRIM(CI7))=0</formula>
    </cfRule>
  </conditionalFormatting>
  <conditionalFormatting sqref="CI8:CI2501">
    <cfRule type="expression" priority="226" dxfId="7">
      <formula>AND($CI$7&lt;&gt;"", CI8="")</formula>
    </cfRule>
  </conditionalFormatting>
  <conditionalFormatting sqref="CJ7">
    <cfRule type="notContainsBlanks" priority="227" dxfId="7">
      <formula>LEN(TRIM(CJ7))&gt;0</formula>
    </cfRule>
    <cfRule type="containsBlanks" priority="228" dxfId="8">
      <formula>LEN(TRIM(CJ7))=0</formula>
    </cfRule>
  </conditionalFormatting>
  <conditionalFormatting sqref="CJ8:CJ2501">
    <cfRule type="expression" priority="229" dxfId="7">
      <formula>AND($CJ$7&lt;&gt;"", CJ8="")</formula>
    </cfRule>
  </conditionalFormatting>
  <conditionalFormatting sqref="CK7">
    <cfRule type="notContainsBlanks" priority="230" dxfId="7">
      <formula>LEN(TRIM(CK7))&gt;0</formula>
    </cfRule>
    <cfRule type="containsBlanks" priority="231" dxfId="8">
      <formula>LEN(TRIM(CK7))=0</formula>
    </cfRule>
  </conditionalFormatting>
  <conditionalFormatting sqref="CK8:CK2501">
    <cfRule type="expression" priority="232" dxfId="7">
      <formula>AND($CK$7&lt;&gt;"", CK8="")</formula>
    </cfRule>
  </conditionalFormatting>
  <conditionalFormatting sqref="CL7">
    <cfRule type="notContainsBlanks" priority="233" dxfId="7">
      <formula>LEN(TRIM(CL7))&gt;0</formula>
    </cfRule>
    <cfRule type="containsBlanks" priority="234" dxfId="8">
      <formula>LEN(TRIM(CL7))=0</formula>
    </cfRule>
  </conditionalFormatting>
  <conditionalFormatting sqref="CL8:CL2501">
    <cfRule type="expression" priority="235" dxfId="7">
      <formula>AND($CL$7&lt;&gt;"", CL8="")</formula>
    </cfRule>
  </conditionalFormatting>
  <conditionalFormatting sqref="CM7">
    <cfRule type="notContainsBlanks" priority="236" dxfId="7">
      <formula>LEN(TRIM(CM7))&gt;0</formula>
    </cfRule>
    <cfRule type="containsBlanks" priority="237" dxfId="8">
      <formula>LEN(TRIM(CM7))=0</formula>
    </cfRule>
  </conditionalFormatting>
  <conditionalFormatting sqref="CM8:CM2501">
    <cfRule type="expression" priority="238" dxfId="7">
      <formula>AND($CM$7&lt;&gt;"", CM8="")</formula>
    </cfRule>
  </conditionalFormatting>
  <conditionalFormatting sqref="CN7">
    <cfRule type="notContainsBlanks" priority="239" dxfId="7">
      <formula>LEN(TRIM(CN7))&gt;0</formula>
    </cfRule>
    <cfRule type="containsBlanks" priority="240" dxfId="8">
      <formula>LEN(TRIM(CN7))=0</formula>
    </cfRule>
  </conditionalFormatting>
  <conditionalFormatting sqref="CN8:CN2501">
    <cfRule type="expression" priority="241" dxfId="7">
      <formula>AND($CN$7&lt;&gt;"", CN8="")</formula>
    </cfRule>
  </conditionalFormatting>
  <conditionalFormatting sqref="CO7">
    <cfRule type="notContainsBlanks" priority="242" dxfId="7">
      <formula>LEN(TRIM(CO7))&gt;0</formula>
    </cfRule>
    <cfRule type="containsBlanks" priority="243" dxfId="8">
      <formula>LEN(TRIM(CO7))=0</formula>
    </cfRule>
  </conditionalFormatting>
  <conditionalFormatting sqref="CO8:CO2501">
    <cfRule type="expression" priority="244" dxfId="7">
      <formula>AND($CO$7&lt;&gt;"", CO8="")</formula>
    </cfRule>
  </conditionalFormatting>
  <conditionalFormatting sqref="CP7">
    <cfRule type="notContainsBlanks" priority="245" dxfId="7">
      <formula>LEN(TRIM(CP7))&gt;0</formula>
    </cfRule>
    <cfRule type="containsBlanks" priority="246" dxfId="8">
      <formula>LEN(TRIM(CP7))=0</formula>
    </cfRule>
  </conditionalFormatting>
  <conditionalFormatting sqref="CP8:CP2501">
    <cfRule type="expression" priority="247" dxfId="7">
      <formula>AND($CP$7&lt;&gt;"", CP8="")</formula>
    </cfRule>
  </conditionalFormatting>
  <conditionalFormatting sqref="CQ7">
    <cfRule type="notContainsBlanks" priority="248" dxfId="7">
      <formula>LEN(TRIM(CQ7))&gt;0</formula>
    </cfRule>
    <cfRule type="containsBlanks" priority="249" dxfId="8">
      <formula>LEN(TRIM(CQ7))=0</formula>
    </cfRule>
  </conditionalFormatting>
  <conditionalFormatting sqref="CQ8:CQ2501">
    <cfRule type="expression" priority="250" dxfId="7">
      <formula>AND($CQ$7&lt;&gt;"", CQ8="")</formula>
    </cfRule>
  </conditionalFormatting>
  <conditionalFormatting sqref="CR7">
    <cfRule type="notContainsBlanks" priority="251" dxfId="7">
      <formula>LEN(TRIM(CR7))&gt;0</formula>
    </cfRule>
    <cfRule type="containsBlanks" priority="252" dxfId="8">
      <formula>LEN(TRIM(CR7))=0</formula>
    </cfRule>
  </conditionalFormatting>
  <conditionalFormatting sqref="CR8:CR2501">
    <cfRule type="expression" priority="253" dxfId="7">
      <formula>AND($CR$7&lt;&gt;"", CR8="")</formula>
    </cfRule>
  </conditionalFormatting>
  <conditionalFormatting sqref="CS7">
    <cfRule type="notContainsBlanks" priority="254" dxfId="7">
      <formula>LEN(TRIM(CS7))&gt;0</formula>
    </cfRule>
    <cfRule type="containsBlanks" priority="255" dxfId="8">
      <formula>LEN(TRIM(CS7))=0</formula>
    </cfRule>
  </conditionalFormatting>
  <conditionalFormatting sqref="CS8:CS2501">
    <cfRule type="expression" priority="256" dxfId="7">
      <formula>AND($CS$7&lt;&gt;"", CS8="")</formula>
    </cfRule>
  </conditionalFormatting>
  <conditionalFormatting sqref="CT7">
    <cfRule type="notContainsBlanks" priority="257" dxfId="7">
      <formula>LEN(TRIM(CT7))&gt;0</formula>
    </cfRule>
    <cfRule type="containsBlanks" priority="258" dxfId="8">
      <formula>LEN(TRIM(CT7))=0</formula>
    </cfRule>
  </conditionalFormatting>
  <conditionalFormatting sqref="CT8:CT2501">
    <cfRule type="expression" priority="259" dxfId="7">
      <formula>AND($CT$7&lt;&gt;"", CT8="")</formula>
    </cfRule>
  </conditionalFormatting>
  <conditionalFormatting sqref="CU7">
    <cfRule type="notContainsBlanks" priority="260" dxfId="7">
      <formula>LEN(TRIM(CU7))&gt;0</formula>
    </cfRule>
    <cfRule type="containsBlanks" priority="261" dxfId="8">
      <formula>LEN(TRIM(CU7))=0</formula>
    </cfRule>
  </conditionalFormatting>
  <conditionalFormatting sqref="CU8:CU2501">
    <cfRule type="expression" priority="262" dxfId="7">
      <formula>AND($CU$7&lt;&gt;"", CU8="")</formula>
    </cfRule>
  </conditionalFormatting>
  <conditionalFormatting sqref="CV7">
    <cfRule type="notContainsBlanks" priority="263" dxfId="7">
      <formula>LEN(TRIM(CV7))&gt;0</formula>
    </cfRule>
    <cfRule type="containsBlanks" priority="264" dxfId="8">
      <formula>LEN(TRIM(CV7))=0</formula>
    </cfRule>
  </conditionalFormatting>
  <conditionalFormatting sqref="CV8:CV2501">
    <cfRule type="expression" priority="265" dxfId="7">
      <formula>AND($CV$7&lt;&gt;"", CV8="")</formula>
    </cfRule>
  </conditionalFormatting>
  <conditionalFormatting sqref="CW7">
    <cfRule type="notContainsBlanks" priority="266" dxfId="7">
      <formula>LEN(TRIM(CW7))&gt;0</formula>
    </cfRule>
    <cfRule type="containsBlanks" priority="267" dxfId="8">
      <formula>LEN(TRIM(CW7))=0</formula>
    </cfRule>
  </conditionalFormatting>
  <conditionalFormatting sqref="CW8:CW2501">
    <cfRule type="expression" priority="268" dxfId="7">
      <formula>AND($CW$7&lt;&gt;"", CW8="")</formula>
    </cfRule>
  </conditionalFormatting>
  <conditionalFormatting sqref="CX7">
    <cfRule type="notContainsBlanks" priority="269" dxfId="7">
      <formula>LEN(TRIM(CX7))&gt;0</formula>
    </cfRule>
    <cfRule type="containsBlanks" priority="270" dxfId="8">
      <formula>LEN(TRIM(CX7))=0</formula>
    </cfRule>
  </conditionalFormatting>
  <conditionalFormatting sqref="CX8:CX2501">
    <cfRule type="expression" priority="271" dxfId="7">
      <formula>AND($CX$7&lt;&gt;"", CX8="")</formula>
    </cfRule>
  </conditionalFormatting>
  <conditionalFormatting sqref="CY7">
    <cfRule type="notContainsBlanks" priority="272" dxfId="7">
      <formula>LEN(TRIM(CY7))&gt;0</formula>
    </cfRule>
    <cfRule type="containsBlanks" priority="273" dxfId="8">
      <formula>LEN(TRIM(CY7))=0</formula>
    </cfRule>
  </conditionalFormatting>
  <conditionalFormatting sqref="CY8:CY2501">
    <cfRule type="expression" priority="274" dxfId="7">
      <formula>AND($CY$7&lt;&gt;"", CY8="")</formula>
    </cfRule>
  </conditionalFormatting>
  <conditionalFormatting sqref="CZ7">
    <cfRule type="notContainsBlanks" priority="275" dxfId="7">
      <formula>LEN(TRIM(CZ7))&gt;0</formula>
    </cfRule>
    <cfRule type="containsBlanks" priority="276" dxfId="8">
      <formula>LEN(TRIM(CZ7))=0</formula>
    </cfRule>
  </conditionalFormatting>
  <conditionalFormatting sqref="CZ8:CZ2501">
    <cfRule type="expression" priority="277"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78" dxfId="7">
      <formula>LEN(TRIM(DA7))&gt;0</formula>
    </cfRule>
    <cfRule type="containsBlanks" priority="279" dxfId="8">
      <formula>LEN(TRIM(DA7))=0</formula>
    </cfRule>
  </conditionalFormatting>
  <conditionalFormatting sqref="DA8:DA2501">
    <cfRule type="expression" priority="280" dxfId="7">
      <formula>AND($DA$7&lt;&gt;"", DA8="")</formula>
    </cfRule>
  </conditionalFormatting>
  <conditionalFormatting sqref="DB7">
    <cfRule type="notContainsBlanks" priority="281" dxfId="7">
      <formula>LEN(TRIM(DB7))&gt;0</formula>
    </cfRule>
    <cfRule type="containsBlanks" priority="282" dxfId="8">
      <formula>LEN(TRIM(DB7))=0</formula>
    </cfRule>
  </conditionalFormatting>
  <conditionalFormatting sqref="DB8:DB2501">
    <cfRule type="expression" priority="283" dxfId="7">
      <formula>AND($DB$7&lt;&gt;"", DB8="")</formula>
    </cfRule>
  </conditionalFormatting>
  <conditionalFormatting sqref="DC7">
    <cfRule type="notContainsBlanks" priority="284" dxfId="7">
      <formula>LEN(TRIM(DC7))&gt;0</formula>
    </cfRule>
    <cfRule type="containsBlanks" priority="285" dxfId="8">
      <formula>LEN(TRIM(DC7))=0</formula>
    </cfRule>
  </conditionalFormatting>
  <conditionalFormatting sqref="DC8:DC2501">
    <cfRule type="expression" priority="286" dxfId="7">
      <formula>AND($DC$7&lt;&gt;"", DC8="")</formula>
    </cfRule>
  </conditionalFormatting>
  <conditionalFormatting sqref="DD7">
    <cfRule type="notContainsBlanks" priority="287" dxfId="7">
      <formula>LEN(TRIM(DD7))&gt;0</formula>
    </cfRule>
    <cfRule type="containsBlanks" priority="288" dxfId="8">
      <formula>LEN(TRIM(DD7))=0</formula>
    </cfRule>
  </conditionalFormatting>
  <conditionalFormatting sqref="DD8:DD2501">
    <cfRule type="expression" priority="289" dxfId="7">
      <formula>AND($DD$7&lt;&gt;"", DD8="")</formula>
    </cfRule>
  </conditionalFormatting>
  <conditionalFormatting sqref="DE7">
    <cfRule type="notContainsBlanks" priority="290" dxfId="7">
      <formula>LEN(TRIM(DE7))&gt;0</formula>
    </cfRule>
    <cfRule type="containsBlanks" priority="291" dxfId="8">
      <formula>LEN(TRIM(DE7))=0</formula>
    </cfRule>
  </conditionalFormatting>
  <conditionalFormatting sqref="DE8:DE2501">
    <cfRule type="expression" priority="292" dxfId="7">
      <formula>AND($DE$7&lt;&gt;"", DE8="")</formula>
    </cfRule>
  </conditionalFormatting>
  <conditionalFormatting sqref="DF7">
    <cfRule type="notContainsBlanks" priority="293" dxfId="7">
      <formula>LEN(TRIM(DF7))&gt;0</formula>
    </cfRule>
    <cfRule type="containsBlanks" priority="294" dxfId="8">
      <formula>LEN(TRIM(DF7))=0</formula>
    </cfRule>
  </conditionalFormatting>
  <conditionalFormatting sqref="DF8:DF2501">
    <cfRule type="expression" priority="295" dxfId="7">
      <formula>AND($DF$7&lt;&gt;"", DF8="")</formula>
    </cfRule>
  </conditionalFormatting>
  <conditionalFormatting sqref="DG7">
    <cfRule type="notContainsBlanks" priority="296" dxfId="7">
      <formula>LEN(TRIM(DG7))&gt;0</formula>
    </cfRule>
    <cfRule type="containsBlanks" priority="297" dxfId="8">
      <formula>LEN(TRIM(DG7))=0</formula>
    </cfRule>
  </conditionalFormatting>
  <conditionalFormatting sqref="DG8:DG2501">
    <cfRule type="expression" priority="298" dxfId="7">
      <formula>AND($DG$7&lt;&gt;"", DG8="")</formula>
    </cfRule>
  </conditionalFormatting>
  <conditionalFormatting sqref="DH7">
    <cfRule type="notContainsBlanks" priority="299" dxfId="7">
      <formula>LEN(TRIM(DH7))&gt;0</formula>
    </cfRule>
    <cfRule type="containsBlanks" priority="300" dxfId="8">
      <formula>LEN(TRIM(DH7))=0</formula>
    </cfRule>
  </conditionalFormatting>
  <conditionalFormatting sqref="DH8:DH2501">
    <cfRule type="expression" priority="301" dxfId="7">
      <formula>AND($DH$7&lt;&gt;"", DH8="")</formula>
    </cfRule>
  </conditionalFormatting>
  <conditionalFormatting sqref="DI7">
    <cfRule type="notContainsBlanks" priority="302" dxfId="7">
      <formula>LEN(TRIM(DI7))&gt;0</formula>
    </cfRule>
    <cfRule type="containsBlanks" priority="303" dxfId="8">
      <formula>LEN(TRIM(DI7))=0</formula>
    </cfRule>
  </conditionalFormatting>
  <conditionalFormatting sqref="DI8:DI2501">
    <cfRule type="expression" priority="304" dxfId="7">
      <formula>AND($DI$7&lt;&gt;"", DI8="")</formula>
    </cfRule>
  </conditionalFormatting>
  <conditionalFormatting sqref="DJ7">
    <cfRule type="notContainsBlanks" priority="305" dxfId="7">
      <formula>LEN(TRIM(DJ7))&gt;0</formula>
    </cfRule>
    <cfRule type="containsBlanks" priority="306" dxfId="8">
      <formula>LEN(TRIM(DJ7))=0</formula>
    </cfRule>
  </conditionalFormatting>
  <conditionalFormatting sqref="DJ8:DJ2501">
    <cfRule type="expression" priority="307" dxfId="7">
      <formula>AND($DJ$7&lt;&gt;"", DJ8="")</formula>
    </cfRule>
  </conditionalFormatting>
  <conditionalFormatting sqref="DK7">
    <cfRule type="notContainsBlanks" priority="308" dxfId="7">
      <formula>LEN(TRIM(DK7))&gt;0</formula>
    </cfRule>
    <cfRule type="containsBlanks" priority="309" dxfId="8">
      <formula>LEN(TRIM(DK7))=0</formula>
    </cfRule>
  </conditionalFormatting>
  <conditionalFormatting sqref="DK8:DK2501">
    <cfRule type="expression" priority="310" dxfId="7">
      <formula>AND($DK$7&lt;&gt;"", DK8="")</formula>
    </cfRule>
  </conditionalFormatting>
  <conditionalFormatting sqref="DL7">
    <cfRule type="notContainsBlanks" priority="311" dxfId="7">
      <formula>LEN(TRIM(DL7))&gt;0</formula>
    </cfRule>
    <cfRule type="containsBlanks" priority="312" dxfId="8">
      <formula>LEN(TRIM(DL7))=0</formula>
    </cfRule>
  </conditionalFormatting>
  <conditionalFormatting sqref="DL8:DL2501">
    <cfRule type="expression" priority="313" dxfId="7">
      <formula>AND($DL$7&lt;&gt;"", DL8="")</formula>
    </cfRule>
  </conditionalFormatting>
  <conditionalFormatting sqref="DM7">
    <cfRule type="notContainsBlanks" priority="314" dxfId="7">
      <formula>LEN(TRIM(DM7))&gt;0</formula>
    </cfRule>
    <cfRule type="containsBlanks" priority="315" dxfId="8">
      <formula>LEN(TRIM(DM7))=0</formula>
    </cfRule>
  </conditionalFormatting>
  <conditionalFormatting sqref="DM8:DM2501">
    <cfRule type="expression" priority="316" dxfId="7">
      <formula>AND($DM$7&lt;&gt;"", DM8="")</formula>
    </cfRule>
  </conditionalFormatting>
  <conditionalFormatting sqref="DN7">
    <cfRule type="notContainsBlanks" priority="317" dxfId="7">
      <formula>LEN(TRIM(DN7))&gt;0</formula>
    </cfRule>
    <cfRule type="containsBlanks" priority="318" dxfId="8">
      <formula>LEN(TRIM(DN7))=0</formula>
    </cfRule>
  </conditionalFormatting>
  <conditionalFormatting sqref="DN8:DN2501">
    <cfRule type="expression" priority="319" dxfId="7">
      <formula>AND($DN$7&lt;&gt;"", DN8="")</formula>
    </cfRule>
  </conditionalFormatting>
  <conditionalFormatting sqref="DO7">
    <cfRule type="notContainsBlanks" priority="320" dxfId="7">
      <formula>LEN(TRIM(DO7))&gt;0</formula>
    </cfRule>
    <cfRule type="containsBlanks" priority="321" dxfId="8">
      <formula>LEN(TRIM(DO7))=0</formula>
    </cfRule>
  </conditionalFormatting>
  <conditionalFormatting sqref="DO8:DO2501">
    <cfRule type="expression" priority="322" dxfId="7">
      <formula>AND($DO$7&lt;&gt;"", DO8="")</formula>
    </cfRule>
  </conditionalFormatting>
  <conditionalFormatting sqref="DP7">
    <cfRule type="notContainsBlanks" priority="323" dxfId="7">
      <formula>LEN(TRIM(DP7))&gt;0</formula>
    </cfRule>
    <cfRule type="containsBlanks" priority="324" dxfId="8">
      <formula>LEN(TRIM(DP7))=0</formula>
    </cfRule>
  </conditionalFormatting>
  <conditionalFormatting sqref="DP8:DP2501">
    <cfRule type="expression" priority="325" dxfId="7">
      <formula>AND($DP$7&lt;&gt;"", DP8="")</formula>
    </cfRule>
  </conditionalFormatting>
  <conditionalFormatting sqref="DQ7">
    <cfRule type="notContainsBlanks" priority="326" dxfId="7">
      <formula>LEN(TRIM(DQ7))&gt;0</formula>
    </cfRule>
    <cfRule type="containsBlanks" priority="327" dxfId="8">
      <formula>LEN(TRIM(DQ7))=0</formula>
    </cfRule>
  </conditionalFormatting>
  <conditionalFormatting sqref="DQ8:DQ2501">
    <cfRule type="expression" priority="328" dxfId="7">
      <formula>AND($DQ$7&lt;&gt;"", DQ8="")</formula>
    </cfRule>
  </conditionalFormatting>
  <conditionalFormatting sqref="DR7">
    <cfRule type="notContainsBlanks" priority="329" dxfId="7">
      <formula>LEN(TRIM(DR7))&gt;0</formula>
    </cfRule>
    <cfRule type="containsBlanks" priority="330" dxfId="8">
      <formula>LEN(TRIM(DR7))=0</formula>
    </cfRule>
  </conditionalFormatting>
  <conditionalFormatting sqref="DR8:DR2501">
    <cfRule type="expression" priority="331" dxfId="7">
      <formula>AND($DR$7&lt;&gt;"", DR8="")</formula>
    </cfRule>
  </conditionalFormatting>
  <conditionalFormatting sqref="DS7">
    <cfRule type="notContainsBlanks" priority="332" dxfId="7">
      <formula>LEN(TRIM(DS7))&gt;0</formula>
    </cfRule>
    <cfRule type="containsBlanks" priority="333" dxfId="8">
      <formula>LEN(TRIM(DS7))=0</formula>
    </cfRule>
  </conditionalFormatting>
  <conditionalFormatting sqref="DS8:DS2501">
    <cfRule type="expression" priority="334" dxfId="7">
      <formula>AND($DS$7&lt;&gt;"", DS8="")</formula>
    </cfRule>
  </conditionalFormatting>
  <conditionalFormatting sqref="DT7">
    <cfRule type="notContainsBlanks" priority="335" dxfId="7">
      <formula>LEN(TRIM(DT7))&gt;0</formula>
    </cfRule>
    <cfRule type="containsBlanks" priority="336" dxfId="8">
      <formula>LEN(TRIM(DT7))=0</formula>
    </cfRule>
  </conditionalFormatting>
  <conditionalFormatting sqref="DT8:DT2501">
    <cfRule type="expression" priority="337" dxfId="7">
      <formula>AND($DT$7&lt;&gt;"", DT8="")</formula>
    </cfRule>
  </conditionalFormatting>
  <conditionalFormatting sqref="DU7">
    <cfRule type="notContainsBlanks" priority="338" dxfId="7">
      <formula>LEN(TRIM(DU7))&gt;0</formula>
    </cfRule>
    <cfRule type="containsBlanks" priority="339" dxfId="8">
      <formula>LEN(TRIM(DU7))=0</formula>
    </cfRule>
  </conditionalFormatting>
  <conditionalFormatting sqref="DU8:DU2501">
    <cfRule type="expression" priority="340" dxfId="7">
      <formula>AND($DU$7&lt;&gt;"", DU8="")</formula>
    </cfRule>
  </conditionalFormatting>
  <conditionalFormatting sqref="DV7">
    <cfRule type="notContainsBlanks" priority="341" dxfId="7">
      <formula>LEN(TRIM(DV7))&gt;0</formula>
    </cfRule>
    <cfRule type="containsBlanks" priority="342" dxfId="8">
      <formula>LEN(TRIM(DV7))=0</formula>
    </cfRule>
  </conditionalFormatting>
  <conditionalFormatting sqref="DV8:DV2501">
    <cfRule type="expression" priority="343" dxfId="7">
      <formula>AND($DV$7&lt;&gt;"", DV8="")</formula>
    </cfRule>
  </conditionalFormatting>
  <conditionalFormatting sqref="DW7">
    <cfRule type="notContainsBlanks" priority="344" dxfId="7">
      <formula>LEN(TRIM(DW7))&gt;0</formula>
    </cfRule>
    <cfRule type="containsBlanks" priority="345" dxfId="8">
      <formula>LEN(TRIM(DW7))=0</formula>
    </cfRule>
  </conditionalFormatting>
  <conditionalFormatting sqref="DW8:DW2501">
    <cfRule type="expression" priority="346" dxfId="7">
      <formula>AND($DW$7&lt;&gt;"", DW8="")</formula>
    </cfRule>
  </conditionalFormatting>
  <conditionalFormatting sqref="DX7">
    <cfRule type="notContainsBlanks" priority="347" dxfId="7">
      <formula>LEN(TRIM(DX7))&gt;0</formula>
    </cfRule>
    <cfRule type="containsBlanks" priority="348" dxfId="8">
      <formula>LEN(TRIM(DX7))=0</formula>
    </cfRule>
  </conditionalFormatting>
  <conditionalFormatting sqref="DX8:DX2501">
    <cfRule type="expression" priority="349" dxfId="7">
      <formula>AND($DX$7&lt;&gt;"", DX8="")</formula>
    </cfRule>
  </conditionalFormatting>
  <conditionalFormatting sqref="DY7">
    <cfRule type="notContainsBlanks" priority="350" dxfId="7">
      <formula>LEN(TRIM(DY7))&gt;0</formula>
    </cfRule>
    <cfRule type="containsBlanks" priority="351" dxfId="8">
      <formula>LEN(TRIM(DY7))=0</formula>
    </cfRule>
  </conditionalFormatting>
  <conditionalFormatting sqref="DY8:DY2501">
    <cfRule type="expression" priority="352" dxfId="7">
      <formula>AND($DY$7&lt;&gt;"", DY8="")</formula>
    </cfRule>
  </conditionalFormatting>
  <conditionalFormatting sqref="DZ7">
    <cfRule type="notContainsBlanks" priority="353" dxfId="7">
      <formula>LEN(TRIM(DZ7))&gt;0</formula>
    </cfRule>
    <cfRule type="containsBlanks" priority="354" dxfId="8">
      <formula>LEN(TRIM(DZ7))=0</formula>
    </cfRule>
  </conditionalFormatting>
  <conditionalFormatting sqref="DZ8:DZ2501">
    <cfRule type="expression" priority="355" dxfId="7">
      <formula>AND($DZ$7&lt;&gt;"", DZ8="")</formula>
    </cfRule>
  </conditionalFormatting>
  <conditionalFormatting sqref="EA7">
    <cfRule type="notContainsBlanks" priority="356" dxfId="7">
      <formula>LEN(TRIM(EA7))&gt;0</formula>
    </cfRule>
    <cfRule type="containsBlanks" priority="357" dxfId="8">
      <formula>LEN(TRIM(EA7))=0</formula>
    </cfRule>
  </conditionalFormatting>
  <conditionalFormatting sqref="EA8:EA2501">
    <cfRule type="expression" priority="358" dxfId="7">
      <formula>AND($EA$7&lt;&gt;"", EA8="")</formula>
    </cfRule>
  </conditionalFormatting>
  <conditionalFormatting sqref="EB7">
    <cfRule type="notContainsBlanks" priority="359" dxfId="7">
      <formula>LEN(TRIM(EB7))&gt;0</formula>
    </cfRule>
    <cfRule type="containsBlanks" priority="360" dxfId="8">
      <formula>LEN(TRIM(EB7))=0</formula>
    </cfRule>
  </conditionalFormatting>
  <conditionalFormatting sqref="EB8:EB2501">
    <cfRule type="expression" priority="361" dxfId="7">
      <formula>AND($EB$7&lt;&gt;"", EB8="")</formula>
    </cfRule>
  </conditionalFormatting>
  <conditionalFormatting sqref="EC7">
    <cfRule type="notContainsBlanks" priority="362" dxfId="7">
      <formula>LEN(TRIM(EC7))&gt;0</formula>
    </cfRule>
    <cfRule type="containsBlanks" priority="363" dxfId="8">
      <formula>LEN(TRIM(EC7))=0</formula>
    </cfRule>
  </conditionalFormatting>
  <conditionalFormatting sqref="EC8:EC2501">
    <cfRule type="expression" priority="364" dxfId="7">
      <formula>AND($EC$7&lt;&gt;"", EC8="")</formula>
    </cfRule>
  </conditionalFormatting>
  <conditionalFormatting sqref="ED7">
    <cfRule type="notContainsBlanks" priority="365" dxfId="7">
      <formula>LEN(TRIM(ED7))&gt;0</formula>
    </cfRule>
    <cfRule type="containsBlanks" priority="366" dxfId="8">
      <formula>LEN(TRIM(ED7))=0</formula>
    </cfRule>
  </conditionalFormatting>
  <conditionalFormatting sqref="ED8:ED2501">
    <cfRule type="expression" priority="367" dxfId="7">
      <formula>AND($ED$7&lt;&gt;"", ED8="")</formula>
    </cfRule>
  </conditionalFormatting>
  <conditionalFormatting sqref="EE7">
    <cfRule type="notContainsBlanks" priority="368" dxfId="7">
      <formula>LEN(TRIM(EE7))&gt;0</formula>
    </cfRule>
    <cfRule type="containsBlanks" priority="369" dxfId="8">
      <formula>LEN(TRIM(EE7))=0</formula>
    </cfRule>
  </conditionalFormatting>
  <conditionalFormatting sqref="EE8:EE2501">
    <cfRule type="expression" priority="370" dxfId="7">
      <formula>AND($EE$7&lt;&gt;"", EE8="")</formula>
    </cfRule>
  </conditionalFormatting>
  <conditionalFormatting sqref="EF7">
    <cfRule type="notContainsBlanks" priority="371" dxfId="7">
      <formula>LEN(TRIM(EF7))&gt;0</formula>
    </cfRule>
    <cfRule type="containsBlanks" priority="372" dxfId="8">
      <formula>LEN(TRIM(EF7))=0</formula>
    </cfRule>
  </conditionalFormatting>
  <conditionalFormatting sqref="EF8:EF2501">
    <cfRule type="expression" priority="373" dxfId="7">
      <formula>AND($EF$7&lt;&gt;"", EF8="")</formula>
    </cfRule>
  </conditionalFormatting>
  <conditionalFormatting sqref="EG7">
    <cfRule type="notContainsBlanks" priority="374" dxfId="7">
      <formula>LEN(TRIM(EG7))&gt;0</formula>
    </cfRule>
    <cfRule type="containsBlanks" priority="375" dxfId="8">
      <formula>LEN(TRIM(EG7))=0</formula>
    </cfRule>
  </conditionalFormatting>
  <conditionalFormatting sqref="EG8:EG2501">
    <cfRule type="expression" priority="376" dxfId="7">
      <formula>AND($EG$7&lt;&gt;"", EG8="")</formula>
    </cfRule>
  </conditionalFormatting>
  <conditionalFormatting sqref="EH7">
    <cfRule type="notContainsBlanks" priority="377" dxfId="7">
      <formula>LEN(TRIM(EH7))&gt;0</formula>
    </cfRule>
    <cfRule type="containsBlanks" priority="378" dxfId="8">
      <formula>LEN(TRIM(EH7))=0</formula>
    </cfRule>
  </conditionalFormatting>
  <conditionalFormatting sqref="EH8:EH2501">
    <cfRule type="expression" priority="379" dxfId="7">
      <formula>AND($EH$7&lt;&gt;"", EH8="")</formula>
    </cfRule>
  </conditionalFormatting>
  <conditionalFormatting sqref="EI7">
    <cfRule type="notContainsBlanks" priority="380" dxfId="7">
      <formula>LEN(TRIM(EI7))&gt;0</formula>
    </cfRule>
    <cfRule type="containsBlanks" priority="381" dxfId="8">
      <formula>LEN(TRIM(EI7))=0</formula>
    </cfRule>
  </conditionalFormatting>
  <conditionalFormatting sqref="EI8:EI2501">
    <cfRule type="expression" priority="382" dxfId="7">
      <formula>AND($EI$7&lt;&gt;"", EI8="")</formula>
    </cfRule>
  </conditionalFormatting>
  <conditionalFormatting sqref="EJ7">
    <cfRule type="notContainsBlanks" priority="383" dxfId="7">
      <formula>LEN(TRIM(EJ7))&gt;0</formula>
    </cfRule>
    <cfRule type="containsBlanks" priority="384" dxfId="8">
      <formula>LEN(TRIM(EJ7))=0</formula>
    </cfRule>
  </conditionalFormatting>
  <conditionalFormatting sqref="EJ8:EJ2501">
    <cfRule type="expression" priority="385" dxfId="7">
      <formula>AND($EJ$7&lt;&gt;"", EJ8="")</formula>
    </cfRule>
  </conditionalFormatting>
  <conditionalFormatting sqref="EK7">
    <cfRule type="notContainsBlanks" priority="386" dxfId="7">
      <formula>LEN(TRIM(EK7))&gt;0</formula>
    </cfRule>
    <cfRule type="containsBlanks" priority="387" dxfId="8">
      <formula>LEN(TRIM(EK7))=0</formula>
    </cfRule>
  </conditionalFormatting>
  <conditionalFormatting sqref="EK8:EK2501">
    <cfRule type="expression" priority="388" dxfId="7">
      <formula>AND($EK$7&lt;&gt;"", EK8="")</formula>
    </cfRule>
  </conditionalFormatting>
  <conditionalFormatting sqref="EL7">
    <cfRule type="notContainsBlanks" priority="389" dxfId="7">
      <formula>LEN(TRIM(EL7))&gt;0</formula>
    </cfRule>
    <cfRule type="containsBlanks" priority="390" dxfId="8">
      <formula>LEN(TRIM(EL7))=0</formula>
    </cfRule>
  </conditionalFormatting>
  <conditionalFormatting sqref="EL8:EL2501">
    <cfRule type="expression" priority="391" dxfId="7">
      <formula>AND($EL$7&lt;&gt;"", EL8="")</formula>
    </cfRule>
  </conditionalFormatting>
  <conditionalFormatting sqref="EM7">
    <cfRule type="notContainsBlanks" priority="392" dxfId="7">
      <formula>LEN(TRIM(EM7))&gt;0</formula>
    </cfRule>
    <cfRule type="containsBlanks" priority="393" dxfId="8">
      <formula>LEN(TRIM(EM7))=0</formula>
    </cfRule>
  </conditionalFormatting>
  <conditionalFormatting sqref="EM8:EM2501">
    <cfRule type="expression" priority="394" dxfId="7">
      <formula>AND($EM$7&lt;&gt;"", EM8="")</formula>
    </cfRule>
  </conditionalFormatting>
  <conditionalFormatting sqref="EN7">
    <cfRule type="notContainsBlanks" priority="395" dxfId="7">
      <formula>LEN(TRIM(EN7))&gt;0</formula>
    </cfRule>
    <cfRule type="containsBlanks" priority="396" dxfId="8">
      <formula>LEN(TRIM(EN7))=0</formula>
    </cfRule>
  </conditionalFormatting>
  <conditionalFormatting sqref="EN8:EN2501">
    <cfRule type="expression" priority="397" dxfId="7">
      <formula>AND($EN$7&lt;&gt;"", EN8="")</formula>
    </cfRule>
  </conditionalFormatting>
  <conditionalFormatting sqref="EO7">
    <cfRule type="notContainsBlanks" priority="398" dxfId="7">
      <formula>LEN(TRIM(EO7))&gt;0</formula>
    </cfRule>
    <cfRule type="containsBlanks" priority="399" dxfId="8">
      <formula>LEN(TRIM(EO7))=0</formula>
    </cfRule>
  </conditionalFormatting>
  <conditionalFormatting sqref="EO8:EO2501">
    <cfRule type="expression" priority="400" dxfId="7">
      <formula>AND($EO$7&lt;&gt;"", EO8="")</formula>
    </cfRule>
  </conditionalFormatting>
  <conditionalFormatting sqref="EP7">
    <cfRule type="notContainsBlanks" priority="401" dxfId="7">
      <formula>LEN(TRIM(EP7))&gt;0</formula>
    </cfRule>
    <cfRule type="containsBlanks" priority="402" dxfId="8">
      <formula>LEN(TRIM(EP7))=0</formula>
    </cfRule>
  </conditionalFormatting>
  <conditionalFormatting sqref="EP8:EP2501">
    <cfRule type="expression" priority="403" dxfId="7">
      <formula>AND($EP$7&lt;&gt;"", EP8="")</formula>
    </cfRule>
  </conditionalFormatting>
  <conditionalFormatting sqref="EQ7">
    <cfRule type="notContainsBlanks" priority="404" dxfId="7">
      <formula>LEN(TRIM(EQ7))&gt;0</formula>
    </cfRule>
    <cfRule type="containsBlanks" priority="405" dxfId="8">
      <formula>LEN(TRIM(EQ7))=0</formula>
    </cfRule>
  </conditionalFormatting>
  <conditionalFormatting sqref="EQ8:EQ2501">
    <cfRule type="expression" priority="406" dxfId="7">
      <formula>AND($EQ$7&lt;&gt;"", EQ8="")</formula>
    </cfRule>
  </conditionalFormatting>
  <conditionalFormatting sqref="ER7">
    <cfRule type="notContainsBlanks" priority="407" dxfId="7">
      <formula>LEN(TRIM(ER7))&gt;0</formula>
    </cfRule>
    <cfRule type="containsBlanks" priority="408" dxfId="8">
      <formula>LEN(TRIM(ER7))=0</formula>
    </cfRule>
  </conditionalFormatting>
  <conditionalFormatting sqref="ER8:ER2501">
    <cfRule type="expression" priority="409" dxfId="7">
      <formula>AND($ER$7&lt;&gt;"", ER8="")</formula>
    </cfRule>
  </conditionalFormatting>
  <conditionalFormatting sqref="ES7">
    <cfRule type="notContainsBlanks" priority="410" dxfId="7">
      <formula>LEN(TRIM(ES7))&gt;0</formula>
    </cfRule>
    <cfRule type="containsBlanks" priority="411" dxfId="8">
      <formula>LEN(TRIM(ES7))=0</formula>
    </cfRule>
  </conditionalFormatting>
  <conditionalFormatting sqref="ES8:ES2501">
    <cfRule type="expression" priority="412" dxfId="7">
      <formula>AND($ES$7&lt;&gt;"", ES8="")</formula>
    </cfRule>
  </conditionalFormatting>
  <conditionalFormatting sqref="ET7">
    <cfRule type="notContainsBlanks" priority="413" dxfId="7">
      <formula>LEN(TRIM(ET7))&gt;0</formula>
    </cfRule>
    <cfRule type="containsBlanks" priority="414" dxfId="8">
      <formula>LEN(TRIM(ET7))=0</formula>
    </cfRule>
  </conditionalFormatting>
  <conditionalFormatting sqref="ET8:ET2501">
    <cfRule type="expression" priority="415" dxfId="7">
      <formula>AND($ET$7&lt;&gt;"", ET8="")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K7">
    <cfRule type="notContainsBlanks" priority="14" dxfId="7">
      <formula>LEN(TRIM(K7))&gt;0</formula>
    </cfRule>
    <cfRule type="containsBlanks" priority="15" dxfId="8">
      <formula>LEN(TRIM(K7))=0</formula>
    </cfRule>
  </conditionalFormatting>
  <conditionalFormatting sqref="K8:K2501">
    <cfRule type="expression" priority="16" dxfId="7">
      <formula>AND($K$7&lt;&gt;"", K8="")</formula>
    </cfRule>
  </conditionalFormatting>
  <conditionalFormatting sqref="L7">
    <cfRule type="notContainsBlanks" priority="17" dxfId="7">
      <formula>LEN(TRIM(L7))&gt;0</formula>
    </cfRule>
    <cfRule type="containsBlanks" priority="18" dxfId="8">
      <formula>LEN(TRIM(L7))=0</formula>
    </cfRule>
  </conditionalFormatting>
  <conditionalFormatting sqref="L8:L2501">
    <cfRule type="expression" priority="19" dxfId="7">
      <formula>AND($L$7&lt;&gt;"", L8="")</formula>
    </cfRule>
  </conditionalFormatting>
  <conditionalFormatting sqref="M7">
    <cfRule type="notContainsBlanks" priority="20" dxfId="7">
      <formula>LEN(TRIM(M7))&gt;0</formula>
    </cfRule>
    <cfRule type="containsBlanks" priority="21" dxfId="8">
      <formula>LEN(TRIM(M7))=0</formula>
    </cfRule>
  </conditionalFormatting>
  <conditionalFormatting sqref="M8:M2501">
    <cfRule type="expression" priority="22" dxfId="7">
      <formula>AND($M$7&lt;&gt;"", M8="")</formula>
    </cfRule>
  </conditionalFormatting>
  <conditionalFormatting sqref="N7">
    <cfRule type="notContainsBlanks" priority="23" dxfId="7">
      <formula>LEN(TRIM(N7))&gt;0</formula>
    </cfRule>
    <cfRule type="containsBlanks" priority="24" dxfId="8">
      <formula>LEN(TRIM(N7))=0</formula>
    </cfRule>
  </conditionalFormatting>
  <conditionalFormatting sqref="N8:N2501">
    <cfRule type="expression" priority="25" dxfId="7">
      <formula>AND($N$7&lt;&gt;"", N8="")</formula>
    </cfRule>
  </conditionalFormatting>
  <conditionalFormatting sqref="O7">
    <cfRule type="notContainsBlanks" priority="26" dxfId="7">
      <formula>LEN(TRIM(O7))&gt;0</formula>
    </cfRule>
    <cfRule type="containsBlanks" priority="27" dxfId="8">
      <formula>LEN(TRIM(O7))=0</formula>
    </cfRule>
  </conditionalFormatting>
  <conditionalFormatting sqref="O8:O2501">
    <cfRule type="expression" priority="28" dxfId="7">
      <formula>AND($O$7&lt;&gt;"", O8="")</formula>
    </cfRule>
  </conditionalFormatting>
  <conditionalFormatting sqref="P7">
    <cfRule type="notContainsBlanks" priority="29" dxfId="7">
      <formula>LEN(TRIM(P7))&gt;0</formula>
    </cfRule>
    <cfRule type="containsBlanks" priority="30" dxfId="8">
      <formula>LEN(TRIM(P7))=0</formula>
    </cfRule>
  </conditionalFormatting>
  <conditionalFormatting sqref="P8:P2501">
    <cfRule type="expression" priority="31" dxfId="7">
      <formula>AND($P$7&lt;&gt;"", P8="")</formula>
    </cfRule>
  </conditionalFormatting>
  <conditionalFormatting sqref="Q7">
    <cfRule type="notContainsBlanks" priority="32" dxfId="7">
      <formula>LEN(TRIM(Q7))&gt;0</formula>
    </cfRule>
    <cfRule type="containsBlanks" priority="33" dxfId="8">
      <formula>LEN(TRIM(Q7))=0</formula>
    </cfRule>
  </conditionalFormatting>
  <conditionalFormatting sqref="Q8:Q2501">
    <cfRule type="expression" priority="34" dxfId="7">
      <formula>AND($Q$7&lt;&gt;"", Q8="")</formula>
    </cfRule>
  </conditionalFormatting>
  <conditionalFormatting sqref="R7">
    <cfRule type="notContainsBlanks" priority="35" dxfId="7">
      <formula>LEN(TRIM(R7))&gt;0</formula>
    </cfRule>
    <cfRule type="containsBlanks" priority="36" dxfId="8">
      <formula>LEN(TRIM(R7))=0</formula>
    </cfRule>
  </conditionalFormatting>
  <conditionalFormatting sqref="R8:R2501">
    <cfRule type="expression" priority="37" dxfId="7">
      <formula>AND($R$7&lt;&gt;"", R8="")</formula>
    </cfRule>
  </conditionalFormatting>
  <conditionalFormatting sqref="S7">
    <cfRule type="notContainsBlanks" priority="38" dxfId="7">
      <formula>LEN(TRIM(S7))&gt;0</formula>
    </cfRule>
    <cfRule type="containsBlanks" priority="39" dxfId="8">
      <formula>LEN(TRIM(S7))=0</formula>
    </cfRule>
  </conditionalFormatting>
  <conditionalFormatting sqref="S8:S2501">
    <cfRule type="expression" priority="40" dxfId="7">
      <formula>AND($S$7&lt;&gt;"", S8="")</formula>
    </cfRule>
  </conditionalFormatting>
  <conditionalFormatting sqref="T7">
    <cfRule type="notContainsBlanks" priority="41" dxfId="7">
      <formula>LEN(TRIM(T7))&gt;0</formula>
    </cfRule>
    <cfRule type="containsBlanks" priority="42" dxfId="8">
      <formula>LEN(TRIM(T7))=0</formula>
    </cfRule>
  </conditionalFormatting>
  <conditionalFormatting sqref="T8:T2501">
    <cfRule type="expression" priority="43" dxfId="7">
      <formula>AND($T$7&lt;&gt;"", T8="")</formula>
    </cfRule>
  </conditionalFormatting>
  <conditionalFormatting sqref="U7">
    <cfRule type="notContainsBlanks" priority="44" dxfId="7">
      <formula>LEN(TRIM(U7))&gt;0</formula>
    </cfRule>
    <cfRule type="containsBlanks" priority="45" dxfId="8">
      <formula>LEN(TRIM(U7))=0</formula>
    </cfRule>
  </conditionalFormatting>
  <conditionalFormatting sqref="U8:U2501">
    <cfRule type="expression" priority="46" dxfId="7">
      <formula>AND($U$7&lt;&gt;"", U8="")</formula>
    </cfRule>
  </conditionalFormatting>
  <conditionalFormatting sqref="V7">
    <cfRule type="notContainsBlanks" priority="47" dxfId="7">
      <formula>LEN(TRIM(V7))&gt;0</formula>
    </cfRule>
    <cfRule type="containsBlanks" priority="48" dxfId="8">
      <formula>LEN(TRIM(V7))=0</formula>
    </cfRule>
  </conditionalFormatting>
  <conditionalFormatting sqref="V8:V2501">
    <cfRule type="expression" priority="49" dxfId="7">
      <formula>AND($V$7&lt;&gt;"", V8="")</formula>
    </cfRule>
  </conditionalFormatting>
  <conditionalFormatting sqref="W7">
    <cfRule type="notContainsBlanks" priority="50" dxfId="7">
      <formula>LEN(TRIM(W7))&gt;0</formula>
    </cfRule>
    <cfRule type="containsBlanks" priority="51" dxfId="8">
      <formula>LEN(TRIM(W7))=0</formula>
    </cfRule>
  </conditionalFormatting>
  <conditionalFormatting sqref="W8:W2501">
    <cfRule type="expression" priority="52" dxfId="7">
      <formula>AND($W$7&lt;&gt;"", W8="")</formula>
    </cfRule>
  </conditionalFormatting>
  <conditionalFormatting sqref="X7">
    <cfRule type="notContainsBlanks" priority="53" dxfId="7">
      <formula>LEN(TRIM(X7))&gt;0</formula>
    </cfRule>
    <cfRule type="containsBlanks" priority="54" dxfId="8">
      <formula>LEN(TRIM(X7))=0</formula>
    </cfRule>
  </conditionalFormatting>
  <conditionalFormatting sqref="X8:X2501">
    <cfRule type="expression" priority="55" dxfId="7">
      <formula>AND($X$7&lt;&gt;"", X8="")</formula>
    </cfRule>
  </conditionalFormatting>
  <conditionalFormatting sqref="Y7">
    <cfRule type="notContainsBlanks" priority="56" dxfId="7">
      <formula>LEN(TRIM(Y7))&gt;0</formula>
    </cfRule>
    <cfRule type="containsBlanks" priority="57" dxfId="8">
      <formula>LEN(TRIM(Y7))=0</formula>
    </cfRule>
  </conditionalFormatting>
  <conditionalFormatting sqref="Y8:Y2501">
    <cfRule type="expression" priority="58" dxfId="7">
      <formula>AND($Y$7&lt;&gt;"", Y8="")</formula>
    </cfRule>
  </conditionalFormatting>
  <conditionalFormatting sqref="Z7">
    <cfRule type="notContainsBlanks" priority="59" dxfId="7">
      <formula>LEN(TRIM(Z7))&gt;0</formula>
    </cfRule>
    <cfRule type="containsBlanks" priority="60" dxfId="8">
      <formula>LEN(TRIM(Z7))=0</formula>
    </cfRule>
  </conditionalFormatting>
  <conditionalFormatting sqref="Z8:Z2501">
    <cfRule type="expression" priority="61" dxfId="7">
      <formula>AND($Z$7&lt;&gt;"", Z8="")</formula>
    </cfRule>
  </conditionalFormatting>
  <dataValidations count="2040">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 showDropDown="0" showInputMessage="1" showErrorMessage="1" allowBlank="1" errorTitle="Invalid Brand" error="The value provided is not a valid Brand." promptTitle="Brand" prompt="Please select value from the list" type="list">
      <formula1>'WAYFAIR_USE_ONLY'!$BK$7:$BK8</formula1>
    </dataValidation>
    <dataValidation sqref="E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AND(LEN(F8)&lt;32767, IF(F8&lt;&gt;"",COUNTIF($F$8:$F$2500,F8)=1,""))</formula1>
    </dataValidation>
    <dataValidation sqref="G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8" showDropDown="0" showInputMessage="1" showErrorMessage="1" allowBlank="1" promptTitle="Legal Document Type" prompt="Based on answers provided in Class Specific Details Section, the following legal document types are RECOMMENDED: CARB Phase II Compliant (formaldehyde emissions), CANFER Compliant, Energy Efficiency Regulations Compliant, Tipover Restraint Device Inc..."/>
    <dataValidation sqref="AU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8" showDropDown="0" showInputMessage="1" showErrorMessage="1" allowBlank="1" errorTitle="Invalid Plug-In" error="The value provided is not a valid Plug-In." promptTitle="Plug-In" prompt="Please select a valid Plug-In" type="list">
      <formula1>'WAYFAIR_USE_ONLY'!$R$7:$R9</formula1>
    </dataValidation>
    <dataValidation sqref="CC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8"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8" showDropDown="0" showInputMessage="1" showErrorMessage="1" allowBlank="1" promptTitle="Pieces Included" prompt="Please select one of the provided options. Custom entries are not allowed for this field."/>
    <dataValidation sqref="DG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AND(LEN(B9)&lt;32767, IF(B9&lt;&gt;"",COUNTIF($B$8:$B$2500,B9)=1,""))</formula1>
    </dataValidation>
    <dataValidation sqref="C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9" showDropDown="0" showInputMessage="1" showErrorMessage="1" allowBlank="1" errorTitle="Invalid Brand" error="The value provided is not a valid Brand." promptTitle="Brand" prompt="Please select value from the list" type="list">
      <formula1>'WAYFAIR_USE_ONLY'!$BK$7:$BK8</formula1>
    </dataValidation>
    <dataValidation sqref="E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AND(LEN(E9)&lt;32767, IF(E9&lt;&gt;"",COUNTIF($E$8:$E$2500,E9)=1,""))</formula1>
    </dataValidation>
    <dataValidation sqref="F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AND(LEN(F9)&lt;32767, IF(F9&lt;&gt;"",COUNTIF($F$8:$F$2500,F9)=1,""))</formula1>
    </dataValidation>
    <dataValidation sqref="G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9" showDropDown="0" showInputMessage="1" showErrorMessage="1" allowBlank="1" promptTitle="Legal Document Type" prompt="Based on answers provided in Class Specific Details Section, the following legal document types are RECOMMENDED: CANFER Compliant, TSCA Title VI Compliant (formaldehyde emissions), CARB Phase II Compliant (formaldehyde emissions), Energy Efficiency R..."/>
    <dataValidation sqref="AU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9" showDropDown="0" showInputMessage="1" showErrorMessage="1" allowBlank="1" errorTitle="Invalid Plug-In" error="The value provided is not a valid Plug-In." promptTitle="Plug-In" prompt="Please select a valid Plug-In" type="list">
      <formula1>'WAYFAIR_USE_ONLY'!$R$7:$R9</formula1>
    </dataValidation>
    <dataValidation sqref="CC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9" showDropDown="0" showInputMessage="1" showErrorMessage="1" allowBlank="1" promptTitle="Fuel Type" prompt="Please select one of the provided options. Custom entries are not allowed for this field.&#10;---&#10;Since 'Fireplace Included' is set to 'No', this value should be 'Does Not Apply'."/>
    <dataValidation sqref="DD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9" showDropDown="0" showInputMessage="1" showErrorMessage="1" allowBlank="1" promptTitle="Pieces Included" prompt="Please select one of the provided options. Custom entries are not allowed for this field."/>
    <dataValidation sqref="DG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AND(LEN(B10)&lt;32767, IF(B10&lt;&gt;"",COUNTIF($B$8:$B$2500,B10)=1,""))</formula1>
    </dataValidation>
    <dataValidation sqref="C1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0" showDropDown="0" showInputMessage="1" showErrorMessage="1" allowBlank="1" errorTitle="Invalid Brand" error="The value provided is not a valid Brand." promptTitle="Brand" prompt="Please select value from the list" type="list">
      <formula1>'WAYFAIR_USE_ONLY'!$BK$7:$BK8</formula1>
    </dataValidation>
    <dataValidation sqref="E1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AND(LEN(E10)&lt;32767, IF(E10&lt;&gt;"",COUNTIF($E$8:$E$2500,E10)=1,""))</formula1>
    </dataValidation>
    <dataValidation sqref="F1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AND(LEN(F10)&lt;32767, IF(F10&lt;&gt;"",COUNTIF($F$8:$F$2500,F10)=1,""))</formula1>
    </dataValidation>
    <dataValidation sqref="G1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0"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CA..."/>
    <dataValidation sqref="AU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0" showDropDown="0" showInputMessage="1" showErrorMessage="1" allowBlank="1" errorTitle="Invalid Plug-In" error="The value provided is not a valid Plug-In." promptTitle="Plug-In" prompt="Please select a valid Plug-In" type="list">
      <formula1>'WAYFAIR_USE_ONLY'!$R$7:$R9</formula1>
    </dataValidation>
    <dataValidation sqref="CC1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0" showDropDown="0" showInputMessage="1" showErrorMessage="1" allowBlank="1" promptTitle="Fuel Type" prompt="Please select one of the provided options. Custom entries are not allowed for this field.&#10;---&#10;Since 'Fireplace Included' is set to 'No', this value should be 'Does Not Apply'."/>
    <dataValidation sqref="DD1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0" showDropDown="0" showInputMessage="1" showErrorMessage="1" allowBlank="1" promptTitle="Pieces Included" prompt="Please select one of the provided options. Custom entries are not allowed for this field."/>
    <dataValidation sqref="DG1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AND(LEN(B11)&lt;32767, IF(B11&lt;&gt;"",COUNTIF($B$8:$B$2500,B11)=1,""))</formula1>
    </dataValidation>
    <dataValidation sqref="C1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1" showDropDown="0" showInputMessage="1" showErrorMessage="1" allowBlank="1" errorTitle="Invalid Brand" error="The value provided is not a valid Brand." promptTitle="Brand" prompt="Please select value from the list" type="list">
      <formula1>'WAYFAIR_USE_ONLY'!$BK$7:$BK8</formula1>
    </dataValidation>
    <dataValidation sqref="E1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AND(LEN(E11)&lt;32767, IF(E11&lt;&gt;"",COUNTIF($E$8:$E$2500,E11)=1,""))</formula1>
    </dataValidation>
    <dataValidation sqref="F1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AND(LEN(F11)&lt;32767, IF(F11&lt;&gt;"",COUNTIF($F$8:$F$2500,F11)=1,""))</formula1>
    </dataValidation>
    <dataValidation sqref="G1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1"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En..."/>
    <dataValidation sqref="AU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1" showDropDown="0" showInputMessage="1" showErrorMessage="1" allowBlank="1" errorTitle="Invalid Plug-In" error="The value provided is not a valid Plug-In." promptTitle="Plug-In" prompt="Please select a valid Plug-In" type="list">
      <formula1>'WAYFAIR_USE_ONLY'!$R$7:$R9</formula1>
    </dataValidation>
    <dataValidation sqref="CC1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1" showDropDown="0" showInputMessage="1" showErrorMessage="1" allowBlank="1" promptTitle="Fuel Type" prompt="Please select one of the provided options. Custom entries are not allowed for this field.&#10;---&#10;Since 'Fireplace Included' is set to 'No', this value should be 'Does Not Apply'."/>
    <dataValidation sqref="DD1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1" showDropDown="0" showInputMessage="1" showErrorMessage="1" allowBlank="1" promptTitle="Pieces Included" prompt="Please select one of the provided options. Custom entries are not allowed for this field."/>
    <dataValidation sqref="DG1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AND(LEN(B12)&lt;32767, IF(B12&lt;&gt;"",COUNTIF($B$8:$B$2500,B12)=1,""))</formula1>
    </dataValidation>
    <dataValidation sqref="C1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2" showDropDown="0" showInputMessage="1" showErrorMessage="1" allowBlank="1" errorTitle="Invalid Brand" error="The value provided is not a valid Brand." promptTitle="Brand" prompt="Please select value from the list" type="list">
      <formula1>'WAYFAIR_USE_ONLY'!$BK$7:$BK8</formula1>
    </dataValidation>
    <dataValidation sqref="E1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AND(LEN(E12)&lt;32767, IF(E12&lt;&gt;"",COUNTIF($E$8:$E$2500,E12)=1,""))</formula1>
    </dataValidation>
    <dataValidation sqref="F1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AND(LEN(F12)&lt;32767, IF(F12&lt;&gt;"",COUNTIF($F$8:$F$2500,F12)=1,""))</formula1>
    </dataValidation>
    <dataValidation sqref="G1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2"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CA..."/>
    <dataValidation sqref="AU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2" showDropDown="0" showInputMessage="1" showErrorMessage="1" allowBlank="1" errorTitle="Invalid Plug-In" error="The value provided is not a valid Plug-In." promptTitle="Plug-In" prompt="Please select a valid Plug-In" type="list">
      <formula1>'WAYFAIR_USE_ONLY'!$R$7:$R9</formula1>
    </dataValidation>
    <dataValidation sqref="CC1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2" showDropDown="0" showInputMessage="1" showErrorMessage="1" allowBlank="1" promptTitle="Fuel Type" prompt="Please select one of the provided options. Custom entries are not allowed for this field.&#10;---&#10;Since 'Fireplace Included' is set to 'No', this value should be 'Does Not Apply'."/>
    <dataValidation sqref="DD1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2" showDropDown="0" showInputMessage="1" showErrorMessage="1" allowBlank="1" promptTitle="Pieces Included" prompt="Please select one of the provided options. Custom entries are not allowed for this field."/>
    <dataValidation sqref="DG1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3"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AND(LEN(B13)&lt;32767, IF(B13&lt;&gt;"",COUNTIF($B$8:$B$2500,B13)=1,""))</formula1>
    </dataValidation>
    <dataValidation sqref="C13"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3" showDropDown="0" showInputMessage="1" showErrorMessage="1" allowBlank="1" errorTitle="Invalid Brand" error="The value provided is not a valid Brand." promptTitle="Brand" prompt="Please select value from the list" type="list">
      <formula1>'WAYFAIR_USE_ONLY'!$BK$7:$BK8</formula1>
    </dataValidation>
    <dataValidation sqref="E13"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AND(LEN(E13)&lt;32767, IF(E13&lt;&gt;"",COUNTIF($E$8:$E$2500,E13)=1,""))</formula1>
    </dataValidation>
    <dataValidation sqref="F13"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AND(LEN(F13)&lt;32767, IF(F13&lt;&gt;"",COUNTIF($F$8:$F$2500,F13)=1,""))</formula1>
    </dataValidation>
    <dataValidation sqref="G13"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3"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3"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3"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3"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3"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3"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3"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3"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3"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3"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3"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3"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3"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3"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3"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3"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3"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3"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3"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3"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3"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3"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3"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3"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3"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3"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3" showDropDown="0" showInputMessage="1" showErrorMessage="1" allowBlank="1" promptTitle="Legal Document Type" prompt="Based on answers provided in Class Specific Details Section, the following legal document types are RECOMMENDED: Tipover Restraint Device Included, CARB Phase II Compliant (formaldehyde emissions), CANFER Compliant, TSCA Title VI Compliant (formaldeh..."/>
    <dataValidation sqref="AU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3"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3"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3"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3"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3"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3"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3"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3"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3"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3"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3"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3"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3"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3"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3"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3"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3"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3" showDropDown="0" showInputMessage="1" showErrorMessage="1" allowBlank="1" errorTitle="Invalid Plug-In" error="The value provided is not a valid Plug-In." promptTitle="Plug-In" prompt="Please select a valid Plug-In" type="list">
      <formula1>'WAYFAIR_USE_ONLY'!$R$7:$R9</formula1>
    </dataValidation>
    <dataValidation sqref="CC13"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3"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3"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3"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3"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3"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3"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3"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3"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3"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3"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3"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3"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3"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3"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3"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3"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3"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3" showDropDown="0" showInputMessage="1" showErrorMessage="1" allowBlank="1" promptTitle="Fuel Type" prompt="Please select one of the provided options. Custom entries are not allowed for this field.&#10;---&#10;Since 'Fireplace Included' is set to 'No', this value should be 'Does Not Apply'."/>
    <dataValidation sqref="DD13"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3"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3" showDropDown="0" showInputMessage="1" showErrorMessage="1" allowBlank="1" promptTitle="Pieces Included" prompt="Please select one of the provided options. Custom entries are not allowed for this field."/>
    <dataValidation sqref="DG13"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3"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3"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3"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3"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3"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3"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3"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3"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3"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3"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3"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3"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3"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3"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3"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3"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3"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3"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3"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3"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3"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3"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3"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3"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3"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3"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3"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3"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3"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3"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3"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3"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3"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3"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4"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AND(LEN(B14)&lt;32767, IF(B14&lt;&gt;"",COUNTIF($B$8:$B$2500,B14)=1,""))</formula1>
    </dataValidation>
    <dataValidation sqref="C14"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4" showDropDown="0" showInputMessage="1" showErrorMessage="1" allowBlank="1" errorTitle="Invalid Brand" error="The value provided is not a valid Brand." promptTitle="Brand" prompt="Please select value from the list" type="list">
      <formula1>'WAYFAIR_USE_ONLY'!$BK$7:$BK8</formula1>
    </dataValidation>
    <dataValidation sqref="E14"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AND(LEN(E14)&lt;32767, IF(E14&lt;&gt;"",COUNTIF($E$8:$E$2500,E14)=1,""))</formula1>
    </dataValidation>
    <dataValidation sqref="F14"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AND(LEN(F14)&lt;32767, IF(F14&lt;&gt;"",COUNTIF($F$8:$F$2500,F14)=1,""))</formula1>
    </dataValidation>
    <dataValidation sqref="G14"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4"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4"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4"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4"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4"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4"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4"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4"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4"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4"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4"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4"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4"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4"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4"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4"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4"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4"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4"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4"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4"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4"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4"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4"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4"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4"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4" showDropDown="0" showInputMessage="1" showErrorMessage="1" allowBlank="1" promptTitle="Legal Document Type" prompt="Based on answers provided in Class Specific Details Section, the following legal document types are RECOMMENDED: CANFER Compliant, Energy Efficiency Regulations Compliant, CARB Phase II Compliant (formaldehyde emissions), Tipover Restraint Device Inc..."/>
    <dataValidation sqref="AU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4"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4"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4"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4"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4"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4"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4"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4"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4"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4"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4"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4"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4"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4"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4"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4"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4"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4" showDropDown="0" showInputMessage="1" showErrorMessage="1" allowBlank="1" errorTitle="Invalid Plug-In" error="The value provided is not a valid Plug-In." promptTitle="Plug-In" prompt="Please select a valid Plug-In" type="list">
      <formula1>'WAYFAIR_USE_ONLY'!$R$7:$R9</formula1>
    </dataValidation>
    <dataValidation sqref="CC14"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4"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4"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4"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4"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4"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4"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4"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4"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4"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4"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4"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4"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4"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4"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4"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4"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4"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4"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4"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4" showDropDown="0" showInputMessage="1" showErrorMessage="1" allowBlank="1" promptTitle="Pieces Included" prompt="Please select one of the provided options. Custom entries are not allowed for this field."/>
    <dataValidation sqref="DG14"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4"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4"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4"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4"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4"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4"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4"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4"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4"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4"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4"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4"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4"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4"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4"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4"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4"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4"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4"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4"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4"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4"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4"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4"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4"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4"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4"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4"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4"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4"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4"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4"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4"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4"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5"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AND(LEN(B15)&lt;32767, IF(B15&lt;&gt;"",COUNTIF($B$8:$B$2500,B15)=1,""))</formula1>
    </dataValidation>
    <dataValidation sqref="C15"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5" showDropDown="0" showInputMessage="1" showErrorMessage="1" allowBlank="1" errorTitle="Invalid Brand" error="The value provided is not a valid Brand." promptTitle="Brand" prompt="Please select value from the list" type="list">
      <formula1>'WAYFAIR_USE_ONLY'!$BK$7:$BK8</formula1>
    </dataValidation>
    <dataValidation sqref="E15"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AND(LEN(E15)&lt;32767, IF(E15&lt;&gt;"",COUNTIF($E$8:$E$2500,E15)=1,""))</formula1>
    </dataValidation>
    <dataValidation sqref="F15"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AND(LEN(F15)&lt;32767, IF(F15&lt;&gt;"",COUNTIF($F$8:$F$2500,F15)=1,""))</formula1>
    </dataValidation>
    <dataValidation sqref="G15"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5"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5"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5"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5"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5"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5"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5"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5"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5"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5"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5"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5"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5"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5"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5"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5"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5"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5"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5"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5"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5"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5"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5"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5"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5"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5"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5" showDropDown="0" showInputMessage="1" showErrorMessage="1" allowBlank="1" promptTitle="Legal Document Type" prompt="Based on answers provided in Class Specific Details Section, the following legal document types are RECOMMENDED: CANFER Compliant, TSCA Title VI Compliant (formaldehyde emissions), Energy Efficiency Regulations Compliant, CARB Phase II Compliant (for..."/>
    <dataValidation sqref="AU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5"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5"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5"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5"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5"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5"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5"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5"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5"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5"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5"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5"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5"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5"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5"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5"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5"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5" showDropDown="0" showInputMessage="1" showErrorMessage="1" allowBlank="1" errorTitle="Invalid Plug-In" error="The value provided is not a valid Plug-In." promptTitle="Plug-In" prompt="Please select a valid Plug-In" type="list">
      <formula1>'WAYFAIR_USE_ONLY'!$R$7:$R9</formula1>
    </dataValidation>
    <dataValidation sqref="CC15"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5"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5"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5"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5"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5"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5"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5"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5"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5"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5"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5"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5"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5"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5"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5"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5"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5"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5" showDropDown="0" showInputMessage="1" showErrorMessage="1" allowBlank="1" promptTitle="Fuel Type" prompt="Please select one of the provided options. Custom entries are not allowed for this field.&#10;---&#10;Since 'Fireplace Included' is set to 'No', this value should be 'Does Not Apply'."/>
    <dataValidation sqref="DD15"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5"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5" showDropDown="0" showInputMessage="1" showErrorMessage="1" allowBlank="1" promptTitle="Pieces Included" prompt="Please select one of the provided options. Custom entries are not allowed for this field."/>
    <dataValidation sqref="DG15"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5"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5"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5"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5"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5"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5"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5"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5"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5"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5"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5"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5"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5"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5"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5"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5"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5"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5"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5"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5"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5"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5"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5"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5"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5"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5"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5"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5"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5"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5"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5"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5"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5"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5"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6"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AND(LEN(B16)&lt;32767, IF(B16&lt;&gt;"",COUNTIF($B$8:$B$2500,B16)=1,""))</formula1>
    </dataValidation>
    <dataValidation sqref="C16"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6" showDropDown="0" showInputMessage="1" showErrorMessage="1" allowBlank="1" errorTitle="Invalid Brand" error="The value provided is not a valid Brand." promptTitle="Brand" prompt="Please select value from the list" type="list">
      <formula1>'WAYFAIR_USE_ONLY'!$BK$7:$BK8</formula1>
    </dataValidation>
    <dataValidation sqref="E16"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AND(LEN(E16)&lt;32767, IF(E16&lt;&gt;"",COUNTIF($E$8:$E$2500,E16)=1,""))</formula1>
    </dataValidation>
    <dataValidation sqref="F16"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AND(LEN(F16)&lt;32767, IF(F16&lt;&gt;"",COUNTIF($F$8:$F$2500,F16)=1,""))</formula1>
    </dataValidation>
    <dataValidation sqref="G16"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6"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6"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6"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6"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6"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6"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6"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6"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6"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6"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6"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6"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6"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6"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6"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6"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6"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6"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6"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6"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6"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6"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6"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6"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6"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6"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6" showDropDown="0" showInputMessage="1" showErrorMessage="1" allowBlank="1" promptTitle="Legal Document Type" prompt="Based on answers provided in Class Specific Details Section, the following legal document types are RECOMMENDED: Tipover Restraint Device Included, CANFER Compliant, Energy Efficiency Regulations Compliant, CARB Phase II Compliant (formaldehyde emiss..."/>
    <dataValidation sqref="AU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6"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6"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6"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6"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6"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6"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6"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6"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6"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6"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6"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6"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6"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6"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6"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6"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6"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6" showDropDown="0" showInputMessage="1" showErrorMessage="1" allowBlank="1" errorTitle="Invalid Plug-In" error="The value provided is not a valid Plug-In." promptTitle="Plug-In" prompt="Please select a valid Plug-In" type="list">
      <formula1>'WAYFAIR_USE_ONLY'!$R$7:$R9</formula1>
    </dataValidation>
    <dataValidation sqref="CC16"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6"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6"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6"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6"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6"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6"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6"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6"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6"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6"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6"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6"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6"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6"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6"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6"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6"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6"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6"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6" showDropDown="0" showInputMessage="1" showErrorMessage="1" allowBlank="1" promptTitle="Pieces Included" prompt="Please select one of the provided options. Custom entries are not allowed for this field."/>
    <dataValidation sqref="DG16"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6"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6"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6"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6"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6"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6"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6"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6"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6"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6"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6"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6"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6"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6"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6"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6"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6"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6"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6"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6"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6"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6"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6"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6"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6"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6"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6"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6"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6"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6"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6"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6"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6"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6"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7"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AND(LEN(B17)&lt;32767, IF(B17&lt;&gt;"",COUNTIF($B$8:$B$2500,B17)=1,""))</formula1>
    </dataValidation>
    <dataValidation sqref="C17"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7" showDropDown="0" showInputMessage="1" showErrorMessage="1" allowBlank="1" errorTitle="Invalid Brand" error="The value provided is not a valid Brand." promptTitle="Brand" prompt="Please select value from the list" type="list">
      <formula1>'WAYFAIR_USE_ONLY'!$BK$7:$BK8</formula1>
    </dataValidation>
    <dataValidation sqref="E17"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AND(LEN(E17)&lt;32767, IF(E17&lt;&gt;"",COUNTIF($E$8:$E$2500,E17)=1,""))</formula1>
    </dataValidation>
    <dataValidation sqref="F17"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AND(LEN(F17)&lt;32767, IF(F17&lt;&gt;"",COUNTIF($F$8:$F$2500,F17)=1,""))</formula1>
    </dataValidation>
    <dataValidation sqref="G17"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7"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7"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7"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7"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7"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7"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7"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7"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7"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7"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7"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7"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7"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7"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7"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7"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7"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7"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7"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7"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7"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7"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7"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7"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7"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7"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7" showDropDown="0" showInputMessage="1" showErrorMessage="1" allowBlank="1" promptTitle="Legal Document Type" prompt="Based on answers provided in Class Specific Details Section, the following legal document types are RECOMMENDED: Energy Efficiency Regulations Compliant, CANFER Compliant, CARB Phase II Compliant (formaldehyde emissions), TSCA Title VI Compliant (for..."/>
    <dataValidation sqref="AU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7"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7"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7"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7"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7"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7"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7"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7"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7"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7"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7"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7"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7"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7"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7"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7"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7"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7" showDropDown="0" showInputMessage="1" showErrorMessage="1" allowBlank="1" errorTitle="Invalid Plug-In" error="The value provided is not a valid Plug-In." promptTitle="Plug-In" prompt="Please select a valid Plug-In" type="list">
      <formula1>'WAYFAIR_USE_ONLY'!$R$7:$R9</formula1>
    </dataValidation>
    <dataValidation sqref="CC17"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7"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7"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7"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7"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7"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7"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7"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7"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7"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7"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7"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7"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7"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7"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7"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7"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7"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7" showDropDown="0" showInputMessage="1" showErrorMessage="1" allowBlank="1" promptTitle="Fuel Type" prompt="Please select one of the provided options. Custom entries are not allowed for this field.&#10;---&#10;Since 'Fireplace Included' is set to 'No', this value should be 'Does Not Apply'."/>
    <dataValidation sqref="DD17"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7"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7" showDropDown="0" showInputMessage="1" showErrorMessage="1" allowBlank="1" promptTitle="Pieces Included" prompt="Please select one of the provided options. Custom entries are not allowed for this field."/>
    <dataValidation sqref="DG17"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7"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7"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7"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7"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7"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7"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7"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7"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7"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7"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7"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7"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7"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7"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7"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7"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7"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7"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7"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7"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7"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7"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7"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7"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7"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7"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7"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7"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7"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7"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7"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7"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7"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7"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AND(LEN(B18)&lt;32767, IF(B18&lt;&gt;"",COUNTIF($B$8:$B$2500,B18)=1,""))</formula1>
    </dataValidation>
    <dataValidation sqref="C1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8" showDropDown="0" showInputMessage="1" showErrorMessage="1" allowBlank="1" errorTitle="Invalid Brand" error="The value provided is not a valid Brand." promptTitle="Brand" prompt="Please select value from the list" type="list">
      <formula1>'WAYFAIR_USE_ONLY'!$BK$7:$BK8</formula1>
    </dataValidation>
    <dataValidation sqref="E1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AND(LEN(E18)&lt;32767, IF(E18&lt;&gt;"",COUNTIF($E$8:$E$2500,E18)=1,""))</formula1>
    </dataValidation>
    <dataValidation sqref="F1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AND(LEN(F18)&lt;32767, IF(F18&lt;&gt;"",COUNTIF($F$8:$F$2500,F18)=1,""))</formula1>
    </dataValidation>
    <dataValidation sqref="G1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8" showDropDown="0" showInputMessage="1" showErrorMessage="1" allowBlank="1" promptTitle="Legal Document Type" prompt="Based on answers provided in Class Specific Details Section, the following legal document types are RECOMMENDED: Energy Efficiency Regulations Compliant, Tipover Restraint Device Included, CANFER Compliant, TSCA Title VI Compliant (formaldehyde emiss..."/>
    <dataValidation sqref="AU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8" showDropDown="0" showInputMessage="1" showErrorMessage="1" allowBlank="1" errorTitle="Invalid Plug-In" error="The value provided is not a valid Plug-In." promptTitle="Plug-In" prompt="Please select a valid Plug-In" type="list">
      <formula1>'WAYFAIR_USE_ONLY'!$R$7:$R9</formula1>
    </dataValidation>
    <dataValidation sqref="CC1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8"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8" showDropDown="0" showInputMessage="1" showErrorMessage="1" allowBlank="1" promptTitle="Fuel Type" prompt="Please select one of the provided options. Custom entries are not allowed for this field.&#10;---&#10;Since 'Fireplace Included' is set to 'No', this value should be 'Does Not Apply'."/>
    <dataValidation sqref="DD1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8" showDropDown="0" showInputMessage="1" showErrorMessage="1" allowBlank="1" promptTitle="Pieces Included" prompt="Please select one of the provided options. Custom entries are not allowed for this field."/>
    <dataValidation sqref="DG1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AND(LEN(B19)&lt;32767, IF(B19&lt;&gt;"",COUNTIF($B$8:$B$2500,B19)=1,""))</formula1>
    </dataValidation>
    <dataValidation sqref="C1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9" showDropDown="0" showInputMessage="1" showErrorMessage="1" allowBlank="1" errorTitle="Invalid Brand" error="The value provided is not a valid Brand." promptTitle="Brand" prompt="Please select value from the list" type="list">
      <formula1>'WAYFAIR_USE_ONLY'!$BK$7:$BK8</formula1>
    </dataValidation>
    <dataValidation sqref="E1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AND(LEN(E19)&lt;32767, IF(E19&lt;&gt;"",COUNTIF($E$8:$E$2500,E19)=1,""))</formula1>
    </dataValidation>
    <dataValidation sqref="F1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AND(LEN(F19)&lt;32767, IF(F19&lt;&gt;"",COUNTIF($F$8:$F$2500,F19)=1,""))</formula1>
    </dataValidation>
    <dataValidation sqref="G1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9" showDropDown="0" showInputMessage="1" showErrorMessage="1" allowBlank="1" promptTitle="Legal Document Type" prompt="Based on answers provided in Class Specific Details Section, the following legal document types are RECOMMENDED: Tipover Restraint Device Included, TSCA Title VI Compliant (formaldehyde emissions), CARB Phase II Compliant (formaldehyde emissions), En..."/>
    <dataValidation sqref="AU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9" showDropDown="0" showInputMessage="1" showErrorMessage="1" allowBlank="1" errorTitle="Invalid Plug-In" error="The value provided is not a valid Plug-In." promptTitle="Plug-In" prompt="Please select a valid Plug-In" type="list">
      <formula1>'WAYFAIR_USE_ONLY'!$R$7:$R9</formula1>
    </dataValidation>
    <dataValidation sqref="CC1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9" showDropDown="0" showInputMessage="1" showErrorMessage="1" allowBlank="1" promptTitle="Fuel Type" prompt="Please select one of the provided options. Custom entries are not allowed for this field.&#10;---&#10;Since 'Fireplace Included' is set to 'No', this value should be 'Does Not Apply'."/>
    <dataValidation sqref="DD1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9" showDropDown="0" showInputMessage="1" showErrorMessage="1" allowBlank="1" promptTitle="Pieces Included" prompt="Please select one of the provided options. Custom entries are not allowed for this field."/>
    <dataValidation sqref="DG1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AND(LEN(B20)&lt;32767, IF(B20&lt;&gt;"",COUNTIF($B$8:$B$2500,B20)=1,""))</formula1>
    </dataValidation>
    <dataValidation sqref="C2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0" showDropDown="0" showInputMessage="1" showErrorMessage="1" allowBlank="1" errorTitle="Invalid Brand" error="The value provided is not a valid Brand." promptTitle="Brand" prompt="Please select value from the list" type="list">
      <formula1>'WAYFAIR_USE_ONLY'!$BK$7:$BK8</formula1>
    </dataValidation>
    <dataValidation sqref="E2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AND(LEN(E20)&lt;32767, IF(E20&lt;&gt;"",COUNTIF($E$8:$E$2500,E20)=1,""))</formula1>
    </dataValidation>
    <dataValidation sqref="F2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AND(LEN(F20)&lt;32767, IF(F20&lt;&gt;"",COUNTIF($F$8:$F$2500,F20)=1,""))</formula1>
    </dataValidation>
    <dataValidation sqref="G2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0" showDropDown="0" showInputMessage="1" showErrorMessage="1" allowBlank="1" promptTitle="Legal Document Type" prompt="Based on answers provided in Class Specific Details Section, the following legal document types are RECOMMENDED: TSCA Title VI Compliant (formaldehyde emissions), CANFER Compliant, Energy Efficiency Regulations Compliant, Tipover Restraint Device Inc..."/>
    <dataValidation sqref="AU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0" showDropDown="0" showInputMessage="1" showErrorMessage="1" allowBlank="1" errorTitle="Invalid Plug-In" error="The value provided is not a valid Plug-In." promptTitle="Plug-In" prompt="Please select a valid Plug-In" type="list">
      <formula1>'WAYFAIR_USE_ONLY'!$R$7:$R9</formula1>
    </dataValidation>
    <dataValidation sqref="CC2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0" showDropDown="0" showInputMessage="1" showErrorMessage="1" allowBlank="1" promptTitle="Fuel Type" prompt="Please select one of the provided options. Custom entries are not allowed for this field.&#10;---&#10;Since 'Fireplace Included' is set to 'No', this value should be 'Does Not Apply'."/>
    <dataValidation sqref="DD2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0" showDropDown="0" showInputMessage="1" showErrorMessage="1" allowBlank="1" promptTitle="Pieces Included" prompt="Please select one of the provided options. Custom entries are not allowed for this field."/>
    <dataValidation sqref="DG2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AND(LEN(B21)&lt;32767, IF(B21&lt;&gt;"",COUNTIF($B$8:$B$2500,B21)=1,""))</formula1>
    </dataValidation>
    <dataValidation sqref="C2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1" showDropDown="0" showInputMessage="1" showErrorMessage="1" allowBlank="1" errorTitle="Invalid Brand" error="The value provided is not a valid Brand." promptTitle="Brand" prompt="Please select value from the list" type="list">
      <formula1>'WAYFAIR_USE_ONLY'!$BK$7:$BK8</formula1>
    </dataValidation>
    <dataValidation sqref="E2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AND(LEN(E21)&lt;32767, IF(E21&lt;&gt;"",COUNTIF($E$8:$E$2500,E21)=1,""))</formula1>
    </dataValidation>
    <dataValidation sqref="F2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AND(LEN(F21)&lt;32767, IF(F21&lt;&gt;"",COUNTIF($F$8:$F$2500,F21)=1,""))</formula1>
    </dataValidation>
    <dataValidation sqref="G2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1" showDropDown="0" showInputMessage="1" showErrorMessage="1" allowBlank="1" promptTitle="Legal Document Type" prompt="Based on answers provided in Class Specific Details Section, the following legal document types are RECOMMENDED: Tipover Restraint Device Included, CANFER Compliant, TSCA Title VI Compliant (formaldehyde emissions), CARB Phase II Compliant (formaldeh..."/>
    <dataValidation sqref="AU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1" showDropDown="0" showInputMessage="1" showErrorMessage="1" allowBlank="1" errorTitle="Invalid Plug-In" error="The value provided is not a valid Plug-In." promptTitle="Plug-In" prompt="Please select a valid Plug-In" type="list">
      <formula1>'WAYFAIR_USE_ONLY'!$R$7:$R9</formula1>
    </dataValidation>
    <dataValidation sqref="CC2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1" showDropDown="0" showInputMessage="1" showErrorMessage="1" allowBlank="1" promptTitle="Fuel Type" prompt="Please select one of the provided options. Custom entries are not allowed for this field.&#10;---&#10;Since 'Fireplace Included' is set to 'No', this value should be 'Does Not Apply'."/>
    <dataValidation sqref="DD2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1" showDropDown="0" showInputMessage="1" showErrorMessage="1" allowBlank="1" promptTitle="Pieces Included" prompt="Please select one of the provided options. Custom entries are not allowed for this field."/>
    <dataValidation sqref="DG2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AND(LEN(B22)&lt;32767, IF(B22&lt;&gt;"",COUNTIF($B$8:$B$2500,B22)=1,""))</formula1>
    </dataValidation>
    <dataValidation sqref="C2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2" showDropDown="0" showInputMessage="1" showErrorMessage="1" allowBlank="1" errorTitle="Invalid Brand" error="The value provided is not a valid Brand." promptTitle="Brand" prompt="Please select value from the list" type="list">
      <formula1>'WAYFAIR_USE_ONLY'!$BK$7:$BK8</formula1>
    </dataValidation>
    <dataValidation sqref="E2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AND(LEN(E22)&lt;32767, IF(E22&lt;&gt;"",COUNTIF($E$8:$E$2500,E22)=1,""))</formula1>
    </dataValidation>
    <dataValidation sqref="F2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AND(LEN(F22)&lt;32767, IF(F22&lt;&gt;"",COUNTIF($F$8:$F$2500,F22)=1,""))</formula1>
    </dataValidation>
    <dataValidation sqref="G2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2" showDropDown="0" showInputMessage="1" showErrorMessage="1" allowBlank="1" promptTitle="Legal Document Type" prompt="Based on answers provided in Class Specific Details Section, the following legal document types are RECOMMENDED: TSCA Title VI Compliant (formaldehyde emissions), Energy Efficiency Regulations Compliant, Tipover Restraint Device Included, CANFER Comp..."/>
    <dataValidation sqref="AU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2" showDropDown="0" showInputMessage="1" showErrorMessage="1" allowBlank="1" errorTitle="Invalid Plug-In" error="The value provided is not a valid Plug-In." promptTitle="Plug-In" prompt="Please select a valid Plug-In" type="list">
      <formula1>'WAYFAIR_USE_ONLY'!$R$7:$R9</formula1>
    </dataValidation>
    <dataValidation sqref="CC2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2" showDropDown="0" showInputMessage="1" showErrorMessage="1" allowBlank="1" promptTitle="Fuel Type" prompt="Please select one of the provided options. Custom entries are not allowed for this field.&#10;---&#10;Since 'Fireplace Included' is set to 'No', this value should be 'Does Not Apply'."/>
    <dataValidation sqref="DD2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2" showDropDown="0" showInputMessage="1" showErrorMessage="1" allowBlank="1" promptTitle="Pieces Included" prompt="Please select one of the provided options. Custom entries are not allowed for this field."/>
    <dataValidation sqref="DG2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 IFERROR(INDEX(_xlpm.r, MATCH(TRUE, (_xlpm.r &lt;&gt; "") * ((LEFT(_xlpm.r, 2) = "1:") + (LEFT(_xlpm.r, 2) = "3:")) &gt; 0, 0)), ""), IF(_xlpm.high_priority &lt;&gt; "", _xlpm.high_priority, IFERROR(INDEX(_xlpm.r, MATCH(TRUE, (_xlpm.r &lt;&gt; "") * (LEFT(_xlpm.r, 2) = "4:") &gt; 0, 0)), "")))))</f>
        <v/>
      </c>
      <c r="B8">
        <f t="array" ref="B8">_xlfn.MAP('6 - TV Stands &amp; Enterta'!B8:B22, '6 - TV Stands &amp; Enterta'!B8:B22, '6 - TV Stands &amp; Enterta-WUO_SER'!B8:B22, '6 - TV Stands &amp; Enterta-WUO_SSV'!B8:B22,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IF(OR('6 - TV Stands &amp; Enterta'!B$7 = "", '6 - TV Stands &amp; Enterta'!B$7 = "N/A"), "3:Supplier Part Number - Value is required", ""), ""))))))))))</f>
        <v/>
      </c>
      <c r="C8">
        <f t="array" ref="C8">_xlfn.MAP('6 - TV Stands &amp; Enterta'!B8:B22, '6 - TV Stands &amp; Enterta'!C8:C22, '6 - TV Stands &amp; Enterta-WUO_SER'!C8:C22, '6 - TV Stands &amp; Enterta-WUO_SSV'!C8:C22, _xlfn.LAMBDA(_xlpm.part, _xlpm.val, _xlpm.servererror, _xlpm.serverval, IF(_xlpm.part = "", "", _xlfn.LET(_xlpm.ssvMsg, IF(AND(LEN(_xlpm.servererror), _xlpm.val = _xlpm.serverval), _xlpm.servererror, ""), IF(LEN(_xlpm.ssvMsg) &gt; 0, _xlpm.ssvMsg, IF(AND(_xlpm.val = "", C$3="Required"), IF(OR('6 - TV Stands &amp; Enterta'!C$7 = "", '6 - TV Stands &amp; Enterta'!C$7 = "N/A"), "3:ASIN or Amazon Seller SKU - Value is required", ""), ""))))))</f>
        <v/>
      </c>
      <c r="D8">
        <f t="array" ref="D8">_xlfn.MAP('6 - TV Stands &amp; Enterta'!B8:B22, '6 - TV Stands &amp; Enterta'!D8:D22, '6 - TV Stands &amp; Enterta-WUO_SER'!D8:D22, '6 - TV Stands &amp; Enterta-WUO_SSV'!D8:D22, _xlfn.LAMBDA(_xlpm.part, _xlpm.val, _xlpm.servererror, _xlpm.serverval, IF(_xlpm.part = "", "", _xlfn.LET(_xlpm.ssvMsg, IF(AND(LEN(_xlpm.servererror), _xlpm.val = _xlpm.serverval), _xlpm.servererror, ""), IF(LEN(_xlpm.ssvMsg) &gt; 0, _xlpm.ssvMsg, IF(AND(_xlpm.val = "", D$3="Required"), IF(OR('6 - TV Stands &amp; Enterta'!D$7 = "", '6 - TV Stands &amp; Enterta'!D$7 = "N/A"), "3:Brand - Value is required", ""), ""))))))</f>
        <v/>
      </c>
      <c r="E8">
        <f t="array" ref="E8">_xlfn.MAP('6 - TV Stands &amp; Enterta'!B8:B22, '6 - TV Stands &amp; Enterta'!E8:E22, '6 - TV Stands &amp; Enterta-WUO_SER'!E8:E22, '6 - TV Stands &amp; Enterta-WUO_SSV'!E8:E22,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IF(OR('6 - TV Stands &amp; Enterta'!E$7 = "", '6 - TV Stands &amp; Enterta'!E$7 = "N/A"), "3:Manufacturer Part Number - Value is required", ""), ""))))))))))))</f>
        <v/>
      </c>
      <c r="F8">
        <f t="array" ref="F8">_xlfn.MAP('6 - TV Stands &amp; Enterta'!B8:B22, '6 - TV Stands &amp; Enterta'!F8:F22, '6 - TV Stands &amp; Enterta-WUO_SER'!F8:F22, '6 - TV Stands &amp; Enterta-WUO_SSV'!F8:F22, _xlfn.LAMBDA(_xlpm.part, _xlpm.val, _xlpm.servererror, _xlpm.serverval, IF(_xlpm.part = "", "", _xlfn.LET(_xlpm.ssvMsg, IF(AND(LEN(_xlpm.servererror), _xlpm.val = _xlpm.serverval), _xlpm.servererror, ""), IF(LEN(_xlpm.ssvMsg) &gt; 0, _xlpm.ssvMsg,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IF(OR('6 - TV Stands &amp; Enterta'!F$7 = "", '6 - TV Stands &amp; Enterta'!F$7 = "N/A"), "3:Universal Product Code - Value is required", ""), ""))))))))))</f>
        <v/>
      </c>
      <c r="G8">
        <f t="array" ref="G8">_xlfn.MAP('6 - TV Stands &amp; Enterta'!B8:B22, '6 - TV Stands &amp; Enterta'!G8:G22, '6 - TV Stands &amp; Enterta-WUO_SER'!G8:G22, '6 - TV Stands &amp; Enterta-WUO_SSV'!G8:G22, _xlfn.LAMBDA(_xlpm.part, _xlpm.val, _xlpm.servererror, _xlpm.serverval, IF(_xlpm.part = "", "", _xlfn.LET(_xlpm.ssvMsg, IF(AND(LEN(_xlpm.servererror), _xlpm.val = _xlpm.serverval), _xlpm.servererror, ""), IF(LEN(_xlpm.ssvMsg) &gt; 0, _xlpm.ssvMsg, _xlfn.LET(_xlpm.check1, IF(OR(ISNUMBER(SEARCH({"&lt;","&gt;","^","Ø","•","‣","⁃","⁌","™","∙","⌀","◦"}, _xlpm.val))), "1:Product name cannot contain special characters ([™Ø⌀•‣◦⁃⁌⁍∙&lt;&gt;])", ""), IF(LEN(_xlpm.check1) &gt; 0, _xlpm.check1, IF(AND(_xlpm.val = "", G$3="Required"), IF(OR('6 - TV Stands &amp; Enterta'!G$7 = "", '6 - TV Stands &amp; Enterta'!G$7 = "N/A"), "3:Product Name - Value is required", ""), ""))))))))</f>
        <v/>
      </c>
      <c r="H8">
        <f t="array" ref="H8">_xlfn.MAP('6 - TV Stands &amp; Enterta'!B8:B22, '6 - TV Stands &amp; Enterta'!H8:H22, '6 - TV Stands &amp; Enterta-WUO_SER'!H8:H22, '6 - TV Stands &amp; Enterta-WUO_SSV'!H8:H22, _xlfn.LAMBDA(_xlpm.part, _xlpm.val, _xlpm.servererror, _xlpm.serverval, IF(_xlpm.part = "", "", _xlfn.LET(_xlpm.ssvMsg, IF(AND(LEN(_xlpm.servererror), _xlpm.val = _xlpm.serverval), _xlpm.servererror, ""), IF(LEN(_xlpm.ssvMsg) &gt; 0, _xlpm.ssvMsg, IF(AND(_xlpm.val = "", H$3="Required"), IF(OR('6 - TV Stands &amp; Enterta'!H$7 = "", '6 - TV Stands &amp; Enterta'!H$7 = "N/A"), "3:Collection Name - Value is required", ""), ""))))))</f>
        <v/>
      </c>
      <c r="I8">
        <f t="array" ref="I8">_xlfn.MAP('6 - TV Stands &amp; Enterta'!B8:B22, '6 - TV Stands &amp; Enterta'!I8:I22, '6 - TV Stands &amp; Enterta-WUO_SER'!I8:I22, '6 - TV Stands &amp; Enterta-WUO_SSV'!I8:I22, _xlfn.LAMBDA(_xlpm.part, _xlpm.val, _xlpm.servererror, _xlpm.serverval, IF(_xlpm.part = "", "", _xlfn.LET(_xlpm.ssvMsg, IF(AND(LEN(_xlpm.servererror), _xlpm.val = _xlpm.serverval), _xlpm.servererror, ""), IF(LEN(_xlpm.ssvMsg) &gt; 0, _xlpm.ssvMsg, IF(AND(_xlpm.val = "", I$3="Required"), IF(OR('6 - TV Stands &amp; Enterta'!I$7 = "", '6 - TV Stands &amp; Enterta'!I$7 = "N/A"), "3:Manufacturer Product URL - Value is required", ""), ""))))))</f>
        <v/>
      </c>
      <c r="J8">
        <f t="array" ref="J8">_xlfn.MAP('6 - TV Stands &amp; Enterta'!B8:B22, '6 - TV Stands &amp; Enterta'!J8:J22, '6 - TV Stands &amp; Enterta-WUO_SER'!J8:J22, '6 - TV Stands &amp; Enterta-WUO_SSV'!J8:J22,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"1:Base Cost - Value should be numeric", ""), IF(LEN(_xlpm.check1) &gt; 0, _xlpm.check1, IF(AND(_xlpm.val = "", J$3="Required"), IF(OR('6 - TV Stands &amp; Enterta'!J$7 = "", '6 - TV Stands &amp; Enterta'!J$7 = "N/A"), "3:Base Cost - Value is required", ""), ""))))))))</f>
        <v/>
      </c>
      <c r="K8">
        <f t="array" ref="K8">_xlfn.MAP('6 - TV Stands &amp; Enterta'!B8:B22, '6 - TV Stands &amp; Enterta'!K8:K22, '6 - TV Stands &amp; Enterta-WUO_SER'!K8:K22, '6 - TV Stands &amp; Enterta-WUO_SSV'!K8:K22,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Advertised Price - Value should be numeric", ""), IF(LEN(_xlpm.check1) &gt; 0, _xlpm.check1, IF(AND(_xlpm.val = "", K$3="Required"), IF(OR('6 - TV Stands &amp; Enterta'!K$7 = "", '6 - TV Stands &amp; Enterta'!K$7 = "N/A"), "3:Minimum Advertised Price - Value is required", ""), ""))))))))</f>
        <v/>
      </c>
      <c r="L8">
        <f t="array" ref="L8">_xlfn.MAP('6 - TV Stands &amp; Enterta'!B8:B22, '6 - TV Stands &amp; Enterta'!L8:L22, '6 - TV Stands &amp; Enterta-WUO_SER'!L8:L22, '6 - TV Stands &amp; Enterta-WUO_SSV'!L8:L22,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"1:Manufacturer Suggested Retail Price - Value should be numeric", ""), IF(LEN(_xlpm.check1) &gt; 0, _xlpm.check1, IF(AND(_xlpm.val = "", L$3="Required"), IF(OR('6 - TV Stands &amp; Enterta'!L$7 = "", '6 - TV Stands &amp; Enterta'!L$7 = "N/A"), "3:Manufacturer Suggested Retail Price - Value is required", ""), ""))))))))</f>
        <v/>
      </c>
      <c r="M8">
        <f t="array" ref="M8">_xlfn.MAP('6 - TV Stands &amp; Enterta'!B8:B22, '6 - TV Stands &amp; Enterta'!M8:M22, '6 - TV Stands &amp; Enterta-WUO_SER'!M8:M22, '6 - TV Stands &amp; Enterta-WUO_SSV'!M8:M22, '6 - TV Stands &amp; Enterta'!N8:N22, '6 - TV Stands &amp; Enterta'!O8:O22, '6 - TV Stands &amp; Enterta'!P8:P22,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"1:Marketing Copy cannot contain special characters ([™Ø⌀•‣◦⁃⁌⁍∙&lt;&gt;])", ""), IF(LEN(_xlpm.check1) &gt; 0, _xlpm.check1, _xlfn.LET(_xlpm.check2, IF(AND(_xlpm.val &lt;&gt; "", LEN(_xlpm.val) &lt; 16), "1:Marketing Copy should be more than 15 characters", ""), IF(LEN(_xlpm.check2) &gt; 0, _xlpm.check2, _xlfn.LET(_xlpm.check3, IF(AND(_xlpm.val = "", M$3="Required"), IF(OR('6 - TV Stands &amp; Enterta'!M$7 = "", '6 - TV Stands &amp; Enterta'!M$7 = "N/A"), "3:Marketing Copy - Value is required", ""), ""), IF(LEN(_xlpm.check3) &gt; 0, _xlpm.check3, IF(OR(_xlpm.dep1 = "", _xlpm.dep2 = "", _xlpm.dep3 = ""), IF(_xlpm.val = "", IF(OR('6 - TV Stands &amp; Enterta'!M$7 = "", '6 - TV Stands &amp; Enterta'!M$7 = "N/A"), "3:Either the Marketing Copy or at least three Feature Bullets are required for this part.", ""), ""), ""))))))))))))</f>
        <v/>
      </c>
      <c r="N8">
        <f t="array" ref="N8">_xlfn.MAP('6 - TV Stands &amp; Enterta'!B8:B22, '6 - TV Stands &amp; Enterta'!N8:N22, '6 - TV Stands &amp; Enterta-WUO_SER'!N8:N22, '6 - TV Stands &amp; Enterta-WUO_SSV'!N8:N22, '6 - TV Stands &amp; Enterta'!O8:O22,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N$3="Required"), IF(OR('6 - TV Stands &amp; Enterta'!N$7 = "", '6 - TV Stands &amp; Enterta'!N$7 = "N/A"), "3:Feature Bullet - Value is required", ""), ""), IF(LEN(_xlpm.check2) &gt; 0, _xlpm.check2, _xlfn.LET(_xlpm.check3, IF(AND(AND(_xlpm.dep1 = "", _xlpm.dep2 = ""), _xlpm.dep3 = ""), IF(_xlpm.val = "", IF(OR('6 - TV Stands &amp; Enterta'!N$7 = "", '6 - TV Stands &amp; Enterta'!N$7 = "N/A"), "3:Either the Marketing Copy or at least three Feature Bullets are required for this part.", ""), ""), ""), IF(LEN(_xlpm.check3) &gt; 0, _xlpm.check3, IF(_xlpm.dep3 = "", IF(_xlpm.val = "", IF(OR('6 - TV Stands &amp; Enterta'!N$7 = "", '6 - TV Stands &amp; Enterta'!N$7 = "N/A"), "3:Three feature bullets must be filled", ""), ""), ""))))))))))))</f>
        <v/>
      </c>
      <c r="O8">
        <f t="array" ref="O8">_xlfn.MAP('6 - TV Stands &amp; Enterta'!B8:B22, '6 - TV Stands &amp; Enterta'!O8:O22, '6 - TV Stands &amp; Enterta-WUO_SER'!O8:O22, '6 - TV Stands &amp; Enterta-WUO_SSV'!O8:O22, '6 - TV Stands &amp; Enterta'!N8:N22,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O$3="Required"), IF(OR('6 - TV Stands &amp; Enterta'!O$7 = "", '6 - TV Stands &amp; Enterta'!O$7 = "N/A"), "3:Feature Bullet - Value is required", ""), ""), IF(LEN(_xlpm.check2) &gt; 0, _xlpm.check2, _xlfn.LET(_xlpm.check3, IF(AND(AND(_xlpm.dep1 = "", _xlpm.dep2 = ""), _xlpm.dep3 = ""), IF(_xlpm.val = "", IF(OR('6 - TV Stands &amp; Enterta'!O$7 = "", '6 - TV Stands &amp; Enterta'!O$7 = "N/A"), "3:Either the Marketing Copy or at least three Feature Bullets are required for this part.", ""), ""), ""), IF(LEN(_xlpm.check3) &gt; 0, _xlpm.check3, IF(_xlpm.dep3 = "", IF(_xlpm.val = "", IF(OR('6 - TV Stands &amp; Enterta'!O$7 = "", '6 - TV Stands &amp; Enterta'!O$7 = "N/A"), "3:Three feature bullets must be filled", ""), ""), ""))))))))))))</f>
        <v/>
      </c>
      <c r="P8">
        <f t="array" ref="P8">_xlfn.MAP('6 - TV Stands &amp; Enterta'!B8:B22, '6 - TV Stands &amp; Enterta'!P8:P22, '6 - TV Stands &amp; Enterta-WUO_SER'!P8:P22, '6 - TV Stands &amp; Enterta-WUO_SSV'!P8:P22, '6 - TV Stands &amp; Enterta'!N8:N22, '6 - TV Stands &amp; Enterta'!O8:O22,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P$3="Required"), IF(OR('6 - TV Stands &amp; Enterta'!P$7 = "", '6 - TV Stands &amp; Enterta'!P$7 = "N/A"), "3:Feature Bullet - Value is required", ""), ""), IF(LEN(_xlpm.check2) &gt; 0, _xlpm.check2, _xlfn.LET(_xlpm.check3, IF(AND(AND(_xlpm.dep1 = "", _xlpm.dep2 = ""), _xlpm.dep3 = ""), IF(_xlpm.val = "", IF(OR('6 - TV Stands &amp; Enterta'!P$7 = "", '6 - TV Stands &amp; Enterta'!P$7 = "N/A"), "3:Either the Marketing Copy or at least three Feature Bullets are required for this part.", ""), ""), ""), IF(LEN(_xlpm.check3) &gt; 0, _xlpm.check3, IF(_xlpm.dep3 = "", IF(_xlpm.val = "", IF(OR('6 - TV Stands &amp; Enterta'!P$7 = "", '6 - TV Stands &amp; Enterta'!P$7 = "N/A"), "3:Three feature bullets must be filled", ""), ""), ""))))))))))))</f>
        <v/>
      </c>
      <c r="Q8">
        <f t="array" ref="Q8">_xlfn.MAP('6 - TV Stands &amp; Enterta'!B8:B22, '6 - TV Stands &amp; Enterta'!Q8:Q22, '6 - TV Stands &amp; Enterta-WUO_SER'!Q8:Q22, '6 - TV Stands &amp; Enterta-WUO_SSV'!Q8:Q22,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Q$3="Required"), IF(OR('6 - TV Stands &amp; Enterta'!Q$7 = "", '6 - TV Stands &amp; Enterta'!Q$7 = "N/A"), "3:Feature Bullet - Value is required", ""), ""))))))))</f>
        <v/>
      </c>
      <c r="R8">
        <f t="array" ref="R8">_xlfn.MAP('6 - TV Stands &amp; Enterta'!B8:B22, '6 - TV Stands &amp; Enterta'!R8:R22, '6 - TV Stands &amp; Enterta-WUO_SER'!R8:R22, '6 - TV Stands &amp; Enterta-WUO_SSV'!R8:R22,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R$3="Required"), IF(OR('6 - TV Stands &amp; Enterta'!R$7 = "", '6 - TV Stands &amp; Enterta'!R$7 = "N/A"), "3:Feature Bullet - Value is required", ""), ""))))))))</f>
        <v/>
      </c>
      <c r="S8">
        <f t="array" ref="S8">_xlfn.MAP('6 - TV Stands &amp; Enterta'!B8:B22, '6 - TV Stands &amp; Enterta'!S8:S22, '6 - TV Stands &amp; Enterta-WUO_SER'!S8:S22, '6 - TV Stands &amp; Enterta-WUO_SSV'!S8:S22,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Order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S$3="Required"), IF(OR('6 - TV Stands &amp; Enterta'!S$7 = "", '6 - TV Stands &amp; Enterta'!S$7 = "N/A"), "3:Minimum Order Quantity - Value is required", ""), ""))))))))))))</f>
        <v/>
      </c>
      <c r="T8">
        <f t="array" ref="T8">_xlfn.MAP('6 - TV Stands &amp; Enterta'!B8:B22, '6 - TV Stands &amp; Enterta'!T8:T22, '6 - TV Stands &amp; Enterta-WUO_SER'!T8:T22, '6 - TV Stands &amp; Enterta-WUO_SSV'!T8:T22,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"1:Force Quantity Multiplier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T$3="Required"), IF(OR('6 - TV Stands &amp; Enterta'!T$7 = "", '6 - TV Stands &amp; Enterta'!T$7 = "N/A"), "3:Force Quantity Multiplier - Value is required", ""), ""))))))))))))</f>
        <v/>
      </c>
      <c r="U8">
        <f t="array" ref="U8">_xlfn.MAP('6 - TV Stands &amp; Enterta'!B8:B22, '6 - TV Stands &amp; Enterta'!U8:U22, '6 - TV Stands &amp; Enterta-WUO_SER'!U8:U22, '6 - TV Stands &amp; Enterta-WUO_SSV'!U8:U22,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"1:Display Set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U$3="Required"), IF(OR('6 - TV Stands &amp; Enterta'!U$7 = "", '6 - TV Stands &amp; Enterta'!U$7 = "N/A"), "3:Display Set Quantity - Value is required", ""), ""))))))))))))</f>
        <v/>
      </c>
      <c r="V8">
        <f t="array" ref="V8">_xlfn.MAP('6 - TV Stands &amp; Enterta'!B8:B22, '6 - TV Stands &amp; Enterta'!V8:V22, '6 - TV Stands &amp; Enterta-WUO_SER'!V8:V22, '6 - TV Stands &amp; Enterta-WUO_SSV'!V8:V22,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"1:Product Weight - Value should be numeric", ""), IF(LEN(_xlpm.check1) &gt; 0, _xlpm.check1, _xlfn.LET(_xlpm.check2, IF(AND(_xlpm.val &lt;&gt; "" ,IFERROR(VALUE(_xlpm.val), _xlpm.val)&lt;0), "1:Product weight must be a positive number", ""), IF(LEN(_xlpm.check2) &gt; 0, _xlpm.check2, IF(AND(_xlpm.val = "", V$3="Required"), IF(OR('6 - TV Stands &amp; Enterta'!V$7 = "", '6 - TV Stands &amp; Enterta'!V$7 = "N/A"), "3:Product Weight - Value is required", ""), ""))))))))))</f>
        <v/>
      </c>
      <c r="W8">
        <f t="array" ref="W8">_xlfn.MAP('6 - TV Stands &amp; Enterta'!B8:B22, '6 - TV Stands &amp; Enterta'!W8:W22, '6 - TV Stands &amp; Enterta-WUO_SER'!W8:W22, '6 - TV Stands &amp; Enterta-WUO_SSV'!W8:W22, _xlfn.LAMBDA(_xlpm.part, _xlpm.val, _xlpm.servererror, _xlpm.serverval, IF(_xlpm.part = "", "", _xlfn.LET(_xlpm.ssvMsg, IF(AND(LEN(_xlpm.servererror), _xlpm.val = _xlpm.serverval), _xlpm.servererror, ""), IF(LEN(_xlpm.ssvMsg) &gt; 0, _xlpm.ssvMsg, IF(AND(_xlpm.val = "", W$3="Required"), IF(OR('6 - TV Stands &amp; Enterta'!W$7 = "", '6 - TV Stands &amp; Enterta'!W$7 = "N/A"), "3:Ship Type - Value is required", ""), ""))))))</f>
        <v/>
      </c>
      <c r="X8">
        <f t="array" ref="X8">_xlfn.MAP('6 - TV Stands &amp; Enterta'!B8:B22, '6 - TV Stands &amp; Enterta'!X8:X22, '6 - TV Stands &amp; Enterta-WUO_SER'!X8:X22, '6 - TV Stands &amp; Enterta-WUO_SSV'!X8:X22, _xlfn.LAMBDA(_xlpm.part, _xlpm.val, _xlpm.servererror, _xlpm.serverval, IF(_xlpm.part = "", "", _xlfn.LET(_xlpm.ssvMsg, IF(AND(LEN(_xlpm.servererror), _xlpm.val = _xlpm.serverval), _xlpm.servererror, ""), IF(LEN(_xlpm.ssvMsg) &gt; 0, _xlpm.ssvMsg, IF(AND(_xlpm.val = "", X$3="Required"), IF(OR('6 - TV Stands &amp; Enterta'!X$7 = "", '6 - TV Stands &amp; Enterta'!X$7 = "N/A"), "3:Freight Class - Value is required", ""), ""))))))</f>
        <v/>
      </c>
      <c r="Y8">
        <f t="array" ref="Y8">_xlfn.MAP('6 - TV Stands &amp; Enterta'!B8:B22, '6 - TV Stands &amp; Enterta'!Y8:Y22, '6 - TV Stands &amp; Enterta-WUO_SER'!Y8:Y22, '6 - TV Stands &amp; Enterta-WUO_SSV'!Y8:Y22, _xlfn.LAMBDA(_xlpm.part, _xlpm.val, _xlpm.servererror, _xlpm.serverval, IF(_xlpm.part = "", "", _xlfn.LET(_xlpm.ssvMsg, IF(AND(LEN(_xlpm.servererror), _xlpm.val = _xlpm.serverval), _xlpm.servererror, ""), IF(LEN(_xlpm.ssvMsg) &gt; 0, _xlpm.ssvMsg, IF(AND(_xlpm.val = "", Y$3="Required"), IF(OR('6 - TV Stands &amp; Enterta'!Y$7 = "", '6 - TV Stands &amp; Enterta'!Y$7 = "N/A"), "3:Lead Time - Value is required", ""), ""))))))</f>
        <v/>
      </c>
      <c r="Z8">
        <f t="array" ref="Z8">_xlfn.MAP('6 - TV Stands &amp; Enterta'!B8:B22, '6 - TV Stands &amp; Enterta'!Z8:Z22, '6 - TV Stands &amp; Enterta-WUO_SER'!Z8:Z22, '6 - TV Stands &amp; Enterta-WUO_SSV'!Z8:Z22, _xlfn.LAMBDA(_xlpm.part, _xlpm.val, _xlpm.servererror, _xlpm.serverval, IF(_xlpm.part = "", "", _xlfn.LET(_xlpm.ssvMsg, IF(AND(LEN(_xlpm.servererror), _xlpm.val = _xlpm.serverval), _xlpm.servererror, ""), IF(LEN(_xlpm.ssvMsg) &gt; 0, _xlpm.ssvMsg, IF(AND(_xlpm.val = "", Z$3="Required"), IF(OR('6 - TV Stands &amp; Enterta'!Z$7 = "", '6 - TV Stands &amp; Enterta'!Z$7 = "N/A"), "3:Replacement Lead Time - Value is required", ""), ""))))))</f>
        <v/>
      </c>
      <c r="AA8">
        <f t="array" ref="AA8">_xlfn.MAP('6 - TV Stands &amp; Enterta'!B8:B22, '6 - TV Stands &amp; Enterta'!AA8:AA22, '6 - TV Stands &amp; Enterta-WUO_SER'!AA8:AA22, '6 - TV Stands &amp; Enterta-WUO_SSV'!AA8:AA22, _xlfn.LAMBDA(_xlpm.part, _xlpm.val, _xlpm.servererror, _xlpm.serverval, IF(_xlpm.part = "", "", _xlfn.LET(_xlpm.ssvMsg, IF(AND(LEN(_xlpm.servererror), _xlpm.val = _xlpm.serverval), _xlpm.servererror, ""), IF(LEN(_xlpm.ssvMsg) &gt; 0, _xlpm.ssvMsg, _xlfn.LET(_xlpm.check1, IF(AND(_xlpm.val &lt;&gt; "", LEN(_xlpm.val) &lt; 5), "1:NMFC must contain at least 5 digits", ""), IF(LEN(_xlpm.check1) &gt; 0, _xlpm.check1, IF(AND(_xlpm.val = "", AA$3="Required"), IF(OR('6 - TV Stands &amp; Enterta'!AA$7 = "", '6 - TV Stands &amp; Enterta'!AA$7 = "N/A"), "3:National Motor Freight Class - Value is required", ""), ""))))))))</f>
        <v/>
      </c>
      <c r="AB8">
        <f t="array" ref="AB8">_xlfn.MAP('6 - TV Stands &amp; Enterta'!B8:B22, '6 - TV Stands &amp; Enterta'!AB8:AB22, '6 - TV Stands &amp; Enterta-WUO_SER'!AB8:AB22, '6 - TV Stands &amp; Enterta-WUO_SSV'!AB8:AB22, _xlfn.LAMBDA(_xlpm.part, _xlpm.val, _xlpm.servererror, _xlpm.serverval, IF(_xlpm.part = "", "", _xlfn.LET(_xlpm.ssvMsg, IF(AND(LEN(_xlpm.servererror), _xlpm.val = _xlpm.serverval), _xlpm.servererror, ""), IF(LEN(_xlpm.ssvMsg) &gt; 0, _xlpm.ssvMsg, IF(AND(_xlpm.val = "", AB$3="Required"), IF(OR('6 - TV Stands &amp; Enterta'!AB$7 = "", '6 - TV Stands &amp; Enterta'!AB$7 = "N/A"), "3:Flat Pack - Value is required", ""), ""))))))</f>
        <v/>
      </c>
      <c r="AC8">
        <f t="array" ref="AC8">_xlfn.MAP('6 - TV Stands &amp; Enterta'!B8:B22, '6 - TV Stands &amp; Enterta'!AC8:AC22, '6 - TV Stands &amp; Enterta-WUO_SER'!AC8:AC22, '6 - TV Stands &amp; Enterta-WUO_SSV'!AC8:AC22, _xlfn.LAMBDA(_xlpm.part, _xlpm.val, _xlpm.servererror, _xlpm.serverval, IF(_xlpm.part = "", "", _xlfn.LET(_xlpm.ssvMsg, IF(AND(LEN(_xlpm.servererror), _xlpm.val = _xlpm.serverval), _xlpm.servererror, ""), IF(LEN(_xlpm.ssvMsg) &gt; 0, _xlpm.ssvMsg, IF(AND(_xlpm.val = "", AC$3="Required"), IF(OR('6 - TV Stands &amp; Enterta'!AC$7 = "", '6 - TV Stands &amp; Enterta'!AC$7 = "N/A"), "3:Ship Palletized - Value is required", ""), ""))))))</f>
        <v/>
      </c>
      <c r="AD8">
        <f t="array" ref="AD8">_xlfn.MAP('6 - TV Stands &amp; Enterta'!B8:B22, '6 - TV Stands &amp; Enterta'!AD8:AD22, '6 - TV Stands &amp; Enterta-WUO_SER'!AD8:AD22, '6 - TV Stands &amp; Enterta-WUO_SSV'!AD8:AD22, '6 - TV Stands &amp; Enterta'!AE8:AE22,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AD$3="Required"), IF(OR('6 - TV Stands &amp; Enterta'!AD$7 = "", '6 - TV Stands &amp; Enterta'!AD$7 = "N/A"), "3:Carton Weight - Value is required", ""), ""), IF(LEN(_xlpm.check3) &gt; 0, _xlpm.check3, _xlfn.LET(_xlpm.check4, IF(OR(_xlpm.dep1 &lt;&gt; "", _xlpm.dep2 &lt;&gt; "", _xlpm.dep3 &lt;&gt; ""), IF(_xlpm.val = "", IF(OR('6 - TV Stands &amp; Enterta'!AD$7 = "", '6 - TV Stands &amp; Enterta'!AD$7 = "N/A"), "3:Shipping weight is required", ""), ""), ""), IF(LEN(_xlpm.check4) &gt; 0, _xlpm.check4, IF(AND(_xlpm.dep3 = "", _xlpm.dep1 = "", _xlpm.dep2 = ""), IF(_xlpm.val = "", IF(OR('6 - TV Stands &amp; Enterta'!AD$7 = "", '6 - TV Stands &amp; Enterta'!AD$7 = "N/A"), "3:Shipping weight is required", ""), ""), ""))))))))))))))</f>
        <v/>
      </c>
      <c r="AE8">
        <f t="array" ref="AE8">_xlfn.MAP('6 - TV Stands &amp; Enterta'!B8:B22, '6 - TV Stands &amp; Enterta'!AE8:AE22, '6 - TV Stands &amp; Enterta-WUO_SER'!AE8:AE22, '6 - TV Stands &amp; Enterta-WUO_SSV'!AE8:AE22, '6 - TV Stands &amp; Enterta'!AD8:AD22,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AE$3="Required"), IF(OR('6 - TV Stands &amp; Enterta'!AE$7 = "", '6 - TV Stands &amp; Enterta'!AE$7 = "N/A"), "3:Carton Height - Value is required", ""), ""), IF(LEN(_xlpm.check3) &gt; 0, _xlpm.check3, _xlfn.LET(_xlpm.check4, IF(OR(_xlpm.dep1 &lt;&gt; "", _xlpm.dep2 &lt;&gt; "", _xlpm.dep3 &lt;&gt; ""), IF(_xlpm.val = "", IF(OR('6 - TV Stands &amp; Enterta'!AE$7 = "", '6 - TV Stands &amp; Enterta'!AE$7 = "N/A"), "3:Carton height is required", ""), ""), ""), IF(LEN(_xlpm.check4) &gt; 0, _xlpm.check4, IF(AND(_xlpm.dep1 = "", _xlpm.dep3 = "", _xlpm.dep2 = ""), IF(_xlpm.val = "", IF(OR('6 - TV Stands &amp; Enterta'!AE$7 = "", '6 - TV Stands &amp; Enterta'!AE$7 = "N/A"), "3:Carton height is required", ""), ""), ""))))))))))))))</f>
        <v/>
      </c>
      <c r="AF8">
        <f t="array" ref="AF8">_xlfn.MAP('6 - TV Stands &amp; Enterta'!B8:B22, '6 - TV Stands &amp; Enterta'!AF8:AF22, '6 - TV Stands &amp; Enterta-WUO_SER'!AF8:AF22, '6 - TV Stands &amp; Enterta-WUO_SSV'!AF8:AF22, '6 - TV Stands &amp; Enterta'!AD8:AD22, '6 - TV Stands &amp; Enterta'!AE8:AE22,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AF$3="Required"), IF(OR('6 - TV Stands &amp; Enterta'!AF$7 = "", '6 - TV Stands &amp; Enterta'!AF$7 = "N/A"), "3:Carton Width - Value is required", ""), ""), IF(LEN(_xlpm.check3) &gt; 0, _xlpm.check3, _xlfn.LET(_xlpm.check4, IF(OR(_xlpm.dep1 &lt;&gt; "", _xlpm.dep2 &lt;&gt; "", _xlpm.dep3 &lt;&gt; ""), IF(_xlpm.val = "", IF(OR('6 - TV Stands &amp; Enterta'!AF$7 = "", '6 - TV Stands &amp; Enterta'!AF$7 = "N/A"), "3:Carton width is required", ""), ""), ""), IF(LEN(_xlpm.check4) &gt; 0, _xlpm.check4, IF(AND(_xlpm.dep1 = "", _xlpm.dep2 = "", _xlpm.dep3 = ""), IF(_xlpm.val = "", IF(OR('6 - TV Stands &amp; Enterta'!AF$7 = "", '6 - TV Stands &amp; Enterta'!AF$7 = "N/A"), "3:Carton width is required", ""), ""), ""))))))))))))))</f>
        <v/>
      </c>
      <c r="AG8">
        <f t="array" ref="AG8">_xlfn.MAP('6 - TV Stands &amp; Enterta'!B8:B22, '6 - TV Stands &amp; Enterta'!AG8:AG22, '6 - TV Stands &amp; Enterta-WUO_SER'!AG8:AG22, '6 - TV Stands &amp; Enterta-WUO_SSV'!AG8:AG22, '6 - TV Stands &amp; Enterta'!AD8:AD22, '6 - TV Stands &amp; Enterta'!AE8:AE22, '6 - TV Stands &amp; Enterta'!AF8:AF22,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AG$3="Required"), IF(OR('6 - TV Stands &amp; Enterta'!AG$7 = "", '6 - TV Stands &amp; Enterta'!AG$7 = "N/A"), "3:Carton Depth - Value is required", ""), ""), IF(LEN(_xlpm.check3) &gt; 0, _xlpm.check3, _xlfn.LET(_xlpm.check4, IF(OR(_xlpm.dep1 &lt;&gt; "", _xlpm.dep2 &lt;&gt; "", _xlpm.dep3 &lt;&gt; ""), IF(_xlpm.val = "", IF(OR('6 - TV Stands &amp; Enterta'!AG$7 = "", '6 - TV Stands &amp; Enterta'!AG$7 = "N/A"), "3:Carton depth is required", ""), ""), ""), IF(LEN(_xlpm.check4) &gt; 0, _xlpm.check4, IF(AND(_xlpm.dep1 = "", _xlpm.dep2 = "", _xlpm.dep3 = ""), IF(_xlpm.val = "", IF(OR('6 - TV Stands &amp; Enterta'!AG$7 = "", '6 - TV Stands &amp; Enterta'!AG$7 = "N/A"), "3:Carton depth is required", ""), ""), ""))))))))))))))</f>
        <v/>
      </c>
      <c r="AH8">
        <f t="array" ref="AH8">_xlfn.MAP('6 - TV Stands &amp; Enterta'!B8:B22, '6 - TV Stands &amp; Enterta'!AH8:AH22, '6 - TV Stands &amp; Enterta-WUO_SER'!AH8:AH22, '6 - TV Stands &amp; Enterta-WUO_SSV'!AH8:AH22, _xlfn.LAMBDA(_xlpm.part, _xlpm.val, _xlpm.servererror, _xlpm.serverval, IF(_xlpm.part = "", "", _xlfn.LET(_xlpm.ssvMsg, IF(AND(LEN(_xlpm.servererror), _xlpm.val = _xlpm.serverval), _xlpm.servererror, ""), IF(LEN(_xlpm.ssvMsg) &gt; 0, _xlpm.ssvMsg, IF(AND(_xlpm.val = "", AH$3="Required"), IF(OR('6 - TV Stands &amp; Enterta'!AH$7 = "", '6 - TV Stands &amp; Enterta'!AH$7 = "N/A"), "3:Warning Required - Value is required", ""), ""))))))</f>
        <v/>
      </c>
      <c r="AI8">
        <f t="array" ref="AI8">_xlfn.MAP('6 - TV Stands &amp; Enterta'!B8:B22, '6 - TV Stands &amp; Enterta'!AI8:AI22, '6 - TV Stands &amp; Enterta-WUO_SER'!AI8:AI22, '6 - TV Stands &amp; Enterta-WUO_SSV'!AI8:AI22, '6 - TV Stands &amp; Enterta'!AJ8:AJ22, '6 - TV Stands &amp; Enterta'!AH8:AH22, _xlfn.LAMBDA(_xlpm.part, _xlpm.val, _xlpm.servererror, _xlpm.serverval, _xlpm.dep1, _xlpm.dep2, IF(_xlpm.part = "", "", _xlfn.LET(_xlpm.ssvMsg, IF(AND(LEN(_xlpm.servererror), _xlpm.val = _xlpm.serverval), _xlpm.servererror, ""), IF(LEN(_xlpm.ssvMsg) &gt; 0, _xlpm.ssvMsg, _xlfn.LET(_xlpm.check1, IF(AND(_xlpm.val = "", AI$3="Required"), IF(OR('6 - TV Stands &amp; Enterta'!AI$7 = "", '6 - TV Stands &amp; Enterta'!AI$7 = "N/A"), "3:Chemical - Value is required", ""), ""), IF(LEN(_xlpm.check1) &gt; 0, _xlpm.check1, _xlfn.LET(_xlpm.check2, IF(_xlpm.dep1 &lt;&gt; "", IF(_xlpm.val = "", IF(OR('6 - TV Stands &amp; Enterta'!AI$7 = "", '6 - TV Stands &amp; Enterta'!AI$7 = "N/A"), "3:Please provide a chemical", ""), ""), ""), IF(LEN(_xlpm.check2) &gt; 0, _xlpm.check2, IF(_xlpm.dep2 = "Yes", IF(_xlpm.val = "", IF(OR('6 - TV Stands &amp; Enterta'!AI$7 = "", '6 - TV Stands &amp; Enterta'!AI$7 = "N/A"), "3:If a warning is required, then a chemical must also be provided", ""), ""), ""))))))))))</f>
        <v/>
      </c>
      <c r="AJ8">
        <f t="array" ref="AJ8">_xlfn.MAP('6 - TV Stands &amp; Enterta'!B8:B22, '6 - TV Stands &amp; Enterta'!AJ8:AJ22, '6 - TV Stands &amp; Enterta-WUO_SER'!AJ8:AJ22, '6 - TV Stands &amp; Enterta-WUO_SSV'!AJ8:AJ22, '6 - TV Stands &amp; Enterta'!AI8:AI22, '6 - TV Stands &amp; Enterta'!AH8:AH22, _xlfn.LAMBDA(_xlpm.part, _xlpm.val, _xlpm.servererror, _xlpm.serverval, _xlpm.dep1, _xlpm.dep2,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AJ$3="Required"), IF(OR('6 - TV Stands &amp; Enterta'!AJ$7 = "", '6 - TV Stands &amp; Enterta'!AJ$7 = "N/A"), "3:Toxicity - Value is required", ""), ""), IF(LEN(_xlpm.check2) &gt; 0, _xlpm.check2, _xlfn.LET(_xlpm.check3, IF(_xlpm.dep1 &lt;&gt; "", IF(_xlpm.val = "", IF(OR('6 - TV Stands &amp; Enterta'!AJ$7 = "", '6 - TV Stands &amp; Enterta'!AJ$7 = "N/A"), "3:Please select a toxicity from the provided dropdown", ""), ""), ""), IF(LEN(_xlpm.check3) &gt; 0, _xlpm.check3, IF(_xlpm.dep2 = "Yes", IF(_xlpm.val = "", IF(OR('6 - TV Stands &amp; Enterta'!AJ$7 = "", '6 - TV Stands &amp; Enterta'!AJ$7 = "N/A"), "3:If a warning is required, then a chemical must also be provided", ""), ""), ""))))))))))))</f>
        <v/>
      </c>
      <c r="AK8">
        <f t="array" ref="AK8">_xlfn.MAP('6 - TV Stands &amp; Enterta'!B8:B22, '6 - TV Stands &amp; Enterta'!AK8:AK22, '6 - TV Stands &amp; Enterta-WUO_SER'!AK8:AK22, '6 - TV Stands &amp; Enterta-WUO_SSV'!AK8:AK22, _xlfn.LAMBDA(_xlpm.part, _xlpm.val, _xlpm.servererror, _xlpm.serverval, IF(_xlpm.part = "", "", _xlfn.LET(_xlpm.ssvMsg, IF(AND(LEN(_xlpm.servererror), _xlpm.val = _xlpm.serverval), _xlpm.servererror, ""), IF(LEN(_xlpm.ssvMsg) &gt; 0, _xlpm.ssvMsg, IF(AND(_xlpm.val = "", AK$3="Required"), IF(OR('6 - TV Stands &amp; Enterta'!AK$7 = "", '6 - TV Stands &amp; Enterta'!AK$7 = "N/A"), "3:Country Of Manufacturer - Value is required", ""), ""))))))</f>
        <v/>
      </c>
      <c r="AL8">
        <f t="array" ref="AL8">_xlfn.MAP('6 - TV Stands &amp; Enterta'!B8:B22, '6 - TV Stands &amp; Enterta'!AL8:AL22, '6 - TV Stands &amp; Enterta-WUO_SER'!AL8:AL22, '6 - TV Stands &amp; Enterta-WUO_SSV'!AL8:AL22, _xlfn.LAMBDA(_xlpm.part, _xlpm.val, _xlpm.servererror, _xlpm.serverval, IF(_xlpm.part = "", "", _xlfn.LET(_xlpm.ssvMsg, IF(AND(LEN(_xlpm.servererror), _xlpm.val = _xlpm.serverval), _xlpm.servererror, ""), IF(LEN(_xlpm.ssvMsg) &gt; 0, _xlpm.ssvMsg, IF(AND(_xlpm.val = "", AL$3="Required"), IF(OR('6 - TV Stands &amp; Enterta'!AL$7 = "", '6 - TV Stands &amp; Enterta'!AL$7 = "N/A"), "3:Image File Name or URL - Value is required", ""), ""))))))</f>
        <v/>
      </c>
      <c r="AM8">
        <f t="array" ref="AM8">_xlfn.MAP('6 - TV Stands &amp; Enterta'!B8:B22, '6 - TV Stands &amp; Enterta'!AM8:AM22, '6 - TV Stands &amp; Enterta-WUO_SER'!AM8:AM22, '6 - TV Stands &amp; Enterta-WUO_SSV'!AM8:AM22, _xlfn.LAMBDA(_xlpm.part, _xlpm.val, _xlpm.servererror, _xlpm.serverval, IF(_xlpm.part = "", "", _xlfn.LET(_xlpm.ssvMsg, IF(AND(LEN(_xlpm.servererror), _xlpm.val = _xlpm.serverval), _xlpm.servererror, ""), IF(LEN(_xlpm.ssvMsg) &gt; 0, _xlpm.ssvMsg, IF(AND(_xlpm.val = "", AM$3="Required"), IF(OR('6 - TV Stands &amp; Enterta'!AM$7 = "", '6 - TV Stands &amp; Enterta'!AM$7 = "N/A"), "3:Image File Name or URL - Value is required", ""), ""))))))</f>
        <v/>
      </c>
      <c r="AN8">
        <f t="array" ref="AN8">_xlfn.MAP('6 - TV Stands &amp; Enterta'!B8:B22, '6 - TV Stands &amp; Enterta'!AN8:AN22, '6 - TV Stands &amp; Enterta-WUO_SER'!AN8:AN22, '6 - TV Stands &amp; Enterta-WUO_SSV'!AN8:AN22, _xlfn.LAMBDA(_xlpm.part, _xlpm.val, _xlpm.servererror, _xlpm.serverval, IF(_xlpm.part = "", "", _xlfn.LET(_xlpm.ssvMsg, IF(AND(LEN(_xlpm.servererror), _xlpm.val = _xlpm.serverval), _xlpm.servererror, ""), IF(LEN(_xlpm.ssvMsg) &gt; 0, _xlpm.ssvMsg, IF(AND(_xlpm.val = "", AN$3="Required"), IF(OR('6 - TV Stands &amp; Enterta'!AN$7 = "", '6 - TV Stands &amp; Enterta'!AN$7 = "N/A"), "3:Image File Name or URL - Value is required", ""), ""))))))</f>
        <v/>
      </c>
      <c r="AO8">
        <f t="array" ref="AO8">_xlfn.MAP('6 - TV Stands &amp; Enterta'!B8:B22, '6 - TV Stands &amp; Enterta'!AO8:AO22, '6 - TV Stands &amp; Enterta-WUO_SER'!AO8:AO22, '6 - TV Stands &amp; Enterta-WUO_SSV'!AO8:AO22, _xlfn.LAMBDA(_xlpm.part, _xlpm.val, _xlpm.servererror, _xlpm.serverval, IF(_xlpm.part = "", "", _xlfn.LET(_xlpm.ssvMsg, IF(AND(LEN(_xlpm.servererror), _xlpm.val = _xlpm.serverval), _xlpm.servererror, ""), IF(LEN(_xlpm.ssvMsg) &gt; 0, _xlpm.ssvMsg, IF(AND(_xlpm.val = "", AO$3="Required"), IF(OR('6 - TV Stands &amp; Enterta'!AO$7 = "", '6 - TV Stands &amp; Enterta'!AO$7 = "N/A"), "3:Image File Name or URL - Value is required", ""), ""))))))</f>
        <v/>
      </c>
      <c r="AP8">
        <f t="array" ref="AP8">_xlfn.MAP('6 - TV Stands &amp; Enterta'!B8:B22, '6 - TV Stands &amp; Enterta'!AP8:AP22, '6 - TV Stands &amp; Enterta-WUO_SER'!AP8:AP22, '6 - TV Stands &amp; Enterta-WUO_SSV'!AP8:AP22, _xlfn.LAMBDA(_xlpm.part, _xlpm.val, _xlpm.servererror, _xlpm.serverval, IF(_xlpm.part = "", "", _xlfn.LET(_xlpm.ssvMsg, IF(AND(LEN(_xlpm.servererror), _xlpm.val = _xlpm.serverval), _xlpm.servererror, ""), IF(LEN(_xlpm.ssvMsg) &gt; 0, _xlpm.ssvMsg, IF(AND(_xlpm.val = "", AP$3="Required"), IF(OR('6 - TV Stands &amp; Enterta'!AP$7 = "", '6 - TV Stands &amp; Enterta'!AP$7 = "N/A"), "3:Image File Name or URL - Value is required", ""), ""))))))</f>
        <v/>
      </c>
      <c r="AQ8">
        <f t="array" ref="AQ8">_xlfn.MAP('6 - TV Stands &amp; Enterta'!B8:B22, '6 - TV Stands &amp; Enterta'!AQ8:AQ22, '6 - TV Stands &amp; Enterta-WUO_SER'!AQ8:AQ22, '6 - TV Stands &amp; Enterta-WUO_SSV'!AQ8:AQ22, _xlfn.LAMBDA(_xlpm.part, _xlpm.val, _xlpm.servererror, _xlpm.serverval, IF(_xlpm.part = "", "", _xlfn.LET(_xlpm.ssvMsg, IF(AND(LEN(_xlpm.servererror), _xlpm.val = _xlpm.serverval), _xlpm.servererror, ""), IF(LEN(_xlpm.ssvMsg) &gt; 0, _xlpm.ssvMsg, IF(AND(_xlpm.val = "", AQ$3="Required"), IF(OR('6 - TV Stands &amp; Enterta'!AQ$7 = "", '6 - TV Stands &amp; Enterta'!AQ$7 = "N/A"), "3:Video File Name or URL - Value is required", ""), ""))))))</f>
        <v/>
      </c>
      <c r="AR8">
        <f t="array" ref="AR8">_xlfn.MAP('6 - TV Stands &amp; Enterta'!B8:B22, '6 - TV Stands &amp; Enterta'!AR8:AR22, '6 - TV Stands &amp; Enterta-WUO_SER'!AR8:AR22, '6 - TV Stands &amp; Enterta-WUO_SSV'!AR8:AR22, '6 - TV Stands &amp; Enterta'!AS8:AS22, '6 - TV Stands &amp; Enterta'!AT8:AT22, '6 - TV Stands &amp; Enterta'!AU8:AU22, '6 - TV Stands &amp; Enterta'!AV8:AV22, _xlfn.LAMBDA(_xlpm.part, _xlpm.val, _xlpm.servererror, _xlpm.serverval, _xlpm.dep1, _xlpm.dep2, _xlpm.dep3, _xlpm.dep4, IF(_xlpm.part = "", "", _xlfn.LET(_xlpm.ssvMsg, IF(AND(LEN(_xlpm.servererror), _xlpm.val = _xlpm.serverval), _xlpm.servererror, ""), IF(LEN(_xlpm.ssvMsg) &gt; 0, _xlpm.ssvMsg, _xlfn.LET(_xlpm.check1, IF(AND(_xlpm.val = "", AR$3="Required"), IF(OR('6 - TV Stands &amp; Enterta'!AR$7 = "", '6 - TV Stands &amp; Enterta'!AR$7 = "N/A"), "3:Document File Name or URL - Value is required", ""), ""), IF(LEN(_xlpm.check1) &gt; 0, _xlpm.check1, IF(OR(_xlpm.dep1 &lt;&gt; "", _xlpm.dep2 &lt;&gt; "", _xlpm.dep3 &lt;&gt; "", _xlpm.dep4 &lt;&gt; ""), IF(_xlpm.val = "", IF(OR('6 - TV Stands &amp; Enterta'!AR$7 = "", '6 - TV Stands &amp; Enterta'!AR$7 = "N/A"), "3:Document value is required", ""), ""), ""))))))))</f>
        <v/>
      </c>
      <c r="AS8">
        <f t="array" ref="AS8">_xlfn.MAP('6 - TV Stands &amp; Enterta'!B8:B22, '6 - TV Stands &amp; Enterta'!AS8:AS22, '6 - TV Stands &amp; Enterta-WUO_SER'!AS8:AS22, '6 - TV Stands &amp; Enterta-WUO_SSV'!AS8:AS22,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AS$3="Required"), IF(OR('6 - TV Stands &amp; Enterta'!AS$7 = "", '6 - TV Stands &amp; Enterta'!AS$7 = "N/A"), "3:Document Type - Value is required", ""), ""))))))))</f>
        <v/>
      </c>
      <c r="AT8">
        <f t="array" ref="AT8">_xlfn.MAP('6 - TV Stands &amp; Enterta'!B8:B22, '6 - TV Stands &amp; Enterta'!AT8:AT22, '6 - TV Stands &amp; Enterta-WUO_SER'!AT8:AT22, '6 - TV Stands &amp; Enterta-WUO_SSV'!AT8:AT22,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AT$3="Required"), IF(OR('6 - TV Stands &amp; Enterta'!AT$7 = "", '6 - TV Stands &amp; Enterta'!AT$7 = "N/A"), "3:Legal Document Type - Value is required", ""), ""))))))))</f>
        <v/>
      </c>
      <c r="AU8">
        <f t="array" ref="AU8">_xlfn.MAP('6 - TV Stands &amp; Enterta'!B8:B22, '6 - TV Stands &amp; Enterta'!AU8:AU22, '6 - TV Stands &amp; Enterta-WUO_SER'!AU8:AU22, '6 - TV Stands &amp; Enterta-WUO_SSV'!AU8:AU22, _xlfn.LAMBDA(_xlpm.part, _xlpm.val, _xlpm.servererror, _xlpm.serverval, IF(_xlpm.part = "", "", _xlfn.LET(_xlpm.ssvMsg, IF(AND(LEN(_xlpm.servererror), _xlpm.val = _xlpm.serverval), _xlpm.servererror, ""), IF(LEN(_xlpm.ssvMsg) &gt; 0, _xlpm.ssvMsg, IF(AND(_xlpm.val = "", AU$3="Required"), IF(OR('6 - TV Stands &amp; Enterta'!AU$7 = "", '6 - TV Stands &amp; Enterta'!AU$7 = "N/A"), "3:Document Region - Value is required", ""), ""))))))</f>
        <v/>
      </c>
      <c r="AV8">
        <f t="array" ref="AV8">_xlfn.MAP('6 - TV Stands &amp; Enterta'!B8:B22, '6 - TV Stands &amp; Enterta'!AV8:AV22, '6 - TV Stands &amp; Enterta-WUO_SER'!AV8:AV22, '6 - TV Stands &amp; Enterta-WUO_SSV'!AV8:AV22, _xlfn.LAMBDA(_xlpm.part, _xlpm.val, _xlpm.servererror, _xlpm.serverval, IF(_xlpm.part = "", "", _xlfn.LET(_xlpm.ssvMsg, IF(AND(LEN(_xlpm.servererror), _xlpm.val = _xlpm.serverval), _xlpm.servererror, ""), IF(LEN(_xlpm.ssvMsg) &gt; 0, _xlpm.ssvMsg, IF(AND(_xlpm.val = "", AV$3="Required"), IF(OR('6 - TV Stands &amp; Enterta'!AV$7 = "", '6 - TV Stands &amp; Enterta'!AV$7 = "N/A"), "3:Document Language - Value is required", ""), ""))))))</f>
        <v/>
      </c>
      <c r="AW8">
        <f t="array" ref="AW8">_xlfn.MAP('6 - TV Stands &amp; Enterta'!B8:B22, '6 - TV Stands &amp; Enterta'!AW8:AW22, '6 - TV Stands &amp; Enterta-WUO_SER'!AW8:AW22, '6 - TV Stands &amp; Enterta-WUO_SSV'!AW8:AW22, '6 - TV Stands &amp; Enterta'!AX8:AX22, '6 - TV Stands &amp; Enterta'!AY8:AY22, '6 - TV Stands &amp; Enterta'!AZ8:AZ22, '6 - TV Stands &amp; Enterta'!BA8:BA22, _xlfn.LAMBDA(_xlpm.part, _xlpm.val, _xlpm.servererror, _xlpm.serverval, _xlpm.dep1, _xlpm.dep2, _xlpm.dep3, _xlpm.dep4, IF(_xlpm.part = "", "", _xlfn.LET(_xlpm.ssvMsg, IF(AND(LEN(_xlpm.servererror), _xlpm.val = _xlpm.serverval), _xlpm.servererror, ""), IF(LEN(_xlpm.ssvMsg) &gt; 0, _xlpm.ssvMsg, _xlfn.LET(_xlpm.check1, IF(AND(_xlpm.val = "", AW$3="Required"), IF(OR('6 - TV Stands &amp; Enterta'!AW$7 = "", '6 - TV Stands &amp; Enterta'!AW$7 = "N/A"), "3:Document File Name or URL - Value is required", ""), ""), IF(LEN(_xlpm.check1) &gt; 0, _xlpm.check1, IF(OR(_xlpm.dep1 &lt;&gt; "", _xlpm.dep2 &lt;&gt; "", _xlpm.dep3 &lt;&gt; "", _xlpm.dep4 &lt;&gt; ""), IF(_xlpm.val = "", IF(OR('6 - TV Stands &amp; Enterta'!AW$7 = "", '6 - TV Stands &amp; Enterta'!AW$7 = "N/A"), "3:Document value is required", ""), ""), ""))))))))</f>
        <v/>
      </c>
      <c r="AX8">
        <f t="array" ref="AX8">_xlfn.MAP('6 - TV Stands &amp; Enterta'!B8:B22, '6 - TV Stands &amp; Enterta'!AX8:AX22, '6 - TV Stands &amp; Enterta-WUO_SER'!AX8:AX22, '6 - TV Stands &amp; Enterta-WUO_SSV'!AX8:AX22,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AX$3="Required"), IF(OR('6 - TV Stands &amp; Enterta'!AX$7 = "", '6 - TV Stands &amp; Enterta'!AX$7 = "N/A"), "3:Document Type - Value is required", ""), ""))))))))</f>
        <v/>
      </c>
      <c r="AY8">
        <f t="array" ref="AY8">_xlfn.MAP('6 - TV Stands &amp; Enterta'!B8:B22, '6 - TV Stands &amp; Enterta'!AY8:AY22, '6 - TV Stands &amp; Enterta-WUO_SER'!AY8:AY22, '6 - TV Stands &amp; Enterta-WUO_SSV'!AY8:AY22,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AY$3="Required"), IF(OR('6 - TV Stands &amp; Enterta'!AY$7 = "", '6 - TV Stands &amp; Enterta'!AY$7 = "N/A"), "3:Legal Document Type - Value is required", ""), ""))))))))</f>
        <v/>
      </c>
      <c r="AZ8">
        <f t="array" ref="AZ8">_xlfn.MAP('6 - TV Stands &amp; Enterta'!B8:B22, '6 - TV Stands &amp; Enterta'!AZ8:AZ22, '6 - TV Stands &amp; Enterta-WUO_SER'!AZ8:AZ22, '6 - TV Stands &amp; Enterta-WUO_SSV'!AZ8:AZ22, _xlfn.LAMBDA(_xlpm.part, _xlpm.val, _xlpm.servererror, _xlpm.serverval, IF(_xlpm.part = "", "", _xlfn.LET(_xlpm.ssvMsg, IF(AND(LEN(_xlpm.servererror), _xlpm.val = _xlpm.serverval), _xlpm.servererror, ""), IF(LEN(_xlpm.ssvMsg) &gt; 0, _xlpm.ssvMsg, IF(AND(_xlpm.val = "", AZ$3="Required"), IF(OR('6 - TV Stands &amp; Enterta'!AZ$7 = "", '6 - TV Stands &amp; Enterta'!AZ$7 = "N/A"), "3:Document Region - Value is required", ""), ""))))))</f>
        <v/>
      </c>
      <c r="BA8">
        <f t="array" ref="BA8">_xlfn.MAP('6 - TV Stands &amp; Enterta'!B8:B22, '6 - TV Stands &amp; Enterta'!BA8:BA22, '6 - TV Stands &amp; Enterta-WUO_SER'!BA8:BA22, '6 - TV Stands &amp; Enterta-WUO_SSV'!BA8:BA22, _xlfn.LAMBDA(_xlpm.part, _xlpm.val, _xlpm.servererror, _xlpm.serverval, IF(_xlpm.part = "", "", _xlfn.LET(_xlpm.ssvMsg, IF(AND(LEN(_xlpm.servererror), _xlpm.val = _xlpm.serverval), _xlpm.servererror, ""), IF(LEN(_xlpm.ssvMsg) &gt; 0, _xlpm.ssvMsg, IF(AND(_xlpm.val = "", BA$3="Required"), IF(OR('6 - TV Stands &amp; Enterta'!BA$7 = "", '6 - TV Stands &amp; Enterta'!BA$7 = "N/A"), "3:Document Language - Value is required", ""), ""))))))</f>
        <v/>
      </c>
      <c r="BB8">
        <f t="array" ref="BB8">_xlfn.MAP('6 - TV Stands &amp; Enterta'!B8:B22, '6 - TV Stands &amp; Enterta'!BB8:BB22, '6 - TV Stands &amp; Enterta-WUO_SER'!BB8:BB22, '6 - TV Stands &amp; Enterta-WUO_SSV'!BB8:BB22, '6 - TV Stands &amp; Enterta'!BC8:BC22, '6 - TV Stands &amp; Enterta'!BD8:BD22, '6 - TV Stands &amp; Enterta'!BE8:BE22, '6 - TV Stands &amp; Enterta'!BF8:BF22, _xlfn.LAMBDA(_xlpm.part, _xlpm.val, _xlpm.servererror, _xlpm.serverval, _xlpm.dep1, _xlpm.dep2, _xlpm.dep3, _xlpm.dep4, IF(_xlpm.part = "", "", _xlfn.LET(_xlpm.ssvMsg, IF(AND(LEN(_xlpm.servererror), _xlpm.val = _xlpm.serverval), _xlpm.servererror, ""), IF(LEN(_xlpm.ssvMsg) &gt; 0, _xlpm.ssvMsg, _xlfn.LET(_xlpm.check1, IF(AND(_xlpm.val = "", BB$3="Required"), IF(OR('6 - TV Stands &amp; Enterta'!BB$7 = "", '6 - TV Stands &amp; Enterta'!BB$7 = "N/A"), "3:Document File Name or URL - Value is required", ""), ""), IF(LEN(_xlpm.check1) &gt; 0, _xlpm.check1, IF(OR(_xlpm.dep1 &lt;&gt; "", _xlpm.dep2 &lt;&gt; "", _xlpm.dep3 &lt;&gt; "", _xlpm.dep4 &lt;&gt; ""), IF(_xlpm.val = "", IF(OR('6 - TV Stands &amp; Enterta'!BB$7 = "", '6 - TV Stands &amp; Enterta'!BB$7 = "N/A"), "3:Document value is required", ""), ""), ""))))))))</f>
        <v/>
      </c>
      <c r="BC8">
        <f t="array" ref="BC8">_xlfn.MAP('6 - TV Stands &amp; Enterta'!B8:B22, '6 - TV Stands &amp; Enterta'!BC8:BC22, '6 - TV Stands &amp; Enterta-WUO_SER'!BC8:BC22, '6 - TV Stands &amp; Enterta-WUO_SSV'!BC8:BC22,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BC$3="Required"), IF(OR('6 - TV Stands &amp; Enterta'!BC$7 = "", '6 - TV Stands &amp; Enterta'!BC$7 = "N/A"), "3:Document Type - Value is required", ""), ""))))))))</f>
        <v/>
      </c>
      <c r="BD8">
        <f t="array" ref="BD8">_xlfn.MAP('6 - TV Stands &amp; Enterta'!B8:B22, '6 - TV Stands &amp; Enterta'!BD8:BD22, '6 - TV Stands &amp; Enterta-WUO_SER'!BD8:BD22, '6 - TV Stands &amp; Enterta-WUO_SSV'!BD8:BD22,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BD$3="Required"), IF(OR('6 - TV Stands &amp; Enterta'!BD$7 = "", '6 - TV Stands &amp; Enterta'!BD$7 = "N/A"), "3:Legal Document Type - Value is required", ""), ""))))))))</f>
        <v/>
      </c>
      <c r="BE8">
        <f t="array" ref="BE8">_xlfn.MAP('6 - TV Stands &amp; Enterta'!B8:B22, '6 - TV Stands &amp; Enterta'!BE8:BE22, '6 - TV Stands &amp; Enterta-WUO_SER'!BE8:BE22, '6 - TV Stands &amp; Enterta-WUO_SSV'!BE8:BE22, _xlfn.LAMBDA(_xlpm.part, _xlpm.val, _xlpm.servererror, _xlpm.serverval, IF(_xlpm.part = "", "", _xlfn.LET(_xlpm.ssvMsg, IF(AND(LEN(_xlpm.servererror), _xlpm.val = _xlpm.serverval), _xlpm.servererror, ""), IF(LEN(_xlpm.ssvMsg) &gt; 0, _xlpm.ssvMsg, IF(AND(_xlpm.val = "", BE$3="Required"), IF(OR('6 - TV Stands &amp; Enterta'!BE$7 = "", '6 - TV Stands &amp; Enterta'!BE$7 = "N/A"), "3:Document Region - Value is required", ""), ""))))))</f>
        <v/>
      </c>
      <c r="BF8">
        <f t="array" ref="BF8">_xlfn.MAP('6 - TV Stands &amp; Enterta'!B8:B22, '6 - TV Stands &amp; Enterta'!BF8:BF22, '6 - TV Stands &amp; Enterta-WUO_SER'!BF8:BF22, '6 - TV Stands &amp; Enterta-WUO_SSV'!BF8:BF22, _xlfn.LAMBDA(_xlpm.part, _xlpm.val, _xlpm.servererror, _xlpm.serverval, IF(_xlpm.part = "", "", _xlfn.LET(_xlpm.ssvMsg, IF(AND(LEN(_xlpm.servererror), _xlpm.val = _xlpm.serverval), _xlpm.servererror, ""), IF(LEN(_xlpm.ssvMsg) &gt; 0, _xlpm.ssvMsg, IF(AND(_xlpm.val = "", BF$3="Required"), IF(OR('6 - TV Stands &amp; Enterta'!BF$7 = "", '6 - TV Stands &amp; Enterta'!BF$7 = "N/A"), "3:Document Language - Value is required", ""), ""))))))</f>
        <v/>
      </c>
      <c r="BG8">
        <f t="array" ref="BG8">_xlfn.MAP('6 - TV Stands &amp; Enterta'!B8:B22, '6 - TV Stands &amp; Enterta'!BG8:BG22, '6 - TV Stands &amp; Enterta-WUO_SER'!BG8:BG22, '6 - TV Stands &amp; Enterta-WUO_SSV'!BG8:BG22, _xlfn.LAMBDA(_xlpm.part, _xlpm.val, _xlpm.servererror, _xlpm.serverval, IF(_xlpm.part = "", "", _xlfn.LET(_xlpm.ssvMsg, IF(AND(LEN(_xlpm.servererror), _xlpm.val = _xlpm.serverval), _xlpm.servererror, ""), IF(LEN(_xlpm.ssvMsg) &gt; 0, _xlpm.ssvMsg, IF(AND(_xlpm.val = "", BG$3="Required"), IF(OR('6 - TV Stands &amp; Enterta'!BG$7 = "", '6 - TV Stands &amp; Enterta'!BG$7 = "N/A"), "3:Product Type - Value is required", ""), ""))))))</f>
        <v/>
      </c>
      <c r="BH8">
        <f t="array" ref="BH8">_xlfn.MAP('6 - TV Stands &amp; Enterta'!B8:B22, '6 - TV Stands &amp; Enterta'!BH8:BH22, '6 - TV Stands &amp; Enterta-WUO_SER'!BH8:BH22, '6 - TV Stands &amp; Enterta-WUO_SSV'!BH8:BH22,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BH$3="Required"), IF(OR('6 - TV Stands &amp; Enterta'!BH$7 = "", '6 - TV Stands &amp; Enterta'!BH$7 = "N/A"), "3:Pier / Bookcase Included - Value is required", ""), ""))))))))</f>
        <v/>
      </c>
      <c r="BI8">
        <f t="array" ref="BI8">_xlfn.MAP('6 - TV Stands &amp; Enterta'!B8:B22, '6 - TV Stands &amp; Enterta'!BI8:BI22, '6 - TV Stands &amp; Enterta-WUO_SER'!BI8:BI22, '6 - TV Stands &amp; Enterta-WUO_SSV'!BI8:BI22, _xlfn.LAMBDA(_xlpm.part, _xlpm.val, _xlpm.servererror, _xlpm.serverval, IF(_xlpm.part = "", "", _xlfn.LET(_xlpm.ssvMsg, IF(AND(LEN(_xlpm.servererror), _xlpm.val = _xlpm.serverval), _xlpm.servererror, ""), IF(LEN(_xlpm.ssvMsg) &gt; 0, _xlpm.ssvMsg, IF(AND(_xlpm.val = "", BI$3="Required"), IF(OR('6 - TV Stands &amp; Enterta'!BI$7 = "", '6 - TV Stands &amp; Enterta'!BI$7 = "N/A"), "3:Drawers Included - Value is required", ""), ""))))))</f>
        <v/>
      </c>
      <c r="BJ8">
        <f t="array" ref="BJ8">_xlfn.MAP('6 - TV Stands &amp; Enterta'!B8:B22, '6 - TV Stands &amp; Enterta'!BJ8:BJ22, '6 - TV Stands &amp; Enterta-WUO_SER'!BJ8:BJ22, '6 - TV Stands &amp; Enterta-WUO_SSV'!BJ8:BJ22,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BJ$3="Required"), IF(OR('6 - TV Stands &amp; Enterta'!BJ$7 = "", '6 - TV Stands &amp; Enterta'!BJ$7 = "N/A"), "3:Number of Drawers - Value is required", ""), ""))))))))</f>
        <v/>
      </c>
      <c r="BK8">
        <f t="array" ref="BK8">_xlfn.MAP('6 - TV Stands &amp; Enterta'!B8:B22, '6 - TV Stands &amp; Enterta'!BK8:BK22, '6 - TV Stands &amp; Enterta-WUO_SER'!BK8:BK22, '6 - TV Stands &amp; Enterta-WUO_SSV'!BK8:BK22, _xlfn.LAMBDA(_xlpm.part, _xlpm.val, _xlpm.servererror, _xlpm.serverval, IF(_xlpm.part = "", "", _xlfn.LET(_xlpm.ssvMsg, IF(AND(LEN(_xlpm.servererror), _xlpm.val = _xlpm.serverval), _xlpm.servererror, ""), IF(LEN(_xlpm.ssvMsg) &gt; 0, _xlpm.ssvMsg, IF(AND(_xlpm.val = "", BK$3="Required"), IF(OR('6 - TV Stands &amp; Enterta'!BK$7 = "", '6 - TV Stands &amp; Enterta'!BK$7 = "N/A"), "3:Cabinets Included - Value is required", ""), ""))))))</f>
        <v/>
      </c>
      <c r="BL8">
        <f t="array" ref="BL8">_xlfn.MAP('6 - TV Stands &amp; Enterta'!B8:B22, '6 - TV Stands &amp; Enterta'!BL8:BL22, '6 - TV Stands &amp; Enterta-WUO_SER'!BL8:BL22, '6 - TV Stands &amp; Enterta-WUO_SSV'!BL8:BL22, _xlfn.LAMBDA(_xlpm.part, _xlpm.val, _xlpm.servererror, _xlpm.serverval, IF(_xlpm.part = "", "", _xlfn.LET(_xlpm.ssvMsg, IF(AND(LEN(_xlpm.servererror), _xlpm.val = _xlpm.serverval), _xlpm.servererror, ""), IF(LEN(_xlpm.ssvMsg) &gt; 0, _xlpm.ssvMsg, IF(AND(_xlpm.val = "", BL$3="Required"), IF(OR('6 - TV Stands &amp; Enterta'!BL$7 = "", '6 - TV Stands &amp; Enterta'!BL$7 = "N/A"), "3:Shelves Included - Value is required", ""), ""))))))</f>
        <v/>
      </c>
      <c r="BM8">
        <f t="array" ref="BM8">_xlfn.MAP('6 - TV Stands &amp; Enterta'!B8:B22, '6 - TV Stands &amp; Enterta'!BM8:BM22, '6 - TV Stands &amp; Enterta-WUO_SER'!BM8:BM22, '6 - TV Stands &amp; Enterta-WUO_SSV'!BM8:BM22,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BM$3="Required"), IF(OR('6 - TV Stands &amp; Enterta'!BM$7 = "", '6 - TV Stands &amp; Enterta'!BM$7 = "N/A"), "3:Exterior Shelves Included - Value is required", ""), ""))))))))))</f>
        <v/>
      </c>
      <c r="BN8">
        <f t="array" ref="BN8">_xlfn.MAP('6 - TV Stands &amp; Enterta'!B8:B22, '6 - TV Stands &amp; Enterta'!BN8:BN22, '6 - TV Stands &amp; Enterta-WUO_SER'!BN8:BN22, '6 - TV Stands &amp; Enterta-WUO_SSV'!BN8:BN22,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BN$3="Required"), IF(OR('6 - TV Stands &amp; Enterta'!BN$7 = "", '6 - TV Stands &amp; Enterta'!BN$7 = "N/A"), "3:Interior Shelves Included - Value is required", ""), ""))))))))))</f>
        <v/>
      </c>
      <c r="BO8">
        <f t="array" ref="BO8">_xlfn.MAP('6 - TV Stands &amp; Enterta'!B8:B22, '6 - TV Stands &amp; Enterta'!BO8:BO22, '6 - TV Stands &amp; Enterta-WUO_SER'!BO8:BO22, '6 - TV Stands &amp; Enterta-WUO_SSV'!BO8:BO22,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BO$3="Required"), IF(OR('6 - TV Stands &amp; Enterta'!BO$7 = "", '6 - TV Stands &amp; Enterta'!BO$7 = "N/A"), "3:Bridge Included - Value is required", ""), ""))))))))</f>
        <v/>
      </c>
      <c r="BP8">
        <f t="array" ref="BP8">_xlfn.MAP('6 - TV Stands &amp; Enterta'!B8:B22, '6 - TV Stands &amp; Enterta'!BP8:BP22, '6 - TV Stands &amp; Enterta-WUO_SER'!BP8:BP22, '6 - TV Stands &amp; Enterta-WUO_SSV'!BP8:BP22, _xlfn.LAMBDA(_xlpm.part, _xlpm.val, _xlpm.servererror, _xlpm.serverval, IF(_xlpm.part = "", "", _xlfn.LET(_xlpm.ssvMsg, IF(AND(LEN(_xlpm.servererror), _xlpm.val = _xlpm.serverval), _xlpm.servererror, ""), IF(LEN(_xlpm.ssvMsg) &gt; 0, _xlpm.ssvMsg, IF(AND(_xlpm.val = "", BP$3="Required"), IF(OR('6 - TV Stands &amp; Enterta'!BP$7 = "", '6 - TV Stands &amp; Enterta'!BP$7 = "N/A"), "3:Furniture Design - Value is required", ""), ""))))))</f>
        <v/>
      </c>
      <c r="BQ8">
        <f t="array" ref="BQ8">_xlfn.MAP('6 - TV Stands &amp; Enterta'!B8:B22, '6 - TV Stands &amp; Enterta'!BQ8:BQ22, '6 - TV Stands &amp; Enterta-WUO_SER'!BQ8:BQ22, '6 - TV Stands &amp; Enterta-WUO_SSV'!BQ8:BQ22, _xlfn.LAMBDA(_xlpm.part, _xlpm.val, _xlpm.servererror, _xlpm.serverval, IF(_xlpm.part = "", "", _xlfn.LET(_xlpm.ssvMsg, IF(AND(LEN(_xlpm.servererror), _xlpm.val = _xlpm.serverval), _xlpm.servererror, ""), IF(LEN(_xlpm.ssvMsg) &gt; 0, _xlpm.ssvMsg, IF(AND(_xlpm.val = "", BQ$3="Required"), IF(OR('6 - TV Stands &amp; Enterta'!BQ$7 = "", '6 - TV Stands &amp; Enterta'!BQ$7 = "N/A"), "3:Material - Value is required", ""), ""))))))</f>
        <v/>
      </c>
      <c r="BR8">
        <f t="array" ref="BR8">_xlfn.MAP('6 - TV Stands &amp; Enterta'!B8:B22, '6 - TV Stands &amp; Enterta'!BR8:BR22, '6 - TV Stands &amp; Enterta-WUO_SER'!BR8:BR22, '6 - TV Stands &amp; Enterta-WUO_SSV'!BR8:BR22, _xlfn.LAMBDA(_xlpm.part, _xlpm.val, _xlpm.servererror, _xlpm.serverval, IF(_xlpm.part = "", "", _xlfn.LET(_xlpm.ssvMsg, IF(AND(LEN(_xlpm.servererror), _xlpm.val = _xlpm.serverval), _xlpm.servererror, ""), IF(LEN(_xlpm.ssvMsg) &gt; 0, _xlpm.ssvMsg, IF(AND(_xlpm.val = "", BR$3="Required"), IF(OR('6 - TV Stands &amp; Enterta'!BR$7 = "", '6 - TV Stands &amp; Enterta'!BR$7 = "N/A"), "3:Purposeful Distressing Type - Value is required", ""), ""))))))</f>
        <v/>
      </c>
      <c r="BS8">
        <f t="array" ref="BS8">_xlfn.MAP('6 - TV Stands &amp; Enterta'!B8:B22, '6 - TV Stands &amp; Enterta'!BS8:BS22, '6 - TV Stands &amp; Enterta-WUO_SER'!BS8:BS22, '6 - TV Stands &amp; Enterta-WUO_SSV'!BS8:BS22,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AND(NOT(OR(ISNUMBER(SEARCH("Metal", _xlpm.dep1)), ISNUMBER(SEARCH("Steel", _xlpm.dep1)))), _xlpm.dep1 &lt;&gt; "")), "2:Autofill", ""), IF(LEN(_xlpm.check1) &gt; 0, _xlpm.check1, IF(AND(_xlpm.val = "", BS$3="Required"), IF(OR('6 - TV Stands &amp; Enterta'!BS$7 = "", '6 - TV Stands &amp; Enterta'!BS$7 = "N/A"), "3:Natural Variation Type - Value is required", ""), ""))))))))</f>
        <v/>
      </c>
      <c r="BT8">
        <f t="array" ref="BT8">_xlfn.MAP('6 - TV Stands &amp; Enterta'!B8:B22, '6 - TV Stands &amp; Enterta'!BT8:BT22, '6 - TV Stands &amp; Enterta-WUO_SER'!BT8:BT22, '6 - TV Stands &amp; Enterta-WUO_SSV'!BT8:BT22, _xlfn.LAMBDA(_xlpm.part, _xlpm.val, _xlpm.servererror, _xlpm.serverval, IF(_xlpm.part = "", "", _xlfn.LET(_xlpm.ssvMsg, IF(AND(LEN(_xlpm.servererror), _xlpm.val = _xlpm.serverval), _xlpm.servererror, ""), IF(LEN(_xlpm.ssvMsg) &gt; 0, _xlpm.ssvMsg, IF(AND(_xlpm.val = "", BT$3="Required"), IF(OR('6 - TV Stands &amp; Enterta'!BT$7 = "", '6 - TV Stands &amp; Enterta'!BT$7 = "N/A"), "3:Gloss Finish - Value is required", ""), ""))))))</f>
        <v/>
      </c>
      <c r="BU8">
        <f t="array" ref="BU8">_xlfn.MAP('6 - TV Stands &amp; Enterta'!B8:B22, '6 - TV Stands &amp; Enterta'!BU8:BU22, '6 - TV Stands &amp; Enterta-WUO_SER'!BU8:BU22, '6 - TV Stands &amp; Enterta-WUO_SSV'!BU8:BU22, _xlfn.LAMBDA(_xlpm.part, _xlpm.val, _xlpm.servererror, _xlpm.serverval, IF(_xlpm.part = "", "", _xlfn.LET(_xlpm.ssvMsg, IF(AND(LEN(_xlpm.servererror), _xlpm.val = _xlpm.serverval), _xlpm.servererror, ""), IF(LEN(_xlpm.ssvMsg) &gt; 0, _xlpm.ssvMsg, IF(AND(_xlpm.val = "", BU$3="Required"), IF(OR('6 - TV Stands &amp; Enterta'!BU$7 = "", '6 - TV Stands &amp; Enterta'!BU$7 = "N/A"), "3:Mirrored - Value is required", ""), ""))))))</f>
        <v/>
      </c>
      <c r="BV8">
        <f t="array" ref="BV8">_xlfn.MAP('6 - TV Stands &amp; Enterta'!B8:B22, '6 - TV Stands &amp; Enterta'!BV8:BV22, '6 - TV Stands &amp; Enterta-WUO_SER'!BV8:BV22, '6 - TV Stands &amp; Enterta-WUO_SSV'!BV8:BV22, _xlfn.LAMBDA(_xlpm.part, _xlpm.val, _xlpm.servererror, _xlpm.serverval, IF(_xlpm.part = "", "", _xlfn.LET(_xlpm.ssvMsg, IF(AND(LEN(_xlpm.servererror), _xlpm.val = _xlpm.serverval), _xlpm.servererror, ""), IF(LEN(_xlpm.ssvMsg) &gt; 0, _xlpm.ssvMsg, IF(AND(_xlpm.val = "", BV$3="Required"), IF(OR('6 - TV Stands &amp; Enterta'!BV$7 = "", '6 - TV Stands &amp; Enterta'!BV$7 = "N/A"), "3:Sound Bar Shelf Included - Value is required", ""), ""))))))</f>
        <v/>
      </c>
      <c r="BW8">
        <f t="array" ref="BW8">_xlfn.MAP('6 - TV Stands &amp; Enterta'!B8:B22, '6 - TV Stands &amp; Enterta'!BW8:BW22, '6 - TV Stands &amp; Enterta-WUO_SER'!BW8:BW22, '6 - TV Stands &amp; Enterta-WUO_SSV'!BW8:BW22,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BW$3="Required"), IF(OR('6 - TV Stands &amp; Enterta'!BW$7 = "", '6 - TV Stands &amp; Enterta'!BW$7 = "N/A"), "3:Adjustable Shelves - Value is required", ""), ""))))))))))</f>
        <v/>
      </c>
      <c r="BX8">
        <f t="array" ref="BX8">_xlfn.MAP('6 - TV Stands &amp; Enterta'!B8:B22, '6 - TV Stands &amp; Enterta'!BX8:BX22, '6 - TV Stands &amp; Enterta-WUO_SER'!BX8:BX22, '6 - TV Stands &amp; Enterta-WUO_SSV'!BX8:BX22, _xlfn.LAMBDA(_xlpm.part, _xlpm.val, _xlpm.servererror, _xlpm.serverval, IF(_xlpm.part = "", "", _xlfn.LET(_xlpm.ssvMsg, IF(AND(LEN(_xlpm.servererror), _xlpm.val = _xlpm.serverval), _xlpm.servererror, ""), IF(LEN(_xlpm.ssvMsg) &gt; 0, _xlpm.ssvMsg, IF(AND(_xlpm.val = "", BX$3="Required"), IF(OR('6 - TV Stands &amp; Enterta'!BX$7 = "", '6 - TV Stands &amp; Enterta'!BX$7 = "N/A"), "3:Media Storage Included - Value is required", ""), ""))))))</f>
        <v/>
      </c>
      <c r="BY8">
        <f t="array" ref="BY8">_xlfn.MAP('6 - TV Stands &amp; Enterta'!B8:B22, '6 - TV Stands &amp; Enterta'!BY8:BY22, '6 - TV Stands &amp; Enterta-WUO_SER'!BY8:BY22, '6 - TV Stands &amp; Enterta-WUO_SSV'!BY8:BY22, _xlfn.LAMBDA(_xlpm.part, _xlpm.val, _xlpm.servererror, _xlpm.serverval, IF(_xlpm.part = "", "", _xlfn.LET(_xlpm.ssvMsg, IF(AND(LEN(_xlpm.servererror), _xlpm.val = _xlpm.serverval), _xlpm.servererror, ""), IF(LEN(_xlpm.ssvMsg) &gt; 0, _xlpm.ssvMsg, IF(AND(_xlpm.val = "", BY$3="Required"), IF(OR('6 - TV Stands &amp; Enterta'!BY$7 = "", '6 - TV Stands &amp; Enterta'!BY$7 = "N/A"), "3:Cable Management - Value is required", ""), ""))))))</f>
        <v/>
      </c>
      <c r="BZ8">
        <f t="array" ref="BZ8">_xlfn.MAP('6 - TV Stands &amp; Enterta'!B8:B22, '6 - TV Stands &amp; Enterta'!BZ8:BZ22, '6 - TV Stands &amp; Enterta-WUO_SER'!BZ8:BZ22, '6 - TV Stands &amp; Enterta-WUO_SSV'!BZ8:BZ22, _xlfn.LAMBDA(_xlpm.part, _xlpm.val, _xlpm.servererror, _xlpm.serverval, IF(_xlpm.part = "", "", _xlfn.LET(_xlpm.ssvMsg, IF(AND(LEN(_xlpm.servererror), _xlpm.val = _xlpm.serverval), _xlpm.servererror, ""), IF(LEN(_xlpm.ssvMsg) &gt; 0, _xlpm.ssvMsg, IF(AND(_xlpm.val = "", BZ$3="Required"), IF(OR('6 - TV Stands &amp; Enterta'!BZ$7 = "", '6 - TV Stands &amp; Enterta'!BZ$7 = "N/A"), "3:Wheels / Casters Included - Value is required", ""), ""))))))</f>
        <v/>
      </c>
      <c r="CA8">
        <f t="array" ref="CA8">_xlfn.MAP('6 - TV Stands &amp; Enterta'!B8:B22, '6 - TV Stands &amp; Enterta'!CA8:CA22, '6 - TV Stands &amp; Enterta-WUO_SER'!CA8:CA22, '6 - TV Stands &amp; Enterta-WUO_SSV'!CA8:CA22, '6 - TV Stands &amp; Enterta'!BP8:BP22, _xlfn.LAMBDA(_xlpm.part, _xlpm.val, _xlpm.servererror, _xlpm.serverval, _xlpm.dep1, IF(_xlpm.part = "", "", _xlfn.LET(_xlpm.ssvMsg, IF(AND(LEN(_xlpm.servererror), _xlpm.val = _xlpm.serverval), _xlpm.servererror, ""), IF(LEN(_xlpm.ssvMsg) &gt; 0, _xlpm.ssvMsg, _xlfn.LET(_xlpm.check1, IF(AND(_xlpm.val = "", OR(ISNUMBER(SEARCH("TV Stand Fireplace", _xlpm.dep1)), AND(NOT(ISNUMBER(SEARCH("TV Stand Fireplace", _xlpm.dep1))), _xlpm.dep1 &lt;&gt; ""))), "2:Autofill", ""), IF(LEN(_xlpm.check1) &gt; 0, _xlpm.check1, IF(AND(_xlpm.val = "", CA$3="Required"), IF(OR('6 - TV Stands &amp; Enterta'!CA$7 = "", '6 - TV Stands &amp; Enterta'!CA$7 = "N/A"), "3:Fireplace Included - Value is required", ""), ""))))))))</f>
        <v/>
      </c>
      <c r="CB8">
        <f t="array" ref="CB8">_xlfn.MAP('6 - TV Stands &amp; Enterta'!B8:B22, '6 - TV Stands &amp; Enterta'!CB8:CB22, '6 - TV Stands &amp; Enterta-WUO_SER'!CB8:CB22, '6 - TV Stands &amp; Enterta-WUO_SSV'!CB8:CB22, _xlfn.LAMBDA(_xlpm.part, _xlpm.val, _xlpm.servererror, _xlpm.serverval, IF(_xlpm.part = "", "", _xlfn.LET(_xlpm.ssvMsg, IF(AND(LEN(_xlpm.servererror), _xlpm.val = _xlpm.serverval), _xlpm.servererror, ""), IF(LEN(_xlpm.ssvMsg) &gt; 0, _xlpm.ssvMsg, IF(AND(_xlpm.val = "", CB$3="Required"), IF(OR('6 - TV Stands &amp; Enterta'!CB$7 = "", '6 - TV Stands &amp; Enterta'!CB$7 = "N/A"), "3:Plug-In - Value is required", ""), ""))))))</f>
        <v/>
      </c>
      <c r="CC8">
        <f t="array" ref="CC8">_xlfn.MAP('6 - TV Stands &amp; Enterta'!B8:B22, '6 - TV Stands &amp; Enterta'!CC8:CC22, '6 - TV Stands &amp; Enterta-WUO_SER'!CC8:CC22, '6 - TV Stands &amp; Enterta-WUO_SSV'!CC8:CC22, _xlfn.LAMBDA(_xlpm.part, _xlpm.val, _xlpm.servererror, _xlpm.serverval, IF(_xlpm.part = "", "", _xlfn.LET(_xlpm.ssvMsg, IF(AND(LEN(_xlpm.servererror), _xlpm.val = _xlpm.serverval), _xlpm.servererror, ""), IF(LEN(_xlpm.ssvMsg) &gt; 0, _xlpm.ssvMsg, IF(AND(_xlpm.val = "", CC$3="Required"), IF(OR('6 - TV Stands &amp; Enterta'!CC$7 = "", '6 - TV Stands &amp; Enterta'!CC$7 = "N/A"), "3:Tipover Restraint Device Included - Value is required", ""), ""))))))</f>
        <v/>
      </c>
      <c r="CD8">
        <f t="array" ref="CD8">_xlfn.MAP('6 - TV Stands &amp; Enterta'!B8:B22, '6 - TV Stands &amp; Enterta'!CD8:CD22, '6 - TV Stands &amp; Enterta-WUO_SER'!CD8:CD22, '6 - TV Stands &amp; Enterta-WUO_SSV'!CD8:CD22, _xlfn.LAMBDA(_xlpm.part, _xlpm.val, _xlpm.servererror, _xlpm.serverval, IF(_xlpm.part = "", "", _xlfn.LET(_xlpm.ssvMsg, IF(AND(LEN(_xlpm.servererror), _xlpm.val = _xlpm.serverval), _xlpm.servererror, ""), IF(LEN(_xlpm.ssvMsg) &gt; 0, _xlpm.ssvMsg, IF(AND(_xlpm.val = "", CD$3="Required"), IF(OR('6 - TV Stands &amp; Enterta'!CD$7 = "", '6 - TV Stands &amp; Enterta'!CD$7 = "N/A"), "3:Integrated TV Mount Included - Value is required", ""), ""))))))</f>
        <v/>
      </c>
      <c r="CE8">
        <f t="array" ref="CE8">_xlfn.MAP('6 - TV Stands &amp; Enterta'!B8:B22, '6 - TV Stands &amp; Enterta'!CE8:CE22, '6 - TV Stands &amp; Enterta-WUO_SER'!CE8:CE22, '6 - TV Stands &amp; Enterta-WUO_SSV'!CE8:CE22, _xlfn.LAMBDA(_xlpm.part, _xlpm.val, _xlpm.servererror, _xlpm.serverval, IF(_xlpm.part = "", "", _xlfn.LET(_xlpm.ssvMsg, IF(AND(LEN(_xlpm.servererror), _xlpm.val = _xlpm.serverval), _xlpm.servererror, ""), IF(LEN(_xlpm.ssvMsg) &gt; 0, _xlpm.ssvMsg, IF(AND(_xlpm.val = "", CE$3="Required"), IF(OR('6 - TV Stands &amp; Enterta'!CE$7 = "", '6 - TV Stands &amp; Enterta'!CE$7 = "N/A"), "3:Adjustable Height - Value is required", ""), ""))))))</f>
        <v/>
      </c>
      <c r="CF8">
        <f t="array" ref="CF8">_xlfn.MAP('6 - TV Stands &amp; Enterta'!B8:B22, '6 - TV Stands &amp; Enterta'!CF8:CF22, '6 - TV Stands &amp; Enterta-WUO_SER'!CF8:CF22, '6 - TV Stands &amp; Enterta-WUO_SSV'!CF8:CF22,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allowed227966, 0)), ""),IF(AND(_xlpm.invalid&lt;&gt;"", COUNTA(_xlpm.invalid)&gt;0),"1:Please select valid values from the provided list. Answers are case-sensitive and must be separated by a semicolon.","")), ""), IF(LEN(_xlpm.check1) &gt; 0, _xlpm.check1, IF(AND(_xlpm.val = "", CF$3="Required"), IF(OR('6 - TV Stands &amp; Enterta'!CF$7 = "", '6 - TV Stands &amp; Enterta'!CF$7 = "N/A"), "3:Supplier Intended and Approved Use - Value is required", ""), ""))))))))</f>
        <v/>
      </c>
      <c r="CG8">
        <f t="array" ref="CG8">_xlfn.MAP('6 - TV Stands &amp; Enterta'!B8:B22, '6 - TV Stands &amp; Enterta'!CG8:CG22, '6 - TV Stands &amp; Enterta-WUO_SER'!CG8:CG22, '6 - TV Stands &amp; Enterta-WUO_SSV'!CG8:CG22, _xlfn.LAMBDA(_xlpm.part, _xlpm.val, _xlpm.servererror, _xlpm.serverval, IF(_xlpm.part = "", "", _xlfn.LET(_xlpm.ssvMsg, IF(AND(LEN(_xlpm.servererror), _xlpm.val = _xlpm.serverval), _xlpm.servererror, ""), IF(LEN(_xlpm.ssvMsg) &gt; 0, _xlpm.ssvMsg, IF(AND(_xlpm.val = "", CG$3="Required"), IF(OR('6 - TV Stands &amp; Enterta'!CG$7 = "", '6 - TV Stands &amp; Enterta'!CG$7 = "N/A"), "3:Country of Origin - Additional Details - Value is required", ""), ""))))))</f>
        <v/>
      </c>
      <c r="CH8">
        <f t="array" ref="CH8">_xlfn.MAP('6 - TV Stands &amp; Enterta'!B8:B22, '6 - TV Stands &amp; Enterta'!CH8:CH22, '6 - TV Stands &amp; Enterta-WUO_SER'!CH8:CH22, '6 - TV Stands &amp; Enterta-WUO_SSV'!CH8:CH22,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AND(NOT(ISNUMBER(SEARCH("Teak", _xlpm.dep1))), _xlpm.dep1 &lt;&gt; "")), "2:Autofill", ""), IF(LEN(_xlpm.check1) &gt; 0, _xlpm.check1, IF(AND(_xlpm.val = "", CH$3="Required"), IF(OR('6 - TV Stands &amp; Enterta'!CH$7 = "", '6 - TV Stands &amp; Enterta'!CH$7 = "N/A"), "3:Main Wood Joinery Method - Value is required", ""), ""))))))))</f>
        <v/>
      </c>
      <c r="CI8">
        <f t="array" ref="CI8">_xlfn.MAP('6 - TV Stands &amp; Enterta'!B8:B22, '6 - TV Stands &amp; Enterta'!CI8:CI22, '6 - TV Stands &amp; Enterta-WUO_SER'!CI8:CI22, '6 - TV Stands &amp; Enterta-WUO_SSV'!CI8:CI22, _xlfn.LAMBDA(_xlpm.part, _xlpm.val, _xlpm.servererror, _xlpm.serverval, IF(_xlpm.part = "", "", _xlfn.LET(_xlpm.ssvMsg, IF(AND(LEN(_xlpm.servererror), _xlpm.val = _xlpm.serverval), _xlpm.servererror, ""), IF(LEN(_xlpm.ssvMsg) &gt; 0, _xlpm.ssvMsg, IF(AND(_xlpm.val = "", CI$3="Required"), IF(OR('6 - TV Stands &amp; Enterta'!CI$7 = "", '6 - TV Stands &amp; Enterta'!CI$7 = "N/A"), "3:Kiln-Dried Wood - Value is required", ""), ""))))))</f>
        <v/>
      </c>
      <c r="CJ8">
        <f t="array" ref="CJ8">_xlfn.MAP('6 - TV Stands &amp; Enterta'!B8:B22, '6 - TV Stands &amp; Enterta'!CJ8:CJ22, '6 - TV Stands &amp; Enterta-WUO_SER'!CJ8:CJ22, '6 - TV Stands &amp; Enterta-WUO_SSV'!CJ8:CJ22,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allowed185254, 0)), ""),IF(AND(_xlpm.invalid&lt;&gt;"", COUNTA(_xlpm.invalid)&gt;0),"1:Please select valid values from the provided list. Answers are case-sensitive and must be separated by a semicolon.","")), ""), IF(LEN(_xlpm.check1) &gt; 0, _xlpm.check1, IF(AND(_xlpm.val = "", CJ$3="Required"), IF(OR('6 - TV Stands &amp; Enterta'!CJ$7 = "", '6 - TV Stands &amp; Enterta'!CJ$7 = "N/A"), "3:Wood Species - Value is required", ""), ""))))))))</f>
        <v/>
      </c>
      <c r="CK8">
        <f t="array" ref="CK8">_xlfn.MAP('6 - TV Stands &amp; Enterta'!B8:B22, '6 - TV Stands &amp; Enterta'!CK8:CK22, '6 - TV Stands &amp; Enterta-WUO_SER'!CK8:CK22, '6 - TV Stands &amp; Enterta-WUO_SSV'!CK8:CK22, _xlfn.LAMBDA(_xlpm.part, _xlpm.val, _xlpm.servererror, _xlpm.serverval, IF(_xlpm.part = "", "", _xlfn.LET(_xlpm.ssvMsg, IF(AND(LEN(_xlpm.servererror), _xlpm.val = _xlpm.serverval), _xlpm.servererror, ""), IF(LEN(_xlpm.ssvMsg) &gt; 0, _xlpm.ssvMsg, IF(AND(_xlpm.val = "", CK$3="Required"), IF(OR('6 - TV Stands &amp; Enterta'!CK$7 = "", '6 - TV Stands &amp; Enterta'!CK$7 = "N/A"), "3:Battery or Batteries Included - Value is required", ""), ""))))))</f>
        <v/>
      </c>
      <c r="CL8">
        <f t="array" ref="CL8">_xlfn.MAP('6 - TV Stands &amp; Enterta'!B8:B22, '6 - TV Stands &amp; Enterta'!CL8:CL22, '6 - TV Stands &amp; Enterta-WUO_SER'!CL8:CL22, '6 - TV Stands &amp; Enterta-WUO_SSV'!CL8:CL22,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Enterta'!CL$7 = "", '6 - TV Stands &amp; Enterta'!CL$7 = "N/A"), "3:Since Battery or Batteries Included equals 'Yes', this field is required", ""), ""), ""), IF(LEN(_xlpm.check3) &gt; 0, _xlpm.check3, IF(AND(_xlpm.val = "", CL$3="Required"), IF(OR('6 - TV Stands &amp; Enterta'!CL$7 = "", '6 - TV Stands &amp; Enterta'!CL$7 = "N/A"), "3:Battery Composition - Value is required", ""), ""))))))))))))</f>
        <v/>
      </c>
      <c r="CM8">
        <f t="array" ref="CM8">_xlfn.MAP('6 - TV Stands &amp; Enterta'!B8:B22, '6 - TV Stands &amp; Enterta'!CM8:CM22, '6 - TV Stands &amp; Enterta-WUO_SER'!CM8:CM22, '6 - TV Stands &amp; Enterta-WUO_SSV'!CM8:CM22,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Enterta'!CM$7 = "", '6 - TV Stands &amp; Enterta'!CM$7 = "N/A"), "3:Since Battery or Batteries Included equals 'Yes', this field is required", ""), ""), ""), IF(LEN(_xlpm.check3) &gt; 0, _xlpm.check3, IF(AND(_xlpm.val = "", CM$3="Required"), IF(OR('6 - TV Stands &amp; Enterta'!CM$7 = "", '6 - TV Stands &amp; Enterta'!CM$7 = "N/A"), "3:Battery Type - Value is required", ""), ""))))))))))))</f>
        <v/>
      </c>
      <c r="CN8">
        <f t="array" ref="CN8">_xlfn.MAP('6 - TV Stands &amp; Enterta'!B8:B22, '6 - TV Stands &amp; Enterta'!CN8:CN22, '6 - TV Stands &amp; Enterta-WUO_SER'!CN8:CN22, '6 - TV Stands &amp; Enterta-WUO_SSV'!CN8:CN22,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Enterta'!CN$7 = "", '6 - TV Stands &amp; Enterta'!CN$7 = "N/A"), "3:Since Battery or Batteries Included equals 'Yes', this field is required", ""), ""), ""), IF(LEN(_xlpm.check3) &gt; 0, _xlpm.check3, IF(AND(_xlpm.val = "", CN$3="Required"), IF(OR('6 - TV Stands &amp; Enterta'!CN$7 = "", '6 - TV Stands &amp; Enterta'!CN$7 = "N/A"), "3:Number of Batteries - Value is required", ""), ""))))))))))))</f>
        <v/>
      </c>
      <c r="CO8">
        <f t="array" ref="CO8">_xlfn.MAP('6 - TV Stands &amp; Enterta'!B8:B22, '6 - TV Stands &amp; Enterta'!CO8:CO22, '6 - TV Stands &amp; Enterta-WUO_SER'!CO8:CO22, '6 - TV Stands &amp; Enterta-WUO_SSV'!CO8:CO22,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Enterta'!CO$7 = "", '6 - TV Stands &amp; Enterta'!CO$7 = "N/A"), "3:Since Battery or Batteries Included equals 'Yes', this field is required", ""), ""), ""), IF(LEN(_xlpm.check4) &gt; 0, _xlpm.check4, IF(AND(_xlpm.val = "", CO$3="Required"), IF(OR('6 - TV Stands &amp; Enterta'!CO$7 = "", '6 - TV Stands &amp; Enterta'!CO$7 = "N/A"), "3:Battery Shipment - Value is required", ""), ""))))))))))))))</f>
        <v/>
      </c>
      <c r="CP8">
        <f t="array" ref="CP8">_xlfn.MAP('6 - TV Stands &amp; Enterta'!B8:B22, '6 - TV Stands &amp; Enterta'!CP8:CP22, '6 - TV Stands &amp; Enterta-WUO_SER'!CP8:CP22, '6 - TV Stands &amp; Enterta-WUO_SSV'!CP8:CP22,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IF(OR('6 - TV Stands &amp; Enterta'!CP$7 = "", '6 - TV Stands &amp; Enterta'!CP$7 = "N/A"), "3:Since Battery or Batteries Included equals 'Yes', this field is required", ""), ""), ""), IF(LEN(_xlpm.check5) &gt; 0, _xlpm.check5, IF(AND(_xlpm.val = "", CP$3="Required"), IF(OR('6 - TV Stands &amp; Enterta'!CP$7 = "", '6 - TV Stands &amp; Enterta'!CP$7 = "N/A"), "3:Lithium Content - Value is required", ""), ""))))))))))))))))</f>
        <v/>
      </c>
      <c r="CQ8">
        <f t="array" ref="CQ8">_xlfn.MAP('6 - TV Stands &amp; Enterta'!B8:B22, '6 - TV Stands &amp; Enterta'!CQ8:CQ22, '6 - TV Stands &amp; Enterta-WUO_SER'!CQ8:CQ22, '6 - TV Stands &amp; Enterta-WUO_SSV'!CQ8:CQ22, '6 - TV Stands &amp; Enterta'!CK8:CK22, '6 - TV Stands &amp; Enterta'!CM8:CM22, '6 - TV Stands &amp; Enterta'!CL8:CL22, _xlfn.LAMBDA(_xlpm.part, _xlpm.val, _xlpm.servererror, _xlpm.serverval, _xlpm.dep1, _xlpm.dep2, _xlpm.dep3, IF(_xlpm.part = "", "", _xlfn.LET(_xlpm.ssvMsg, IF(AND(LEN(_xlpm.servererror), _xlpm.val = _xlpm.serverval), _xlpm.servererror, ""), IF(LEN(_xlpm.ssvMsg) &gt; 0, _xlpm.ssvMsg,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IF(OR('6 - TV Stands &amp; Enterta'!CQ$7 = "", '6 - TV Stands &amp; Enterta'!CQ$7 = "N/A"), "3:Since Battery or Batteries Included equals 'Yes', this field is required", ""), ""), ""), IF(LEN(_xlpm.check7) &gt; 0, _xlpm.check7, IF(AND(_xlpm.val = "", CQ$3="Required"), IF(OR('6 - TV Stands &amp; Enterta'!CQ$7 = "", '6 - TV Stands &amp; Enterta'!CQ$7 = "N/A"), "3:Watt Rating of Cells / Battery - Value is required", ""), ""))))))))))))))))))))</f>
        <v/>
      </c>
      <c r="CR8">
        <f t="array" ref="CR8">_xlfn.MAP('6 - TV Stands &amp; Enterta'!B8:B22, '6 - TV Stands &amp; Enterta'!CR8:CR22, '6 - TV Stands &amp; Enterta-WUO_SER'!CR8:CR22, '6 - TV Stands &amp; Enterta-WUO_SSV'!CR8:CR22,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Enterta'!CR$7 = "", '6 - TV Stands &amp; Enterta'!CR$7 = "N/A"), "3:Since Battery or Batteries Included equals 'Yes', this field is required", ""), ""), ""), IF(LEN(_xlpm.check4) &gt; 0, _xlpm.check4, IF(AND(_xlpm.val = "", CR$3="Required"), IF(OR('6 - TV Stands &amp; Enterta'!CR$7 = "", '6 - TV Stands &amp; Enterta'!CR$7 = "N/A"), "3:Weight of Cells / Battery - Value is required", ""), ""))))))))))))))</f>
        <v/>
      </c>
      <c r="CS8">
        <f t="array" ref="CS8">_xlfn.MAP('6 - TV Stands &amp; Enterta'!B8:B22, '6 - TV Stands &amp; Enterta'!CS8:CS22, '6 - TV Stands &amp; Enterta-WUO_SER'!CS8:CS22, '6 - TV Stands &amp; Enterta-WUO_SSV'!CS8:CS22,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CS$3="Required"), IF(OR('6 - TV Stands &amp; Enterta'!CS$7 = "", '6 - TV Stands &amp; Enterta'!CS$7 = "N/A"), "3:Adjustable Temperature - Value is required", ""), ""))))))))</f>
        <v/>
      </c>
      <c r="CT8">
        <f t="array" ref="CT8">_xlfn.MAP('6 - TV Stands &amp; Enterta'!B8:B22, '6 - TV Stands &amp; Enterta'!CT8:CT22, '6 - TV Stands &amp; Enterta-WUO_SER'!CT8:CT22, '6 - TV Stands &amp; Enterta-WUO_SSV'!CT8:CT22,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CT$3="Required"), IF(OR('6 - TV Stands &amp; Enterta'!CT$7 = "", '6 - TV Stands &amp; Enterta'!CT$7 = "N/A"), "3:Adjustable Flame - Value is required", ""), ""))))))))</f>
        <v/>
      </c>
      <c r="CU8">
        <f t="array" ref="CU8">_xlfn.MAP('6 - TV Stands &amp; Enterta'!B8:B22, '6 - TV Stands &amp; Enterta'!CU8:CU22, '6 - TV Stands &amp; Enterta-WUO_SER'!CU8:CU22, '6 - TV Stands &amp; Enterta-WUO_SSV'!CU8:CU22, _xlfn.LAMBDA(_xlpm.part, _xlpm.val, _xlpm.servererror, _xlpm.serverval, IF(_xlpm.part = "", "", _xlfn.LET(_xlpm.ssvMsg, IF(AND(LEN(_xlpm.servererror), _xlpm.val = _xlpm.serverval), _xlpm.servererror, ""), IF(LEN(_xlpm.ssvMsg) &gt; 0, _xlpm.ssvMsg, IF(AND(_xlpm.val = "", CU$3="Required"), IF(OR('6 - TV Stands &amp; Enterta'!CU$7 = "", '6 - TV Stands &amp; Enterta'!CU$7 = "N/A"), "3:Weight Capacity - Value is required", ""), ""))))))</f>
        <v/>
      </c>
      <c r="CV8">
        <f t="array" ref="CV8">_xlfn.MAP('6 - TV Stands &amp; Enterta'!B8:B22, '6 - TV Stands &amp; Enterta'!CV8:CV22, '6 - TV Stands &amp; Enterta-WUO_SER'!CV8:CV22, '6 - TV Stands &amp; Enterta-WUO_SSV'!CV8:CV22, _xlfn.LAMBDA(_xlpm.part, _xlpm.val, _xlpm.servererror, _xlpm.serverval, IF(_xlpm.part = "", "", _xlfn.LET(_xlpm.ssvMsg, IF(AND(LEN(_xlpm.servererror), _xlpm.val = _xlpm.serverval), _xlpm.servererror, ""), IF(LEN(_xlpm.ssvMsg) &gt; 0, _xlpm.ssvMsg, IF(AND(_xlpm.val = "", CV$3="Required"), IF(OR('6 - TV Stands &amp; Enterta'!CV$7 = "", '6 - TV Stands &amp; Enterta'!CV$7 = "N/A"), "3:Product Care - Value is required", ""), ""))))))</f>
        <v/>
      </c>
      <c r="CW8">
        <f t="array" ref="CW8">_xlfn.MAP('6 - TV Stands &amp; Enterta'!B8:B22, '6 - TV Stands &amp; Enterta'!CW8:CW22, '6 - TV Stands &amp; Enterta-WUO_SER'!CW8:CW22, '6 - TV Stands &amp; Enterta-WUO_SSV'!CW8:CW22, _xlfn.LAMBDA(_xlpm.part, _xlpm.val, _xlpm.servererror, _xlpm.serverval, IF(_xlpm.part = "", "", _xlfn.LET(_xlpm.ssvMsg, IF(AND(LEN(_xlpm.servererror), _xlpm.val = _xlpm.serverval), _xlpm.servererror, ""), IF(LEN(_xlpm.ssvMsg) &gt; 0, _xlpm.ssvMsg, IF(AND(_xlpm.val = "", CW$3="Required"), IF(OR('6 - TV Stands &amp; Enterta'!CW$7 = "", '6 - TV Stands &amp; Enterta'!CW$7 = "N/A"), "3:Unfinished - Value is required", ""), ""))))))</f>
        <v/>
      </c>
      <c r="CX8">
        <f t="array" ref="CX8">_xlfn.MAP('6 - TV Stands &amp; Enterta'!B8:B22, '6 - TV Stands &amp; Enterta'!CX8:CX22, '6 - TV Stands &amp; Enterta-WUO_SER'!CX8:CX22, '6 - TV Stands &amp; Enterta-WUO_SSV'!CX8:CX22,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Shelves Included, value should be Does Not Apply", ""), ""), IF(LEN(_xlpm.check2) &gt; 0, _xlpm.check2, IF(AND(_xlpm.val = "", CX$3="Required"), IF(OR('6 - TV Stands &amp; Enterta'!CX$7 = "", '6 - TV Stands &amp; Enterta'!CX$7 = "N/A"), "3:Shelf Material - Value is required", ""), ""))))))))))</f>
        <v/>
      </c>
      <c r="CY8">
        <f t="array" ref="CY8">_xlfn.MAP('6 - TV Stands &amp; Enterta'!B8:B22, '6 - TV Stands &amp; Enterta'!CY8:CY22, '6 - TV Stands &amp; Enterta-WUO_SER'!CY8:CY22, '6 - TV Stands &amp; Enterta-WUO_SSV'!CY8:CY22, _xlfn.LAMBDA(_xlpm.part, _xlpm.val, _xlpm.servererror, _xlpm.serverval, IF(_xlpm.part = "", "", _xlfn.LET(_xlpm.ssvMsg, IF(AND(LEN(_xlpm.servererror), _xlpm.val = _xlpm.serverval), _xlpm.servererror, ""), IF(LEN(_xlpm.ssvMsg) &gt; 0, _xlpm.ssvMsg, IF(AND(_xlpm.val = "", CY$3="Required"), IF(OR('6 - TV Stands &amp; Enterta'!CY$7 = "", '6 - TV Stands &amp; Enterta'!CY$7 = "N/A"), "3:Color / Finish - Value is required", ""), ""))))))</f>
        <v/>
      </c>
      <c r="CZ8">
        <f t="array" ref="CZ8">_xlfn.MAP('6 - TV Stands &amp; Enterta'!B8:B22, '6 - TV Stands &amp; Enterta'!CZ8:CZ22, '6 - TV Stands &amp; Enterta-WUO_SER'!CZ8:CZ22, '6 - TV Stands &amp; Enterta-WUO_SSV'!CZ8:CZ22,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CZ$3="Required"), IF(OR('6 - TV Stands &amp; Enterta'!CZ$7 = "", '6 - TV Stands &amp; Enterta'!CZ$7 = "N/A"), "3:Drawer Glide Type &amp; Extension - Value is required", ""), ""))))))))</f>
        <v/>
      </c>
      <c r="DA8">
        <f t="array" ref="DA8">_xlfn.MAP('6 - TV Stands &amp; Enterta'!B8:B22, '6 - TV Stands &amp; Enterta'!DA8:DA22, '6 - TV Stands &amp; Enterta-WUO_SER'!DA8:DA22, '6 - TV Stands &amp; Enterta-WUO_SSV'!DA8:DA22, _xlfn.LAMBDA(_xlpm.part, _xlpm.val, _xlpm.servererror, _xlpm.serverval, IF(_xlpm.part = "", "", _xlfn.LET(_xlpm.ssvMsg, IF(AND(LEN(_xlpm.servererror), _xlpm.val = _xlpm.serverval), _xlpm.servererror, ""), IF(LEN(_xlpm.ssvMsg) &gt; 0, _xlpm.ssvMsg, IF(AND(_xlpm.val = "", DA$3="Required"), IF(OR('6 - TV Stands &amp; Enterta'!DA$7 = "", '6 - TV Stands &amp; Enterta'!DA$7 = "N/A"), "3:Vent Type - Value is required", ""), ""))))))</f>
        <v/>
      </c>
      <c r="DB8">
        <f t="array" ref="DB8">_xlfn.MAP('6 - TV Stands &amp; Enterta'!B8:B22, '6 - TV Stands &amp; Enterta'!DB8:DB22, '6 - TV Stands &amp; Enterta-WUO_SER'!DB8:DB22, '6 - TV Stands &amp; Enterta-WUO_SSV'!DB8:DB22,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allowed220265, 0)), ""),IF(AND(_xlpm.invalid&lt;&gt;"", COUNTA(_xlpm.invalid)&gt;0),"1:Please select valid values from the provided list. Answers are case-sensitive and must be separated by a semicolon.","")), ""), IF(LEN(_xlpm.check2) &gt; 0, _xlpm.check2, _xlfn.LET(_xlpm.check3, IF(ISNUMBER(SEARCH("No", _xlpm.dep1)), IF(_xlpm.val &lt;&gt; "Does Not Apply", "1:Based on Fireplace Included, value should be Does Not Apply", ""), ""), IF(LEN(_xlpm.check3) &gt; 0, _xlpm.check3, IF(AND(_xlpm.val = "", DB$3="Required"), IF(OR('6 - TV Stands &amp; Enterta'!DB$7 = "", '6 - TV Stands &amp; Enterta'!DB$7 = "N/A"), "3:Fuel Type - Value is required", ""), ""))))))))))))</f>
        <v/>
      </c>
      <c r="DC8">
        <f t="array" ref="DC8">_xlfn.MAP('6 - TV Stands &amp; Enterta'!B8:B22, '6 - TV Stands &amp; Enterta'!DC8:DC22, '6 - TV Stands &amp; Enterta-WUO_SER'!DC8:DC22, '6 - TV Stands &amp; Enterta-WUO_SSV'!DC8:DC22, _xlfn.LAMBDA(_xlpm.part, _xlpm.val, _xlpm.servererror, _xlpm.serverval, IF(_xlpm.part = "", "", _xlfn.LET(_xlpm.ssvMsg, IF(AND(LEN(_xlpm.servererror), _xlpm.val = _xlpm.serverval), _xlpm.servererror, ""), IF(LEN(_xlpm.ssvMsg) &gt; 0, _xlpm.ssvMsg, IF(AND(_xlpm.val = "", DC$3="Required"), IF(OR('6 - TV Stands &amp; Enterta'!DC$7 = "", '6 - TV Stands &amp; Enterta'!DC$7 = "N/A"), "3:Door Design - Value is required", ""), ""))))))</f>
        <v/>
      </c>
      <c r="DD8">
        <f t="array" ref="DD8">_xlfn.MAP('6 - TV Stands &amp; Enterta'!B8:B22, '6 - TV Stands &amp; Enterta'!DD8:DD22, '6 - TV Stands &amp; Enterta-WUO_SER'!DD8:DD22, '6 - TV Stands &amp; Enterta-WUO_SSV'!DD8:DD22, _xlfn.LAMBDA(_xlpm.part, _xlpm.val, _xlpm.servererror, _xlpm.serverval, IF(_xlpm.part = "", "", _xlfn.LET(_xlpm.ssvMsg, IF(AND(LEN(_xlpm.servererror), _xlpm.val = _xlpm.serverval), _xlpm.servererror, ""), IF(LEN(_xlpm.ssvMsg) &gt; 0, _xlpm.ssvMsg, IF(AND(_xlpm.val = "", DD$3="Required"), IF(OR('6 - TV Stands &amp; Enterta'!DD$7 = "", '6 - TV Stands &amp; Enterta'!DD$7 = "N/A"), "3:Ribbed Detailing - Value is required", ""), ""))))))</f>
        <v/>
      </c>
      <c r="DE8">
        <f t="array" ref="DE8">_xlfn.MAP('6 - TV Stands &amp; Enterta'!B8:B22, '6 - TV Stands &amp; Enterta'!DE8:DE22, '6 - TV Stands &amp; Enterta-WUO_SER'!DE8:DE22, '6 - TV Stands &amp; Enterta-WUO_SSV'!DE8:DE22, _xlfn.LAMBDA(_xlpm.part, _xlpm.val, _xlpm.servererror, _xlpm.serverval, IF(_xlpm.part = "", "", _xlfn.LET(_xlpm.ssvMsg, IF(AND(LEN(_xlpm.servererror), _xlpm.val = _xlpm.serverval), _xlpm.servererror, ""), IF(LEN(_xlpm.ssvMsg) &gt; 0, _xlpm.ssvMsg, IF(AND(_xlpm.val = "", DE$3="Required"), IF(OR('6 - TV Stands &amp; Enterta'!DE$7 = "", '6 - TV Stands &amp; Enterta'!DE$7 = "N/A"), "3:Fluted Detailing - Value is required", ""), ""))))))</f>
        <v/>
      </c>
      <c r="DF8">
        <f t="array" ref="DF8">_xlfn.MAP('6 - TV Stands &amp; Enterta'!B8:B22, '6 - TV Stands &amp; Enterta'!DF8:DF22, '6 - TV Stands &amp; Enterta-WUO_SER'!DF8:DF22, '6 - TV Stands &amp; Enterta-WUO_SSV'!DF8:DF22,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allowed420139, 0)), ""),IF(AND(_xlpm.invalid&lt;&gt;"", COUNTA(_xlpm.invalid)&gt;0),"1:Please select valid values from the provided list. Answers are case-sensitive and must be separated by a semicolon.","")), ""), IF(LEN(_xlpm.check1) &gt; 0, _xlpm.check1, IF(AND(_xlpm.val = "", DF$3="Required"), IF(OR('6 - TV Stands &amp; Enterta'!DF$7 = "", '6 - TV Stands &amp; Enterta'!DF$7 = "N/A"), "3:Pieces Included - Value is required", ""), ""))))))))</f>
        <v/>
      </c>
      <c r="DG8">
        <f t="array" ref="DG8">_xlfn.MAP('6 - TV Stands &amp; Enterta'!B8:B22, '6 - TV Stands &amp; Enterta'!DG8:DG22, '6 - TV Stands &amp; Enterta-WUO_SER'!DG8:DG22, '6 - TV Stands &amp; Enterta-WUO_SSV'!DG8:DG22, '6 - TV Stands &amp; Enterta'!BK8:BK22,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Cabinets Included, value should be Does Not Apply", ""), ""), IF(LEN(_xlpm.check2) &gt; 0, _xlpm.check2, IF(AND(_xlpm.val = "", DG$3="Required"), IF(OR('6 - TV Stands &amp; Enterta'!DG$7 = "", '6 - TV Stands &amp; Enterta'!DG$7 = "N/A"), "3:Number of Cabinets - Value is required", ""), ""))))))))))</f>
        <v/>
      </c>
      <c r="DH8">
        <f t="array" ref="DH8">_xlfn.MAP('6 - TV Stands &amp; Enterta'!B8:B22, '6 - TV Stands &amp; Enterta'!DH8:DH22, '6 - TV Stands &amp; Enterta-WUO_SER'!DH8:DH22, '6 - TV Stands &amp; Enterta-WUO_SSV'!DH8:DH22, _xlfn.LAMBDA(_xlpm.part, _xlpm.val, _xlpm.servererror, _xlpm.serverval, IF(_xlpm.part = "", "", _xlfn.LET(_xlpm.ssvMsg, IF(AND(LEN(_xlpm.servererror), _xlpm.val = _xlpm.serverval), _xlpm.servererror, ""), IF(LEN(_xlpm.ssvMsg) &gt; 0, _xlpm.ssvMsg, IF(AND(_xlpm.val = "", DH$3="Required"), IF(OR('6 - TV Stands &amp; Enterta'!DH$7 = "", '6 - TV Stands &amp; Enterta'!DH$7 = "N/A"), "3:Drawer Safety Stop - Value is required", ""), ""))))))</f>
        <v/>
      </c>
      <c r="DI8">
        <f t="array" ref="DI8">_xlfn.MAP('6 - TV Stands &amp; Enterta'!B8:B22, '6 - TV Stands &amp; Enterta'!DI8:DI22, '6 - TV Stands &amp; Enterta-WUO_SER'!DI8:DI22, '6 - TV Stands &amp; Enterta-WUO_SSV'!DI8:DI22, _xlfn.LAMBDA(_xlpm.part, _xlpm.val, _xlpm.servererror, _xlpm.serverval, IF(_xlpm.part = "", "", _xlfn.LET(_xlpm.ssvMsg, IF(AND(LEN(_xlpm.servererror), _xlpm.val = _xlpm.serverval), _xlpm.servererror, ""), IF(LEN(_xlpm.ssvMsg) &gt; 0, _xlpm.ssvMsg, IF(AND(_xlpm.val = "", DI$3="Required"), IF(OR('6 - TV Stands &amp; Enterta'!DI$7 = "", '6 - TV Stands &amp; Enterta'!DI$7 = "N/A"), "3:Fireplace Type - Value is required", ""), ""))))))</f>
        <v/>
      </c>
      <c r="DJ8">
        <f t="array" ref="DJ8">_xlfn.MAP('6 - TV Stands &amp; Enterta'!B8:B22, '6 - TV Stands &amp; Enterta'!DJ8:DJ22, '6 - TV Stands &amp; Enterta-WUO_SER'!DJ8:DJ22, '6 - TV Stands &amp; Enterta-WUO_SSV'!DJ8:DJ22, _xlfn.LAMBDA(_xlpm.part, _xlpm.val, _xlpm.servererror, _xlpm.serverval, IF(_xlpm.part = "", "", _xlfn.LET(_xlpm.ssvMsg, IF(AND(LEN(_xlpm.servererror), _xlpm.val = _xlpm.serverval), _xlpm.servererror, ""), IF(LEN(_xlpm.ssvMsg) &gt; 0, _xlpm.ssvMsg, IF(AND(_xlpm.val = "", DJ$3="Required"), IF(OR('6 - TV Stands &amp; Enterta'!DJ$7 = "", '6 - TV Stands &amp; Enterta'!DJ$7 = "N/A"), "3:General Certificate of Conformity (GCC) - Value is required", ""), ""))))))</f>
        <v/>
      </c>
      <c r="DK8">
        <f t="array" ref="DK8">_xlfn.MAP('6 - TV Stands &amp; Enterta'!B8:B22, '6 - TV Stands &amp; Enterta'!DK8:DK22, '6 - TV Stands &amp; Enterta-WUO_SER'!DK8:DK22, '6 - TV Stands &amp; Enterta-WUO_SSV'!DK8:DK22, _xlfn.LAMBDA(_xlpm.part, _xlpm.val, _xlpm.servererror, _xlpm.serverval, IF(_xlpm.part = "", "", _xlfn.LET(_xlpm.ssvMsg, IF(AND(LEN(_xlpm.servererror), _xlpm.val = _xlpm.serverval), _xlpm.servererror, ""), IF(LEN(_xlpm.ssvMsg) &gt; 0, _xlpm.ssvMsg, IF(AND(_xlpm.val = "", DK$3="Required"), IF(OR('6 - TV Stands &amp; Enterta'!DK$7 = "", '6 - TV Stands &amp; Enterta'!DK$7 = "N/A"), "3:Composite Wood Product (CWP) - Value is required", ""), ""))))))</f>
        <v/>
      </c>
      <c r="DL8">
        <f t="array" ref="DL8">_xlfn.MAP('6 - TV Stands &amp; Enterta'!B8:B22, '6 - TV Stands &amp; Enterta'!DL8:DL22, '6 - TV Stands &amp; Enterta-WUO_SER'!DL8:DL22, '6 - TV Stands &amp; Enterta-WUO_SSV'!DL8:DL22,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Enterta'!DL$7 = "", '6 - TV Stands &amp; Enterta'!DL$7 = "N/A"), "3:Since Composite Wood Product (CWP) equals 'Yes', this field is required", ""), ""), ""), IF(LEN(_xlpm.check4) &gt; 0, _xlpm.check4, IF(AND(_xlpm.val = "", DL$3="Required"), IF(OR('6 - TV Stands &amp; Enterta'!DL$7 = "", '6 - TV Stands &amp; Enterta'!DL$7 = "N/A"), "3:CARB Phase II Compliant (formaldehyde emissions) - Value is required", ""), ""))))))))))))))</f>
        <v/>
      </c>
      <c r="DM8">
        <f t="array" ref="DM8">_xlfn.MAP('6 - TV Stands &amp; Enterta'!B8:B22, '6 - TV Stands &amp; Enterta'!DM8:DM22, '6 - TV Stands &amp; Enterta-WUO_SER'!DM8:DM22, '6 - TV Stands &amp; Enterta-WUO_SSV'!DM8:DM22,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Enterta'!DM$7 = "", '6 - TV Stands &amp; Enterta'!DM$7 = "N/A"), "3:Since Composite Wood Product (CWP) equals 'Yes', this field is required", ""), ""), ""), IF(LEN(_xlpm.check4) &gt; 0, _xlpm.check4, IF(AND(_xlpm.val = "", DM$3="Required"), IF(OR('6 - TV Stands &amp; Enterta'!DM$7 = "", '6 - TV Stands &amp; Enterta'!DM$7 = "N/A"), "3:TSCA Title VI Compliant (formaldehyde emissions) - Value is required", ""), ""))))))))))))))</f>
        <v/>
      </c>
      <c r="DN8">
        <f t="array" ref="DN8">_xlfn.MAP('6 - TV Stands &amp; Enterta'!B8:B22, '6 - TV Stands &amp; Enterta'!DN8:DN22, '6 - TV Stands &amp; Enterta-WUO_SER'!DN8:DN22, '6 - TV Stands &amp; Enterta-WUO_SSV'!DN8:DN22,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Enterta'!DN$7 = "", '6 - TV Stands &amp; Enterta'!DN$7 = "N/A"), "3:Since Composite Wood Product (CWP) equals 'Yes', this field is required", ""), ""), ""), IF(LEN(_xlpm.check4) &gt; 0, _xlpm.check4, IF(AND(_xlpm.val = "", DN$3="Required"), IF(OR('6 - TV Stands &amp; Enterta'!DN$7 = "", '6 - TV Stands &amp; Enterta'!DN$7 = "N/A"), "3:CANFER Compliant - Value is required", ""), ""))))))))))))))</f>
        <v/>
      </c>
      <c r="DO8">
        <f t="array" ref="DO8">_xlfn.MAP('6 - TV Stands &amp; Enterta'!B8:B22, '6 - TV Stands &amp; Enterta'!DO8:DO22, '6 - TV Stands &amp; Enterta-WUO_SER'!DO8:DO22, '6 - TV Stands &amp; Enterta-WUO_SSV'!DO8:DO22, _xlfn.LAMBDA(_xlpm.part, _xlpm.val, _xlpm.servererror, _xlpm.serverval, IF(_xlpm.part = "", "", _xlfn.LET(_xlpm.ssvMsg, IF(AND(LEN(_xlpm.servererror), _xlpm.val = _xlpm.serverval), _xlpm.servererror, ""), IF(LEN(_xlpm.ssvMsg) &gt; 0, _xlpm.ssvMsg, IF(AND(_xlpm.val = "", DO$3="Required"), IF(OR('6 - TV Stands &amp; Enterta'!DO$7 = "", '6 - TV Stands &amp; Enterta'!DO$7 = "N/A"), "3:Uniform Packaging and Labeling Regulations (UPLR) Compliant - Value is required", ""), ""))))))</f>
        <v/>
      </c>
      <c r="DP8">
        <f t="array" ref="DP8">_xlfn.MAP('6 - TV Stands &amp; Enterta'!B8:B22, '6 - TV Stands &amp; Enterta'!DP8:DP22, '6 - TV Stands &amp; Enterta-WUO_SER'!DP8:DP22, '6 - TV Stands &amp; Enterta-WUO_SSV'!DP8:DP22, _xlfn.LAMBDA(_xlpm.part, _xlpm.val, _xlpm.servererror, _xlpm.serverval, IF(_xlpm.part = "", "", _xlfn.LET(_xlpm.ssvMsg, IF(AND(LEN(_xlpm.servererror), _xlpm.val = _xlpm.serverval), _xlpm.servererror, ""), IF(LEN(_xlpm.ssvMsg) &gt; 0, _xlpm.ssvMsg, IF(AND(_xlpm.val = "", DP$3="Required"), IF(OR('6 - TV Stands &amp; Enterta'!DP$7 = "", '6 - TV Stands &amp; Enterta'!DP$7 = "N/A"), "3:Canada Product Restriction - Value is required", ""), ""))))))</f>
        <v/>
      </c>
      <c r="DQ8">
        <f t="array" ref="DQ8">_xlfn.MAP('6 - TV Stands &amp; Enterta'!B8:B22, '6 - TV Stands &amp; Enterta'!DQ8:DQ22, '6 - TV Stands &amp; Enterta-WUO_SER'!DQ8:DQ22, '6 - TV Stands &amp; Enterta-WUO_SSV'!DQ8:DQ22, '6 - TV Stands &amp; Enterta'!DP8:DP22,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allowed251110, 0)), ""),IF(AND(_xlpm.invalid&lt;&gt;"", COUNTA(_xlpm.invalid)&gt;0),"1:Please select valid values from the provided list. Answers are case-sensitive and must be separated by a semicolon.","")), ""), IF(LEN(_xlpm.check3) &gt; 0, _xlpm.check3, _xlfn.LET(_xlpm.check4, IF(_xlpm.dep1 = "Yes", IF(_xlpm.val = "", IF(OR('6 - TV Stands &amp; Enterta'!DQ$7 = "", '6 - TV Stands &amp; Enterta'!DQ$7 = "N/A"), "3:Since Canada Product Restriction equals 'Yes', this field is required", ""), ""), ""), IF(LEN(_xlpm.check4) &gt; 0, _xlpm.check4, IF(AND(_xlpm.val = "", DQ$3="Required"), IF(OR('6 - TV Stands &amp; Enterta'!DQ$7 = "", '6 - TV Stands &amp; Enterta'!DQ$7 = "N/A"), "3:Reason for Restriction - Value is required", ""), ""))))))))))))))</f>
        <v/>
      </c>
      <c r="DR8">
        <f t="array" ref="DR8">_xlfn.MAP('6 - TV Stands &amp; Enterta'!B8:B22, '6 - TV Stands &amp; Enterta'!DR8:DR22, '6 - TV Stands &amp; Enterta-WUO_SER'!DR8:DR22, '6 - TV Stands &amp; Enterta-WUO_SSV'!DR8:DR22, _xlfn.LAMBDA(_xlpm.part, _xlpm.val, _xlpm.servererror, _xlpm.serverval, IF(_xlpm.part = "", "", _xlfn.LET(_xlpm.ssvMsg, IF(AND(LEN(_xlpm.servererror), _xlpm.val = _xlpm.serverval), _xlpm.servererror, ""), IF(LEN(_xlpm.ssvMsg) &gt; 0, _xlpm.ssvMsg, IF(AND(_xlpm.val = "", DR$3="Required"), IF(OR('6 - TV Stands &amp; Enterta'!DR$7 = "", '6 - TV Stands &amp; Enterta'!DR$7 = "N/A"), "3:UL 1678 Listed - Value is required", ""), ""))))))</f>
        <v/>
      </c>
      <c r="DS8">
        <f t="array" ref="DS8">_xlfn.MAP('6 - TV Stands &amp; Enterta'!B8:B22, '6 - TV Stands &amp; Enterta'!DS8:DS22, '6 - TV Stands &amp; Enterta-WUO_SER'!DS8:DS22, '6 - TV Stands &amp; Enterta-WUO_SSV'!DS8:DS22, '6 - TV Stands &amp; Enterta'!CL8:CL22, _xlfn.LAMBDA(_xlpm.part, _xlpm.val, _xlpm.servererror, _xlpm.serverval, _xlpm.dep1, IF(_xlpm.part = "", "", _xlfn.LET(_xlpm.ssvMsg, IF(AND(LEN(_xlpm.servererror), _xlpm.val = _xlpm.serverval), _xlpm.servererror, ""), IF(LEN(_xlpm.ssvMsg) &gt; 0, _xlpm.ssvMsg,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DS$3="Required"), IF(OR('6 - TV Stands &amp; Enterta'!DS$7 = "", '6 - TV Stands &amp; Enterta'!DS$7 = "N/A"), "3:Hazardous Material / Dangerous Goods - Value is required", ""), ""))))))))))))))</f>
        <v/>
      </c>
      <c r="DT8">
        <f t="array" ref="DT8">_xlfn.MAP('6 - TV Stands &amp; Enterta'!B8:B22, '6 - TV Stands &amp; Enterta'!DT8:DT22, '6 - TV Stands &amp; Enterta-WUO_SER'!DT8:DT22, '6 - TV Stands &amp; Enterta-WUO_SSV'!DT8:DT22,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allowed373560, 0)), ""),IF(AND(_xlpm.invalid&lt;&gt;"", COUNTA(_xlpm.invalid)&gt;0),"1:Please select valid values from the provided list. Answers are case-sensitive and must be separated by a semicolon.","")), ""), IF(LEN(_xlpm.check3) &gt; 0, _xlpm.check3, _xlfn.LET(_xlpm.check4, IF(_xlpm.dep1 = "Yes", IF(_xlpm.val = "", IF(OR('6 - TV Stands &amp; Enterta'!DT$7 = "", '6 - TV Stands &amp; Enterta'!DT$7 = "N/A"), "3:Since Hazardous Material / Dangerous Goods equals 'Yes', this field is required", ""), ""), ""), IF(LEN(_xlpm.check4) &gt; 0, _xlpm.check4, IF(AND(_xlpm.val = "", DT$3="Required"), IF(OR('6 - TV Stands &amp; Enterta'!DT$7 = "", '6 - TV Stands &amp; Enterta'!DT$7 = "N/A"), "3:UN or ID number - Value is required", ""), ""))))))))))))))</f>
        <v/>
      </c>
      <c r="DU8">
        <f t="array" ref="DU8">_xlfn.MAP('6 - TV Stands &amp; Enterta'!B8:B22, '6 - TV Stands &amp; Enterta'!DU8:DU22, '6 - TV Stands &amp; Enterta-WUO_SER'!DU8:DU22, '6 - TV Stands &amp; Enterta-WUO_SSV'!DU8:DU22,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"8", "1:Based on UN or ID number, value should be 8", ""), ""), IF(LEN(_xlpm.check3) &gt; 0, _xlpm.check3, _xlfn.LET(_xlpm.check4, IF(_xlpm.dep2 = "ID8000", IF(_xlpm.val &lt;&gt; "9", "1:Based on UN or ID number, value should be 9", ""), ""), IF(LEN(_xlpm.check4) &gt; 0, _xlpm.check4, _xlfn.LET(_xlpm.check5, IF(_xlpm.dep2 = "UN1013", IF(_xlpm.val &lt;&gt; "2.2", "1:Based on UN or ID number, value should be 2.2", ""), ""), IF(LEN(_xlpm.check5) &gt; 0, _xlpm.check5, _xlfn.LET(_xlpm.check6, IF(_xlpm.dep2 = "UN3082", IF(_xlpm.val &lt;&gt; "9", "1:Based on UN or ID number, value should be 9", ""), ""), IF(LEN(_xlpm.check6) &gt; 0, _xlpm.check6, _xlfn.LET(_xlpm.check7, IF(_xlpm.dep2 = "UN3077", IF(_xlpm.val &lt;&gt; "9", "1:Based on UN or ID number, value should be 9", ""), ""), IF(LEN(_xlpm.check7) &gt; 0, _xlpm.check7, _xlfn.LET(_xlpm.check8, IF(_xlpm.dep2 = "UN2857", IF(_xlpm.val &lt;&gt; "2.2", "1:Based on UN or ID number, value should be 2.2", ""), ""), IF(LEN(_xlpm.check8) &gt; 0, _xlpm.check8, _xlfn.LET(_xlpm.check9, IF(_xlpm.dep2 = "UN3358", IF(_xlpm.val &lt;&gt; "2.1", "1:Based on UN or ID number, value should be 2.1", ""), ""), IF(LEN(_xlpm.check9) &gt; 0, _xlpm.check9, _xlfn.LET(_xlpm.check10, IF(_xlpm.dep2 = "UN1266", IF(_xlpm.val &lt;&gt; "3", "1:Based on UN or ID number, value should be 3", ""), ""), IF(LEN(_xlpm.check10) &gt; 0, _xlpm.check10, _xlfn.LET(_xlpm.check11, IF(_xlpm.dep2 = "UN1993", IF(_xlpm.val &lt;&gt; "3", "1:Based on UN or ID number, value should be 3", ""), ""), IF(LEN(_xlpm.check11) &gt; 0, _xlpm.check11, _xlfn.LET(_xlpm.check12, IF(_xlpm.dep2 = "UN1944", IF(_xlpm.val &lt;&gt; "4.1", "1:Based on UN or ID number, value should be 4.1", ""), ""), IF(LEN(_xlpm.check12) &gt; 0, _xlpm.check12, _xlfn.LET(_xlpm.check13, IF(_xlpm.dep2 = "UN1070", IF(_xlpm.val &lt;&gt; "2.2", "1:Based on UN or ID number, value should be 2.2", ""), ""), IF(LEN(_xlpm.check13) &gt; 0, _xlpm.check13, _xlfn.LET(_xlpm.check14, IF(_xlpm.dep2 = "UN1044", IF(_xlpm.val &lt;&gt; "2.2", "1:Based on UN or ID number, value should be 2.2", ""), ""), IF(LEN(_xlpm.check14) &gt; 0, _xlpm.check14, _xlfn.LET(_xlpm.check15, IF(_xlpm.dep2 = "UN3163", IF(_xlpm.val &lt;&gt; "2.2", "1:Based on UN or ID number, value should be 2.2", ""), ""), IF(LEN(_xlpm.check15) &gt; 0, _xlpm.check15, _xlfn.LET(_xlpm.check16, IF(_xlpm.dep2 = "UN1268", IF(_xlpm.val &lt;&gt; "3", "1:Based on UN or ID number, value should be 3", ""), ""), IF(LEN(_xlpm.check16) &gt; 0, _xlpm.check16, _xlfn.LET(_xlpm.check17, IF(_xlpm.dep2 = "UN1760", IF(_xlpm.val &lt;&gt; "8", "1:Based on UN or ID number, value should be 8", ""), ""), IF(LEN(_xlpm.check17) &gt; 0, _xlpm.check17, _xlfn.LET(_xlpm.check18, IF(_xlpm.dep2 = "UN1011", IF(_xlpm.val &lt;&gt; "2.1", "1:Based on UN or ID number, value should be 2.1", ""), ""), IF(LEN(_xlpm.check18) &gt; 0, _xlpm.check18, _xlfn.LET(_xlpm.check19, IF(_xlpm.dep2 = "UN2794", IF(_xlpm.val &lt;&gt; "8", "1:Based on UN or ID number, value should be 8", ""), ""), IF(LEN(_xlpm.check19) &gt; 0, _xlpm.check19, _xlfn.LET(_xlpm.check20, IF(_xlpm.dep2 = "UN1759", IF(_xlpm.val &lt;&gt; "8", "1:Based on UN or ID number, value should be 8", ""), ""), IF(LEN(_xlpm.check20) &gt; 0, _xlpm.check20, _xlfn.LET(_xlpm.check21, IF(_xlpm.dep2 = "UN3171", IF(_xlpm.val &lt;&gt; "9", "1:Based on UN or ID number, value should be 9", ""), ""), IF(LEN(_xlpm.check21) &gt; 0, _xlpm.check21, _xlfn.LET(_xlpm.check22, IF(_xlpm.dep1 = "Yes", IF(_xlpm.val = "", IF(OR('6 - TV Stands &amp; Enterta'!DU$7 = "", '6 - TV Stands &amp; Enterta'!DU$7 = "N/A"), "3:Since Hazardous Material / Dangerous Goods equals 'Yes', this field is required", ""), ""), ""), IF(LEN(_xlpm.check22) &gt; 0, _xlpm.check22, IF(AND(_xlpm.val = "", DU$3="Required"), IF(OR('6 - TV Stands &amp; Enterta'!DU$7 = "", '6 - TV Stands &amp; Enterta'!DU$7 = "N/A"), "3:Hazard Class(es) - Value is required", ""), ""))))))))))))))))))))))))))))))))))))))))))))))))))</f>
        <v/>
      </c>
      <c r="DV8">
        <f t="array" ref="DV8">_xlfn.MAP('6 - TV Stands &amp; Enterta'!B8:B22, '6 - TV Stands &amp; Enterta'!DV8:DV22, '6 - TV Stands &amp; Enterta-WUO_SER'!DV8:DV22, '6 - TV Stands &amp; Enterta-WUO_SSV'!DV8:DV22,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"No Packing Group", "1:Based on UN or ID number, value should be No Packing Group", ""), ""), IF(LEN(_xlpm.check3) &gt; 0, _xlpm.check3, _xlfn.LET(_xlpm.check4, IF(_xlpm.dep2 = "ID8000", IF(_xlpm.val &lt;&gt; "No Packing Group", "1:Based on UN or ID number, value should be No Packing Group", ""), ""), IF(LEN(_xlpm.check4) &gt; 0, _xlpm.check4, _xlfn.LET(_xlpm.check5, IF(_xlpm.dep2 = "UN1013", IF(_xlpm.val &lt;&gt; "No Packing Group", "1:Based on UN or ID number, value should be No Packing Group", ""), ""), IF(LEN(_xlpm.check5) &gt; 0, _xlpm.check5, _xlfn.LET(_xlpm.check6, IF(_xlpm.dep2 = "UN3082", IF(_xlpm.val &lt;&gt; "III", "1:Based on UN or ID number, value should be III", ""), ""), IF(LEN(_xlpm.check6) &gt; 0, _xlpm.check6, _xlfn.LET(_xlpm.check7, IF(_xlpm.dep2 = "UN3077", IF(_xlpm.val &lt;&gt; "III", "1:Based on UN or ID number, value should be III", ""), ""), IF(LEN(_xlpm.check7) &gt; 0, _xlpm.check7, _xlfn.LET(_xlpm.check8, IF(_xlpm.dep2 = "UN2857", IF(_xlpm.val &lt;&gt; "No Packing Group", "1:Based on UN or ID number, value should be No Packing Group", ""), ""), IF(LEN(_xlpm.check8) &gt; 0, _xlpm.check8, _xlfn.LET(_xlpm.check9, IF(_xlpm.dep2 = "UN3358", IF(_xlpm.val &lt;&gt; "No Packing Group", "1:Based on UN or ID number, value should be No Packing Group", ""), ""), IF(LEN(_xlpm.check9) &gt; 0, _xlpm.check9, _xlfn.LET(_xlpm.check10, IF(_xlpm.dep2 = "UN1944", IF(_xlpm.val &lt;&gt; "III", "1:Based on UN or ID number, value should be III", ""), ""), IF(LEN(_xlpm.check10) &gt; 0, _xlpm.check10, _xlfn.LET(_xlpm.check11, IF(_xlpm.dep2 = "UN1070", IF(_xlpm.val &lt;&gt; "No Packing Group", "1:Based on UN or ID number, value should be No Packing Group", ""), ""), IF(LEN(_xlpm.check11) &gt; 0, _xlpm.check11, _xlfn.LET(_xlpm.check12, IF(_xlpm.dep2 = "UN1044", IF(_xlpm.val &lt;&gt; "No Packing Group", "1:Based on UN or ID number, value should be No Packing Group", ""), ""), IF(LEN(_xlpm.check12) &gt; 0, _xlpm.check12, _xlfn.LET(_xlpm.check13, IF(_xlpm.dep2 = "UN3163", IF(_xlpm.val &lt;&gt; "No Packing Group", "1:Based on UN or ID number, value should be No Packing Group", ""), ""), IF(LEN(_xlpm.check13) &gt; 0, _xlpm.check13, _xlfn.LET(_xlpm.check14, IF(_xlpm.dep2 = "UN1760", IF(_xlpm.val = "No Packing Group", "1:Based on UN or ID number, value should not be No Packing Group", ""), ""), IF(LEN(_xlpm.check14) &gt; 0, _xlpm.check14, _xlfn.LET(_xlpm.check15, IF(_xlpm.dep2 = "UN1011", IF(_xlpm.val &lt;&gt; "No Packing Group", "1:Based on UN or ID number, value should be No Packing Group", ""), ""), IF(LEN(_xlpm.check15) &gt; 0, _xlpm.check15, _xlfn.LET(_xlpm.check16, IF(_xlpm.dep2 = "UN2794", IF(_xlpm.val &lt;&gt; "No Packing Group", "1:Based on UN or ID number, value should be No Packing Group", ""), ""), IF(LEN(_xlpm.check16) &gt; 0, _xlpm.check16, _xlfn.LET(_xlpm.check17, IF(_xlpm.dep2 = "UN1759", IF(_xlpm.val = "No Packing Group", "1:Based on UN or ID number, value should not be No Packing Group", ""), ""), IF(LEN(_xlpm.check17) &gt; 0, _xlpm.check17, _xlfn.LET(_xlpm.check18, IF(_xlpm.dep2 = "UN3171", IF(_xlpm.val &lt;&gt; "No Packing Group", "1:Based on UN or ID number, value should be No Packing Group", ""), ""), IF(LEN(_xlpm.check18) &gt; 0, _xlpm.check18, _xlfn.LET(_xlpm.check19, IF(_xlpm.dep1 = "Yes", IF(_xlpm.val = "", IF(OR('6 - TV Stands &amp; Enterta'!DV$7 = "", '6 - TV Stands &amp; Enterta'!DV$7 = "N/A"), "3:Since Hazardous Material / Dangerous Goods equals 'Yes', this field is required", ""), ""), ""), IF(LEN(_xlpm.check19) &gt; 0, _xlpm.check19, IF(AND(_xlpm.val = "", DV$3="Required"), IF(OR('6 - TV Stands &amp; Enterta'!DV$7 = "", '6 - TV Stands &amp; Enterta'!DV$7 = "N/A"), "3:Packing Group - Value is required", ""), ""))))))))))))))))))))))))))))))))))))))))))))</f>
        <v/>
      </c>
      <c r="DW8">
        <f t="array" ref="DW8">_xlfn.MAP('6 - TV Stands &amp; Enterta'!B8:B22, '6 - TV Stands &amp; Enterta'!DW8:DW22, '6 - TV Stands &amp; Enterta-WUO_SER'!DW8:DW22, '6 - TV Stands &amp; Enterta-WUO_SSV'!DW8:DW22,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IF(OR('6 - TV Stands &amp; Enterta'!DW$7 = "", '6 - TV Stands &amp; Enterta'!DW$7 = "N/A"), "3:Since Hazardous Material / Dangerous Goods equals 'Yes', this field is required", ""), ""), ""), IF(LEN(_xlpm.check3) &gt; 0, _xlpm.check3, IF(AND(_xlpm.val = "", DW$3="Required"), IF(OR('6 - TV Stands &amp; Enterta'!DW$7 = "", '6 - TV Stands &amp; Enterta'!DW$7 = "N/A"), "3:Hazardous Material Weight - Value is required", ""), ""))))))))))))</f>
        <v/>
      </c>
      <c r="DX8">
        <f t="array" ref="DX8">_xlfn.MAP('6 - TV Stands &amp; Enterta'!B8:B22, '6 - TV Stands &amp; Enterta'!DX8:DX22, '6 - TV Stands &amp; Enterta-WUO_SER'!DX8:DX22, '6 - TV Stands &amp; Enterta-WUO_SSV'!DX8:DX22, _xlfn.LAMBDA(_xlpm.part, _xlpm.val, _xlpm.servererror, _xlpm.serverval, IF(_xlpm.part = "", "", _xlfn.LET(_xlpm.ssvMsg, IF(AND(LEN(_xlpm.servererror), _xlpm.val = _xlpm.serverval), _xlpm.servererror, ""), IF(LEN(_xlpm.ssvMsg) &gt; 0, _xlpm.ssvMsg, IF(AND(_xlpm.val = "", DX$3="Required"), IF(OR('6 - TV Stands &amp; Enterta'!DX$7 = "", '6 - TV Stands &amp; Enterta'!DX$7 = "N/A"), "3:Energy Efficiency Regulations Compliant - Value is required", ""), ""))))))</f>
        <v/>
      </c>
      <c r="DY8">
        <f t="array" ref="DY8">_xlfn.MAP('6 - TV Stands &amp; Enterta'!B8:B22, '6 - TV Stands &amp; Enterta'!DY8:DY22, '6 - TV Stands &amp; Enterta-WUO_SER'!DY8:DY22, '6 - TV Stands &amp; Enterta-WUO_SSV'!DY8:DY22, '6 - TV Stands &amp; Enterta'!DB8:DB22, _xlfn.LAMBDA(_xlpm.part, _xlpm.val, _xlpm.servererror, _xlpm.serverval, _xlpm.dep1, IF(_xlpm.part = "", "", _xlfn.LET(_xlpm.ssvMsg, IF(AND(LEN(_xlpm.servererror), _xlpm.val = _xlpm.serverval), _xlpm.servererror, ""), IF(LEN(_xlpm.ssvMsg) &gt; 0, _xlpm.ssvMsg, _xlfn.LET(_xlpm.check1, IF(OR(ISNUMBER(SEARCH("Electric", _xlpm.dep1)), ISNUMBER(SEARCH("Dual Fuel", _xlpm.dep1)), ISNUMBER(SEARCH("Induction", _xlpm.dep1)), ISNUMBER(SEARCH("Wood Pellets", _xlpm.dep1)), ISNUMBER(SEARCH("Natural Gas", _xlpm.dep1)), ISNUMBER(SEARCH("Liquid Propane", _xlpm.dep1)), ISNUMBER(SEARCH("Propane", _xlpm.dep1)), ISNUMBER(SEARCH("Butane", _xlpm.dep1))), IF(_xlpm.val = "Does Not Apply", "1:Based on Fuel Type, value should not be Does Not Apply", ""), ""), IF(LEN(_xlpm.check1) &gt; 0, _xlpm.check1, IF(AND(_xlpm.val = "", DY$3="Required"), IF(OR('6 - TV Stands &amp; Enterta'!DY$7 = "", '6 - TV Stands &amp; Enterta'!DY$7 = "N/A"), "3:Safety Listing(s) - Value is required", ""), ""))))))))</f>
        <v/>
      </c>
      <c r="DZ8">
        <f t="array" ref="DZ8">_xlfn.MAP('6 - TV Stands &amp; Enterta'!B8:B22, '6 - TV Stands &amp; Enterta'!DZ8:DZ22, '6 - TV Stands &amp; Enterta-WUO_SER'!DZ8:DZ22, '6 - TV Stands &amp; Enterta-WUO_SSV'!DZ8:DZ22, _xlfn.LAMBDA(_xlpm.part, _xlpm.val, _xlpm.servererror, _xlpm.serverval, IF(_xlpm.part = "", "", _xlfn.LET(_xlpm.ssvMsg, IF(AND(LEN(_xlpm.servererror), _xlpm.val = _xlpm.serverval), _xlpm.servererror, ""), IF(LEN(_xlpm.ssvMsg) &gt; 0, _xlpm.ssvMsg, IF(AND(_xlpm.val = "", DZ$3="Required"), IF(OR('6 - TV Stands &amp; Enterta'!DZ$7 = "", '6 - TV Stands &amp; Enterta'!DZ$7 = "N/A"), "3:Safety Listing(s) Registration Number - Value is required", ""), ""))))))</f>
        <v/>
      </c>
      <c r="EA8">
        <f t="array" ref="EA8">_xlfn.MAP('6 - TV Stands &amp; Enterta'!B8:B22, '6 - TV Stands &amp; Enterta'!EA8:EA22, '6 - TV Stands &amp; Enterta-WUO_SER'!EA8:EA22, '6 - TV Stands &amp; Enterta-WUO_SSV'!EA8:EA22, _xlfn.LAMBDA(_xlpm.part, _xlpm.val, _xlpm.servererror, _xlpm.serverval, IF(_xlpm.part = "", "", _xlfn.LET(_xlpm.ssvMsg, IF(AND(LEN(_xlpm.servererror), _xlpm.val = _xlpm.serverval), _xlpm.servererror, ""), IF(LEN(_xlpm.ssvMsg) &gt; 0, _xlpm.ssvMsg, IF(AND(_xlpm.val = "", EA$3="Required"), IF(OR('6 - TV Stands &amp; Enterta'!EA$7 = "", '6 - TV Stands &amp; Enterta'!EA$7 = "N/A"), "3:CPSC - 16 CFR 1263 Compliant (Reese's Law) - Value is required", ""), ""))))))</f>
        <v/>
      </c>
      <c r="EB8">
        <f t="array" ref="EB8">_xlfn.MAP('6 - TV Stands &amp; Enterta'!B8:B22, '6 - TV Stands &amp; Enterta'!EB8:EB22, '6 - TV Stands &amp; Enterta-WUO_SER'!EB8:EB22, '6 - TV Stands &amp; Enterta-WUO_SSV'!EB8:EB22, _xlfn.LAMBDA(_xlpm.part, _xlpm.val, _xlpm.servererror, _xlpm.serverval, IF(_xlpm.part = "", "", _xlfn.LET(_xlpm.ssvMsg, IF(AND(LEN(_xlpm.servererror), _xlpm.val = _xlpm.serverval), _xlpm.servererror, ""), IF(LEN(_xlpm.ssvMsg) &gt; 0, _xlpm.ssvMsg, IF(AND(_xlpm.val = "", EB$3="Required"), IF(OR('6 - TV Stands &amp; Enterta'!EB$7 = "", '6 - TV Stands &amp; Enterta'!EB$7 = "N/A"), "3:ISTA Certified - Value is required", ""), ""))))))</f>
        <v/>
      </c>
      <c r="EC8">
        <f t="array" ref="EC8">_xlfn.MAP('6 - TV Stands &amp; Enterta'!B8:B22, '6 - TV Stands &amp; Enterta'!EC8:EC22, '6 - TV Stands &amp; Enterta-WUO_SER'!EC8:EC22, '6 - TV Stands &amp; Enterta-WUO_SSV'!EC8:EC22, _xlfn.LAMBDA(_xlpm.part, _xlpm.val, _xlpm.servererror, _xlpm.serverval, IF(_xlpm.part = "", "", _xlfn.LET(_xlpm.ssvMsg, IF(AND(LEN(_xlpm.servererror), _xlpm.val = _xlpm.serverval), _xlpm.servererror, ""), IF(LEN(_xlpm.ssvMsg) &gt; 0, _xlpm.ssvMsg, IF(AND(_xlpm.val = "", EC$3="Required"), IF(OR('6 - TV Stands &amp; Enterta'!EC$7 = "", '6 - TV Stands &amp; Enterta'!EC$7 = "N/A"), "3:Sustainability &amp; Social Responsibility Certifications (North America Only) - Value is required", ""), ""))))))</f>
        <v/>
      </c>
      <c r="ED8">
        <f t="array" ref="ED8">_xlfn.MAP('6 - TV Stands &amp; Enterta'!B8:B22, '6 - TV Stands &amp; Enterta'!ED8:ED22, '6 - TV Stands &amp; Enterta-WUO_SER'!ED8:ED22, '6 - TV Stands &amp; Enterta-WUO_SSV'!ED8:ED22, _xlfn.LAMBDA(_xlpm.part, _xlpm.val, _xlpm.servererror, _xlpm.serverval, IF(_xlpm.part = "", "", _xlfn.LET(_xlpm.ssvMsg, IF(AND(LEN(_xlpm.servererror), _xlpm.val = _xlpm.serverval), _xlpm.servererror, ""), IF(LEN(_xlpm.ssvMsg) &gt; 0, _xlpm.ssvMsg, IF(AND(_xlpm.val = "", ED$3="Required"), IF(OR('6 - TV Stands &amp; Enterta'!ED$7 = "", '6 - TV Stands &amp; Enterta'!ED$7 = "N/A"), "3:Commercial Certifications - Value is required", ""), ""))))))</f>
        <v/>
      </c>
      <c r="EE8">
        <f t="array" ref="EE8">_xlfn.MAP('6 - TV Stands &amp; Enterta'!B8:B22, '6 - TV Stands &amp; Enterta'!EE8:EE22, '6 - TV Stands &amp; Enterta-WUO_SER'!EE8:EE22, '6 - TV Stands &amp; Enterta-WUO_SSV'!EE8:EE22,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EE$3="Required"), IF(OR('6 - TV Stands &amp; Enterta'!EE$7 = "", '6 - TV Stands &amp; Enterta'!EE$7 = "N/A"), "3:TV Stand Width - Side to Side - Value is required", ""), ""))))))))</f>
        <v/>
      </c>
      <c r="EF8">
        <f t="array" ref="EF8">_xlfn.MAP('6 - TV Stands &amp; Enterta'!B8:B22, '6 - TV Stands &amp; Enterta'!EF8:EF22, '6 - TV Stands &amp; Enterta-WUO_SER'!EF8:EF22, '6 - TV Stands &amp; Enterta-WUO_SSV'!EF8:EF22,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EF$3="Required"), IF(OR('6 - TV Stands &amp; Enterta'!EF$7 = "", '6 - TV Stands &amp; Enterta'!EF$7 = "N/A"), "3:TV Stand Depth - Front to Back - Value is required", ""), ""))))))))</f>
        <v/>
      </c>
      <c r="EG8">
        <f t="array" ref="EG8">_xlfn.MAP('6 - TV Stands &amp; Enterta'!B8:B22, '6 - TV Stands &amp; Enterta'!EG8:EG22, '6 - TV Stands &amp; Enterta-WUO_SER'!EG8:EG22, '6 - TV Stands &amp; Enterta-WUO_SSV'!EG8:EG22,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EG$3="Required"), IF(OR('6 - TV Stands &amp; Enterta'!EG$7 = "", '6 - TV Stands &amp; Enterta'!EG$7 = "N/A"), "3:Overall Entertainment Center Height - Top to Bottom - Value is required", ""), ""))))))))</f>
        <v/>
      </c>
      <c r="EH8">
        <f t="array" ref="EH8">_xlfn.MAP('6 - TV Stands &amp; Enterta'!B8:B22, '6 - TV Stands &amp; Enterta'!EH8:EH22, '6 - TV Stands &amp; Enterta-WUO_SER'!EH8:EH22, '6 - TV Stands &amp; Enterta-WUO_SSV'!EH8:EH22,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EH$3="Required"), IF(OR('6 - TV Stands &amp; Enterta'!EH$7 = "", '6 - TV Stands &amp; Enterta'!EH$7 = "N/A"), "3:Overall Entertainment Center Width - Side to Side - Value is required", ""), ""))))))))</f>
        <v/>
      </c>
      <c r="EI8">
        <f t="array" ref="EI8">_xlfn.MAP('6 - TV Stands &amp; Enterta'!B8:B22, '6 - TV Stands &amp; Enterta'!EI8:EI22, '6 - TV Stands &amp; Enterta-WUO_SER'!EI8:EI22, '6 - TV Stands &amp; Enterta-WUO_SSV'!EI8:EI22,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EI$3="Required"), IF(OR('6 - TV Stands &amp; Enterta'!EI$7 = "", '6 - TV Stands &amp; Enterta'!EI$7 = "N/A"), "3:Overall Entertainment Center Depth - Front to Back - Value is required", ""), ""))))))))</f>
        <v/>
      </c>
      <c r="EJ8">
        <f t="array" ref="EJ8">_xlfn.MAP('6 - TV Stands &amp; Enterta'!B8:B22, '6 - TV Stands &amp; Enterta'!EJ8:EJ22, '6 - TV Stands &amp; Enterta-WUO_SER'!EJ8:EJ22, '6 - TV Stands &amp; Enterta-WUO_SSV'!EJ8:EJ22, _xlfn.LAMBDA(_xlpm.part, _xlpm.val, _xlpm.servererror, _xlpm.serverval, IF(_xlpm.part = "", "", _xlfn.LET(_xlpm.ssvMsg, IF(AND(LEN(_xlpm.servererror), _xlpm.val = _xlpm.serverval), _xlpm.servererror, ""), IF(LEN(_xlpm.ssvMsg) &gt; 0, _xlpm.ssvMsg, IF(AND(_xlpm.val = "", EJ$3="Required"), IF(OR('6 - TV Stands &amp; Enterta'!EJ$7 = "", '6 - TV Stands &amp; Enterta'!EJ$7 = "N/A"), "3:Overall Product Weight - Value is required", ""), ""))))))</f>
        <v/>
      </c>
      <c r="EK8">
        <f t="array" ref="EK8">_xlfn.MAP('6 - TV Stands &amp; Enterta'!B8:B22, '6 - TV Stands &amp; Enterta'!EK8:EK22, '6 - TV Stands &amp; Enterta-WUO_SER'!EK8:EK22, '6 - TV Stands &amp; Enterta-WUO_SSV'!EK8:EK22, _xlfn.LAMBDA(_xlpm.part, _xlpm.val, _xlpm.servererror, _xlpm.serverval, IF(_xlpm.part = "", "", _xlfn.LET(_xlpm.ssvMsg, IF(AND(LEN(_xlpm.servererror), _xlpm.val = _xlpm.serverval), _xlpm.servererror, ""), IF(LEN(_xlpm.ssvMsg) &gt; 0, _xlpm.ssvMsg, IF(AND(_xlpm.val = "", EK$3="Required"), IF(OR('6 - TV Stands &amp; Enterta'!EK$7 = "", '6 - TV Stands &amp; Enterta'!EK$7 = "N/A"), "3:Maximum TV Screen Size Accommodated - Value is required", ""), ""))))))</f>
        <v/>
      </c>
      <c r="EL8">
        <f t="array" ref="EL8">_xlfn.MAP('6 - TV Stands &amp; Enterta'!B8:B22, '6 - TV Stands &amp; Enterta'!EL8:EL22, '6 - TV Stands &amp; Enterta-WUO_SER'!EL8:EL22, '6 - TV Stands &amp; Enterta-WUO_SSV'!EL8:EL22,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EL$3="Required"), IF(OR('6 - TV Stands &amp; Enterta'!EL$7 = "", '6 - TV Stands &amp; Enterta'!EL$7 = "N/A"), "3:TV Stand Overall Height - Top to Bottom - Value is required", ""), ""))))))))</f>
        <v/>
      </c>
      <c r="EM8">
        <f t="array" ref="EM8">_xlfn.MAP('6 - TV Stands &amp; Enterta'!B8:B22, '6 - TV Stands &amp; Enterta'!EM8:EM22, '6 - TV Stands &amp; Enterta-WUO_SER'!EM8:EM22, '6 - TV Stands &amp; Enterta-WUO_SSV'!EM8:EM22, _xlfn.LAMBDA(_xlpm.part, _xlpm.val, _xlpm.servererror, _xlpm.serverval, IF(_xlpm.part = "", "", _xlfn.LET(_xlpm.ssvMsg, IF(AND(LEN(_xlpm.servererror), _xlpm.val = _xlpm.serverval), _xlpm.servererror, ""), IF(LEN(_xlpm.ssvMsg) &gt; 0, _xlpm.ssvMsg, IF(AND(_xlpm.val = "", EM$3="Required"), IF(OR('6 - TV Stands &amp; Enterta'!EM$7 = "", '6 - TV Stands &amp; Enterta'!EM$7 = "N/A"), "3:Assembly Required - Value is required", ""), ""))))))</f>
        <v/>
      </c>
      <c r="EN8">
        <f t="array" ref="EN8">_xlfn.MAP('6 - TV Stands &amp; Enterta'!B8:B22, '6 - TV Stands &amp; Enterta'!EN8:EN22, '6 - TV Stands &amp; Enterta-WUO_SER'!EN8:EN22, '6 - TV Stands &amp; Enterta-WUO_SSV'!EN8:EN22, '6 - TV Stands &amp; Enterta'!EM8:EM22,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EN$3="Required"), IF(OR('6 - TV Stands &amp; Enterta'!EN$7 = "", '6 - TV Stands &amp; Enterta'!EN$7 = "N/A"), "3:Level of Assembly - Value is required", ""), ""))))))))))</f>
        <v/>
      </c>
      <c r="EO8">
        <f t="array" ref="EO8">_xlfn.MAP('6 - TV Stands &amp; Enterta'!B8:B22, '6 - TV Stands &amp; Enterta'!EO8:EO22, '6 - TV Stands &amp; Enterta-WUO_SER'!EO8:EO22, '6 - TV Stands &amp; Enterta-WUO_SSV'!EO8:EO22,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allowed222778, 0)), ""),IF(AND(_xlpm.invalid&lt;&gt;"", COUNTA(_xlpm.invalid)&gt;0),"1:Please select valid values from the provided list. Answers are case-sensitive and must be separated by a semicolon.","")), ""), IF(LEN(_xlpm.check1) &gt; 0, _xlpm.check1, IF(AND(_xlpm.val = "", EO$3="Required"), IF(OR('6 - TV Stands &amp; Enterta'!EO$7 = "", '6 - TV Stands &amp; Enterta'!EO$7 = "N/A"), "3:Additional Tools Required (Not Included) - Value is required", ""), ""))))))))</f>
        <v/>
      </c>
      <c r="EP8">
        <f t="array" ref="EP8">_xlfn.MAP('6 - TV Stands &amp; Enterta'!B8:B22, '6 - TV Stands &amp; Enterta'!EP8:EP22, '6 - TV Stands &amp; Enterta-WUO_SER'!EP8:EP22, '6 - TV Stands &amp; Enterta-WUO_SSV'!EP8:EP22, _xlfn.LAMBDA(_xlpm.part, _xlpm.val, _xlpm.servererror, _xlpm.serverval, IF(_xlpm.part = "", "", _xlfn.LET(_xlpm.ssvMsg, IF(AND(LEN(_xlpm.servererror), _xlpm.val = _xlpm.serverval), _xlpm.servererror, ""), IF(LEN(_xlpm.ssvMsg) &gt; 0, _xlpm.ssvMsg, IF(AND(_xlpm.val = "", EP$3="Required"), IF(OR('6 - TV Stands &amp; Enterta'!EP$7 = "", '6 - TV Stands &amp; Enterta'!EP$7 = "N/A"), "3:Commercial Warranty - Value is required", ""), ""))))))</f>
        <v/>
      </c>
      <c r="EQ8">
        <f t="array" ref="EQ8">_xlfn.MAP('6 - TV Stands &amp; Enterta'!B8:B22, '6 - TV Stands &amp; Enterta'!EQ8:EQ22, '6 - TV Stands &amp; Enterta-WUO_SER'!EQ8:EQ22, '6 - TV Stands &amp; Enterta-WUO_SSV'!EQ8:EQ22, '6 - TV Stands &amp; Enterta'!EP8:EP22,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IF(OR('6 - TV Stands &amp; Enterta'!EQ$7 = "", '6 - TV Stands &amp; Enterta'!EQ$7 = "N/A"), "3:Since Commercial Warranty equals 'Yes', this field is required", ""), ""), ""), IF(LEN(_xlpm.check3) &gt; 0, _xlpm.check3, IF(AND(_xlpm.val = "", EQ$3="Required"), IF(OR('6 - TV Stands &amp; Enterta'!EQ$7 = "", '6 - TV Stands &amp; Enterta'!EQ$7 = "N/A"), "3:Commercial Warranty Length - Value is required", ""), ""))))))))))))</f>
        <v/>
      </c>
      <c r="ER8">
        <f t="array" ref="ER8">_xlfn.MAP('6 - TV Stands &amp; Enterta'!B8:B22, '6 - TV Stands &amp; Enterta'!ER8:ER22, '6 - TV Stands &amp; Enterta-WUO_SER'!ER8:ER22, '6 - TV Stands &amp; Enterta-WUO_SSV'!ER8:ER22, _xlfn.LAMBDA(_xlpm.part, _xlpm.val, _xlpm.servererror, _xlpm.serverval, IF(_xlpm.part = "", "", _xlfn.LET(_xlpm.ssvMsg, IF(AND(LEN(_xlpm.servererror), _xlpm.val = _xlpm.serverval), _xlpm.servererror, ""), IF(LEN(_xlpm.ssvMsg) &gt; 0, _xlpm.ssvMsg, IF(AND(_xlpm.val = "", ER$3="Required"), IF(OR('6 - TV Stands &amp; Enterta'!ER$7 = "", '6 - TV Stands &amp; Enterta'!ER$7 = "N/A"), "3:Product Warranty - Value is required", ""), ""))))))</f>
        <v/>
      </c>
      <c r="ES8">
        <f t="array" ref="ES8">_xlfn.MAP('6 - TV Stands &amp; Enterta'!B8:B22, '6 - TV Stands &amp; Enterta'!ES8:ES22, '6 - TV Stands &amp; Enterta-WUO_SER'!ES8:ES22, '6 - TV Stands &amp; Enterta-WUO_SSV'!ES8:ES22, _xlfn.LAMBDA(_xlpm.part, _xlpm.val, _xlpm.servererror, _xlpm.serverval, IF(_xlpm.part = "", "", _xlfn.LET(_xlpm.ssvMsg, IF(AND(LEN(_xlpm.servererror), _xlpm.val = _xlpm.serverval), _xlpm.servererror, ""), IF(LEN(_xlpm.ssvMsg) &gt; 0, _xlpm.ssvMsg, IF(AND(_xlpm.val = "", ES$3="Required"), IF(OR('6 - TV Stands &amp; Enterta'!ES$7 = "", '6 - TV Stands &amp; Enterta'!ES$7 = "N/A"), "3:Full or Limited Warranty - Value is required", ""), ""))))))</f>
        <v/>
      </c>
      <c r="ET8">
        <f t="array" ref="ET8">_xlfn.MAP('6 - TV Stands &amp; Enterta'!B8:B22, '6 - TV Stands &amp; Enterta'!ET8:ET22, '6 - TV Stands &amp; Enterta-WUO_SER'!ET8:ET22, '6 - TV Stands &amp; Enterta-WUO_SSV'!ET8:ET22, _xlfn.LAMBDA(_xlpm.part, _xlpm.val, _xlpm.servererror, _xlpm.serverval, IF(_xlpm.part = "", "", _xlfn.LET(_xlpm.ssvMsg, IF(AND(LEN(_xlpm.servererror), _xlpm.val = _xlpm.serverval), _xlpm.servererror, ""), IF(LEN(_xlpm.ssvMsg) &gt; 0, _xlpm.ssvMsg, IF(AND(_xlpm.val = "", ET$3="Required"), IF(OR('6 - TV Stands &amp; Enterta'!ET$7 = "", '6 - TV Stands &amp; Enterta'!ET$7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D7B"/>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_xlfn.LET(_xlpm.high_priority_idx, IFERROR(MATCH(TRUE, (_xlpm.r = "Error") + (_xlpm.r = "Required") &gt; 0, 0), 0), IF(_xlpm.high_priority_idx &gt; 0, _xlpm.high_priority_idx + 1, IFERROR(MATCH(1, (_xlpm.r = "Warning") * 1, 0) + 1, "")))))</f>
        <v/>
      </c>
      <c r="B8">
        <f t="array" ref="B8">_xlfn.MAP('6 - TV Stands &amp; Enterta'!B8:B22, '6 - TV Stands &amp; Enterta'!B8:B22, '6 - TV Stands &amp; Enterta-WUO_ERR'!B8:B22, _xlfn.LAMBDA(_xlpm.part, _xlpm.val, _xlpm.error, IF(_xlpm.part = "", "", IF(LEN(_xlpm.error), _xlfn.SWITCH(IFERROR(_xlfn.TEXTBEFORE(_xlpm.error,":"), ""), "1", "Error", "2", "Disabled", "3", "Required", "4", "Warning", "Valid"), "Valid"))))</f>
        <v/>
      </c>
      <c r="C8">
        <f t="array" ref="C8">_xlfn.MAP('6 - TV Stands &amp; Enterta'!B8:B22, '6 - TV Stands &amp; Enterta'!C8:C22, '6 - TV Stands &amp; Enterta-WUO_ERR'!C8:C22, _xlfn.LAMBDA(_xlpm.part, _xlpm.val, _xlpm.error, IF(_xlpm.part = "", "", IF(LEN(_xlpm.error), _xlfn.SWITCH(IFERROR(_xlfn.TEXTBEFORE(_xlpm.error,":"), ""), "1", "Error", "2", "Disabled", "3", "Required", "4", "Warning", "Valid"), "Valid"))))</f>
        <v/>
      </c>
      <c r="D8">
        <f t="array" ref="D8">_xlfn.MAP('6 - TV Stands &amp; Enterta'!B8:B22, '6 - TV Stands &amp; Enterta'!D8:D22, '6 - TV Stands &amp; Enterta-WUO_ERR'!D8:D22, _xlfn.LAMBDA(_xlpm.part, _xlpm.val, _xlpm.error, IF(_xlpm.part = "", "", IF(LEN(_xlpm.error), _xlfn.SWITCH(IFERROR(_xlfn.TEXTBEFORE(_xlpm.error,":"), ""), "1", "Error", "2", "Disabled", "3", "Required", "4", "Warning", "Valid"), "Valid"))))</f>
        <v/>
      </c>
      <c r="E8">
        <f t="array" ref="E8">_xlfn.MAP('6 - TV Stands &amp; Enterta'!B8:B22, '6 - TV Stands &amp; Enterta'!E8:E22, '6 - TV Stands &amp; Enterta-WUO_ERR'!E8:E22, _xlfn.LAMBDA(_xlpm.part, _xlpm.val, _xlpm.error, IF(_xlpm.part = "", "", IF(LEN(_xlpm.error), _xlfn.SWITCH(IFERROR(_xlfn.TEXTBEFORE(_xlpm.error,":"), ""), "1", "Error", "2", "Disabled", "3", "Required", "4", "Warning", "Valid"), "Valid"))))</f>
        <v/>
      </c>
      <c r="F8">
        <f t="array" ref="F8">_xlfn.MAP('6 - TV Stands &amp; Enterta'!B8:B22, '6 - TV Stands &amp; Enterta'!F8:F22, '6 - TV Stands &amp; Enterta-WUO_ERR'!F8:F22, _xlfn.LAMBDA(_xlpm.part, _xlpm.val, _xlpm.error, IF(_xlpm.part = "", "", IF(LEN(_xlpm.error), _xlfn.SWITCH(IFERROR(_xlfn.TEXTBEFORE(_xlpm.error,":"), ""), "1", "Error", "2", "Disabled", "3", "Required", "4", "Warning", "Valid"), "Valid"))))</f>
        <v/>
      </c>
      <c r="G8">
        <f t="array" ref="G8">_xlfn.MAP('6 - TV Stands &amp; Enterta'!B8:B22, '6 - TV Stands &amp; Enterta'!G8:G22, '6 - TV Stands &amp; Enterta-WUO_ERR'!G8:G22, _xlfn.LAMBDA(_xlpm.part, _xlpm.val, _xlpm.error, IF(_xlpm.part = "", "", IF(LEN(_xlpm.error), _xlfn.SWITCH(IFERROR(_xlfn.TEXTBEFORE(_xlpm.error,":"), ""), "1", "Error", "2", "Disabled", "3", "Required", "4", "Warning", "Valid"), "Valid"))))</f>
        <v/>
      </c>
      <c r="H8">
        <f t="array" ref="H8">_xlfn.MAP('6 - TV Stands &amp; Enterta'!B8:B22, '6 - TV Stands &amp; Enterta'!H8:H22, '6 - TV Stands &amp; Enterta-WUO_ERR'!H8:H22, _xlfn.LAMBDA(_xlpm.part, _xlpm.val, _xlpm.error, IF(_xlpm.part = "", "", IF(LEN(_xlpm.error), _xlfn.SWITCH(IFERROR(_xlfn.TEXTBEFORE(_xlpm.error,":"), ""), "1", "Error", "2", "Disabled", "3", "Required", "4", "Warning", "Valid"), "Valid"))))</f>
        <v/>
      </c>
      <c r="I8">
        <f t="array" ref="I8">_xlfn.MAP('6 - TV Stands &amp; Enterta'!B8:B22, '6 - TV Stands &amp; Enterta'!I8:I22, '6 - TV Stands &amp; Enterta-WUO_ERR'!I8:I22, _xlfn.LAMBDA(_xlpm.part, _xlpm.val, _xlpm.error, IF(_xlpm.part = "", "", IF(LEN(_xlpm.error), _xlfn.SWITCH(IFERROR(_xlfn.TEXTBEFORE(_xlpm.error,":"), ""), "1", "Error", "2", "Disabled", "3", "Required", "4", "Warning", "Valid"), "Valid"))))</f>
        <v/>
      </c>
      <c r="J8">
        <f t="array" ref="J8">_xlfn.MAP('6 - TV Stands &amp; Enterta'!B8:B22, '6 - TV Stands &amp; Enterta'!J8:J22, '6 - TV Stands &amp; Enterta-WUO_ERR'!J8:J22, _xlfn.LAMBDA(_xlpm.part, _xlpm.val, _xlpm.error, IF(_xlpm.part = "", "", IF(LEN(_xlpm.error), _xlfn.SWITCH(IFERROR(_xlfn.TEXTBEFORE(_xlpm.error,":"), ""), "1", "Error", "2", "Disabled", "3", "Required", "4", "Warning", "Valid"), "Valid"))))</f>
        <v/>
      </c>
      <c r="K8">
        <f t="array" ref="K8">_xlfn.MAP('6 - TV Stands &amp; Enterta'!B8:B22, '6 - TV Stands &amp; Enterta'!K8:K22, '6 - TV Stands &amp; Enterta-WUO_ERR'!K8:K22, _xlfn.LAMBDA(_xlpm.part, _xlpm.val, _xlpm.error, IF(_xlpm.part = "", "", IF(LEN(_xlpm.error), _xlfn.SWITCH(IFERROR(_xlfn.TEXTBEFORE(_xlpm.error,":"), ""), "1", "Error", "2", "Disabled", "3", "Required", "4", "Warning", "Valid"), "Valid"))))</f>
        <v/>
      </c>
      <c r="L8">
        <f t="array" ref="L8">_xlfn.MAP('6 - TV Stands &amp; Enterta'!B8:B22, '6 - TV Stands &amp; Enterta'!L8:L22, '6 - TV Stands &amp; Enterta-WUO_ERR'!L8:L22, _xlfn.LAMBDA(_xlpm.part, _xlpm.val, _xlpm.error, IF(_xlpm.part = "", "", IF(LEN(_xlpm.error), _xlfn.SWITCH(IFERROR(_xlfn.TEXTBEFORE(_xlpm.error,":"), ""), "1", "Error", "2", "Disabled", "3", "Required", "4", "Warning", "Valid"), "Valid"))))</f>
        <v/>
      </c>
      <c r="M8">
        <f t="array" ref="M8">_xlfn.MAP('6 - TV Stands &amp; Enterta'!B8:B22, '6 - TV Stands &amp; Enterta'!M8:M22, '6 - TV Stands &amp; Enterta-WUO_ERR'!M8:M22, _xlfn.LAMBDA(_xlpm.part, _xlpm.val, _xlpm.error, IF(_xlpm.part = "", "", IF(LEN(_xlpm.error), _xlfn.SWITCH(IFERROR(_xlfn.TEXTBEFORE(_xlpm.error,":"), ""), "1", "Error", "2", "Disabled", "3", "Required", "4", "Warning", "Valid"), "Valid"))))</f>
        <v/>
      </c>
      <c r="N8">
        <f t="array" ref="N8">_xlfn.MAP('6 - TV Stands &amp; Enterta'!B8:B22, '6 - TV Stands &amp; Enterta'!N8:N22, '6 - TV Stands &amp; Enterta-WUO_ERR'!N8:N22, _xlfn.LAMBDA(_xlpm.part, _xlpm.val, _xlpm.error, IF(_xlpm.part = "", "", IF(LEN(_xlpm.error), _xlfn.SWITCH(IFERROR(_xlfn.TEXTBEFORE(_xlpm.error,":"), ""), "1", "Error", "2", "Disabled", "3", "Required", "4", "Warning", "Valid"), "Valid"))))</f>
        <v/>
      </c>
      <c r="O8">
        <f t="array" ref="O8">_xlfn.MAP('6 - TV Stands &amp; Enterta'!B8:B22, '6 - TV Stands &amp; Enterta'!O8:O22, '6 - TV Stands &amp; Enterta-WUO_ERR'!O8:O22, _xlfn.LAMBDA(_xlpm.part, _xlpm.val, _xlpm.error, IF(_xlpm.part = "", "", IF(LEN(_xlpm.error), _xlfn.SWITCH(IFERROR(_xlfn.TEXTBEFORE(_xlpm.error,":"), ""), "1", "Error", "2", "Disabled", "3", "Required", "4", "Warning", "Valid"), "Valid"))))</f>
        <v/>
      </c>
      <c r="P8">
        <f t="array" ref="P8">_xlfn.MAP('6 - TV Stands &amp; Enterta'!B8:B22, '6 - TV Stands &amp; Enterta'!P8:P22, '6 - TV Stands &amp; Enterta-WUO_ERR'!P8:P22, _xlfn.LAMBDA(_xlpm.part, _xlpm.val, _xlpm.error, IF(_xlpm.part = "", "", IF(LEN(_xlpm.error), _xlfn.SWITCH(IFERROR(_xlfn.TEXTBEFORE(_xlpm.error,":"), ""), "1", "Error", "2", "Disabled", "3", "Required", "4", "Warning", "Valid"), "Valid"))))</f>
        <v/>
      </c>
      <c r="Q8">
        <f t="array" ref="Q8">_xlfn.MAP('6 - TV Stands &amp; Enterta'!B8:B22, '6 - TV Stands &amp; Enterta'!Q8:Q22, '6 - TV Stands &amp; Enterta-WUO_ERR'!Q8:Q22, _xlfn.LAMBDA(_xlpm.part, _xlpm.val, _xlpm.error, IF(_xlpm.part = "", "", IF(LEN(_xlpm.error), _xlfn.SWITCH(IFERROR(_xlfn.TEXTBEFORE(_xlpm.error,":"), ""), "1", "Error", "2", "Disabled", "3", "Required", "4", "Warning", "Valid"), "Valid"))))</f>
        <v/>
      </c>
      <c r="R8">
        <f t="array" ref="R8">_xlfn.MAP('6 - TV Stands &amp; Enterta'!B8:B22, '6 - TV Stands &amp; Enterta'!R8:R22, '6 - TV Stands &amp; Enterta-WUO_ERR'!R8:R22, _xlfn.LAMBDA(_xlpm.part, _xlpm.val, _xlpm.error, IF(_xlpm.part = "", "", IF(LEN(_xlpm.error), _xlfn.SWITCH(IFERROR(_xlfn.TEXTBEFORE(_xlpm.error,":"), ""), "1", "Error", "2", "Disabled", "3", "Required", "4", "Warning", "Valid"), "Valid"))))</f>
        <v/>
      </c>
      <c r="S8">
        <f t="array" ref="S8">_xlfn.MAP('6 - TV Stands &amp; Enterta'!B8:B22, '6 - TV Stands &amp; Enterta'!S8:S22, '6 - TV Stands &amp; Enterta-WUO_ERR'!S8:S22, _xlfn.LAMBDA(_xlpm.part, _xlpm.val, _xlpm.error, IF(_xlpm.part = "", "", IF(LEN(_xlpm.error), _xlfn.SWITCH(IFERROR(_xlfn.TEXTBEFORE(_xlpm.error,":"), ""), "1", "Error", "2", "Disabled", "3", "Required", "4", "Warning", "Valid"), "Valid"))))</f>
        <v/>
      </c>
      <c r="T8">
        <f t="array" ref="T8">_xlfn.MAP('6 - TV Stands &amp; Enterta'!B8:B22, '6 - TV Stands &amp; Enterta'!T8:T22, '6 - TV Stands &amp; Enterta-WUO_ERR'!T8:T22, _xlfn.LAMBDA(_xlpm.part, _xlpm.val, _xlpm.error, IF(_xlpm.part = "", "", IF(LEN(_xlpm.error), _xlfn.SWITCH(IFERROR(_xlfn.TEXTBEFORE(_xlpm.error,":"), ""), "1", "Error", "2", "Disabled", "3", "Required", "4", "Warning", "Valid"), "Valid"))))</f>
        <v/>
      </c>
      <c r="U8">
        <f t="array" ref="U8">_xlfn.MAP('6 - TV Stands &amp; Enterta'!B8:B22, '6 - TV Stands &amp; Enterta'!U8:U22, '6 - TV Stands &amp; Enterta-WUO_ERR'!U8:U22, _xlfn.LAMBDA(_xlpm.part, _xlpm.val, _xlpm.error, IF(_xlpm.part = "", "", IF(LEN(_xlpm.error), _xlfn.SWITCH(IFERROR(_xlfn.TEXTBEFORE(_xlpm.error,":"), ""), "1", "Error", "2", "Disabled", "3", "Required", "4", "Warning", "Valid"), "Valid"))))</f>
        <v/>
      </c>
      <c r="V8">
        <f t="array" ref="V8">_xlfn.MAP('6 - TV Stands &amp; Enterta'!B8:B22, '6 - TV Stands &amp; Enterta'!V8:V22, '6 - TV Stands &amp; Enterta-WUO_ERR'!V8:V22, _xlfn.LAMBDA(_xlpm.part, _xlpm.val, _xlpm.error, IF(_xlpm.part = "", "", IF(LEN(_xlpm.error), _xlfn.SWITCH(IFERROR(_xlfn.TEXTBEFORE(_xlpm.error,":"), ""), "1", "Error", "2", "Disabled", "3", "Required", "4", "Warning", "Valid"), "Valid"))))</f>
        <v/>
      </c>
      <c r="W8">
        <f t="array" ref="W8">_xlfn.MAP('6 - TV Stands &amp; Enterta'!B8:B22, '6 - TV Stands &amp; Enterta'!W8:W22, '6 - TV Stands &amp; Enterta-WUO_ERR'!W8:W22, _xlfn.LAMBDA(_xlpm.part, _xlpm.val, _xlpm.error, IF(_xlpm.part = "", "", IF(LEN(_xlpm.error), _xlfn.SWITCH(IFERROR(_xlfn.TEXTBEFORE(_xlpm.error,":"), ""), "1", "Error", "2", "Disabled", "3", "Required", "4", "Warning", "Valid"), "Valid"))))</f>
        <v/>
      </c>
      <c r="X8">
        <f t="array" ref="X8">_xlfn.MAP('6 - TV Stands &amp; Enterta'!B8:B22, '6 - TV Stands &amp; Enterta'!X8:X22, '6 - TV Stands &amp; Enterta-WUO_ERR'!X8:X22, _xlfn.LAMBDA(_xlpm.part, _xlpm.val, _xlpm.error, IF(_xlpm.part = "", "", IF(LEN(_xlpm.error), _xlfn.SWITCH(IFERROR(_xlfn.TEXTBEFORE(_xlpm.error,":"), ""), "1", "Error", "2", "Disabled", "3", "Required", "4", "Warning", "Valid"), "Valid"))))</f>
        <v/>
      </c>
      <c r="Y8">
        <f t="array" ref="Y8">_xlfn.MAP('6 - TV Stands &amp; Enterta'!B8:B22, '6 - TV Stands &amp; Enterta'!Y8:Y22, '6 - TV Stands &amp; Enterta-WUO_ERR'!Y8:Y22, _xlfn.LAMBDA(_xlpm.part, _xlpm.val, _xlpm.error, IF(_xlpm.part = "", "", IF(LEN(_xlpm.error), _xlfn.SWITCH(IFERROR(_xlfn.TEXTBEFORE(_xlpm.error,":"), ""), "1", "Error", "2", "Disabled", "3", "Required", "4", "Warning", "Valid"), "Valid"))))</f>
        <v/>
      </c>
      <c r="Z8">
        <f t="array" ref="Z8">_xlfn.MAP('6 - TV Stands &amp; Enterta'!B8:B22, '6 - TV Stands &amp; Enterta'!Z8:Z22, '6 - TV Stands &amp; Enterta-WUO_ERR'!Z8:Z22, _xlfn.LAMBDA(_xlpm.part, _xlpm.val, _xlpm.error, IF(_xlpm.part = "", "", IF(LEN(_xlpm.error), _xlfn.SWITCH(IFERROR(_xlfn.TEXTBEFORE(_xlpm.error,":"), ""), "1", "Error", "2", "Disabled", "3", "Required", "4", "Warning", "Valid"), "Valid"))))</f>
        <v/>
      </c>
      <c r="AA8">
        <f t="array" ref="AA8">_xlfn.MAP('6 - TV Stands &amp; Enterta'!B8:B22, '6 - TV Stands &amp; Enterta'!AA8:AA22, '6 - TV Stands &amp; Enterta-WUO_ERR'!AA8:AA22, _xlfn.LAMBDA(_xlpm.part, _xlpm.val, _xlpm.error, IF(_xlpm.part = "", "", IF(LEN(_xlpm.error), _xlfn.SWITCH(IFERROR(_xlfn.TEXTBEFORE(_xlpm.error,":"), ""), "1", "Error", "2", "Disabled", "3", "Required", "4", "Warning", "Valid"), "Valid"))))</f>
        <v/>
      </c>
      <c r="AB8">
        <f t="array" ref="AB8">_xlfn.MAP('6 - TV Stands &amp; Enterta'!B8:B22, '6 - TV Stands &amp; Enterta'!AB8:AB22, '6 - TV Stands &amp; Enterta-WUO_ERR'!AB8:AB22, _xlfn.LAMBDA(_xlpm.part, _xlpm.val, _xlpm.error, IF(_xlpm.part = "", "", IF(LEN(_xlpm.error), _xlfn.SWITCH(IFERROR(_xlfn.TEXTBEFORE(_xlpm.error,":"), ""), "1", "Error", "2", "Disabled", "3", "Required", "4", "Warning", "Valid"), "Valid"))))</f>
        <v/>
      </c>
      <c r="AC8">
        <f t="array" ref="AC8">_xlfn.MAP('6 - TV Stands &amp; Enterta'!B8:B22, '6 - TV Stands &amp; Enterta'!AC8:AC22, '6 - TV Stands &amp; Enterta-WUO_ERR'!AC8:AC22, _xlfn.LAMBDA(_xlpm.part, _xlpm.val, _xlpm.error, IF(_xlpm.part = "", "", IF(LEN(_xlpm.error), _xlfn.SWITCH(IFERROR(_xlfn.TEXTBEFORE(_xlpm.error,":"), ""), "1", "Error", "2", "Disabled", "3", "Required", "4", "Warning", "Valid"), "Valid"))))</f>
        <v/>
      </c>
      <c r="AD8">
        <f t="array" ref="AD8">_xlfn.MAP('6 - TV Stands &amp; Enterta'!B8:B22, '6 - TV Stands &amp; Enterta'!AD8:AD22, '6 - TV Stands &amp; Enterta-WUO_ERR'!AD8:AD22, _xlfn.LAMBDA(_xlpm.part, _xlpm.val, _xlpm.error, IF(_xlpm.part = "", "", IF(LEN(_xlpm.error), _xlfn.SWITCH(IFERROR(_xlfn.TEXTBEFORE(_xlpm.error,":"), ""), "1", "Error", "2", "Disabled", "3", "Required", "4", "Warning", "Valid"), "Valid"))))</f>
        <v/>
      </c>
      <c r="AE8">
        <f t="array" ref="AE8">_xlfn.MAP('6 - TV Stands &amp; Enterta'!B8:B22, '6 - TV Stands &amp; Enterta'!AE8:AE22, '6 - TV Stands &amp; Enterta-WUO_ERR'!AE8:AE22, _xlfn.LAMBDA(_xlpm.part, _xlpm.val, _xlpm.error, IF(_xlpm.part = "", "", IF(LEN(_xlpm.error), _xlfn.SWITCH(IFERROR(_xlfn.TEXTBEFORE(_xlpm.error,":"), ""), "1", "Error", "2", "Disabled", "3", "Required", "4", "Warning", "Valid"), "Valid"))))</f>
        <v/>
      </c>
      <c r="AF8">
        <f t="array" ref="AF8">_xlfn.MAP('6 - TV Stands &amp; Enterta'!B8:B22, '6 - TV Stands &amp; Enterta'!AF8:AF22, '6 - TV Stands &amp; Enterta-WUO_ERR'!AF8:AF22, _xlfn.LAMBDA(_xlpm.part, _xlpm.val, _xlpm.error, IF(_xlpm.part = "", "", IF(LEN(_xlpm.error), _xlfn.SWITCH(IFERROR(_xlfn.TEXTBEFORE(_xlpm.error,":"), ""), "1", "Error", "2", "Disabled", "3", "Required", "4", "Warning", "Valid"), "Valid"))))</f>
        <v/>
      </c>
      <c r="AG8">
        <f t="array" ref="AG8">_xlfn.MAP('6 - TV Stands &amp; Enterta'!B8:B22, '6 - TV Stands &amp; Enterta'!AG8:AG22, '6 - TV Stands &amp; Enterta-WUO_ERR'!AG8:AG22, _xlfn.LAMBDA(_xlpm.part, _xlpm.val, _xlpm.error, IF(_xlpm.part = "", "", IF(LEN(_xlpm.error), _xlfn.SWITCH(IFERROR(_xlfn.TEXTBEFORE(_xlpm.error,":"), ""), "1", "Error", "2", "Disabled", "3", "Required", "4", "Warning", "Valid"), "Valid"))))</f>
        <v/>
      </c>
      <c r="AH8">
        <f t="array" ref="AH8">_xlfn.MAP('6 - TV Stands &amp; Enterta'!B8:B22, '6 - TV Stands &amp; Enterta'!AH8:AH22, '6 - TV Stands &amp; Enterta-WUO_ERR'!AH8:AH22, _xlfn.LAMBDA(_xlpm.part, _xlpm.val, _xlpm.error, IF(_xlpm.part = "", "", IF(LEN(_xlpm.error), _xlfn.SWITCH(IFERROR(_xlfn.TEXTBEFORE(_xlpm.error,":"), ""), "1", "Error", "2", "Disabled", "3", "Required", "4", "Warning", "Valid"), "Valid"))))</f>
        <v/>
      </c>
      <c r="AI8">
        <f t="array" ref="AI8">_xlfn.MAP('6 - TV Stands &amp; Enterta'!B8:B22, '6 - TV Stands &amp; Enterta'!AI8:AI22, '6 - TV Stands &amp; Enterta-WUO_ERR'!AI8:AI22, _xlfn.LAMBDA(_xlpm.part, _xlpm.val, _xlpm.error, IF(_xlpm.part = "", "", IF(LEN(_xlpm.error), _xlfn.SWITCH(IFERROR(_xlfn.TEXTBEFORE(_xlpm.error,":"), ""), "1", "Error", "2", "Disabled", "3", "Required", "4", "Warning", "Valid"), "Valid"))))</f>
        <v/>
      </c>
      <c r="AJ8">
        <f t="array" ref="AJ8">_xlfn.MAP('6 - TV Stands &amp; Enterta'!B8:B22, '6 - TV Stands &amp; Enterta'!AJ8:AJ22, '6 - TV Stands &amp; Enterta-WUO_ERR'!AJ8:AJ22, _xlfn.LAMBDA(_xlpm.part, _xlpm.val, _xlpm.error, IF(_xlpm.part = "", "", IF(LEN(_xlpm.error), _xlfn.SWITCH(IFERROR(_xlfn.TEXTBEFORE(_xlpm.error,":"), ""), "1", "Error", "2", "Disabled", "3", "Required", "4", "Warning", "Valid"), "Valid"))))</f>
        <v/>
      </c>
      <c r="AK8">
        <f t="array" ref="AK8">_xlfn.MAP('6 - TV Stands &amp; Enterta'!B8:B22, '6 - TV Stands &amp; Enterta'!AK8:AK22, '6 - TV Stands &amp; Enterta-WUO_ERR'!AK8:AK22, _xlfn.LAMBDA(_xlpm.part, _xlpm.val, _xlpm.error, IF(_xlpm.part = "", "", IF(LEN(_xlpm.error), _xlfn.SWITCH(IFERROR(_xlfn.TEXTBEFORE(_xlpm.error,":"), ""), "1", "Error", "2", "Disabled", "3", "Required", "4", "Warning", "Valid"), "Valid"))))</f>
        <v/>
      </c>
      <c r="AL8">
        <f t="array" ref="AL8">_xlfn.MAP('6 - TV Stands &amp; Enterta'!B8:B22, '6 - TV Stands &amp; Enterta'!AL8:AL22, '6 - TV Stands &amp; Enterta-WUO_ERR'!AL8:AL22, _xlfn.LAMBDA(_xlpm.part, _xlpm.val, _xlpm.error, IF(_xlpm.part = "", "", IF(LEN(_xlpm.error), _xlfn.SWITCH(IFERROR(_xlfn.TEXTBEFORE(_xlpm.error,":"), ""), "1", "Error", "2", "Disabled", "3", "Required", "4", "Warning", "Valid"), "Valid"))))</f>
        <v/>
      </c>
      <c r="AM8">
        <f t="array" ref="AM8">_xlfn.MAP('6 - TV Stands &amp; Enterta'!B8:B22, '6 - TV Stands &amp; Enterta'!AM8:AM22, '6 - TV Stands &amp; Enterta-WUO_ERR'!AM8:AM22, _xlfn.LAMBDA(_xlpm.part, _xlpm.val, _xlpm.error, IF(_xlpm.part = "", "", IF(LEN(_xlpm.error), _xlfn.SWITCH(IFERROR(_xlfn.TEXTBEFORE(_xlpm.error,":"), ""), "1", "Error", "2", "Disabled", "3", "Required", "4", "Warning", "Valid"), "Valid"))))</f>
        <v/>
      </c>
      <c r="AN8">
        <f t="array" ref="AN8">_xlfn.MAP('6 - TV Stands &amp; Enterta'!B8:B22, '6 - TV Stands &amp; Enterta'!AN8:AN22, '6 - TV Stands &amp; Enterta-WUO_ERR'!AN8:AN22, _xlfn.LAMBDA(_xlpm.part, _xlpm.val, _xlpm.error, IF(_xlpm.part = "", "", IF(LEN(_xlpm.error), _xlfn.SWITCH(IFERROR(_xlfn.TEXTBEFORE(_xlpm.error,":"), ""), "1", "Error", "2", "Disabled", "3", "Required", "4", "Warning", "Valid"), "Valid"))))</f>
        <v/>
      </c>
      <c r="AO8">
        <f t="array" ref="AO8">_xlfn.MAP('6 - TV Stands &amp; Enterta'!B8:B22, '6 - TV Stands &amp; Enterta'!AO8:AO22, '6 - TV Stands &amp; Enterta-WUO_ERR'!AO8:AO22, _xlfn.LAMBDA(_xlpm.part, _xlpm.val, _xlpm.error, IF(_xlpm.part = "", "", IF(LEN(_xlpm.error), _xlfn.SWITCH(IFERROR(_xlfn.TEXTBEFORE(_xlpm.error,":"), ""), "1", "Error", "2", "Disabled", "3", "Required", "4", "Warning", "Valid"), "Valid"))))</f>
        <v/>
      </c>
      <c r="AP8">
        <f t="array" ref="AP8">_xlfn.MAP('6 - TV Stands &amp; Enterta'!B8:B22, '6 - TV Stands &amp; Enterta'!AP8:AP22, '6 - TV Stands &amp; Enterta-WUO_ERR'!AP8:AP22, _xlfn.LAMBDA(_xlpm.part, _xlpm.val, _xlpm.error, IF(_xlpm.part = "", "", IF(LEN(_xlpm.error), _xlfn.SWITCH(IFERROR(_xlfn.TEXTBEFORE(_xlpm.error,":"), ""), "1", "Error", "2", "Disabled", "3", "Required", "4", "Warning", "Valid"), "Valid"))))</f>
        <v/>
      </c>
      <c r="AQ8">
        <f t="array" ref="AQ8">_xlfn.MAP('6 - TV Stands &amp; Enterta'!B8:B22, '6 - TV Stands &amp; Enterta'!AQ8:AQ22, '6 - TV Stands &amp; Enterta-WUO_ERR'!AQ8:AQ22, _xlfn.LAMBDA(_xlpm.part, _xlpm.val, _xlpm.error, IF(_xlpm.part = "", "", IF(LEN(_xlpm.error), _xlfn.SWITCH(IFERROR(_xlfn.TEXTBEFORE(_xlpm.error,":"), ""), "1", "Error", "2", "Disabled", "3", "Required", "4", "Warning", "Valid"), "Valid"))))</f>
        <v/>
      </c>
      <c r="AR8">
        <f t="array" ref="AR8">_xlfn.MAP('6 - TV Stands &amp; Enterta'!B8:B22, '6 - TV Stands &amp; Enterta'!AR8:AR22, '6 - TV Stands &amp; Enterta-WUO_ERR'!AR8:AR22, _xlfn.LAMBDA(_xlpm.part, _xlpm.val, _xlpm.error, IF(_xlpm.part = "", "", IF(LEN(_xlpm.error), _xlfn.SWITCH(IFERROR(_xlfn.TEXTBEFORE(_xlpm.error,":"), ""), "1", "Error", "2", "Disabled", "3", "Required", "4", "Warning", "Valid"), "Valid"))))</f>
        <v/>
      </c>
      <c r="AS8">
        <f t="array" ref="AS8">_xlfn.MAP('6 - TV Stands &amp; Enterta'!B8:B22, '6 - TV Stands &amp; Enterta'!AS8:AS22, '6 - TV Stands &amp; Enterta-WUO_ERR'!AS8:AS22, _xlfn.LAMBDA(_xlpm.part, _xlpm.val, _xlpm.error, IF(_xlpm.part = "", "", IF(LEN(_xlpm.error), _xlfn.SWITCH(IFERROR(_xlfn.TEXTBEFORE(_xlpm.error,":"), ""), "1", "Error", "2", "Disabled", "3", "Required", "4", "Warning", "Valid"), "Valid"))))</f>
        <v/>
      </c>
      <c r="AT8">
        <f t="array" ref="AT8">_xlfn.MAP('6 - TV Stands &amp; Enterta'!B8:B22, '6 - TV Stands &amp; Enterta'!AT8:AT22, '6 - TV Stands &amp; Enterta-WUO_ERR'!AT8:AT22, _xlfn.LAMBDA(_xlpm.part, _xlpm.val, _xlpm.error, IF(_xlpm.part = "", "", IF(LEN(_xlpm.error), _xlfn.SWITCH(IFERROR(_xlfn.TEXTBEFORE(_xlpm.error,":"), ""), "1", "Error", "2", "Disabled", "3", "Required", "4", "Warning", "Valid"), "Valid"))))</f>
        <v/>
      </c>
      <c r="AU8">
        <f t="array" ref="AU8">_xlfn.MAP('6 - TV Stands &amp; Enterta'!B8:B22, '6 - TV Stands &amp; Enterta'!AU8:AU22, '6 - TV Stands &amp; Enterta-WUO_ERR'!AU8:AU22, _xlfn.LAMBDA(_xlpm.part, _xlpm.val, _xlpm.error, IF(_xlpm.part = "", "", IF(LEN(_xlpm.error), _xlfn.SWITCH(IFERROR(_xlfn.TEXTBEFORE(_xlpm.error,":"), ""), "1", "Error", "2", "Disabled", "3", "Required", "4", "Warning", "Valid"), "Valid"))))</f>
        <v/>
      </c>
      <c r="AV8">
        <f t="array" ref="AV8">_xlfn.MAP('6 - TV Stands &amp; Enterta'!B8:B22, '6 - TV Stands &amp; Enterta'!AV8:AV22, '6 - TV Stands &amp; Enterta-WUO_ERR'!AV8:AV22, _xlfn.LAMBDA(_xlpm.part, _xlpm.val, _xlpm.error, IF(_xlpm.part = "", "", IF(LEN(_xlpm.error), _xlfn.SWITCH(IFERROR(_xlfn.TEXTBEFORE(_xlpm.error,":"), ""), "1", "Error", "2", "Disabled", "3", "Required", "4", "Warning", "Valid"), "Valid"))))</f>
        <v/>
      </c>
      <c r="AW8">
        <f t="array" ref="AW8">_xlfn.MAP('6 - TV Stands &amp; Enterta'!B8:B22, '6 - TV Stands &amp; Enterta'!AW8:AW22, '6 - TV Stands &amp; Enterta-WUO_ERR'!AW8:AW22, _xlfn.LAMBDA(_xlpm.part, _xlpm.val, _xlpm.error, IF(_xlpm.part = "", "", IF(LEN(_xlpm.error), _xlfn.SWITCH(IFERROR(_xlfn.TEXTBEFORE(_xlpm.error,":"), ""), "1", "Error", "2", "Disabled", "3", "Required", "4", "Warning", "Valid"), "Valid"))))</f>
        <v/>
      </c>
      <c r="AX8">
        <f t="array" ref="AX8">_xlfn.MAP('6 - TV Stands &amp; Enterta'!B8:B22, '6 - TV Stands &amp; Enterta'!AX8:AX22, '6 - TV Stands &amp; Enterta-WUO_ERR'!AX8:AX22, _xlfn.LAMBDA(_xlpm.part, _xlpm.val, _xlpm.error, IF(_xlpm.part = "", "", IF(LEN(_xlpm.error), _xlfn.SWITCH(IFERROR(_xlfn.TEXTBEFORE(_xlpm.error,":"), ""), "1", "Error", "2", "Disabled", "3", "Required", "4", "Warning", "Valid"), "Valid"))))</f>
        <v/>
      </c>
      <c r="AY8">
        <f t="array" ref="AY8">_xlfn.MAP('6 - TV Stands &amp; Enterta'!B8:B22, '6 - TV Stands &amp; Enterta'!AY8:AY22, '6 - TV Stands &amp; Enterta-WUO_ERR'!AY8:AY22, _xlfn.LAMBDA(_xlpm.part, _xlpm.val, _xlpm.error, IF(_xlpm.part = "", "", IF(LEN(_xlpm.error), _xlfn.SWITCH(IFERROR(_xlfn.TEXTBEFORE(_xlpm.error,":"), ""), "1", "Error", "2", "Disabled", "3", "Required", "4", "Warning", "Valid"), "Valid"))))</f>
        <v/>
      </c>
      <c r="AZ8">
        <f t="array" ref="AZ8">_xlfn.MAP('6 - TV Stands &amp; Enterta'!B8:B22, '6 - TV Stands &amp; Enterta'!AZ8:AZ22, '6 - TV Stands &amp; Enterta-WUO_ERR'!AZ8:AZ22, _xlfn.LAMBDA(_xlpm.part, _xlpm.val, _xlpm.error, IF(_xlpm.part = "", "", IF(LEN(_xlpm.error), _xlfn.SWITCH(IFERROR(_xlfn.TEXTBEFORE(_xlpm.error,":"), ""), "1", "Error", "2", "Disabled", "3", "Required", "4", "Warning", "Valid"), "Valid"))))</f>
        <v/>
      </c>
      <c r="BA8">
        <f t="array" ref="BA8">_xlfn.MAP('6 - TV Stands &amp; Enterta'!B8:B22, '6 - TV Stands &amp; Enterta'!BA8:BA22, '6 - TV Stands &amp; Enterta-WUO_ERR'!BA8:BA22, _xlfn.LAMBDA(_xlpm.part, _xlpm.val, _xlpm.error, IF(_xlpm.part = "", "", IF(LEN(_xlpm.error), _xlfn.SWITCH(IFERROR(_xlfn.TEXTBEFORE(_xlpm.error,":"), ""), "1", "Error", "2", "Disabled", "3", "Required", "4", "Warning", "Valid"), "Valid"))))</f>
        <v/>
      </c>
      <c r="BB8">
        <f t="array" ref="BB8">_xlfn.MAP('6 - TV Stands &amp; Enterta'!B8:B22, '6 - TV Stands &amp; Enterta'!BB8:BB22, '6 - TV Stands &amp; Enterta-WUO_ERR'!BB8:BB22, _xlfn.LAMBDA(_xlpm.part, _xlpm.val, _xlpm.error, IF(_xlpm.part = "", "", IF(LEN(_xlpm.error), _xlfn.SWITCH(IFERROR(_xlfn.TEXTBEFORE(_xlpm.error,":"), ""), "1", "Error", "2", "Disabled", "3", "Required", "4", "Warning", "Valid"), "Valid"))))</f>
        <v/>
      </c>
      <c r="BC8">
        <f t="array" ref="BC8">_xlfn.MAP('6 - TV Stands &amp; Enterta'!B8:B22, '6 - TV Stands &amp; Enterta'!BC8:BC22, '6 - TV Stands &amp; Enterta-WUO_ERR'!BC8:BC22, _xlfn.LAMBDA(_xlpm.part, _xlpm.val, _xlpm.error, IF(_xlpm.part = "", "", IF(LEN(_xlpm.error), _xlfn.SWITCH(IFERROR(_xlfn.TEXTBEFORE(_xlpm.error,":"), ""), "1", "Error", "2", "Disabled", "3", "Required", "4", "Warning", "Valid"), "Valid"))))</f>
        <v/>
      </c>
      <c r="BD8">
        <f t="array" ref="BD8">_xlfn.MAP('6 - TV Stands &amp; Enterta'!B8:B22, '6 - TV Stands &amp; Enterta'!BD8:BD22, '6 - TV Stands &amp; Enterta-WUO_ERR'!BD8:BD22, _xlfn.LAMBDA(_xlpm.part, _xlpm.val, _xlpm.error, IF(_xlpm.part = "", "", IF(LEN(_xlpm.error), _xlfn.SWITCH(IFERROR(_xlfn.TEXTBEFORE(_xlpm.error,":"), ""), "1", "Error", "2", "Disabled", "3", "Required", "4", "Warning", "Valid"), "Valid"))))</f>
        <v/>
      </c>
      <c r="BE8">
        <f t="array" ref="BE8">_xlfn.MAP('6 - TV Stands &amp; Enterta'!B8:B22, '6 - TV Stands &amp; Enterta'!BE8:BE22, '6 - TV Stands &amp; Enterta-WUO_ERR'!BE8:BE22, _xlfn.LAMBDA(_xlpm.part, _xlpm.val, _xlpm.error, IF(_xlpm.part = "", "", IF(LEN(_xlpm.error), _xlfn.SWITCH(IFERROR(_xlfn.TEXTBEFORE(_xlpm.error,":"), ""), "1", "Error", "2", "Disabled", "3", "Required", "4", "Warning", "Valid"), "Valid"))))</f>
        <v/>
      </c>
      <c r="BF8">
        <f t="array" ref="BF8">_xlfn.MAP('6 - TV Stands &amp; Enterta'!B8:B22, '6 - TV Stands &amp; Enterta'!BF8:BF22, '6 - TV Stands &amp; Enterta-WUO_ERR'!BF8:BF22, _xlfn.LAMBDA(_xlpm.part, _xlpm.val, _xlpm.error, IF(_xlpm.part = "", "", IF(LEN(_xlpm.error), _xlfn.SWITCH(IFERROR(_xlfn.TEXTBEFORE(_xlpm.error,":"), ""), "1", "Error", "2", "Disabled", "3", "Required", "4", "Warning", "Valid"), "Valid"))))</f>
        <v/>
      </c>
      <c r="BG8">
        <f t="array" ref="BG8">_xlfn.MAP('6 - TV Stands &amp; Enterta'!B8:B22, '6 - TV Stands &amp; Enterta'!BG8:BG22, '6 - TV Stands &amp; Enterta-WUO_ERR'!BG8:BG22, _xlfn.LAMBDA(_xlpm.part, _xlpm.val, _xlpm.error, IF(_xlpm.part = "", "", IF(LEN(_xlpm.error), _xlfn.SWITCH(IFERROR(_xlfn.TEXTBEFORE(_xlpm.error,":"), ""), "1", "Error", "2", "Disabled", "3", "Required", "4", "Warning", "Valid"), "Valid"))))</f>
        <v/>
      </c>
      <c r="BH8">
        <f t="array" ref="BH8">_xlfn.MAP('6 - TV Stands &amp; Enterta'!B8:B22, '6 - TV Stands &amp; Enterta'!BH8:BH22, '6 - TV Stands &amp; Enterta-WUO_ERR'!BH8:BH22, _xlfn.LAMBDA(_xlpm.part, _xlpm.val, _xlpm.error, IF(_xlpm.part = "", "", IF(LEN(_xlpm.error), _xlfn.SWITCH(IFERROR(_xlfn.TEXTBEFORE(_xlpm.error,":"), ""), "1", "Error", "2", "Disabled", "3", "Required", "4", "Warning", "Valid"), "Valid"))))</f>
        <v/>
      </c>
      <c r="BI8">
        <f t="array" ref="BI8">_xlfn.MAP('6 - TV Stands &amp; Enterta'!B8:B22, '6 - TV Stands &amp; Enterta'!BI8:BI22, '6 - TV Stands &amp; Enterta-WUO_ERR'!BI8:BI22, _xlfn.LAMBDA(_xlpm.part, _xlpm.val, _xlpm.error, IF(_xlpm.part = "", "", IF(LEN(_xlpm.error), _xlfn.SWITCH(IFERROR(_xlfn.TEXTBEFORE(_xlpm.error,":"), ""), "1", "Error", "2", "Disabled", "3", "Required", "4", "Warning", "Valid"), "Valid"))))</f>
        <v/>
      </c>
      <c r="BJ8">
        <f t="array" ref="BJ8">_xlfn.MAP('6 - TV Stands &amp; Enterta'!B8:B22, '6 - TV Stands &amp; Enterta'!BJ8:BJ22, '6 - TV Stands &amp; Enterta-WUO_ERR'!BJ8:BJ22, _xlfn.LAMBDA(_xlpm.part, _xlpm.val, _xlpm.error, IF(_xlpm.part = "", "", IF(LEN(_xlpm.error), _xlfn.SWITCH(IFERROR(_xlfn.TEXTBEFORE(_xlpm.error,":"), ""), "1", "Error", "2", "Disabled", "3", "Required", "4", "Warning", "Valid"), "Valid"))))</f>
        <v/>
      </c>
      <c r="BK8">
        <f t="array" ref="BK8">_xlfn.MAP('6 - TV Stands &amp; Enterta'!B8:B22, '6 - TV Stands &amp; Enterta'!BK8:BK22, '6 - TV Stands &amp; Enterta-WUO_ERR'!BK8:BK22, _xlfn.LAMBDA(_xlpm.part, _xlpm.val, _xlpm.error, IF(_xlpm.part = "", "", IF(LEN(_xlpm.error), _xlfn.SWITCH(IFERROR(_xlfn.TEXTBEFORE(_xlpm.error,":"), ""), "1", "Error", "2", "Disabled", "3", "Required", "4", "Warning", "Valid"), "Valid"))))</f>
        <v/>
      </c>
      <c r="BL8">
        <f t="array" ref="BL8">_xlfn.MAP('6 - TV Stands &amp; Enterta'!B8:B22, '6 - TV Stands &amp; Enterta'!BL8:BL22, '6 - TV Stands &amp; Enterta-WUO_ERR'!BL8:BL22, _xlfn.LAMBDA(_xlpm.part, _xlpm.val, _xlpm.error, IF(_xlpm.part = "", "", IF(LEN(_xlpm.error), _xlfn.SWITCH(IFERROR(_xlfn.TEXTBEFORE(_xlpm.error,":"), ""), "1", "Error", "2", "Disabled", "3", "Required", "4", "Warning", "Valid"), "Valid"))))</f>
        <v/>
      </c>
      <c r="BM8">
        <f t="array" ref="BM8">_xlfn.MAP('6 - TV Stands &amp; Enterta'!B8:B22, '6 - TV Stands &amp; Enterta'!BM8:BM22, '6 - TV Stands &amp; Enterta-WUO_ERR'!BM8:BM22, _xlfn.LAMBDA(_xlpm.part, _xlpm.val, _xlpm.error, IF(_xlpm.part = "", "", IF(LEN(_xlpm.error), _xlfn.SWITCH(IFERROR(_xlfn.TEXTBEFORE(_xlpm.error,":"), ""), "1", "Error", "2", "Disabled", "3", "Required", "4", "Warning", "Valid"), "Valid"))))</f>
        <v/>
      </c>
      <c r="BN8">
        <f t="array" ref="BN8">_xlfn.MAP('6 - TV Stands &amp; Enterta'!B8:B22, '6 - TV Stands &amp; Enterta'!BN8:BN22, '6 - TV Stands &amp; Enterta-WUO_ERR'!BN8:BN22, _xlfn.LAMBDA(_xlpm.part, _xlpm.val, _xlpm.error, IF(_xlpm.part = "", "", IF(LEN(_xlpm.error), _xlfn.SWITCH(IFERROR(_xlfn.TEXTBEFORE(_xlpm.error,":"), ""), "1", "Error", "2", "Disabled", "3", "Required", "4", "Warning", "Valid"), "Valid"))))</f>
        <v/>
      </c>
      <c r="BO8">
        <f t="array" ref="BO8">_xlfn.MAP('6 - TV Stands &amp; Enterta'!B8:B22, '6 - TV Stands &amp; Enterta'!BO8:BO22, '6 - TV Stands &amp; Enterta-WUO_ERR'!BO8:BO22, _xlfn.LAMBDA(_xlpm.part, _xlpm.val, _xlpm.error, IF(_xlpm.part = "", "", IF(LEN(_xlpm.error), _xlfn.SWITCH(IFERROR(_xlfn.TEXTBEFORE(_xlpm.error,":"), ""), "1", "Error", "2", "Disabled", "3", "Required", "4", "Warning", "Valid"), "Valid"))))</f>
        <v/>
      </c>
      <c r="BP8">
        <f t="array" ref="BP8">_xlfn.MAP('6 - TV Stands &amp; Enterta'!B8:B22, '6 - TV Stands &amp; Enterta'!BP8:BP22, '6 - TV Stands &amp; Enterta-WUO_ERR'!BP8:BP22, _xlfn.LAMBDA(_xlpm.part, _xlpm.val, _xlpm.error, IF(_xlpm.part = "", "", IF(LEN(_xlpm.error), _xlfn.SWITCH(IFERROR(_xlfn.TEXTBEFORE(_xlpm.error,":"), ""), "1", "Error", "2", "Disabled", "3", "Required", "4", "Warning", "Valid"), "Valid"))))</f>
        <v/>
      </c>
      <c r="BQ8">
        <f t="array" ref="BQ8">_xlfn.MAP('6 - TV Stands &amp; Enterta'!B8:B22, '6 - TV Stands &amp; Enterta'!BQ8:BQ22, '6 - TV Stands &amp; Enterta-WUO_ERR'!BQ8:BQ22, _xlfn.LAMBDA(_xlpm.part, _xlpm.val, _xlpm.error, IF(_xlpm.part = "", "", IF(LEN(_xlpm.error), _xlfn.SWITCH(IFERROR(_xlfn.TEXTBEFORE(_xlpm.error,":"), ""), "1", "Error", "2", "Disabled", "3", "Required", "4", "Warning", "Valid"), "Valid"))))</f>
        <v/>
      </c>
      <c r="BR8">
        <f t="array" ref="BR8">_xlfn.MAP('6 - TV Stands &amp; Enterta'!B8:B22, '6 - TV Stands &amp; Enterta'!BR8:BR22, '6 - TV Stands &amp; Enterta-WUO_ERR'!BR8:BR22, _xlfn.LAMBDA(_xlpm.part, _xlpm.val, _xlpm.error, IF(_xlpm.part = "", "", IF(LEN(_xlpm.error), _xlfn.SWITCH(IFERROR(_xlfn.TEXTBEFORE(_xlpm.error,":"), ""), "1", "Error", "2", "Disabled", "3", "Required", "4", "Warning", "Valid"), "Valid"))))</f>
        <v/>
      </c>
      <c r="BS8">
        <f t="array" ref="BS8">_xlfn.MAP('6 - TV Stands &amp; Enterta'!B8:B22, '6 - TV Stands &amp; Enterta'!BS8:BS22, '6 - TV Stands &amp; Enterta-WUO_ERR'!BS8:BS22, _xlfn.LAMBDA(_xlpm.part, _xlpm.val, _xlpm.error, IF(_xlpm.part = "", "", IF(LEN(_xlpm.error), _xlfn.SWITCH(IFERROR(_xlfn.TEXTBEFORE(_xlpm.error,":"), ""), "1", "Error", "2", "Disabled", "3", "Required", "4", "Warning", "Valid"), "Valid"))))</f>
        <v/>
      </c>
      <c r="BT8">
        <f t="array" ref="BT8">_xlfn.MAP('6 - TV Stands &amp; Enterta'!B8:B22, '6 - TV Stands &amp; Enterta'!BT8:BT22, '6 - TV Stands &amp; Enterta-WUO_ERR'!BT8:BT22, _xlfn.LAMBDA(_xlpm.part, _xlpm.val, _xlpm.error, IF(_xlpm.part = "", "", IF(LEN(_xlpm.error), _xlfn.SWITCH(IFERROR(_xlfn.TEXTBEFORE(_xlpm.error,":"), ""), "1", "Error", "2", "Disabled", "3", "Required", "4", "Warning", "Valid"), "Valid"))))</f>
        <v/>
      </c>
      <c r="BU8">
        <f t="array" ref="BU8">_xlfn.MAP('6 - TV Stands &amp; Enterta'!B8:B22, '6 - TV Stands &amp; Enterta'!BU8:BU22, '6 - TV Stands &amp; Enterta-WUO_ERR'!BU8:BU22, _xlfn.LAMBDA(_xlpm.part, _xlpm.val, _xlpm.error, IF(_xlpm.part = "", "", IF(LEN(_xlpm.error), _xlfn.SWITCH(IFERROR(_xlfn.TEXTBEFORE(_xlpm.error,":"), ""), "1", "Error", "2", "Disabled", "3", "Required", "4", "Warning", "Valid"), "Valid"))))</f>
        <v/>
      </c>
      <c r="BV8">
        <f t="array" ref="BV8">_xlfn.MAP('6 - TV Stands &amp; Enterta'!B8:B22, '6 - TV Stands &amp; Enterta'!BV8:BV22, '6 - TV Stands &amp; Enterta-WUO_ERR'!BV8:BV22, _xlfn.LAMBDA(_xlpm.part, _xlpm.val, _xlpm.error, IF(_xlpm.part = "", "", IF(LEN(_xlpm.error), _xlfn.SWITCH(IFERROR(_xlfn.TEXTBEFORE(_xlpm.error,":"), ""), "1", "Error", "2", "Disabled", "3", "Required", "4", "Warning", "Valid"), "Valid"))))</f>
        <v/>
      </c>
      <c r="BW8">
        <f t="array" ref="BW8">_xlfn.MAP('6 - TV Stands &amp; Enterta'!B8:B22, '6 - TV Stands &amp; Enterta'!BW8:BW22, '6 - TV Stands &amp; Enterta-WUO_ERR'!BW8:BW22, _xlfn.LAMBDA(_xlpm.part, _xlpm.val, _xlpm.error, IF(_xlpm.part = "", "", IF(LEN(_xlpm.error), _xlfn.SWITCH(IFERROR(_xlfn.TEXTBEFORE(_xlpm.error,":"), ""), "1", "Error", "2", "Disabled", "3", "Required", "4", "Warning", "Valid"), "Valid"))))</f>
        <v/>
      </c>
      <c r="BX8">
        <f t="array" ref="BX8">_xlfn.MAP('6 - TV Stands &amp; Enterta'!B8:B22, '6 - TV Stands &amp; Enterta'!BX8:BX22, '6 - TV Stands &amp; Enterta-WUO_ERR'!BX8:BX22, _xlfn.LAMBDA(_xlpm.part, _xlpm.val, _xlpm.error, IF(_xlpm.part = "", "", IF(LEN(_xlpm.error), _xlfn.SWITCH(IFERROR(_xlfn.TEXTBEFORE(_xlpm.error,":"), ""), "1", "Error", "2", "Disabled", "3", "Required", "4", "Warning", "Valid"), "Valid"))))</f>
        <v/>
      </c>
      <c r="BY8">
        <f t="array" ref="BY8">_xlfn.MAP('6 - TV Stands &amp; Enterta'!B8:B22, '6 - TV Stands &amp; Enterta'!BY8:BY22, '6 - TV Stands &amp; Enterta-WUO_ERR'!BY8:BY22, _xlfn.LAMBDA(_xlpm.part, _xlpm.val, _xlpm.error, IF(_xlpm.part = "", "", IF(LEN(_xlpm.error), _xlfn.SWITCH(IFERROR(_xlfn.TEXTBEFORE(_xlpm.error,":"), ""), "1", "Error", "2", "Disabled", "3", "Required", "4", "Warning", "Valid"), "Valid"))))</f>
        <v/>
      </c>
      <c r="BZ8">
        <f t="array" ref="BZ8">_xlfn.MAP('6 - TV Stands &amp; Enterta'!B8:B22, '6 - TV Stands &amp; Enterta'!BZ8:BZ22, '6 - TV Stands &amp; Enterta-WUO_ERR'!BZ8:BZ22, _xlfn.LAMBDA(_xlpm.part, _xlpm.val, _xlpm.error, IF(_xlpm.part = "", "", IF(LEN(_xlpm.error), _xlfn.SWITCH(IFERROR(_xlfn.TEXTBEFORE(_xlpm.error,":"), ""), "1", "Error", "2", "Disabled", "3", "Required", "4", "Warning", "Valid"), "Valid"))))</f>
        <v/>
      </c>
      <c r="CA8">
        <f t="array" ref="CA8">_xlfn.MAP('6 - TV Stands &amp; Enterta'!B8:B22, '6 - TV Stands &amp; Enterta'!CA8:CA22, '6 - TV Stands &amp; Enterta-WUO_ERR'!CA8:CA22, _xlfn.LAMBDA(_xlpm.part, _xlpm.val, _xlpm.error, IF(_xlpm.part = "", "", IF(LEN(_xlpm.error), _xlfn.SWITCH(IFERROR(_xlfn.TEXTBEFORE(_xlpm.error,":"), ""), "1", "Error", "2", "Disabled", "3", "Required", "4", "Warning", "Valid"), "Valid"))))</f>
        <v/>
      </c>
      <c r="CB8">
        <f t="array" ref="CB8">_xlfn.MAP('6 - TV Stands &amp; Enterta'!B8:B22, '6 - TV Stands &amp; Enterta'!CB8:CB22, '6 - TV Stands &amp; Enterta-WUO_ERR'!CB8:CB22, _xlfn.LAMBDA(_xlpm.part, _xlpm.val, _xlpm.error, IF(_xlpm.part = "", "", IF(LEN(_xlpm.error), _xlfn.SWITCH(IFERROR(_xlfn.TEXTBEFORE(_xlpm.error,":"), ""), "1", "Error", "2", "Disabled", "3", "Required", "4", "Warning", "Valid"), "Valid"))))</f>
        <v/>
      </c>
      <c r="CC8">
        <f t="array" ref="CC8">_xlfn.MAP('6 - TV Stands &amp; Enterta'!B8:B22, '6 - TV Stands &amp; Enterta'!CC8:CC22, '6 - TV Stands &amp; Enterta-WUO_ERR'!CC8:CC22, _xlfn.LAMBDA(_xlpm.part, _xlpm.val, _xlpm.error, IF(_xlpm.part = "", "", IF(LEN(_xlpm.error), _xlfn.SWITCH(IFERROR(_xlfn.TEXTBEFORE(_xlpm.error,":"), ""), "1", "Error", "2", "Disabled", "3", "Required", "4", "Warning", "Valid"), "Valid"))))</f>
        <v/>
      </c>
      <c r="CD8">
        <f t="array" ref="CD8">_xlfn.MAP('6 - TV Stands &amp; Enterta'!B8:B22, '6 - TV Stands &amp; Enterta'!CD8:CD22, '6 - TV Stands &amp; Enterta-WUO_ERR'!CD8:CD22, _xlfn.LAMBDA(_xlpm.part, _xlpm.val, _xlpm.error, IF(_xlpm.part = "", "", IF(LEN(_xlpm.error), _xlfn.SWITCH(IFERROR(_xlfn.TEXTBEFORE(_xlpm.error,":"), ""), "1", "Error", "2", "Disabled", "3", "Required", "4", "Warning", "Valid"), "Valid"))))</f>
        <v/>
      </c>
      <c r="CE8">
        <f t="array" ref="CE8">_xlfn.MAP('6 - TV Stands &amp; Enterta'!B8:B22, '6 - TV Stands &amp; Enterta'!CE8:CE22, '6 - TV Stands &amp; Enterta-WUO_ERR'!CE8:CE22, _xlfn.LAMBDA(_xlpm.part, _xlpm.val, _xlpm.error, IF(_xlpm.part = "", "", IF(LEN(_xlpm.error), _xlfn.SWITCH(IFERROR(_xlfn.TEXTBEFORE(_xlpm.error,":"), ""), "1", "Error", "2", "Disabled", "3", "Required", "4", "Warning", "Valid"), "Valid"))))</f>
        <v/>
      </c>
      <c r="CF8">
        <f t="array" ref="CF8">_xlfn.MAP('6 - TV Stands &amp; Enterta'!B8:B22, '6 - TV Stands &amp; Enterta'!CF8:CF22, '6 - TV Stands &amp; Enterta-WUO_ERR'!CF8:CF22, _xlfn.LAMBDA(_xlpm.part, _xlpm.val, _xlpm.error, IF(_xlpm.part = "", "", IF(LEN(_xlpm.error), _xlfn.SWITCH(IFERROR(_xlfn.TEXTBEFORE(_xlpm.error,":"), ""), "1", "Error", "2", "Disabled", "3", "Required", "4", "Warning", "Valid"), "Valid"))))</f>
        <v/>
      </c>
      <c r="CG8">
        <f t="array" ref="CG8">_xlfn.MAP('6 - TV Stands &amp; Enterta'!B8:B22, '6 - TV Stands &amp; Enterta'!CG8:CG22, '6 - TV Stands &amp; Enterta-WUO_ERR'!CG8:CG22, _xlfn.LAMBDA(_xlpm.part, _xlpm.val, _xlpm.error, IF(_xlpm.part = "", "", IF(LEN(_xlpm.error), _xlfn.SWITCH(IFERROR(_xlfn.TEXTBEFORE(_xlpm.error,":"), ""), "1", "Error", "2", "Disabled", "3", "Required", "4", "Warning", "Valid"), "Valid"))))</f>
        <v/>
      </c>
      <c r="CH8">
        <f t="array" ref="CH8">_xlfn.MAP('6 - TV Stands &amp; Enterta'!B8:B22, '6 - TV Stands &amp; Enterta'!CH8:CH22, '6 - TV Stands &amp; Enterta-WUO_ERR'!CH8:CH22, _xlfn.LAMBDA(_xlpm.part, _xlpm.val, _xlpm.error, IF(_xlpm.part = "", "", IF(LEN(_xlpm.error), _xlfn.SWITCH(IFERROR(_xlfn.TEXTBEFORE(_xlpm.error,":"), ""), "1", "Error", "2", "Disabled", "3", "Required", "4", "Warning", "Valid"), "Valid"))))</f>
        <v/>
      </c>
      <c r="CI8">
        <f t="array" ref="CI8">_xlfn.MAP('6 - TV Stands &amp; Enterta'!B8:B22, '6 - TV Stands &amp; Enterta'!CI8:CI22, '6 - TV Stands &amp; Enterta-WUO_ERR'!CI8:CI22, _xlfn.LAMBDA(_xlpm.part, _xlpm.val, _xlpm.error, IF(_xlpm.part = "", "", IF(LEN(_xlpm.error), _xlfn.SWITCH(IFERROR(_xlfn.TEXTBEFORE(_xlpm.error,":"), ""), "1", "Error", "2", "Disabled", "3", "Required", "4", "Warning", "Valid"), "Valid"))))</f>
        <v/>
      </c>
      <c r="CJ8">
        <f t="array" ref="CJ8">_xlfn.MAP('6 - TV Stands &amp; Enterta'!B8:B22, '6 - TV Stands &amp; Enterta'!CJ8:CJ22, '6 - TV Stands &amp; Enterta-WUO_ERR'!CJ8:CJ22, _xlfn.LAMBDA(_xlpm.part, _xlpm.val, _xlpm.error, IF(_xlpm.part = "", "", IF(LEN(_xlpm.error), _xlfn.SWITCH(IFERROR(_xlfn.TEXTBEFORE(_xlpm.error,":"), ""), "1", "Error", "2", "Disabled", "3", "Required", "4", "Warning", "Valid"), "Valid"))))</f>
        <v/>
      </c>
      <c r="CK8">
        <f t="array" ref="CK8">_xlfn.MAP('6 - TV Stands &amp; Enterta'!B8:B22, '6 - TV Stands &amp; Enterta'!CK8:CK22, '6 - TV Stands &amp; Enterta-WUO_ERR'!CK8:CK22, _xlfn.LAMBDA(_xlpm.part, _xlpm.val, _xlpm.error, IF(_xlpm.part = "", "", IF(LEN(_xlpm.error), _xlfn.SWITCH(IFERROR(_xlfn.TEXTBEFORE(_xlpm.error,":"), ""), "1", "Error", "2", "Disabled", "3", "Required", "4", "Warning", "Valid"), "Valid"))))</f>
        <v/>
      </c>
      <c r="CL8">
        <f t="array" ref="CL8">_xlfn.MAP('6 - TV Stands &amp; Enterta'!B8:B22, '6 - TV Stands &amp; Enterta'!CL8:CL22, '6 - TV Stands &amp; Enterta-WUO_ERR'!CL8:CL22, _xlfn.LAMBDA(_xlpm.part, _xlpm.val, _xlpm.error, IF(_xlpm.part = "", "", IF(LEN(_xlpm.error), _xlfn.SWITCH(IFERROR(_xlfn.TEXTBEFORE(_xlpm.error,":"), ""), "1", "Error", "2", "Disabled", "3", "Required", "4", "Warning", "Valid"), "Valid"))))</f>
        <v/>
      </c>
      <c r="CM8">
        <f t="array" ref="CM8">_xlfn.MAP('6 - TV Stands &amp; Enterta'!B8:B22, '6 - TV Stands &amp; Enterta'!CM8:CM22, '6 - TV Stands &amp; Enterta-WUO_ERR'!CM8:CM22, _xlfn.LAMBDA(_xlpm.part, _xlpm.val, _xlpm.error, IF(_xlpm.part = "", "", IF(LEN(_xlpm.error), _xlfn.SWITCH(IFERROR(_xlfn.TEXTBEFORE(_xlpm.error,":"), ""), "1", "Error", "2", "Disabled", "3", "Required", "4", "Warning", "Valid"), "Valid"))))</f>
        <v/>
      </c>
      <c r="CN8">
        <f t="array" ref="CN8">_xlfn.MAP('6 - TV Stands &amp; Enterta'!B8:B22, '6 - TV Stands &amp; Enterta'!CN8:CN22, '6 - TV Stands &amp; Enterta-WUO_ERR'!CN8:CN22, _xlfn.LAMBDA(_xlpm.part, _xlpm.val, _xlpm.error, IF(_xlpm.part = "", "", IF(LEN(_xlpm.error), _xlfn.SWITCH(IFERROR(_xlfn.TEXTBEFORE(_xlpm.error,":"), ""), "1", "Error", "2", "Disabled", "3", "Required", "4", "Warning", "Valid"), "Valid"))))</f>
        <v/>
      </c>
      <c r="CO8">
        <f t="array" ref="CO8">_xlfn.MAP('6 - TV Stands &amp; Enterta'!B8:B22, '6 - TV Stands &amp; Enterta'!CO8:CO22, '6 - TV Stands &amp; Enterta-WUO_ERR'!CO8:CO22, _xlfn.LAMBDA(_xlpm.part, _xlpm.val, _xlpm.error, IF(_xlpm.part = "", "", IF(LEN(_xlpm.error), _xlfn.SWITCH(IFERROR(_xlfn.TEXTBEFORE(_xlpm.error,":"), ""), "1", "Error", "2", "Disabled", "3", "Required", "4", "Warning", "Valid"), "Valid"))))</f>
        <v/>
      </c>
      <c r="CP8">
        <f t="array" ref="CP8">_xlfn.MAP('6 - TV Stands &amp; Enterta'!B8:B22, '6 - TV Stands &amp; Enterta'!CP8:CP22, '6 - TV Stands &amp; Enterta-WUO_ERR'!CP8:CP22, _xlfn.LAMBDA(_xlpm.part, _xlpm.val, _xlpm.error, IF(_xlpm.part = "", "", IF(LEN(_xlpm.error), _xlfn.SWITCH(IFERROR(_xlfn.TEXTBEFORE(_xlpm.error,":"), ""), "1", "Error", "2", "Disabled", "3", "Required", "4", "Warning", "Valid"), "Valid"))))</f>
        <v/>
      </c>
      <c r="CQ8">
        <f t="array" ref="CQ8">_xlfn.MAP('6 - TV Stands &amp; Enterta'!B8:B22, '6 - TV Stands &amp; Enterta'!CQ8:CQ22, '6 - TV Stands &amp; Enterta-WUO_ERR'!CQ8:CQ22, _xlfn.LAMBDA(_xlpm.part, _xlpm.val, _xlpm.error, IF(_xlpm.part = "", "", IF(LEN(_xlpm.error), _xlfn.SWITCH(IFERROR(_xlfn.TEXTBEFORE(_xlpm.error,":"), ""), "1", "Error", "2", "Disabled", "3", "Required", "4", "Warning", "Valid"), "Valid"))))</f>
        <v/>
      </c>
      <c r="CR8">
        <f t="array" ref="CR8">_xlfn.MAP('6 - TV Stands &amp; Enterta'!B8:B22, '6 - TV Stands &amp; Enterta'!CR8:CR22, '6 - TV Stands &amp; Enterta-WUO_ERR'!CR8:CR22, _xlfn.LAMBDA(_xlpm.part, _xlpm.val, _xlpm.error, IF(_xlpm.part = "", "", IF(LEN(_xlpm.error), _xlfn.SWITCH(IFERROR(_xlfn.TEXTBEFORE(_xlpm.error,":"), ""), "1", "Error", "2", "Disabled", "3", "Required", "4", "Warning", "Valid"), "Valid"))))</f>
        <v/>
      </c>
      <c r="CS8">
        <f t="array" ref="CS8">_xlfn.MAP('6 - TV Stands &amp; Enterta'!B8:B22, '6 - TV Stands &amp; Enterta'!CS8:CS22, '6 - TV Stands &amp; Enterta-WUO_ERR'!CS8:CS22, _xlfn.LAMBDA(_xlpm.part, _xlpm.val, _xlpm.error, IF(_xlpm.part = "", "", IF(LEN(_xlpm.error), _xlfn.SWITCH(IFERROR(_xlfn.TEXTBEFORE(_xlpm.error,":"), ""), "1", "Error", "2", "Disabled", "3", "Required", "4", "Warning", "Valid"), "Valid"))))</f>
        <v/>
      </c>
      <c r="CT8">
        <f t="array" ref="CT8">_xlfn.MAP('6 - TV Stands &amp; Enterta'!B8:B22, '6 - TV Stands &amp; Enterta'!CT8:CT22, '6 - TV Stands &amp; Enterta-WUO_ERR'!CT8:CT22, _xlfn.LAMBDA(_xlpm.part, _xlpm.val, _xlpm.error, IF(_xlpm.part = "", "", IF(LEN(_xlpm.error), _xlfn.SWITCH(IFERROR(_xlfn.TEXTBEFORE(_xlpm.error,":"), ""), "1", "Error", "2", "Disabled", "3", "Required", "4", "Warning", "Valid"), "Valid"))))</f>
        <v/>
      </c>
      <c r="CU8">
        <f t="array" ref="CU8">_xlfn.MAP('6 - TV Stands &amp; Enterta'!B8:B22, '6 - TV Stands &amp; Enterta'!CU8:CU22, '6 - TV Stands &amp; Enterta-WUO_ERR'!CU8:CU22, _xlfn.LAMBDA(_xlpm.part, _xlpm.val, _xlpm.error, IF(_xlpm.part = "", "", IF(LEN(_xlpm.error), _xlfn.SWITCH(IFERROR(_xlfn.TEXTBEFORE(_xlpm.error,":"), ""), "1", "Error", "2", "Disabled", "3", "Required", "4", "Warning", "Valid"), "Valid"))))</f>
        <v/>
      </c>
      <c r="CV8">
        <f t="array" ref="CV8">_xlfn.MAP('6 - TV Stands &amp; Enterta'!B8:B22, '6 - TV Stands &amp; Enterta'!CV8:CV22, '6 - TV Stands &amp; Enterta-WUO_ERR'!CV8:CV22, _xlfn.LAMBDA(_xlpm.part, _xlpm.val, _xlpm.error, IF(_xlpm.part = "", "", IF(LEN(_xlpm.error), _xlfn.SWITCH(IFERROR(_xlfn.TEXTBEFORE(_xlpm.error,":"), ""), "1", "Error", "2", "Disabled", "3", "Required", "4", "Warning", "Valid"), "Valid"))))</f>
        <v/>
      </c>
      <c r="CW8">
        <f t="array" ref="CW8">_xlfn.MAP('6 - TV Stands &amp; Enterta'!B8:B22, '6 - TV Stands &amp; Enterta'!CW8:CW22, '6 - TV Stands &amp; Enterta-WUO_ERR'!CW8:CW22, _xlfn.LAMBDA(_xlpm.part, _xlpm.val, _xlpm.error, IF(_xlpm.part = "", "", IF(LEN(_xlpm.error), _xlfn.SWITCH(IFERROR(_xlfn.TEXTBEFORE(_xlpm.error,":"), ""), "1", "Error", "2", "Disabled", "3", "Required", "4", "Warning", "Valid"), "Valid"))))</f>
        <v/>
      </c>
      <c r="CX8">
        <f t="array" ref="CX8">_xlfn.MAP('6 - TV Stands &amp; Enterta'!B8:B22, '6 - TV Stands &amp; Enterta'!CX8:CX22, '6 - TV Stands &amp; Enterta-WUO_ERR'!CX8:CX22, _xlfn.LAMBDA(_xlpm.part, _xlpm.val, _xlpm.error, IF(_xlpm.part = "", "", IF(LEN(_xlpm.error), _xlfn.SWITCH(IFERROR(_xlfn.TEXTBEFORE(_xlpm.error,":"), ""), "1", "Error", "2", "Disabled", "3", "Required", "4", "Warning", "Valid"), "Valid"))))</f>
        <v/>
      </c>
      <c r="CY8">
        <f t="array" ref="CY8">_xlfn.MAP('6 - TV Stands &amp; Enterta'!B8:B22, '6 - TV Stands &amp; Enterta'!CY8:CY22, '6 - TV Stands &amp; Enterta-WUO_ERR'!CY8:CY22, _xlfn.LAMBDA(_xlpm.part, _xlpm.val, _xlpm.error, IF(_xlpm.part = "", "", IF(LEN(_xlpm.error), _xlfn.SWITCH(IFERROR(_xlfn.TEXTBEFORE(_xlpm.error,":"), ""), "1", "Error", "2", "Disabled", "3", "Required", "4", "Warning", "Valid"), "Valid"))))</f>
        <v/>
      </c>
      <c r="CZ8">
        <f t="array" ref="CZ8">_xlfn.MAP('6 - TV Stands &amp; Enterta'!B8:B22, '6 - TV Stands &amp; Enterta'!CZ8:CZ22, '6 - TV Stands &amp; Enterta-WUO_ERR'!CZ8:CZ22, _xlfn.LAMBDA(_xlpm.part, _xlpm.val, _xlpm.error, IF(_xlpm.part = "", "", IF(LEN(_xlpm.error), _xlfn.SWITCH(IFERROR(_xlfn.TEXTBEFORE(_xlpm.error,":"), ""), "1", "Error", "2", "Disabled", "3", "Required", "4", "Warning", "Valid"), "Valid"))))</f>
        <v/>
      </c>
      <c r="DA8">
        <f t="array" ref="DA8">_xlfn.MAP('6 - TV Stands &amp; Enterta'!B8:B22, '6 - TV Stands &amp; Enterta'!DA8:DA22, '6 - TV Stands &amp; Enterta-WUO_ERR'!DA8:DA22, _xlfn.LAMBDA(_xlpm.part, _xlpm.val, _xlpm.error, IF(_xlpm.part = "", "", IF(LEN(_xlpm.error), _xlfn.SWITCH(IFERROR(_xlfn.TEXTBEFORE(_xlpm.error,":"), ""), "1", "Error", "2", "Disabled", "3", "Required", "4", "Warning", "Valid"), "Valid"))))</f>
        <v/>
      </c>
      <c r="DB8">
        <f t="array" ref="DB8">_xlfn.MAP('6 - TV Stands &amp; Enterta'!B8:B22, '6 - TV Stands &amp; Enterta'!DB8:DB22, '6 - TV Stands &amp; Enterta-WUO_ERR'!DB8:DB22, _xlfn.LAMBDA(_xlpm.part, _xlpm.val, _xlpm.error, IF(_xlpm.part = "", "", IF(LEN(_xlpm.error), _xlfn.SWITCH(IFERROR(_xlfn.TEXTBEFORE(_xlpm.error,":"), ""), "1", "Error", "2", "Disabled", "3", "Required", "4", "Warning", "Valid"), "Valid"))))</f>
        <v/>
      </c>
      <c r="DC8">
        <f t="array" ref="DC8">_xlfn.MAP('6 - TV Stands &amp; Enterta'!B8:B22, '6 - TV Stands &amp; Enterta'!DC8:DC22, '6 - TV Stands &amp; Enterta-WUO_ERR'!DC8:DC22, _xlfn.LAMBDA(_xlpm.part, _xlpm.val, _xlpm.error, IF(_xlpm.part = "", "", IF(LEN(_xlpm.error), _xlfn.SWITCH(IFERROR(_xlfn.TEXTBEFORE(_xlpm.error,":"), ""), "1", "Error", "2", "Disabled", "3", "Required", "4", "Warning", "Valid"), "Valid"))))</f>
        <v/>
      </c>
      <c r="DD8">
        <f t="array" ref="DD8">_xlfn.MAP('6 - TV Stands &amp; Enterta'!B8:B22, '6 - TV Stands &amp; Enterta'!DD8:DD22, '6 - TV Stands &amp; Enterta-WUO_ERR'!DD8:DD22, _xlfn.LAMBDA(_xlpm.part, _xlpm.val, _xlpm.error, IF(_xlpm.part = "", "", IF(LEN(_xlpm.error), _xlfn.SWITCH(IFERROR(_xlfn.TEXTBEFORE(_xlpm.error,":"), ""), "1", "Error", "2", "Disabled", "3", "Required", "4", "Warning", "Valid"), "Valid"))))</f>
        <v/>
      </c>
      <c r="DE8">
        <f t="array" ref="DE8">_xlfn.MAP('6 - TV Stands &amp; Enterta'!B8:B22, '6 - TV Stands &amp; Enterta'!DE8:DE22, '6 - TV Stands &amp; Enterta-WUO_ERR'!DE8:DE22, _xlfn.LAMBDA(_xlpm.part, _xlpm.val, _xlpm.error, IF(_xlpm.part = "", "", IF(LEN(_xlpm.error), _xlfn.SWITCH(IFERROR(_xlfn.TEXTBEFORE(_xlpm.error,":"), ""), "1", "Error", "2", "Disabled", "3", "Required", "4", "Warning", "Valid"), "Valid"))))</f>
        <v/>
      </c>
      <c r="DF8">
        <f t="array" ref="DF8">_xlfn.MAP('6 - TV Stands &amp; Enterta'!B8:B22, '6 - TV Stands &amp; Enterta'!DF8:DF22, '6 - TV Stands &amp; Enterta-WUO_ERR'!DF8:DF22, _xlfn.LAMBDA(_xlpm.part, _xlpm.val, _xlpm.error, IF(_xlpm.part = "", "", IF(LEN(_xlpm.error), _xlfn.SWITCH(IFERROR(_xlfn.TEXTBEFORE(_xlpm.error,":"), ""), "1", "Error", "2", "Disabled", "3", "Required", "4", "Warning", "Valid"), "Valid"))))</f>
        <v/>
      </c>
      <c r="DG8">
        <f t="array" ref="DG8">_xlfn.MAP('6 - TV Stands &amp; Enterta'!B8:B22, '6 - TV Stands &amp; Enterta'!DG8:DG22, '6 - TV Stands &amp; Enterta-WUO_ERR'!DG8:DG22, _xlfn.LAMBDA(_xlpm.part, _xlpm.val, _xlpm.error, IF(_xlpm.part = "", "", IF(LEN(_xlpm.error), _xlfn.SWITCH(IFERROR(_xlfn.TEXTBEFORE(_xlpm.error,":"), ""), "1", "Error", "2", "Disabled", "3", "Required", "4", "Warning", "Valid"), "Valid"))))</f>
        <v/>
      </c>
      <c r="DH8">
        <f t="array" ref="DH8">_xlfn.MAP('6 - TV Stands &amp; Enterta'!B8:B22, '6 - TV Stands &amp; Enterta'!DH8:DH22, '6 - TV Stands &amp; Enterta-WUO_ERR'!DH8:DH22, _xlfn.LAMBDA(_xlpm.part, _xlpm.val, _xlpm.error, IF(_xlpm.part = "", "", IF(LEN(_xlpm.error), _xlfn.SWITCH(IFERROR(_xlfn.TEXTBEFORE(_xlpm.error,":"), ""), "1", "Error", "2", "Disabled", "3", "Required", "4", "Warning", "Valid"), "Valid"))))</f>
        <v/>
      </c>
      <c r="DI8">
        <f t="array" ref="DI8">_xlfn.MAP('6 - TV Stands &amp; Enterta'!B8:B22, '6 - TV Stands &amp; Enterta'!DI8:DI22, '6 - TV Stands &amp; Enterta-WUO_ERR'!DI8:DI22, _xlfn.LAMBDA(_xlpm.part, _xlpm.val, _xlpm.error, IF(_xlpm.part = "", "", IF(LEN(_xlpm.error), _xlfn.SWITCH(IFERROR(_xlfn.TEXTBEFORE(_xlpm.error,":"), ""), "1", "Error", "2", "Disabled", "3", "Required", "4", "Warning", "Valid"), "Valid"))))</f>
        <v/>
      </c>
      <c r="DJ8">
        <f t="array" ref="DJ8">_xlfn.MAP('6 - TV Stands &amp; Enterta'!B8:B22, '6 - TV Stands &amp; Enterta'!DJ8:DJ22, '6 - TV Stands &amp; Enterta-WUO_ERR'!DJ8:DJ22, _xlfn.LAMBDA(_xlpm.part, _xlpm.val, _xlpm.error, IF(_xlpm.part = "", "", IF(LEN(_xlpm.error), _xlfn.SWITCH(IFERROR(_xlfn.TEXTBEFORE(_xlpm.error,":"), ""), "1", "Error", "2", "Disabled", "3", "Required", "4", "Warning", "Valid"), "Valid"))))</f>
        <v/>
      </c>
      <c r="DK8">
        <f t="array" ref="DK8">_xlfn.MAP('6 - TV Stands &amp; Enterta'!B8:B22, '6 - TV Stands &amp; Enterta'!DK8:DK22, '6 - TV Stands &amp; Enterta-WUO_ERR'!DK8:DK22, _xlfn.LAMBDA(_xlpm.part, _xlpm.val, _xlpm.error, IF(_xlpm.part = "", "", IF(LEN(_xlpm.error), _xlfn.SWITCH(IFERROR(_xlfn.TEXTBEFORE(_xlpm.error,":"), ""), "1", "Error", "2", "Disabled", "3", "Required", "4", "Warning", "Valid"), "Valid"))))</f>
        <v/>
      </c>
      <c r="DL8">
        <f t="array" ref="DL8">_xlfn.MAP('6 - TV Stands &amp; Enterta'!B8:B22, '6 - TV Stands &amp; Enterta'!DL8:DL22, '6 - TV Stands &amp; Enterta-WUO_ERR'!DL8:DL22, _xlfn.LAMBDA(_xlpm.part, _xlpm.val, _xlpm.error, IF(_xlpm.part = "", "", IF(LEN(_xlpm.error), _xlfn.SWITCH(IFERROR(_xlfn.TEXTBEFORE(_xlpm.error,":"), ""), "1", "Error", "2", "Disabled", "3", "Required", "4", "Warning", "Valid"), "Valid"))))</f>
        <v/>
      </c>
      <c r="DM8">
        <f t="array" ref="DM8">_xlfn.MAP('6 - TV Stands &amp; Enterta'!B8:B22, '6 - TV Stands &amp; Enterta'!DM8:DM22, '6 - TV Stands &amp; Enterta-WUO_ERR'!DM8:DM22, _xlfn.LAMBDA(_xlpm.part, _xlpm.val, _xlpm.error, IF(_xlpm.part = "", "", IF(LEN(_xlpm.error), _xlfn.SWITCH(IFERROR(_xlfn.TEXTBEFORE(_xlpm.error,":"), ""), "1", "Error", "2", "Disabled", "3", "Required", "4", "Warning", "Valid"), "Valid"))))</f>
        <v/>
      </c>
      <c r="DN8">
        <f t="array" ref="DN8">_xlfn.MAP('6 - TV Stands &amp; Enterta'!B8:B22, '6 - TV Stands &amp; Enterta'!DN8:DN22, '6 - TV Stands &amp; Enterta-WUO_ERR'!DN8:DN22, _xlfn.LAMBDA(_xlpm.part, _xlpm.val, _xlpm.error, IF(_xlpm.part = "", "", IF(LEN(_xlpm.error), _xlfn.SWITCH(IFERROR(_xlfn.TEXTBEFORE(_xlpm.error,":"), ""), "1", "Error", "2", "Disabled", "3", "Required", "4", "Warning", "Valid"), "Valid"))))</f>
        <v/>
      </c>
      <c r="DO8">
        <f t="array" ref="DO8">_xlfn.MAP('6 - TV Stands &amp; Enterta'!B8:B22, '6 - TV Stands &amp; Enterta'!DO8:DO22, '6 - TV Stands &amp; Enterta-WUO_ERR'!DO8:DO22, _xlfn.LAMBDA(_xlpm.part, _xlpm.val, _xlpm.error, IF(_xlpm.part = "", "", IF(LEN(_xlpm.error), _xlfn.SWITCH(IFERROR(_xlfn.TEXTBEFORE(_xlpm.error,":"), ""), "1", "Error", "2", "Disabled", "3", "Required", "4", "Warning", "Valid"), "Valid"))))</f>
        <v/>
      </c>
      <c r="DP8">
        <f t="array" ref="DP8">_xlfn.MAP('6 - TV Stands &amp; Enterta'!B8:B22, '6 - TV Stands &amp; Enterta'!DP8:DP22, '6 - TV Stands &amp; Enterta-WUO_ERR'!DP8:DP22, _xlfn.LAMBDA(_xlpm.part, _xlpm.val, _xlpm.error, IF(_xlpm.part = "", "", IF(LEN(_xlpm.error), _xlfn.SWITCH(IFERROR(_xlfn.TEXTBEFORE(_xlpm.error,":"), ""), "1", "Error", "2", "Disabled", "3", "Required", "4", "Warning", "Valid"), "Valid"))))</f>
        <v/>
      </c>
      <c r="DQ8">
        <f t="array" ref="DQ8">_xlfn.MAP('6 - TV Stands &amp; Enterta'!B8:B22, '6 - TV Stands &amp; Enterta'!DQ8:DQ22, '6 - TV Stands &amp; Enterta-WUO_ERR'!DQ8:DQ22, _xlfn.LAMBDA(_xlpm.part, _xlpm.val, _xlpm.error, IF(_xlpm.part = "", "", IF(LEN(_xlpm.error), _xlfn.SWITCH(IFERROR(_xlfn.TEXTBEFORE(_xlpm.error,":"), ""), "1", "Error", "2", "Disabled", "3", "Required", "4", "Warning", "Valid"), "Valid"))))</f>
        <v/>
      </c>
      <c r="DR8">
        <f t="array" ref="DR8">_xlfn.MAP('6 - TV Stands &amp; Enterta'!B8:B22, '6 - TV Stands &amp; Enterta'!DR8:DR22, '6 - TV Stands &amp; Enterta-WUO_ERR'!DR8:DR22, _xlfn.LAMBDA(_xlpm.part, _xlpm.val, _xlpm.error, IF(_xlpm.part = "", "", IF(LEN(_xlpm.error), _xlfn.SWITCH(IFERROR(_xlfn.TEXTBEFORE(_xlpm.error,":"), ""), "1", "Error", "2", "Disabled", "3", "Required", "4", "Warning", "Valid"), "Valid"))))</f>
        <v/>
      </c>
      <c r="DS8">
        <f t="array" ref="DS8">_xlfn.MAP('6 - TV Stands &amp; Enterta'!B8:B22, '6 - TV Stands &amp; Enterta'!DS8:DS22, '6 - TV Stands &amp; Enterta-WUO_ERR'!DS8:DS22, _xlfn.LAMBDA(_xlpm.part, _xlpm.val, _xlpm.error, IF(_xlpm.part = "", "", IF(LEN(_xlpm.error), _xlfn.SWITCH(IFERROR(_xlfn.TEXTBEFORE(_xlpm.error,":"), ""), "1", "Error", "2", "Disabled", "3", "Required", "4", "Warning", "Valid"), "Valid"))))</f>
        <v/>
      </c>
      <c r="DT8">
        <f t="array" ref="DT8">_xlfn.MAP('6 - TV Stands &amp; Enterta'!B8:B22, '6 - TV Stands &amp; Enterta'!DT8:DT22, '6 - TV Stands &amp; Enterta-WUO_ERR'!DT8:DT22, _xlfn.LAMBDA(_xlpm.part, _xlpm.val, _xlpm.error, IF(_xlpm.part = "", "", IF(LEN(_xlpm.error), _xlfn.SWITCH(IFERROR(_xlfn.TEXTBEFORE(_xlpm.error,":"), ""), "1", "Error", "2", "Disabled", "3", "Required", "4", "Warning", "Valid"), "Valid"))))</f>
        <v/>
      </c>
      <c r="DU8">
        <f t="array" ref="DU8">_xlfn.MAP('6 - TV Stands &amp; Enterta'!B8:B22, '6 - TV Stands &amp; Enterta'!DU8:DU22, '6 - TV Stands &amp; Enterta-WUO_ERR'!DU8:DU22, _xlfn.LAMBDA(_xlpm.part, _xlpm.val, _xlpm.error, IF(_xlpm.part = "", "", IF(LEN(_xlpm.error), _xlfn.SWITCH(IFERROR(_xlfn.TEXTBEFORE(_xlpm.error,":"), ""), "1", "Error", "2", "Disabled", "3", "Required", "4", "Warning", "Valid"), "Valid"))))</f>
        <v/>
      </c>
      <c r="DV8">
        <f t="array" ref="DV8">_xlfn.MAP('6 - TV Stands &amp; Enterta'!B8:B22, '6 - TV Stands &amp; Enterta'!DV8:DV22, '6 - TV Stands &amp; Enterta-WUO_ERR'!DV8:DV22, _xlfn.LAMBDA(_xlpm.part, _xlpm.val, _xlpm.error, IF(_xlpm.part = "", "", IF(LEN(_xlpm.error), _xlfn.SWITCH(IFERROR(_xlfn.TEXTBEFORE(_xlpm.error,":"), ""), "1", "Error", "2", "Disabled", "3", "Required", "4", "Warning", "Valid"), "Valid"))))</f>
        <v/>
      </c>
      <c r="DW8">
        <f t="array" ref="DW8">_xlfn.MAP('6 - TV Stands &amp; Enterta'!B8:B22, '6 - TV Stands &amp; Enterta'!DW8:DW22, '6 - TV Stands &amp; Enterta-WUO_ERR'!DW8:DW22, _xlfn.LAMBDA(_xlpm.part, _xlpm.val, _xlpm.error, IF(_xlpm.part = "", "", IF(LEN(_xlpm.error), _xlfn.SWITCH(IFERROR(_xlfn.TEXTBEFORE(_xlpm.error,":"), ""), "1", "Error", "2", "Disabled", "3", "Required", "4", "Warning", "Valid"), "Valid"))))</f>
        <v/>
      </c>
      <c r="DX8">
        <f t="array" ref="DX8">_xlfn.MAP('6 - TV Stands &amp; Enterta'!B8:B22, '6 - TV Stands &amp; Enterta'!DX8:DX22, '6 - TV Stands &amp; Enterta-WUO_ERR'!DX8:DX22, _xlfn.LAMBDA(_xlpm.part, _xlpm.val, _xlpm.error, IF(_xlpm.part = "", "", IF(LEN(_xlpm.error), _xlfn.SWITCH(IFERROR(_xlfn.TEXTBEFORE(_xlpm.error,":"), ""), "1", "Error", "2", "Disabled", "3", "Required", "4", "Warning", "Valid"), "Valid"))))</f>
        <v/>
      </c>
      <c r="DY8">
        <f t="array" ref="DY8">_xlfn.MAP('6 - TV Stands &amp; Enterta'!B8:B22, '6 - TV Stands &amp; Enterta'!DY8:DY22, '6 - TV Stands &amp; Enterta-WUO_ERR'!DY8:DY22, _xlfn.LAMBDA(_xlpm.part, _xlpm.val, _xlpm.error, IF(_xlpm.part = "", "", IF(LEN(_xlpm.error), _xlfn.SWITCH(IFERROR(_xlfn.TEXTBEFORE(_xlpm.error,":"), ""), "1", "Error", "2", "Disabled", "3", "Required", "4", "Warning", "Valid"), "Valid"))))</f>
        <v/>
      </c>
      <c r="DZ8">
        <f t="array" ref="DZ8">_xlfn.MAP('6 - TV Stands &amp; Enterta'!B8:B22, '6 - TV Stands &amp; Enterta'!DZ8:DZ22, '6 - TV Stands &amp; Enterta-WUO_ERR'!DZ8:DZ22, _xlfn.LAMBDA(_xlpm.part, _xlpm.val, _xlpm.error, IF(_xlpm.part = "", "", IF(LEN(_xlpm.error), _xlfn.SWITCH(IFERROR(_xlfn.TEXTBEFORE(_xlpm.error,":"), ""), "1", "Error", "2", "Disabled", "3", "Required", "4", "Warning", "Valid"), "Valid"))))</f>
        <v/>
      </c>
      <c r="EA8">
        <f t="array" ref="EA8">_xlfn.MAP('6 - TV Stands &amp; Enterta'!B8:B22, '6 - TV Stands &amp; Enterta'!EA8:EA22, '6 - TV Stands &amp; Enterta-WUO_ERR'!EA8:EA22, _xlfn.LAMBDA(_xlpm.part, _xlpm.val, _xlpm.error, IF(_xlpm.part = "", "", IF(LEN(_xlpm.error), _xlfn.SWITCH(IFERROR(_xlfn.TEXTBEFORE(_xlpm.error,":"), ""), "1", "Error", "2", "Disabled", "3", "Required", "4", "Warning", "Valid"), "Valid"))))</f>
        <v/>
      </c>
      <c r="EB8">
        <f t="array" ref="EB8">_xlfn.MAP('6 - TV Stands &amp; Enterta'!B8:B22, '6 - TV Stands &amp; Enterta'!EB8:EB22, '6 - TV Stands &amp; Enterta-WUO_ERR'!EB8:EB22, _xlfn.LAMBDA(_xlpm.part, _xlpm.val, _xlpm.error, IF(_xlpm.part = "", "", IF(LEN(_xlpm.error), _xlfn.SWITCH(IFERROR(_xlfn.TEXTBEFORE(_xlpm.error,":"), ""), "1", "Error", "2", "Disabled", "3", "Required", "4", "Warning", "Valid"), "Valid"))))</f>
        <v/>
      </c>
      <c r="EC8">
        <f t="array" ref="EC8">_xlfn.MAP('6 - TV Stands &amp; Enterta'!B8:B22, '6 - TV Stands &amp; Enterta'!EC8:EC22, '6 - TV Stands &amp; Enterta-WUO_ERR'!EC8:EC22, _xlfn.LAMBDA(_xlpm.part, _xlpm.val, _xlpm.error, IF(_xlpm.part = "", "", IF(LEN(_xlpm.error), _xlfn.SWITCH(IFERROR(_xlfn.TEXTBEFORE(_xlpm.error,":"), ""), "1", "Error", "2", "Disabled", "3", "Required", "4", "Warning", "Valid"), "Valid"))))</f>
        <v/>
      </c>
      <c r="ED8">
        <f t="array" ref="ED8">_xlfn.MAP('6 - TV Stands &amp; Enterta'!B8:B22, '6 - TV Stands &amp; Enterta'!ED8:ED22, '6 - TV Stands &amp; Enterta-WUO_ERR'!ED8:ED22, _xlfn.LAMBDA(_xlpm.part, _xlpm.val, _xlpm.error, IF(_xlpm.part = "", "", IF(LEN(_xlpm.error), _xlfn.SWITCH(IFERROR(_xlfn.TEXTBEFORE(_xlpm.error,":"), ""), "1", "Error", "2", "Disabled", "3", "Required", "4", "Warning", "Valid"), "Valid"))))</f>
        <v/>
      </c>
      <c r="EE8">
        <f t="array" ref="EE8">_xlfn.MAP('6 - TV Stands &amp; Enterta'!B8:B22, '6 - TV Stands &amp; Enterta'!EE8:EE22, '6 - TV Stands &amp; Enterta-WUO_ERR'!EE8:EE22, _xlfn.LAMBDA(_xlpm.part, _xlpm.val, _xlpm.error, IF(_xlpm.part = "", "", IF(LEN(_xlpm.error), _xlfn.SWITCH(IFERROR(_xlfn.TEXTBEFORE(_xlpm.error,":"), ""), "1", "Error", "2", "Disabled", "3", "Required", "4", "Warning", "Valid"), "Valid"))))</f>
        <v/>
      </c>
      <c r="EF8">
        <f t="array" ref="EF8">_xlfn.MAP('6 - TV Stands &amp; Enterta'!B8:B22, '6 - TV Stands &amp; Enterta'!EF8:EF22, '6 - TV Stands &amp; Enterta-WUO_ERR'!EF8:EF22, _xlfn.LAMBDA(_xlpm.part, _xlpm.val, _xlpm.error, IF(_xlpm.part = "", "", IF(LEN(_xlpm.error), _xlfn.SWITCH(IFERROR(_xlfn.TEXTBEFORE(_xlpm.error,":"), ""), "1", "Error", "2", "Disabled", "3", "Required", "4", "Warning", "Valid"), "Valid"))))</f>
        <v/>
      </c>
      <c r="EG8">
        <f t="array" ref="EG8">_xlfn.MAP('6 - TV Stands &amp; Enterta'!B8:B22, '6 - TV Stands &amp; Enterta'!EG8:EG22, '6 - TV Stands &amp; Enterta-WUO_ERR'!EG8:EG22, _xlfn.LAMBDA(_xlpm.part, _xlpm.val, _xlpm.error, IF(_xlpm.part = "", "", IF(LEN(_xlpm.error), _xlfn.SWITCH(IFERROR(_xlfn.TEXTBEFORE(_xlpm.error,":"), ""), "1", "Error", "2", "Disabled", "3", "Required", "4", "Warning", "Valid"), "Valid"))))</f>
        <v/>
      </c>
      <c r="EH8">
        <f t="array" ref="EH8">_xlfn.MAP('6 - TV Stands &amp; Enterta'!B8:B22, '6 - TV Stands &amp; Enterta'!EH8:EH22, '6 - TV Stands &amp; Enterta-WUO_ERR'!EH8:EH22, _xlfn.LAMBDA(_xlpm.part, _xlpm.val, _xlpm.error, IF(_xlpm.part = "", "", IF(LEN(_xlpm.error), _xlfn.SWITCH(IFERROR(_xlfn.TEXTBEFORE(_xlpm.error,":"), ""), "1", "Error", "2", "Disabled", "3", "Required", "4", "Warning", "Valid"), "Valid"))))</f>
        <v/>
      </c>
      <c r="EI8">
        <f t="array" ref="EI8">_xlfn.MAP('6 - TV Stands &amp; Enterta'!B8:B22, '6 - TV Stands &amp; Enterta'!EI8:EI22, '6 - TV Stands &amp; Enterta-WUO_ERR'!EI8:EI22, _xlfn.LAMBDA(_xlpm.part, _xlpm.val, _xlpm.error, IF(_xlpm.part = "", "", IF(LEN(_xlpm.error), _xlfn.SWITCH(IFERROR(_xlfn.TEXTBEFORE(_xlpm.error,":"), ""), "1", "Error", "2", "Disabled", "3", "Required", "4", "Warning", "Valid"), "Valid"))))</f>
        <v/>
      </c>
      <c r="EJ8">
        <f t="array" ref="EJ8">_xlfn.MAP('6 - TV Stands &amp; Enterta'!B8:B22, '6 - TV Stands &amp; Enterta'!EJ8:EJ22, '6 - TV Stands &amp; Enterta-WUO_ERR'!EJ8:EJ22, _xlfn.LAMBDA(_xlpm.part, _xlpm.val, _xlpm.error, IF(_xlpm.part = "", "", IF(LEN(_xlpm.error), _xlfn.SWITCH(IFERROR(_xlfn.TEXTBEFORE(_xlpm.error,":"), ""), "1", "Error", "2", "Disabled", "3", "Required", "4", "Warning", "Valid"), "Valid"))))</f>
        <v/>
      </c>
      <c r="EK8">
        <f t="array" ref="EK8">_xlfn.MAP('6 - TV Stands &amp; Enterta'!B8:B22, '6 - TV Stands &amp; Enterta'!EK8:EK22, '6 - TV Stands &amp; Enterta-WUO_ERR'!EK8:EK22, _xlfn.LAMBDA(_xlpm.part, _xlpm.val, _xlpm.error, IF(_xlpm.part = "", "", IF(LEN(_xlpm.error), _xlfn.SWITCH(IFERROR(_xlfn.TEXTBEFORE(_xlpm.error,":"), ""), "1", "Error", "2", "Disabled", "3", "Required", "4", "Warning", "Valid"), "Valid"))))</f>
        <v/>
      </c>
      <c r="EL8">
        <f t="array" ref="EL8">_xlfn.MAP('6 - TV Stands &amp; Enterta'!B8:B22, '6 - TV Stands &amp; Enterta'!EL8:EL22, '6 - TV Stands &amp; Enterta-WUO_ERR'!EL8:EL22, _xlfn.LAMBDA(_xlpm.part, _xlpm.val, _xlpm.error, IF(_xlpm.part = "", "", IF(LEN(_xlpm.error), _xlfn.SWITCH(IFERROR(_xlfn.TEXTBEFORE(_xlpm.error,":"), ""), "1", "Error", "2", "Disabled", "3", "Required", "4", "Warning", "Valid"), "Valid"))))</f>
        <v/>
      </c>
      <c r="EM8">
        <f t="array" ref="EM8">_xlfn.MAP('6 - TV Stands &amp; Enterta'!B8:B22, '6 - TV Stands &amp; Enterta'!EM8:EM22, '6 - TV Stands &amp; Enterta-WUO_ERR'!EM8:EM22, _xlfn.LAMBDA(_xlpm.part, _xlpm.val, _xlpm.error, IF(_xlpm.part = "", "", IF(LEN(_xlpm.error), _xlfn.SWITCH(IFERROR(_xlfn.TEXTBEFORE(_xlpm.error,":"), ""), "1", "Error", "2", "Disabled", "3", "Required", "4", "Warning", "Valid"), "Valid"))))</f>
        <v/>
      </c>
      <c r="EN8">
        <f t="array" ref="EN8">_xlfn.MAP('6 - TV Stands &amp; Enterta'!B8:B22, '6 - TV Stands &amp; Enterta'!EN8:EN22, '6 - TV Stands &amp; Enterta-WUO_ERR'!EN8:EN22, _xlfn.LAMBDA(_xlpm.part, _xlpm.val, _xlpm.error, IF(_xlpm.part = "", "", IF(LEN(_xlpm.error), _xlfn.SWITCH(IFERROR(_xlfn.TEXTBEFORE(_xlpm.error,":"), ""), "1", "Error", "2", "Disabled", "3", "Required", "4", "Warning", "Valid"), "Valid"))))</f>
        <v/>
      </c>
      <c r="EO8">
        <f t="array" ref="EO8">_xlfn.MAP('6 - TV Stands &amp; Enterta'!B8:B22, '6 - TV Stands &amp; Enterta'!EO8:EO22, '6 - TV Stands &amp; Enterta-WUO_ERR'!EO8:EO22, _xlfn.LAMBDA(_xlpm.part, _xlpm.val, _xlpm.error, IF(_xlpm.part = "", "", IF(LEN(_xlpm.error), _xlfn.SWITCH(IFERROR(_xlfn.TEXTBEFORE(_xlpm.error,":"), ""), "1", "Error", "2", "Disabled", "3", "Required", "4", "Warning", "Valid"), "Valid"))))</f>
        <v/>
      </c>
      <c r="EP8">
        <f t="array" ref="EP8">_xlfn.MAP('6 - TV Stands &amp; Enterta'!B8:B22, '6 - TV Stands &amp; Enterta'!EP8:EP22, '6 - TV Stands &amp; Enterta-WUO_ERR'!EP8:EP22, _xlfn.LAMBDA(_xlpm.part, _xlpm.val, _xlpm.error, IF(_xlpm.part = "", "", IF(LEN(_xlpm.error), _xlfn.SWITCH(IFERROR(_xlfn.TEXTBEFORE(_xlpm.error,":"), ""), "1", "Error", "2", "Disabled", "3", "Required", "4", "Warning", "Valid"), "Valid"))))</f>
        <v/>
      </c>
      <c r="EQ8">
        <f t="array" ref="EQ8">_xlfn.MAP('6 - TV Stands &amp; Enterta'!B8:B22, '6 - TV Stands &amp; Enterta'!EQ8:EQ22, '6 - TV Stands &amp; Enterta-WUO_ERR'!EQ8:EQ22, _xlfn.LAMBDA(_xlpm.part, _xlpm.val, _xlpm.error, IF(_xlpm.part = "", "", IF(LEN(_xlpm.error), _xlfn.SWITCH(IFERROR(_xlfn.TEXTBEFORE(_xlpm.error,":"), ""), "1", "Error", "2", "Disabled", "3", "Required", "4", "Warning", "Valid"), "Valid"))))</f>
        <v/>
      </c>
      <c r="ER8">
        <f t="array" ref="ER8">_xlfn.MAP('6 - TV Stands &amp; Enterta'!B8:B22, '6 - TV Stands &amp; Enterta'!ER8:ER22, '6 - TV Stands &amp; Enterta-WUO_ERR'!ER8:ER22, _xlfn.LAMBDA(_xlpm.part, _xlpm.val, _xlpm.error, IF(_xlpm.part = "", "", IF(LEN(_xlpm.error), _xlfn.SWITCH(IFERROR(_xlfn.TEXTBEFORE(_xlpm.error,":"), ""), "1", "Error", "2", "Disabled", "3", "Required", "4", "Warning", "Valid"), "Valid"))))</f>
        <v/>
      </c>
      <c r="ES8">
        <f t="array" ref="ES8">_xlfn.MAP('6 - TV Stands &amp; Enterta'!B8:B22, '6 - TV Stands &amp; Enterta'!ES8:ES22, '6 - TV Stands &amp; Enterta-WUO_ERR'!ES8:ES22, _xlfn.LAMBDA(_xlpm.part, _xlpm.val, _xlpm.error, IF(_xlpm.part = "", "", IF(LEN(_xlpm.error), _xlfn.SWITCH(IFERROR(_xlfn.TEXTBEFORE(_xlpm.error,":"), ""), "1", "Error", "2", "Disabled", "3", "Required", "4", "Warning", "Valid"), "Valid"))))</f>
        <v/>
      </c>
      <c r="ET8">
        <f t="array" ref="ET8">_xlfn.MAP('6 - TV Stands &amp; Enterta'!B8:B22, '6 - TV Stands &amp; Enterta'!ET8:ET22, '6 - TV Stands &amp; Enterta-WUO_ERR'!ET8:ET22,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D41"/>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8.7109375" customWidth="1" min="3" max="4"/>
    <col width="17.7109375" customWidth="1" min="5" max="6"/>
    <col hidden="1" min="26" max="2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2">
      <c r="B2" s="22" t="inlineStr">
        <is>
          <t>Basic Information</t>
        </is>
      </c>
      <c r="C2" s="26" t="inlineStr">
        <is>
          <t>Carton Details</t>
        </is>
      </c>
      <c r="D2" s="41" t="n"/>
      <c r="E2" s="41" t="n"/>
      <c r="F2" s="42" t="n"/>
    </row>
    <row r="3">
      <c r="B3" s="30" t="inlineStr">
        <is>
          <t>Required</t>
        </is>
      </c>
      <c r="C3" s="30" t="inlineStr">
        <is>
          <t>Conditional</t>
        </is>
      </c>
      <c r="D3" s="30" t="inlineStr">
        <is>
          <t>Conditional</t>
        </is>
      </c>
      <c r="E3" s="30" t="inlineStr">
        <is>
          <t>Conditional</t>
        </is>
      </c>
      <c r="F3" s="30" t="inlineStr">
        <is>
          <t>Conditional</t>
        </is>
      </c>
    </row>
    <row r="4" ht="50" customHeight="1">
      <c r="A4" s="19" t="inlineStr">
        <is>
          <t>Errors</t>
        </is>
      </c>
      <c r="B4" s="19" t="inlineStr">
        <is>
          <t>Supplier Part Number</t>
        </is>
      </c>
      <c r="C4" s="19" t="inlineStr">
        <is>
          <t>Carton Weight</t>
        </is>
      </c>
      <c r="D4" s="19" t="inlineStr">
        <is>
          <t>Carton Height</t>
        </is>
      </c>
      <c r="E4" s="19" t="inlineStr">
        <is>
          <t>Carton Width</t>
        </is>
      </c>
      <c r="F4" s="19" t="inlineStr">
        <is>
          <t>Carton Depth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A6" s="33" t="inlineStr">
        <is>
          <t>Read-Only</t>
        </is>
      </c>
      <c r="B6" s="33" t="inlineStr">
        <is>
          <t>Text</t>
        </is>
      </c>
      <c r="C6" s="33" t="inlineStr">
        <is>
          <t>Number</t>
        </is>
      </c>
      <c r="D6" s="33" t="inlineStr">
        <is>
          <t>Number</t>
        </is>
      </c>
      <c r="E6" s="33" t="inlineStr">
        <is>
          <t>Number</t>
        </is>
      </c>
      <c r="F6" s="33" t="inlineStr">
        <is>
          <t>Number</t>
        </is>
      </c>
    </row>
    <row r="7">
      <c r="A7" s="37">
        <f>IF('Additional Cartons'!B7 = "", "", IF('Additional Cartons-WUO_ERR'!A7 = "", "Validated", HYPERLINK("#" &amp; ADDRESS(7, 'Additional Cartons-WUO_TRK'!A7),_xlfn.TEXTAFTER('Additional Cartons-WUO_ERR'!A7, ":"))))</f>
        <v/>
      </c>
      <c r="Z7">
        <f t="array" ref="Z7">IF(B7:B7="", "", IFERROR(_xlfn.XLOOKUP(B7:B7, _xlfn.VSTACK('6 - TV Stands &amp; Enterta'!B7:B507), _xlfn.VSTACK('6 - TV Stands &amp; Enterta'!G7:G507)), ""))</f>
        <v/>
      </c>
    </row>
  </sheetData>
  <mergeCells count="1">
    <mergeCell ref="C2:F2"/>
  </mergeCells>
  <conditionalFormatting sqref="A7">
    <cfRule type="expression" priority="5" dxfId="4">
      <formula>A7="Validated"</formula>
    </cfRule>
    <cfRule type="expression" priority="6" dxfId="5">
      <formula>OR(COUNTIF('Additional Cartons-WUO_TRK'!B7:G7,"Error"),COUNTIF('Additional Cartons-WUO_TRK'!B7:G7,"Required"))</formula>
    </cfRule>
    <cfRule type="expression" priority="7" dxfId="6">
      <formula>COUNTIF('Additional Cartons-WUO_TRK'!B7:G7,"Warning")</formula>
    </cfRule>
  </conditionalFormatting>
  <conditionalFormatting sqref="B7:G7">
    <cfRule type="expression" priority="1" dxfId="0">
      <formula>'Additional Cartons-WUO_TRK'!B7="Error"</formula>
    </cfRule>
    <cfRule type="expression" priority="2" dxfId="1">
      <formula>'Additional Cartons-WUO_TRK'!B7="Required"</formula>
    </cfRule>
    <cfRule type="expression" priority="3" dxfId="2">
      <formula>'Additional Cartons-WUO_TRK'!B7="Warning"</formula>
    </cfRule>
    <cfRule type="expression" priority="4" dxfId="3">
      <formula>'Additional Cartons-WUO_TRK'!B7="Disabled"</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Cartons'!B7:B7, 'Additional Cartons'!B7:B7,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Cartons'!B7:B7, 'Additional Cartons'!C7:C7, 'Additional Cartons'!D7:D7, 'Additional Cartons'!E7:E7, 'Additional Cartons'!F7:F7,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C$3="Required"), "3:Carton Weight - Value is required", ""), IF(LEN(_xlpm.check3) &gt; 0, _xlpm.check3, _xlfn.LET(_xlpm.check4, IF(OR(_xlpm.dep1 &lt;&gt; "", _xlpm.dep2 &lt;&gt; "", _xlpm.dep3 &lt;&gt; ""), IF(_xlpm.val = "", "3:Shipping weight is required", ""), ""), IF(LEN(_xlpm.check4) &gt; 0, _xlpm.check4, IF(AND(_xlpm.dep3 = "", _xlpm.dep1 = "", _xlpm.dep2 = ""), IF(_xlpm.val = "", "3:Shipping weight is required", ""), ""))))))))))))</f>
        <v/>
      </c>
      <c r="D7">
        <f t="array" ref="D7">_xlfn.MAP('Additional Cartons'!B7:B7, 'Additional Cartons'!D7:D7, 'Additional Cartons'!C7:C7, 'Additional Cartons'!E7:E7, 'Additional Cartons'!F7:F7,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D$3="Required"), "3:Carton Height - Value is required", ""), IF(LEN(_xlpm.check3) &gt; 0, _xlpm.check3, _xlfn.LET(_xlpm.check4, IF(OR(_xlpm.dep1 &lt;&gt; "", _xlpm.dep2 &lt;&gt; "", _xlpm.dep3 &lt;&gt; ""), IF(_xlpm.val = "", "3:Carton height is required", ""), ""), IF(LEN(_xlpm.check4) &gt; 0, _xlpm.check4, IF(AND(_xlpm.dep1 = "", _xlpm.dep3 = "", _xlpm.dep2 = ""), IF(_xlpm.val = "", "3:Carton height is required", ""), ""))))))))))))</f>
        <v/>
      </c>
      <c r="E7">
        <f t="array" ref="E7">_xlfn.MAP('Additional Cartons'!B7:B7, 'Additional Cartons'!E7:E7, 'Additional Cartons'!C7:C7, 'Additional Cartons'!D7:D7, 'Additional Cartons'!F7:F7,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E$3="Required"), "3:Carton Width - Value is required", ""), IF(LEN(_xlpm.check3) &gt; 0, _xlpm.check3, _xlfn.LET(_xlpm.check4, IF(OR(_xlpm.dep1 &lt;&gt; "", _xlpm.dep2 &lt;&gt; "", _xlpm.dep3 &lt;&gt; ""), IF(_xlpm.val = "", "3:Carton width is required", ""), ""), IF(LEN(_xlpm.check4) &gt; 0, _xlpm.check4, IF(AND(_xlpm.dep1 = "", _xlpm.dep2 = "", _xlpm.dep3 = ""), IF(_xlpm.val = "", "3:Carton width is required", ""), ""))))))))))))</f>
        <v/>
      </c>
      <c r="F7">
        <f t="array" ref="F7">_xlfn.MAP('Additional Cartons'!B7:B7, 'Additional Cartons'!F7:F7, 'Additional Cartons'!C7:C7, 'Additional Cartons'!D7:D7, 'Additional Cartons'!E7:E7,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F$3="Required"), "3:Carton Depth - Value is required", ""), IF(LEN(_xlpm.check3) &gt; 0, _xlpm.check3, _xlfn.LET(_xlpm.check4, IF(OR(_xlpm.dep1 &lt;&gt; "", _xlpm.dep2 &lt;&gt; "", _xlpm.dep3 &lt;&gt; ""), IF(_xlpm.val = "", "3:Carton depth is required", ""), ""), IF(LEN(_xlpm.check4) &gt; 0, _xlpm.check4, IF(AND(_xlpm.dep1 = "", _xlpm.dep2 = "", _xlpm.dep3 = ""), IF(_xlpm.val = "", "3:Carton depth is required", ""), ""))))))))))))</f>
        <v/>
      </c>
    </row>
  </sheetData>
  <sheetProtection selectLockedCells="0" selectUnlockedCells="0" sheet="1" objects="1" insertRows="1" insertHyperlinks="1" autoFilter="1" scenarios="1" formatColumns="1" deleteColumns="1" insertColumns="1" pivotTables="1" deleteRows="1" formatCells="1" formatRows="1" sort="1" password="D0E6"/>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_xlfn.LET(_xlpm.high_priority_idx, IFERROR(MATCH(TRUE, (_xlpm.r = "Error") + (_xlpm.r = "Required") &gt; 0, 0), 0), IF(_xlpm.high_priority_idx &gt; 0, _xlpm.high_priority_idx + 1, IFERROR(MATCH(1, (_xlpm.r = "Warning") * 1, 0) + 1, "")))))</f>
        <v/>
      </c>
      <c r="B7">
        <f t="array" ref="B7">_xlfn.MAP('Additional Cartons'!B7:B7, 'Additional Cartons'!B7:B7, 'Additional Cartons-WUO_ERR'!B7:B7, _xlfn.LAMBDA(_xlpm.part, _xlpm.val, _xlpm.error, IF(_xlpm.part = "", "", IF(LEN(_xlpm.error), _xlfn.SWITCH(IFERROR(_xlfn.TEXTBEFORE(_xlpm.error,":"), ""), "1", "Error", "2", "Disabled", "3", "Required", "4", "Warning", "Valid"), "Valid"))))</f>
        <v/>
      </c>
      <c r="C7">
        <f t="array" ref="C7">_xlfn.MAP('Additional Cartons'!B7:B7, 'Additional Cartons'!C7:C7, 'Additional Cartons-WUO_ERR'!C7:C7, _xlfn.LAMBDA(_xlpm.part, _xlpm.val, _xlpm.error, IF(_xlpm.part = "", "", IF(LEN(_xlpm.error), _xlfn.SWITCH(IFERROR(_xlfn.TEXTBEFORE(_xlpm.error,":"), ""), "1", "Error", "2", "Disabled", "3", "Required", "4", "Warning", "Valid"), "Valid"))))</f>
        <v/>
      </c>
      <c r="D7">
        <f t="array" ref="D7">_xlfn.MAP('Additional Cartons'!B7:B7, 'Additional Cartons'!D7:D7, 'Additional Cartons-WUO_ERR'!D7:D7, _xlfn.LAMBDA(_xlpm.part, _xlpm.val, _xlpm.error, IF(_xlpm.part = "", "", IF(LEN(_xlpm.error), _xlfn.SWITCH(IFERROR(_xlfn.TEXTBEFORE(_xlpm.error,":"), ""), "1", "Error", "2", "Disabled", "3", "Required", "4", "Warning", "Valid"), "Valid"))))</f>
        <v/>
      </c>
      <c r="E7">
        <f t="array" ref="E7">_xlfn.MAP('Additional Cartons'!B7:B7, 'Additional Cartons'!E7:E7, 'Additional Cartons-WUO_ERR'!E7:E7, _xlfn.LAMBDA(_xlpm.part, _xlpm.val, _xlpm.error, IF(_xlpm.part = "", "", IF(LEN(_xlpm.error), _xlfn.SWITCH(IFERROR(_xlfn.TEXTBEFORE(_xlpm.error,":"), ""), "1", "Error", "2", "Disabled", "3", "Required", "4", "Warning", "Valid"), "Valid"))))</f>
        <v/>
      </c>
      <c r="F7">
        <f t="array" ref="F7">_xlfn.MAP('Additional Cartons'!B7:B7, 'Additional Cartons'!F7:F7, 'Additional Cartons-WUO_ERR'!F7:F7,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AE7"/>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3.7109375" customWidth="1" min="3" max="4"/>
    <col hidden="1" min="26" max="26"/>
  </cols>
  <sheetData>
    <row r="1" hidden="1">
      <c r="B1" t="inlineStr">
        <is>
          <t>core::supplierPartNumber</t>
        </is>
      </c>
      <c r="C1" t="inlineStr">
        <is>
          <t>propSixtyFive::chemicalId</t>
        </is>
      </c>
      <c r="D1" t="inlineStr">
        <is>
          <t>propSixtyFive::toxicity</t>
        </is>
      </c>
    </row>
    <row r="2">
      <c r="B2" s="22" t="inlineStr">
        <is>
          <t>Basic Information</t>
        </is>
      </c>
      <c r="C2" s="27" t="inlineStr">
        <is>
          <t>Compliance</t>
        </is>
      </c>
      <c r="D2" s="42" t="n"/>
    </row>
    <row r="3">
      <c r="B3" s="30" t="inlineStr">
        <is>
          <t>Required</t>
        </is>
      </c>
      <c r="C3" s="30" t="inlineStr">
        <is>
          <t>Conditional</t>
        </is>
      </c>
      <c r="D3" s="30" t="inlineStr">
        <is>
          <t>Conditional</t>
        </is>
      </c>
    </row>
    <row r="4" ht="50" customHeight="1">
      <c r="A4" s="19" t="inlineStr">
        <is>
          <t>Errors</t>
        </is>
      </c>
      <c r="B4" s="19" t="inlineStr">
        <is>
          <t>Supplier Part Number</t>
        </is>
      </c>
      <c r="C4" s="19" t="inlineStr">
        <is>
          <t>Chemical</t>
        </is>
      </c>
      <c r="D4" s="19" t="inlineStr">
        <is>
          <t>Toxicity</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A6" s="33" t="inlineStr">
        <is>
          <t>Read-Only</t>
        </is>
      </c>
      <c r="B6" s="33" t="inlineStr">
        <is>
          <t>Text</t>
        </is>
      </c>
      <c r="C6" s="34" t="inlineStr">
        <is>
          <t>Select</t>
        </is>
      </c>
      <c r="D6" s="34" t="inlineStr">
        <is>
          <t>Please choose one or more from the following, using a semicolon (;) to separate each value: Cancer; Developmental</t>
        </is>
      </c>
    </row>
    <row r="7">
      <c r="A7" s="37">
        <f>IF('Additional Chemicals'!B7 = "", "", IF('Additional Chemicals-WUO_ERR'!A7 = "", "Validated", HYPERLINK("#" &amp; ADDRESS(7, 'Additional Chemicals-WUO_TRK'!A7),_xlfn.TEXTAFTER('Additional Chemicals-WUO_ERR'!A7, ":"))))</f>
        <v/>
      </c>
      <c r="Z7">
        <f t="array" ref="Z7">IF(B7:B7="", "", IFERROR(_xlfn.XLOOKUP(B7:B7, _xlfn.VSTACK('6 - TV Stands &amp; Enterta'!B7:B507), _xlfn.VSTACK('6 - TV Stands &amp; Enterta'!G7:G507)), ""))</f>
        <v/>
      </c>
    </row>
  </sheetData>
  <mergeCells count="1">
    <mergeCell ref="C2:D2"/>
  </mergeCells>
  <conditionalFormatting sqref="A7">
    <cfRule type="expression" priority="5" dxfId="4">
      <formula>A7="Validated"</formula>
    </cfRule>
    <cfRule type="expression" priority="6" dxfId="5">
      <formula>OR(COUNTIF('Additional Chemicals-WUO_TRK'!B7:E7,"Error"),COUNTIF('Additional Chemicals-WUO_TRK'!B7:E7,"Required"))</formula>
    </cfRule>
    <cfRule type="expression" priority="7" dxfId="6">
      <formula>COUNTIF('Additional Chemicals-WUO_TRK'!B7:E7,"Warning")</formula>
    </cfRule>
  </conditionalFormatting>
  <conditionalFormatting sqref="B7:E7">
    <cfRule type="expression" priority="1" dxfId="0">
      <formula>'Additional Chemicals-WUO_TRK'!B7="Error"</formula>
    </cfRule>
    <cfRule type="expression" priority="2" dxfId="1">
      <formula>'Additional Chemicals-WUO_TRK'!B7="Required"</formula>
    </cfRule>
    <cfRule type="expression" priority="3" dxfId="2">
      <formula>'Additional Chemicals-WUO_TRK'!B7="Warning"</formula>
    </cfRule>
    <cfRule type="expression" priority="4" dxfId="3">
      <formula>'Additional Chemicals-WUO_TRK'!B7="Disabled"</formula>
    </cfRule>
  </conditionalFormatting>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Chemicals'!B7:B7, 'Additional Chemicals'!B7:B7,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Chemicals'!B7:B7, 'Additional Chemicals'!C7:C7, 'Additional Chemicals'!D7:D7, _xlfn.LAMBDA(_xlpm.part, _xlpm.val, _xlpm.dep1, IF(_xlpm.part = "", "", _xlfn.LET(_xlpm.check1, IF(AND(_xlpm.val = "", C$3="Required"), "3:Chemical - Value is required", ""), IF(LEN(_xlpm.check1) &gt; 0, _xlpm.check1, IF(_xlpm.dep1 &lt;&gt; "", IF(_xlpm.val = "", "3:Please provide a chemical", ""), ""))))))</f>
        <v/>
      </c>
      <c r="D7">
        <f t="array" ref="D7">_xlfn.MAP('Additional Chemicals'!B7:B7, 'Additional Chemicals'!D7:D7, 'Additional Chemicals'!C7:C7, _xlfn.LAMBDA(_xlpm.part, _xlpm.val, _xlpm.dep1,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D$3="Required"), "3:Toxicity - Value is required", ""), IF(LEN(_xlpm.check2) &gt; 0, _xlpm.check2, IF(_xlpm.dep1 &lt;&gt; "", IF(_xlpm.val = "", "3:Please select a toxicity from the provided dropdown", ""), ""))))))))</f>
        <v/>
      </c>
    </row>
  </sheetData>
  <sheetProtection selectLockedCells="0" selectUnlockedCells="0" sheet="1" objects="1" insertRows="1" insertHyperlinks="1" autoFilter="1" scenarios="1" formatColumns="1" deleteColumns="1" insertColumns="1" pivotTables="1" deleteRows="1" formatCells="1" formatRows="1" sort="1" password="D0D7"/>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_xlfn.LET(_xlpm.high_priority_idx, IFERROR(MATCH(TRUE, (_xlpm.r = "Error") + (_xlpm.r = "Required") &gt; 0, 0), 0), IF(_xlpm.high_priority_idx &gt; 0, _xlpm.high_priority_idx + 1, IFERROR(MATCH(1, (_xlpm.r = "Warning") * 1, 0) + 1, "")))))</f>
        <v/>
      </c>
      <c r="B7">
        <f t="array" ref="B7">_xlfn.MAP('Additional Chemicals'!B7:B7, 'Additional Chemicals'!B7:B7, 'Additional Chemicals-WUO_ERR'!B7:B7, _xlfn.LAMBDA(_xlpm.part, _xlpm.val, _xlpm.error, IF(_xlpm.part = "", "", IF(LEN(_xlpm.error), _xlfn.SWITCH(IFERROR(_xlfn.TEXTBEFORE(_xlpm.error,":"), ""), "1", "Error", "2", "Disabled", "3", "Required", "4", "Warning", "Valid"), "Valid"))))</f>
        <v/>
      </c>
      <c r="C7">
        <f t="array" ref="C7">_xlfn.MAP('Additional Chemicals'!B7:B7, 'Additional Chemicals'!C7:C7, 'Additional Chemicals-WUO_ERR'!C7:C7, _xlfn.LAMBDA(_xlpm.part, _xlpm.val, _xlpm.error, IF(_xlpm.part = "", "", IF(LEN(_xlpm.error), _xlfn.SWITCH(IFERROR(_xlfn.TEXTBEFORE(_xlpm.error,":"), ""), "1", "Error", "2", "Disabled", "3", "Required", "4", "Warning", "Valid"), "Valid"))))</f>
        <v/>
      </c>
      <c r="D7">
        <f t="array" ref="D7">_xlfn.MAP('Additional Chemicals'!B7:B7, 'Additional Chemicals'!D7:D7, 'Additional Chemicals-WUO_ERR'!D7:D7,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8D0"/>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media::imageValue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Image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A6" s="33" t="inlineStr">
        <is>
          <t>Read-Only</t>
        </is>
      </c>
      <c r="B6" s="33" t="inlineStr">
        <is>
          <t>Text</t>
        </is>
      </c>
      <c r="C6" s="33" t="inlineStr">
        <is>
          <t>Text</t>
        </is>
      </c>
    </row>
    <row r="7">
      <c r="A7" s="37">
        <f>IF('Additional Images'!B7 = "", "", IF('Additional Images-WUO_ERR'!A7 = "", "Validated", HYPERLINK("#" &amp; ADDRESS(7, 'Additional Images-WUO_TRK'!A7),_xlfn.TEXTAFTER('Additional Images-WUO_ERR'!A7,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Images-WUO_TRK'!B7:D7,"Error"),COUNTIF('Additional Images-WUO_TRK'!B7:D7,"Required"))</formula>
    </cfRule>
    <cfRule type="expression" priority="7" dxfId="6">
      <formula>COUNTIF('Additional Images-WUO_TRK'!B7:D7,"Warning")</formula>
    </cfRule>
  </conditionalFormatting>
  <conditionalFormatting sqref="B7:D7">
    <cfRule type="expression" priority="1" dxfId="0">
      <formula>'Additional Images-WUO_TRK'!B7="Error"</formula>
    </cfRule>
    <cfRule type="expression" priority="2" dxfId="1">
      <formula>'Additional Images-WUO_TRK'!B7="Required"</formula>
    </cfRule>
    <cfRule type="expression" priority="3" dxfId="2">
      <formula>'Additional Images-WUO_TRK'!B7="Warning"</formula>
    </cfRule>
    <cfRule type="expression" priority="4" dxfId="3">
      <formula>'Additional Images-WUO_TRK'!B7="Disabled"</formula>
    </cfRule>
  </conditionalFormatting>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Images'!B7:B7, 'Additional Images'!B7:B7,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Images'!B7:B7, 'Additional Images'!C7:C7, _xlfn.LAMBDA(_xlpm.part, _xlpm.val, IF(_xlpm.part = "", "", IF(AND(_xlpm.val = "", C$3="Required"), "3:Image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9F08"/>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Images'!B7:B7, 'Additional Images'!B7:B7, 'Additional Images-WUO_ERR'!B7:B7, _xlfn.LAMBDA(_xlpm.part, _xlpm.val, _xlpm.error, IF(_xlpm.part = "", "", IF(LEN(_xlpm.error), _xlfn.SWITCH(IFERROR(_xlfn.TEXTBEFORE(_xlpm.error,":"), ""), "1", "Error", "2", "Disabled", "3", "Required", "4", "Warning", "Valid"), "Valid"))))</f>
        <v/>
      </c>
      <c r="C7">
        <f t="array" ref="C7">_xlfn.MAP('Additional Images'!B7:B7, 'Additional Images'!C7:C7, 'Additional Images-WUO_ERR'!C7:C7,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A08"/>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media::videoValue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Video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A6" s="33" t="inlineStr">
        <is>
          <t>Read-Only</t>
        </is>
      </c>
      <c r="B6" s="33" t="inlineStr">
        <is>
          <t>Text</t>
        </is>
      </c>
      <c r="C6" s="33" t="inlineStr">
        <is>
          <t>Text</t>
        </is>
      </c>
    </row>
    <row r="7">
      <c r="A7" s="37">
        <f>IF('Additional Videos'!B7 = "", "", IF('Additional Videos-WUO_ERR'!A7 = "", "Validated", HYPERLINK("#" &amp; ADDRESS(7, 'Additional Videos-WUO_TRK'!A7),_xlfn.TEXTAFTER('Additional Videos-WUO_ERR'!A7,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Videos-WUO_TRK'!B7:D7,"Error"),COUNTIF('Additional Videos-WUO_TRK'!B7:D7,"Required"))</formula>
    </cfRule>
    <cfRule type="expression" priority="7" dxfId="6">
      <formula>COUNTIF('Additional Videos-WUO_TRK'!B7:D7,"Warning")</formula>
    </cfRule>
  </conditionalFormatting>
  <conditionalFormatting sqref="B7:D7">
    <cfRule type="expression" priority="1" dxfId="0">
      <formula>'Additional Videos-WUO_TRK'!B7="Error"</formula>
    </cfRule>
    <cfRule type="expression" priority="2" dxfId="1">
      <formula>'Additional Videos-WUO_TRK'!B7="Required"</formula>
    </cfRule>
    <cfRule type="expression" priority="3" dxfId="2">
      <formula>'Additional Videos-WUO_TRK'!B7="Warning"</formula>
    </cfRule>
    <cfRule type="expression" priority="4" dxfId="3">
      <formula>'Additional Videos-WUO_TRK'!B7="Disabled"</formula>
    </cfRule>
  </conditionalFormatting>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Videos'!B7:B7, 'Additional Videos'!B7:B7,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Videos'!B7:B7, 'Additional Videos'!C7:C7, _xlfn.LAMBDA(_xlpm.part, _xlpm.val, IF(_xlpm.part = "", "", IF(AND(_xlpm.val = "", C$3="Required"), "3:Video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AF1E"/>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Videos'!B7:B7, 'Additional Videos'!B7:B7, 'Additional Videos-WUO_ERR'!B7:B7, _xlfn.LAMBDA(_xlpm.part, _xlpm.val, _xlpm.error, IF(_xlpm.part = "", "", IF(LEN(_xlpm.error), _xlfn.SWITCH(IFERROR(_xlfn.TEXTBEFORE(_xlpm.error,":"), ""), "1", "Error", "2", "Disabled", "3", "Required", "4", "Warning", "Valid"), "Valid"))))</f>
        <v/>
      </c>
      <c r="C7">
        <f t="array" ref="C7">_xlfn.MAP('Additional Videos'!B7:B7, 'Additional Videos'!C7:C7, 'Additional Videos-WUO_ERR'!C7:C7,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A1E"/>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30.7109375" customWidth="1" min="3" max="3"/>
    <col width="18.7109375" customWidth="1" min="4" max="4"/>
    <col width="24.7109375" customWidth="1" min="5" max="5"/>
    <col width="20.7109375" customWidth="1" min="6" max="6"/>
    <col width="22.7109375" customWidth="1" min="7" max="7"/>
    <col hidden="1" min="26" max="26"/>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2">
      <c r="B2" s="22" t="inlineStr">
        <is>
          <t>Basic Information</t>
        </is>
      </c>
      <c r="C2" s="28" t="inlineStr">
        <is>
          <t>Media</t>
        </is>
      </c>
      <c r="D2" s="41" t="n"/>
      <c r="E2" s="41" t="n"/>
      <c r="F2" s="41" t="n"/>
      <c r="G2" s="42" t="n"/>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A4" s="19" t="inlineStr">
        <is>
          <t>Errors</t>
        </is>
      </c>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A6" s="33" t="inlineStr">
        <is>
          <t>Read-Only</t>
        </is>
      </c>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s="37">
        <f>IF('Additional Documents'!B7 = "", "", IF('Additional Documents-WUO_ERR'!A7 = "", "Validated", HYPERLINK("#" &amp; ADDRESS(7, 'Additional Documents-WUO_TRK'!A7),_xlfn.TEXTAFTER('Additional Documents-WUO_ERR'!A7, ":"))))</f>
        <v/>
      </c>
      <c r="Z7">
        <f t="array" ref="Z7">IF(B7:B7="", "", IFERROR(_xlfn.XLOOKUP(B7:B7, _xlfn.VSTACK('6 - TV Stands &amp; Enterta'!B7:B507), _xlfn.VSTACK('6 - TV Stands &amp; Enterta'!G7:G507)), ""))</f>
        <v/>
      </c>
    </row>
  </sheetData>
  <mergeCells count="1">
    <mergeCell ref="C2:G2"/>
  </mergeCells>
  <conditionalFormatting sqref="A7">
    <cfRule type="expression" priority="5" dxfId="4">
      <formula>A7="Validated"</formula>
    </cfRule>
    <cfRule type="expression" priority="6" dxfId="5">
      <formula>OR(COUNTIF('Additional Documents-WUO_TRK'!B7:H7,"Error"),COUNTIF('Additional Documents-WUO_TRK'!B7:H7,"Required"))</formula>
    </cfRule>
    <cfRule type="expression" priority="7" dxfId="6">
      <formula>COUNTIF('Additional Documents-WUO_TRK'!B7:H7,"Warning")</formula>
    </cfRule>
  </conditionalFormatting>
  <conditionalFormatting sqref="B7:H7">
    <cfRule type="expression" priority="1" dxfId="0">
      <formula>'Additional Documents-WUO_TRK'!B7="Error"</formula>
    </cfRule>
    <cfRule type="expression" priority="2" dxfId="1">
      <formula>'Additional Documents-WUO_TRK'!B7="Required"</formula>
    </cfRule>
    <cfRule type="expression" priority="3" dxfId="2">
      <formula>'Additional Documents-WUO_TRK'!B7="Warning"</formula>
    </cfRule>
    <cfRule type="expression" priority="4" dxfId="3">
      <formula>'Additional Documents-WUO_TRK'!B7="Disabled"</formula>
    </cfRule>
  </conditionalFormatting>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Documents'!B7:B7, 'Additional Documents'!B7:B7,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Documents'!B7:B7, 'Additional Documents'!C7:C7, 'Additional Documents'!D7:D7, 'Additional Documents'!E7:E7, 'Additional Documents'!F7:F7, 'Additional Documents'!G7:G7, _xlfn.LAMBDA(_xlpm.part, _xlpm.val, _xlpm.dep1, _xlpm.dep2, _xlpm.dep3, _xlpm.dep4, IF(_xlpm.part = "", "", _xlfn.LET(_xlpm.check1, IF(AND(_xlpm.val = "", C$3="Required"), "3:Document File Name or URL - Value is required", ""), IF(LEN(_xlpm.check1) &gt; 0, _xlpm.check1, IF(OR(_xlpm.dep1 &lt;&gt; "", _xlpm.dep2 &lt;&gt; "", _xlpm.dep3 &lt;&gt; "", _xlpm.dep4 &lt;&gt; ""), IF(_xlpm.val = "", "3:Document value is required", ""), ""))))))</f>
        <v/>
      </c>
      <c r="D7">
        <f t="array" ref="D7">_xlfn.MAP('Additional Documents'!B7:B7, 'Additional Documents'!D7:D7,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D$3="Required"), "3:Document Type - Value is required", ""))))))</f>
        <v/>
      </c>
      <c r="E7">
        <f t="array" ref="E7">_xlfn.MAP('Additional Documents'!B7:B7, 'Additional Documents'!E7:E7,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E$3="Required"), "3:Legal Document Type - Value is required", ""))))))</f>
        <v/>
      </c>
      <c r="F7">
        <f t="array" ref="F7">_xlfn.MAP('Additional Documents'!B7:B7, 'Additional Documents'!F7:F7, _xlfn.LAMBDA(_xlpm.part, _xlpm.val, IF(_xlpm.part = "", "", IF(AND(_xlpm.val = "", F$3="Required"), "3:Document Region - Value is required", ""))))</f>
        <v/>
      </c>
      <c r="G7">
        <f t="array" ref="G7">_xlfn.MAP('Additional Documents'!B7:B7, 'Additional Documents'!G7:G7, _xlfn.LAMBDA(_xlpm.part, _xlpm.val, IF(_xlpm.part = "", "", IF(AND(_xlpm.val = "", G$3="Required"), "3:Document Language - Value is required", ""))))</f>
        <v/>
      </c>
    </row>
  </sheetData>
  <sheetProtection selectLockedCells="0" selectUnlockedCells="0" sheet="1" objects="1" insertRows="1" insertHyperlinks="1" autoFilter="1" scenarios="1" formatColumns="1" deleteColumns="1" insertColumns="1" pivotTables="1" deleteRows="1" formatCells="1" formatRows="1" sort="1" password="C125"/>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_xlfn.LET(_xlpm.high_priority_idx, IFERROR(MATCH(TRUE, (_xlpm.r = "Error") + (_xlpm.r = "Required") &gt; 0, 0), 0), IF(_xlpm.high_priority_idx &gt; 0, _xlpm.high_priority_idx + 1, IFERROR(MATCH(1, (_xlpm.r = "Warning") * 1, 0) + 1, "")))))</f>
        <v/>
      </c>
      <c r="B7">
        <f t="array" ref="B7">_xlfn.MAP('Additional Documents'!B7:B7, 'Additional Documents'!B7:B7, 'Additional Documents-WUO_ERR'!B7:B7, _xlfn.LAMBDA(_xlpm.part, _xlpm.val, _xlpm.error, IF(_xlpm.part = "", "", IF(LEN(_xlpm.error), _xlfn.SWITCH(IFERROR(_xlfn.TEXTBEFORE(_xlpm.error,":"), ""), "1", "Error", "2", "Disabled", "3", "Required", "4", "Warning", "Valid"), "Valid"))))</f>
        <v/>
      </c>
      <c r="C7">
        <f t="array" ref="C7">_xlfn.MAP('Additional Documents'!B7:B7, 'Additional Documents'!C7:C7, 'Additional Documents-WUO_ERR'!C7:C7, _xlfn.LAMBDA(_xlpm.part, _xlpm.val, _xlpm.error, IF(_xlpm.part = "", "", IF(LEN(_xlpm.error), _xlfn.SWITCH(IFERROR(_xlfn.TEXTBEFORE(_xlpm.error,":"), ""), "1", "Error", "2", "Disabled", "3", "Required", "4", "Warning", "Valid"), "Valid"))))</f>
        <v/>
      </c>
      <c r="D7">
        <f t="array" ref="D7">_xlfn.MAP('Additional Documents'!B7:B7, 'Additional Documents'!D7:D7, 'Additional Documents-WUO_ERR'!D7:D7, _xlfn.LAMBDA(_xlpm.part, _xlpm.val, _xlpm.error, IF(_xlpm.part = "", "", IF(LEN(_xlpm.error), _xlfn.SWITCH(IFERROR(_xlfn.TEXTBEFORE(_xlpm.error,":"), ""), "1", "Error", "2", "Disabled", "3", "Required", "4", "Warning", "Valid"), "Valid"))))</f>
        <v/>
      </c>
      <c r="E7">
        <f t="array" ref="E7">_xlfn.MAP('Additional Documents'!B7:B7, 'Additional Documents'!E7:E7, 'Additional Documents-WUO_ERR'!E7:E7, _xlfn.LAMBDA(_xlpm.part, _xlpm.val, _xlpm.error, IF(_xlpm.part = "", "", IF(LEN(_xlpm.error), _xlfn.SWITCH(IFERROR(_xlfn.TEXTBEFORE(_xlpm.error,":"), ""), "1", "Error", "2", "Disabled", "3", "Required", "4", "Warning", "Valid"), "Valid"))))</f>
        <v/>
      </c>
      <c r="F7">
        <f t="array" ref="F7">_xlfn.MAP('Additional Documents'!B7:B7, 'Additional Documents'!F7:F7, 'Additional Documents-WUO_ERR'!F7:F7, _xlfn.LAMBDA(_xlpm.part, _xlpm.val, _xlpm.error, IF(_xlpm.part = "", "", IF(LEN(_xlpm.error), _xlfn.SWITCH(IFERROR(_xlfn.TEXTBEFORE(_xlpm.error,":"), ""), "1", "Error", "2", "Disabled", "3", "Required", "4", "Warning", "Valid"), "Valid"))))</f>
        <v/>
      </c>
      <c r="G7">
        <f t="array" ref="G7">_xlfn.MAP('Additional Documents'!B7:B7, 'Additional Documents'!G7:G7, 'Additional Documents-WUO_ERR'!G7:G7,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922"/>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BH902"/>
  <sheetViews>
    <sheetView workbookViewId="0">
      <selection activeCell="A1" sqref="A1"/>
    </sheetView>
  </sheetViews>
  <sheetFormatPr baseColWidth="8" defaultRowHeight="15"/>
  <cols>
    <col width="10.7109375" customWidth="1" min="1" max="1"/>
    <col width="14.7109375" customWidth="1" min="2" max="2"/>
    <col width="18.7109375" customWidth="1" min="3" max="3"/>
    <col width="14.7109375" customWidth="1" min="4" max="4"/>
    <col width="26.7109375" customWidth="1" min="5" max="5"/>
    <col width="13.7109375" customWidth="1" min="6" max="7"/>
    <col width="28.7109375" customWidth="1" min="8" max="8"/>
    <col width="18.7109375" customWidth="1" min="9" max="9"/>
    <col width="24.7109375" customWidth="1" min="10" max="10"/>
    <col width="20.7109375" customWidth="1" min="11" max="11"/>
    <col width="22.7109375" customWidth="1" min="12" max="12"/>
    <col width="17.7109375" customWidth="1" min="13" max="13"/>
    <col width="21.7109375" customWidth="1" min="14" max="14"/>
    <col width="13.7109375" customWidth="1" min="15" max="15"/>
    <col width="32.7109375" customWidth="1" min="16" max="16"/>
    <col width="27.7109375" customWidth="1" min="17" max="17"/>
    <col width="38.7109375" customWidth="1" min="18" max="18"/>
    <col width="39.7109375" customWidth="1" min="19" max="19"/>
    <col width="43.7109375" customWidth="1" min="20" max="20"/>
    <col width="29.7109375" customWidth="1" min="21" max="21"/>
    <col width="17.7109375" customWidth="1" min="22" max="22"/>
    <col width="24.7109375" customWidth="1" min="23" max="23"/>
    <col width="17.7109375" customWidth="1" min="24" max="24"/>
    <col width="24.7109375" customWidth="1" min="25" max="25"/>
    <col width="21.7109375" customWidth="1" min="26" max="26"/>
    <col width="20.7109375" customWidth="1" min="27" max="27"/>
    <col width="35.7109375" customWidth="1" min="28" max="28"/>
    <col width="30.7109375" customWidth="1" min="29" max="29"/>
    <col width="17.7109375" customWidth="1" min="30" max="30"/>
    <col width="19.7109375" customWidth="1" min="31" max="32"/>
    <col width="34.7109375" customWidth="1" min="33" max="33"/>
    <col width="14.7109375" customWidth="1" min="34" max="35"/>
    <col width="16.7109375" customWidth="1" min="36" max="36"/>
    <col width="20.7109375" customWidth="1" min="37" max="37"/>
    <col width="19.7109375" customWidth="1" min="38" max="38"/>
    <col width="44.7109375" customWidth="1" min="39" max="39"/>
    <col width="53.7109375" customWidth="1" min="40" max="41"/>
    <col width="21.7109375" customWidth="1" min="42" max="42"/>
    <col width="64.7109375" customWidth="1" min="43" max="43"/>
    <col width="27.7109375" customWidth="1" min="44" max="44"/>
    <col width="19.7109375" customWidth="1" min="45" max="45"/>
    <col width="20.7109375" customWidth="1" min="46" max="46"/>
    <col width="21.7109375" customWidth="1" min="47" max="47"/>
    <col width="18.7109375" customWidth="1" min="48" max="48"/>
    <col width="30.7109375" customWidth="1" min="49" max="49"/>
    <col width="44.7109375" customWidth="1" min="50" max="50"/>
    <col width="22.7109375" customWidth="1" min="51" max="51"/>
    <col width="47.7109375" customWidth="1" min="52" max="52"/>
    <col width="19.7109375" customWidth="1" min="53" max="53"/>
    <col width="30.7109375" customWidth="1" min="54" max="54"/>
    <col width="40.7109375" customWidth="1" min="55" max="55"/>
    <col width="22.7109375" customWidth="1" min="56" max="56"/>
    <col width="45.7109375" customWidth="1" min="57" max="57"/>
    <col width="31.7109375" customWidth="1" min="58" max="58"/>
    <col width="29.7109375" customWidth="1" min="59" max="59"/>
    <col width="20.7109375" customWidth="1" min="60" max="60"/>
  </cols>
  <sheetData>
    <row r="1" ht="50" customHeight="1">
      <c r="A1" s="39" t="inlineStr">
        <is>
          <t>Brand</t>
        </is>
      </c>
      <c r="B1" s="39" t="inlineStr">
        <is>
          <t>Ship Type</t>
        </is>
      </c>
      <c r="C1" s="39" t="inlineStr">
        <is>
          <t>Freight Class</t>
        </is>
      </c>
      <c r="D1" s="39" t="inlineStr">
        <is>
          <t>Lead Time</t>
        </is>
      </c>
      <c r="E1" s="39" t="inlineStr">
        <is>
          <t>Replacement Lead Time</t>
        </is>
      </c>
      <c r="F1" s="39" t="inlineStr">
        <is>
          <t>Chemical</t>
        </is>
      </c>
      <c r="G1" s="39" t="inlineStr">
        <is>
          <t>Toxicity</t>
        </is>
      </c>
      <c r="H1" s="39" t="inlineStr">
        <is>
          <t>Country Of Manufacturer</t>
        </is>
      </c>
      <c r="I1" s="39" t="inlineStr">
        <is>
          <t>Document Type</t>
        </is>
      </c>
      <c r="J1" s="39" t="inlineStr">
        <is>
          <t>Legal Document Type</t>
        </is>
      </c>
      <c r="K1" s="39" t="inlineStr">
        <is>
          <t>Document Region</t>
        </is>
      </c>
      <c r="L1" s="39" t="inlineStr">
        <is>
          <t>Document Language</t>
        </is>
      </c>
      <c r="M1" s="39" t="inlineStr">
        <is>
          <t>Product Type</t>
        </is>
      </c>
      <c r="N1" s="39" t="inlineStr">
        <is>
          <t>Furniture Design</t>
        </is>
      </c>
      <c r="O1" s="39" t="inlineStr">
        <is>
          <t>Material</t>
        </is>
      </c>
      <c r="P1" s="39" t="inlineStr">
        <is>
          <t>Purposeful Distressing Type</t>
        </is>
      </c>
      <c r="Q1" s="39" t="inlineStr">
        <is>
          <t>Natural Variation Type</t>
        </is>
      </c>
      <c r="R1" s="39" t="inlineStr">
        <is>
          <t>Tipover Restraint Device Included</t>
        </is>
      </c>
      <c r="S1" s="39" t="inlineStr">
        <is>
          <t>Supplier Intended and Approved Use</t>
        </is>
      </c>
      <c r="T1" s="39" t="inlineStr">
        <is>
          <t>Country of Origin - Additional Details</t>
        </is>
      </c>
      <c r="U1" s="39" t="inlineStr">
        <is>
          <t>Main Wood Joinery Method</t>
        </is>
      </c>
      <c r="V1" s="39" t="inlineStr">
        <is>
          <t>Wood Species</t>
        </is>
      </c>
      <c r="W1" s="39" t="inlineStr">
        <is>
          <t>Battery Composition</t>
        </is>
      </c>
      <c r="X1" s="39" t="inlineStr">
        <is>
          <t>Battery Type</t>
        </is>
      </c>
      <c r="Y1" s="39" t="inlineStr">
        <is>
          <t>Number of Batteries</t>
        </is>
      </c>
      <c r="Z1" s="39" t="inlineStr">
        <is>
          <t>Battery Shipment</t>
        </is>
      </c>
      <c r="AA1" s="39" t="inlineStr">
        <is>
          <t>Lithium Content</t>
        </is>
      </c>
      <c r="AB1" s="39" t="inlineStr">
        <is>
          <t>Watt Rating of Cells / Battery</t>
        </is>
      </c>
      <c r="AC1" s="39" t="inlineStr">
        <is>
          <t>Weight of Cells / Battery</t>
        </is>
      </c>
      <c r="AD1" s="39" t="inlineStr">
        <is>
          <t>Product Care</t>
        </is>
      </c>
      <c r="AE1" s="39" t="inlineStr">
        <is>
          <t>Shelf Material</t>
        </is>
      </c>
      <c r="AF1" s="39" t="inlineStr">
        <is>
          <t>Color / Finish</t>
        </is>
      </c>
      <c r="AG1" s="39" t="inlineStr">
        <is>
          <t>Drawer Glide Type &amp; Extension</t>
        </is>
      </c>
      <c r="AH1" s="39" t="inlineStr">
        <is>
          <t>Vent Type</t>
        </is>
      </c>
      <c r="AI1" s="39" t="inlineStr">
        <is>
          <t>Fuel Type</t>
        </is>
      </c>
      <c r="AJ1" s="39" t="inlineStr">
        <is>
          <t>Door Design</t>
        </is>
      </c>
      <c r="AK1" s="39" t="inlineStr">
        <is>
          <t>Pieces Included</t>
        </is>
      </c>
      <c r="AL1" s="39" t="inlineStr">
        <is>
          <t>Fireplace Type</t>
        </is>
      </c>
      <c r="AM1" s="39" t="inlineStr">
        <is>
          <t>General Certificate of Conformity (GCC)</t>
        </is>
      </c>
      <c r="AN1" s="39" t="inlineStr">
        <is>
          <t>CARB Phase II Compliant (formaldehyde emissions)</t>
        </is>
      </c>
      <c r="AO1" s="39" t="inlineStr">
        <is>
          <t>TSCA Title VI Compliant (formaldehyde emissions)</t>
        </is>
      </c>
      <c r="AP1" s="39" t="inlineStr">
        <is>
          <t>CANFER Compliant</t>
        </is>
      </c>
      <c r="AQ1" s="39" t="inlineStr">
        <is>
          <t>Uniform Packaging and Labeling Regulations (UPLR) Compliant</t>
        </is>
      </c>
      <c r="AR1" s="39" t="inlineStr">
        <is>
          <t>Reason for Restriction</t>
        </is>
      </c>
      <c r="AS1" s="39" t="inlineStr">
        <is>
          <t>UL 1678 Listed</t>
        </is>
      </c>
      <c r="AT1" s="39" t="inlineStr">
        <is>
          <t>UN or ID number</t>
        </is>
      </c>
      <c r="AU1" s="39" t="inlineStr">
        <is>
          <t>Hazard Class(es)</t>
        </is>
      </c>
      <c r="AV1" s="39" t="inlineStr">
        <is>
          <t>Packing Group</t>
        </is>
      </c>
      <c r="AW1" s="39" t="inlineStr">
        <is>
          <t>Hazardous Material Weight</t>
        </is>
      </c>
      <c r="AX1" s="39" t="inlineStr">
        <is>
          <t>Energy Efficiency Regulations Compliant</t>
        </is>
      </c>
      <c r="AY1" s="39" t="inlineStr">
        <is>
          <t>Safety Listing(s)</t>
        </is>
      </c>
      <c r="AZ1" s="39" t="inlineStr">
        <is>
          <t>CPSC - 16 CFR 1263 Compliant (Reese's Law)</t>
        </is>
      </c>
      <c r="BA1" s="39" t="inlineStr">
        <is>
          <t>ISTA Certified</t>
        </is>
      </c>
      <c r="BB1" s="39" t="inlineStr">
        <is>
          <t>Commercial Certifications</t>
        </is>
      </c>
      <c r="BC1" s="39" t="inlineStr">
        <is>
          <t>Maximum TV Screen Size Accommodated</t>
        </is>
      </c>
      <c r="BD1" s="39" t="inlineStr">
        <is>
          <t>Level of Assembly</t>
        </is>
      </c>
      <c r="BE1" s="39" t="inlineStr">
        <is>
          <t>Additional Tools Required (Not Included)</t>
        </is>
      </c>
      <c r="BF1" s="39" t="inlineStr">
        <is>
          <t>Commercial Warranty Length</t>
        </is>
      </c>
      <c r="BG1" s="39" t="inlineStr">
        <is>
          <t>Full or Limited Warranty</t>
        </is>
      </c>
      <c r="BH1" s="39" t="inlineStr">
        <is>
          <t>Warranty Length</t>
        </is>
      </c>
    </row>
    <row r="2">
      <c r="A2" t="inlineStr">
        <is>
          <t>CASA DESIGN FURNITURE</t>
        </is>
      </c>
      <c r="B2" t="inlineStr">
        <is>
          <t>Small Parcel</t>
        </is>
      </c>
      <c r="C2" t="inlineStr">
        <is>
          <t>50</t>
        </is>
      </c>
      <c r="D2" t="inlineStr">
        <is>
          <t>0</t>
        </is>
      </c>
      <c r="E2" t="inlineStr">
        <is>
          <t>0</t>
        </is>
      </c>
      <c r="F2" t="inlineStr">
        <is>
          <t>A-alpha-C (2-Amino-9H-pyrido[2,3-b]indole)</t>
        </is>
      </c>
      <c r="G2" t="inlineStr">
        <is>
          <t>Cancer</t>
        </is>
      </c>
      <c r="H2" t="inlineStr">
        <is>
          <t>United States</t>
        </is>
      </c>
      <c r="I2" t="inlineStr">
        <is>
          <t>Specifications</t>
        </is>
      </c>
      <c r="J2" t="inlineStr">
        <is>
          <t>AAFA Certified</t>
        </is>
      </c>
      <c r="K2" t="inlineStr">
        <is>
          <t>US</t>
        </is>
      </c>
      <c r="L2" t="inlineStr">
        <is>
          <t>Arabic</t>
        </is>
      </c>
      <c r="M2" t="inlineStr">
        <is>
          <t>Entertainment Center</t>
        </is>
      </c>
      <c r="N2" t="inlineStr">
        <is>
          <t>Cabinet/Enclosed storage</t>
        </is>
      </c>
      <c r="O2" t="inlineStr">
        <is>
          <t>Glass</t>
        </is>
      </c>
      <c r="P2" t="inlineStr">
        <is>
          <t>Distressed Leather</t>
        </is>
      </c>
      <c r="Q2" t="inlineStr">
        <is>
          <t>No Natural Variation</t>
        </is>
      </c>
      <c r="R2" t="inlineStr">
        <is>
          <t>Yes</t>
        </is>
      </c>
      <c r="S2" t="inlineStr">
        <is>
          <t>Non Residential Use</t>
        </is>
      </c>
      <c r="T2" t="inlineStr">
        <is>
          <t>Made in USA</t>
        </is>
      </c>
      <c r="U2" t="inlineStr">
        <is>
          <t>Dovetail</t>
        </is>
      </c>
      <c r="V2" t="inlineStr">
        <is>
          <t>Acacia</t>
        </is>
      </c>
      <c r="W2" t="inlineStr">
        <is>
          <t>Lithium Metal</t>
        </is>
      </c>
      <c r="X2" t="inlineStr">
        <is>
          <t>Cell</t>
        </is>
      </c>
      <c r="Y2" t="inlineStr">
        <is>
          <t>1</t>
        </is>
      </c>
      <c r="Z2" t="inlineStr">
        <is>
          <t>Stand alone</t>
        </is>
      </c>
      <c r="AA2" t="inlineStr">
        <is>
          <t>Cells exceeding 5 grams</t>
        </is>
      </c>
      <c r="AB2" t="inlineStr">
        <is>
          <t>Cells of between 20w/h and 60w/h</t>
        </is>
      </c>
      <c r="AC2" t="inlineStr">
        <is>
          <t>2.5kg or less</t>
        </is>
      </c>
      <c r="AD2" t="inlineStr">
        <is>
          <t>Hand wash recommended</t>
        </is>
      </c>
      <c r="AE2" t="inlineStr">
        <is>
          <t>Polyethylene</t>
        </is>
      </c>
      <c r="AF2" t="inlineStr">
        <is>
          <t>Clear</t>
        </is>
      </c>
      <c r="AG2" t="inlineStr">
        <is>
          <t>0.6 Extension</t>
        </is>
      </c>
      <c r="AH2" t="inlineStr">
        <is>
          <t>Direct Vent</t>
        </is>
      </c>
      <c r="AI2" t="inlineStr">
        <is>
          <t>Electric</t>
        </is>
      </c>
      <c r="AJ2" t="inlineStr">
        <is>
          <t>Flush</t>
        </is>
      </c>
      <c r="AK2" t="inlineStr">
        <is>
          <t>Drawers</t>
        </is>
      </c>
      <c r="AL2" t="inlineStr">
        <is>
          <t>Gel</t>
        </is>
      </c>
      <c r="AM2" t="inlineStr">
        <is>
          <t>Yes</t>
        </is>
      </c>
      <c r="AN2" t="inlineStr">
        <is>
          <t>Yes</t>
        </is>
      </c>
      <c r="AO2" t="inlineStr">
        <is>
          <t>Yes</t>
        </is>
      </c>
      <c r="AP2" t="inlineStr">
        <is>
          <t>Yes</t>
        </is>
      </c>
      <c r="AQ2" t="inlineStr">
        <is>
          <t>Yes</t>
        </is>
      </c>
      <c r="AR2" t="inlineStr">
        <is>
          <t>Dual Language</t>
        </is>
      </c>
      <c r="AS2" t="inlineStr">
        <is>
          <t>Yes</t>
        </is>
      </c>
      <c r="AT2" t="inlineStr">
        <is>
          <t>UN3091</t>
        </is>
      </c>
      <c r="AU2" t="inlineStr">
        <is>
          <t>1</t>
        </is>
      </c>
      <c r="AV2" t="inlineStr">
        <is>
          <t>I</t>
        </is>
      </c>
      <c r="AW2" t="inlineStr">
        <is>
          <t>&gt;0 - ≤25ml</t>
        </is>
      </c>
      <c r="AX2" t="inlineStr">
        <is>
          <t>No</t>
        </is>
      </c>
      <c r="AY2" t="inlineStr">
        <is>
          <t>TÜV Rheinland Certified</t>
        </is>
      </c>
      <c r="AZ2" t="inlineStr">
        <is>
          <t>No</t>
        </is>
      </c>
      <c r="BA2" t="inlineStr">
        <is>
          <t>1A</t>
        </is>
      </c>
      <c r="BB2" t="inlineStr">
        <is>
          <t>BIFMA Accredited</t>
        </is>
      </c>
      <c r="BC2" t="inlineStr">
        <is>
          <t>28"</t>
        </is>
      </c>
      <c r="BD2" t="inlineStr">
        <is>
          <t>No Assembly Needed</t>
        </is>
      </c>
      <c r="BE2" t="inlineStr">
        <is>
          <t>All Tools Included</t>
        </is>
      </c>
      <c r="BF2" t="inlineStr">
        <is>
          <t>30 Days</t>
        </is>
      </c>
      <c r="BG2" t="inlineStr">
        <is>
          <t>Full</t>
        </is>
      </c>
      <c r="BH2" t="inlineStr">
        <is>
          <t>30 Days</t>
        </is>
      </c>
    </row>
    <row r="3">
      <c r="B3" t="inlineStr">
        <is>
          <t>LTL</t>
        </is>
      </c>
      <c r="C3" t="inlineStr">
        <is>
          <t>55</t>
        </is>
      </c>
      <c r="D3" t="inlineStr">
        <is>
          <t>24</t>
        </is>
      </c>
      <c r="E3" t="inlineStr">
        <is>
          <t>24</t>
        </is>
      </c>
      <c r="F3" t="inlineStr">
        <is>
          <t>Abiraterone acetate</t>
        </is>
      </c>
      <c r="G3" t="inlineStr">
        <is>
          <t>Developmental</t>
        </is>
      </c>
      <c r="H3" t="inlineStr">
        <is>
          <t>Canada</t>
        </is>
      </c>
      <c r="I3" t="inlineStr">
        <is>
          <t>Installation &amp; Assembly</t>
        </is>
      </c>
      <c r="J3" t="inlineStr">
        <is>
          <t>AATCC 116 Grade</t>
        </is>
      </c>
      <c r="K3" t="inlineStr">
        <is>
          <t>UK</t>
        </is>
      </c>
      <c r="L3" t="inlineStr">
        <is>
          <t>Bulgarian</t>
        </is>
      </c>
      <c r="M3" t="inlineStr">
        <is>
          <t>TV Stand</t>
        </is>
      </c>
      <c r="N3" t="inlineStr">
        <is>
          <t>TV Stand Fireplace</t>
        </is>
      </c>
      <c r="O3" t="inlineStr">
        <is>
          <t>Stainless Steel</t>
        </is>
      </c>
      <c r="P3" t="inlineStr">
        <is>
          <t>Paint Distressing</t>
        </is>
      </c>
      <c r="Q3" t="inlineStr">
        <is>
          <t>Natural Wood Grain Color Variation</t>
        </is>
      </c>
      <c r="R3" t="inlineStr">
        <is>
          <t>No</t>
        </is>
      </c>
      <c r="S3" t="inlineStr">
        <is>
          <t>Residential Use</t>
        </is>
      </c>
      <c r="T3" t="inlineStr">
        <is>
          <t>Made in USA of Imported Materials</t>
        </is>
      </c>
      <c r="U3" t="inlineStr">
        <is>
          <t>Mortise and Tenon</t>
        </is>
      </c>
      <c r="V3" t="inlineStr">
        <is>
          <t>Alder</t>
        </is>
      </c>
      <c r="W3" t="inlineStr">
        <is>
          <t>Lithium Ion / Lithium Polymer</t>
        </is>
      </c>
      <c r="X3" t="inlineStr">
        <is>
          <t>Battery</t>
        </is>
      </c>
      <c r="Y3" t="inlineStr">
        <is>
          <t>2</t>
        </is>
      </c>
      <c r="Z3" t="inlineStr">
        <is>
          <t>Contained in product</t>
        </is>
      </c>
      <c r="AA3" t="inlineStr">
        <is>
          <t>Batteries of 2 grams or less</t>
        </is>
      </c>
      <c r="AB3" t="inlineStr">
        <is>
          <t>Cells exceeding 60w/h</t>
        </is>
      </c>
      <c r="AC3" t="inlineStr">
        <is>
          <t>2.5kg to 5kg</t>
        </is>
      </c>
      <c r="AD3" t="inlineStr">
        <is>
          <t>Dishwasher safe</t>
        </is>
      </c>
      <c r="AE3" t="inlineStr">
        <is>
          <t>Steel</t>
        </is>
      </c>
      <c r="AF3" t="inlineStr">
        <is>
          <t>Cream</t>
        </is>
      </c>
      <c r="AG3" t="inlineStr">
        <is>
          <t>Ball Bearing</t>
        </is>
      </c>
      <c r="AH3" t="inlineStr">
        <is>
          <t>Natural Vent</t>
        </is>
      </c>
      <c r="AI3" t="inlineStr">
        <is>
          <t>Dual Fuel</t>
        </is>
      </c>
      <c r="AJ3" t="inlineStr">
        <is>
          <t>Glass</t>
        </is>
      </c>
      <c r="AK3" t="inlineStr">
        <is>
          <t>Fireplace</t>
        </is>
      </c>
      <c r="AL3" t="inlineStr">
        <is>
          <t>Gas</t>
        </is>
      </c>
      <c r="AM3" t="inlineStr">
        <is>
          <t>No</t>
        </is>
      </c>
      <c r="AN3" t="inlineStr">
        <is>
          <t>No</t>
        </is>
      </c>
      <c r="AO3" t="inlineStr">
        <is>
          <t>No</t>
        </is>
      </c>
      <c r="AP3" t="inlineStr">
        <is>
          <t>No</t>
        </is>
      </c>
      <c r="AQ3" t="inlineStr">
        <is>
          <t>No</t>
        </is>
      </c>
      <c r="AR3" t="inlineStr">
        <is>
          <t>Distribution Conflict</t>
        </is>
      </c>
      <c r="AS3" t="inlineStr">
        <is>
          <t>No</t>
        </is>
      </c>
      <c r="AT3" t="inlineStr">
        <is>
          <t>UN3481</t>
        </is>
      </c>
      <c r="AU3" t="inlineStr">
        <is>
          <t>2.2</t>
        </is>
      </c>
      <c r="AV3" t="inlineStr">
        <is>
          <t>III</t>
        </is>
      </c>
      <c r="AW3" t="inlineStr">
        <is>
          <t>&gt;1L - ≤5L</t>
        </is>
      </c>
      <c r="AX3" t="inlineStr">
        <is>
          <t>Yes</t>
        </is>
      </c>
      <c r="AY3" t="inlineStr">
        <is>
          <t>MET Listed</t>
        </is>
      </c>
      <c r="AZ3" t="inlineStr">
        <is>
          <t>Yes</t>
        </is>
      </c>
      <c r="BA3" t="inlineStr">
        <is>
          <t>3A or 6A</t>
        </is>
      </c>
      <c r="BB3" t="inlineStr">
        <is>
          <t>BIFMA Equivalent</t>
        </is>
      </c>
      <c r="BC3" t="inlineStr">
        <is>
          <t>24"</t>
        </is>
      </c>
      <c r="BD3" t="inlineStr">
        <is>
          <t>Minimal Assembly Needed</t>
        </is>
      </c>
      <c r="BE3" t="inlineStr">
        <is>
          <t>Tool Free Assembly</t>
        </is>
      </c>
      <c r="BF3" t="inlineStr">
        <is>
          <t>60 Days</t>
        </is>
      </c>
      <c r="BG3" t="inlineStr">
        <is>
          <t>Limited</t>
        </is>
      </c>
      <c r="BH3" t="inlineStr">
        <is>
          <t>60 Days</t>
        </is>
      </c>
    </row>
    <row r="4">
      <c r="C4" t="inlineStr">
        <is>
          <t>60</t>
        </is>
      </c>
      <c r="D4" t="inlineStr">
        <is>
          <t>48</t>
        </is>
      </c>
      <c r="E4" t="inlineStr">
        <is>
          <t>48</t>
        </is>
      </c>
      <c r="F4" t="inlineStr">
        <is>
          <t>Acetaldehyde</t>
        </is>
      </c>
      <c r="H4" t="inlineStr">
        <is>
          <t>Afghanistan</t>
        </is>
      </c>
      <c r="I4" t="inlineStr">
        <is>
          <t>Owner Manual</t>
        </is>
      </c>
      <c r="J4" t="inlineStr">
        <is>
          <t>AATCC 16.1-2014 Grade</t>
        </is>
      </c>
      <c r="K4" t="inlineStr">
        <is>
          <t>EU</t>
        </is>
      </c>
      <c r="L4" t="inlineStr">
        <is>
          <t>Czech (Czech Republic)</t>
        </is>
      </c>
      <c r="N4" t="inlineStr">
        <is>
          <t>Open shelving</t>
        </is>
      </c>
      <c r="O4" t="inlineStr">
        <is>
          <t>Cane</t>
        </is>
      </c>
      <c r="P4" t="inlineStr">
        <is>
          <t>Distressed Grain Accents</t>
        </is>
      </c>
      <c r="Q4" t="inlineStr">
        <is>
          <t>Weathered Steel</t>
        </is>
      </c>
      <c r="T4" t="inlineStr">
        <is>
          <t>Product of Canada</t>
        </is>
      </c>
      <c r="U4" t="inlineStr">
        <is>
          <t>Rabbet Joint</t>
        </is>
      </c>
      <c r="V4" t="inlineStr">
        <is>
          <t>Ash</t>
        </is>
      </c>
      <c r="W4" t="inlineStr">
        <is>
          <t>Nickel Cadmium</t>
        </is>
      </c>
      <c r="X4" t="inlineStr">
        <is>
          <t>Button Cell</t>
        </is>
      </c>
      <c r="Y4" t="inlineStr">
        <is>
          <t>3</t>
        </is>
      </c>
      <c r="Z4" t="inlineStr">
        <is>
          <t>Packed with product</t>
        </is>
      </c>
      <c r="AA4" t="inlineStr">
        <is>
          <t>Batteries of between 2 and 25 grams</t>
        </is>
      </c>
      <c r="AB4" t="inlineStr">
        <is>
          <t>Cells of 20w/h or less</t>
        </is>
      </c>
      <c r="AC4" t="inlineStr">
        <is>
          <t>More than 10kg</t>
        </is>
      </c>
      <c r="AD4" t="inlineStr">
        <is>
          <t>Spot clean only</t>
        </is>
      </c>
      <c r="AE4" t="inlineStr">
        <is>
          <t>Wood Veneers</t>
        </is>
      </c>
      <c r="AF4" t="inlineStr">
        <is>
          <t>Purple</t>
        </is>
      </c>
      <c r="AG4" t="inlineStr">
        <is>
          <t>Soft Close</t>
        </is>
      </c>
      <c r="AH4" t="inlineStr">
        <is>
          <t>Vent Free</t>
        </is>
      </c>
      <c r="AI4" t="inlineStr">
        <is>
          <t>Induction</t>
        </is>
      </c>
      <c r="AJ4" t="inlineStr">
        <is>
          <t>Louvered</t>
        </is>
      </c>
      <c r="AK4" t="inlineStr">
        <is>
          <t>Hutch</t>
        </is>
      </c>
      <c r="AL4" t="inlineStr">
        <is>
          <t>Wood</t>
        </is>
      </c>
      <c r="AM4" t="inlineStr">
        <is>
          <t>Does Not Apply</t>
        </is>
      </c>
      <c r="AN4" t="inlineStr">
        <is>
          <t>Does Not Apply</t>
        </is>
      </c>
      <c r="AO4" t="inlineStr">
        <is>
          <t>Does Not Apply</t>
        </is>
      </c>
      <c r="AP4" t="inlineStr">
        <is>
          <t>Yes, Compliance Verified Program Member</t>
        </is>
      </c>
      <c r="AR4" t="inlineStr">
        <is>
          <t>Logistics</t>
        </is>
      </c>
      <c r="AS4" t="inlineStr">
        <is>
          <t>Yes, Compliance Verified Program Member</t>
        </is>
      </c>
      <c r="AT4" t="inlineStr">
        <is>
          <t>UN2800</t>
        </is>
      </c>
      <c r="AU4" t="inlineStr">
        <is>
          <t>2.1</t>
        </is>
      </c>
      <c r="AV4" t="inlineStr">
        <is>
          <t>No Packing Group</t>
        </is>
      </c>
      <c r="AW4" t="inlineStr">
        <is>
          <t>&gt;0.5L - ≤1L</t>
        </is>
      </c>
      <c r="AX4" t="inlineStr">
        <is>
          <t>Yes, Compliance Verified Program Member</t>
        </is>
      </c>
      <c r="AY4" t="inlineStr">
        <is>
          <t>AFNOR UK Ltd</t>
        </is>
      </c>
      <c r="AZ4" t="inlineStr">
        <is>
          <t>Yes, Compliance Verified Program Member</t>
        </is>
      </c>
      <c r="BA4" t="inlineStr">
        <is>
          <t>Does Not Apply</t>
        </is>
      </c>
      <c r="BB4" t="inlineStr">
        <is>
          <t>Contract Grade Accredited</t>
        </is>
      </c>
      <c r="BC4" t="inlineStr">
        <is>
          <t>40"</t>
        </is>
      </c>
      <c r="BD4" t="inlineStr">
        <is>
          <t>Full Assembly Needed</t>
        </is>
      </c>
      <c r="BE4" t="inlineStr">
        <is>
          <t>Screwdriver</t>
        </is>
      </c>
      <c r="BF4" t="inlineStr">
        <is>
          <t>90 Days</t>
        </is>
      </c>
      <c r="BG4" t="inlineStr">
        <is>
          <t>Does Not Apply</t>
        </is>
      </c>
      <c r="BH4" t="inlineStr">
        <is>
          <t>90 Days</t>
        </is>
      </c>
    </row>
    <row r="5">
      <c r="C5" t="inlineStr">
        <is>
          <t>65</t>
        </is>
      </c>
      <c r="D5" t="inlineStr">
        <is>
          <t>72</t>
        </is>
      </c>
      <c r="E5" t="inlineStr">
        <is>
          <t>72</t>
        </is>
      </c>
      <c r="F5" t="inlineStr">
        <is>
          <t>Acetamide</t>
        </is>
      </c>
      <c r="H5" t="inlineStr">
        <is>
          <t>Åland Islands</t>
        </is>
      </c>
      <c r="I5" t="inlineStr">
        <is>
          <t>Delivery Information</t>
        </is>
      </c>
      <c r="J5" t="inlineStr">
        <is>
          <t>AATCC 16.3-2014 Grade</t>
        </is>
      </c>
      <c r="K5" t="inlineStr">
        <is>
          <t>CA</t>
        </is>
      </c>
      <c r="L5" t="inlineStr">
        <is>
          <t>Danish</t>
        </is>
      </c>
      <c r="N5" t="inlineStr">
        <is>
          <t>Corner unit</t>
        </is>
      </c>
      <c r="O5" t="inlineStr">
        <is>
          <t>Raffia</t>
        </is>
      </c>
      <c r="P5" t="inlineStr">
        <is>
          <t>Coat/Paint Distressing</t>
        </is>
      </c>
      <c r="Q5" t="inlineStr">
        <is>
          <t>Wood Knots</t>
        </is>
      </c>
      <c r="T5" t="inlineStr">
        <is>
          <t>Made In Canada</t>
        </is>
      </c>
      <c r="U5" t="inlineStr">
        <is>
          <t>Basic Butt</t>
        </is>
      </c>
      <c r="V5" t="inlineStr">
        <is>
          <t>Bamboo</t>
        </is>
      </c>
      <c r="W5" t="inlineStr">
        <is>
          <t>Nickel Metal Hydride</t>
        </is>
      </c>
      <c r="X5" t="inlineStr">
        <is>
          <t>Does Not Apply</t>
        </is>
      </c>
      <c r="Y5" t="inlineStr">
        <is>
          <t>6</t>
        </is>
      </c>
      <c r="Z5" t="inlineStr">
        <is>
          <t>Does Not Apply</t>
        </is>
      </c>
      <c r="AA5" t="inlineStr">
        <is>
          <t>Cells of 1gram or less</t>
        </is>
      </c>
      <c r="AB5" t="inlineStr">
        <is>
          <t>Batteries exceeding 300w/h</t>
        </is>
      </c>
      <c r="AC5" t="inlineStr">
        <is>
          <t>5kg to 10kg</t>
        </is>
      </c>
      <c r="AD5" t="inlineStr">
        <is>
          <t>Hand wash only</t>
        </is>
      </c>
      <c r="AE5" t="inlineStr">
        <is>
          <t>Polyvinyl Chloride (PVC)</t>
        </is>
      </c>
      <c r="AF5" t="inlineStr">
        <is>
          <t>Gold</t>
        </is>
      </c>
      <c r="AG5" t="inlineStr">
        <is>
          <t>Roller Glides</t>
        </is>
      </c>
      <c r="AH5" t="inlineStr">
        <is>
          <t>External</t>
        </is>
      </c>
      <c r="AI5" t="inlineStr">
        <is>
          <t>Wood Pellets</t>
        </is>
      </c>
      <c r="AJ5" t="inlineStr">
        <is>
          <t>Paneled</t>
        </is>
      </c>
      <c r="AK5" t="inlineStr">
        <is>
          <t>Shelves</t>
        </is>
      </c>
      <c r="AL5" t="inlineStr">
        <is>
          <t>Electric</t>
        </is>
      </c>
      <c r="AP5" t="inlineStr">
        <is>
          <t>Does Not Apply</t>
        </is>
      </c>
      <c r="AR5" t="inlineStr">
        <is>
          <t>Does Not Apply</t>
        </is>
      </c>
      <c r="AS5" t="inlineStr">
        <is>
          <t>Does Not Apply</t>
        </is>
      </c>
      <c r="AT5" t="inlineStr">
        <is>
          <t>UN1950</t>
        </is>
      </c>
      <c r="AU5" t="inlineStr">
        <is>
          <t>7</t>
        </is>
      </c>
      <c r="AV5" t="inlineStr">
        <is>
          <t>II</t>
        </is>
      </c>
      <c r="AW5" t="inlineStr">
        <is>
          <t>&gt;0 - ≤100g</t>
        </is>
      </c>
      <c r="AX5" t="inlineStr">
        <is>
          <t>Unavailable</t>
        </is>
      </c>
      <c r="AY5" t="inlineStr">
        <is>
          <t>BSI Assurance UK Ltd</t>
        </is>
      </c>
      <c r="AZ5" t="inlineStr">
        <is>
          <t>Does Not Apply</t>
        </is>
      </c>
      <c r="BB5" t="inlineStr">
        <is>
          <t>Unavailable</t>
        </is>
      </c>
      <c r="BC5" t="inlineStr">
        <is>
          <t>32"</t>
        </is>
      </c>
      <c r="BD5" t="inlineStr">
        <is>
          <t>Does Not Apply</t>
        </is>
      </c>
      <c r="BE5" t="inlineStr">
        <is>
          <t>Allen Wrench</t>
        </is>
      </c>
      <c r="BF5" t="inlineStr">
        <is>
          <t>6 Months</t>
        </is>
      </c>
      <c r="BH5" t="inlineStr">
        <is>
          <t>6 Months</t>
        </is>
      </c>
    </row>
    <row r="6">
      <c r="C6" t="inlineStr">
        <is>
          <t>70</t>
        </is>
      </c>
      <c r="D6" t="inlineStr">
        <is>
          <t>96</t>
        </is>
      </c>
      <c r="E6" t="inlineStr">
        <is>
          <t>96</t>
        </is>
      </c>
      <c r="F6" t="inlineStr">
        <is>
          <t>Acetazolamide</t>
        </is>
      </c>
      <c r="H6" t="inlineStr">
        <is>
          <t>Albania</t>
        </is>
      </c>
      <c r="I6" t="inlineStr">
        <is>
          <t>Warranty Information</t>
        </is>
      </c>
      <c r="J6" t="inlineStr">
        <is>
          <t>AATCC 8 Grade</t>
        </is>
      </c>
      <c r="L6" t="inlineStr">
        <is>
          <t>German</t>
        </is>
      </c>
      <c r="N6" t="inlineStr">
        <is>
          <t>Hutch</t>
        </is>
      </c>
      <c r="O6" t="inlineStr">
        <is>
          <t>Mango Wood</t>
        </is>
      </c>
      <c r="P6" t="inlineStr">
        <is>
          <t>Wormholes</t>
        </is>
      </c>
      <c r="Q6" t="inlineStr">
        <is>
          <t>Natural Stone Color Variation</t>
        </is>
      </c>
      <c r="T6" t="inlineStr">
        <is>
          <t>Does Not Apply</t>
        </is>
      </c>
      <c r="U6" t="inlineStr">
        <is>
          <t>Biscuit Joint</t>
        </is>
      </c>
      <c r="V6" t="inlineStr">
        <is>
          <t>Beech</t>
        </is>
      </c>
      <c r="W6" t="inlineStr">
        <is>
          <t>Alkaline</t>
        </is>
      </c>
      <c r="Y6" t="inlineStr">
        <is>
          <t>7</t>
        </is>
      </c>
      <c r="AA6" t="inlineStr">
        <is>
          <t>Cells of between 1 and 5 grams</t>
        </is>
      </c>
      <c r="AB6" t="inlineStr">
        <is>
          <t>Batteries of between 100w/h and 300 w/h</t>
        </is>
      </c>
      <c r="AC6" t="inlineStr">
        <is>
          <t>Does Not Apply</t>
        </is>
      </c>
      <c r="AD6" t="inlineStr">
        <is>
          <t>Delicate cycle</t>
        </is>
      </c>
      <c r="AE6" t="inlineStr">
        <is>
          <t>Polycarbonate</t>
        </is>
      </c>
      <c r="AF6" t="inlineStr">
        <is>
          <t>Silver</t>
        </is>
      </c>
      <c r="AG6" t="inlineStr">
        <is>
          <t>0.75 Extension</t>
        </is>
      </c>
      <c r="AH6" t="inlineStr">
        <is>
          <t>Convertible</t>
        </is>
      </c>
      <c r="AI6" t="inlineStr">
        <is>
          <t>Natural Gas</t>
        </is>
      </c>
      <c r="AJ6" t="inlineStr">
        <is>
          <t>Mirrored</t>
        </is>
      </c>
      <c r="AK6" t="inlineStr">
        <is>
          <t>Bridge</t>
        </is>
      </c>
      <c r="AL6" t="inlineStr">
        <is>
          <t>Unavailable</t>
        </is>
      </c>
      <c r="AT6" t="inlineStr">
        <is>
          <t>UN3496</t>
        </is>
      </c>
      <c r="AU6" t="inlineStr">
        <is>
          <t>5.2</t>
        </is>
      </c>
      <c r="AV6" t="inlineStr">
        <is>
          <t>Does Not Apply</t>
        </is>
      </c>
      <c r="AW6" t="inlineStr">
        <is>
          <t>&gt;100 - ≤500g</t>
        </is>
      </c>
      <c r="AX6" t="inlineStr">
        <is>
          <t>Does Not Apply</t>
        </is>
      </c>
      <c r="AY6" t="inlineStr">
        <is>
          <t>cUL Listed</t>
        </is>
      </c>
      <c r="BB6" t="inlineStr">
        <is>
          <t>Does Not Apply</t>
        </is>
      </c>
      <c r="BC6" t="inlineStr">
        <is>
          <t>42"</t>
        </is>
      </c>
      <c r="BE6" t="inlineStr">
        <is>
          <t>Adjustable Wrench</t>
        </is>
      </c>
      <c r="BF6" t="inlineStr">
        <is>
          <t>1 Year</t>
        </is>
      </c>
      <c r="BH6" t="inlineStr">
        <is>
          <t>1 Year</t>
        </is>
      </c>
    </row>
    <row r="7">
      <c r="C7" t="inlineStr">
        <is>
          <t>77.5</t>
        </is>
      </c>
      <c r="D7" t="inlineStr">
        <is>
          <t>120</t>
        </is>
      </c>
      <c r="E7" t="inlineStr">
        <is>
          <t>120</t>
        </is>
      </c>
      <c r="F7" t="inlineStr">
        <is>
          <t>Acetochlor</t>
        </is>
      </c>
      <c r="H7" t="inlineStr">
        <is>
          <t>Algeria</t>
        </is>
      </c>
      <c r="I7" t="inlineStr">
        <is>
          <t>Certifications</t>
        </is>
      </c>
      <c r="J7" t="inlineStr">
        <is>
          <t>AC Rated</t>
        </is>
      </c>
      <c r="L7" t="inlineStr">
        <is>
          <t>Greek</t>
        </is>
      </c>
      <c r="N7" t="inlineStr">
        <is>
          <t>Piers</t>
        </is>
      </c>
      <c r="O7" t="inlineStr">
        <is>
          <t>Aluminum</t>
        </is>
      </c>
      <c r="P7" t="inlineStr">
        <is>
          <t>No Natural Variation</t>
        </is>
      </c>
      <c r="Q7" t="inlineStr">
        <is>
          <t>Unavailable</t>
        </is>
      </c>
      <c r="U7" t="inlineStr">
        <is>
          <t>Tongue and Groove</t>
        </is>
      </c>
      <c r="V7" t="inlineStr">
        <is>
          <t>Birch</t>
        </is>
      </c>
      <c r="W7" t="inlineStr">
        <is>
          <t>Carbon Zinc</t>
        </is>
      </c>
      <c r="Y7" t="inlineStr">
        <is>
          <t>5</t>
        </is>
      </c>
      <c r="AA7" t="inlineStr">
        <is>
          <t>Batteries exceeding 25 grams</t>
        </is>
      </c>
      <c r="AB7" t="inlineStr">
        <is>
          <t>Batteries of 100w/h or less</t>
        </is>
      </c>
      <c r="AD7" t="inlineStr">
        <is>
          <t>Commercial laundry safe</t>
        </is>
      </c>
      <c r="AE7" t="inlineStr">
        <is>
          <t>Stainless Steel</t>
        </is>
      </c>
      <c r="AF7" t="inlineStr">
        <is>
          <t>Polished Chrome</t>
        </is>
      </c>
      <c r="AG7" t="inlineStr">
        <is>
          <t>Full Extension</t>
        </is>
      </c>
      <c r="AH7" t="inlineStr">
        <is>
          <t>Recirculating</t>
        </is>
      </c>
      <c r="AI7" t="inlineStr">
        <is>
          <t>Liquid Propane</t>
        </is>
      </c>
      <c r="AJ7" t="inlineStr">
        <is>
          <t>Barn Doors</t>
        </is>
      </c>
      <c r="AK7" t="inlineStr">
        <is>
          <t>Exterior Shelves</t>
        </is>
      </c>
      <c r="AL7" t="inlineStr">
        <is>
          <t>Does Not Apply</t>
        </is>
      </c>
      <c r="AT7" t="inlineStr">
        <is>
          <t>ID8000</t>
        </is>
      </c>
      <c r="AU7" t="inlineStr">
        <is>
          <t>6.1</t>
        </is>
      </c>
      <c r="AW7" t="inlineStr">
        <is>
          <t>&gt;500g - ≤1kg</t>
        </is>
      </c>
      <c r="AY7" t="inlineStr">
        <is>
          <t>ETL Listed</t>
        </is>
      </c>
      <c r="BC7" t="inlineStr">
        <is>
          <t>49"</t>
        </is>
      </c>
      <c r="BE7" t="inlineStr">
        <is>
          <t>Socket Wrench</t>
        </is>
      </c>
      <c r="BF7" t="inlineStr">
        <is>
          <t>2 Years</t>
        </is>
      </c>
      <c r="BH7" t="inlineStr">
        <is>
          <t>2 Years</t>
        </is>
      </c>
    </row>
    <row r="8">
      <c r="C8" t="inlineStr">
        <is>
          <t>85</t>
        </is>
      </c>
      <c r="D8" t="inlineStr">
        <is>
          <t>144</t>
        </is>
      </c>
      <c r="F8" t="inlineStr">
        <is>
          <t>Acetohydroxamic acid</t>
        </is>
      </c>
      <c r="H8" t="inlineStr">
        <is>
          <t>American Samoa</t>
        </is>
      </c>
      <c r="I8" t="inlineStr">
        <is>
          <t>Disclaimers</t>
        </is>
      </c>
      <c r="J8" t="inlineStr">
        <is>
          <t>ACT Flammability Guidelines Compliant</t>
        </is>
      </c>
      <c r="L8" t="inlineStr">
        <is>
          <t>English (United Kingdom)</t>
        </is>
      </c>
      <c r="N8" t="inlineStr">
        <is>
          <t>Floating mount</t>
        </is>
      </c>
      <c r="O8" t="inlineStr">
        <is>
          <t>Manufactured Wood</t>
        </is>
      </c>
      <c r="P8" t="inlineStr">
        <is>
          <t>No Distressing</t>
        </is>
      </c>
      <c r="U8" t="inlineStr">
        <is>
          <t>Pocket Joint</t>
        </is>
      </c>
      <c r="V8" t="inlineStr">
        <is>
          <t>Camphor</t>
        </is>
      </c>
      <c r="W8" t="inlineStr">
        <is>
          <t>Lead Acid (Spillable)</t>
        </is>
      </c>
      <c r="Y8" t="inlineStr">
        <is>
          <t>8</t>
        </is>
      </c>
      <c r="AA8" t="inlineStr">
        <is>
          <t>Does Not Apply</t>
        </is>
      </c>
      <c r="AB8" t="inlineStr">
        <is>
          <t>Does Not Apply</t>
        </is>
      </c>
      <c r="AD8" t="inlineStr">
        <is>
          <t>Do not use a fabric softener</t>
        </is>
      </c>
      <c r="AE8" t="inlineStr">
        <is>
          <t>Marble</t>
        </is>
      </c>
      <c r="AF8" t="inlineStr">
        <is>
          <t>Polished Nickel</t>
        </is>
      </c>
      <c r="AG8" t="inlineStr">
        <is>
          <t>Metal Slide</t>
        </is>
      </c>
      <c r="AH8" t="inlineStr">
        <is>
          <t>B-Vent</t>
        </is>
      </c>
      <c r="AI8" t="inlineStr">
        <is>
          <t>Wood Burning</t>
        </is>
      </c>
      <c r="AJ8" t="inlineStr">
        <is>
          <t>Frosted</t>
        </is>
      </c>
      <c r="AK8" t="inlineStr">
        <is>
          <t>Fireplace Remote</t>
        </is>
      </c>
      <c r="AT8" t="inlineStr">
        <is>
          <t>UN1013</t>
        </is>
      </c>
      <c r="AU8" t="inlineStr">
        <is>
          <t>3</t>
        </is>
      </c>
      <c r="AW8" t="inlineStr">
        <is>
          <t>&gt;125ml - ≤500ml</t>
        </is>
      </c>
      <c r="AY8" t="inlineStr">
        <is>
          <t>DBI Certification Ltd</t>
        </is>
      </c>
      <c r="BC8" t="inlineStr">
        <is>
          <t>55"</t>
        </is>
      </c>
      <c r="BE8" t="inlineStr">
        <is>
          <t>Power Drill</t>
        </is>
      </c>
      <c r="BF8" t="inlineStr">
        <is>
          <t>3 Years</t>
        </is>
      </c>
      <c r="BH8" t="inlineStr">
        <is>
          <t>3 Years</t>
        </is>
      </c>
    </row>
    <row r="9">
      <c r="C9" t="inlineStr">
        <is>
          <t>92.5</t>
        </is>
      </c>
      <c r="D9" t="inlineStr">
        <is>
          <t>168</t>
        </is>
      </c>
      <c r="F9" t="inlineStr">
        <is>
          <t>2-Acetylaminofluorene</t>
        </is>
      </c>
      <c r="H9" t="inlineStr">
        <is>
          <t>Andorra</t>
        </is>
      </c>
      <c r="I9" t="inlineStr">
        <is>
          <t>Buying Guides</t>
        </is>
      </c>
      <c r="J9" t="inlineStr">
        <is>
          <t>AHAM CADR Dust rating</t>
        </is>
      </c>
      <c r="L9" t="inlineStr">
        <is>
          <t>English (United States)</t>
        </is>
      </c>
      <c r="N9" t="inlineStr">
        <is>
          <t>Standard</t>
        </is>
      </c>
      <c r="O9" t="inlineStr">
        <is>
          <t>Leather</t>
        </is>
      </c>
      <c r="P9" t="inlineStr">
        <is>
          <t>Distressed Metal</t>
        </is>
      </c>
      <c r="U9" t="inlineStr">
        <is>
          <t>Cam Bolt</t>
        </is>
      </c>
      <c r="V9" t="inlineStr">
        <is>
          <t>Cedar</t>
        </is>
      </c>
      <c r="W9" t="inlineStr">
        <is>
          <t>Lead Acid (Non-Spillable)</t>
        </is>
      </c>
      <c r="Y9" t="inlineStr">
        <is>
          <t>10</t>
        </is>
      </c>
      <c r="AD9" t="inlineStr">
        <is>
          <t>Cold wash</t>
        </is>
      </c>
      <c r="AE9" t="inlineStr">
        <is>
          <t>Solid + Manufactured Wood</t>
        </is>
      </c>
      <c r="AF9" t="inlineStr">
        <is>
          <t>Stainless Steel</t>
        </is>
      </c>
      <c r="AG9" t="inlineStr">
        <is>
          <t>0.5 Extension</t>
        </is>
      </c>
      <c r="AH9" t="inlineStr">
        <is>
          <t>Does Not Apply</t>
        </is>
      </c>
      <c r="AI9" t="inlineStr">
        <is>
          <t>Gel Fuel</t>
        </is>
      </c>
      <c r="AJ9" t="inlineStr">
        <is>
          <t>Insulated</t>
        </is>
      </c>
      <c r="AK9" t="inlineStr">
        <is>
          <t>Integrated TV Mount</t>
        </is>
      </c>
      <c r="AT9" t="inlineStr">
        <is>
          <t>UN3082</t>
        </is>
      </c>
      <c r="AU9" t="inlineStr">
        <is>
          <t>4.1</t>
        </is>
      </c>
      <c r="AW9" t="inlineStr">
        <is>
          <t>&gt;25 - ≤125ml</t>
        </is>
      </c>
      <c r="AY9" t="inlineStr">
        <is>
          <t>UL Listed</t>
        </is>
      </c>
      <c r="BC9" t="inlineStr">
        <is>
          <t>50"</t>
        </is>
      </c>
      <c r="BE9" t="inlineStr">
        <is>
          <t>Hammer</t>
        </is>
      </c>
      <c r="BF9" t="inlineStr">
        <is>
          <t>5 Years</t>
        </is>
      </c>
      <c r="BH9" t="inlineStr">
        <is>
          <t>5 Years</t>
        </is>
      </c>
    </row>
    <row r="10">
      <c r="C10" t="inlineStr">
        <is>
          <t>100</t>
        </is>
      </c>
      <c r="D10" t="inlineStr">
        <is>
          <t>192</t>
        </is>
      </c>
      <c r="F10" t="inlineStr">
        <is>
          <t>Acifluorfen sodium</t>
        </is>
      </c>
      <c r="H10" t="inlineStr">
        <is>
          <t>Angola</t>
        </is>
      </c>
      <c r="I10" t="inlineStr">
        <is>
          <t>Promotions</t>
        </is>
      </c>
      <c r="J10" t="inlineStr">
        <is>
          <t>AHAM CADR Pollen rating</t>
        </is>
      </c>
      <c r="L10" t="inlineStr">
        <is>
          <t>Spanish</t>
        </is>
      </c>
      <c r="N10" t="inlineStr">
        <is>
          <t>Demilune</t>
        </is>
      </c>
      <c r="O10" t="inlineStr">
        <is>
          <t>Bamboo</t>
        </is>
      </c>
      <c r="P10" t="inlineStr">
        <is>
          <t>Worn/Fade</t>
        </is>
      </c>
      <c r="U10" t="inlineStr">
        <is>
          <t>Dowel Joint</t>
        </is>
      </c>
      <c r="V10" t="inlineStr">
        <is>
          <t>Cherry</t>
        </is>
      </c>
      <c r="W10" t="inlineStr">
        <is>
          <t>Silver Oxide</t>
        </is>
      </c>
      <c r="Y10" t="inlineStr">
        <is>
          <t>4</t>
        </is>
      </c>
      <c r="AD10" t="inlineStr">
        <is>
          <t>Sweep / Dust Mop</t>
        </is>
      </c>
      <c r="AE10" t="inlineStr">
        <is>
          <t>Wood</t>
        </is>
      </c>
      <c r="AF10" t="inlineStr">
        <is>
          <t>Bronze</t>
        </is>
      </c>
      <c r="AG10" t="inlineStr">
        <is>
          <t>Wood Slide</t>
        </is>
      </c>
      <c r="AI10" t="inlineStr">
        <is>
          <t>Bio-Ethanol</t>
        </is>
      </c>
      <c r="AJ10" t="inlineStr">
        <is>
          <t>Contoured</t>
        </is>
      </c>
      <c r="AK10" t="inlineStr">
        <is>
          <t>Interior Shelves</t>
        </is>
      </c>
      <c r="AT10" t="inlineStr">
        <is>
          <t>UN3077</t>
        </is>
      </c>
      <c r="AU10" t="inlineStr">
        <is>
          <t>4.3</t>
        </is>
      </c>
      <c r="AW10" t="inlineStr">
        <is>
          <t>&gt;1kg - ≤5kg</t>
        </is>
      </c>
      <c r="AY10" t="inlineStr">
        <is>
          <t>cETL Listed</t>
        </is>
      </c>
      <c r="BC10" t="inlineStr">
        <is>
          <t>58"</t>
        </is>
      </c>
      <c r="BE10" t="inlineStr">
        <is>
          <t>Pliers</t>
        </is>
      </c>
      <c r="BF10" t="inlineStr">
        <is>
          <t>10 Years</t>
        </is>
      </c>
      <c r="BH10" t="inlineStr">
        <is>
          <t>10 Years</t>
        </is>
      </c>
    </row>
    <row r="11">
      <c r="C11" t="inlineStr">
        <is>
          <t>110</t>
        </is>
      </c>
      <c r="D11" t="inlineStr">
        <is>
          <t>216</t>
        </is>
      </c>
      <c r="F11" t="inlineStr">
        <is>
          <t>Acrylamide</t>
        </is>
      </c>
      <c r="H11" t="inlineStr">
        <is>
          <t>Anguilla</t>
        </is>
      </c>
      <c r="I11" t="inlineStr">
        <is>
          <t>Dimensions</t>
        </is>
      </c>
      <c r="J11" t="inlineStr">
        <is>
          <t>AHAM CADR Smoke rating</t>
        </is>
      </c>
      <c r="L11" t="inlineStr">
        <is>
          <t>Finnish</t>
        </is>
      </c>
      <c r="N11" t="inlineStr">
        <is>
          <t>Nesting</t>
        </is>
      </c>
      <c r="O11" t="inlineStr">
        <is>
          <t>Ceramic</t>
        </is>
      </c>
      <c r="P11" t="inlineStr">
        <is>
          <t>Wood Scoring &amp; Rub Through</t>
        </is>
      </c>
      <c r="U11" t="inlineStr">
        <is>
          <t>Half-Lap</t>
        </is>
      </c>
      <c r="V11" t="inlineStr">
        <is>
          <t>Elm</t>
        </is>
      </c>
      <c r="W11" t="inlineStr">
        <is>
          <t>Does Not Apply</t>
        </is>
      </c>
      <c r="Y11" t="inlineStr">
        <is>
          <t>9</t>
        </is>
      </c>
      <c r="AD11" t="inlineStr">
        <is>
          <t>Cut loose threads using a scissor</t>
        </is>
      </c>
      <c r="AE11" t="inlineStr">
        <is>
          <t>Clear Glass</t>
        </is>
      </c>
      <c r="AF11" t="inlineStr">
        <is>
          <t>Chrome</t>
        </is>
      </c>
      <c r="AG11" t="inlineStr">
        <is>
          <t>Center Slides</t>
        </is>
      </c>
      <c r="AI11" t="inlineStr">
        <is>
          <t>Propane</t>
        </is>
      </c>
      <c r="AJ11" t="inlineStr">
        <is>
          <t>Tinted</t>
        </is>
      </c>
      <c r="AK11" t="inlineStr">
        <is>
          <t>Media Storage</t>
        </is>
      </c>
      <c r="AT11" t="inlineStr">
        <is>
          <t>UN3480</t>
        </is>
      </c>
      <c r="AU11" t="inlineStr">
        <is>
          <t>4.2</t>
        </is>
      </c>
      <c r="AW11" t="inlineStr">
        <is>
          <t>&gt;5L</t>
        </is>
      </c>
      <c r="AY11" t="inlineStr">
        <is>
          <t>CSA Certified</t>
        </is>
      </c>
      <c r="BC11" t="inlineStr">
        <is>
          <t>65"</t>
        </is>
      </c>
      <c r="BE11" t="inlineStr">
        <is>
          <t>Ratchet</t>
        </is>
      </c>
      <c r="BF11" t="inlineStr">
        <is>
          <t>20 Years</t>
        </is>
      </c>
      <c r="BH11" t="inlineStr">
        <is>
          <t>20 Years</t>
        </is>
      </c>
    </row>
    <row r="12">
      <c r="C12" t="inlineStr">
        <is>
          <t>125</t>
        </is>
      </c>
      <c r="D12" t="inlineStr">
        <is>
          <t>240</t>
        </is>
      </c>
      <c r="F12" t="inlineStr">
        <is>
          <t>Acrylonitrile</t>
        </is>
      </c>
      <c r="H12" t="inlineStr">
        <is>
          <t>Antarctica</t>
        </is>
      </c>
      <c r="I12" t="inlineStr">
        <is>
          <t>Marketing Materials</t>
        </is>
      </c>
      <c r="J12" t="inlineStr">
        <is>
          <t>AHMA Certified</t>
        </is>
      </c>
      <c r="L12" t="inlineStr">
        <is>
          <t>French (Canada)</t>
        </is>
      </c>
      <c r="N12" t="inlineStr">
        <is>
          <t>Apothecary</t>
        </is>
      </c>
      <c r="O12" t="inlineStr">
        <is>
          <t>Faux Leather</t>
        </is>
      </c>
      <c r="P12" t="inlineStr">
        <is>
          <t>Unavailable</t>
        </is>
      </c>
      <c r="U12" t="inlineStr">
        <is>
          <t>Box</t>
        </is>
      </c>
      <c r="V12" t="inlineStr">
        <is>
          <t>Eucalyptus</t>
        </is>
      </c>
      <c r="Y12" t="inlineStr">
        <is>
          <t>Unavailable</t>
        </is>
      </c>
      <c r="AD12" t="inlineStr">
        <is>
          <t>Clean with soap and water</t>
        </is>
      </c>
      <c r="AE12" t="inlineStr">
        <is>
          <t>Stone</t>
        </is>
      </c>
      <c r="AF12" t="inlineStr">
        <is>
          <t>Oil Rubbed Bronze</t>
        </is>
      </c>
      <c r="AG12" t="inlineStr">
        <is>
          <t>Kenlin</t>
        </is>
      </c>
      <c r="AI12" t="inlineStr">
        <is>
          <t>Butane</t>
        </is>
      </c>
      <c r="AJ12" t="inlineStr">
        <is>
          <t>See Through</t>
        </is>
      </c>
      <c r="AK12" t="inlineStr">
        <is>
          <t>Pier / Bookcase</t>
        </is>
      </c>
      <c r="AT12" t="inlineStr">
        <is>
          <t>UN2857</t>
        </is>
      </c>
      <c r="AU12" t="inlineStr">
        <is>
          <t>5.1</t>
        </is>
      </c>
      <c r="AW12" t="inlineStr">
        <is>
          <t>&gt;5kg</t>
        </is>
      </c>
      <c r="AY12" t="inlineStr">
        <is>
          <t>SGS North America Listed</t>
        </is>
      </c>
      <c r="BC12" t="inlineStr">
        <is>
          <t>75"</t>
        </is>
      </c>
      <c r="BE12" t="inlineStr">
        <is>
          <t>Utility Saw</t>
        </is>
      </c>
      <c r="BF12" t="inlineStr">
        <is>
          <t>25 Years</t>
        </is>
      </c>
      <c r="BH12" t="inlineStr">
        <is>
          <t>25 Years</t>
        </is>
      </c>
    </row>
    <row r="13">
      <c r="C13" t="inlineStr">
        <is>
          <t>150</t>
        </is>
      </c>
      <c r="D13" t="inlineStr">
        <is>
          <t>360</t>
        </is>
      </c>
      <c r="F13" t="inlineStr">
        <is>
          <t>Actinomycin D</t>
        </is>
      </c>
      <c r="H13" t="inlineStr">
        <is>
          <t>Antigua and Barbuda</t>
        </is>
      </c>
      <c r="I13" t="inlineStr">
        <is>
          <t>Energy Guide</t>
        </is>
      </c>
      <c r="J13" t="inlineStr">
        <is>
          <t>AHMA Compliant</t>
        </is>
      </c>
      <c r="L13" t="inlineStr">
        <is>
          <t>Hungarian</t>
        </is>
      </c>
      <c r="N13" t="inlineStr">
        <is>
          <t>Multi-tiered</t>
        </is>
      </c>
      <c r="O13" t="inlineStr">
        <is>
          <t>Iron</t>
        </is>
      </c>
      <c r="U13" t="inlineStr">
        <is>
          <t>Lap</t>
        </is>
      </c>
      <c r="V13" t="inlineStr">
        <is>
          <t>Fir</t>
        </is>
      </c>
      <c r="Y13" t="inlineStr">
        <is>
          <t>Does Not Apply</t>
        </is>
      </c>
      <c r="AD13" t="inlineStr">
        <is>
          <t>Clean spills immediately</t>
        </is>
      </c>
      <c r="AE13" t="inlineStr">
        <is>
          <t>Glass</t>
        </is>
      </c>
      <c r="AF13" t="inlineStr">
        <is>
          <t>Matte Black</t>
        </is>
      </c>
      <c r="AG13" t="inlineStr">
        <is>
          <t>Side-Mounted Glides</t>
        </is>
      </c>
      <c r="AI13" t="inlineStr">
        <is>
          <t>Charcoal</t>
        </is>
      </c>
      <c r="AJ13" t="inlineStr">
        <is>
          <t>Double Pane</t>
        </is>
      </c>
      <c r="AK13" t="inlineStr">
        <is>
          <t>Sound Bar Shelf</t>
        </is>
      </c>
      <c r="AT13" t="inlineStr">
        <is>
          <t>UN3358</t>
        </is>
      </c>
      <c r="AU13" t="inlineStr">
        <is>
          <t>2.3</t>
        </is>
      </c>
      <c r="AW13" t="inlineStr">
        <is>
          <t>Does Not Apply</t>
        </is>
      </c>
      <c r="AY13" t="inlineStr">
        <is>
          <t>Does Not Apply</t>
        </is>
      </c>
      <c r="BC13" t="inlineStr">
        <is>
          <t>70"</t>
        </is>
      </c>
      <c r="BE13" t="inlineStr">
        <is>
          <t>Saw</t>
        </is>
      </c>
      <c r="BF13" t="inlineStr">
        <is>
          <t>Lifetime</t>
        </is>
      </c>
      <c r="BH13" t="inlineStr">
        <is>
          <t>Lifetime</t>
        </is>
      </c>
    </row>
    <row r="14">
      <c r="C14" t="inlineStr">
        <is>
          <t>175</t>
        </is>
      </c>
      <c r="D14" t="inlineStr">
        <is>
          <t>480</t>
        </is>
      </c>
      <c r="F14" t="inlineStr">
        <is>
          <t>AF-2;[2-(2-furyl)-3-(5-nitro-2-furyl)]acrylamide</t>
        </is>
      </c>
      <c r="H14" t="inlineStr">
        <is>
          <t>Argentina</t>
        </is>
      </c>
      <c r="I14" t="inlineStr">
        <is>
          <t>Other</t>
        </is>
      </c>
      <c r="J14" t="inlineStr">
        <is>
          <t>AHRI Certified</t>
        </is>
      </c>
      <c r="L14" t="inlineStr">
        <is>
          <t>Indonesian</t>
        </is>
      </c>
      <c r="N14" t="inlineStr">
        <is>
          <t>Floor</t>
        </is>
      </c>
      <c r="O14" t="inlineStr">
        <is>
          <t>Marble / Granite</t>
        </is>
      </c>
      <c r="U14" t="inlineStr">
        <is>
          <t>Double Dowelled</t>
        </is>
      </c>
      <c r="V14" t="inlineStr">
        <is>
          <t>Hickory</t>
        </is>
      </c>
      <c r="AD14" t="inlineStr">
        <is>
          <t>Dishwasher safe component</t>
        </is>
      </c>
      <c r="AE14" t="inlineStr">
        <is>
          <t>Melamine</t>
        </is>
      </c>
      <c r="AF14" t="inlineStr">
        <is>
          <t>Satin Nickel</t>
        </is>
      </c>
      <c r="AG14" t="inlineStr">
        <is>
          <t>Undermount Glides</t>
        </is>
      </c>
      <c r="AI14" t="inlineStr">
        <is>
          <t>Ethanol</t>
        </is>
      </c>
      <c r="AJ14" t="inlineStr">
        <is>
          <t>Does Not Apply</t>
        </is>
      </c>
      <c r="AK14" t="inlineStr">
        <is>
          <t>TV Anti-Tip Kit</t>
        </is>
      </c>
      <c r="AT14" t="inlineStr">
        <is>
          <t>UN3090</t>
        </is>
      </c>
      <c r="AU14" t="inlineStr">
        <is>
          <t>6.2</t>
        </is>
      </c>
      <c r="BC14" t="inlineStr">
        <is>
          <t>48"</t>
        </is>
      </c>
      <c r="BE14" t="inlineStr">
        <is>
          <t>Measuring Tape</t>
        </is>
      </c>
      <c r="BF14" t="inlineStr">
        <is>
          <t>15 Years</t>
        </is>
      </c>
      <c r="BH14" t="inlineStr">
        <is>
          <t>Warranty length varies by part</t>
        </is>
      </c>
    </row>
    <row r="15">
      <c r="C15" t="inlineStr">
        <is>
          <t>200</t>
        </is>
      </c>
      <c r="D15" t="inlineStr">
        <is>
          <t>600</t>
        </is>
      </c>
      <c r="F15" t="inlineStr">
        <is>
          <t>Aflatoxins</t>
        </is>
      </c>
      <c r="H15" t="inlineStr">
        <is>
          <t>Armenia</t>
        </is>
      </c>
      <c r="I15" t="inlineStr">
        <is>
          <t>Product Information Sheet</t>
        </is>
      </c>
      <c r="J15" t="inlineStr">
        <is>
          <t>ANSI A117.1 Compliant</t>
        </is>
      </c>
      <c r="L15" t="inlineStr">
        <is>
          <t>Icelandic</t>
        </is>
      </c>
      <c r="N15" t="inlineStr">
        <is>
          <t>Corner</t>
        </is>
      </c>
      <c r="O15" t="inlineStr">
        <is>
          <t>Metal</t>
        </is>
      </c>
      <c r="U15" t="inlineStr">
        <is>
          <t>Bridle</t>
        </is>
      </c>
      <c r="V15" t="inlineStr">
        <is>
          <t>Mahogany</t>
        </is>
      </c>
      <c r="AD15" t="inlineStr">
        <is>
          <t>Lay flat to dry</t>
        </is>
      </c>
      <c r="AE15" t="inlineStr">
        <is>
          <t>Aluminum</t>
        </is>
      </c>
      <c r="AF15" t="inlineStr">
        <is>
          <t>Brushed Nickel</t>
        </is>
      </c>
      <c r="AG15" t="inlineStr">
        <is>
          <t>Euro Glides</t>
        </is>
      </c>
      <c r="AI15" t="inlineStr">
        <is>
          <t>Alcohol</t>
        </is>
      </c>
      <c r="AK15" t="inlineStr">
        <is>
          <t>Wheels / Casters</t>
        </is>
      </c>
      <c r="AT15" t="inlineStr">
        <is>
          <t>UN1266</t>
        </is>
      </c>
      <c r="AU15" t="inlineStr">
        <is>
          <t>9</t>
        </is>
      </c>
      <c r="BC15" t="inlineStr">
        <is>
          <t>43"</t>
        </is>
      </c>
      <c r="BE15" t="inlineStr">
        <is>
          <t>Mallet</t>
        </is>
      </c>
      <c r="BF15" t="inlineStr">
        <is>
          <t>4 Years</t>
        </is>
      </c>
      <c r="BH15" t="inlineStr">
        <is>
          <t>15 Years</t>
        </is>
      </c>
    </row>
    <row r="16">
      <c r="C16" t="inlineStr">
        <is>
          <t>250</t>
        </is>
      </c>
      <c r="D16" t="inlineStr">
        <is>
          <t>720</t>
        </is>
      </c>
      <c r="F16" t="inlineStr">
        <is>
          <t>Alachlor</t>
        </is>
      </c>
      <c r="H16" t="inlineStr">
        <is>
          <t>Aruba</t>
        </is>
      </c>
      <c r="I16" t="inlineStr">
        <is>
          <t>Digital Law Label</t>
        </is>
      </c>
      <c r="J16" t="inlineStr">
        <is>
          <t>ANSI A137.1 Compliant</t>
        </is>
      </c>
      <c r="L16" t="inlineStr">
        <is>
          <t>Italian</t>
        </is>
      </c>
      <c r="N16" t="inlineStr">
        <is>
          <t>Basket Storage</t>
        </is>
      </c>
      <c r="O16" t="inlineStr">
        <is>
          <t>Plastic / Acrylic</t>
        </is>
      </c>
      <c r="U16" t="inlineStr">
        <is>
          <t>Halved</t>
        </is>
      </c>
      <c r="V16" t="inlineStr">
        <is>
          <t>Mango</t>
        </is>
      </c>
      <c r="AD16" t="inlineStr">
        <is>
          <t>Dryer safe</t>
        </is>
      </c>
      <c r="AE16" t="inlineStr">
        <is>
          <t>Acrylic</t>
        </is>
      </c>
      <c r="AF16" t="inlineStr">
        <is>
          <t>Antique Brass</t>
        </is>
      </c>
      <c r="AG16" t="inlineStr">
        <is>
          <t>Unavailable</t>
        </is>
      </c>
      <c r="AI16" t="inlineStr">
        <is>
          <t>Does Not Apply</t>
        </is>
      </c>
      <c r="AK16" t="inlineStr">
        <is>
          <t>Cabinets</t>
        </is>
      </c>
      <c r="AT16" t="inlineStr">
        <is>
          <t>UN1993</t>
        </is>
      </c>
      <c r="AU16" t="inlineStr">
        <is>
          <t>8</t>
        </is>
      </c>
      <c r="BC16" t="inlineStr">
        <is>
          <t>88"</t>
        </is>
      </c>
      <c r="BE16" t="inlineStr">
        <is>
          <t>Level</t>
        </is>
      </c>
      <c r="BF16" t="inlineStr">
        <is>
          <t>18 Months</t>
        </is>
      </c>
      <c r="BH16" t="inlineStr">
        <is>
          <t>18 Months</t>
        </is>
      </c>
    </row>
    <row r="17">
      <c r="C17" t="inlineStr">
        <is>
          <t>300</t>
        </is>
      </c>
      <c r="D17" t="inlineStr">
        <is>
          <t>840</t>
        </is>
      </c>
      <c r="F17" t="inlineStr">
        <is>
          <t>Alcoholic beverages, when associated with alcohol abuse</t>
        </is>
      </c>
      <c r="H17" t="inlineStr">
        <is>
          <t>Australia</t>
        </is>
      </c>
      <c r="J17" t="inlineStr">
        <is>
          <t>ANSI IT9.2 Compliant</t>
        </is>
      </c>
      <c r="L17" t="inlineStr">
        <is>
          <t>Japanese</t>
        </is>
      </c>
      <c r="N17" t="inlineStr">
        <is>
          <t>Tabletop</t>
        </is>
      </c>
      <c r="O17" t="inlineStr">
        <is>
          <t>Teak</t>
        </is>
      </c>
      <c r="U17" t="inlineStr">
        <is>
          <t>Corner Block Reinforced</t>
        </is>
      </c>
      <c r="V17" t="inlineStr">
        <is>
          <t>Maple</t>
        </is>
      </c>
      <c r="AD17" t="inlineStr">
        <is>
          <t>Warm wash</t>
        </is>
      </c>
      <c r="AE17" t="inlineStr">
        <is>
          <t>Resin</t>
        </is>
      </c>
      <c r="AF17" t="inlineStr">
        <is>
          <t>Antique Bronze</t>
        </is>
      </c>
      <c r="AG17" t="inlineStr">
        <is>
          <t>Does Not Apply</t>
        </is>
      </c>
      <c r="AK17" t="inlineStr">
        <is>
          <t>Unavailable</t>
        </is>
      </c>
      <c r="AT17" t="inlineStr">
        <is>
          <t>UN1944</t>
        </is>
      </c>
      <c r="AU17" t="inlineStr">
        <is>
          <t>Does Not Apply</t>
        </is>
      </c>
      <c r="BC17" t="inlineStr">
        <is>
          <t>60"</t>
        </is>
      </c>
      <c r="BE17" t="inlineStr">
        <is>
          <t>Box Cutter</t>
        </is>
      </c>
      <c r="BF17" t="inlineStr">
        <is>
          <t>6 Years</t>
        </is>
      </c>
      <c r="BH17" t="inlineStr">
        <is>
          <t>12 Years</t>
        </is>
      </c>
    </row>
    <row r="18">
      <c r="C18" t="inlineStr">
        <is>
          <t>400</t>
        </is>
      </c>
      <c r="D18" t="inlineStr">
        <is>
          <t>960</t>
        </is>
      </c>
      <c r="F18" t="inlineStr">
        <is>
          <t>Aldrin</t>
        </is>
      </c>
      <c r="H18" t="inlineStr">
        <is>
          <t>Austria</t>
        </is>
      </c>
      <c r="J18" t="inlineStr">
        <is>
          <t>ANSI Z1.5A/CGA 9.1M Certified</t>
        </is>
      </c>
      <c r="L18" t="inlineStr">
        <is>
          <t>Korean</t>
        </is>
      </c>
      <c r="N18" t="inlineStr">
        <is>
          <t>Hanging</t>
        </is>
      </c>
      <c r="O18" t="inlineStr">
        <is>
          <t>Solid + Manufactured Wood</t>
        </is>
      </c>
      <c r="U18" t="inlineStr">
        <is>
          <t>Miter</t>
        </is>
      </c>
      <c r="V18" t="inlineStr">
        <is>
          <t>Oak</t>
        </is>
      </c>
      <c r="AD18" t="inlineStr">
        <is>
          <t>Non-Abrasive, Neutral Ph Cleaner</t>
        </is>
      </c>
      <c r="AE18" t="inlineStr">
        <is>
          <t>Tinted Glass</t>
        </is>
      </c>
      <c r="AF18" t="inlineStr">
        <is>
          <t>Copper</t>
        </is>
      </c>
      <c r="AK18" t="inlineStr">
        <is>
          <t>Does Not Apply</t>
        </is>
      </c>
      <c r="AT18" t="inlineStr">
        <is>
          <t>UN1070</t>
        </is>
      </c>
      <c r="BC18" t="inlineStr">
        <is>
          <t>78"</t>
        </is>
      </c>
      <c r="BE18" t="inlineStr">
        <is>
          <t>Caulk / Adhesive</t>
        </is>
      </c>
      <c r="BF18" t="inlineStr">
        <is>
          <t>7 Years</t>
        </is>
      </c>
      <c r="BH18" t="inlineStr">
        <is>
          <t>6 Years</t>
        </is>
      </c>
    </row>
    <row r="19">
      <c r="C19" t="inlineStr">
        <is>
          <t>500</t>
        </is>
      </c>
      <c r="F19" t="inlineStr">
        <is>
          <t>All-trans retinoic acid</t>
        </is>
      </c>
      <c r="H19" t="inlineStr">
        <is>
          <t>Azerbaijan</t>
        </is>
      </c>
      <c r="J19" t="inlineStr">
        <is>
          <t>ANSI Z124.1.2 Compliant</t>
        </is>
      </c>
      <c r="L19" t="inlineStr">
        <is>
          <t>Norwegian (Bokmål)</t>
        </is>
      </c>
      <c r="N19" t="inlineStr">
        <is>
          <t>Bombe</t>
        </is>
      </c>
      <c r="O19" t="inlineStr">
        <is>
          <t>Steel</t>
        </is>
      </c>
      <c r="U19" t="inlineStr">
        <is>
          <t>Unavailable</t>
        </is>
      </c>
      <c r="V19" t="inlineStr">
        <is>
          <t>Pine</t>
        </is>
      </c>
      <c r="AD19" t="inlineStr">
        <is>
          <t>Commercial dishwasher safe</t>
        </is>
      </c>
      <c r="AE19" t="inlineStr">
        <is>
          <t>Laminate</t>
        </is>
      </c>
      <c r="AF19" t="inlineStr">
        <is>
          <t>Antique Copper</t>
        </is>
      </c>
      <c r="AT19" t="inlineStr">
        <is>
          <t>UN1044</t>
        </is>
      </c>
      <c r="BC19" t="inlineStr">
        <is>
          <t>85"</t>
        </is>
      </c>
      <c r="BE19" t="inlineStr">
        <is>
          <t>Anchors / Stakes</t>
        </is>
      </c>
      <c r="BF19" t="inlineStr">
        <is>
          <t>8 Years</t>
        </is>
      </c>
      <c r="BH19" t="inlineStr">
        <is>
          <t>4 Years</t>
        </is>
      </c>
    </row>
    <row r="20">
      <c r="F20" t="inlineStr">
        <is>
          <t>Aloe Vera, non-decolorized whole leaf extract</t>
        </is>
      </c>
      <c r="H20" t="inlineStr">
        <is>
          <t>Bahamas</t>
        </is>
      </c>
      <c r="J20" t="inlineStr">
        <is>
          <t>ANSI Z124.3 Compliant</t>
        </is>
      </c>
      <c r="L20" t="inlineStr">
        <is>
          <t>Dutch</t>
        </is>
      </c>
      <c r="N20" t="inlineStr">
        <is>
          <t>Etagere</t>
        </is>
      </c>
      <c r="O20" t="inlineStr">
        <is>
          <t>Solid Wood</t>
        </is>
      </c>
      <c r="U20" t="inlineStr">
        <is>
          <t>Does Not Apply</t>
        </is>
      </c>
      <c r="V20" t="inlineStr">
        <is>
          <t>Poplar</t>
        </is>
      </c>
      <c r="AD20" t="inlineStr">
        <is>
          <t>Vacuum with no beater bar/rotating brush</t>
        </is>
      </c>
      <c r="AE20" t="inlineStr">
        <is>
          <t>Metal</t>
        </is>
      </c>
      <c r="AF20" t="inlineStr">
        <is>
          <t>Brushed Brass</t>
        </is>
      </c>
      <c r="AT20" t="inlineStr">
        <is>
          <t>UN3163</t>
        </is>
      </c>
      <c r="BC20" t="inlineStr">
        <is>
          <t>77"</t>
        </is>
      </c>
      <c r="BE20" t="inlineStr">
        <is>
          <t>Clamps</t>
        </is>
      </c>
      <c r="BF20" t="inlineStr">
        <is>
          <t>9 Years</t>
        </is>
      </c>
      <c r="BH20" t="inlineStr">
        <is>
          <t>8 Years</t>
        </is>
      </c>
    </row>
    <row r="21">
      <c r="F21" t="inlineStr">
        <is>
          <t>Alprazolam</t>
        </is>
      </c>
      <c r="H21" t="inlineStr">
        <is>
          <t>Bahrain</t>
        </is>
      </c>
      <c r="J21" t="inlineStr">
        <is>
          <t>ANSI Z124.6-97 Compliant</t>
        </is>
      </c>
      <c r="L21" t="inlineStr">
        <is>
          <t>Polish</t>
        </is>
      </c>
      <c r="N21" t="inlineStr">
        <is>
          <t>Wall Mounted</t>
        </is>
      </c>
      <c r="O21" t="inlineStr">
        <is>
          <t>Wicker</t>
        </is>
      </c>
      <c r="V21" t="inlineStr">
        <is>
          <t>Rosewood</t>
        </is>
      </c>
      <c r="AD21" t="inlineStr">
        <is>
          <t>Air / Line Dry</t>
        </is>
      </c>
      <c r="AE21" t="inlineStr">
        <is>
          <t>Wire</t>
        </is>
      </c>
      <c r="AF21" t="inlineStr">
        <is>
          <t>Polished Brass</t>
        </is>
      </c>
      <c r="AT21" t="inlineStr">
        <is>
          <t>UN1268</t>
        </is>
      </c>
      <c r="BE21" t="inlineStr">
        <is>
          <t>Drill Bit</t>
        </is>
      </c>
      <c r="BF21" t="inlineStr">
        <is>
          <t>12 Years</t>
        </is>
      </c>
      <c r="BH21" t="inlineStr">
        <is>
          <t>7 Years</t>
        </is>
      </c>
    </row>
    <row r="22">
      <c r="F22" t="inlineStr">
        <is>
          <t>Amantadine hydrochloride</t>
        </is>
      </c>
      <c r="H22" t="inlineStr">
        <is>
          <t>Bangladesh</t>
        </is>
      </c>
      <c r="J22" t="inlineStr">
        <is>
          <t>ANSI Z21.11.2-2016 - Gas-Fired Unvented Room Heaters and Gas-Fired Unvented Decorative Room Heaters</t>
        </is>
      </c>
      <c r="L22" t="inlineStr">
        <is>
          <t>Portuguese</t>
        </is>
      </c>
      <c r="N22" t="inlineStr">
        <is>
          <t>Double Walled</t>
        </is>
      </c>
      <c r="O22" t="inlineStr">
        <is>
          <t>Reclaimed Wood</t>
        </is>
      </c>
      <c r="V22" t="inlineStr">
        <is>
          <t>Rubberwood</t>
        </is>
      </c>
      <c r="AD22" t="inlineStr">
        <is>
          <t>Professional / Dry Clean Recommended</t>
        </is>
      </c>
      <c r="AE22" t="inlineStr">
        <is>
          <t>Mirrored</t>
        </is>
      </c>
      <c r="AF22" t="inlineStr">
        <is>
          <t>Brass</t>
        </is>
      </c>
      <c r="AT22" t="inlineStr">
        <is>
          <t>UN1760</t>
        </is>
      </c>
      <c r="BE22" t="inlineStr">
        <is>
          <t>Gloves</t>
        </is>
      </c>
      <c r="BF22" t="inlineStr">
        <is>
          <t>11 Years</t>
        </is>
      </c>
      <c r="BH22" t="inlineStr">
        <is>
          <t>Does Not Apply</t>
        </is>
      </c>
    </row>
    <row r="23">
      <c r="F23" t="inlineStr">
        <is>
          <t>Amikacin sulfate</t>
        </is>
      </c>
      <c r="H23" t="inlineStr">
        <is>
          <t>Barbados</t>
        </is>
      </c>
      <c r="J23" t="inlineStr">
        <is>
          <t>ANSI Z21.50-2016/CSA 2.22-2016 - Standard for Vented Decorative Gas Appliances</t>
        </is>
      </c>
      <c r="L23" t="inlineStr">
        <is>
          <t>Romanian</t>
        </is>
      </c>
      <c r="N23" t="inlineStr">
        <is>
          <t>Console</t>
        </is>
      </c>
      <c r="V23" t="inlineStr">
        <is>
          <t>Sheesham</t>
        </is>
      </c>
      <c r="AD23" t="inlineStr">
        <is>
          <t>Wash With Garden Hose Or Pressure Washer</t>
        </is>
      </c>
      <c r="AE23" t="inlineStr">
        <is>
          <t>Plastic</t>
        </is>
      </c>
      <c r="AF23" t="inlineStr">
        <is>
          <t>Satin Brass</t>
        </is>
      </c>
      <c r="AT23" t="inlineStr">
        <is>
          <t>UN1011</t>
        </is>
      </c>
      <c r="BE23" t="inlineStr">
        <is>
          <t>Hex Key</t>
        </is>
      </c>
      <c r="BF23" t="inlineStr">
        <is>
          <t>13 Years</t>
        </is>
      </c>
    </row>
    <row r="24">
      <c r="F24" t="inlineStr">
        <is>
          <t>2-Aminoanthraquinone</t>
        </is>
      </c>
      <c r="H24" t="inlineStr">
        <is>
          <t>Belarus</t>
        </is>
      </c>
      <c r="J24" t="inlineStr">
        <is>
          <t>ANSI Z21.60-2017/CSA 2.26-2017- Standard for Decorative Gas Appliances</t>
        </is>
      </c>
      <c r="L24" t="inlineStr">
        <is>
          <t>Russian</t>
        </is>
      </c>
      <c r="N24" t="inlineStr">
        <is>
          <t>Pedestal</t>
        </is>
      </c>
      <c r="V24" t="inlineStr">
        <is>
          <t>Spruce</t>
        </is>
      </c>
      <c r="AD24" t="inlineStr">
        <is>
          <t>Machine washable components</t>
        </is>
      </c>
      <c r="AE24" t="inlineStr">
        <is>
          <t>Manufactured Wood</t>
        </is>
      </c>
      <c r="AF24" t="inlineStr">
        <is>
          <t>Brushed Gold</t>
        </is>
      </c>
      <c r="AT24" t="inlineStr">
        <is>
          <t>UN2794</t>
        </is>
      </c>
      <c r="BE24" t="inlineStr">
        <is>
          <t>Glass Cutter</t>
        </is>
      </c>
      <c r="BF24" t="inlineStr">
        <is>
          <t>14 Years</t>
        </is>
      </c>
    </row>
    <row r="25">
      <c r="F25" t="inlineStr">
        <is>
          <t>p-Aminoazobenzene</t>
        </is>
      </c>
      <c r="H25" t="inlineStr">
        <is>
          <t>Belgium</t>
        </is>
      </c>
      <c r="J25" t="inlineStr">
        <is>
          <t>ANSI Z21.84-2017 - Standard for Manually Lighted/ Natural Gas/ Decorative Gas Appliances</t>
        </is>
      </c>
      <c r="L25" t="inlineStr">
        <is>
          <t>Slovak</t>
        </is>
      </c>
      <c r="N25" t="inlineStr">
        <is>
          <t>Unavailable</t>
        </is>
      </c>
      <c r="V25" t="inlineStr">
        <is>
          <t>Teak</t>
        </is>
      </c>
      <c r="AD25" t="inlineStr">
        <is>
          <t>Professional / Dry Clean Only</t>
        </is>
      </c>
      <c r="AE25" t="inlineStr">
        <is>
          <t>Glass / Polycarbonate</t>
        </is>
      </c>
      <c r="AF25" t="inlineStr">
        <is>
          <t>Nickel</t>
        </is>
      </c>
      <c r="AT25" t="inlineStr">
        <is>
          <t>UN1759</t>
        </is>
      </c>
      <c r="BE25" t="inlineStr">
        <is>
          <t>Chop Saw</t>
        </is>
      </c>
      <c r="BF25" t="inlineStr">
        <is>
          <t>No Commercial Warranty</t>
        </is>
      </c>
    </row>
    <row r="26">
      <c r="F26" t="inlineStr">
        <is>
          <t>o-Aminoazotoluene</t>
        </is>
      </c>
      <c r="H26" t="inlineStr">
        <is>
          <t>Belize</t>
        </is>
      </c>
      <c r="J26" t="inlineStr">
        <is>
          <t>ANSI Z21.88-2017/CSA 2.33-2017- Standard for Vented Gas Fireplace Heaters</t>
        </is>
      </c>
      <c r="L26" t="inlineStr">
        <is>
          <t>Swedish</t>
        </is>
      </c>
      <c r="N26" t="inlineStr">
        <is>
          <t>Does Not Apply</t>
        </is>
      </c>
      <c r="V26" t="inlineStr">
        <is>
          <t>Walnut</t>
        </is>
      </c>
      <c r="AD26" t="inlineStr">
        <is>
          <t>Vacuum with upholstery attachment</t>
        </is>
      </c>
      <c r="AE26" t="inlineStr">
        <is>
          <t>Wicker</t>
        </is>
      </c>
      <c r="AF26" t="inlineStr">
        <is>
          <t>Ivory</t>
        </is>
      </c>
      <c r="AT26" t="inlineStr">
        <is>
          <t>UN3171</t>
        </is>
      </c>
      <c r="BE26" t="inlineStr">
        <is>
          <t>Circular Saw</t>
        </is>
      </c>
      <c r="BF26" t="inlineStr">
        <is>
          <t>Does Not Apply</t>
        </is>
      </c>
    </row>
    <row r="27">
      <c r="F27" t="inlineStr">
        <is>
          <t>4-Aminobiphenyl (4-aminodiphenyl)</t>
        </is>
      </c>
      <c r="H27" t="inlineStr">
        <is>
          <t>Benin</t>
        </is>
      </c>
      <c r="J27" t="inlineStr">
        <is>
          <t>ANSI Z358 Compliant</t>
        </is>
      </c>
      <c r="L27" t="inlineStr">
        <is>
          <t>Ukrainian</t>
        </is>
      </c>
      <c r="V27" t="inlineStr">
        <is>
          <t>Wenge</t>
        </is>
      </c>
      <c r="AD27" t="inlineStr">
        <is>
          <t>Vacuum with beater bar/rotating brush</t>
        </is>
      </c>
      <c r="AE27" t="inlineStr">
        <is>
          <t>Iron</t>
        </is>
      </c>
      <c r="AF27" t="inlineStr">
        <is>
          <t>Green</t>
        </is>
      </c>
      <c r="AT27" t="inlineStr">
        <is>
          <t>UN1987</t>
        </is>
      </c>
      <c r="BE27" t="inlineStr">
        <is>
          <t>Phillips Head Screwdriver</t>
        </is>
      </c>
    </row>
    <row r="28">
      <c r="F28" t="inlineStr">
        <is>
          <t>1-Amino-2,4-dibromoanthraquinone</t>
        </is>
      </c>
      <c r="H28" t="inlineStr">
        <is>
          <t>Bermuda</t>
        </is>
      </c>
      <c r="J28" t="inlineStr">
        <is>
          <t>ANSI/BHMA A156 Certified</t>
        </is>
      </c>
      <c r="L28" t="inlineStr">
        <is>
          <t>Vietnamese</t>
        </is>
      </c>
      <c r="V28" t="inlineStr">
        <is>
          <t>Pecan</t>
        </is>
      </c>
      <c r="AD28" t="inlineStr">
        <is>
          <t>Clean with bleach and water</t>
        </is>
      </c>
      <c r="AE28" t="inlineStr">
        <is>
          <t>Solid Wood</t>
        </is>
      </c>
      <c r="AF28" t="inlineStr">
        <is>
          <t>Orange</t>
        </is>
      </c>
      <c r="AT28" t="inlineStr">
        <is>
          <t>UN1263</t>
        </is>
      </c>
      <c r="BE28" t="inlineStr">
        <is>
          <t>Crescent Wrench</t>
        </is>
      </c>
    </row>
    <row r="29">
      <c r="F29" t="inlineStr">
        <is>
          <t>3-Amino-9-ethylcarbazole hydrochloride</t>
        </is>
      </c>
      <c r="H29" t="inlineStr">
        <is>
          <t>Bhutan</t>
        </is>
      </c>
      <c r="J29" t="inlineStr">
        <is>
          <t>ANSI/BIFMA M7.1 Standard Test Method for Determining VOC Emissions</t>
        </is>
      </c>
      <c r="L29" t="inlineStr">
        <is>
          <t>Chinese (S)</t>
        </is>
      </c>
      <c r="V29" t="inlineStr">
        <is>
          <t>Shorea</t>
        </is>
      </c>
      <c r="AD29" t="inlineStr">
        <is>
          <t>Use product specific cleaner</t>
        </is>
      </c>
      <c r="AE29" t="inlineStr">
        <is>
          <t>Granite</t>
        </is>
      </c>
      <c r="AF29" t="inlineStr">
        <is>
          <t>Beige</t>
        </is>
      </c>
      <c r="AT29" t="inlineStr">
        <is>
          <t>UN1170</t>
        </is>
      </c>
      <c r="BE29" t="inlineStr">
        <is>
          <t>Flat Screwdriver</t>
        </is>
      </c>
    </row>
    <row r="30">
      <c r="F30" t="inlineStr">
        <is>
          <t>2-Aminofluorene</t>
        </is>
      </c>
      <c r="H30" t="inlineStr">
        <is>
          <t>Bolivia</t>
        </is>
      </c>
      <c r="J30" t="inlineStr">
        <is>
          <t>ANSI/BIFMA X5.1 Office Seating</t>
        </is>
      </c>
      <c r="L30" t="inlineStr">
        <is>
          <t>Chinese (T)</t>
        </is>
      </c>
      <c r="V30" t="inlineStr">
        <is>
          <t>Paulownia</t>
        </is>
      </c>
      <c r="AD30" t="inlineStr">
        <is>
          <t>Oil / seal / treat regularly</t>
        </is>
      </c>
      <c r="AE30" t="inlineStr">
        <is>
          <t>Unavailable</t>
        </is>
      </c>
      <c r="AF30" t="inlineStr">
        <is>
          <t>Teal</t>
        </is>
      </c>
      <c r="AT30" t="inlineStr">
        <is>
          <t>UN3265</t>
        </is>
      </c>
      <c r="BE30" t="inlineStr">
        <is>
          <t>Adhesive Roller / Tray</t>
        </is>
      </c>
    </row>
    <row r="31">
      <c r="F31" t="inlineStr">
        <is>
          <t>Aminoglutethimide</t>
        </is>
      </c>
      <c r="H31" t="inlineStr">
        <is>
          <t>Bosnia and Herzegovina</t>
        </is>
      </c>
      <c r="J31" t="inlineStr">
        <is>
          <t>ANSI/BIFMA X5.11 Large Occupant Office Seating</t>
        </is>
      </c>
      <c r="V31" t="inlineStr">
        <is>
          <t>Chestnut</t>
        </is>
      </c>
      <c r="AD31" t="inlineStr">
        <is>
          <t>Shake to remove dust</t>
        </is>
      </c>
      <c r="AE31" t="inlineStr">
        <is>
          <t>Does Not Apply</t>
        </is>
      </c>
      <c r="AF31" t="inlineStr">
        <is>
          <t>Red</t>
        </is>
      </c>
      <c r="AT31" t="inlineStr">
        <is>
          <t>UN3260</t>
        </is>
      </c>
      <c r="BE31" t="inlineStr">
        <is>
          <t>Shovel</t>
        </is>
      </c>
    </row>
    <row r="32">
      <c r="F32" t="inlineStr">
        <is>
          <t>Aminoglycosides</t>
        </is>
      </c>
      <c r="H32" t="inlineStr">
        <is>
          <t>Botswana</t>
        </is>
      </c>
      <c r="J32" t="inlineStr">
        <is>
          <t>ANSI/BIFMA X5.3 Vertical Files</t>
        </is>
      </c>
      <c r="V32" t="inlineStr">
        <is>
          <t>Hemlock</t>
        </is>
      </c>
      <c r="AD32" t="inlineStr">
        <is>
          <t>Tumble dry</t>
        </is>
      </c>
      <c r="AF32" t="inlineStr">
        <is>
          <t>Satin</t>
        </is>
      </c>
      <c r="AT32" t="inlineStr">
        <is>
          <t>UN3215</t>
        </is>
      </c>
      <c r="BE32" t="inlineStr">
        <is>
          <t>Drill</t>
        </is>
      </c>
    </row>
    <row r="33">
      <c r="F33" t="inlineStr">
        <is>
          <t>1-Amino-2-methylanthraquinone</t>
        </is>
      </c>
      <c r="H33" t="inlineStr">
        <is>
          <t>Bouvet Island</t>
        </is>
      </c>
      <c r="J33" t="inlineStr">
        <is>
          <t>ANSI/BIFMA X5.4 Lounge &amp; Public Seating</t>
        </is>
      </c>
      <c r="V33" t="inlineStr">
        <is>
          <t>Aspen</t>
        </is>
      </c>
      <c r="AD33" t="inlineStr">
        <is>
          <t>Iron safe</t>
        </is>
      </c>
      <c r="AF33" t="inlineStr">
        <is>
          <t>Yellow</t>
        </is>
      </c>
      <c r="AT33" t="inlineStr">
        <is>
          <t>UN1006</t>
        </is>
      </c>
      <c r="BE33" t="inlineStr">
        <is>
          <t>Smoother / Squeegee</t>
        </is>
      </c>
    </row>
    <row r="34">
      <c r="F34" t="inlineStr">
        <is>
          <t>2-Amino-5-(5-nitro-2-furyl)-1,3,4-thiadiazole</t>
        </is>
      </c>
      <c r="H34" t="inlineStr">
        <is>
          <t>Brazil</t>
        </is>
      </c>
      <c r="J34" t="inlineStr">
        <is>
          <t>ANSI/BIFMA X5.5 Desk Products</t>
        </is>
      </c>
      <c r="V34" t="inlineStr">
        <is>
          <t>Mindi</t>
        </is>
      </c>
      <c r="AD34" t="inlineStr">
        <is>
          <t>Wipe clean with a dry cloth</t>
        </is>
      </c>
      <c r="AF34" t="inlineStr">
        <is>
          <t>Pink</t>
        </is>
      </c>
      <c r="AT34" t="inlineStr">
        <is>
          <t>UN3175</t>
        </is>
      </c>
      <c r="BE34" t="inlineStr">
        <is>
          <t>Ladder</t>
        </is>
      </c>
    </row>
    <row r="35">
      <c r="F35" t="inlineStr">
        <is>
          <t>4-Amino-2-nitrophenol</t>
        </is>
      </c>
      <c r="H35" t="inlineStr">
        <is>
          <t>British Indian Ocean Territory</t>
        </is>
      </c>
      <c r="J35" t="inlineStr">
        <is>
          <t>ANSI/BIFMA X5.6 Panel Systems</t>
        </is>
      </c>
      <c r="V35" t="inlineStr">
        <is>
          <t>Ipe</t>
        </is>
      </c>
      <c r="AD35" t="inlineStr">
        <is>
          <t>Cover when not in use</t>
        </is>
      </c>
      <c r="AF35" t="inlineStr">
        <is>
          <t>White</t>
        </is>
      </c>
      <c r="AT35" t="inlineStr">
        <is>
          <t>Does Not Apply</t>
        </is>
      </c>
      <c r="BE35" t="inlineStr">
        <is>
          <t>Wire Stripper</t>
        </is>
      </c>
    </row>
    <row r="36">
      <c r="F36" t="inlineStr">
        <is>
          <t>Aminopterin</t>
        </is>
      </c>
      <c r="H36" t="inlineStr">
        <is>
          <t>Brunei Darussalam</t>
        </is>
      </c>
      <c r="J36" t="inlineStr">
        <is>
          <t>ANSI/BIFMA X5.9 Storage</t>
        </is>
      </c>
      <c r="V36" t="inlineStr">
        <is>
          <t>Olive</t>
        </is>
      </c>
      <c r="AD36" t="inlineStr">
        <is>
          <t>Avoid use of abrasive cleaners</t>
        </is>
      </c>
      <c r="AF36" t="inlineStr">
        <is>
          <t>Brown</t>
        </is>
      </c>
      <c r="BE36" t="inlineStr">
        <is>
          <t>Razor Knife</t>
        </is>
      </c>
    </row>
    <row r="37">
      <c r="F37" t="inlineStr">
        <is>
          <t>Amiodarone hydrochloride</t>
        </is>
      </c>
      <c r="H37" t="inlineStr">
        <is>
          <t>Bulgaria</t>
        </is>
      </c>
      <c r="J37" t="inlineStr">
        <is>
          <t>ANSI/BIFMA X6.1 Educational Seating</t>
        </is>
      </c>
      <c r="V37" t="inlineStr">
        <is>
          <t>Ajo</t>
        </is>
      </c>
      <c r="AD37" t="inlineStr">
        <is>
          <t>Tile specific cleaner</t>
        </is>
      </c>
      <c r="AF37" t="inlineStr">
        <is>
          <t>Blue</t>
        </is>
      </c>
      <c r="BE37" t="inlineStr">
        <is>
          <t>Pencil</t>
        </is>
      </c>
    </row>
    <row r="38">
      <c r="F38" t="inlineStr">
        <is>
          <t>Amitraz</t>
        </is>
      </c>
      <c r="H38" t="inlineStr">
        <is>
          <t>Burkina Faso</t>
        </is>
      </c>
      <c r="J38" t="inlineStr">
        <is>
          <t>ANSI/BIFMA X7.1 Standard for Formaldehyde &amp; TVOC Emissions</t>
        </is>
      </c>
      <c r="V38" t="inlineStr">
        <is>
          <t>Agarwood</t>
        </is>
      </c>
      <c r="AD38" t="inlineStr">
        <is>
          <t>Do not wash</t>
        </is>
      </c>
      <c r="AF38" t="inlineStr">
        <is>
          <t>Satin Black</t>
        </is>
      </c>
      <c r="BE38" t="inlineStr">
        <is>
          <t>Electric Drill</t>
        </is>
      </c>
    </row>
    <row r="39">
      <c r="F39" t="inlineStr">
        <is>
          <t>Amitrole</t>
        </is>
      </c>
      <c r="H39" t="inlineStr">
        <is>
          <t>Burundi</t>
        </is>
      </c>
      <c r="J39" t="inlineStr">
        <is>
          <t>ANSI/ESD S20.20 Certified</t>
        </is>
      </c>
      <c r="V39" t="inlineStr">
        <is>
          <t>Afzelia</t>
        </is>
      </c>
      <c r="AD39" t="inlineStr">
        <is>
          <t>Dust mop</t>
        </is>
      </c>
      <c r="AF39" t="inlineStr">
        <is>
          <t>Rose Gold</t>
        </is>
      </c>
      <c r="BE39" t="inlineStr">
        <is>
          <t>Screw Gun</t>
        </is>
      </c>
    </row>
    <row r="40">
      <c r="F40" t="inlineStr">
        <is>
          <t>Amoxapine</t>
        </is>
      </c>
      <c r="H40" t="inlineStr">
        <is>
          <t>Cambodia</t>
        </is>
      </c>
      <c r="J40" t="inlineStr">
        <is>
          <t>ANSI/NISO Z39.48 Compliant</t>
        </is>
      </c>
      <c r="V40" t="inlineStr">
        <is>
          <t>Afrormosia</t>
        </is>
      </c>
      <c r="AD40" t="inlineStr">
        <is>
          <t>Hose down</t>
        </is>
      </c>
      <c r="AF40" t="inlineStr">
        <is>
          <t>Navy</t>
        </is>
      </c>
      <c r="BE40" t="inlineStr">
        <is>
          <t>Scissors</t>
        </is>
      </c>
    </row>
    <row r="41">
      <c r="F41" t="inlineStr">
        <is>
          <t>Amsacrine</t>
        </is>
      </c>
      <c r="H41" t="inlineStr">
        <is>
          <t>Cameroon</t>
        </is>
      </c>
      <c r="J41" t="inlineStr">
        <is>
          <t>ANSI/SOHO S6.5 Small Office/Home Office</t>
        </is>
      </c>
      <c r="V41" t="inlineStr">
        <is>
          <t>Bubinga</t>
        </is>
      </c>
      <c r="AD41" t="inlineStr">
        <is>
          <t>Towel dry immediately</t>
        </is>
      </c>
      <c r="AF41" t="inlineStr">
        <is>
          <t>Black</t>
        </is>
      </c>
      <c r="BE41" t="inlineStr">
        <is>
          <t>Ruler</t>
        </is>
      </c>
    </row>
    <row r="42">
      <c r="F42" t="inlineStr">
        <is>
          <t>Analgesic mixtures containing Phenacetin</t>
        </is>
      </c>
      <c r="H42" t="inlineStr">
        <is>
          <t>Cape Verde</t>
        </is>
      </c>
      <c r="J42" t="inlineStr">
        <is>
          <t>APMA Certified</t>
        </is>
      </c>
      <c r="V42" t="inlineStr">
        <is>
          <t>Brazilwood</t>
        </is>
      </c>
      <c r="AD42" t="inlineStr">
        <is>
          <t>Household floor cleaner</t>
        </is>
      </c>
      <c r="AF42" t="inlineStr">
        <is>
          <t>Tan</t>
        </is>
      </c>
      <c r="BE42" t="inlineStr">
        <is>
          <t>Safety Glasses</t>
        </is>
      </c>
    </row>
    <row r="43">
      <c r="F43" t="inlineStr">
        <is>
          <t>Androstenedione</t>
        </is>
      </c>
      <c r="H43" t="inlineStr">
        <is>
          <t>Cayman Islands</t>
        </is>
      </c>
      <c r="J43" t="inlineStr">
        <is>
          <t>ASHRAE 62.2 Standard Compliant</t>
        </is>
      </c>
      <c r="V43" t="inlineStr">
        <is>
          <t>Cumaru</t>
        </is>
      </c>
      <c r="AD43" t="inlineStr">
        <is>
          <t>Spot clean</t>
        </is>
      </c>
      <c r="AF43" t="inlineStr">
        <is>
          <t>Gray</t>
        </is>
      </c>
      <c r="BE43" t="inlineStr">
        <is>
          <t>Utility Knife</t>
        </is>
      </c>
    </row>
    <row r="44">
      <c r="F44" t="inlineStr">
        <is>
          <t>Angiotensin converting enzyme  (ACE) inhibitors</t>
        </is>
      </c>
      <c r="H44" t="inlineStr">
        <is>
          <t>Central African Republic</t>
        </is>
      </c>
      <c r="J44" t="inlineStr">
        <is>
          <t>ASME A112.18.1 Compliant</t>
        </is>
      </c>
      <c r="V44" t="inlineStr">
        <is>
          <t>Cedar, Mulanje</t>
        </is>
      </c>
      <c r="AD44" t="inlineStr">
        <is>
          <t>Wipe with wet cloth</t>
        </is>
      </c>
      <c r="AF44" t="inlineStr">
        <is>
          <t>Brown Wood</t>
        </is>
      </c>
      <c r="BE44" t="inlineStr">
        <is>
          <t>Rope</t>
        </is>
      </c>
    </row>
    <row r="45">
      <c r="F45" t="inlineStr">
        <is>
          <t>Aniline</t>
        </is>
      </c>
      <c r="H45" t="inlineStr">
        <is>
          <t>Chad</t>
        </is>
      </c>
      <c r="J45" t="inlineStr">
        <is>
          <t>ASME A112.18.2 Compliant</t>
        </is>
      </c>
      <c r="V45" t="inlineStr">
        <is>
          <t>Cedar, Spanish</t>
        </is>
      </c>
      <c r="AD45" t="inlineStr">
        <is>
          <t>Spot clean with water</t>
        </is>
      </c>
      <c r="AF45" t="inlineStr">
        <is>
          <t>Dark Brown Wood</t>
        </is>
      </c>
      <c r="BE45" t="inlineStr">
        <is>
          <t>Ear Protection</t>
        </is>
      </c>
    </row>
    <row r="46">
      <c r="F46" t="inlineStr">
        <is>
          <t>Aniline hydrochloride</t>
        </is>
      </c>
      <c r="H46" t="inlineStr">
        <is>
          <t>Chile</t>
        </is>
      </c>
      <c r="J46" t="inlineStr">
        <is>
          <t>ASME A112.19.1 Compliant</t>
        </is>
      </c>
      <c r="V46" t="inlineStr">
        <is>
          <t>Aloewood</t>
        </is>
      </c>
      <c r="AD46" t="inlineStr">
        <is>
          <t>When cushions are wet, open cushion zippers and prop up to dry in order to maintain quality</t>
        </is>
      </c>
      <c r="AF46" t="inlineStr">
        <is>
          <t>Medium Yellow Wood</t>
        </is>
      </c>
      <c r="BE46" t="inlineStr">
        <is>
          <t>Stud Finder</t>
        </is>
      </c>
    </row>
    <row r="47">
      <c r="F47" t="inlineStr">
        <is>
          <t>o-Anisidine</t>
        </is>
      </c>
      <c r="H47" t="inlineStr">
        <is>
          <t>China</t>
        </is>
      </c>
      <c r="J47" t="inlineStr">
        <is>
          <t>ASME A112.19.2 Compliant</t>
        </is>
      </c>
      <c r="V47" t="inlineStr">
        <is>
          <t>Lignum vitae</t>
        </is>
      </c>
      <c r="AD47" t="inlineStr">
        <is>
          <t>Oil 1-2 times per year</t>
        </is>
      </c>
      <c r="AF47" t="inlineStr">
        <is>
          <t>Espresso Wood</t>
        </is>
      </c>
      <c r="BE47" t="inlineStr">
        <is>
          <t>Wrench</t>
        </is>
      </c>
    </row>
    <row r="48">
      <c r="F48" t="inlineStr">
        <is>
          <t>o-Anisidine hydrochloride</t>
        </is>
      </c>
      <c r="H48" t="inlineStr">
        <is>
          <t>Christmas Island</t>
        </is>
      </c>
      <c r="J48" t="inlineStr">
        <is>
          <t>ASME A112.19.3 Compliant</t>
        </is>
      </c>
      <c r="V48" t="inlineStr">
        <is>
          <t>Mahogany, African</t>
        </is>
      </c>
      <c r="AD48" t="inlineStr">
        <is>
          <t>No washing / drying care</t>
        </is>
      </c>
      <c r="AF48" t="inlineStr">
        <is>
          <t>Medium Wood</t>
        </is>
      </c>
      <c r="BE48" t="inlineStr">
        <is>
          <t>Tape Measure</t>
        </is>
      </c>
    </row>
    <row r="49">
      <c r="F49" t="inlineStr">
        <is>
          <t>Anisindione</t>
        </is>
      </c>
      <c r="H49" t="inlineStr">
        <is>
          <t>Cocos (Keeling) Islands</t>
        </is>
      </c>
      <c r="J49" t="inlineStr">
        <is>
          <t>ASP:02:01 Certification</t>
        </is>
      </c>
      <c r="V49" t="inlineStr">
        <is>
          <t>Mahogany, Mexican</t>
        </is>
      </c>
      <c r="AD49" t="inlineStr">
        <is>
          <t>Do not bleach</t>
        </is>
      </c>
      <c r="AF49" t="inlineStr">
        <is>
          <t>Red Wood</t>
        </is>
      </c>
      <c r="BE49" t="inlineStr">
        <is>
          <t>Screws</t>
        </is>
      </c>
    </row>
    <row r="50">
      <c r="F50" t="inlineStr">
        <is>
          <t>Anthraquinone</t>
        </is>
      </c>
      <c r="H50" t="inlineStr">
        <is>
          <t>Colombia</t>
        </is>
      </c>
      <c r="J50" t="inlineStr">
        <is>
          <t>ASSE 1001 Certified</t>
        </is>
      </c>
      <c r="V50" t="inlineStr">
        <is>
          <t>Padauk, African</t>
        </is>
      </c>
      <c r="AD50" t="inlineStr">
        <is>
          <t>Treat with wood protector</t>
        </is>
      </c>
      <c r="AF50" t="inlineStr">
        <is>
          <t>Beige Wood</t>
        </is>
      </c>
      <c r="BE50" t="inlineStr">
        <is>
          <t>Wire Cap</t>
        </is>
      </c>
    </row>
    <row r="51">
      <c r="F51" t="inlineStr">
        <is>
          <t>Antimony oxide (Antimony trioxide)</t>
        </is>
      </c>
      <c r="H51" t="inlineStr">
        <is>
          <t>Comoros</t>
        </is>
      </c>
      <c r="J51" t="inlineStr">
        <is>
          <t>ASSE 1006 Certified</t>
        </is>
      </c>
      <c r="V51" t="inlineStr">
        <is>
          <t>Macacauba</t>
        </is>
      </c>
      <c r="AD51" t="inlineStr">
        <is>
          <t>Do not dry clean</t>
        </is>
      </c>
      <c r="AF51" t="inlineStr">
        <is>
          <t>Natural Wood</t>
        </is>
      </c>
      <c r="BE51" t="inlineStr">
        <is>
          <t>Hammer / Mallet</t>
        </is>
      </c>
    </row>
    <row r="52">
      <c r="F52" t="inlineStr">
        <is>
          <t>Aramite</t>
        </is>
      </c>
      <c r="H52" t="inlineStr">
        <is>
          <t>Congo</t>
        </is>
      </c>
      <c r="J52" t="inlineStr">
        <is>
          <t>ASSE 1016 Certified</t>
        </is>
      </c>
      <c r="V52" t="inlineStr">
        <is>
          <t>Ebony, Madagascar</t>
        </is>
      </c>
      <c r="AD52" t="inlineStr">
        <is>
          <t>Clean with diluted vinegar and water</t>
        </is>
      </c>
      <c r="AF52" t="inlineStr">
        <is>
          <t>Gray Wood</t>
        </is>
      </c>
      <c r="BE52" t="inlineStr">
        <is>
          <t>Chalk Line</t>
        </is>
      </c>
    </row>
    <row r="53">
      <c r="F53" t="inlineStr">
        <is>
          <t>Areca nut</t>
        </is>
      </c>
      <c r="H53" t="inlineStr">
        <is>
          <t>Congo, The Democratic Republic of the</t>
        </is>
      </c>
      <c r="J53" t="inlineStr">
        <is>
          <t>ASTM 1821-19</t>
        </is>
      </c>
      <c r="V53" t="inlineStr">
        <is>
          <t>Lignum vitae, Argentine</t>
        </is>
      </c>
      <c r="AD53" t="inlineStr">
        <is>
          <t>Store indoors or cover when not in use</t>
        </is>
      </c>
      <c r="AF53" t="inlineStr">
        <is>
          <t>Light Yellow Wood</t>
        </is>
      </c>
      <c r="BE53" t="inlineStr">
        <is>
          <t>Landscaping Fabric</t>
        </is>
      </c>
    </row>
    <row r="54">
      <c r="F54" t="inlineStr">
        <is>
          <t>Aristolochic acids</t>
        </is>
      </c>
      <c r="H54" t="inlineStr">
        <is>
          <t>Cook Islands</t>
        </is>
      </c>
      <c r="J54" t="inlineStr">
        <is>
          <t>ASTM E1590-07 Compliant</t>
        </is>
      </c>
      <c r="V54" t="inlineStr">
        <is>
          <t>Gavilan</t>
        </is>
      </c>
      <c r="AD54" t="inlineStr">
        <is>
          <t>Use carpet cleaner</t>
        </is>
      </c>
      <c r="AF54" t="inlineStr">
        <is>
          <t>White Wood</t>
        </is>
      </c>
      <c r="BE54" t="inlineStr">
        <is>
          <t>No Tools Needed</t>
        </is>
      </c>
    </row>
    <row r="55">
      <c r="F55" t="inlineStr">
        <is>
          <t>Arsenic (inorganic arsenic compounds)</t>
        </is>
      </c>
      <c r="H55" t="inlineStr">
        <is>
          <t>Costa Rica</t>
        </is>
      </c>
      <c r="J55" t="inlineStr">
        <is>
          <t>ASTM F1004-19 Certified</t>
        </is>
      </c>
      <c r="V55" t="inlineStr">
        <is>
          <t>Mahogany, Honduran</t>
        </is>
      </c>
      <c r="AD55" t="inlineStr">
        <is>
          <t>Air dry cushions covers</t>
        </is>
      </c>
      <c r="AF55" t="inlineStr">
        <is>
          <t>Oak Wood</t>
        </is>
      </c>
      <c r="BE55" t="inlineStr">
        <is>
          <t>Tile Cutter</t>
        </is>
      </c>
    </row>
    <row r="56">
      <c r="F56" t="inlineStr">
        <is>
          <t>Arsenic (inorganic oxides)</t>
        </is>
      </c>
      <c r="H56" t="inlineStr">
        <is>
          <t>Côte D'Ivoire</t>
        </is>
      </c>
      <c r="J56" t="inlineStr">
        <is>
          <t>ASTM F1148-17 Compliant</t>
        </is>
      </c>
      <c r="V56" t="inlineStr">
        <is>
          <t>Mahogany, Cuban</t>
        </is>
      </c>
      <c r="AD56" t="inlineStr">
        <is>
          <t>Do not use bleach or bleach solutions</t>
        </is>
      </c>
      <c r="BE56" t="inlineStr">
        <is>
          <t>Straight Edge</t>
        </is>
      </c>
    </row>
    <row r="57">
      <c r="F57" t="inlineStr">
        <is>
          <t>Asbestos</t>
        </is>
      </c>
      <c r="H57" t="inlineStr">
        <is>
          <t>Croatia</t>
        </is>
      </c>
      <c r="J57" t="inlineStr">
        <is>
          <t>ASTM F1148-18 Compliant</t>
        </is>
      </c>
      <c r="V57" t="inlineStr">
        <is>
          <t>Stinkwood, red</t>
        </is>
      </c>
      <c r="AD57" t="inlineStr">
        <is>
          <t>Rinse with water only</t>
        </is>
      </c>
      <c r="BE57" t="inlineStr">
        <is>
          <t>Silicone</t>
        </is>
      </c>
    </row>
    <row r="58">
      <c r="F58" t="inlineStr">
        <is>
          <t>Aspirin (NOTE: It is especially important not to use aspirin during the last three months of pregnancy, unless specifically directed to do so by a physician because it may cause problems in the unborn child or complications during delivery.)</t>
        </is>
      </c>
      <c r="H58" t="inlineStr">
        <is>
          <t>Cuba</t>
        </is>
      </c>
      <c r="J58" t="inlineStr">
        <is>
          <t>ASTM F1148-18 Certified</t>
        </is>
      </c>
      <c r="V58" t="inlineStr">
        <is>
          <t>Yew, Chinese</t>
        </is>
      </c>
      <c r="AD58" t="inlineStr">
        <is>
          <t>Dishwasher safe removable parts</t>
        </is>
      </c>
      <c r="BE58" t="inlineStr">
        <is>
          <t>Wet Saw</t>
        </is>
      </c>
    </row>
    <row r="59">
      <c r="F59" t="inlineStr">
        <is>
          <t>Atenolol</t>
        </is>
      </c>
      <c r="H59" t="inlineStr">
        <is>
          <t>Cyprus</t>
        </is>
      </c>
      <c r="J59" t="inlineStr">
        <is>
          <t>ASTM F1169 - 13 Compliant</t>
        </is>
      </c>
      <c r="V59" t="inlineStr">
        <is>
          <t>Pau rosa, Brazilian</t>
        </is>
      </c>
      <c r="AD59" t="inlineStr">
        <is>
          <t>Clean and re-seal with natural stone sealant</t>
        </is>
      </c>
      <c r="BE59" t="inlineStr">
        <is>
          <t>Torx Bit</t>
        </is>
      </c>
    </row>
    <row r="60">
      <c r="F60" t="inlineStr">
        <is>
          <t>Atrazine</t>
        </is>
      </c>
      <c r="H60" t="inlineStr">
        <is>
          <t>Czech Republic</t>
        </is>
      </c>
      <c r="J60" t="inlineStr">
        <is>
          <t>ASTM F1487-17 Compliant</t>
        </is>
      </c>
      <c r="V60" t="inlineStr">
        <is>
          <t>Sandalwood, East African</t>
        </is>
      </c>
      <c r="AD60" t="inlineStr">
        <is>
          <t>To prevent oil stains wipe with a damp cloth before using</t>
        </is>
      </c>
      <c r="BE60" t="inlineStr">
        <is>
          <t>Unavailable</t>
        </is>
      </c>
    </row>
    <row r="61">
      <c r="F61" t="inlineStr">
        <is>
          <t>Auramine</t>
        </is>
      </c>
      <c r="H61" t="inlineStr">
        <is>
          <t>Denmark</t>
        </is>
      </c>
      <c r="J61" t="inlineStr">
        <is>
          <t>ASTM F1821 - 16 Compliant</t>
        </is>
      </c>
      <c r="V61" t="inlineStr">
        <is>
          <t>Ramin</t>
        </is>
      </c>
      <c r="AD61" t="inlineStr">
        <is>
          <t>After cleaning, use sealant</t>
        </is>
      </c>
      <c r="BE61" t="inlineStr">
        <is>
          <t>Does Not Apply</t>
        </is>
      </c>
    </row>
    <row r="62">
      <c r="F62" t="inlineStr">
        <is>
          <t>Auranofin</t>
        </is>
      </c>
      <c r="H62" t="inlineStr">
        <is>
          <t>Djibouti</t>
        </is>
      </c>
      <c r="J62" t="inlineStr">
        <is>
          <t>ASTM F1912-17 Compliant</t>
        </is>
      </c>
      <c r="V62" t="inlineStr">
        <is>
          <t>Zitan</t>
        </is>
      </c>
      <c r="AD62" t="inlineStr">
        <is>
          <t>Apply oil to maintain color and prolong durability</t>
        </is>
      </c>
    </row>
    <row r="63">
      <c r="F63" t="inlineStr">
        <is>
          <t>Avermectin B1 (Abamectin)</t>
        </is>
      </c>
      <c r="H63" t="inlineStr">
        <is>
          <t>Dominica</t>
        </is>
      </c>
      <c r="J63" t="inlineStr">
        <is>
          <t>ASTM F1917 - 12 Compliant</t>
        </is>
      </c>
      <c r="V63" t="inlineStr">
        <is>
          <t>Yew, Himalayan</t>
        </is>
      </c>
      <c r="AD63" t="inlineStr">
        <is>
          <t>Vacuum</t>
        </is>
      </c>
    </row>
    <row r="64">
      <c r="F64" t="inlineStr">
        <is>
          <t>Azacitidine</t>
        </is>
      </c>
      <c r="H64" t="inlineStr">
        <is>
          <t>Dominican Republic</t>
        </is>
      </c>
      <c r="J64" t="inlineStr">
        <is>
          <t>ASTM F2057 - 14</t>
        </is>
      </c>
      <c r="V64" t="inlineStr">
        <is>
          <t>Yew, Japanese</t>
        </is>
      </c>
      <c r="AD64" t="inlineStr">
        <is>
          <t>Avoid direct sunlight</t>
        </is>
      </c>
    </row>
    <row r="65">
      <c r="F65" t="inlineStr">
        <is>
          <t>Azaserine</t>
        </is>
      </c>
      <c r="H65" t="inlineStr">
        <is>
          <t>Ecuador</t>
        </is>
      </c>
      <c r="J65" t="inlineStr">
        <is>
          <t>ASTM F2057 - 17</t>
        </is>
      </c>
      <c r="V65" t="inlineStr">
        <is>
          <t>Rosewood, Siamese</t>
        </is>
      </c>
      <c r="AD65" t="inlineStr">
        <is>
          <t>Dry after use</t>
        </is>
      </c>
    </row>
    <row r="66">
      <c r="F66" t="inlineStr">
        <is>
          <t>Azathioprine</t>
        </is>
      </c>
      <c r="H66" t="inlineStr">
        <is>
          <t>Egypt</t>
        </is>
      </c>
      <c r="J66" t="inlineStr">
        <is>
          <t>ASTM F2057 - 19 Certified</t>
        </is>
      </c>
      <c r="V66" t="inlineStr">
        <is>
          <t>Yew, Taiwan</t>
        </is>
      </c>
      <c r="AD66" t="inlineStr">
        <is>
          <t>Use furniture pads</t>
        </is>
      </c>
    </row>
    <row r="67">
      <c r="F67" t="inlineStr">
        <is>
          <t>Azobenzene</t>
        </is>
      </c>
      <c r="H67" t="inlineStr">
        <is>
          <t>El Salvador</t>
        </is>
      </c>
      <c r="J67" t="inlineStr">
        <is>
          <t>ASTM F2085 - 12 Compliant</t>
        </is>
      </c>
      <c r="V67" t="inlineStr">
        <is>
          <t>Burlwood</t>
        </is>
      </c>
      <c r="AD67" t="inlineStr">
        <is>
          <t>Apply epoxy clear coat once per year</t>
        </is>
      </c>
    </row>
    <row r="68">
      <c r="F68" t="inlineStr">
        <is>
          <t>Barbiturates</t>
        </is>
      </c>
      <c r="H68" t="inlineStr">
        <is>
          <t>Equatorial Guinea</t>
        </is>
      </c>
      <c r="J68" t="inlineStr">
        <is>
          <t>ASTM F2088-15 Compliant</t>
        </is>
      </c>
      <c r="V68" t="inlineStr">
        <is>
          <t>Platane Wood</t>
        </is>
      </c>
      <c r="AD68" t="inlineStr">
        <is>
          <t>Clean with cloth, mild soap, and warm water</t>
        </is>
      </c>
    </row>
    <row r="69">
      <c r="F69" t="inlineStr">
        <is>
          <t>Beclomethasone dipropionate</t>
        </is>
      </c>
      <c r="H69" t="inlineStr">
        <is>
          <t>Eritrea</t>
        </is>
      </c>
      <c r="J69" t="inlineStr">
        <is>
          <t>ASTM F2194 Compliant</t>
        </is>
      </c>
      <c r="V69" t="inlineStr">
        <is>
          <t>Sungkai</t>
        </is>
      </c>
      <c r="AD69" t="inlineStr">
        <is>
          <t>Spot clean with mild detergent</t>
        </is>
      </c>
    </row>
    <row r="70">
      <c r="F70" t="inlineStr">
        <is>
          <t>Benomyl</t>
        </is>
      </c>
      <c r="H70" t="inlineStr">
        <is>
          <t>Estonia</t>
        </is>
      </c>
      <c r="J70" t="inlineStr">
        <is>
          <t>ASTM F2225-15 Compliant</t>
        </is>
      </c>
      <c r="V70" t="inlineStr">
        <is>
          <t>Does Not Apply</t>
        </is>
      </c>
      <c r="AD70" t="inlineStr">
        <is>
          <t>Spot clean as needed</t>
        </is>
      </c>
    </row>
    <row r="71">
      <c r="F71" t="inlineStr">
        <is>
          <t>Benthiavalicarb-isopropyl</t>
        </is>
      </c>
      <c r="H71" t="inlineStr">
        <is>
          <t>Ethiopia</t>
        </is>
      </c>
      <c r="J71" t="inlineStr">
        <is>
          <t>ASTM F2388 - 18 Certified</t>
        </is>
      </c>
      <c r="AD71" t="inlineStr">
        <is>
          <t>Automatic</t>
        </is>
      </c>
    </row>
    <row r="72">
      <c r="F72" t="inlineStr">
        <is>
          <t>Benz[a]anthracene</t>
        </is>
      </c>
      <c r="H72" t="inlineStr">
        <is>
          <t>Falkland Islands (Malvinas)</t>
        </is>
      </c>
      <c r="J72" t="inlineStr">
        <is>
          <t>ASTM F2613 - 17 Compliant</t>
        </is>
      </c>
      <c r="AD72" t="inlineStr">
        <is>
          <t>Hot water extraction</t>
        </is>
      </c>
    </row>
    <row r="73">
      <c r="F73" t="inlineStr">
        <is>
          <t>Benzene</t>
        </is>
      </c>
      <c r="H73" t="inlineStr">
        <is>
          <t>Faroe Islands</t>
        </is>
      </c>
      <c r="J73" t="inlineStr">
        <is>
          <t>ASTM F2729 - 18 Compliant</t>
        </is>
      </c>
      <c r="AD73" t="inlineStr">
        <is>
          <t>Spot clean with dry cloth</t>
        </is>
      </c>
    </row>
    <row r="74">
      <c r="F74" t="inlineStr">
        <is>
          <t>Benzidine [and its salts]</t>
        </is>
      </c>
      <c r="H74" t="inlineStr">
        <is>
          <t>Fiji</t>
        </is>
      </c>
      <c r="J74" t="inlineStr">
        <is>
          <t>ASTM F2933-18 Compliant</t>
        </is>
      </c>
      <c r="AD74" t="inlineStr">
        <is>
          <t>Clean the product at least one time per month. We suggest the use of Rejuvenate by Watco</t>
        </is>
      </c>
    </row>
    <row r="75">
      <c r="F75" t="inlineStr">
        <is>
          <t>Benzidine-based dyes</t>
        </is>
      </c>
      <c r="H75" t="inlineStr">
        <is>
          <t>Finland</t>
        </is>
      </c>
      <c r="J75" t="inlineStr">
        <is>
          <t>ASTM F3084 - 16 Compliant</t>
        </is>
      </c>
      <c r="AD75" t="inlineStr">
        <is>
          <t>Wash with warm water and soap</t>
        </is>
      </c>
    </row>
    <row r="76">
      <c r="F76" t="inlineStr">
        <is>
          <t>Benzodiazepines</t>
        </is>
      </c>
      <c r="H76" t="inlineStr">
        <is>
          <t>France</t>
        </is>
      </c>
      <c r="J76" t="inlineStr">
        <is>
          <t>ASTM F3096 - 14 Compliant</t>
        </is>
      </c>
      <c r="AD76" t="inlineStr">
        <is>
          <t>Regularly apply Teak oil</t>
        </is>
      </c>
    </row>
    <row r="77">
      <c r="F77" t="inlineStr">
        <is>
          <t>Benzo[b]fluoranthene</t>
        </is>
      </c>
      <c r="H77" t="inlineStr">
        <is>
          <t>French Guiana</t>
        </is>
      </c>
      <c r="J77" t="inlineStr">
        <is>
          <t>ASTM F3363-19 Compliant</t>
        </is>
      </c>
      <c r="AD77" t="inlineStr">
        <is>
          <t>Do not microwave</t>
        </is>
      </c>
    </row>
    <row r="78">
      <c r="F78" t="inlineStr">
        <is>
          <t>Benzo[j]fluoranthene</t>
        </is>
      </c>
      <c r="H78" t="inlineStr">
        <is>
          <t>French Polynesia</t>
        </is>
      </c>
      <c r="J78" t="inlineStr">
        <is>
          <t>ASTM F381-16 Compliant</t>
        </is>
      </c>
      <c r="AD78" t="inlineStr">
        <is>
          <t>Do not put in dishwasher</t>
        </is>
      </c>
    </row>
    <row r="79">
      <c r="F79" t="inlineStr">
        <is>
          <t>Benzo[k]fluoranthene</t>
        </is>
      </c>
      <c r="H79" t="inlineStr">
        <is>
          <t>French Southern Territories</t>
        </is>
      </c>
      <c r="J79" t="inlineStr">
        <is>
          <t>ASTM F406 - 10a Compliant</t>
        </is>
      </c>
      <c r="AD79" t="inlineStr">
        <is>
          <t>Do not use harsh chemicals or cleaners</t>
        </is>
      </c>
    </row>
    <row r="80">
      <c r="F80" t="inlineStr">
        <is>
          <t>Benzofuran</t>
        </is>
      </c>
      <c r="H80" t="inlineStr">
        <is>
          <t>Gabon</t>
        </is>
      </c>
      <c r="J80" t="inlineStr">
        <is>
          <t>ASTM F406 - 15 Compliant</t>
        </is>
      </c>
      <c r="AD80" t="inlineStr">
        <is>
          <t>Do not use any cleaning agents</t>
        </is>
      </c>
    </row>
    <row r="81">
      <c r="F81" t="inlineStr">
        <is>
          <t>Benzophenone</t>
        </is>
      </c>
      <c r="H81" t="inlineStr">
        <is>
          <t>Gambia</t>
        </is>
      </c>
      <c r="J81" t="inlineStr">
        <is>
          <t>ASTM F406 - 17 Certified</t>
        </is>
      </c>
      <c r="AD81" t="inlineStr">
        <is>
          <t>Do not put removable parts in dishwasher</t>
        </is>
      </c>
    </row>
    <row r="82">
      <c r="F82" t="inlineStr">
        <is>
          <t>Benzo[a]pyrene</t>
        </is>
      </c>
      <c r="H82" t="inlineStr">
        <is>
          <t>Georgia</t>
        </is>
      </c>
      <c r="J82" t="inlineStr">
        <is>
          <t>ASTM F963 - 17 Certified</t>
        </is>
      </c>
      <c r="AD82" t="inlineStr">
        <is>
          <t>Machine wash</t>
        </is>
      </c>
    </row>
    <row r="83">
      <c r="F83" t="inlineStr">
        <is>
          <t>Benzotrichloride</t>
        </is>
      </c>
      <c r="H83" t="inlineStr">
        <is>
          <t>Germany</t>
        </is>
      </c>
      <c r="J83" t="inlineStr">
        <is>
          <t>ASTM F963-11 Compliant</t>
        </is>
      </c>
      <c r="AD83" t="inlineStr">
        <is>
          <t>Hand dry</t>
        </is>
      </c>
    </row>
    <row r="84">
      <c r="F84" t="inlineStr">
        <is>
          <t>Benzphetamine hydrochloride</t>
        </is>
      </c>
      <c r="H84" t="inlineStr">
        <is>
          <t>Ghana</t>
        </is>
      </c>
      <c r="J84" t="inlineStr">
        <is>
          <t>ATA Rated</t>
        </is>
      </c>
      <c r="AD84" t="inlineStr">
        <is>
          <t>Dry clean recommended</t>
        </is>
      </c>
    </row>
    <row r="85">
      <c r="F85" t="inlineStr">
        <is>
          <t>Benzyl chloride</t>
        </is>
      </c>
      <c r="H85" t="inlineStr">
        <is>
          <t>Gibraltar</t>
        </is>
      </c>
      <c r="J85" t="inlineStr">
        <is>
          <t>BHFTI Upholstered Furniture Flammability Compliant</t>
        </is>
      </c>
      <c r="AD85" t="inlineStr">
        <is>
          <t>Microwave safe</t>
        </is>
      </c>
    </row>
    <row r="86">
      <c r="F86" t="inlineStr">
        <is>
          <t>Benzyl violet 4B</t>
        </is>
      </c>
      <c r="H86" t="inlineStr">
        <is>
          <t>Greece</t>
        </is>
      </c>
      <c r="J86" t="inlineStr">
        <is>
          <t>BIFMA G1 Ergonomics Guideline for Furniture</t>
        </is>
      </c>
      <c r="AD86" t="inlineStr">
        <is>
          <t>Spot clean insert</t>
        </is>
      </c>
    </row>
    <row r="87">
      <c r="F87" t="inlineStr">
        <is>
          <t>Beryllium and beryllium compounds</t>
        </is>
      </c>
      <c r="H87" t="inlineStr">
        <is>
          <t>Greenland</t>
        </is>
      </c>
      <c r="J87" t="inlineStr">
        <is>
          <t>BIFMA HCF 8.1 - Healthcare Furniture Design</t>
        </is>
      </c>
      <c r="AD87" t="inlineStr">
        <is>
          <t>Spot clean only with water-based shampoo or foam upholstery cleaner</t>
        </is>
      </c>
    </row>
    <row r="88">
      <c r="F88" t="inlineStr">
        <is>
          <t>Betel quid with tobacco</t>
        </is>
      </c>
      <c r="H88" t="inlineStr">
        <is>
          <t>Grenada</t>
        </is>
      </c>
      <c r="J88" t="inlineStr">
        <is>
          <t>Blauer Engel</t>
        </is>
      </c>
      <c r="AD88" t="inlineStr">
        <is>
          <t>Run at least once a week to let water circulate</t>
        </is>
      </c>
    </row>
    <row r="89">
      <c r="F89" t="inlineStr">
        <is>
          <t>Betel quid without tobacco</t>
        </is>
      </c>
      <c r="H89" t="inlineStr">
        <is>
          <t>Guadeloupe</t>
        </is>
      </c>
      <c r="J89" t="inlineStr">
        <is>
          <t>BS 5287: 1988 Certified</t>
        </is>
      </c>
      <c r="AD89" t="inlineStr">
        <is>
          <t>Use dry, solvent-based cleaner</t>
        </is>
      </c>
    </row>
    <row r="90">
      <c r="F90" t="inlineStr">
        <is>
          <t>2,2-Bis(bromomethyl)-1,3-propanediol</t>
        </is>
      </c>
      <c r="H90" t="inlineStr">
        <is>
          <t>Guam</t>
        </is>
      </c>
      <c r="J90" t="inlineStr">
        <is>
          <t>BS 5852 Certified</t>
        </is>
      </c>
      <c r="AD90" t="inlineStr">
        <is>
          <t>Steam clean</t>
        </is>
      </c>
    </row>
    <row r="91">
      <c r="F91" t="inlineStr">
        <is>
          <t>Bis(2-chloroethyl)ether</t>
        </is>
      </c>
      <c r="H91" t="inlineStr">
        <is>
          <t>Guatemala</t>
        </is>
      </c>
      <c r="J91" t="inlineStr">
        <is>
          <t>BS 5867-2:2008 Certified</t>
        </is>
      </c>
      <c r="AD91" t="inlineStr">
        <is>
          <t>Wipe down with mild soap and water</t>
        </is>
      </c>
    </row>
    <row r="92">
      <c r="F92" t="inlineStr">
        <is>
          <t>N,N-Bis(2-chloroethyl)-2-naphthylamine  (Chlornapazine)</t>
        </is>
      </c>
      <c r="H92" t="inlineStr">
        <is>
          <t>Guernsey</t>
        </is>
      </c>
      <c r="J92" t="inlineStr">
        <is>
          <t>BS 7176: 2007 Certified</t>
        </is>
      </c>
      <c r="AD92" t="inlineStr">
        <is>
          <t>Wipe with glass cleaner</t>
        </is>
      </c>
    </row>
    <row r="93">
      <c r="F93" t="inlineStr">
        <is>
          <t>Bischloroethyl nitrosourea (BCNU) (Carmustine)</t>
        </is>
      </c>
      <c r="H93" t="inlineStr">
        <is>
          <t>Guinea</t>
        </is>
      </c>
      <c r="J93" t="inlineStr">
        <is>
          <t>BS 7177:2008+A1:2011 Certified</t>
        </is>
      </c>
      <c r="AD93" t="inlineStr">
        <is>
          <t>Wipe with cloth</t>
        </is>
      </c>
    </row>
    <row r="94">
      <c r="F94" t="inlineStr">
        <is>
          <t>Bis(chloromethyl)ether</t>
        </is>
      </c>
      <c r="H94" t="inlineStr">
        <is>
          <t>Guinea-Bissau</t>
        </is>
      </c>
      <c r="J94" t="inlineStr">
        <is>
          <t>BS EN 13120: 2009 + A1: 2014 (Requirements for Window Blinds or Drapery Cords) - EU ONLY</t>
        </is>
      </c>
      <c r="AD94" t="inlineStr">
        <is>
          <t>Wipe with a lemon oil-based furniture polish</t>
        </is>
      </c>
    </row>
    <row r="95">
      <c r="F95" t="inlineStr">
        <is>
          <t>Bis(2-chloro-1-methylethyl)ether,  technical grade</t>
        </is>
      </c>
      <c r="H95" t="inlineStr">
        <is>
          <t>Guyana</t>
        </is>
      </c>
      <c r="J95" t="inlineStr">
        <is>
          <t>BS EN 716-1 Compliant - EU ONLY</t>
        </is>
      </c>
      <c r="AD95" t="inlineStr">
        <is>
          <t>Wipe Clean Only</t>
        </is>
      </c>
    </row>
    <row r="96">
      <c r="F96" t="inlineStr">
        <is>
          <t>Bisphenol A (BPA)</t>
        </is>
      </c>
      <c r="H96" t="inlineStr">
        <is>
          <t>Haiti</t>
        </is>
      </c>
      <c r="J96" t="inlineStr">
        <is>
          <t>BS EN12790 Certified</t>
        </is>
      </c>
      <c r="AD96" t="inlineStr">
        <is>
          <t>Hand Wash Only - Towel Dry Immediately</t>
        </is>
      </c>
    </row>
    <row r="97">
      <c r="F97" t="inlineStr">
        <is>
          <t>Bitumens, extracts of steam-refined and air refined</t>
        </is>
      </c>
      <c r="H97" t="inlineStr">
        <is>
          <t>Heard Island and McDonald Islands</t>
        </is>
      </c>
      <c r="J97" t="inlineStr">
        <is>
          <t>CAL TB 116 Compliant</t>
        </is>
      </c>
      <c r="AD97" t="inlineStr">
        <is>
          <t>Store flat when not in use to avoid warping</t>
        </is>
      </c>
    </row>
    <row r="98">
      <c r="F98" t="inlineStr">
        <is>
          <t>Bracken fern</t>
        </is>
      </c>
      <c r="H98" t="inlineStr">
        <is>
          <t>Holy See (Vatican City State)</t>
        </is>
      </c>
      <c r="J98" t="inlineStr">
        <is>
          <t>CAL TB 117-2013 Compliant</t>
        </is>
      </c>
      <c r="AD98" t="inlineStr">
        <is>
          <t>Wipe clean with a damp cloth</t>
        </is>
      </c>
    </row>
    <row r="99">
      <c r="F99" t="inlineStr">
        <is>
          <t>Bromacil lithium salt</t>
        </is>
      </c>
      <c r="H99" t="inlineStr">
        <is>
          <t>Honduras</t>
        </is>
      </c>
      <c r="J99" t="inlineStr">
        <is>
          <t>CALGreen Compliant</t>
        </is>
      </c>
      <c r="AD99" t="inlineStr">
        <is>
          <t>Machine wash on delicate with cold water</t>
        </is>
      </c>
    </row>
    <row r="100">
      <c r="F100" t="inlineStr">
        <is>
          <t>Bromate</t>
        </is>
      </c>
      <c r="H100" t="inlineStr">
        <is>
          <t>Hong Kong</t>
        </is>
      </c>
      <c r="J100" t="inlineStr">
        <is>
          <t>California AB 1953 Compliant</t>
        </is>
      </c>
      <c r="AD100" t="inlineStr">
        <is>
          <t>Does Not Apply</t>
        </is>
      </c>
    </row>
    <row r="101">
      <c r="F101" t="inlineStr">
        <is>
          <t>Bromochloroacetic acid</t>
        </is>
      </c>
      <c r="H101" t="inlineStr">
        <is>
          <t>Hungary</t>
        </is>
      </c>
      <c r="J101" t="inlineStr">
        <is>
          <t>CAN C22.2 No. 3 - Electrical Components of Fuel Burning Equipment</t>
        </is>
      </c>
    </row>
    <row r="102">
      <c r="F102" t="inlineStr">
        <is>
          <t>Bromodichloroacetic acid</t>
        </is>
      </c>
      <c r="H102" t="inlineStr">
        <is>
          <t>Iceland</t>
        </is>
      </c>
      <c r="J102" t="inlineStr">
        <is>
          <t>CAN/ULC-S674</t>
        </is>
      </c>
    </row>
    <row r="103">
      <c r="F103" t="inlineStr">
        <is>
          <t>Bromodichloromethane</t>
        </is>
      </c>
      <c r="H103" t="inlineStr">
        <is>
          <t>India</t>
        </is>
      </c>
      <c r="J103" t="inlineStr">
        <is>
          <t>CARB Phase II Compliant (formaldehyde emissions)</t>
        </is>
      </c>
    </row>
    <row r="104">
      <c r="F104" t="inlineStr">
        <is>
          <t>Bromoethane</t>
        </is>
      </c>
      <c r="H104" t="inlineStr">
        <is>
          <t>Indonesia</t>
        </is>
      </c>
      <c r="J104" t="inlineStr">
        <is>
          <t>CE Certified</t>
        </is>
      </c>
    </row>
    <row r="105">
      <c r="F105" t="inlineStr">
        <is>
          <t>Bromoform</t>
        </is>
      </c>
      <c r="H105" t="inlineStr">
        <is>
          <t>Iran, Islamic Republic of</t>
        </is>
      </c>
      <c r="J105" t="inlineStr">
        <is>
          <t>CEE Rating</t>
        </is>
      </c>
    </row>
    <row r="106">
      <c r="F106" t="inlineStr">
        <is>
          <t>1-Bromopropane (1-BP)</t>
        </is>
      </c>
      <c r="H106" t="inlineStr">
        <is>
          <t>Iraq</t>
        </is>
      </c>
      <c r="J106" t="inlineStr">
        <is>
          <t>CertiPUR-US Certified</t>
        </is>
      </c>
    </row>
    <row r="107">
      <c r="F107" t="inlineStr">
        <is>
          <t>Bromoxynil</t>
        </is>
      </c>
      <c r="H107" t="inlineStr">
        <is>
          <t>Ireland</t>
        </is>
      </c>
      <c r="J107" t="inlineStr">
        <is>
          <t>cETL Listed</t>
        </is>
      </c>
    </row>
    <row r="108">
      <c r="F108" t="inlineStr">
        <is>
          <t>Bromoxynil octanoate</t>
        </is>
      </c>
      <c r="H108" t="inlineStr">
        <is>
          <t>Isle of Man</t>
        </is>
      </c>
      <c r="J108" t="inlineStr">
        <is>
          <t>CGA 2.17- M91 (R2014)</t>
        </is>
      </c>
    </row>
    <row r="109">
      <c r="F109" t="inlineStr">
        <is>
          <t>Butabarbital sodium</t>
        </is>
      </c>
      <c r="H109" t="inlineStr">
        <is>
          <t>Israel</t>
        </is>
      </c>
      <c r="J109" t="inlineStr">
        <is>
          <t>Chemicals of Concern Compliant</t>
        </is>
      </c>
    </row>
    <row r="110">
      <c r="F110" t="inlineStr">
        <is>
          <t>1,3-Butadiene</t>
        </is>
      </c>
      <c r="H110" t="inlineStr">
        <is>
          <t>Italy</t>
        </is>
      </c>
      <c r="J110" t="inlineStr">
        <is>
          <t>Chemikalien-Verbotsverordnung / Section 3 Compliant</t>
        </is>
      </c>
    </row>
    <row r="111">
      <c r="F111" t="inlineStr">
        <is>
          <t>1,4-Butanediol dimethanesulfonate (Busulfan)</t>
        </is>
      </c>
      <c r="H111" t="inlineStr">
        <is>
          <t>Jamaica</t>
        </is>
      </c>
      <c r="J111" t="inlineStr">
        <is>
          <t>Children's Product Certificate (CPC)</t>
        </is>
      </c>
    </row>
    <row r="112">
      <c r="F112" t="inlineStr">
        <is>
          <t>Butylated hydroxyanisole</t>
        </is>
      </c>
      <c r="H112" t="inlineStr">
        <is>
          <t>Japan</t>
        </is>
      </c>
      <c r="J112" t="inlineStr">
        <is>
          <t>CISPR 22 Compliant</t>
        </is>
      </c>
    </row>
    <row r="113">
      <c r="F113" t="inlineStr">
        <is>
          <t>Butyl benzyl phthalate (BBP)d</t>
        </is>
      </c>
      <c r="H113" t="inlineStr">
        <is>
          <t>Jersey</t>
        </is>
      </c>
      <c r="J113" t="inlineStr">
        <is>
          <t>Complies with 16 CFR 1305.4</t>
        </is>
      </c>
    </row>
    <row r="114">
      <c r="F114" t="inlineStr">
        <is>
          <t>beta-Butyrolactone</t>
        </is>
      </c>
      <c r="H114" t="inlineStr">
        <is>
          <t>Jordan</t>
        </is>
      </c>
      <c r="J114" t="inlineStr">
        <is>
          <t>ASTM F1427 - 13 Compliant - Consumer Safety Specification for Bunk Beds</t>
        </is>
      </c>
    </row>
    <row r="115">
      <c r="F115" t="inlineStr">
        <is>
          <t>Cacodylic acid</t>
        </is>
      </c>
      <c r="H115" t="inlineStr">
        <is>
          <t>Kazakhstan</t>
        </is>
      </c>
      <c r="J115" t="inlineStr">
        <is>
          <t>CPAI-84 Compliant</t>
        </is>
      </c>
    </row>
    <row r="116">
      <c r="F116" t="inlineStr">
        <is>
          <t>Cadmium</t>
        </is>
      </c>
      <c r="H116" t="inlineStr">
        <is>
          <t>Kenya</t>
        </is>
      </c>
      <c r="J116" t="inlineStr">
        <is>
          <t>CPSC - 15 U.S. Code § 1278a - Children's Products Containing Lead</t>
        </is>
      </c>
    </row>
    <row r="117">
      <c r="F117" t="inlineStr">
        <is>
          <t>Cadmium and cadmium compounds</t>
        </is>
      </c>
      <c r="H117" t="inlineStr">
        <is>
          <t>Kiribati</t>
        </is>
      </c>
      <c r="J117" t="inlineStr">
        <is>
          <t>CPSC - 16 CFR 1213 Compliant</t>
        </is>
      </c>
    </row>
    <row r="118">
      <c r="F118" t="inlineStr">
        <is>
          <t>Caffeic acid</t>
        </is>
      </c>
      <c r="H118" t="inlineStr">
        <is>
          <t>Korea, Democratic People's Republic of</t>
        </is>
      </c>
      <c r="J118" t="inlineStr">
        <is>
          <t>CPSC - 16 CFR 1215 Compliant - Safety Standards for Infant Bath Seats</t>
        </is>
      </c>
    </row>
    <row r="119">
      <c r="F119" t="inlineStr">
        <is>
          <t>Captafol</t>
        </is>
      </c>
      <c r="H119" t="inlineStr">
        <is>
          <t>Korea, Republic of</t>
        </is>
      </c>
      <c r="J119" t="inlineStr">
        <is>
          <t>ASTM 1821-19 and/or CPSC - 16 CFR 1217 Compliant</t>
        </is>
      </c>
    </row>
    <row r="120">
      <c r="F120" t="inlineStr">
        <is>
          <t>Captan</t>
        </is>
      </c>
      <c r="H120" t="inlineStr">
        <is>
          <t>Kuwait</t>
        </is>
      </c>
      <c r="J120" t="inlineStr">
        <is>
          <t>CPSC - 16 CFR 1218 Compliant</t>
        </is>
      </c>
    </row>
    <row r="121">
      <c r="F121" t="inlineStr">
        <is>
          <t>Carbamazepine</t>
        </is>
      </c>
      <c r="H121" t="inlineStr">
        <is>
          <t>Kyrgyzstan</t>
        </is>
      </c>
      <c r="J121" t="inlineStr">
        <is>
          <t>ASTM F1169-19 Compliant and/or CPSC - 16 CFR 1219 Compliant</t>
        </is>
      </c>
    </row>
    <row r="122">
      <c r="F122" t="inlineStr">
        <is>
          <t>Carbaryl</t>
        </is>
      </c>
      <c r="H122" t="inlineStr">
        <is>
          <t>Lao People's Democratic Republic</t>
        </is>
      </c>
      <c r="J122" t="inlineStr">
        <is>
          <t>ASTM F406-22 and/or CPSC - 16 CFR 1220 Compliant</t>
        </is>
      </c>
    </row>
    <row r="123">
      <c r="F123" t="inlineStr">
        <is>
          <t>Carbazole</t>
        </is>
      </c>
      <c r="H123" t="inlineStr">
        <is>
          <t>Latvia</t>
        </is>
      </c>
      <c r="J123" t="inlineStr">
        <is>
          <t>CPSC - 16 CFR 1221 Compliant</t>
        </is>
      </c>
    </row>
    <row r="124">
      <c r="F124" t="inlineStr">
        <is>
          <t>Carbon black (airborne, unbound particles of respirable size)</t>
        </is>
      </c>
      <c r="H124" t="inlineStr">
        <is>
          <t>Lebanon</t>
        </is>
      </c>
      <c r="J124" t="inlineStr">
        <is>
          <t>CPSC - 16 CFR 1225 Compliant</t>
        </is>
      </c>
    </row>
    <row r="125">
      <c r="F125" t="inlineStr">
        <is>
          <t>Carbon-black extracts</t>
        </is>
      </c>
      <c r="H125" t="inlineStr">
        <is>
          <t>Lesotho</t>
        </is>
      </c>
      <c r="J125" t="inlineStr">
        <is>
          <t>CPSC - 16 CFR 1234 Compliant</t>
        </is>
      </c>
    </row>
    <row r="126">
      <c r="F126" t="inlineStr">
        <is>
          <t>Carbon disulfide</t>
        </is>
      </c>
      <c r="H126" t="inlineStr">
        <is>
          <t>Liberia</t>
        </is>
      </c>
      <c r="J126" t="inlineStr">
        <is>
          <t>CPSC - 16 CFR 1238 Compliant</t>
        </is>
      </c>
    </row>
    <row r="127">
      <c r="F127" t="inlineStr">
        <is>
          <t>Carbon monoxide</t>
        </is>
      </c>
      <c r="H127" t="inlineStr">
        <is>
          <t>Libyan Arab Jamahiriya</t>
        </is>
      </c>
      <c r="J127" t="inlineStr">
        <is>
          <t>CPSC - 16 CFR 1239 Compliant</t>
        </is>
      </c>
    </row>
    <row r="128">
      <c r="F128" t="inlineStr">
        <is>
          <t>Carbon tetrachloride</t>
        </is>
      </c>
      <c r="H128" t="inlineStr">
        <is>
          <t>Liechtenstein</t>
        </is>
      </c>
      <c r="J128" t="inlineStr">
        <is>
          <t>CPSC - 16 CFR 1303 Compliant</t>
        </is>
      </c>
    </row>
    <row r="129">
      <c r="F129" t="inlineStr">
        <is>
          <t>Carboplatin</t>
        </is>
      </c>
      <c r="H129" t="inlineStr">
        <is>
          <t>Lithuania</t>
        </is>
      </c>
      <c r="J129" t="inlineStr">
        <is>
          <t>CPSC - 16 CFR 1500.48 Compliant</t>
        </is>
      </c>
    </row>
    <row r="130">
      <c r="F130" t="inlineStr">
        <is>
          <t>N-Carboxymethyl-N-nitrosourea</t>
        </is>
      </c>
      <c r="H130" t="inlineStr">
        <is>
          <t>Luxembourg</t>
        </is>
      </c>
      <c r="J130" t="inlineStr">
        <is>
          <t>CPSC - 16 CFR 1500.49 Compliant</t>
        </is>
      </c>
    </row>
    <row r="131">
      <c r="F131" t="inlineStr">
        <is>
          <t>Catechol</t>
        </is>
      </c>
      <c r="H131" t="inlineStr">
        <is>
          <t>Macao</t>
        </is>
      </c>
      <c r="J131" t="inlineStr">
        <is>
          <t>CPSC - 16 CFR 1513 Compliant</t>
        </is>
      </c>
    </row>
    <row r="132">
      <c r="F132" t="inlineStr">
        <is>
          <t>Ceramic fibers (airborne particles of respirable size)</t>
        </is>
      </c>
      <c r="H132" t="inlineStr">
        <is>
          <t>Macedonia, The Former Yugoslav Republic of</t>
        </is>
      </c>
      <c r="J132" t="inlineStr">
        <is>
          <t>CPSC - 16 CFR 1630 Compliant</t>
        </is>
      </c>
    </row>
    <row r="133">
      <c r="F133" t="inlineStr">
        <is>
          <t>Certain combined chemotherapy for lymphomas</t>
        </is>
      </c>
      <c r="H133" t="inlineStr">
        <is>
          <t>Madagascar</t>
        </is>
      </c>
      <c r="J133" t="inlineStr">
        <is>
          <t>CPSC - 16 CFR 1631 Compliant</t>
        </is>
      </c>
    </row>
    <row r="134">
      <c r="F134" t="inlineStr">
        <is>
          <t>Chenodiol</t>
        </is>
      </c>
      <c r="H134" t="inlineStr">
        <is>
          <t>Malawi</t>
        </is>
      </c>
      <c r="J134" t="inlineStr">
        <is>
          <t>CPSC - 16 CFR 1632 Compliant</t>
        </is>
      </c>
    </row>
    <row r="135">
      <c r="F135" t="inlineStr">
        <is>
          <t>Chloral</t>
        </is>
      </c>
      <c r="H135" t="inlineStr">
        <is>
          <t>Malaysia</t>
        </is>
      </c>
      <c r="J135" t="inlineStr">
        <is>
          <t>CPSC - 16 CFR 1633 Compliant</t>
        </is>
      </c>
    </row>
    <row r="136">
      <c r="F136" t="inlineStr">
        <is>
          <t>Chloral hydrate</t>
        </is>
      </c>
      <c r="H136" t="inlineStr">
        <is>
          <t>Maldives</t>
        </is>
      </c>
      <c r="J136" t="inlineStr">
        <is>
          <t>CPSC - 16 CFR Part 1130-Requirements For Consumer Registration Of Durable Infant Or Toddler Products</t>
        </is>
      </c>
    </row>
    <row r="137">
      <c r="F137" t="inlineStr">
        <is>
          <t>Chlorambucil</t>
        </is>
      </c>
      <c r="H137" t="inlineStr">
        <is>
          <t>Mali</t>
        </is>
      </c>
      <c r="J137" t="inlineStr">
        <is>
          <t>CPSC - 16 CFR Part 1307-Prohibition Of Children's Toys And Child Care Articles Containing Specified Phthalates</t>
        </is>
      </c>
    </row>
    <row r="138">
      <c r="F138" t="inlineStr">
        <is>
          <t>Chloramphenicol sodium succinate</t>
        </is>
      </c>
      <c r="H138" t="inlineStr">
        <is>
          <t>Malta</t>
        </is>
      </c>
      <c r="J138" t="inlineStr">
        <is>
          <t>CPSC 16 CFR 1500.3(c)(6)(vi)</t>
        </is>
      </c>
    </row>
    <row r="139">
      <c r="F139" t="inlineStr">
        <is>
          <t>Chlorcyclizine hydrochloride</t>
        </is>
      </c>
      <c r="H139" t="inlineStr">
        <is>
          <t>Marshall Islands</t>
        </is>
      </c>
      <c r="J139" t="inlineStr">
        <is>
          <t>CPSC 16 CFR 1500.44</t>
        </is>
      </c>
    </row>
    <row r="140">
      <c r="F140" t="inlineStr">
        <is>
          <t>Chlordane</t>
        </is>
      </c>
      <c r="H140" t="inlineStr">
        <is>
          <t>Martinique</t>
        </is>
      </c>
      <c r="J140" t="inlineStr">
        <is>
          <t>CPSIA Compliant</t>
        </is>
      </c>
    </row>
    <row r="141">
      <c r="F141" t="inlineStr">
        <is>
          <t>Chlordecone (Kepone)</t>
        </is>
      </c>
      <c r="H141" t="inlineStr">
        <is>
          <t>Mauritania</t>
        </is>
      </c>
      <c r="J141" t="inlineStr">
        <is>
          <t>Cradle to Cradle Certified</t>
        </is>
      </c>
    </row>
    <row r="142">
      <c r="F142" t="inlineStr">
        <is>
          <t>Chlordiazepoxide</t>
        </is>
      </c>
      <c r="H142" t="inlineStr">
        <is>
          <t>Mauritius</t>
        </is>
      </c>
      <c r="J142" t="inlineStr">
        <is>
          <t>CRI Certified</t>
        </is>
      </c>
    </row>
    <row r="143">
      <c r="F143" t="inlineStr">
        <is>
          <t>Chlordiazepoxide hydrochloride</t>
        </is>
      </c>
      <c r="H143" t="inlineStr">
        <is>
          <t>Mayotte</t>
        </is>
      </c>
      <c r="J143" t="inlineStr">
        <is>
          <t>CRI Green Label Certified</t>
        </is>
      </c>
    </row>
    <row r="144">
      <c r="F144" t="inlineStr">
        <is>
          <t>Chlordimeform</t>
        </is>
      </c>
      <c r="H144" t="inlineStr">
        <is>
          <t>Mexico</t>
        </is>
      </c>
      <c r="J144" t="inlineStr">
        <is>
          <t>CRI Green Label Plus Certified</t>
        </is>
      </c>
    </row>
    <row r="145">
      <c r="F145" t="inlineStr">
        <is>
          <t>Chlorendic acid</t>
        </is>
      </c>
      <c r="H145" t="inlineStr">
        <is>
          <t>Micronesia, Federated States of</t>
        </is>
      </c>
      <c r="J145" t="inlineStr">
        <is>
          <t>CSA 2.41-2014/ANSI Z21.97-2014</t>
        </is>
      </c>
    </row>
    <row r="146">
      <c r="F146" t="inlineStr">
        <is>
          <t>Chlorinated paraffins (Average chain length, C12;approximately 60 percent chlorine by weight)</t>
        </is>
      </c>
      <c r="H146" t="inlineStr">
        <is>
          <t>Moldova, Republic of</t>
        </is>
      </c>
      <c r="J146" t="inlineStr">
        <is>
          <t>CSA B125.1 Certified</t>
        </is>
      </c>
    </row>
    <row r="147">
      <c r="F147" t="inlineStr">
        <is>
          <t>p-Chloroaniline</t>
        </is>
      </c>
      <c r="H147" t="inlineStr">
        <is>
          <t>Monaco</t>
        </is>
      </c>
      <c r="J147" t="inlineStr">
        <is>
          <t>CSA B13 Certified</t>
        </is>
      </c>
    </row>
    <row r="148">
      <c r="F148" t="inlineStr">
        <is>
          <t>p-Chloroaniline hydrochloride</t>
        </is>
      </c>
      <c r="H148" t="inlineStr">
        <is>
          <t>Mongolia</t>
        </is>
      </c>
      <c r="J148" t="inlineStr">
        <is>
          <t>CSA B45 Certified</t>
        </is>
      </c>
    </row>
    <row r="149">
      <c r="F149" t="inlineStr">
        <is>
          <t>Chloroethane (Ethyl chloride)</t>
        </is>
      </c>
      <c r="H149" t="inlineStr">
        <is>
          <t>Montenegro</t>
        </is>
      </c>
      <c r="J149" t="inlineStr">
        <is>
          <t>CSA B45.1 Certified</t>
        </is>
      </c>
    </row>
    <row r="150">
      <c r="F150" t="inlineStr">
        <is>
          <t>1-(2-Chloroethyl)-3-cyclohexyl-1-nitrosourea (CCNU) (Lomustine)</t>
        </is>
      </c>
      <c r="H150" t="inlineStr">
        <is>
          <t>Montserrat</t>
        </is>
      </c>
      <c r="J150" t="inlineStr">
        <is>
          <t>CSA B45.2 Certified</t>
        </is>
      </c>
    </row>
    <row r="151">
      <c r="F151" t="inlineStr">
        <is>
          <t>1-(2-Chloroethyl)-3-(4-methylcyclohexyl)-1-nitrosourea (Methyl-CCNU)</t>
        </is>
      </c>
      <c r="H151" t="inlineStr">
        <is>
          <t>Morocco</t>
        </is>
      </c>
      <c r="J151" t="inlineStr">
        <is>
          <t>CSA Certified</t>
        </is>
      </c>
    </row>
    <row r="152">
      <c r="F152" t="inlineStr">
        <is>
          <t>Chloromethyl methyl ether (technical grade)</t>
        </is>
      </c>
      <c r="H152" t="inlineStr">
        <is>
          <t>Mozambique</t>
        </is>
      </c>
      <c r="J152" t="inlineStr">
        <is>
          <t>CSA Listed for Canada</t>
        </is>
      </c>
    </row>
    <row r="153">
      <c r="F153" t="inlineStr">
        <is>
          <t>3-Chloro-2-methylpropene</t>
        </is>
      </c>
      <c r="H153" t="inlineStr">
        <is>
          <t>Myanmar</t>
        </is>
      </c>
      <c r="J153" t="inlineStr">
        <is>
          <t>CSA Listed for USA</t>
        </is>
      </c>
    </row>
    <row r="154">
      <c r="F154" t="inlineStr">
        <is>
          <t>1-Chloro-4-nitrobenzene</t>
        </is>
      </c>
      <c r="H154" t="inlineStr">
        <is>
          <t>Namibia</t>
        </is>
      </c>
      <c r="J154" t="inlineStr">
        <is>
          <t>CSPC - 16 CFR 1750 Compliant</t>
        </is>
      </c>
    </row>
    <row r="155">
      <c r="F155" t="inlineStr">
        <is>
          <t>4-Chloro-o-phenylenediamine</t>
        </is>
      </c>
      <c r="H155" t="inlineStr">
        <is>
          <t>Nauru</t>
        </is>
      </c>
      <c r="J155" t="inlineStr">
        <is>
          <t>cUL Listed</t>
        </is>
      </c>
    </row>
    <row r="156">
      <c r="F156" t="inlineStr">
        <is>
          <t>Chloroprene</t>
        </is>
      </c>
      <c r="H156" t="inlineStr">
        <is>
          <t>Nepal</t>
        </is>
      </c>
      <c r="J156" t="inlineStr">
        <is>
          <t>cUPC Certified</t>
        </is>
      </c>
    </row>
    <row r="157">
      <c r="F157" t="inlineStr">
        <is>
          <t>Chlorothalonil</t>
        </is>
      </c>
      <c r="H157" t="inlineStr">
        <is>
          <t>Netherlands</t>
        </is>
      </c>
      <c r="J157" t="inlineStr">
        <is>
          <t>DECT 6.0 Compliant</t>
        </is>
      </c>
    </row>
    <row r="158">
      <c r="F158" t="inlineStr">
        <is>
          <t>p-Chloro-o-toluidine</t>
        </is>
      </c>
      <c r="H158" t="inlineStr">
        <is>
          <t>Netherlands Antilles</t>
        </is>
      </c>
      <c r="J158" t="inlineStr">
        <is>
          <t>DIN EN 12935 Certified</t>
        </is>
      </c>
    </row>
    <row r="159">
      <c r="F159" t="inlineStr">
        <is>
          <t>p-Chloro-o-toluidine, strong acid salts of</t>
        </is>
      </c>
      <c r="H159" t="inlineStr">
        <is>
          <t>New Caledonia</t>
        </is>
      </c>
      <c r="J159" t="inlineStr">
        <is>
          <t>DIN EN 16647:2016</t>
        </is>
      </c>
    </row>
    <row r="160">
      <c r="F160" t="inlineStr">
        <is>
          <t>5-Chloro-o-toluidine and its strong acid salts</t>
        </is>
      </c>
      <c r="H160" t="inlineStr">
        <is>
          <t>New Zealand</t>
        </is>
      </c>
      <c r="J160" t="inlineStr">
        <is>
          <t>Dry/ Damp/ or Wet Location Listed - CAN</t>
        </is>
      </c>
    </row>
    <row r="161">
      <c r="F161" t="inlineStr">
        <is>
          <t>Chlorotrianisene</t>
        </is>
      </c>
      <c r="H161" t="inlineStr">
        <is>
          <t>Nicaragua</t>
        </is>
      </c>
      <c r="J161" t="inlineStr">
        <is>
          <t>Dry/ Damp/ or Wet Location Listed - USA</t>
        </is>
      </c>
    </row>
    <row r="162">
      <c r="F162" t="inlineStr">
        <is>
          <t>Chlorozotocin</t>
        </is>
      </c>
      <c r="H162" t="inlineStr">
        <is>
          <t>Niger</t>
        </is>
      </c>
      <c r="J162" t="inlineStr">
        <is>
          <t>EU 2018/2005</t>
        </is>
      </c>
    </row>
    <row r="163">
      <c r="F163" t="inlineStr">
        <is>
          <t>Chlorpyrifos</t>
        </is>
      </c>
      <c r="H163" t="inlineStr">
        <is>
          <t>Nigeria</t>
        </is>
      </c>
      <c r="J163" t="inlineStr">
        <is>
          <t>EIA Compliant</t>
        </is>
      </c>
    </row>
    <row r="164">
      <c r="F164" t="inlineStr">
        <is>
          <t>Chromium (hexavalent compounds)</t>
        </is>
      </c>
      <c r="H164" t="inlineStr">
        <is>
          <t>Niue</t>
        </is>
      </c>
      <c r="J164" t="inlineStr">
        <is>
          <t>EISA 2007 Compliant</t>
        </is>
      </c>
    </row>
    <row r="165">
      <c r="F165" t="inlineStr">
        <is>
          <t>Chrysene</t>
        </is>
      </c>
      <c r="H165" t="inlineStr">
        <is>
          <t>Norfolk Island</t>
        </is>
      </c>
      <c r="J165" t="inlineStr">
        <is>
          <t>EN 1111:2017</t>
        </is>
      </c>
    </row>
    <row r="166">
      <c r="F166" t="inlineStr">
        <is>
          <t>C.I. Acid Red 114</t>
        </is>
      </c>
      <c r="H166" t="inlineStr">
        <is>
          <t>Northern Mariana Islands</t>
        </is>
      </c>
      <c r="J166" t="inlineStr">
        <is>
          <t>EN 1130-1:1996 (Safety Requirements for Cribs and Cradles) - EU ONLY</t>
        </is>
      </c>
    </row>
    <row r="167">
      <c r="F167" t="inlineStr">
        <is>
          <t>C.I. Basic Red 9 monohydrochloride</t>
        </is>
      </c>
      <c r="H167" t="inlineStr">
        <is>
          <t>Norway</t>
        </is>
      </c>
      <c r="J167" t="inlineStr">
        <is>
          <t>EN 12221-1 (Standards for Changing Tables) - EU ONLY</t>
        </is>
      </c>
    </row>
    <row r="168">
      <c r="F168" t="inlineStr">
        <is>
          <t>C.I. Direct Blue 15</t>
        </is>
      </c>
      <c r="H168" t="inlineStr">
        <is>
          <t>Oman</t>
        </is>
      </c>
      <c r="J168" t="inlineStr">
        <is>
          <t>EN 1287:2017</t>
        </is>
      </c>
    </row>
    <row r="169">
      <c r="F169" t="inlineStr">
        <is>
          <t>C.I. Direct Blue 218</t>
        </is>
      </c>
      <c r="H169" t="inlineStr">
        <is>
          <t>Pakistan</t>
        </is>
      </c>
      <c r="J169" t="inlineStr">
        <is>
          <t>EN 13219 (Standards for Trampolines) - EU ONLY</t>
        </is>
      </c>
    </row>
    <row r="170">
      <c r="F170" t="inlineStr">
        <is>
          <t>C.I. Disperse Yellow 3</t>
        </is>
      </c>
      <c r="H170" t="inlineStr">
        <is>
          <t>Palau</t>
        </is>
      </c>
      <c r="J170" t="inlineStr">
        <is>
          <t>EN 14428:2015</t>
        </is>
      </c>
    </row>
    <row r="171">
      <c r="F171" t="inlineStr">
        <is>
          <t>C.I. Solvent Yellow 14</t>
        </is>
      </c>
      <c r="H171" t="inlineStr">
        <is>
          <t>Palestinian Territory, Occupied</t>
        </is>
      </c>
      <c r="J171" t="inlineStr">
        <is>
          <t>EN 14516:2019</t>
        </is>
      </c>
    </row>
    <row r="172">
      <c r="F172" t="inlineStr">
        <is>
          <t>Ciclosporin (Cyclosporin A; Cyclosporine)</t>
        </is>
      </c>
      <c r="H172" t="inlineStr">
        <is>
          <t>Panama</t>
        </is>
      </c>
      <c r="J172" t="inlineStr">
        <is>
          <t>EN 14527:2019 Certified</t>
        </is>
      </c>
    </row>
    <row r="173">
      <c r="F173" t="inlineStr">
        <is>
          <t>Cidofovir</t>
        </is>
      </c>
      <c r="H173" t="inlineStr">
        <is>
          <t>Papua New Guinea</t>
        </is>
      </c>
      <c r="J173" t="inlineStr">
        <is>
          <t>EN 14528:2018 Certified</t>
        </is>
      </c>
    </row>
    <row r="174">
      <c r="F174" t="inlineStr">
        <is>
          <t>Cinnamyl anthranilate</t>
        </is>
      </c>
      <c r="H174" t="inlineStr">
        <is>
          <t>Paraguay</t>
        </is>
      </c>
      <c r="J174" t="inlineStr">
        <is>
          <t>EN 1466:2014</t>
        </is>
      </c>
    </row>
    <row r="175">
      <c r="F175" t="inlineStr">
        <is>
          <t>Cisplatin</t>
        </is>
      </c>
      <c r="H175" t="inlineStr">
        <is>
          <t>Peru</t>
        </is>
      </c>
      <c r="J175" t="inlineStr">
        <is>
          <t>EN 14688:2018 Certified</t>
        </is>
      </c>
    </row>
    <row r="176">
      <c r="F176" t="inlineStr">
        <is>
          <t>Citrus Red No. 2</t>
        </is>
      </c>
      <c r="H176" t="inlineStr">
        <is>
          <t>Philippines</t>
        </is>
      </c>
      <c r="J176" t="inlineStr">
        <is>
          <t>EN 14749:2016 Certified</t>
        </is>
      </c>
    </row>
    <row r="177">
      <c r="F177" t="inlineStr">
        <is>
          <t>Cladribine</t>
        </is>
      </c>
      <c r="H177" t="inlineStr">
        <is>
          <t>Pitcairn</t>
        </is>
      </c>
      <c r="J177" t="inlineStr">
        <is>
          <t>EN 14878: 2007 (Requirements for Children's Sleepwear) - EU ONLY</t>
        </is>
      </c>
    </row>
    <row r="178">
      <c r="F178" t="inlineStr">
        <is>
          <t>Clarithromycin</t>
        </is>
      </c>
      <c r="H178" t="inlineStr">
        <is>
          <t>Poland</t>
        </is>
      </c>
      <c r="J178" t="inlineStr">
        <is>
          <t>EN 14988-1 (Safety Standards for High Chairs) - EU ONLY</t>
        </is>
      </c>
    </row>
    <row r="179">
      <c r="F179" t="inlineStr">
        <is>
          <t>Clobetasol propionate</t>
        </is>
      </c>
      <c r="H179" t="inlineStr">
        <is>
          <t>Portugal</t>
        </is>
      </c>
      <c r="J179" t="inlineStr">
        <is>
          <t>EN 15312 (Safety Standards for Multi-Sport Equipment) - EU ONLY</t>
        </is>
      </c>
    </row>
    <row r="180">
      <c r="F180" t="inlineStr">
        <is>
          <t>Clofibrate</t>
        </is>
      </c>
      <c r="H180" t="inlineStr">
        <is>
          <t>Puerto Rico</t>
        </is>
      </c>
      <c r="J180" t="inlineStr">
        <is>
          <t>EN 1725 (Safety Standards for Adult Beds) - EU ONLY</t>
        </is>
      </c>
    </row>
    <row r="181">
      <c r="F181" t="inlineStr">
        <is>
          <t>Clomiphene citrate</t>
        </is>
      </c>
      <c r="H181" t="inlineStr">
        <is>
          <t>Qatar</t>
        </is>
      </c>
      <c r="J181" t="inlineStr">
        <is>
          <t>EN 1930 (Standards for Child Gates and Safety Barriers) - EU ONLY</t>
        </is>
      </c>
    </row>
    <row r="182">
      <c r="F182" t="inlineStr">
        <is>
          <t>Clorazepate dipotassium</t>
        </is>
      </c>
      <c r="H182" t="inlineStr">
        <is>
          <t>Reunion</t>
        </is>
      </c>
      <c r="J182" t="inlineStr">
        <is>
          <t>EN 200:2008 Certified</t>
        </is>
      </c>
    </row>
    <row r="183">
      <c r="F183" t="inlineStr">
        <is>
          <t>CMNP (pyrazachlor)</t>
        </is>
      </c>
      <c r="H183" t="inlineStr">
        <is>
          <t>Romania</t>
        </is>
      </c>
      <c r="J183" t="inlineStr">
        <is>
          <t>EN 50291-1 (Standards for Smoke Detectors and CO Detectors) - EU ONLY</t>
        </is>
      </c>
    </row>
    <row r="184">
      <c r="F184" t="inlineStr">
        <is>
          <t>Cobalt metal powder</t>
        </is>
      </c>
      <c r="H184" t="inlineStr">
        <is>
          <t>Russian Federation</t>
        </is>
      </c>
      <c r="J184" t="inlineStr">
        <is>
          <t>EN 54-12 (Standards for Smoke Detectors and CO Detectors) - EU ONLY</t>
        </is>
      </c>
    </row>
    <row r="185">
      <c r="F185" t="inlineStr">
        <is>
          <t>Cobalt [II] oxide</t>
        </is>
      </c>
      <c r="H185" t="inlineStr">
        <is>
          <t>Rwanda</t>
        </is>
      </c>
      <c r="J185" t="inlineStr">
        <is>
          <t>EN 71 Compliant</t>
        </is>
      </c>
    </row>
    <row r="186">
      <c r="F186" t="inlineStr">
        <is>
          <t>Cobalt sulfate</t>
        </is>
      </c>
      <c r="H186" t="inlineStr">
        <is>
          <t>Saint Barthélemy</t>
        </is>
      </c>
      <c r="J186" t="inlineStr">
        <is>
          <t>EN 71-14:2018 Compliant</t>
        </is>
      </c>
    </row>
    <row r="187">
      <c r="F187" t="inlineStr">
        <is>
          <t>Cobalt sulfate heptahydrate</t>
        </is>
      </c>
      <c r="H187" t="inlineStr">
        <is>
          <t>Saint Helena</t>
        </is>
      </c>
      <c r="J187" t="inlineStr">
        <is>
          <t>EN 747-1 (Standards for Childrens Bunk Beds) - EU ONLY</t>
        </is>
      </c>
    </row>
    <row r="188">
      <c r="F188" t="inlineStr">
        <is>
          <t>Cocaine</t>
        </is>
      </c>
      <c r="H188" t="inlineStr">
        <is>
          <t>Saint Kitts and Nevis</t>
        </is>
      </c>
      <c r="J188" t="inlineStr">
        <is>
          <t>EN 748 (Safety Standards for Football Goals) - EU ONLY</t>
        </is>
      </c>
    </row>
    <row r="189">
      <c r="F189" t="inlineStr">
        <is>
          <t>Coconut oil diethanolamine condensate (cocamide diethanolamine)</t>
        </is>
      </c>
      <c r="H189" t="inlineStr">
        <is>
          <t>Saint Lucia</t>
        </is>
      </c>
      <c r="J189" t="inlineStr">
        <is>
          <t>EN 997:2018</t>
        </is>
      </c>
    </row>
    <row r="190">
      <c r="F190" t="inlineStr">
        <is>
          <t>Codeine phosphate</t>
        </is>
      </c>
      <c r="H190" t="inlineStr">
        <is>
          <t>Saint Martin</t>
        </is>
      </c>
      <c r="J190" t="inlineStr">
        <is>
          <t>Energy Label Type</t>
        </is>
      </c>
    </row>
    <row r="191">
      <c r="F191" t="inlineStr">
        <is>
          <t>Coke oven emissions</t>
        </is>
      </c>
      <c r="H191" t="inlineStr">
        <is>
          <t>Saint Pierre and Miquelon</t>
        </is>
      </c>
      <c r="J191" t="inlineStr">
        <is>
          <t>Energy Policy Act 1992 Compliant</t>
        </is>
      </c>
    </row>
    <row r="192">
      <c r="F192" t="inlineStr">
        <is>
          <t>Colchicine</t>
        </is>
      </c>
      <c r="H192" t="inlineStr">
        <is>
          <t>Saint Vincent and the Grenadines</t>
        </is>
      </c>
      <c r="J192" t="inlineStr">
        <is>
          <t>ENERGY STAR Certified</t>
        </is>
      </c>
    </row>
    <row r="193">
      <c r="F193" t="inlineStr">
        <is>
          <t>Conjugated estrogens</t>
        </is>
      </c>
      <c r="H193" t="inlineStr">
        <is>
          <t>Samoa</t>
        </is>
      </c>
      <c r="J193" t="inlineStr">
        <is>
          <t>EPA Compliant</t>
        </is>
      </c>
    </row>
    <row r="194">
      <c r="F194" t="inlineStr">
        <is>
          <t>Creosotes</t>
        </is>
      </c>
      <c r="H194" t="inlineStr">
        <is>
          <t>San Marino</t>
        </is>
      </c>
      <c r="J194" t="inlineStr">
        <is>
          <t>EPA Pesticide Registration Number</t>
        </is>
      </c>
    </row>
    <row r="195">
      <c r="F195" t="inlineStr">
        <is>
          <t>p-Cresidine</t>
        </is>
      </c>
      <c r="H195" t="inlineStr">
        <is>
          <t>Sao Tome and Principe</t>
        </is>
      </c>
      <c r="J195" t="inlineStr">
        <is>
          <t>EPP Compliant</t>
        </is>
      </c>
    </row>
    <row r="196">
      <c r="F196" t="inlineStr">
        <is>
          <t>Cumene</t>
        </is>
      </c>
      <c r="H196" t="inlineStr">
        <is>
          <t>Saudi Arabia</t>
        </is>
      </c>
      <c r="J196" t="inlineStr">
        <is>
          <t>ETL Listed</t>
        </is>
      </c>
    </row>
    <row r="197">
      <c r="F197" t="inlineStr">
        <is>
          <t>Cupferron</t>
        </is>
      </c>
      <c r="H197" t="inlineStr">
        <is>
          <t>Senegal</t>
        </is>
      </c>
      <c r="J197" t="inlineStr">
        <is>
          <t>EU 2018/1513</t>
        </is>
      </c>
    </row>
    <row r="198">
      <c r="F198" t="inlineStr">
        <is>
          <t>Cyanazine</t>
        </is>
      </c>
      <c r="H198" t="inlineStr">
        <is>
          <t>Serbia</t>
        </is>
      </c>
      <c r="J198" t="inlineStr">
        <is>
          <t>EU Energy Efficiency Class</t>
        </is>
      </c>
    </row>
    <row r="199">
      <c r="F199" t="inlineStr">
        <is>
          <t>Cycasin</t>
        </is>
      </c>
      <c r="H199" t="inlineStr">
        <is>
          <t>Seychelles</t>
        </is>
      </c>
      <c r="J199" t="inlineStr">
        <is>
          <t>EuroLatex ECO-Standard</t>
        </is>
      </c>
    </row>
    <row r="200">
      <c r="F200" t="inlineStr">
        <is>
          <t>Cycloate</t>
        </is>
      </c>
      <c r="H200" t="inlineStr">
        <is>
          <t>Sierra Leone</t>
        </is>
      </c>
      <c r="J200" t="inlineStr">
        <is>
          <t>FCC Compliant</t>
        </is>
      </c>
    </row>
    <row r="201">
      <c r="F201" t="inlineStr">
        <is>
          <t>Cycloheximide</t>
        </is>
      </c>
      <c r="H201" t="inlineStr">
        <is>
          <t>Singapore</t>
        </is>
      </c>
      <c r="J201" t="inlineStr">
        <is>
          <t>FCC Part 15 Compliant</t>
        </is>
      </c>
    </row>
    <row r="202">
      <c r="F202" t="inlineStr">
        <is>
          <t>Cyclopenta[cd]pyrene</t>
        </is>
      </c>
      <c r="H202" t="inlineStr">
        <is>
          <t>Slovakia</t>
        </is>
      </c>
      <c r="J202" t="inlineStr">
        <is>
          <t>FCC Part 68 Compliant</t>
        </is>
      </c>
    </row>
    <row r="203">
      <c r="F203" t="inlineStr">
        <is>
          <t>Cyclophosphamide (anhydrous)</t>
        </is>
      </c>
      <c r="H203" t="inlineStr">
        <is>
          <t>Slovenia</t>
        </is>
      </c>
      <c r="J203" t="inlineStr">
        <is>
          <t>FIRA Certified</t>
        </is>
      </c>
    </row>
    <row r="204">
      <c r="F204" t="inlineStr">
        <is>
          <t>Cyclophosphamide (hydrated)</t>
        </is>
      </c>
      <c r="H204" t="inlineStr">
        <is>
          <t>Solomon Islands</t>
        </is>
      </c>
      <c r="J204" t="inlineStr">
        <is>
          <t>Fire Rated</t>
        </is>
      </c>
    </row>
    <row r="205">
      <c r="F205" t="inlineStr">
        <is>
          <t>Cyhexatin</t>
        </is>
      </c>
      <c r="H205" t="inlineStr">
        <is>
          <t>Somalia</t>
        </is>
      </c>
      <c r="J205" t="inlineStr">
        <is>
          <t>FISP Certified</t>
        </is>
      </c>
    </row>
    <row r="206">
      <c r="F206" t="inlineStr">
        <is>
          <t>Cytarabine</t>
        </is>
      </c>
      <c r="H206" t="inlineStr">
        <is>
          <t>South Africa</t>
        </is>
      </c>
      <c r="J206" t="inlineStr">
        <is>
          <t>FloorScore Certification</t>
        </is>
      </c>
    </row>
    <row r="207">
      <c r="F207" t="inlineStr">
        <is>
          <t>Cytembena</t>
        </is>
      </c>
      <c r="H207" t="inlineStr">
        <is>
          <t>South Georgia and the South Sandwich Islands</t>
        </is>
      </c>
      <c r="J207" t="inlineStr">
        <is>
          <t>FM Approved</t>
        </is>
      </c>
    </row>
    <row r="208">
      <c r="F208" t="inlineStr">
        <is>
          <t>D&amp;C Orange No. 17</t>
        </is>
      </c>
      <c r="H208" t="inlineStr">
        <is>
          <t>Spain</t>
        </is>
      </c>
      <c r="J208" t="inlineStr">
        <is>
          <t>Food Safe</t>
        </is>
      </c>
    </row>
    <row r="209">
      <c r="F209" t="inlineStr">
        <is>
          <t>D&amp;C Red No. 8</t>
        </is>
      </c>
      <c r="H209" t="inlineStr">
        <is>
          <t>Sri Lanka</t>
        </is>
      </c>
      <c r="J209" t="inlineStr">
        <is>
          <t>FSC Certified</t>
        </is>
      </c>
    </row>
    <row r="210">
      <c r="F210" t="inlineStr">
        <is>
          <t>D&amp;C Red No. 9</t>
        </is>
      </c>
      <c r="H210" t="inlineStr">
        <is>
          <t>Sudan</t>
        </is>
      </c>
      <c r="J210" t="inlineStr">
        <is>
          <t>General Certificate of Conformity (GCC)</t>
        </is>
      </c>
    </row>
    <row r="211">
      <c r="F211" t="inlineStr">
        <is>
          <t>D&amp;C Red No. 19</t>
        </is>
      </c>
      <c r="H211" t="inlineStr">
        <is>
          <t>Suriname</t>
        </is>
      </c>
      <c r="J211" t="inlineStr">
        <is>
          <t>Glass Doors and Enclosures Regulations SOR/2016-174</t>
        </is>
      </c>
    </row>
    <row r="212">
      <c r="F212" t="inlineStr">
        <is>
          <t>Dacarbazine</t>
        </is>
      </c>
      <c r="H212" t="inlineStr">
        <is>
          <t>Svalbard and Jan Mayen</t>
        </is>
      </c>
      <c r="J212" t="inlineStr">
        <is>
          <t>Glazed Ceramics and Glassware Regulations SOR/2016-175</t>
        </is>
      </c>
    </row>
    <row r="213">
      <c r="F213" t="inlineStr">
        <is>
          <t>Daminozide</t>
        </is>
      </c>
      <c r="H213" t="inlineStr">
        <is>
          <t>Swaziland</t>
        </is>
      </c>
      <c r="J213" t="inlineStr">
        <is>
          <t>GOLS 3.0 (Global Organic Latex Standard) Certified</t>
        </is>
      </c>
    </row>
    <row r="214">
      <c r="F214" t="inlineStr">
        <is>
          <t>Danazol</t>
        </is>
      </c>
      <c r="H214" t="inlineStr">
        <is>
          <t>Sweden</t>
        </is>
      </c>
      <c r="J214" t="inlineStr">
        <is>
          <t>Goodweave Certified</t>
        </is>
      </c>
    </row>
    <row r="215">
      <c r="F215" t="inlineStr">
        <is>
          <t>Dantron (Chrysazin; 1,8-Dihydroxyanthraquinone)</t>
        </is>
      </c>
      <c r="H215" t="inlineStr">
        <is>
          <t>Switzerland</t>
        </is>
      </c>
      <c r="J215" t="inlineStr">
        <is>
          <t>GOTS 5.0 (Global Organic Textile Standard) Certified</t>
        </is>
      </c>
    </row>
    <row r="216">
      <c r="F216" t="inlineStr">
        <is>
          <t>Daunomycin</t>
        </is>
      </c>
      <c r="H216" t="inlineStr">
        <is>
          <t>Syrian Arab Republic</t>
        </is>
      </c>
      <c r="J216" t="inlineStr">
        <is>
          <t>Green Public Procurement Certified</t>
        </is>
      </c>
    </row>
    <row r="217">
      <c r="F217" t="inlineStr">
        <is>
          <t xml:space="preserve">Daunorubicin hydrochloride </t>
        </is>
      </c>
      <c r="H217" t="inlineStr">
        <is>
          <t>Taiwan</t>
        </is>
      </c>
      <c r="J217" t="inlineStr">
        <is>
          <t>GREENGUARD Certified</t>
        </is>
      </c>
    </row>
    <row r="218">
      <c r="F218" t="inlineStr">
        <is>
          <t>2,4-D butyric acid</t>
        </is>
      </c>
      <c r="H218" t="inlineStr">
        <is>
          <t>Tajikistan</t>
        </is>
      </c>
      <c r="J218" t="inlineStr">
        <is>
          <t>GREENGUARD Gold Certified</t>
        </is>
      </c>
    </row>
    <row r="219">
      <c r="F219" t="inlineStr">
        <is>
          <t>DDD (Dichlorodiphenyl-dichloroethane)</t>
        </is>
      </c>
      <c r="H219" t="inlineStr">
        <is>
          <t>Tanzania, United Republic of</t>
        </is>
      </c>
      <c r="J219" t="inlineStr">
        <is>
          <t>GS (Geprüfte Sicherheit) verzeichnet</t>
        </is>
      </c>
    </row>
    <row r="220">
      <c r="F220" t="inlineStr">
        <is>
          <t>DDE (Dichlorodiphenyl-dichloroethylene)</t>
        </is>
      </c>
      <c r="H220" t="inlineStr">
        <is>
          <t>Thailand</t>
        </is>
      </c>
      <c r="J220" t="inlineStr">
        <is>
          <t>GSA Approved</t>
        </is>
      </c>
    </row>
    <row r="221">
      <c r="F221" t="inlineStr">
        <is>
          <t>DDT (Dichlorodiphenyl-trichloroethane)</t>
        </is>
      </c>
      <c r="H221" t="inlineStr">
        <is>
          <t>Timor-Leste</t>
        </is>
      </c>
      <c r="J221" t="inlineStr">
        <is>
          <t>Health Canada - SOR/2016-176 Compliant</t>
        </is>
      </c>
    </row>
    <row r="222">
      <c r="F222" t="inlineStr">
        <is>
          <t>o,p'-DDT</t>
        </is>
      </c>
      <c r="H222" t="inlineStr">
        <is>
          <t>Togo</t>
        </is>
      </c>
      <c r="J222" t="inlineStr">
        <is>
          <t>Health Canada - SOR/2016-179 Compliant</t>
        </is>
      </c>
    </row>
    <row r="223">
      <c r="F223" t="inlineStr">
        <is>
          <t>p,p'-DDT</t>
        </is>
      </c>
      <c r="H223" t="inlineStr">
        <is>
          <t>Tokelau</t>
        </is>
      </c>
      <c r="J223" t="inlineStr">
        <is>
          <t>Health Canada - SOR/2016-183 Compliant</t>
        </is>
      </c>
    </row>
    <row r="224">
      <c r="F224" t="inlineStr">
        <is>
          <t>DDVP (Dichlorvos)</t>
        </is>
      </c>
      <c r="H224" t="inlineStr">
        <is>
          <t>Tonga</t>
        </is>
      </c>
      <c r="J224" t="inlineStr">
        <is>
          <t>Health Canada Compliant</t>
        </is>
      </c>
    </row>
    <row r="225">
      <c r="F225" t="inlineStr">
        <is>
          <t>Demeclocycline hydrochloride (internal use)</t>
        </is>
      </c>
      <c r="H225" t="inlineStr">
        <is>
          <t>Trinidad and Tobago</t>
        </is>
      </c>
      <c r="J225" t="inlineStr">
        <is>
          <t>HFES 100 Certified Ergonomic</t>
        </is>
      </c>
    </row>
    <row r="226">
      <c r="F226" t="inlineStr">
        <is>
          <t>Des-ethyl atrazine (DEA)</t>
        </is>
      </c>
      <c r="H226" t="inlineStr">
        <is>
          <t>Tunisia</t>
        </is>
      </c>
      <c r="J226" t="inlineStr">
        <is>
          <t>HVI 2100 Certified</t>
        </is>
      </c>
    </row>
    <row r="227">
      <c r="F227" t="inlineStr">
        <is>
          <t>Des-isopropyl atrazine (DIA)</t>
        </is>
      </c>
      <c r="H227" t="inlineStr">
        <is>
          <t>Turkey</t>
        </is>
      </c>
      <c r="J227" t="inlineStr">
        <is>
          <t>HVI Certified</t>
        </is>
      </c>
    </row>
    <row r="228">
      <c r="F228" t="inlineStr">
        <is>
          <t>N,N'-Diacetylbenzidine</t>
        </is>
      </c>
      <c r="H228" t="inlineStr">
        <is>
          <t>Turkmenistan</t>
        </is>
      </c>
      <c r="J228" t="inlineStr">
        <is>
          <t>IAPMO Certified</t>
        </is>
      </c>
    </row>
    <row r="229">
      <c r="F229" t="inlineStr">
        <is>
          <t>2,4-Diaminoanisole</t>
        </is>
      </c>
      <c r="H229" t="inlineStr">
        <is>
          <t>Turks and Caicos Islands</t>
        </is>
      </c>
      <c r="J229" t="inlineStr">
        <is>
          <t>IATA Compliant</t>
        </is>
      </c>
    </row>
    <row r="230">
      <c r="F230" t="inlineStr">
        <is>
          <t>2,4-Diaminoanisole sulfate</t>
        </is>
      </c>
      <c r="H230" t="inlineStr">
        <is>
          <t>Tuvalu</t>
        </is>
      </c>
      <c r="J230" t="inlineStr">
        <is>
          <t>IEC/EN 62471 Compliant</t>
        </is>
      </c>
    </row>
    <row r="231">
      <c r="F231" t="inlineStr">
        <is>
          <t>2,4-Diamino-6-chloro-s-triazine (DACT)</t>
        </is>
      </c>
      <c r="H231" t="inlineStr">
        <is>
          <t>Uganda</t>
        </is>
      </c>
      <c r="J231" t="inlineStr">
        <is>
          <t>Indoor Air Quality Certified</t>
        </is>
      </c>
    </row>
    <row r="232">
      <c r="F232" t="inlineStr">
        <is>
          <t>4,4'-Diaminodiphenyl ether (4,4'-Oxydianiline)</t>
        </is>
      </c>
      <c r="H232" t="inlineStr">
        <is>
          <t>Ukraine</t>
        </is>
      </c>
      <c r="J232" t="inlineStr">
        <is>
          <t>IP Rating</t>
        </is>
      </c>
    </row>
    <row r="233">
      <c r="F233" t="inlineStr">
        <is>
          <t>2,4-Diaminotoluene</t>
        </is>
      </c>
      <c r="H233" t="inlineStr">
        <is>
          <t>United Arab Emirates</t>
        </is>
      </c>
      <c r="J233" t="inlineStr">
        <is>
          <t>IPEMA Certified</t>
        </is>
      </c>
    </row>
    <row r="234">
      <c r="F234" t="inlineStr">
        <is>
          <t>Diazepam</t>
        </is>
      </c>
      <c r="H234" t="inlineStr">
        <is>
          <t>United Kingdom</t>
        </is>
      </c>
      <c r="J234" t="inlineStr">
        <is>
          <t>ISO 14000 Certified</t>
        </is>
      </c>
    </row>
    <row r="235">
      <c r="F235" t="inlineStr">
        <is>
          <t>Diazoaminobenzene</t>
        </is>
      </c>
      <c r="H235" t="inlineStr">
        <is>
          <t>United States Minor Outlying Islands</t>
        </is>
      </c>
      <c r="J235" t="inlineStr">
        <is>
          <t>ISO 14001 Certified</t>
        </is>
      </c>
    </row>
    <row r="236">
      <c r="F236" t="inlineStr">
        <is>
          <t>Diazoxide</t>
        </is>
      </c>
      <c r="H236" t="inlineStr">
        <is>
          <t>Uruguay</t>
        </is>
      </c>
      <c r="J236" t="inlineStr">
        <is>
          <t>ISO 9000 Certified</t>
        </is>
      </c>
    </row>
    <row r="237">
      <c r="F237" t="inlineStr">
        <is>
          <t>Dibenz[a,h]acridine</t>
        </is>
      </c>
      <c r="H237" t="inlineStr">
        <is>
          <t>Uzbekistan</t>
        </is>
      </c>
      <c r="J237" t="inlineStr">
        <is>
          <t>ISO 9001 Certified</t>
        </is>
      </c>
    </row>
    <row r="238">
      <c r="F238" t="inlineStr">
        <is>
          <t>Dibenz[a,j]acridine</t>
        </is>
      </c>
      <c r="H238" t="inlineStr">
        <is>
          <t>Vanuatu</t>
        </is>
      </c>
      <c r="J238" t="inlineStr">
        <is>
          <t>ISTA 1A Certified</t>
        </is>
      </c>
    </row>
    <row r="239">
      <c r="F239" t="inlineStr">
        <is>
          <t>Dibenzanthracenes</t>
        </is>
      </c>
      <c r="H239" t="inlineStr">
        <is>
          <t>Venezuela</t>
        </is>
      </c>
      <c r="J239" t="inlineStr">
        <is>
          <t>ISTA 3A Certified</t>
        </is>
      </c>
    </row>
    <row r="240">
      <c r="F240" t="inlineStr">
        <is>
          <t>Dibenz[a,c]anthracene</t>
        </is>
      </c>
      <c r="H240" t="inlineStr">
        <is>
          <t>Vietnam</t>
        </is>
      </c>
      <c r="J240" t="inlineStr">
        <is>
          <t>ISTA 3A or 6A Certified</t>
        </is>
      </c>
    </row>
    <row r="241">
      <c r="F241" t="inlineStr">
        <is>
          <t>Dibenz[a,h]anthracene</t>
        </is>
      </c>
      <c r="H241" t="inlineStr">
        <is>
          <t>Virgin Islands, British</t>
        </is>
      </c>
      <c r="J241" t="inlineStr">
        <is>
          <t>ISTA1ACertified</t>
        </is>
      </c>
    </row>
    <row r="242">
      <c r="F242" t="inlineStr">
        <is>
          <t>Dibenz[a,j]anthracene</t>
        </is>
      </c>
      <c r="H242" t="inlineStr">
        <is>
          <t>Virgin Islands, U.S.</t>
        </is>
      </c>
      <c r="J242" t="inlineStr">
        <is>
          <t>ISTA3Aor6ACertified</t>
        </is>
      </c>
    </row>
    <row r="243">
      <c r="F243" t="inlineStr">
        <is>
          <t>7H-Dibenzo[c,g]carbazole</t>
        </is>
      </c>
      <c r="H243" t="inlineStr">
        <is>
          <t>Wallis and Futuna</t>
        </is>
      </c>
      <c r="J243" t="inlineStr">
        <is>
          <t>ITSF Compliant</t>
        </is>
      </c>
    </row>
    <row r="244">
      <c r="F244" t="inlineStr">
        <is>
          <t>Dibenzo[a,e]pyrene</t>
        </is>
      </c>
      <c r="H244" t="inlineStr">
        <is>
          <t>Western Sahara</t>
        </is>
      </c>
      <c r="J244" t="inlineStr">
        <is>
          <t>ITTF Approved</t>
        </is>
      </c>
    </row>
    <row r="245">
      <c r="F245" t="inlineStr">
        <is>
          <t>Dibenzo[a,h]pyrene</t>
        </is>
      </c>
      <c r="H245" t="inlineStr">
        <is>
          <t>Yemen</t>
        </is>
      </c>
      <c r="J245" t="inlineStr">
        <is>
          <t>ITTO Compliant</t>
        </is>
      </c>
    </row>
    <row r="246">
      <c r="F246" t="inlineStr">
        <is>
          <t>Dibenzo[a,i]pyrene</t>
        </is>
      </c>
      <c r="H246" t="inlineStr">
        <is>
          <t>Zambia</t>
        </is>
      </c>
      <c r="J246" t="inlineStr">
        <is>
          <t>Janka Hardness Rating (PSI)</t>
        </is>
      </c>
    </row>
    <row r="247">
      <c r="F247" t="inlineStr">
        <is>
          <t>Dibenzo[a,l]pyrene</t>
        </is>
      </c>
      <c r="H247" t="inlineStr">
        <is>
          <t>Zimbabwe</t>
        </is>
      </c>
      <c r="J247" t="inlineStr">
        <is>
          <t>JPMA Certified</t>
        </is>
      </c>
    </row>
    <row r="248">
      <c r="F248" t="inlineStr">
        <is>
          <t>Dibromoacetic acid</t>
        </is>
      </c>
      <c r="H248" t="inlineStr">
        <is>
          <t>United States - APO/FPO/DPO</t>
        </is>
      </c>
      <c r="J248" t="inlineStr">
        <is>
          <t>Kettles Regulations SOR/2016-181</t>
        </is>
      </c>
    </row>
    <row r="249">
      <c r="F249" t="inlineStr">
        <is>
          <t>Dibromoacetonitrile</t>
        </is>
      </c>
      <c r="J249" t="inlineStr">
        <is>
          <t>Lacey Act Compliant</t>
        </is>
      </c>
    </row>
    <row r="250">
      <c r="F250" t="inlineStr">
        <is>
          <t>2,3-Dibromo-1-propanol</t>
        </is>
      </c>
      <c r="J250" t="inlineStr">
        <is>
          <t>LM-79 Certified</t>
        </is>
      </c>
    </row>
    <row r="251">
      <c r="F251" t="inlineStr">
        <is>
          <t>Dichloroacetic acid</t>
        </is>
      </c>
      <c r="J251" t="inlineStr">
        <is>
          <t>LM-80 Certified</t>
        </is>
      </c>
    </row>
    <row r="252">
      <c r="F252" t="inlineStr">
        <is>
          <t>p-Dichlorobenzene</t>
        </is>
      </c>
      <c r="J252" t="inlineStr">
        <is>
          <t>Low Lead Compliant</t>
        </is>
      </c>
    </row>
    <row r="253">
      <c r="F253" t="inlineStr">
        <is>
          <t>3,3'-Dichlorobenzidine</t>
        </is>
      </c>
      <c r="J253" t="inlineStr">
        <is>
          <t>Mattress Flammability Testing - Public Occupancy Use</t>
        </is>
      </c>
    </row>
    <row r="254">
      <c r="F254" t="inlineStr">
        <is>
          <t>3,3'-Dichlorobenzidine dihydrochloride</t>
        </is>
      </c>
      <c r="J254" t="inlineStr">
        <is>
          <t>MERV Rating</t>
        </is>
      </c>
    </row>
    <row r="255">
      <c r="F255" t="inlineStr">
        <is>
          <t>1,1-Dichloro-2,2-bis(p-chloropheny)ethylene (DDE)</t>
        </is>
      </c>
      <c r="J255" t="inlineStr">
        <is>
          <t>MET Listed</t>
        </is>
      </c>
    </row>
    <row r="256">
      <c r="F256" t="inlineStr">
        <is>
          <t>1,4-Dichloro-2-butene</t>
        </is>
      </c>
      <c r="J256" t="inlineStr">
        <is>
          <t>Minnesota 325F.177 Compliant</t>
        </is>
      </c>
    </row>
    <row r="257">
      <c r="F257" t="inlineStr">
        <is>
          <t>3,3'-Dichloro-4,4'-diamino-diphenyl ether</t>
        </is>
      </c>
      <c r="J257" t="inlineStr">
        <is>
          <t>MOHS - Surface Hardness</t>
        </is>
      </c>
    </row>
    <row r="258">
      <c r="F258" t="inlineStr">
        <is>
          <t>1,1-Dichloroethane</t>
        </is>
      </c>
      <c r="J258" t="inlineStr">
        <is>
          <t>NAECA Certified</t>
        </is>
      </c>
    </row>
    <row r="259">
      <c r="F259" t="inlineStr">
        <is>
          <t>Dichloromethane (Methylene chloride)</t>
        </is>
      </c>
      <c r="J259" t="inlineStr">
        <is>
          <t>NAHB Compliant</t>
        </is>
      </c>
    </row>
    <row r="260">
      <c r="F260" t="inlineStr">
        <is>
          <t>Dichlorophene</t>
        </is>
      </c>
      <c r="J260" t="inlineStr">
        <is>
          <t>NEMA Certified</t>
        </is>
      </c>
    </row>
    <row r="261">
      <c r="F261" t="inlineStr">
        <is>
          <t>Dichlorphenamide</t>
        </is>
      </c>
      <c r="J261" t="inlineStr">
        <is>
          <t>New York City Water Regulation Compliant</t>
        </is>
      </c>
    </row>
    <row r="262">
      <c r="F262" t="inlineStr">
        <is>
          <t>1,2-Dichloropropane</t>
        </is>
      </c>
      <c r="J262" t="inlineStr">
        <is>
          <t>NFPA 211 - Standard for Chimeys/ Fireplaces/ Vents and Solid Fuel-Burning Appliances</t>
        </is>
      </c>
    </row>
    <row r="263">
      <c r="F263" t="inlineStr">
        <is>
          <t>1,3-Dichloro-2-propanol (1,3-DCP)</t>
        </is>
      </c>
      <c r="J263" t="inlineStr">
        <is>
          <t>NFPA 253 or ASTM E648 Compliant</t>
        </is>
      </c>
    </row>
    <row r="264">
      <c r="F264" t="inlineStr">
        <is>
          <t>1,3-Dichloropropene</t>
        </is>
      </c>
      <c r="J264" t="inlineStr">
        <is>
          <t>NFPA Compliant</t>
        </is>
      </c>
    </row>
    <row r="265">
      <c r="F265" t="inlineStr">
        <is>
          <t>Dicumarol</t>
        </is>
      </c>
      <c r="J265" t="inlineStr">
        <is>
          <t>NFSI Certified</t>
        </is>
      </c>
    </row>
    <row r="266">
      <c r="F266" t="inlineStr">
        <is>
          <t>Dieldrin</t>
        </is>
      </c>
      <c r="J266" t="inlineStr">
        <is>
          <t>NOMITE Certified</t>
        </is>
      </c>
    </row>
    <row r="267">
      <c r="F267" t="inlineStr">
        <is>
          <t>Diepoxybutane</t>
        </is>
      </c>
      <c r="J267" t="inlineStr">
        <is>
          <t>NRPA Certified</t>
        </is>
      </c>
    </row>
    <row r="268">
      <c r="F268" t="inlineStr">
        <is>
          <t>Diesel engine exhaust</t>
        </is>
      </c>
      <c r="J268" t="inlineStr">
        <is>
          <t>NSF Certified</t>
        </is>
      </c>
    </row>
    <row r="269">
      <c r="F269" t="inlineStr">
        <is>
          <t>Diethanolamine</t>
        </is>
      </c>
      <c r="J269" t="inlineStr">
        <is>
          <t>NSF/ANSI 184 Certified</t>
        </is>
      </c>
    </row>
    <row r="270">
      <c r="F270" t="inlineStr">
        <is>
          <t>Di(2-ethylhexyl)phthalate (DEHP)</t>
        </is>
      </c>
      <c r="J270" t="inlineStr">
        <is>
          <t>NSF/ANSI 3 Certified</t>
        </is>
      </c>
    </row>
    <row r="271">
      <c r="F271" t="inlineStr">
        <is>
          <t>1,2-Diethylhydrazine</t>
        </is>
      </c>
      <c r="J271" t="inlineStr">
        <is>
          <t>FACTS - NSF/ANSI 336 –Compliant</t>
        </is>
      </c>
    </row>
    <row r="272">
      <c r="F272" t="inlineStr">
        <is>
          <t>Diethylstilbestrol (DES)</t>
        </is>
      </c>
      <c r="J272" t="inlineStr">
        <is>
          <t>NSF/ANSI 61 Certified</t>
        </is>
      </c>
    </row>
    <row r="273">
      <c r="F273" t="inlineStr">
        <is>
          <t>Diethyl sulfate</t>
        </is>
      </c>
      <c r="J273" t="inlineStr">
        <is>
          <t>OEKO-TEX Standard 100 Certified</t>
        </is>
      </c>
    </row>
    <row r="274">
      <c r="F274" t="inlineStr">
        <is>
          <t>Diflunisal</t>
        </is>
      </c>
      <c r="J274" t="inlineStr">
        <is>
          <t>OSHA Compliant</t>
        </is>
      </c>
    </row>
    <row r="275">
      <c r="F275" t="inlineStr">
        <is>
          <t>Diglycidyl resorcinol ether (DGRE)</t>
        </is>
      </c>
      <c r="J275" t="inlineStr">
        <is>
          <t>PAT Tested</t>
        </is>
      </c>
    </row>
    <row r="276">
      <c r="F276" t="inlineStr">
        <is>
          <t xml:space="preserve">Dihydroergotamine mesylate </t>
        </is>
      </c>
      <c r="J276" t="inlineStr">
        <is>
          <t>PEFC Certified</t>
        </is>
      </c>
    </row>
    <row r="277">
      <c r="F277" t="inlineStr">
        <is>
          <t>Dihydrosafrole</t>
        </is>
      </c>
      <c r="J277" t="inlineStr">
        <is>
          <t>PEI Rated</t>
        </is>
      </c>
    </row>
    <row r="278">
      <c r="F278" t="inlineStr">
        <is>
          <t>Diisononyl phthalate (DINP)</t>
        </is>
      </c>
      <c r="J278" t="inlineStr">
        <is>
          <t>PEI Rating</t>
        </is>
      </c>
    </row>
    <row r="279">
      <c r="F279" t="inlineStr">
        <is>
          <t>Diisopropyl sulfate</t>
        </is>
      </c>
      <c r="J279" t="inlineStr">
        <is>
          <t>Responsible Down Standard Certified</t>
        </is>
      </c>
    </row>
    <row r="280">
      <c r="F280" t="inlineStr">
        <is>
          <t>Diltiazem hydrochloride</t>
        </is>
      </c>
      <c r="J280" t="inlineStr">
        <is>
          <t>RoHS Compliant</t>
        </is>
      </c>
    </row>
    <row r="281">
      <c r="F281" t="inlineStr">
        <is>
          <t>3,3'-Dimethoxybenzidine (o-Dianisidine)</t>
        </is>
      </c>
      <c r="J281" t="inlineStr">
        <is>
          <t>SATRA Approved</t>
        </is>
      </c>
    </row>
    <row r="282">
      <c r="F282" t="inlineStr">
        <is>
          <t>3,3'-Dimethoxybenzidine dihydrochloride</t>
        </is>
      </c>
      <c r="J282" t="inlineStr">
        <is>
          <t>SCC Compliant</t>
        </is>
      </c>
    </row>
    <row r="283">
      <c r="F283" t="inlineStr">
        <is>
          <t>3,3'-Dimethoxybenzidine-based dyes metabolized to 3,3'-dimethoxybenzidine</t>
        </is>
      </c>
      <c r="J283" t="inlineStr">
        <is>
          <t>SCS Certified</t>
        </is>
      </c>
    </row>
    <row r="284">
      <c r="F284" t="inlineStr">
        <is>
          <t>N,N-Dimethylacetamide</t>
        </is>
      </c>
      <c r="J284" t="inlineStr">
        <is>
          <t>SDWA Compliant</t>
        </is>
      </c>
    </row>
    <row r="285">
      <c r="F285" t="inlineStr">
        <is>
          <t>4-Dimethylaminoazobenzene</t>
        </is>
      </c>
      <c r="J285" t="inlineStr">
        <is>
          <t>SFI Certified</t>
        </is>
      </c>
    </row>
    <row r="286">
      <c r="F286" t="inlineStr">
        <is>
          <t>trans-2-[(Dimethylamino)methylimino]-5-[2-(5-nitro-2-furyl)vinyl]-1,3,4-oxadiazole</t>
        </is>
      </c>
      <c r="J286" t="inlineStr">
        <is>
          <t>SOR/2016-152 - Canadian Regulation - Cribs/ Cradles and Bassinets</t>
        </is>
      </c>
    </row>
    <row r="287">
      <c r="F287" t="inlineStr">
        <is>
          <t>7,12-Dimethylbenz(a)anthracene</t>
        </is>
      </c>
      <c r="J287" t="inlineStr">
        <is>
          <t>SOR/2016-193 - Surface Coating Materials Regulations</t>
        </is>
      </c>
    </row>
    <row r="288">
      <c r="F288" t="inlineStr">
        <is>
          <t>3,3'-Dimethylbenzidine (ortho-Tolidine)</t>
        </is>
      </c>
      <c r="J288" t="inlineStr">
        <is>
          <t>SOR/2018-83 -Consumer Products Containing Lead Regulations</t>
        </is>
      </c>
    </row>
    <row r="289">
      <c r="F289" t="inlineStr">
        <is>
          <t>3,3'-Dimethylbenzidine-based dyes metabolized to 3,3'-dimethylbenzidine</t>
        </is>
      </c>
      <c r="J289" t="inlineStr">
        <is>
          <t>Stiftung Warentest Note</t>
        </is>
      </c>
    </row>
    <row r="290">
      <c r="F290" t="inlineStr">
        <is>
          <t>3,3'-Dimethylbenzidine dihydrochloride</t>
        </is>
      </c>
      <c r="J290" t="inlineStr">
        <is>
          <t>TAA Compliant</t>
        </is>
      </c>
    </row>
    <row r="291">
      <c r="F291" t="inlineStr">
        <is>
          <t>Dimethylcarbamoyl chloride</t>
        </is>
      </c>
      <c r="J291" t="inlineStr">
        <is>
          <t>TCLP Compliant</t>
        </is>
      </c>
    </row>
    <row r="292">
      <c r="F292" t="inlineStr">
        <is>
          <t>N,N-Dimethylformamide</t>
        </is>
      </c>
      <c r="J292" t="inlineStr">
        <is>
          <t>Textile Flammability Regulations SOR/2016-194</t>
        </is>
      </c>
    </row>
    <row r="293">
      <c r="F293" t="inlineStr">
        <is>
          <t>1,1-Dimethylhydrazine (UDMH)</t>
        </is>
      </c>
      <c r="J293" t="inlineStr">
        <is>
          <t>Textile Labelling and Advertising Regulations (C.R.C./ c. 1551)</t>
        </is>
      </c>
    </row>
    <row r="294">
      <c r="F294" t="inlineStr">
        <is>
          <t>1,2-Dimethylhydrazine</t>
        </is>
      </c>
      <c r="J294" t="inlineStr">
        <is>
          <t>Tipover Restraint Device Included</t>
        </is>
      </c>
    </row>
    <row r="295">
      <c r="F295" t="inlineStr">
        <is>
          <t>2,6-Dimethyl-N-nitrosomorpholine (DMNM)</t>
        </is>
      </c>
      <c r="J295" t="inlineStr">
        <is>
          <t>Title 20 - California Code of Regulations</t>
        </is>
      </c>
    </row>
    <row r="296">
      <c r="F296" t="inlineStr">
        <is>
          <t>Dimethyl sulfate</t>
        </is>
      </c>
      <c r="J296" t="inlineStr">
        <is>
          <t>Title 24 Compliant</t>
        </is>
      </c>
    </row>
    <row r="297">
      <c r="F297" t="inlineStr">
        <is>
          <t>N,N-Dimethyl-p-toluidine</t>
        </is>
      </c>
      <c r="J297" t="inlineStr">
        <is>
          <t>Toys Regulations SOR/2016-195</t>
        </is>
      </c>
    </row>
    <row r="298">
      <c r="F298" t="inlineStr">
        <is>
          <t>Dimethylvinylchloride</t>
        </is>
      </c>
      <c r="J298" t="inlineStr">
        <is>
          <t>TSA Compliant</t>
        </is>
      </c>
    </row>
    <row r="299">
      <c r="F299" t="inlineStr">
        <is>
          <t>Di-n-butyl phthalate (DBP)</t>
        </is>
      </c>
      <c r="J299" t="inlineStr">
        <is>
          <t>TSCA Title VI Compliant (formaldehyde emissions)</t>
        </is>
      </c>
    </row>
    <row r="300">
      <c r="F300" t="inlineStr">
        <is>
          <t>3,7-Dinitrofluoranthene</t>
        </is>
      </c>
      <c r="J300" t="inlineStr">
        <is>
          <t>TÜV Rheinland zertifiziert</t>
        </is>
      </c>
    </row>
    <row r="301">
      <c r="F301" t="inlineStr">
        <is>
          <t>3,9-Dinitrofluoranthene</t>
        </is>
      </c>
      <c r="J301" t="inlineStr">
        <is>
          <t>UL 10B Compliant</t>
        </is>
      </c>
    </row>
    <row r="302">
      <c r="F302" t="inlineStr">
        <is>
          <t>1,3-Dinitropyrene</t>
        </is>
      </c>
      <c r="J302" t="inlineStr">
        <is>
          <t>UL 10C Compliant</t>
        </is>
      </c>
    </row>
    <row r="303">
      <c r="F303" t="inlineStr">
        <is>
          <t>1,6-Dinitropyrene</t>
        </is>
      </c>
      <c r="J303" t="inlineStr">
        <is>
          <t>UL 1678 Listed</t>
        </is>
      </c>
    </row>
    <row r="304">
      <c r="F304" t="inlineStr">
        <is>
          <t>1,8-Dinitropyrene</t>
        </is>
      </c>
      <c r="J304" t="inlineStr">
        <is>
          <t>UL 1951 Listed</t>
        </is>
      </c>
    </row>
    <row r="305">
      <c r="F305" t="inlineStr">
        <is>
          <t>2,4-Dinitrotoluene</t>
        </is>
      </c>
      <c r="J305" t="inlineStr">
        <is>
          <t>UL 2108 Listed</t>
        </is>
      </c>
    </row>
    <row r="306">
      <c r="F306" t="inlineStr">
        <is>
          <t>2,6-Dinitrotoluene</t>
        </is>
      </c>
      <c r="J306" t="inlineStr">
        <is>
          <t>UL 4041 - Safety Standard for Outdoor Furniture</t>
        </is>
      </c>
    </row>
    <row r="307">
      <c r="F307" t="inlineStr">
        <is>
          <t>Dinitrotoluene mixture, 2,4-/2,6-</t>
        </is>
      </c>
      <c r="J307" t="inlineStr">
        <is>
          <t>UL Gas-Fired Mark</t>
        </is>
      </c>
    </row>
    <row r="308">
      <c r="F308" t="inlineStr">
        <is>
          <t>Dinocap</t>
        </is>
      </c>
      <c r="J308" t="inlineStr">
        <is>
          <t>UL Listed</t>
        </is>
      </c>
    </row>
    <row r="309">
      <c r="F309" t="inlineStr">
        <is>
          <t>Dinoseb</t>
        </is>
      </c>
      <c r="J309" t="inlineStr">
        <is>
          <t>UN 38.3 Testing Requirements</t>
        </is>
      </c>
    </row>
    <row r="310">
      <c r="F310" t="inlineStr">
        <is>
          <t>Di-n-propyl isocinchomeronate (MGK Repellent 326)</t>
        </is>
      </c>
      <c r="J310" t="inlineStr">
        <is>
          <t>Uniform Packaging and Labeling Regulations (UPLR) Compliant</t>
        </is>
      </c>
    </row>
    <row r="311">
      <c r="F311" t="inlineStr">
        <is>
          <t>1,4-Dioxane</t>
        </is>
      </c>
      <c r="J311" t="inlineStr">
        <is>
          <t>UPC Certified</t>
        </is>
      </c>
    </row>
    <row r="312">
      <c r="F312" t="inlineStr">
        <is>
          <t>Diphenylhydantoin (Phenytoin)</t>
        </is>
      </c>
      <c r="J312" t="inlineStr">
        <is>
          <t>USATT Approved</t>
        </is>
      </c>
    </row>
    <row r="313">
      <c r="F313" t="inlineStr">
        <is>
          <t>Diphenylhydantoin (Phenytoin), sodium salt</t>
        </is>
      </c>
      <c r="J313" t="inlineStr">
        <is>
          <t>USDA Compliant</t>
        </is>
      </c>
    </row>
    <row r="314">
      <c r="F314" t="inlineStr">
        <is>
          <t>Direct Black 38 (technical grade)</t>
        </is>
      </c>
      <c r="J314" t="inlineStr">
        <is>
          <t>USDA Organic/ NOP Certified</t>
        </is>
      </c>
    </row>
    <row r="315">
      <c r="F315" t="inlineStr">
        <is>
          <t>Direct Blue 6 (technical grade)</t>
        </is>
      </c>
      <c r="J315" t="inlineStr">
        <is>
          <t>USPS Approved</t>
        </is>
      </c>
    </row>
    <row r="316">
      <c r="F316" t="inlineStr">
        <is>
          <t>Direct Brown 95 (technical grade)</t>
        </is>
      </c>
      <c r="J316" t="inlineStr">
        <is>
          <t>Vermont Act 193 Compliant</t>
        </is>
      </c>
    </row>
    <row r="317">
      <c r="F317" t="inlineStr">
        <is>
          <t>Disodium cyanodithioimidocarbonate</t>
        </is>
      </c>
      <c r="J317" t="inlineStr">
        <is>
          <t>Washington Children's Safe Product Act</t>
        </is>
      </c>
    </row>
    <row r="318">
      <c r="F318" t="inlineStr">
        <is>
          <t>Disperse Blue 1</t>
        </is>
      </c>
      <c r="J318" t="inlineStr">
        <is>
          <t>Washington State VIAQ Code Compliant</t>
        </is>
      </c>
    </row>
    <row r="319">
      <c r="F319" t="inlineStr">
        <is>
          <t>Diuron</t>
        </is>
      </c>
      <c r="J319" t="inlineStr">
        <is>
          <t>WQA Gold Seal Certified</t>
        </is>
      </c>
    </row>
    <row r="320">
      <c r="F320" t="inlineStr">
        <is>
          <t>Doxorubicin hydrochloride (Adriamycin)</t>
        </is>
      </c>
      <c r="J320" t="inlineStr">
        <is>
          <t>WW-P-541 Certified</t>
        </is>
      </c>
    </row>
    <row r="321">
      <c r="F321" t="inlineStr">
        <is>
          <t>Doxycycline (internal use)</t>
        </is>
      </c>
      <c r="J321" t="inlineStr">
        <is>
          <t>Safety Data Sheets (SDS)</t>
        </is>
      </c>
    </row>
    <row r="322">
      <c r="F322" t="inlineStr">
        <is>
          <t>Doxycycline calcium (internal use)</t>
        </is>
      </c>
      <c r="J322" t="inlineStr">
        <is>
          <t>Canadian Energy Label (EnerGuide)</t>
        </is>
      </c>
    </row>
    <row r="323">
      <c r="F323" t="inlineStr">
        <is>
          <t>Doxycycline hyclate (internal use)</t>
        </is>
      </c>
      <c r="J323" t="inlineStr">
        <is>
          <t>GS Marked</t>
        </is>
      </c>
    </row>
    <row r="324">
      <c r="F324" t="inlineStr">
        <is>
          <t>Doxycycline monohydrate (internal use)</t>
        </is>
      </c>
      <c r="J324" t="inlineStr">
        <is>
          <t>DIN EN 1860</t>
        </is>
      </c>
    </row>
    <row r="325">
      <c r="F325" t="inlineStr">
        <is>
          <t>Emissions from combustion of coal</t>
        </is>
      </c>
      <c r="J325" t="inlineStr">
        <is>
          <t>EN 17072:2018</t>
        </is>
      </c>
    </row>
    <row r="326">
      <c r="F326" t="inlineStr">
        <is>
          <t>Emissions from high-temperature unrefined rapeseed oil</t>
        </is>
      </c>
      <c r="J326" t="inlineStr">
        <is>
          <t>UKCA Marked</t>
        </is>
      </c>
    </row>
    <row r="327">
      <c r="F327" t="inlineStr">
        <is>
          <t>Endrin</t>
        </is>
      </c>
      <c r="J327" t="inlineStr">
        <is>
          <t>ASTM F1169-19 Compliant - Safety Specification for Full Sized Baby Cribs</t>
        </is>
      </c>
    </row>
    <row r="328">
      <c r="F328" t="inlineStr">
        <is>
          <t>Environmental tobacco smoke (ETS)</t>
        </is>
      </c>
      <c r="J328" t="inlineStr">
        <is>
          <t>ASTM F2933-19 Certified</t>
        </is>
      </c>
    </row>
    <row r="329">
      <c r="F329" t="inlineStr">
        <is>
          <t>Epichlorohydrin</t>
        </is>
      </c>
      <c r="J329" t="inlineStr">
        <is>
          <t>ASTM F1912-19 Certified</t>
        </is>
      </c>
    </row>
    <row r="330">
      <c r="F330" t="inlineStr">
        <is>
          <t>Epoxiconazole</t>
        </is>
      </c>
      <c r="J330" t="inlineStr">
        <is>
          <t>ASTM F2088-20 Certified</t>
        </is>
      </c>
    </row>
    <row r="331">
      <c r="F331" t="inlineStr">
        <is>
          <t>Ergotamine tartrate</t>
        </is>
      </c>
      <c r="J331" t="inlineStr">
        <is>
          <t>ASTM F1427-19 - Consumer Safety Specification for Bunk Beds</t>
        </is>
      </c>
    </row>
    <row r="332">
      <c r="F332" t="inlineStr">
        <is>
          <t>Estradiol 17B</t>
        </is>
      </c>
      <c r="J332" t="inlineStr">
        <is>
          <t>ASTM F2085-19 Certified</t>
        </is>
      </c>
    </row>
    <row r="333">
      <c r="F333" t="inlineStr">
        <is>
          <t>Estragole</t>
        </is>
      </c>
      <c r="J333" t="inlineStr">
        <is>
          <t>ASTM F2613-19 Certified</t>
        </is>
      </c>
    </row>
    <row r="334">
      <c r="F334" t="inlineStr">
        <is>
          <t>Estrogens, steroidal</t>
        </is>
      </c>
      <c r="J334" t="inlineStr">
        <is>
          <t>ASTM F3084-20 Certified</t>
        </is>
      </c>
    </row>
    <row r="335">
      <c r="F335" t="inlineStr">
        <is>
          <t>Estrogen-progestogen (combined) used as menopausal therapy</t>
        </is>
      </c>
      <c r="J335" t="inlineStr">
        <is>
          <t>TÜV SÜD Certified</t>
        </is>
      </c>
    </row>
    <row r="336">
      <c r="F336" t="inlineStr">
        <is>
          <t>Estrone</t>
        </is>
      </c>
      <c r="J336" t="inlineStr">
        <is>
          <t>BS EN 442-1:2014 - Requirements for Radiators and Convectors</t>
        </is>
      </c>
    </row>
    <row r="337">
      <c r="F337" t="inlineStr">
        <is>
          <t>Estropipate</t>
        </is>
      </c>
      <c r="J337" t="inlineStr">
        <is>
          <t>CSA B45.5/IAPMO Z124</t>
        </is>
      </c>
    </row>
    <row r="338">
      <c r="F338" t="inlineStr">
        <is>
          <t>Ethanol in alcoholic beverages</t>
        </is>
      </c>
      <c r="J338" t="inlineStr">
        <is>
          <t>ASTM F3429 / F3429M – 20 Compliant - Standard Specification for Disposable Flammable Liquid Fuel Containers</t>
        </is>
      </c>
    </row>
    <row r="339">
      <c r="F339" t="inlineStr">
        <is>
          <t>Ethinylestradiol</t>
        </is>
      </c>
      <c r="J339" t="inlineStr">
        <is>
          <t>REACH (Registration/ Evaluation/ Authorisation and Restriction of Chemicals) Compliant</t>
        </is>
      </c>
    </row>
    <row r="340">
      <c r="F340" t="inlineStr">
        <is>
          <t>Ethionamide</t>
        </is>
      </c>
      <c r="J340" t="inlineStr">
        <is>
          <t>ASTM F1148-20</t>
        </is>
      </c>
    </row>
    <row r="341">
      <c r="F341" t="inlineStr">
        <is>
          <t>Ethoprop</t>
        </is>
      </c>
      <c r="J341" t="inlineStr">
        <is>
          <t>EN 1130:2019 (Safety Requirements for Cribs and Cradles) - EU ONLY</t>
        </is>
      </c>
    </row>
    <row r="342">
      <c r="F342" t="inlineStr">
        <is>
          <t>Ethyl acrylate</t>
        </is>
      </c>
      <c r="J342" t="inlineStr">
        <is>
          <t>UK General Product Safety Regulation</t>
        </is>
      </c>
    </row>
    <row r="343">
      <c r="F343" t="inlineStr">
        <is>
          <t>Ethyl alcohol in alcoholic beverages</t>
        </is>
      </c>
      <c r="J343" t="inlineStr">
        <is>
          <t>EN 16582 - Requirements for Domestic Swimming Pools</t>
        </is>
      </c>
    </row>
    <row r="344">
      <c r="F344" t="inlineStr">
        <is>
          <t>Ethylbenzene</t>
        </is>
      </c>
      <c r="J344" t="inlineStr">
        <is>
          <t>EN 16713 - Requirements for Filtration Systems/ Circulation Systems/ and Treatment in Domestic Swimming Pools</t>
        </is>
      </c>
    </row>
    <row r="345">
      <c r="F345" t="inlineStr">
        <is>
          <t>Ethyl dipropylthiocarbamate</t>
        </is>
      </c>
      <c r="J345" t="inlineStr">
        <is>
          <t>EN 1021 1&amp;2 - Furniture Flammability Standard</t>
        </is>
      </c>
    </row>
    <row r="346">
      <c r="F346" t="inlineStr">
        <is>
          <t>Ethyl-4,4'-dichlorobenzilate</t>
        </is>
      </c>
      <c r="J346" t="inlineStr">
        <is>
          <t>FIRA/FRQG C001:2016 - General Safety Requirements for Children's Furniture</t>
        </is>
      </c>
    </row>
    <row r="347">
      <c r="F347" t="inlineStr">
        <is>
          <t>Ethylene dibromide</t>
        </is>
      </c>
      <c r="J347" t="inlineStr">
        <is>
          <t>BS 8509 - British Safety Standard for Children's Beds</t>
        </is>
      </c>
    </row>
    <row r="348">
      <c r="F348" t="inlineStr">
        <is>
          <t>Ethylene dichloride (1,2-Dichloroethane)</t>
        </is>
      </c>
      <c r="J348" t="inlineStr">
        <is>
          <t>FIRA/FRQG C002:2016 - Seating: Requirements for Strength/ Stability/ and Durability</t>
        </is>
      </c>
    </row>
    <row r="349">
      <c r="F349" t="inlineStr">
        <is>
          <t>Ethylene glycol (ingested)</t>
        </is>
      </c>
      <c r="J349" t="inlineStr">
        <is>
          <t>FIRA/FRQG C003:2016 - Tables and desks: Requirements for strength/ stability and durability</t>
        </is>
      </c>
    </row>
    <row r="350">
      <c r="F350" t="inlineStr">
        <is>
          <t>Ethylene glycol monoethyl ether</t>
        </is>
      </c>
      <c r="J350" t="inlineStr">
        <is>
          <t>FIRA/FRQG C004:2016 - Storage furniture – Requirements for strength/ stability and durability</t>
        </is>
      </c>
    </row>
    <row r="351">
      <c r="F351" t="inlineStr">
        <is>
          <t>Ethylene glycol monoethyl ether acetate</t>
        </is>
      </c>
      <c r="J351" t="inlineStr">
        <is>
          <t>EN 71-8:2018 Compliant</t>
        </is>
      </c>
    </row>
    <row r="352">
      <c r="F352" t="inlineStr">
        <is>
          <t>Ethylene glycol monomethyl ether</t>
        </is>
      </c>
      <c r="J352" t="inlineStr">
        <is>
          <t>EN 71-1:2014 + A1:2018</t>
        </is>
      </c>
    </row>
    <row r="353">
      <c r="F353" t="inlineStr">
        <is>
          <t>Ethylene glycol monomethyl ether acetate</t>
        </is>
      </c>
      <c r="J353" t="inlineStr">
        <is>
          <t>EN 62115:2005+A11:2012</t>
        </is>
      </c>
    </row>
    <row r="354">
      <c r="F354" t="inlineStr">
        <is>
          <t>Ethyleneimine (Aziridine)</t>
        </is>
      </c>
      <c r="J354" t="inlineStr">
        <is>
          <t>EU: 2006/42/EC - EU Machinery Directive</t>
        </is>
      </c>
    </row>
    <row r="355">
      <c r="F355" t="inlineStr">
        <is>
          <t>Ethylene oxide</t>
        </is>
      </c>
      <c r="J355" t="inlineStr">
        <is>
          <t>CPSC - 16 CFR 1222 Compliant</t>
        </is>
      </c>
    </row>
    <row r="356">
      <c r="F356" t="inlineStr">
        <is>
          <t>Ethylene thiourea</t>
        </is>
      </c>
      <c r="J356" t="inlineStr">
        <is>
          <t>CPSC 16 CFR 1227.2</t>
        </is>
      </c>
    </row>
    <row r="357">
      <c r="F357" t="inlineStr">
        <is>
          <t>Ethyl methanesulfonate</t>
        </is>
      </c>
      <c r="J357" t="inlineStr">
        <is>
          <t>EN 16890: 2017</t>
        </is>
      </c>
    </row>
    <row r="358">
      <c r="F358" t="inlineStr">
        <is>
          <t>Etodolac</t>
        </is>
      </c>
      <c r="J358" t="inlineStr">
        <is>
          <t>SOR/2016-167 - Carriages and Strollers Regulations</t>
        </is>
      </c>
    </row>
    <row r="359">
      <c r="F359" t="inlineStr">
        <is>
          <t>Etoposide</t>
        </is>
      </c>
      <c r="J359" t="inlineStr">
        <is>
          <t>Recycled Content</t>
        </is>
      </c>
    </row>
    <row r="360">
      <c r="F360" t="inlineStr">
        <is>
          <t>Etoposide in combination with cisplatin and bleomycin</t>
        </is>
      </c>
      <c r="J360" t="inlineStr">
        <is>
          <t>Global Recycled Standard (Textile Exchange) Certified</t>
        </is>
      </c>
    </row>
    <row r="361">
      <c r="F361" t="inlineStr">
        <is>
          <t>Etretinate</t>
        </is>
      </c>
      <c r="J361" t="inlineStr">
        <is>
          <t>Recycled Claim Standard (Textile Exchange) Certified</t>
        </is>
      </c>
    </row>
    <row r="362">
      <c r="F362" t="inlineStr">
        <is>
          <t>Fenoxaprop ethyl</t>
        </is>
      </c>
      <c r="J362" t="inlineStr">
        <is>
          <t>ISO 14021 Recycled Content Standard Certified</t>
        </is>
      </c>
    </row>
    <row r="363">
      <c r="F363" t="inlineStr">
        <is>
          <t>Fenoxycarb</t>
        </is>
      </c>
      <c r="J363" t="inlineStr">
        <is>
          <t>Organic Content Standard (Textile Exchange) Certified</t>
        </is>
      </c>
    </row>
    <row r="364">
      <c r="F364" t="inlineStr">
        <is>
          <t>Filgrastim</t>
        </is>
      </c>
      <c r="J364" t="inlineStr">
        <is>
          <t>Asthma and Allergy Friendly Certified</t>
        </is>
      </c>
    </row>
    <row r="365">
      <c r="F365" t="inlineStr">
        <is>
          <t>Fluazifop butyl</t>
        </is>
      </c>
      <c r="J365" t="inlineStr">
        <is>
          <t>British Allergy Foundation Seal of Approval</t>
        </is>
      </c>
    </row>
    <row r="366">
      <c r="F366" t="inlineStr">
        <is>
          <t>Flunisolide</t>
        </is>
      </c>
      <c r="J366" t="inlineStr">
        <is>
          <t>Carbon Neutral Certifications</t>
        </is>
      </c>
    </row>
    <row r="367">
      <c r="F367" t="inlineStr">
        <is>
          <t>Fluorouracil</t>
        </is>
      </c>
      <c r="J367" t="inlineStr">
        <is>
          <t>Golden M Certified</t>
        </is>
      </c>
    </row>
    <row r="368">
      <c r="F368" t="inlineStr">
        <is>
          <t>Fluoxymesterone</t>
        </is>
      </c>
      <c r="J368" t="inlineStr">
        <is>
          <t>MAS Certified Green</t>
        </is>
      </c>
    </row>
    <row r="369">
      <c r="F369" t="inlineStr">
        <is>
          <t>Flurazepam hydrochloride</t>
        </is>
      </c>
      <c r="J369" t="inlineStr">
        <is>
          <t>FloorScore Certified</t>
        </is>
      </c>
    </row>
    <row r="370">
      <c r="F370" t="inlineStr">
        <is>
          <t>Flurbiprofen</t>
        </is>
      </c>
      <c r="J370" t="inlineStr">
        <is>
          <t>CertiPUR-EU Certified</t>
        </is>
      </c>
    </row>
    <row r="371">
      <c r="F371" t="inlineStr">
        <is>
          <t>Flutamide</t>
        </is>
      </c>
      <c r="J371" t="inlineStr">
        <is>
          <t>EU Ecolabel</t>
        </is>
      </c>
    </row>
    <row r="372">
      <c r="F372" t="inlineStr">
        <is>
          <t>Fluticasone propionate</t>
        </is>
      </c>
      <c r="J372" t="inlineStr">
        <is>
          <t>EPA WaterSense Certified</t>
        </is>
      </c>
    </row>
    <row r="373">
      <c r="F373" t="inlineStr">
        <is>
          <t>Fluvalinate</t>
        </is>
      </c>
      <c r="J373" t="inlineStr">
        <is>
          <t>Blue Angel Certified</t>
        </is>
      </c>
    </row>
    <row r="374">
      <c r="F374" t="inlineStr">
        <is>
          <t>Folpet</t>
        </is>
      </c>
      <c r="J374" t="inlineStr">
        <is>
          <t>Responsible Down Standard (Textile Exchange) Certified</t>
        </is>
      </c>
    </row>
    <row r="375">
      <c r="F375" t="inlineStr">
        <is>
          <t>Formaldehyde (gas)</t>
        </is>
      </c>
      <c r="J375" t="inlineStr">
        <is>
          <t>Bluesign Certified</t>
        </is>
      </c>
    </row>
    <row r="376">
      <c r="F376" t="inlineStr">
        <is>
          <t>2-(2-Formylhydrazino)-4-(5-nitro-2-furyl)thiazole</t>
        </is>
      </c>
      <c r="J376" t="inlineStr">
        <is>
          <t>GreenScreen Certified</t>
        </is>
      </c>
    </row>
    <row r="377">
      <c r="F377" t="inlineStr">
        <is>
          <t>Fumonisin B1</t>
        </is>
      </c>
      <c r="J377" t="inlineStr">
        <is>
          <t>MADE SAFE Certified</t>
        </is>
      </c>
    </row>
    <row r="378">
      <c r="F378" t="inlineStr">
        <is>
          <t>Furan</t>
        </is>
      </c>
      <c r="J378" t="inlineStr">
        <is>
          <t>Responsible Wool Standard (Textile Exchange) Certified</t>
        </is>
      </c>
    </row>
    <row r="379">
      <c r="F379" t="inlineStr">
        <is>
          <t>Furazolidone</t>
        </is>
      </c>
      <c r="J379" t="inlineStr">
        <is>
          <t>Das Kork Logo Certified</t>
        </is>
      </c>
    </row>
    <row r="380">
      <c r="F380" t="inlineStr">
        <is>
          <t>Furfuryl alcohol</t>
        </is>
      </c>
      <c r="J380" t="inlineStr">
        <is>
          <t>DGM Emissions Label for Furniture</t>
        </is>
      </c>
    </row>
    <row r="381">
      <c r="F381" t="inlineStr">
        <is>
          <t>Furmecyclox</t>
        </is>
      </c>
      <c r="J381" t="inlineStr">
        <is>
          <t>GUT Label</t>
        </is>
      </c>
    </row>
    <row r="382">
      <c r="F382" t="inlineStr">
        <is>
          <t>Fusarin C</t>
        </is>
      </c>
      <c r="J382" t="inlineStr">
        <is>
          <t>LEVEL - ANSI/BIFMA e3 Furniture Sustainability Standard - Certified</t>
        </is>
      </c>
    </row>
    <row r="383">
      <c r="F383" t="inlineStr">
        <is>
          <t>Gallium arsenide</t>
        </is>
      </c>
      <c r="J383" t="inlineStr">
        <is>
          <t>Natureplus Eco-Label</t>
        </is>
      </c>
    </row>
    <row r="384">
      <c r="F384" t="inlineStr">
        <is>
          <t>Ganciclovir</t>
        </is>
      </c>
      <c r="J384" t="inlineStr">
        <is>
          <t>NATURLEDER IVN Certified</t>
        </is>
      </c>
    </row>
    <row r="385">
      <c r="F385" t="inlineStr">
        <is>
          <t>Ganciclovir sodium</t>
        </is>
      </c>
      <c r="J385" t="inlineStr">
        <is>
          <t>NATURTEXTIL IVN Certified BEST</t>
        </is>
      </c>
    </row>
    <row r="386">
      <c r="F386" t="inlineStr">
        <is>
          <t>Gasoline engine exhaust (condensates/extracts)</t>
        </is>
      </c>
      <c r="J386" t="inlineStr">
        <is>
          <t>ÖkoControl Seal</t>
        </is>
      </c>
    </row>
    <row r="387">
      <c r="F387" t="inlineStr">
        <is>
          <t>Gemfibrozil</t>
        </is>
      </c>
      <c r="J387" t="inlineStr">
        <is>
          <t>Sustainability Assessment for Carpet - NSF/ANSI 140 - Compliant</t>
        </is>
      </c>
    </row>
    <row r="388">
      <c r="F388" t="inlineStr">
        <is>
          <t>Glass wool fibers (inhalable and biopersistent)</t>
        </is>
      </c>
      <c r="J388" t="inlineStr">
        <is>
          <t>Sustainability Assessment for Wallcovering Products - NSF/ANSI 342 - Compliant</t>
        </is>
      </c>
    </row>
    <row r="389">
      <c r="F389" t="inlineStr">
        <is>
          <t>Glu-P-1 (2-Amino-6-methyldipyrido[1,2- a:3',2'-d]imidazole)</t>
        </is>
      </c>
      <c r="J389" t="inlineStr">
        <is>
          <t>Type III Product Specific Environmental Product Declaration (EPD)</t>
        </is>
      </c>
    </row>
    <row r="390">
      <c r="F390" t="inlineStr">
        <is>
          <t>Glu-P-2 (2-Aminodipyrido[1,2-a:3',2'-d]imidazole)</t>
        </is>
      </c>
      <c r="J390" t="inlineStr">
        <is>
          <t>UL ECOLOGO Certified</t>
        </is>
      </c>
    </row>
    <row r="391">
      <c r="F391" t="inlineStr">
        <is>
          <t>Glycidaldehyde</t>
        </is>
      </c>
      <c r="J391" t="inlineStr">
        <is>
          <t>USDA BioBased Product</t>
        </is>
      </c>
    </row>
    <row r="392">
      <c r="F392" t="inlineStr">
        <is>
          <t>Glycidol</t>
        </is>
      </c>
      <c r="J392" t="inlineStr">
        <is>
          <t>DOWNPASS Certified</t>
        </is>
      </c>
    </row>
    <row r="393">
      <c r="F393" t="inlineStr">
        <is>
          <t>Glyphosate</t>
        </is>
      </c>
      <c r="J393" t="inlineStr">
        <is>
          <t>Green Squared (G2) Certified</t>
        </is>
      </c>
    </row>
    <row r="394">
      <c r="F394" t="inlineStr">
        <is>
          <t>Goldenseal root powder</t>
        </is>
      </c>
      <c r="J394" t="inlineStr">
        <is>
          <t>FairTrade Certified</t>
        </is>
      </c>
    </row>
    <row r="395">
      <c r="F395" t="inlineStr">
        <is>
          <t>Goserelin acetate</t>
        </is>
      </c>
      <c r="J395" t="inlineStr">
        <is>
          <t>FairTrade Certified Cotton</t>
        </is>
      </c>
    </row>
    <row r="396">
      <c r="F396" t="inlineStr">
        <is>
          <t>Griseofulvin</t>
        </is>
      </c>
      <c r="J396" t="inlineStr">
        <is>
          <t>FSC 100% Certified</t>
        </is>
      </c>
    </row>
    <row r="397">
      <c r="F397" t="inlineStr">
        <is>
          <t>Gyromitrin (Acetaldehyde methylformylhydrazone)</t>
        </is>
      </c>
      <c r="J397" t="inlineStr">
        <is>
          <t>FSC MIX Certified</t>
        </is>
      </c>
    </row>
    <row r="398">
      <c r="F398" t="inlineStr">
        <is>
          <t>Halazepam</t>
        </is>
      </c>
      <c r="J398" t="inlineStr">
        <is>
          <t>FSC Recycled</t>
        </is>
      </c>
    </row>
    <row r="399">
      <c r="F399" t="inlineStr">
        <is>
          <t>Halobetasol propionate</t>
        </is>
      </c>
      <c r="J399" t="inlineStr">
        <is>
          <t>SFI Certified Sourcing</t>
        </is>
      </c>
    </row>
    <row r="400">
      <c r="F400" t="inlineStr">
        <is>
          <t>Haloperidol</t>
        </is>
      </c>
      <c r="J400" t="inlineStr">
        <is>
          <t>SFI Chain-of-Custody Certified</t>
        </is>
      </c>
    </row>
    <row r="401">
      <c r="F401" t="inlineStr">
        <is>
          <t>Halothane</t>
        </is>
      </c>
      <c r="J401" t="inlineStr">
        <is>
          <t>SFI Fiber Sourcing Certified</t>
        </is>
      </c>
    </row>
    <row r="402">
      <c r="F402" t="inlineStr">
        <is>
          <t>HC Blue 1</t>
        </is>
      </c>
      <c r="J402" t="inlineStr">
        <is>
          <t>ENERGY STAR Canada Certified</t>
        </is>
      </c>
    </row>
    <row r="403">
      <c r="F403" t="inlineStr">
        <is>
          <t>Heptachlor</t>
        </is>
      </c>
      <c r="J403" t="inlineStr">
        <is>
          <t>Carbon Neutral - PAS 2060 - Certified</t>
        </is>
      </c>
    </row>
    <row r="404">
      <c r="F404" t="inlineStr">
        <is>
          <t>Heptachlor epoxide</t>
        </is>
      </c>
      <c r="J404" t="inlineStr">
        <is>
          <t>Carbonfree Product Certification</t>
        </is>
      </c>
    </row>
    <row r="405">
      <c r="F405" t="inlineStr">
        <is>
          <t>Herbal remedies containing plant species of the genus Aristolochia</t>
        </is>
      </c>
      <c r="J405" t="inlineStr">
        <is>
          <t>Indoor Advantage Certified</t>
        </is>
      </c>
    </row>
    <row r="406">
      <c r="F406" t="inlineStr">
        <is>
          <t>Hexachlorobenzene</t>
        </is>
      </c>
      <c r="J406" t="inlineStr">
        <is>
          <t>Indoor Advantage Gold Certified</t>
        </is>
      </c>
    </row>
    <row r="407">
      <c r="F407" t="inlineStr">
        <is>
          <t>Hexachlorobutadiene</t>
        </is>
      </c>
      <c r="J407" t="inlineStr">
        <is>
          <t>Indoor Air Comfort Certified</t>
        </is>
      </c>
    </row>
    <row r="408">
      <c r="F408" t="inlineStr">
        <is>
          <t>Hexachlorodibenzodioxin</t>
        </is>
      </c>
      <c r="J408" t="inlineStr">
        <is>
          <t>Indoor Air Comfort GOLD Certified</t>
        </is>
      </c>
    </row>
    <row r="409">
      <c r="F409" t="inlineStr">
        <is>
          <t>Hexachloroethane</t>
        </is>
      </c>
      <c r="J409" t="inlineStr">
        <is>
          <t>OEKO-TEX LEATHER STANDARD Certified</t>
        </is>
      </c>
    </row>
    <row r="410">
      <c r="F410" t="inlineStr">
        <is>
          <t>2,4-Hexadienal (89% trans, trans isomer; 11% cis, trans isomer)</t>
        </is>
      </c>
      <c r="J410" t="inlineStr">
        <is>
          <t>OEKO-TEX MADE IN GREEN Certified</t>
        </is>
      </c>
    </row>
    <row r="411">
      <c r="F411" t="inlineStr">
        <is>
          <t>Hexafluoroacetone</t>
        </is>
      </c>
      <c r="J411" t="inlineStr">
        <is>
          <t>Cradle to Cradle Material Health Certificate</t>
        </is>
      </c>
    </row>
    <row r="412">
      <c r="F412" t="inlineStr">
        <is>
          <t>Hexamethylphosphoramide</t>
        </is>
      </c>
      <c r="J412" t="inlineStr">
        <is>
          <t>eco-INSTITUT-Label</t>
        </is>
      </c>
    </row>
    <row r="413">
      <c r="F413" t="inlineStr">
        <is>
          <t>Histrelin acetate</t>
        </is>
      </c>
      <c r="J413" t="inlineStr">
        <is>
          <t>CARB Certified (Ozone Emissions for Air Cleaners)</t>
        </is>
      </c>
    </row>
    <row r="414">
      <c r="F414" t="inlineStr">
        <is>
          <t>Hydramethylnon</t>
        </is>
      </c>
      <c r="J414" t="inlineStr">
        <is>
          <t>EN 1103:2006</t>
        </is>
      </c>
    </row>
    <row r="415">
      <c r="F415" t="inlineStr">
        <is>
          <t>Hydrazine</t>
        </is>
      </c>
      <c r="J415" t="inlineStr">
        <is>
          <t>Code of Practice for Fire Safety of Furnishings and Fittings in Places of Assembly</t>
        </is>
      </c>
    </row>
    <row r="416">
      <c r="F416" t="inlineStr">
        <is>
          <t>Hydrazine sulfate</t>
        </is>
      </c>
      <c r="J416" t="inlineStr">
        <is>
          <t>EN 13773</t>
        </is>
      </c>
    </row>
    <row r="417">
      <c r="F417" t="inlineStr">
        <is>
          <t>Hydrazobenzene (1,2-Diphenylhydrazine)</t>
        </is>
      </c>
      <c r="J417" t="inlineStr">
        <is>
          <t>I.S. 419:2011</t>
        </is>
      </c>
    </row>
    <row r="418">
      <c r="F418" t="inlineStr">
        <is>
          <t>1-Hydroxyanthraquinone</t>
        </is>
      </c>
      <c r="J418" t="inlineStr">
        <is>
          <t>ÖNORM A3800-1</t>
        </is>
      </c>
    </row>
    <row r="419">
      <c r="F419" t="inlineStr">
        <is>
          <t>Hydroxyurea</t>
        </is>
      </c>
      <c r="J419" t="inlineStr">
        <is>
          <t>ÖNORM B 3825</t>
        </is>
      </c>
    </row>
    <row r="420">
      <c r="F420" t="inlineStr">
        <is>
          <t>Idarubicin hydrochloride</t>
        </is>
      </c>
      <c r="J420" t="inlineStr">
        <is>
          <t>EN 14619:2019</t>
        </is>
      </c>
    </row>
    <row r="421">
      <c r="F421" t="inlineStr">
        <is>
          <t>Ifosfamide</t>
        </is>
      </c>
      <c r="J421" t="inlineStr">
        <is>
          <t>Product Attestation</t>
        </is>
      </c>
    </row>
    <row r="422">
      <c r="F422" t="inlineStr">
        <is>
          <t>Iodine-131</t>
        </is>
      </c>
      <c r="J422" t="inlineStr">
        <is>
          <t>California Carpet Stewardship Program Compliant</t>
        </is>
      </c>
    </row>
    <row r="423">
      <c r="F423" t="inlineStr">
        <is>
          <t>Imazalil</t>
        </is>
      </c>
      <c r="J423" t="inlineStr">
        <is>
          <t>Is Responsible Person Information Available</t>
        </is>
      </c>
    </row>
    <row r="424">
      <c r="F424" t="inlineStr">
        <is>
          <t>Indeno[1,2,3-cd]pyrene</t>
        </is>
      </c>
      <c r="J424" t="inlineStr">
        <is>
          <t>FIRA/FRQG C001: 2021 Furniture - Children’s Domestic Furniture – General Safety Requirements</t>
        </is>
      </c>
    </row>
    <row r="425">
      <c r="F425" t="inlineStr">
        <is>
          <t>Indium phosphide</t>
        </is>
      </c>
      <c r="J425" t="inlineStr">
        <is>
          <t>BS EN 17191:2021</t>
        </is>
      </c>
    </row>
    <row r="426">
      <c r="F426" t="inlineStr">
        <is>
          <t>IQ (2-Amino-3-methylimidazo[4,5-f] quinoline)</t>
        </is>
      </c>
      <c r="J426" t="inlineStr">
        <is>
          <t>FIRA/FRQG C003: 2021 Furniture - Children’s Domestic Furniture – Tables &amp; Desks – Requirements for Strength/ Stability and Durability</t>
        </is>
      </c>
    </row>
    <row r="427">
      <c r="F427" t="inlineStr">
        <is>
          <t>Iprodione</t>
        </is>
      </c>
      <c r="J427" t="inlineStr">
        <is>
          <t>National Minority Supplier Development Council Certification</t>
        </is>
      </c>
    </row>
    <row r="428">
      <c r="F428" t="inlineStr">
        <is>
          <t>Iron dextran complex</t>
        </is>
      </c>
      <c r="J428" t="inlineStr">
        <is>
          <t>Small Business Administration Certification</t>
        </is>
      </c>
    </row>
    <row r="429">
      <c r="F429" t="inlineStr">
        <is>
          <t>Isobutyl nitrite</t>
        </is>
      </c>
      <c r="J429" t="inlineStr">
        <is>
          <t>SupplierGATEWAY Enhanced Digital Certification</t>
        </is>
      </c>
    </row>
    <row r="430">
      <c r="F430" t="inlineStr">
        <is>
          <t>Isoprene</t>
        </is>
      </c>
      <c r="J430" t="inlineStr">
        <is>
          <t>System for Award Management Certification</t>
        </is>
      </c>
    </row>
    <row r="431">
      <c r="F431" t="inlineStr">
        <is>
          <t>Isopyrazam</t>
        </is>
      </c>
      <c r="J431" t="inlineStr">
        <is>
          <t>Women’s Business Enterprise National Council Certification</t>
        </is>
      </c>
    </row>
    <row r="432">
      <c r="F432" t="inlineStr">
        <is>
          <t>Isotretinoin</t>
        </is>
      </c>
      <c r="J432" t="inlineStr">
        <is>
          <t>Other Minority Business Enterprise Certification</t>
        </is>
      </c>
    </row>
    <row r="433">
      <c r="F433" t="inlineStr">
        <is>
          <t>Isoxaflutole</t>
        </is>
      </c>
      <c r="J433" t="inlineStr">
        <is>
          <t>&gt; 50% Black/ Women or LatinX Certification</t>
        </is>
      </c>
    </row>
    <row r="434">
      <c r="F434" t="inlineStr">
        <is>
          <t>Kresoxim-methyl</t>
        </is>
      </c>
      <c r="J434" t="inlineStr">
        <is>
          <t>EU Food Contact Regulation - Plastics</t>
        </is>
      </c>
    </row>
    <row r="435">
      <c r="F435" t="inlineStr">
        <is>
          <t>Lactofen</t>
        </is>
      </c>
      <c r="J435" t="inlineStr">
        <is>
          <t>Fairtrade International Certified - Sports Ball</t>
        </is>
      </c>
    </row>
    <row r="436">
      <c r="F436" t="inlineStr">
        <is>
          <t>Lasiocarpine</t>
        </is>
      </c>
      <c r="J436" t="inlineStr">
        <is>
          <t>FLOCERT Expiration Date</t>
        </is>
      </c>
    </row>
    <row r="437">
      <c r="F437" t="inlineStr">
        <is>
          <t>Lead</t>
        </is>
      </c>
      <c r="J437" t="inlineStr">
        <is>
          <t>CANFER Compliant</t>
        </is>
      </c>
    </row>
    <row r="438">
      <c r="F438" t="inlineStr">
        <is>
          <t>Lead and lead compounds</t>
        </is>
      </c>
      <c r="J438" t="inlineStr">
        <is>
          <t>ASTM F2710-19 Compliant</t>
        </is>
      </c>
    </row>
    <row r="439">
      <c r="F439" t="inlineStr">
        <is>
          <t>Lead acetate</t>
        </is>
      </c>
      <c r="J439" t="inlineStr">
        <is>
          <t>CPSC 16 CFR 1207</t>
        </is>
      </c>
    </row>
    <row r="440">
      <c r="F440" t="inlineStr">
        <is>
          <t>Lead phosphate</t>
        </is>
      </c>
      <c r="J440" t="inlineStr">
        <is>
          <t>ASTM F1004-22 Compliant</t>
        </is>
      </c>
    </row>
    <row r="441">
      <c r="F441" t="inlineStr">
        <is>
          <t>Lead subacetate</t>
        </is>
      </c>
      <c r="J441" t="inlineStr">
        <is>
          <t>BS EN 14960 Compliant (Inflatables)</t>
        </is>
      </c>
    </row>
    <row r="442">
      <c r="F442" t="inlineStr">
        <is>
          <t>Leather dust</t>
        </is>
      </c>
      <c r="J442" t="inlineStr">
        <is>
          <t>EN 14468-1:2015 Compliant (Table Tennis Tables)</t>
        </is>
      </c>
    </row>
    <row r="443">
      <c r="F443" t="inlineStr">
        <is>
          <t>Leuprolide acetate</t>
        </is>
      </c>
      <c r="J443" t="inlineStr">
        <is>
          <t>BS 7972:2001+A1:2009 Compliant (Children's bedguards)</t>
        </is>
      </c>
    </row>
    <row r="444">
      <c r="F444" t="inlineStr">
        <is>
          <t>Levodopa</t>
        </is>
      </c>
      <c r="J444" t="inlineStr">
        <is>
          <t>Energy Efficiency Regulations Compliant</t>
        </is>
      </c>
    </row>
    <row r="445">
      <c r="F445" t="inlineStr">
        <is>
          <t>Lindane and other hexachlorocyclohexane isomers</t>
        </is>
      </c>
      <c r="J445" t="inlineStr">
        <is>
          <t>EU/UK Timber Compliant</t>
        </is>
      </c>
    </row>
    <row r="446">
      <c r="F446" t="inlineStr">
        <is>
          <t>Linuron</t>
        </is>
      </c>
      <c r="J446" t="inlineStr">
        <is>
          <t>SOR/2023-101 - Carriages and Strollers</t>
        </is>
      </c>
    </row>
    <row r="447">
      <c r="F447" t="inlineStr">
        <is>
          <t>Lithium carbonate</t>
        </is>
      </c>
      <c r="J447" t="inlineStr">
        <is>
          <t>ASTM F2388-21</t>
        </is>
      </c>
    </row>
    <row r="448">
      <c r="F448" t="inlineStr">
        <is>
          <t>Lithium citrate</t>
        </is>
      </c>
      <c r="J448" t="inlineStr">
        <is>
          <t>EN 16779-1: 2018</t>
        </is>
      </c>
    </row>
    <row r="449">
      <c r="F449" t="inlineStr">
        <is>
          <t>Lorazepam</t>
        </is>
      </c>
      <c r="J449" t="inlineStr">
        <is>
          <t>ASTM F406-22</t>
        </is>
      </c>
    </row>
    <row r="450">
      <c r="F450" t="inlineStr">
        <is>
          <t>Lovastatin</t>
        </is>
      </c>
      <c r="J450" t="inlineStr">
        <is>
          <t>ANSI Z21.11.2-2019</t>
        </is>
      </c>
    </row>
    <row r="451">
      <c r="F451" t="inlineStr">
        <is>
          <t>Lynestrenol</t>
        </is>
      </c>
      <c r="J451" t="inlineStr">
        <is>
          <t>ASTM B117-19</t>
        </is>
      </c>
    </row>
    <row r="452">
      <c r="F452" t="inlineStr">
        <is>
          <t>Malathion</t>
        </is>
      </c>
      <c r="J452" t="inlineStr">
        <is>
          <t>CPSC - 40 CFR 60</t>
        </is>
      </c>
    </row>
    <row r="453">
      <c r="F453" t="inlineStr">
        <is>
          <t>Malonaldehyde, sodium salt</t>
        </is>
      </c>
      <c r="J453" t="inlineStr">
        <is>
          <t>CSA / ANSI Z21.58:22</t>
        </is>
      </c>
    </row>
    <row r="454">
      <c r="F454" t="inlineStr">
        <is>
          <t>Mancozeb</t>
        </is>
      </c>
      <c r="J454" t="inlineStr">
        <is>
          <t>CSA / ANSI Z83.26:20</t>
        </is>
      </c>
    </row>
    <row r="455">
      <c r="F455" t="inlineStr">
        <is>
          <t>Maneb</t>
        </is>
      </c>
      <c r="J455" t="inlineStr">
        <is>
          <t>EC No. 1907/2006 Annex XVII</t>
        </is>
      </c>
    </row>
    <row r="456">
      <c r="F456" t="inlineStr">
        <is>
          <t>Marijuana smoke</t>
        </is>
      </c>
      <c r="J456" t="inlineStr">
        <is>
          <t>EC No. 1935/2004</t>
        </is>
      </c>
    </row>
    <row r="457">
      <c r="F457" t="inlineStr">
        <is>
          <t>Me-A-alpha-C (2-Amino-3-methyl-9H-pyrido[2,3-b]indole)</t>
        </is>
      </c>
      <c r="J457" t="inlineStr">
        <is>
          <t>FDA Generally Recognized as Safe (GRAS)</t>
        </is>
      </c>
    </row>
    <row r="458">
      <c r="F458" t="inlineStr">
        <is>
          <t>Mebendazole</t>
        </is>
      </c>
      <c r="J458" t="inlineStr">
        <is>
          <t>UL 1278 4th Ed</t>
        </is>
      </c>
    </row>
    <row r="459">
      <c r="F459" t="inlineStr">
        <is>
          <t>Medroxyprogesterone acetate</t>
        </is>
      </c>
      <c r="J459" t="inlineStr">
        <is>
          <t>UL 2021 4th Ed</t>
        </is>
      </c>
    </row>
    <row r="460">
      <c r="F460" t="inlineStr">
        <is>
          <t>Megestrol acetate</t>
        </is>
      </c>
      <c r="J460" t="inlineStr">
        <is>
          <t>EN 12520</t>
        </is>
      </c>
    </row>
    <row r="461">
      <c r="F461" t="inlineStr">
        <is>
          <t>MeIQ (2-Amino-3,4-dimethylimidazo[4,5-f]quinoline)</t>
        </is>
      </c>
      <c r="J461" t="inlineStr">
        <is>
          <t>BS EN 16781</t>
        </is>
      </c>
    </row>
    <row r="462">
      <c r="F462" t="inlineStr">
        <is>
          <t>MeIQx (2-Amino-3,8-dimethylimidazo[4,5-f]quinoxaline)</t>
        </is>
      </c>
      <c r="J462" t="inlineStr">
        <is>
          <t>ASTM F2057-23 (STURDY)</t>
        </is>
      </c>
    </row>
    <row r="463">
      <c r="F463" t="inlineStr">
        <is>
          <t>Melphalan</t>
        </is>
      </c>
      <c r="J463" t="inlineStr">
        <is>
          <t>EN 16780: 2018</t>
        </is>
      </c>
    </row>
    <row r="464">
      <c r="F464" t="inlineStr">
        <is>
          <t>Menotropins</t>
        </is>
      </c>
      <c r="J464" t="inlineStr">
        <is>
          <t>ASTM F2613-21</t>
        </is>
      </c>
    </row>
    <row r="465">
      <c r="F465" t="inlineStr">
        <is>
          <t>Mepanipyrim</t>
        </is>
      </c>
      <c r="J465" t="inlineStr">
        <is>
          <t>ASTM F1427-21e1</t>
        </is>
      </c>
    </row>
    <row r="466">
      <c r="F466" t="inlineStr">
        <is>
          <t>Meprobamate</t>
        </is>
      </c>
      <c r="J466" t="inlineStr">
        <is>
          <t>Unified Water Label</t>
        </is>
      </c>
    </row>
    <row r="467">
      <c r="F467" t="inlineStr">
        <is>
          <t>2-Mercaptobenzothiazole</t>
        </is>
      </c>
      <c r="J467" t="inlineStr">
        <is>
          <t>CPSC - 16 CFR 1241</t>
        </is>
      </c>
    </row>
    <row r="468">
      <c r="F468" t="inlineStr">
        <is>
          <t>Mercaptopurine</t>
        </is>
      </c>
      <c r="J468" t="inlineStr">
        <is>
          <t>CPSC - 16 CFR 1263 Compliant (Reese's Law)</t>
        </is>
      </c>
    </row>
    <row r="469">
      <c r="F469" t="inlineStr">
        <is>
          <t>Mercury and mercury compounds</t>
        </is>
      </c>
      <c r="J469" t="inlineStr">
        <is>
          <t>Commercial Warranty</t>
        </is>
      </c>
    </row>
    <row r="470">
      <c r="F470" t="inlineStr">
        <is>
          <t>Merphalan</t>
        </is>
      </c>
      <c r="J470" t="inlineStr">
        <is>
          <t>EU 2024/590</t>
        </is>
      </c>
    </row>
    <row r="471">
      <c r="F471" t="inlineStr">
        <is>
          <t>Mestranol</t>
        </is>
      </c>
      <c r="J471" t="inlineStr">
        <is>
          <t>BS EN 597-1</t>
        </is>
      </c>
    </row>
    <row r="472">
      <c r="F472" t="inlineStr">
        <is>
          <t>Metam potassium</t>
        </is>
      </c>
      <c r="J472" t="inlineStr">
        <is>
          <t>ASTM F1912-21 Compliant</t>
        </is>
      </c>
    </row>
    <row r="473">
      <c r="F473" t="inlineStr">
        <is>
          <t>Methacycline hydrochloride</t>
        </is>
      </c>
      <c r="J473" t="inlineStr">
        <is>
          <t>ASTM F963-23 Compliant</t>
        </is>
      </c>
    </row>
    <row r="474">
      <c r="F474" t="inlineStr">
        <is>
          <t>Metham sodium</t>
        </is>
      </c>
      <c r="J474" t="inlineStr">
        <is>
          <t>FIRA/FRQG C004:2016 + A1 2017</t>
        </is>
      </c>
    </row>
    <row r="475">
      <c r="F475" t="inlineStr">
        <is>
          <t>Methanol</t>
        </is>
      </c>
      <c r="J475" t="inlineStr">
        <is>
          <t>EUDR</t>
        </is>
      </c>
    </row>
    <row r="476">
      <c r="F476" t="inlineStr">
        <is>
          <t>Methazole</t>
        </is>
      </c>
      <c r="J476" t="inlineStr">
        <is>
          <t>CA PFAS</t>
        </is>
      </c>
    </row>
    <row r="477">
      <c r="F477" t="inlineStr">
        <is>
          <t>Methimazole</t>
        </is>
      </c>
      <c r="J477" t="inlineStr">
        <is>
          <t>CPSC - 16 CFR 1242</t>
        </is>
      </c>
    </row>
    <row r="478">
      <c r="F478" t="inlineStr">
        <is>
          <t>Methotrexate</t>
        </is>
      </c>
      <c r="J478" t="inlineStr">
        <is>
          <t>EU General Product Safety Regulation</t>
        </is>
      </c>
    </row>
    <row r="479">
      <c r="F479" t="inlineStr">
        <is>
          <t>Methotrexate sodium</t>
        </is>
      </c>
      <c r="J479" t="inlineStr">
        <is>
          <t>EPA Compliant - Step 2 Certified</t>
        </is>
      </c>
    </row>
    <row r="480">
      <c r="F480" t="inlineStr">
        <is>
          <t>5-Methoxypsoralen with ultraviolet A therapy</t>
        </is>
      </c>
      <c r="J480" t="inlineStr">
        <is>
          <t>ANSI/WCMA A100.1-2018 Standard</t>
        </is>
      </c>
    </row>
    <row r="481">
      <c r="F481" t="inlineStr">
        <is>
          <t>8-Methoxypsoralen with ultraviolet A therapy</t>
        </is>
      </c>
      <c r="J481" t="inlineStr">
        <is>
          <t>SOR/2019-97 - Corded Window Coverings Regulations</t>
        </is>
      </c>
    </row>
    <row r="482">
      <c r="F482" t="inlineStr">
        <is>
          <t>2-Methylaziridine (Propyleneimine)</t>
        </is>
      </c>
      <c r="J482" t="inlineStr">
        <is>
          <t>ANSI/BIFMA X6.4 Occasional-Use Seating Standard</t>
        </is>
      </c>
    </row>
    <row r="483">
      <c r="F483" t="inlineStr">
        <is>
          <t>Methylazoxymethanol</t>
        </is>
      </c>
      <c r="J483" t="inlineStr">
        <is>
          <t>ASTM F1148-22</t>
        </is>
      </c>
    </row>
    <row r="484">
      <c r="F484" t="inlineStr">
        <is>
          <t>Methylazoxymethanol acetate</t>
        </is>
      </c>
      <c r="J484" t="inlineStr">
        <is>
          <t>SOR/2016 - 217</t>
        </is>
      </c>
    </row>
    <row r="485">
      <c r="F485" t="inlineStr">
        <is>
          <t>Methyl bromide, as a structural fumigant</t>
        </is>
      </c>
      <c r="J485" t="inlineStr">
        <is>
          <t>16 CFR 1235</t>
        </is>
      </c>
    </row>
    <row r="486">
      <c r="F486" t="inlineStr">
        <is>
          <t>Methyl carbamate</t>
        </is>
      </c>
      <c r="J486" t="inlineStr">
        <is>
          <t>ASTM F2088-24</t>
        </is>
      </c>
    </row>
    <row r="487">
      <c r="F487" t="inlineStr">
        <is>
          <t>Methyl chloride</t>
        </is>
      </c>
      <c r="J487" t="inlineStr">
        <is>
          <t>16 CFR 1243</t>
        </is>
      </c>
    </row>
    <row r="488">
      <c r="F488" t="inlineStr">
        <is>
          <t>3-Methylcholanthrene</t>
        </is>
      </c>
      <c r="J488" t="inlineStr">
        <is>
          <t>IS 419 / EN 1021</t>
        </is>
      </c>
    </row>
    <row r="489">
      <c r="F489" t="inlineStr">
        <is>
          <t>5-Methylchrysene</t>
        </is>
      </c>
      <c r="J489" t="inlineStr">
        <is>
          <t>IS 419 / EN 597/ EN 16890</t>
        </is>
      </c>
    </row>
    <row r="490">
      <c r="F490" t="inlineStr">
        <is>
          <t>4,4'-Methylene bis(2-chloroaniline)</t>
        </is>
      </c>
      <c r="J490" t="inlineStr">
        <is>
          <t>IS 419 / EN 597</t>
        </is>
      </c>
    </row>
    <row r="491">
      <c r="F491" t="inlineStr">
        <is>
          <t>4,4'-Methylene bis(N,N-dimethyl)benzenamine</t>
        </is>
      </c>
      <c r="J491" t="inlineStr">
        <is>
          <t>ASTM-1917-23</t>
        </is>
      </c>
    </row>
    <row r="492">
      <c r="F492" t="inlineStr">
        <is>
          <t>4,4'-Methylene bis(2-methylaniline)</t>
        </is>
      </c>
      <c r="J492" t="inlineStr">
        <is>
          <t>Low Voltage Directive</t>
        </is>
      </c>
    </row>
    <row r="493">
      <c r="F493" t="inlineStr">
        <is>
          <t>4,4'-Methylenedianiline</t>
        </is>
      </c>
      <c r="J493" t="inlineStr">
        <is>
          <t>Children's Furniture Safety and Stability</t>
        </is>
      </c>
    </row>
    <row r="494">
      <c r="F494" t="inlineStr">
        <is>
          <t>4,4'-Methylenedianiline dihydrochloride</t>
        </is>
      </c>
      <c r="J494" t="inlineStr">
        <is>
          <t>CPSC - 16 CFR 1224</t>
        </is>
      </c>
    </row>
    <row r="495">
      <c r="F495" t="inlineStr">
        <is>
          <t>Methyleugenol</t>
        </is>
      </c>
      <c r="J495" t="inlineStr">
        <is>
          <t>ASTM F2276-23 (General Mechanical Requirements)</t>
        </is>
      </c>
    </row>
    <row r="496">
      <c r="F496" t="inlineStr">
        <is>
          <t>Methylhydrazine and its salts</t>
        </is>
      </c>
      <c r="J496" t="inlineStr">
        <is>
          <t>ASTM F2276-23 or ASTM F2810-15</t>
        </is>
      </c>
    </row>
    <row r="497">
      <c r="F497" t="inlineStr">
        <is>
          <t>2-Methylimidazole</t>
        </is>
      </c>
      <c r="J497" t="inlineStr">
        <is>
          <t>ASTM F2276-23 or ASTM F1250-20</t>
        </is>
      </c>
    </row>
    <row r="498">
      <c r="F498" t="inlineStr">
        <is>
          <t>4-Methylimidazole</t>
        </is>
      </c>
      <c r="J498" t="inlineStr">
        <is>
          <t>ASTM F2276-23 or ASTM F2216-17a</t>
        </is>
      </c>
    </row>
    <row r="499">
      <c r="F499" t="inlineStr">
        <is>
          <t>Methyl iodide</t>
        </is>
      </c>
      <c r="J499" t="inlineStr">
        <is>
          <t>ASTM F2276-23 or ASTM F3105-20</t>
        </is>
      </c>
    </row>
    <row r="500">
      <c r="F500" t="inlineStr">
        <is>
          <t>Methyl isobutyl ketone</t>
        </is>
      </c>
      <c r="J500" t="inlineStr">
        <is>
          <t>ASTM F2276-23 or ASTM F2115-25</t>
        </is>
      </c>
    </row>
    <row r="501">
      <c r="F501" t="inlineStr">
        <is>
          <t>Methyl isobutyl ketone (MIBK)</t>
        </is>
      </c>
      <c r="J501" t="inlineStr">
        <is>
          <t>UL 1647 (Electrical Safety)</t>
        </is>
      </c>
    </row>
    <row r="502">
      <c r="F502" t="inlineStr">
        <is>
          <t>Methyl isocyanate (MIC)</t>
        </is>
      </c>
      <c r="J502" t="inlineStr">
        <is>
          <t>In-House Contract-Quality Testing Document</t>
        </is>
      </c>
    </row>
    <row r="503">
      <c r="F503" t="inlineStr">
        <is>
          <t>Methyl mercury</t>
        </is>
      </c>
      <c r="J503" t="inlineStr">
        <is>
          <t>Contract Grade Signed Verification Letter</t>
        </is>
      </c>
    </row>
    <row r="504">
      <c r="F504" t="inlineStr">
        <is>
          <t>Methylmercury compounds</t>
        </is>
      </c>
      <c r="J504" t="inlineStr">
        <is>
          <t>SOR/2018-186</t>
        </is>
      </c>
    </row>
    <row r="505">
      <c r="F505" t="inlineStr">
        <is>
          <t>Methyl methanesulfonate</t>
        </is>
      </c>
      <c r="J505" t="inlineStr">
        <is>
          <t>SOR/2024-217</t>
        </is>
      </c>
    </row>
    <row r="506">
      <c r="F506" t="inlineStr">
        <is>
          <t>Methyl-n-butyl ketone</t>
        </is>
      </c>
      <c r="J506" t="inlineStr">
        <is>
          <t>Certified Egyptian Cotton</t>
        </is>
      </c>
    </row>
    <row r="507">
      <c r="F507" t="inlineStr">
        <is>
          <t>2-Methyl-1-nitroanthraquinone (of uncertain purity)</t>
        </is>
      </c>
    </row>
    <row r="508">
      <c r="F508" t="inlineStr">
        <is>
          <t>N-Methyl-N'-nitro-N-nitrosoguanidine</t>
        </is>
      </c>
    </row>
    <row r="509">
      <c r="F509" t="inlineStr">
        <is>
          <t>N-Methylolacrylamide</t>
        </is>
      </c>
    </row>
    <row r="510">
      <c r="F510" t="inlineStr">
        <is>
          <t>N-Methylpyrrolidone</t>
        </is>
      </c>
    </row>
    <row r="511">
      <c r="F511" t="inlineStr">
        <is>
          <t>α-Methyl styrene (alpha-Methylstyrene)</t>
        </is>
      </c>
    </row>
    <row r="512">
      <c r="F512" t="inlineStr">
        <is>
          <t>Methyltestosterone</t>
        </is>
      </c>
    </row>
    <row r="513">
      <c r="F513" t="inlineStr">
        <is>
          <t>Methylthiouracil</t>
        </is>
      </c>
    </row>
    <row r="514">
      <c r="F514" t="inlineStr">
        <is>
          <t>Metiram</t>
        </is>
      </c>
    </row>
    <row r="515">
      <c r="F515" t="inlineStr">
        <is>
          <t>Metronidazole</t>
        </is>
      </c>
    </row>
    <row r="516">
      <c r="F516" t="inlineStr">
        <is>
          <t>Michler's ketone</t>
        </is>
      </c>
    </row>
    <row r="517">
      <c r="F517" t="inlineStr">
        <is>
          <t>Midazolam hydrochloride</t>
        </is>
      </c>
    </row>
    <row r="518">
      <c r="F518" t="inlineStr">
        <is>
          <t>Minocycline hydrochloride (internal use)</t>
        </is>
      </c>
    </row>
    <row r="519">
      <c r="F519" t="inlineStr">
        <is>
          <t>Mirex</t>
        </is>
      </c>
    </row>
    <row r="520">
      <c r="F520" t="inlineStr">
        <is>
          <t>Misoprostol</t>
        </is>
      </c>
    </row>
    <row r="521">
      <c r="F521" t="inlineStr">
        <is>
          <t>Mitomycin C</t>
        </is>
      </c>
    </row>
    <row r="522">
      <c r="F522" t="inlineStr">
        <is>
          <t>Mitoxantrone hydrochloride</t>
        </is>
      </c>
    </row>
    <row r="523">
      <c r="F523" t="inlineStr">
        <is>
          <t>Molinate</t>
        </is>
      </c>
    </row>
    <row r="524">
      <c r="F524" t="inlineStr">
        <is>
          <t>MON 4660 (dichloroacetyl-1-oxa-4-azaspiro(4,5)-decane</t>
        </is>
      </c>
    </row>
    <row r="525">
      <c r="F525" t="inlineStr">
        <is>
          <t>MON 13900 (furilazole)</t>
        </is>
      </c>
    </row>
    <row r="526">
      <c r="F526" t="inlineStr">
        <is>
          <t>3-Monochloropropane-1,2-diol (3-MCPD)</t>
        </is>
      </c>
    </row>
    <row r="527">
      <c r="F527" t="inlineStr">
        <is>
          <t>Monocrotaline</t>
        </is>
      </c>
    </row>
    <row r="528">
      <c r="F528" t="inlineStr">
        <is>
          <t>MOPP (vincristine-prednisone-nitrogen mustard-procarbazine mixture)</t>
        </is>
      </c>
    </row>
    <row r="529">
      <c r="F529" t="inlineStr">
        <is>
          <t>5-(Morpholinomethyl)-3-[(5-nitrofurfuryl-idene)-amino]-2-oxazolidinone</t>
        </is>
      </c>
    </row>
    <row r="530">
      <c r="F530" t="inlineStr">
        <is>
          <t>Mustard Gas</t>
        </is>
      </c>
    </row>
    <row r="531">
      <c r="F531" t="inlineStr">
        <is>
          <t>MX (3-chloro-4-dichloromethyl-5-hydroxy-2(5H)-furanone)</t>
        </is>
      </c>
    </row>
    <row r="532">
      <c r="F532" t="inlineStr">
        <is>
          <t>Myclobutanil</t>
        </is>
      </c>
    </row>
    <row r="533">
      <c r="F533" t="inlineStr">
        <is>
          <t>beta-Myrcene</t>
        </is>
      </c>
    </row>
    <row r="534">
      <c r="F534" t="inlineStr">
        <is>
          <t>Nabam</t>
        </is>
      </c>
    </row>
    <row r="535">
      <c r="F535" t="inlineStr">
        <is>
          <t>Nafarelin acetate</t>
        </is>
      </c>
    </row>
    <row r="536">
      <c r="F536" t="inlineStr">
        <is>
          <t>Nafenopin</t>
        </is>
      </c>
    </row>
    <row r="537">
      <c r="F537" t="inlineStr">
        <is>
          <t>Nalidixic acid</t>
        </is>
      </c>
    </row>
    <row r="538">
      <c r="F538" t="inlineStr">
        <is>
          <t>Naphthalene</t>
        </is>
      </c>
    </row>
    <row r="539">
      <c r="F539" t="inlineStr">
        <is>
          <t>1-Naphthylamine</t>
        </is>
      </c>
    </row>
    <row r="540">
      <c r="F540" t="inlineStr">
        <is>
          <t>2-Naphthylamine</t>
        </is>
      </c>
    </row>
    <row r="541">
      <c r="F541" t="inlineStr">
        <is>
          <t>Neomycin sulfate (internal use)</t>
        </is>
      </c>
    </row>
    <row r="542">
      <c r="F542" t="inlineStr">
        <is>
          <t>Netilmicin sulfate</t>
        </is>
      </c>
    </row>
    <row r="543">
      <c r="F543" t="inlineStr">
        <is>
          <t>Nickel (Metallic)</t>
        </is>
      </c>
    </row>
    <row r="544">
      <c r="F544" t="inlineStr">
        <is>
          <t>Nickel acetate</t>
        </is>
      </c>
    </row>
    <row r="545">
      <c r="F545" t="inlineStr">
        <is>
          <t>Nickel carbonate</t>
        </is>
      </c>
    </row>
    <row r="546">
      <c r="F546" t="inlineStr">
        <is>
          <t>Nickel carbonyl</t>
        </is>
      </c>
    </row>
    <row r="547">
      <c r="F547" t="inlineStr">
        <is>
          <t>Nickel compounds</t>
        </is>
      </c>
    </row>
    <row r="548">
      <c r="F548" t="inlineStr">
        <is>
          <t>Nickelocene</t>
        </is>
      </c>
    </row>
    <row r="549">
      <c r="F549" t="inlineStr">
        <is>
          <t>Nickel oxide</t>
        </is>
      </c>
    </row>
    <row r="550">
      <c r="F550" t="inlineStr">
        <is>
          <t>Nickel refinery dust from the pyrometallurgical process</t>
        </is>
      </c>
    </row>
    <row r="551">
      <c r="F551" t="inlineStr">
        <is>
          <t>Nickel subsulfide</t>
        </is>
      </c>
    </row>
    <row r="552">
      <c r="F552" t="inlineStr">
        <is>
          <t>Nicotine</t>
        </is>
      </c>
    </row>
    <row r="553">
      <c r="F553" t="inlineStr">
        <is>
          <t>Nifedipine</t>
        </is>
      </c>
    </row>
    <row r="554">
      <c r="F554" t="inlineStr">
        <is>
          <t>Nimodipine</t>
        </is>
      </c>
    </row>
    <row r="555">
      <c r="F555" t="inlineStr">
        <is>
          <t>Niridazole</t>
        </is>
      </c>
    </row>
    <row r="556">
      <c r="F556" t="inlineStr">
        <is>
          <t>Nitrapyrin</t>
        </is>
      </c>
    </row>
    <row r="557">
      <c r="F557" t="inlineStr">
        <is>
          <t>Nitrilotriacetic acid</t>
        </is>
      </c>
    </row>
    <row r="558">
      <c r="F558" t="inlineStr">
        <is>
          <t>Nitrilotriacetic acid, trisodium salt monohydrate</t>
        </is>
      </c>
    </row>
    <row r="559">
      <c r="F559" t="inlineStr">
        <is>
          <t>5-Nitroacenaphthene</t>
        </is>
      </c>
    </row>
    <row r="560">
      <c r="F560" t="inlineStr">
        <is>
          <t>o-Nitroanisole</t>
        </is>
      </c>
    </row>
    <row r="561">
      <c r="F561" t="inlineStr">
        <is>
          <t>Nitrobenzene</t>
        </is>
      </c>
    </row>
    <row r="562">
      <c r="F562" t="inlineStr">
        <is>
          <t>4-Nitrobiphenyl</t>
        </is>
      </c>
    </row>
    <row r="563">
      <c r="F563" t="inlineStr">
        <is>
          <t>6-Nitrochrysene</t>
        </is>
      </c>
    </row>
    <row r="564">
      <c r="F564" t="inlineStr">
        <is>
          <t>Nitrofen (technical grade)</t>
        </is>
      </c>
    </row>
    <row r="565">
      <c r="F565" t="inlineStr">
        <is>
          <t>2-Nitrofluorene</t>
        </is>
      </c>
    </row>
    <row r="566">
      <c r="F566" t="inlineStr">
        <is>
          <t>Nitrofurazone</t>
        </is>
      </c>
    </row>
    <row r="567">
      <c r="F567" t="inlineStr">
        <is>
          <t>1-[(5-Nitrofurfurylidene)-amino]-2-imidazolidinone</t>
        </is>
      </c>
    </row>
    <row r="568">
      <c r="F568" t="inlineStr">
        <is>
          <t>N-[4-(5-Nitro-2-furyl)-2-thiazolyl]acetamide</t>
        </is>
      </c>
    </row>
    <row r="569">
      <c r="F569" t="inlineStr">
        <is>
          <t>Nitrogen mustard (Mechlorethamine)</t>
        </is>
      </c>
    </row>
    <row r="570">
      <c r="F570" t="inlineStr">
        <is>
          <t>Nitrogen mustard hydrochloride (Mechlorethamine hydrochloride)</t>
        </is>
      </c>
    </row>
    <row r="571">
      <c r="F571" t="inlineStr">
        <is>
          <t>Nitrogen mustard N-oxide</t>
        </is>
      </c>
    </row>
    <row r="572">
      <c r="F572" t="inlineStr">
        <is>
          <t>Nitrogen mustard N-oxide hydrochloride</t>
        </is>
      </c>
    </row>
    <row r="573">
      <c r="F573" t="inlineStr">
        <is>
          <t>Nitromethane</t>
        </is>
      </c>
    </row>
    <row r="574">
      <c r="F574" t="inlineStr">
        <is>
          <t>2-Nitropropane</t>
        </is>
      </c>
    </row>
    <row r="575">
      <c r="F575" t="inlineStr">
        <is>
          <t>1-Nitropyrene</t>
        </is>
      </c>
    </row>
    <row r="576">
      <c r="F576" t="inlineStr">
        <is>
          <t>4-Nitropyrene</t>
        </is>
      </c>
    </row>
    <row r="577">
      <c r="F577" t="inlineStr">
        <is>
          <t>N-Nitrosodi-n-butylamine</t>
        </is>
      </c>
    </row>
    <row r="578">
      <c r="F578" t="inlineStr">
        <is>
          <t>N-Nitrosodiethanolamine</t>
        </is>
      </c>
    </row>
    <row r="579">
      <c r="F579" t="inlineStr">
        <is>
          <t>N-Nitrosodiethylamine</t>
        </is>
      </c>
    </row>
    <row r="580">
      <c r="F580" t="inlineStr">
        <is>
          <t>N-Nitrosodimethylamine</t>
        </is>
      </c>
    </row>
    <row r="581">
      <c r="F581" t="inlineStr">
        <is>
          <t>p-Nitrosodiphenylamine</t>
        </is>
      </c>
    </row>
    <row r="582">
      <c r="F582" t="inlineStr">
        <is>
          <t>N-Nitrosodiphenylamine</t>
        </is>
      </c>
    </row>
    <row r="583">
      <c r="F583" t="inlineStr">
        <is>
          <t>N-Nitrosodi-n-propylamine</t>
        </is>
      </c>
    </row>
    <row r="584">
      <c r="F584" t="inlineStr">
        <is>
          <t>N-Nitroso-N-ethylurea</t>
        </is>
      </c>
    </row>
    <row r="585">
      <c r="F585" t="inlineStr">
        <is>
          <t>3-(N-Nitrosomethylamino) propionitrile</t>
        </is>
      </c>
    </row>
    <row r="586">
      <c r="F586" t="inlineStr">
        <is>
          <t>4-(N-Nitrosomethylamino)-1-(3-pyridyl)1-butanone</t>
        </is>
      </c>
    </row>
    <row r="587">
      <c r="F587" t="inlineStr">
        <is>
          <t>N-Nitrosomethyl-n-butylamine</t>
        </is>
      </c>
    </row>
    <row r="588">
      <c r="F588" t="inlineStr">
        <is>
          <t>N-Nitrosomethyl-n-decylamine</t>
        </is>
      </c>
    </row>
    <row r="589">
      <c r="F589" t="inlineStr">
        <is>
          <t>N-Nitrosomethyl-n-dodecylamine</t>
        </is>
      </c>
    </row>
    <row r="590">
      <c r="F590" t="inlineStr">
        <is>
          <t>N-Nitrosomethylethylamine</t>
        </is>
      </c>
    </row>
    <row r="591">
      <c r="F591" t="inlineStr">
        <is>
          <t>N-Nitrosomethyl-n-heptylamine</t>
        </is>
      </c>
    </row>
    <row r="592">
      <c r="F592" t="inlineStr">
        <is>
          <t>N-Nitrosomethyl-n-hexylamine</t>
        </is>
      </c>
    </row>
    <row r="593">
      <c r="F593" t="inlineStr">
        <is>
          <t>N-Nitrosomethyl-n-nonylamine</t>
        </is>
      </c>
    </row>
    <row r="594">
      <c r="F594" t="inlineStr">
        <is>
          <t>N-Nitrosomethyl-n-octylamine</t>
        </is>
      </c>
    </row>
    <row r="595">
      <c r="F595" t="inlineStr">
        <is>
          <t>N-Nitrosomethyl-n-pentylamine</t>
        </is>
      </c>
    </row>
    <row r="596">
      <c r="F596" t="inlineStr">
        <is>
          <t>N-Nitrosomethyl-n-propylamine</t>
        </is>
      </c>
    </row>
    <row r="597">
      <c r="F597" t="inlineStr">
        <is>
          <t>N-Nitrosomethyl-n-tetradecylamine</t>
        </is>
      </c>
    </row>
    <row r="598">
      <c r="F598" t="inlineStr">
        <is>
          <t>N-Nitrosomethyl-n-undecylamine</t>
        </is>
      </c>
    </row>
    <row r="599">
      <c r="F599" t="inlineStr">
        <is>
          <t>N-Nitroso-N-methylurea</t>
        </is>
      </c>
    </row>
    <row r="600">
      <c r="F600" t="inlineStr">
        <is>
          <t>N-Nitroso-N-methylurethane</t>
        </is>
      </c>
    </row>
    <row r="601">
      <c r="F601" t="inlineStr">
        <is>
          <t>N-Nitrosomethylvinylamine</t>
        </is>
      </c>
    </row>
    <row r="602">
      <c r="F602" t="inlineStr">
        <is>
          <t>N-Nitrosomorpholine</t>
        </is>
      </c>
    </row>
    <row r="603">
      <c r="F603" t="inlineStr">
        <is>
          <t>N-Nitrosonornicotine</t>
        </is>
      </c>
    </row>
    <row r="604">
      <c r="F604" t="inlineStr">
        <is>
          <t>N-Nitrosopiperidine</t>
        </is>
      </c>
    </row>
    <row r="605">
      <c r="F605" t="inlineStr">
        <is>
          <t>N-Nitrosopyrrolidine</t>
        </is>
      </c>
    </row>
    <row r="606">
      <c r="F606" t="inlineStr">
        <is>
          <t>N-Nitrososarcosine</t>
        </is>
      </c>
    </row>
    <row r="607">
      <c r="F607" t="inlineStr">
        <is>
          <t>o-Nitrotoluene</t>
        </is>
      </c>
    </row>
    <row r="608">
      <c r="F608" t="inlineStr">
        <is>
          <t>Nitrous oxide</t>
        </is>
      </c>
    </row>
    <row r="609">
      <c r="F609" t="inlineStr">
        <is>
          <t>Norethisterone (Norethindrone)</t>
        </is>
      </c>
    </row>
    <row r="610">
      <c r="F610" t="inlineStr">
        <is>
          <t>Norethisterone acetate (Norethindrone acetate)</t>
        </is>
      </c>
    </row>
    <row r="611">
      <c r="F611" t="inlineStr">
        <is>
          <t>Norethisterone (Norethindrone)/Ethinyl estradiol</t>
        </is>
      </c>
    </row>
    <row r="612">
      <c r="F612" t="inlineStr">
        <is>
          <t>Norethynodrel</t>
        </is>
      </c>
    </row>
    <row r="613">
      <c r="F613" t="inlineStr">
        <is>
          <t>Norgestrel</t>
        </is>
      </c>
    </row>
    <row r="614">
      <c r="F614" t="inlineStr">
        <is>
          <t>Ochratoxin A</t>
        </is>
      </c>
    </row>
    <row r="615">
      <c r="F615" t="inlineStr">
        <is>
          <t>Oil Orange SS</t>
        </is>
      </c>
    </row>
    <row r="616">
      <c r="F616" t="inlineStr">
        <is>
          <t>Oral contraceptives, combined</t>
        </is>
      </c>
    </row>
    <row r="617">
      <c r="F617" t="inlineStr">
        <is>
          <t>Oral contraceptives, sequential</t>
        </is>
      </c>
    </row>
    <row r="618">
      <c r="F618" t="inlineStr">
        <is>
          <t>Oryzalin</t>
        </is>
      </c>
    </row>
    <row r="619">
      <c r="F619" t="inlineStr">
        <is>
          <t>Oxadiazon</t>
        </is>
      </c>
    </row>
    <row r="620">
      <c r="F620" t="inlineStr">
        <is>
          <t>Oxazepam</t>
        </is>
      </c>
    </row>
    <row r="621">
      <c r="F621" t="inlineStr">
        <is>
          <t>Oxymetholone</t>
        </is>
      </c>
    </row>
    <row r="622">
      <c r="F622" t="inlineStr">
        <is>
          <t>Oxytetracycline (internal use)</t>
        </is>
      </c>
    </row>
    <row r="623">
      <c r="F623" t="inlineStr">
        <is>
          <t>Oxytetracycline hydrochloride (internal use)</t>
        </is>
      </c>
    </row>
    <row r="624">
      <c r="F624" t="inlineStr">
        <is>
          <t>Oxythioquinox (Chinomethionat)</t>
        </is>
      </c>
    </row>
    <row r="625">
      <c r="F625" t="inlineStr">
        <is>
          <t>Paclitaxel</t>
        </is>
      </c>
    </row>
    <row r="626">
      <c r="F626" t="inlineStr">
        <is>
          <t>Palygorskite fibers (&gt; 5mm in length)</t>
        </is>
      </c>
    </row>
    <row r="627">
      <c r="F627" t="inlineStr">
        <is>
          <t>Panfuran S</t>
        </is>
      </c>
    </row>
    <row r="628">
      <c r="F628" t="inlineStr">
        <is>
          <t>Paramethadione</t>
        </is>
      </c>
    </row>
    <row r="629">
      <c r="F629" t="inlineStr">
        <is>
          <t>Parathion</t>
        </is>
      </c>
    </row>
    <row r="630">
      <c r="F630" t="inlineStr">
        <is>
          <t>Penicillamine</t>
        </is>
      </c>
    </row>
    <row r="631">
      <c r="F631" t="inlineStr">
        <is>
          <t>pentabromodiphenyl ether mixture [DE-71 (technical grade)]</t>
        </is>
      </c>
    </row>
    <row r="632">
      <c r="F632" t="inlineStr">
        <is>
          <t>Pentachlorophenol</t>
        </is>
      </c>
    </row>
    <row r="633">
      <c r="F633" t="inlineStr">
        <is>
          <t>Pentachlorophenol and by-products of its synthesis (complex mixture)</t>
        </is>
      </c>
    </row>
    <row r="634">
      <c r="F634" t="inlineStr">
        <is>
          <t>Pentobarbital sodium</t>
        </is>
      </c>
    </row>
    <row r="635">
      <c r="F635" t="inlineStr">
        <is>
          <t>Pentosan polysulfate sodium</t>
        </is>
      </c>
    </row>
    <row r="636">
      <c r="F636" t="inlineStr">
        <is>
          <t>Pentostatin</t>
        </is>
      </c>
    </row>
    <row r="637">
      <c r="F637" t="inlineStr">
        <is>
          <t>Perfluorooctane sulfonate (PFOS)</t>
        </is>
      </c>
    </row>
    <row r="638">
      <c r="F638" t="inlineStr">
        <is>
          <t>Perfluorooctanoic acid (PFOA)</t>
        </is>
      </c>
    </row>
    <row r="639">
      <c r="F639" t="inlineStr">
        <is>
          <t>Pertuzumab</t>
        </is>
      </c>
    </row>
    <row r="640">
      <c r="F640" t="inlineStr">
        <is>
          <t>Phenacemide</t>
        </is>
      </c>
    </row>
    <row r="641">
      <c r="F641" t="inlineStr">
        <is>
          <t>Phenacetin</t>
        </is>
      </c>
    </row>
    <row r="642">
      <c r="F642" t="inlineStr">
        <is>
          <t>Phenazopyridine</t>
        </is>
      </c>
    </row>
    <row r="643">
      <c r="F643" t="inlineStr">
        <is>
          <t>Phenazopyridine hydrochloride</t>
        </is>
      </c>
    </row>
    <row r="644">
      <c r="F644" t="inlineStr">
        <is>
          <t>Phenesterin</t>
        </is>
      </c>
    </row>
    <row r="645">
      <c r="F645" t="inlineStr">
        <is>
          <t>Phenobarbital</t>
        </is>
      </c>
    </row>
    <row r="646">
      <c r="F646" t="inlineStr">
        <is>
          <t>Phenolphthalein</t>
        </is>
      </c>
    </row>
    <row r="647">
      <c r="F647" t="inlineStr">
        <is>
          <t>Phenoxybenzamine</t>
        </is>
      </c>
    </row>
    <row r="648">
      <c r="F648" t="inlineStr">
        <is>
          <t>Phenoxybenzamine hydrochloride</t>
        </is>
      </c>
    </row>
    <row r="649">
      <c r="F649" t="inlineStr">
        <is>
          <t>Phenprocoumon</t>
        </is>
      </c>
    </row>
    <row r="650">
      <c r="F650" t="inlineStr">
        <is>
          <t>o-Phenylenediamine and its salts</t>
        </is>
      </c>
    </row>
    <row r="651">
      <c r="F651" t="inlineStr">
        <is>
          <t>Phenylhydrazine and its salts</t>
        </is>
      </c>
    </row>
    <row r="652">
      <c r="F652" t="inlineStr">
        <is>
          <t>o-Phenylphenate, sodium</t>
        </is>
      </c>
    </row>
    <row r="653">
      <c r="F653" t="inlineStr">
        <is>
          <t>o-Phenylphenol</t>
        </is>
      </c>
    </row>
    <row r="654">
      <c r="F654" t="inlineStr">
        <is>
          <t>Phenylphosphine</t>
        </is>
      </c>
    </row>
    <row r="655">
      <c r="F655" t="inlineStr">
        <is>
          <t>PhiP(2-Amino-1-methyl-6-phenylimidazol[4,5-b]pyridine)</t>
        </is>
      </c>
    </row>
    <row r="656">
      <c r="F656" t="inlineStr">
        <is>
          <t>Pimozide</t>
        </is>
      </c>
    </row>
    <row r="657">
      <c r="F657" t="inlineStr">
        <is>
          <t>Pioglitazone</t>
        </is>
      </c>
    </row>
    <row r="658">
      <c r="F658" t="inlineStr">
        <is>
          <t>Pipobroman</t>
        </is>
      </c>
    </row>
    <row r="659">
      <c r="F659" t="inlineStr">
        <is>
          <t>Pirimicarb</t>
        </is>
      </c>
    </row>
    <row r="660">
      <c r="F660" t="inlineStr">
        <is>
          <t>Plicamycin</t>
        </is>
      </c>
    </row>
    <row r="661">
      <c r="F661" t="inlineStr">
        <is>
          <t>Polybrominated biphenyls</t>
        </is>
      </c>
    </row>
    <row r="662">
      <c r="F662" t="inlineStr">
        <is>
          <t>Polychlorinated biphenyls</t>
        </is>
      </c>
    </row>
    <row r="663">
      <c r="F663" t="inlineStr">
        <is>
          <t>Polychlorinated biphenyls (containing 60 or more percent chlorine by molecular weight)</t>
        </is>
      </c>
    </row>
    <row r="664">
      <c r="F664" t="inlineStr">
        <is>
          <t>Polychlorinated dibenzo-p-dioxins</t>
        </is>
      </c>
    </row>
    <row r="665">
      <c r="F665" t="inlineStr">
        <is>
          <t>Polychlorinated dibenzofurans</t>
        </is>
      </c>
    </row>
    <row r="666">
      <c r="F666" t="inlineStr">
        <is>
          <t>Polygeenan</t>
        </is>
      </c>
    </row>
    <row r="667">
      <c r="F667" t="inlineStr">
        <is>
          <t>Ponceau MX</t>
        </is>
      </c>
    </row>
    <row r="668">
      <c r="F668" t="inlineStr">
        <is>
          <t>Ponceau 3R</t>
        </is>
      </c>
    </row>
    <row r="669">
      <c r="F669" t="inlineStr">
        <is>
          <t>Potassium bromate</t>
        </is>
      </c>
    </row>
    <row r="670">
      <c r="F670" t="inlineStr">
        <is>
          <t>Potassium dimethyldithiocarbamate</t>
        </is>
      </c>
    </row>
    <row r="671">
      <c r="F671" t="inlineStr">
        <is>
          <t>Pravastatin sodium</t>
        </is>
      </c>
    </row>
    <row r="672">
      <c r="F672" t="inlineStr">
        <is>
          <t>Prednisolone sodium phosphate</t>
        </is>
      </c>
    </row>
    <row r="673">
      <c r="F673" t="inlineStr">
        <is>
          <t>Primidone</t>
        </is>
      </c>
    </row>
    <row r="674">
      <c r="F674" t="inlineStr">
        <is>
          <t>Procarbazine</t>
        </is>
      </c>
    </row>
    <row r="675">
      <c r="F675" t="inlineStr">
        <is>
          <t>Procarbazine hydrochloride</t>
        </is>
      </c>
    </row>
    <row r="676">
      <c r="F676" t="inlineStr">
        <is>
          <t>Procymidone</t>
        </is>
      </c>
    </row>
    <row r="677">
      <c r="F677" t="inlineStr">
        <is>
          <t>Progesterone</t>
        </is>
      </c>
    </row>
    <row r="678">
      <c r="F678" t="inlineStr">
        <is>
          <t>Pronamide</t>
        </is>
      </c>
    </row>
    <row r="679">
      <c r="F679" t="inlineStr">
        <is>
          <t>Propachlor</t>
        </is>
      </c>
    </row>
    <row r="680">
      <c r="F680" t="inlineStr">
        <is>
          <t>1,3-Propane sultone</t>
        </is>
      </c>
    </row>
    <row r="681">
      <c r="F681" t="inlineStr">
        <is>
          <t>Propargite</t>
        </is>
      </c>
    </row>
    <row r="682">
      <c r="F682" t="inlineStr">
        <is>
          <t>Propazine</t>
        </is>
      </c>
    </row>
    <row r="683">
      <c r="F683" t="inlineStr">
        <is>
          <t>beta-Propiolactone</t>
        </is>
      </c>
    </row>
    <row r="684">
      <c r="F684" t="inlineStr">
        <is>
          <t>Propoxur</t>
        </is>
      </c>
    </row>
    <row r="685">
      <c r="F685" t="inlineStr">
        <is>
          <t>Propylene glycol mono-t-butyl ether</t>
        </is>
      </c>
    </row>
    <row r="686">
      <c r="F686" t="inlineStr">
        <is>
          <t>Propylene oxide</t>
        </is>
      </c>
    </row>
    <row r="687">
      <c r="F687" t="inlineStr">
        <is>
          <t>Propylthiouracil</t>
        </is>
      </c>
    </row>
    <row r="688">
      <c r="F688" t="inlineStr">
        <is>
          <t>Pulegone</t>
        </is>
      </c>
    </row>
    <row r="689">
      <c r="F689" t="inlineStr">
        <is>
          <t>Pymetrozine</t>
        </is>
      </c>
    </row>
    <row r="690">
      <c r="F690" t="inlineStr">
        <is>
          <t>Pyridine</t>
        </is>
      </c>
    </row>
    <row r="691">
      <c r="F691" t="inlineStr">
        <is>
          <t>Pyrimethamine</t>
        </is>
      </c>
    </row>
    <row r="692">
      <c r="F692" t="inlineStr">
        <is>
          <t>Quazepam</t>
        </is>
      </c>
    </row>
    <row r="693">
      <c r="F693" t="inlineStr">
        <is>
          <t>Quinoline and its strong acid salts</t>
        </is>
      </c>
    </row>
    <row r="694">
      <c r="F694" t="inlineStr">
        <is>
          <t>Radionuclides</t>
        </is>
      </c>
    </row>
    <row r="695">
      <c r="F695" t="inlineStr">
        <is>
          <t>Reserpine</t>
        </is>
      </c>
    </row>
    <row r="696">
      <c r="F696" t="inlineStr">
        <is>
          <t>Residual (heavy) fuel oils</t>
        </is>
      </c>
    </row>
    <row r="697">
      <c r="F697" t="inlineStr">
        <is>
          <t>Resmethrin</t>
        </is>
      </c>
    </row>
    <row r="698">
      <c r="F698" t="inlineStr">
        <is>
          <t>Retinol/retinyl esters, when in daily dosages in excess of 10,000 IU, or 3,000 retinol equivalents.</t>
        </is>
      </c>
    </row>
    <row r="699">
      <c r="F699" t="inlineStr">
        <is>
          <t>Ribavirin</t>
        </is>
      </c>
    </row>
    <row r="700">
      <c r="F700" t="inlineStr">
        <is>
          <t>Riddelliine</t>
        </is>
      </c>
    </row>
    <row r="701">
      <c r="F701" t="inlineStr">
        <is>
          <t>Rifampin</t>
        </is>
      </c>
    </row>
    <row r="702">
      <c r="F702" t="inlineStr">
        <is>
          <t>Safrole</t>
        </is>
      </c>
    </row>
    <row r="703">
      <c r="F703" t="inlineStr">
        <is>
          <t>Salted fish, Chinese-style</t>
        </is>
      </c>
    </row>
    <row r="704">
      <c r="F704" t="inlineStr">
        <is>
          <t>Secobarbital sodium</t>
        </is>
      </c>
    </row>
    <row r="705">
      <c r="F705" t="inlineStr">
        <is>
          <t>Sedaxane</t>
        </is>
      </c>
    </row>
    <row r="706">
      <c r="F706" t="inlineStr">
        <is>
          <t>Selenium sulfide</t>
        </is>
      </c>
    </row>
    <row r="707">
      <c r="F707" t="inlineStr">
        <is>
          <t>Sermorelin acetate</t>
        </is>
      </c>
    </row>
    <row r="708">
      <c r="F708" t="inlineStr">
        <is>
          <t>Shale-oils</t>
        </is>
      </c>
    </row>
    <row r="709">
      <c r="F709" t="inlineStr">
        <is>
          <t>Silica, crystalline (airborne particles of respirable size)</t>
        </is>
      </c>
    </row>
    <row r="710">
      <c r="F710" t="inlineStr">
        <is>
          <t>Simazine</t>
        </is>
      </c>
    </row>
    <row r="711">
      <c r="F711" t="inlineStr">
        <is>
          <t>Sodium dimethyldithiocarbamate</t>
        </is>
      </c>
    </row>
    <row r="712">
      <c r="F712" t="inlineStr">
        <is>
          <t>Soots, tars, and mineral oils (untreated and mildly treated oils and used engine oils)</t>
        </is>
      </c>
    </row>
    <row r="713">
      <c r="F713" t="inlineStr">
        <is>
          <t>Spirodiclofen</t>
        </is>
      </c>
    </row>
    <row r="714">
      <c r="F714" t="inlineStr">
        <is>
          <t>Spironolactone</t>
        </is>
      </c>
    </row>
    <row r="715">
      <c r="F715" t="inlineStr">
        <is>
          <t>Stanozolol</t>
        </is>
      </c>
    </row>
    <row r="716">
      <c r="F716" t="inlineStr">
        <is>
          <t>Sterigmatocystin</t>
        </is>
      </c>
    </row>
    <row r="717">
      <c r="F717" t="inlineStr">
        <is>
          <t>Streptomycin sulfate</t>
        </is>
      </c>
    </row>
    <row r="718">
      <c r="F718" t="inlineStr">
        <is>
          <t>Streptozocin (streptozotocin)</t>
        </is>
      </c>
    </row>
    <row r="719">
      <c r="F719" t="inlineStr">
        <is>
          <t>Streptozotocin (streptozocin)</t>
        </is>
      </c>
    </row>
    <row r="720">
      <c r="F720" t="inlineStr">
        <is>
          <t>Strong inorganic acid mists containing sulfuric acid</t>
        </is>
      </c>
    </row>
    <row r="721">
      <c r="F721" t="inlineStr">
        <is>
          <t>Styrene</t>
        </is>
      </c>
    </row>
    <row r="722">
      <c r="F722" t="inlineStr">
        <is>
          <t>Styrene oxide</t>
        </is>
      </c>
    </row>
    <row r="723">
      <c r="F723" t="inlineStr">
        <is>
          <t>Sulfallate</t>
        </is>
      </c>
    </row>
    <row r="724">
      <c r="F724" t="inlineStr">
        <is>
          <t>Sulfasalazine (Salicylazosulfapyridine)</t>
        </is>
      </c>
    </row>
    <row r="725">
      <c r="F725" t="inlineStr">
        <is>
          <t>Sulfur dioxidee</t>
        </is>
      </c>
    </row>
    <row r="726">
      <c r="F726" t="inlineStr">
        <is>
          <t>Sulindac</t>
        </is>
      </c>
    </row>
    <row r="727">
      <c r="F727" t="inlineStr">
        <is>
          <t>Talc containing asbestiform fibers</t>
        </is>
      </c>
    </row>
    <row r="728">
      <c r="F728" t="inlineStr">
        <is>
          <t>Tamoxifen and its salts</t>
        </is>
      </c>
    </row>
    <row r="729">
      <c r="F729" t="inlineStr">
        <is>
          <t>Tamoxifen citrate</t>
        </is>
      </c>
    </row>
    <row r="730">
      <c r="F730" t="inlineStr">
        <is>
          <t>Temazepam</t>
        </is>
      </c>
    </row>
    <row r="731">
      <c r="F731" t="inlineStr">
        <is>
          <t>Teniposide</t>
        </is>
      </c>
    </row>
    <row r="732">
      <c r="F732" t="inlineStr">
        <is>
          <t>Terbacil</t>
        </is>
      </c>
    </row>
    <row r="733">
      <c r="F733" t="inlineStr">
        <is>
          <t>Teriparatide</t>
        </is>
      </c>
    </row>
    <row r="734">
      <c r="F734" t="inlineStr">
        <is>
          <t>Terrazole</t>
        </is>
      </c>
    </row>
    <row r="735">
      <c r="F735" t="inlineStr">
        <is>
          <t>Testosterone and its esters</t>
        </is>
      </c>
    </row>
    <row r="736">
      <c r="F736" t="inlineStr">
        <is>
          <t>Testosterone cypionate</t>
        </is>
      </c>
    </row>
    <row r="737">
      <c r="F737" t="inlineStr">
        <is>
          <t>Testosterone enanthate</t>
        </is>
      </c>
    </row>
    <row r="738">
      <c r="F738" t="inlineStr">
        <is>
          <t>Tetrabromobisphenol A</t>
        </is>
      </c>
    </row>
    <row r="739">
      <c r="F739" t="inlineStr">
        <is>
          <t>3,3',4,4'-Tetrachloroazobenzene</t>
        </is>
      </c>
    </row>
    <row r="740">
      <c r="F740" t="inlineStr">
        <is>
          <t>2,3,7,8-Tetrachlorodibenzo-p-dioxin (TCDD)</t>
        </is>
      </c>
    </row>
    <row r="741">
      <c r="F741" t="inlineStr">
        <is>
          <t>1,1,1,2-Tetrachloroethane</t>
        </is>
      </c>
    </row>
    <row r="742">
      <c r="F742" t="inlineStr">
        <is>
          <t>1,1,2,2-Tetrachloroethane</t>
        </is>
      </c>
    </row>
    <row r="743">
      <c r="F743" t="inlineStr">
        <is>
          <t>Tetrachloroethylene (Perchloroethylene)</t>
        </is>
      </c>
    </row>
    <row r="744">
      <c r="F744" t="inlineStr">
        <is>
          <t>p-a,a,a-Tetrachlorotoluene</t>
        </is>
      </c>
    </row>
    <row r="745">
      <c r="F745" t="inlineStr">
        <is>
          <t>Tetrachlorvinphos</t>
        </is>
      </c>
    </row>
    <row r="746">
      <c r="F746" t="inlineStr">
        <is>
          <t>Tetracycline (internal use)</t>
        </is>
      </c>
    </row>
    <row r="747">
      <c r="F747" t="inlineStr">
        <is>
          <t>Tetracyclines (internal use)</t>
        </is>
      </c>
    </row>
    <row r="748">
      <c r="F748" t="inlineStr">
        <is>
          <t>Tetracycline hydrochloride (internal use)</t>
        </is>
      </c>
    </row>
    <row r="749">
      <c r="F749" t="inlineStr">
        <is>
          <t>Tetrafluoroethylene</t>
        </is>
      </c>
    </row>
    <row r="750">
      <c r="F750" t="inlineStr">
        <is>
          <t>Tetranitromethane</t>
        </is>
      </c>
    </row>
    <row r="751">
      <c r="F751" t="inlineStr">
        <is>
          <t>Thalidomide</t>
        </is>
      </c>
    </row>
    <row r="752">
      <c r="F752" t="inlineStr">
        <is>
          <t>Thioacetamide</t>
        </is>
      </c>
    </row>
    <row r="753">
      <c r="F753" t="inlineStr">
        <is>
          <t>4,4'-Thiodianiline</t>
        </is>
      </c>
    </row>
    <row r="754">
      <c r="F754" t="inlineStr">
        <is>
          <t>Thiodicarb</t>
        </is>
      </c>
    </row>
    <row r="755">
      <c r="F755" t="inlineStr">
        <is>
          <t>Thioguanine</t>
        </is>
      </c>
    </row>
    <row r="756">
      <c r="F756" t="inlineStr">
        <is>
          <t>Thiouracil</t>
        </is>
      </c>
    </row>
    <row r="757">
      <c r="F757" t="inlineStr">
        <is>
          <t>Thiourea</t>
        </is>
      </c>
    </row>
    <row r="758">
      <c r="F758" t="inlineStr">
        <is>
          <t>Thorium dioxide</t>
        </is>
      </c>
    </row>
    <row r="759">
      <c r="F759" t="inlineStr">
        <is>
          <t>Titanium dioxide (airborne, unbound particles of respirable size)</t>
        </is>
      </c>
    </row>
    <row r="760">
      <c r="F760" t="inlineStr">
        <is>
          <t>Tobacco, oral use of smokeless products</t>
        </is>
      </c>
    </row>
    <row r="761">
      <c r="F761" t="inlineStr">
        <is>
          <t>Tobacco smoke</t>
        </is>
      </c>
    </row>
    <row r="762">
      <c r="F762" t="inlineStr">
        <is>
          <t>Tobacco smoke (primary)</t>
        </is>
      </c>
    </row>
    <row r="763">
      <c r="F763" t="inlineStr">
        <is>
          <t>Tobramycin sulfate</t>
        </is>
      </c>
    </row>
    <row r="764">
      <c r="F764" t="inlineStr">
        <is>
          <t>Toluene</t>
        </is>
      </c>
    </row>
    <row r="765">
      <c r="F765" t="inlineStr">
        <is>
          <t>Toluene diisocyanate</t>
        </is>
      </c>
    </row>
    <row r="766">
      <c r="F766" t="inlineStr">
        <is>
          <t>o-Toluidine</t>
        </is>
      </c>
    </row>
    <row r="767">
      <c r="F767" t="inlineStr">
        <is>
          <t>o-Toluidine hydrochloride</t>
        </is>
      </c>
    </row>
    <row r="768">
      <c r="F768" t="inlineStr">
        <is>
          <t>Topiramate</t>
        </is>
      </c>
    </row>
    <row r="769">
      <c r="F769" t="inlineStr">
        <is>
          <t>Toxaphene (Polychlorinated camphenes)</t>
        </is>
      </c>
    </row>
    <row r="770">
      <c r="F770" t="inlineStr">
        <is>
          <t>Toxins derived from Fusarium moniliforme (Fusarium verticillioides)</t>
        </is>
      </c>
    </row>
    <row r="771">
      <c r="F771" t="inlineStr">
        <is>
          <t>Treosulfan</t>
        </is>
      </c>
    </row>
    <row r="772">
      <c r="F772" t="inlineStr">
        <is>
          <t>Triadimefon</t>
        </is>
      </c>
    </row>
    <row r="773">
      <c r="F773" t="inlineStr">
        <is>
          <t>Triamterene</t>
        </is>
      </c>
    </row>
    <row r="774">
      <c r="F774" t="inlineStr">
        <is>
          <t>Triazolam</t>
        </is>
      </c>
    </row>
    <row r="775">
      <c r="F775" t="inlineStr">
        <is>
          <t>S,S,S-Tributyl phosphorotrithioate (Tribufos, DEF)</t>
        </is>
      </c>
    </row>
    <row r="776">
      <c r="F776" t="inlineStr">
        <is>
          <t>Tributyltin methacrylate</t>
        </is>
      </c>
    </row>
    <row r="777">
      <c r="F777" t="inlineStr">
        <is>
          <t>Trichlormethine (Trimustine hydrochloride)</t>
        </is>
      </c>
    </row>
    <row r="778">
      <c r="F778" t="inlineStr">
        <is>
          <t>Trichloroacetic acid</t>
        </is>
      </c>
    </row>
    <row r="779">
      <c r="F779" t="inlineStr">
        <is>
          <t>Trichloroethylene</t>
        </is>
      </c>
    </row>
    <row r="780">
      <c r="F780" t="inlineStr">
        <is>
          <t>2,4,6-Trichlorophenol</t>
        </is>
      </c>
    </row>
    <row r="781">
      <c r="F781" t="inlineStr">
        <is>
          <t>1,2,3-Trichloropropane</t>
        </is>
      </c>
    </row>
    <row r="782">
      <c r="F782" t="inlineStr">
        <is>
          <t>Trientine hydrochloride</t>
        </is>
      </c>
    </row>
    <row r="783">
      <c r="F783" t="inlineStr">
        <is>
          <t>Triforine</t>
        </is>
      </c>
    </row>
    <row r="784">
      <c r="F784" t="inlineStr">
        <is>
          <t>Trilostane</t>
        </is>
      </c>
    </row>
    <row r="785">
      <c r="F785" t="inlineStr">
        <is>
          <t>Trimethadione</t>
        </is>
      </c>
    </row>
    <row r="786">
      <c r="F786" t="inlineStr">
        <is>
          <t>2,4,5-Trimethylaniline and its strong acid salts</t>
        </is>
      </c>
    </row>
    <row r="787">
      <c r="F787" t="inlineStr">
        <is>
          <t>Trimethyl phosphate</t>
        </is>
      </c>
    </row>
    <row r="788">
      <c r="F788" t="inlineStr">
        <is>
          <t>Trimetrexate glucuronate</t>
        </is>
      </c>
    </row>
    <row r="789">
      <c r="F789" t="inlineStr">
        <is>
          <t>2,4,6-Trinitrotoluene (TNT)</t>
        </is>
      </c>
    </row>
    <row r="790">
      <c r="F790" t="inlineStr">
        <is>
          <t>Triphenyltin hydroxide</t>
        </is>
      </c>
    </row>
    <row r="791">
      <c r="F791" t="inlineStr">
        <is>
          <t>Tris(1-aziridinyl)phosphine sulfide (Thiotepa)</t>
        </is>
      </c>
    </row>
    <row r="792">
      <c r="F792" t="inlineStr">
        <is>
          <t>Tris(2-chloroethyl) phosphate</t>
        </is>
      </c>
    </row>
    <row r="793">
      <c r="F793" t="inlineStr">
        <is>
          <t>Tris(2,3-dibromopropyl)phosphate</t>
        </is>
      </c>
    </row>
    <row r="794">
      <c r="F794" t="inlineStr">
        <is>
          <t>Tris(1,3-dichloro-2-propyl) phosphate (TDCPP)</t>
        </is>
      </c>
    </row>
    <row r="795">
      <c r="F795" t="inlineStr">
        <is>
          <t>Trp-P-1 (Tryptophan-P-1)</t>
        </is>
      </c>
    </row>
    <row r="796">
      <c r="F796" t="inlineStr">
        <is>
          <t>Trp-P-2 (Tryptophan-P-2)</t>
        </is>
      </c>
    </row>
    <row r="797">
      <c r="F797" t="inlineStr">
        <is>
          <t>Trypan blue (commercial grade)</t>
        </is>
      </c>
    </row>
    <row r="798">
      <c r="F798" t="inlineStr">
        <is>
          <t>Unleaded gasoline (wholly vaporized)</t>
        </is>
      </c>
    </row>
    <row r="799">
      <c r="F799" t="inlineStr">
        <is>
          <t>Uracil mustard</t>
        </is>
      </c>
    </row>
    <row r="800">
      <c r="F800" t="inlineStr">
        <is>
          <t>Urethane (Ethyl carbamate)</t>
        </is>
      </c>
    </row>
    <row r="801">
      <c r="F801" t="inlineStr">
        <is>
          <t>Urofollitropin</t>
        </is>
      </c>
    </row>
    <row r="802">
      <c r="F802" t="inlineStr">
        <is>
          <t>Valproate (Valproic acid)</t>
        </is>
      </c>
    </row>
    <row r="803">
      <c r="F803" t="inlineStr">
        <is>
          <t>Vanadium pentoxide (orthorhombic crystalline form)</t>
        </is>
      </c>
    </row>
    <row r="804">
      <c r="F804" t="inlineStr">
        <is>
          <t>Vinblastine sulfate</t>
        </is>
      </c>
    </row>
    <row r="805">
      <c r="F805" t="inlineStr">
        <is>
          <t>Vinclozolin</t>
        </is>
      </c>
    </row>
    <row r="806">
      <c r="F806" t="inlineStr">
        <is>
          <t>Vincristine sulfate</t>
        </is>
      </c>
    </row>
    <row r="807">
      <c r="F807" t="inlineStr">
        <is>
          <t>Vinyl bromide</t>
        </is>
      </c>
    </row>
    <row r="808">
      <c r="F808" t="inlineStr">
        <is>
          <t>Vinyl chloride</t>
        </is>
      </c>
    </row>
    <row r="809">
      <c r="F809" t="inlineStr">
        <is>
          <t>4-Vinylcyclohexene</t>
        </is>
      </c>
    </row>
    <row r="810">
      <c r="F810" t="inlineStr">
        <is>
          <t>4-Vinyl-1-cyclohexene diepoxide (Vinyl cyclohexenedioxide)</t>
        </is>
      </c>
    </row>
    <row r="811">
      <c r="F811" t="inlineStr">
        <is>
          <t>Vinyl fluoride</t>
        </is>
      </c>
    </row>
    <row r="812">
      <c r="F812" t="inlineStr">
        <is>
          <t>Vinylidene chloride (1,1-Dichloroethylene)</t>
        </is>
      </c>
    </row>
    <row r="813">
      <c r="F813" t="inlineStr">
        <is>
          <t>Vinyl trichloride (1,1,2-Trichloroethane)</t>
        </is>
      </c>
    </row>
    <row r="814">
      <c r="F814" t="inlineStr">
        <is>
          <t>Warfarin</t>
        </is>
      </c>
    </row>
    <row r="815">
      <c r="F815" t="inlineStr">
        <is>
          <t>Wood dust</t>
        </is>
      </c>
    </row>
    <row r="816">
      <c r="F816" t="inlineStr">
        <is>
          <t>2,6-Xylidine (2,6-Dimethylaniline)</t>
        </is>
      </c>
    </row>
    <row r="817">
      <c r="F817" t="inlineStr">
        <is>
          <t>Zalcitabine</t>
        </is>
      </c>
    </row>
    <row r="818">
      <c r="F818" t="inlineStr">
        <is>
          <t>Zidovudine (AZT)</t>
        </is>
      </c>
    </row>
    <row r="819">
      <c r="F819" t="inlineStr">
        <is>
          <t>Zileuton</t>
        </is>
      </c>
    </row>
    <row r="820">
      <c r="F820" t="inlineStr">
        <is>
          <t>2-Bromopropane (2-BP)</t>
        </is>
      </c>
    </row>
    <row r="821">
      <c r="F821" t="inlineStr">
        <is>
          <t>2-Chloropropionic acid</t>
        </is>
      </c>
    </row>
    <row r="822">
      <c r="F822" t="inlineStr">
        <is>
          <t>Di-n-hexyl phthalate (DnHP)</t>
        </is>
      </c>
    </row>
    <row r="823">
      <c r="F823" t="inlineStr">
        <is>
          <t>m-Dinitrobenzene</t>
        </is>
      </c>
    </row>
    <row r="824">
      <c r="F824" t="inlineStr">
        <is>
          <t>o-Dinitrobenzene</t>
        </is>
      </c>
    </row>
    <row r="825">
      <c r="F825" t="inlineStr">
        <is>
          <t>p-Dinitrobenzene</t>
        </is>
      </c>
    </row>
    <row r="826">
      <c r="F826" t="inlineStr">
        <is>
          <t>Dinitrotoluene (technical grade)</t>
        </is>
      </c>
    </row>
    <row r="827">
      <c r="F827" t="inlineStr">
        <is>
          <t>n-Hexane</t>
        </is>
      </c>
    </row>
    <row r="828">
      <c r="F828" t="inlineStr">
        <is>
          <t>2,5-Hexanedione</t>
        </is>
      </c>
    </row>
    <row r="829">
      <c r="F829" t="inlineStr">
        <is>
          <t>Hydrogen cyanide (HCN) and cyanide salts (CN salts)</t>
        </is>
      </c>
    </row>
    <row r="830">
      <c r="F830" t="inlineStr">
        <is>
          <t>Levonorgestrel implants</t>
        </is>
      </c>
    </row>
    <row r="831">
      <c r="F831" t="inlineStr">
        <is>
          <t>Nitrofurantoin</t>
        </is>
      </c>
    </row>
    <row r="832">
      <c r="F832" t="inlineStr">
        <is>
          <t>Oxydemeton methyl</t>
        </is>
      </c>
    </row>
    <row r="833">
      <c r="F833" t="inlineStr">
        <is>
          <t>Quizalofop-ethyl</t>
        </is>
      </c>
    </row>
    <row r="834">
      <c r="F834" t="inlineStr">
        <is>
          <t>Sodium fluoroacetate</t>
        </is>
      </c>
    </row>
    <row r="835">
      <c r="F835" t="inlineStr">
        <is>
          <t>Thiophanate methyl</t>
        </is>
      </c>
    </row>
    <row r="836">
      <c r="F836" t="inlineStr">
        <is>
          <t>Vinyl cyclohexene dioxide (4-Vinyl-1-cyclohexene diepoxide)</t>
        </is>
      </c>
    </row>
    <row r="837">
      <c r="F837" t="inlineStr">
        <is>
          <t>Chloroform</t>
        </is>
      </c>
    </row>
    <row r="838">
      <c r="F838" t="inlineStr">
        <is>
          <t>1,2-Dibromo-3-chloropropane (DBCP)</t>
        </is>
      </c>
    </row>
    <row r="839">
      <c r="F839" t="inlineStr">
        <is>
          <t>Diclofop-methyl</t>
        </is>
      </c>
    </row>
    <row r="840">
      <c r="F840" t="inlineStr">
        <is>
          <t>Phenyl glycidyl ether</t>
        </is>
      </c>
    </row>
    <row r="841">
      <c r="F841" t="inlineStr">
        <is>
          <t>Di-isodecyl phthalate (DIDP)</t>
        </is>
      </c>
    </row>
    <row r="842">
      <c r="F842" t="inlineStr">
        <is>
          <t>Erionite</t>
        </is>
      </c>
    </row>
    <row r="843">
      <c r="F843" t="inlineStr">
        <is>
          <t>Iprovalicarb</t>
        </is>
      </c>
    </row>
    <row r="844">
      <c r="F844" t="inlineStr">
        <is>
          <t>Nickel hydroxide</t>
        </is>
      </c>
    </row>
    <row r="845">
      <c r="F845" t="inlineStr">
        <is>
          <t>Norethisterone (Norethindrone) /Mestranol</t>
        </is>
      </c>
    </row>
    <row r="846">
      <c r="F846" t="inlineStr">
        <is>
          <t>Anabolic steroids</t>
        </is>
      </c>
    </row>
    <row r="847">
      <c r="F847" t="inlineStr">
        <is>
          <t>Altretamine</t>
        </is>
      </c>
    </row>
    <row r="848">
      <c r="F848" t="inlineStr">
        <is>
          <t>Beryllium</t>
        </is>
      </c>
    </row>
    <row r="849">
      <c r="F849" t="inlineStr">
        <is>
          <t>Beryllium Oxide</t>
        </is>
      </c>
    </row>
    <row r="850">
      <c r="F850" t="inlineStr">
        <is>
          <t>Beryllium Sulfate</t>
        </is>
      </c>
    </row>
    <row r="851">
      <c r="F851" t="inlineStr">
        <is>
          <t>Hexachlorocyclohexane (alpha isomer)</t>
        </is>
      </c>
    </row>
    <row r="852">
      <c r="F852" t="inlineStr">
        <is>
          <t>Hexachlorocyclohexane (beta isomer)</t>
        </is>
      </c>
    </row>
    <row r="853">
      <c r="F853" t="inlineStr">
        <is>
          <t>Hexachlorocyclohexane (gamma isomer)</t>
        </is>
      </c>
    </row>
    <row r="854">
      <c r="F854" t="inlineStr">
        <is>
          <t>Cyanide salts that readily dissociate in solution (expressed as cyanide)</t>
        </is>
      </c>
    </row>
    <row r="855">
      <c r="F855" t="inlineStr">
        <is>
          <t>Hydrogen cyanide</t>
        </is>
      </c>
    </row>
    <row r="856">
      <c r="F856" t="inlineStr">
        <is>
          <t>Potassium cyanide</t>
        </is>
      </c>
    </row>
    <row r="857">
      <c r="F857" t="inlineStr">
        <is>
          <t>Methylhydrazine</t>
        </is>
      </c>
    </row>
    <row r="858">
      <c r="F858" t="inlineStr">
        <is>
          <t>Methylhydrazine sulfate</t>
        </is>
      </c>
    </row>
    <row r="859">
      <c r="F859" t="inlineStr">
        <is>
          <t>o-Phenylenediamine</t>
        </is>
      </c>
    </row>
    <row r="860">
      <c r="F860" t="inlineStr">
        <is>
          <t>o-Phenylenediamine dihydochloride</t>
        </is>
      </c>
    </row>
    <row r="861">
      <c r="F861" t="inlineStr">
        <is>
          <t>Phenylhydrazine</t>
        </is>
      </c>
    </row>
    <row r="862">
      <c r="F862" t="inlineStr">
        <is>
          <t>Phenylhydrazine hydrochloride</t>
        </is>
      </c>
    </row>
    <row r="863">
      <c r="F863" t="inlineStr">
        <is>
          <t>Sodium cyanide</t>
        </is>
      </c>
    </row>
    <row r="864">
      <c r="F864" t="inlineStr">
        <is>
          <t>Short form warning</t>
        </is>
      </c>
    </row>
    <row r="865">
      <c r="F865" t="inlineStr">
        <is>
          <t>Nickel (soluble compounds)</t>
        </is>
      </c>
    </row>
    <row r="866">
      <c r="F866" t="inlineStr">
        <is>
          <t>TRIM VX</t>
        </is>
      </c>
    </row>
    <row r="867">
      <c r="F867" t="inlineStr">
        <is>
          <t>N-Nitrosohexamethyleneimine</t>
        </is>
      </c>
    </row>
    <row r="868">
      <c r="F868" t="inlineStr">
        <is>
          <t>Gentian violet (Crystal violet)</t>
        </is>
      </c>
    </row>
    <row r="869">
      <c r="F869" t="inlineStr">
        <is>
          <t>Custom warning</t>
        </is>
      </c>
    </row>
    <row r="870">
      <c r="F870" t="inlineStr">
        <is>
          <t>2-Amino-4-chlorophenol</t>
        </is>
      </c>
    </row>
    <row r="871">
      <c r="F871" t="inlineStr">
        <is>
          <t>2-Chloronitrobenzene</t>
        </is>
      </c>
    </row>
    <row r="872">
      <c r="F872" t="inlineStr">
        <is>
          <t>1,4-Dichloro-2-nitrobenzene</t>
        </is>
      </c>
    </row>
    <row r="873">
      <c r="F873" t="inlineStr">
        <is>
          <t>2,4-Dichloro-1-nitrobenzene</t>
        </is>
      </c>
    </row>
    <row r="874">
      <c r="F874" t="inlineStr">
        <is>
          <t>Bevacizumab</t>
        </is>
      </c>
    </row>
    <row r="875">
      <c r="F875" t="inlineStr">
        <is>
          <t>p-chloro-?,?,?-trifluorotoluene (para-Chlorobenzotrifluoride, PCBTF)</t>
        </is>
      </c>
    </row>
    <row r="876">
      <c r="F876" t="inlineStr">
        <is>
          <t>para-Nitroanisole</t>
        </is>
      </c>
    </row>
    <row r="877">
      <c r="F877" t="inlineStr">
        <is>
          <t>Cannabis (marijuana) smoke</t>
        </is>
      </c>
    </row>
    <row r="878">
      <c r="F878" t="inlineStr">
        <is>
          <t>?9 -Tetrahydrocannabinol (?9 -THC)</t>
        </is>
      </c>
    </row>
    <row r="879">
      <c r="F879" t="inlineStr">
        <is>
          <t>1,1,1-Trichloroethane</t>
        </is>
      </c>
    </row>
    <row r="880">
      <c r="F880" t="inlineStr">
        <is>
          <t>1-Bromo-3-chloropropane</t>
        </is>
      </c>
    </row>
    <row r="881">
      <c r="F881" t="inlineStr">
        <is>
          <t>1-Butyl glycidyl ether</t>
        </is>
      </c>
    </row>
    <row r="882">
      <c r="F882" t="inlineStr">
        <is>
          <t>2-Ethylhexyl acrylate</t>
        </is>
      </c>
    </row>
    <row r="883">
      <c r="F883" t="inlineStr">
        <is>
          <t>Alcoholic beverages</t>
        </is>
      </c>
    </row>
    <row r="884">
      <c r="F884" t="inlineStr">
        <is>
          <t>Anthracene</t>
        </is>
      </c>
    </row>
    <row r="885">
      <c r="F885" t="inlineStr">
        <is>
          <t>Bisphenol S (BPS)</t>
        </is>
      </c>
    </row>
    <row r="886">
      <c r="F886" t="inlineStr">
        <is>
          <t>Coal-tar pitch</t>
        </is>
      </c>
    </row>
    <row r="887">
      <c r="F887" t="inlineStr">
        <is>
          <t>Dimethyl hydrogen phosphite</t>
        </is>
      </c>
    </row>
    <row r="888">
      <c r="F888" t="inlineStr">
        <is>
          <t>Fluoro-edenite fibrous amphibole</t>
        </is>
      </c>
    </row>
    <row r="889">
      <c r="F889" t="inlineStr">
        <is>
          <t>Glycidyl methacrylate</t>
        </is>
      </c>
    </row>
    <row r="890">
      <c r="F890" t="inlineStr">
        <is>
          <t>Hexachlorocyclohexane (technical grade)</t>
        </is>
      </c>
    </row>
    <row r="891">
      <c r="F891" t="inlineStr">
        <is>
          <t>Indium tin oxide</t>
        </is>
      </c>
    </row>
    <row r="892">
      <c r="F892" t="inlineStr">
        <is>
          <t>Leucomalachite green</t>
        </is>
      </c>
    </row>
    <row r="893">
      <c r="F893" t="inlineStr">
        <is>
          <t>Methyl acrylate</t>
        </is>
      </c>
    </row>
    <row r="894">
      <c r="F894" t="inlineStr">
        <is>
          <t>Molybdenum trioxide</t>
        </is>
      </c>
    </row>
    <row r="895">
      <c r="F895" t="inlineStr">
        <is>
          <t>p-Chloro-o-toluidine, hydrochloride</t>
        </is>
      </c>
    </row>
    <row r="896">
      <c r="F896" t="inlineStr">
        <is>
          <t>Perfluorononanoic acid (PFNA) and its salts</t>
        </is>
      </c>
    </row>
    <row r="897">
      <c r="F897" t="inlineStr">
        <is>
          <t>Perfluorooctane sulfonic acid (PFOS) and its salts and transformation and degradation precursors</t>
        </is>
      </c>
    </row>
    <row r="898">
      <c r="F898"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899">
      <c r="F899" t="inlineStr">
        <is>
          <t>Silicon carbide whiskers</t>
        </is>
      </c>
    </row>
    <row r="900">
      <c r="F900" t="inlineStr">
        <is>
          <t>Tetrahydrofuran</t>
        </is>
      </c>
    </row>
    <row r="901">
      <c r="F901" t="inlineStr">
        <is>
          <t>Trimethylolpropane triacrylate, technical grade</t>
        </is>
      </c>
    </row>
    <row r="902">
      <c r="F902" t="inlineStr">
        <is>
          <t>Vismodegib</t>
        </is>
      </c>
    </row>
  </sheetData>
  <hyperlinks>
    <hyperlink ref="A1" location="#'6 - TV Stands &amp; Enterta'!D6" display="Brand"/>
    <hyperlink ref="B1" location="#'6 - TV Stands &amp; Enterta'!W6" display="Ship Type"/>
    <hyperlink ref="C1" location="#'6 - TV Stands &amp; Enterta'!X6" display="Freight Class"/>
    <hyperlink ref="D1" location="#'6 - TV Stands &amp; Enterta'!Y6" display="Lead Time"/>
    <hyperlink ref="E1" location="#'6 - TV Stands &amp; Enterta'!Z6" display="Replacement Lead Time"/>
    <hyperlink ref="F1" location="#'Additional Chemicals'!C6" display="Chemical"/>
    <hyperlink ref="G1" location="#'Additional Chemicals'!D6" display="Toxicity"/>
    <hyperlink ref="H1" location="#'6 - TV Stands &amp; Enterta'!AK6" display="Country Of Manufacturer"/>
    <hyperlink ref="I1" location="#'Additional Documents'!D6" display="Document Type"/>
    <hyperlink ref="J1" location="#'Additional Documents'!E6" display="Legal Document Type"/>
    <hyperlink ref="K1" location="#'Additional Documents'!F6" display="Document Region"/>
    <hyperlink ref="L1" location="#'Additional Documents'!G6" display="Document Language"/>
    <hyperlink ref="M1" location="#'6 - TV Stands &amp; Enterta'!BG6" display="Product Type"/>
    <hyperlink ref="N1" location="#'6 - TV Stands &amp; Enterta'!BP6" display="Furniture Design"/>
    <hyperlink ref="O1" location="#'6 - TV Stands &amp; Enterta'!BQ6" display="Material"/>
    <hyperlink ref="P1" location="#'6 - TV Stands &amp; Enterta'!BR6" display="Purposeful Distressing Type"/>
    <hyperlink ref="Q1" location="#'6 - TV Stands &amp; Enterta'!BS6" display="Natural Variation Type"/>
    <hyperlink ref="R1" location="#'6 - TV Stands &amp; Enterta'!CC6" display="Tipover Restraint Device Included"/>
    <hyperlink ref="S1" location="#'6 - TV Stands &amp; Enterta'!CF6" display="Supplier Intended and Approved Use"/>
    <hyperlink ref="T1" location="#'6 - TV Stands &amp; Enterta'!CG6" display="Country of Origin - Additional Details"/>
    <hyperlink ref="U1" location="#'6 - TV Stands &amp; Enterta'!CH6" display="Main Wood Joinery Method"/>
    <hyperlink ref="V1" location="#'6 - TV Stands &amp; Enterta'!CJ6" display="Wood Species"/>
    <hyperlink ref="W1" location="#'6 - TV Stands &amp; Enterta'!CL6" display="Battery Composition"/>
    <hyperlink ref="X1" location="#'6 - TV Stands &amp; Enterta'!CM6" display="Battery Type"/>
    <hyperlink ref="Y1" location="#'6 - TV Stands &amp; Enterta'!CN6" display="Number of Batteries"/>
    <hyperlink ref="Z1" location="#'6 - TV Stands &amp; Enterta'!CO6" display="Battery Shipment"/>
    <hyperlink ref="AA1" location="#'6 - TV Stands &amp; Enterta'!CP6" display="Lithium Content"/>
    <hyperlink ref="AB1" location="#'6 - TV Stands &amp; Enterta'!CQ6" display="Watt Rating of Cells / Battery"/>
    <hyperlink ref="AC1" location="#'6 - TV Stands &amp; Enterta'!CR6" display="Weight of Cells / Battery"/>
    <hyperlink ref="AD1" location="#'6 - TV Stands &amp; Enterta'!CV6" display="Product Care"/>
    <hyperlink ref="AE1" location="#'6 - TV Stands &amp; Enterta'!CX6" display="Shelf Material"/>
    <hyperlink ref="AF1" location="#'6 - TV Stands &amp; Enterta'!CY6" display="Color / Finish"/>
    <hyperlink ref="AG1" location="#'6 - TV Stands &amp; Enterta'!CZ6" display="Drawer Glide Type &amp; Extension"/>
    <hyperlink ref="AH1" location="#'6 - TV Stands &amp; Enterta'!DA6" display="Vent Type"/>
    <hyperlink ref="AI1" location="#'6 - TV Stands &amp; Enterta'!DB6" display="Fuel Type"/>
    <hyperlink ref="AJ1" location="#'6 - TV Stands &amp; Enterta'!DC6" display="Door Design"/>
    <hyperlink ref="AK1" location="#'6 - TV Stands &amp; Enterta'!DF6" display="Pieces Included"/>
    <hyperlink ref="AL1" location="#'6 - TV Stands &amp; Enterta'!DI6" display="Fireplace Type"/>
    <hyperlink ref="AM1" location="#'6 - TV Stands &amp; Enterta'!DJ6" display="General Certificate of Conformity (GCC)"/>
    <hyperlink ref="AN1" location="#'6 - TV Stands &amp; Enterta'!DL6" display="CARB Phase II Compliant (formaldehyde emissions)"/>
    <hyperlink ref="AO1" location="#'6 - TV Stands &amp; Enterta'!DM6" display="TSCA Title VI Compliant (formaldehyde emissions)"/>
    <hyperlink ref="AP1" location="#'6 - TV Stands &amp; Enterta'!DN6" display="CANFER Compliant"/>
    <hyperlink ref="AQ1" location="#'6 - TV Stands &amp; Enterta'!DO6" display="Uniform Packaging and Labeling Regulations (UPLR) Compliant"/>
    <hyperlink ref="AR1" location="#'6 - TV Stands &amp; Enterta'!DQ6" display="Reason for Restriction"/>
    <hyperlink ref="AS1" location="#'6 - TV Stands &amp; Enterta'!DR6" display="UL 1678 Listed"/>
    <hyperlink ref="AT1" location="#'6 - TV Stands &amp; Enterta'!DT6" display="UN or ID number"/>
    <hyperlink ref="AU1" location="#'6 - TV Stands &amp; Enterta'!DU6" display="Hazard Class(es)"/>
    <hyperlink ref="AV1" location="#'6 - TV Stands &amp; Enterta'!DV6" display="Packing Group"/>
    <hyperlink ref="AW1" location="#'6 - TV Stands &amp; Enterta'!DW6" display="Hazardous Material Weight"/>
    <hyperlink ref="AX1" location="#'6 - TV Stands &amp; Enterta'!DX6" display="Energy Efficiency Regulations Compliant"/>
    <hyperlink ref="AY1" location="#'6 - TV Stands &amp; Enterta'!DY6" display="Safety Listing(s)"/>
    <hyperlink ref="AZ1" location="#'6 - TV Stands &amp; Enterta'!EA6" display="CPSC - 16 CFR 1263 Compliant (Reese's Law)"/>
    <hyperlink ref="BA1" location="#'6 - TV Stands &amp; Enterta'!EB6" display="ISTA Certified"/>
    <hyperlink ref="BB1" location="#'6 - TV Stands &amp; Enterta'!ED6" display="Commercial Certifications"/>
    <hyperlink ref="BC1" location="#'6 - TV Stands &amp; Enterta'!EK6" display="Maximum TV Screen Size Accommodated"/>
    <hyperlink ref="BD1" location="#'6 - TV Stands &amp; Enterta'!EN6" display="Level of Assembly"/>
    <hyperlink ref="BE1" location="#'6 - TV Stands &amp; Enterta'!EO6" display="Additional Tools Required (Not Included)"/>
    <hyperlink ref="BF1" location="#'6 - TV Stands &amp; Enterta'!EQ6" display="Commercial Warranty Length"/>
    <hyperlink ref="BG1" location="#'6 - TV Stands &amp; Enterta'!ES6" display="Full or Limited Warranty"/>
    <hyperlink ref="BH1" location="#'6 - TV Stands &amp; Enterta'!ET6" display="Warranty Length"/>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8:EQ22"/>
  <sheetViews>
    <sheetView workbookViewId="0">
      <selection activeCell="A1" sqref="A1"/>
    </sheetView>
  </sheetViews>
  <sheetFormatPr baseColWidth="8" defaultRowHeight="15"/>
  <sheetData>
    <row r="8">
      <c r="B8" t="inlineStr">
        <is>
          <t>CASA-TV-018</t>
        </is>
      </c>
      <c r="D8" t="inlineStr">
        <is>
          <t>Casa Design Furniture</t>
        </is>
      </c>
      <c r="E8" t="inlineStr">
        <is>
          <t>CASA-TV-018</t>
        </is>
      </c>
      <c r="F8" t="inlineStr">
        <is>
          <t>840134100181</t>
        </is>
      </c>
      <c r="G8" t="inlineStr">
        <is>
          <t>#018 NORALIE TV STAND &amp; FIREPLACE</t>
        </is>
      </c>
      <c r="J8" t="inlineStr">
        <is>
          <t>899</t>
        </is>
      </c>
      <c r="M8" t="inlineStr">
        <is>
          <t>The #018 NORALIE TV STAND &amp; FIREPLACE offers a stunning modern design with high-end materials. Perfect for elevating your living space.</t>
        </is>
      </c>
      <c r="N8" t="inlineStr">
        <is>
          <t>Sleek Modern Aesthetic</t>
        </is>
      </c>
      <c r="O8" t="inlineStr">
        <is>
          <t>High-Durability Construction</t>
        </is>
      </c>
      <c r="P8" t="inlineStr">
        <is>
          <t>Easy Assembly with Storage</t>
        </is>
      </c>
      <c r="S8" t="inlineStr">
        <is>
          <t>1</t>
        </is>
      </c>
      <c r="T8" t="inlineStr">
        <is>
          <t>1</t>
        </is>
      </c>
      <c r="U8" t="inlineStr">
        <is>
          <t>1</t>
        </is>
      </c>
      <c r="V8" t="inlineStr">
        <is>
          <t>110</t>
        </is>
      </c>
      <c r="W8" t="inlineStr">
        <is>
          <t>Small Parcel</t>
        </is>
      </c>
      <c r="Y8" t="inlineStr">
        <is>
          <t>4</t>
        </is>
      </c>
      <c r="Z8" t="inlineStr">
        <is>
          <t>7</t>
        </is>
      </c>
      <c r="AD8" t="inlineStr">
        <is>
          <t>122</t>
        </is>
      </c>
      <c r="AE8" t="inlineStr">
        <is>
          <t>23</t>
        </is>
      </c>
      <c r="AF8" t="inlineStr">
        <is>
          <t>84</t>
        </is>
      </c>
      <c r="AG8" t="inlineStr">
        <is>
          <t>21</t>
        </is>
      </c>
      <c r="AH8" t="inlineStr">
        <is>
          <t>No</t>
        </is>
      </c>
      <c r="AK8" t="inlineStr">
        <is>
          <t>United States</t>
        </is>
      </c>
      <c r="AL8" s="40" t="inlineStr">
        <is>
          <t>https://casadesignfurniture.com/wp-content/uploads/2023/07/018-NORALIE-TV-STAND-FIREPLACE.jpg</t>
        </is>
      </c>
      <c r="BG8" t="inlineStr">
        <is>
          <t>TV Stand</t>
        </is>
      </c>
      <c r="BH8" t="inlineStr">
        <is>
          <t>No</t>
        </is>
      </c>
      <c r="BI8" t="inlineStr">
        <is>
          <t>Yes</t>
        </is>
      </c>
      <c r="BJ8" t="inlineStr">
        <is>
          <t>2</t>
        </is>
      </c>
      <c r="BK8" t="inlineStr">
        <is>
          <t>Yes</t>
        </is>
      </c>
      <c r="BO8" t="inlineStr">
        <is>
          <t>No</t>
        </is>
      </c>
      <c r="BP8" t="inlineStr">
        <is>
          <t>Cabinet/Enclosed storage</t>
        </is>
      </c>
      <c r="BQ8" t="inlineStr">
        <is>
          <t>Solid + Manufactured Wood</t>
        </is>
      </c>
      <c r="BS8" t="inlineStr">
        <is>
          <t>No Natural Variation</t>
        </is>
      </c>
      <c r="CA8" t="inlineStr">
        <is>
          <t>Yes</t>
        </is>
      </c>
      <c r="CB8" t="inlineStr">
        <is>
          <t>Yes</t>
        </is>
      </c>
      <c r="CC8" t="inlineStr">
        <is>
          <t>Yes</t>
        </is>
      </c>
      <c r="CF8" t="inlineStr">
        <is>
          <t>Residential Use</t>
        </is>
      </c>
      <c r="CH8" t="inlineStr">
        <is>
          <t>Does Not Apply</t>
        </is>
      </c>
      <c r="CK8" t="inlineStr">
        <is>
          <t>No</t>
        </is>
      </c>
      <c r="CL8" t="inlineStr">
        <is>
          <t>Standard</t>
        </is>
      </c>
      <c r="CM8" t="inlineStr">
        <is>
          <t>Standard</t>
        </is>
      </c>
      <c r="CN8" t="inlineStr">
        <is>
          <t>1</t>
        </is>
      </c>
      <c r="CO8" t="inlineStr">
        <is>
          <t>Does Not Apply</t>
        </is>
      </c>
      <c r="CP8" t="inlineStr">
        <is>
          <t>Does Not Apply</t>
        </is>
      </c>
      <c r="CQ8" t="inlineStr">
        <is>
          <t>Does Not Apply</t>
        </is>
      </c>
      <c r="CR8" t="inlineStr">
        <is>
          <t>Does Not Apply</t>
        </is>
      </c>
      <c r="CU8" t="inlineStr">
        <is>
          <t>150</t>
        </is>
      </c>
      <c r="CY8" t="inlineStr">
        <is>
          <t>White/Mirrored</t>
        </is>
      </c>
      <c r="DA8" t="inlineStr">
        <is>
          <t>Vent Free</t>
        </is>
      </c>
      <c r="DB8" t="inlineStr">
        <is>
          <t>Electric</t>
        </is>
      </c>
      <c r="DF8" t="inlineStr">
        <is>
          <t>1</t>
        </is>
      </c>
      <c r="DG8" t="inlineStr">
        <is>
          <t>2</t>
        </is>
      </c>
      <c r="DJ8" t="inlineStr">
        <is>
          <t>No</t>
        </is>
      </c>
      <c r="DK8" t="inlineStr">
        <is>
          <t>Yes</t>
        </is>
      </c>
      <c r="DL8" t="inlineStr">
        <is>
          <t>Yes</t>
        </is>
      </c>
      <c r="DM8" t="inlineStr">
        <is>
          <t>Yes</t>
        </is>
      </c>
      <c r="DN8" t="inlineStr">
        <is>
          <t>Yes</t>
        </is>
      </c>
      <c r="DO8" t="inlineStr">
        <is>
          <t>Yes</t>
        </is>
      </c>
      <c r="DP8" t="inlineStr">
        <is>
          <t>No</t>
        </is>
      </c>
      <c r="DQ8" t="inlineStr">
        <is>
          <t>None</t>
        </is>
      </c>
      <c r="DX8" t="inlineStr">
        <is>
          <t>Yes</t>
        </is>
      </c>
      <c r="DY8" t="inlineStr">
        <is>
          <t>Not Applicable</t>
        </is>
      </c>
      <c r="DZ8" t="inlineStr">
        <is>
          <t>Standard</t>
        </is>
      </c>
      <c r="EA8" t="inlineStr">
        <is>
          <t>Standard</t>
        </is>
      </c>
      <c r="EE8" t="inlineStr">
        <is>
          <t>79</t>
        </is>
      </c>
      <c r="EF8" t="inlineStr">
        <is>
          <t>16</t>
        </is>
      </c>
      <c r="EG8" t="inlineStr">
        <is>
          <t>18</t>
        </is>
      </c>
      <c r="EH8" t="inlineStr">
        <is>
          <t>79</t>
        </is>
      </c>
      <c r="EI8" t="inlineStr">
        <is>
          <t>16</t>
        </is>
      </c>
      <c r="EJ8" t="inlineStr">
        <is>
          <t>110</t>
        </is>
      </c>
      <c r="EK8" t="inlineStr">
        <is>
          <t>75"</t>
        </is>
      </c>
      <c r="EL8" t="inlineStr">
        <is>
          <t>18</t>
        </is>
      </c>
      <c r="EM8" t="inlineStr">
        <is>
          <t>Yes</t>
        </is>
      </c>
      <c r="EN8" t="inlineStr">
        <is>
          <t>Full Assembly Needed</t>
        </is>
      </c>
      <c r="EP8" t="inlineStr">
        <is>
          <t>No</t>
        </is>
      </c>
      <c r="EQ8" t="inlineStr">
        <is>
          <t>Does Not Apply</t>
        </is>
      </c>
    </row>
    <row r="9">
      <c r="B9" t="inlineStr">
        <is>
          <t>CASA-TV-013</t>
        </is>
      </c>
      <c r="D9" t="inlineStr">
        <is>
          <t>Casa Design Furniture</t>
        </is>
      </c>
      <c r="E9" t="inlineStr">
        <is>
          <t>CASA-TV-013</t>
        </is>
      </c>
      <c r="F9" t="inlineStr">
        <is>
          <t>840134100136</t>
        </is>
      </c>
      <c r="G9" t="inlineStr">
        <is>
          <t>#013 TV STAND IN WHITE LACQUER</t>
        </is>
      </c>
      <c r="J9" t="inlineStr">
        <is>
          <t>750</t>
        </is>
      </c>
      <c r="M9" t="inlineStr">
        <is>
          <t>The #013 TV STAND IN WHITE LACQUER offers a stunning modern design with high-end materials. Perfect for elevating your living space.</t>
        </is>
      </c>
      <c r="N9" t="inlineStr">
        <is>
          <t>Sleek Modern Aesthetic</t>
        </is>
      </c>
      <c r="O9" t="inlineStr">
        <is>
          <t>High-Durability Construction</t>
        </is>
      </c>
      <c r="P9" t="inlineStr">
        <is>
          <t>Easy Assembly with Storage</t>
        </is>
      </c>
      <c r="S9" t="inlineStr">
        <is>
          <t>1</t>
        </is>
      </c>
      <c r="T9" t="inlineStr">
        <is>
          <t>1</t>
        </is>
      </c>
      <c r="U9" t="inlineStr">
        <is>
          <t>1</t>
        </is>
      </c>
      <c r="V9" t="inlineStr">
        <is>
          <t>95</t>
        </is>
      </c>
      <c r="W9" t="inlineStr">
        <is>
          <t>Small Parcel</t>
        </is>
      </c>
      <c r="Y9" t="inlineStr">
        <is>
          <t>4</t>
        </is>
      </c>
      <c r="Z9" t="inlineStr">
        <is>
          <t>7</t>
        </is>
      </c>
      <c r="AD9" t="inlineStr">
        <is>
          <t>107</t>
        </is>
      </c>
      <c r="AE9" t="inlineStr">
        <is>
          <t>23</t>
        </is>
      </c>
      <c r="AF9" t="inlineStr">
        <is>
          <t>84</t>
        </is>
      </c>
      <c r="AG9" t="inlineStr">
        <is>
          <t>21</t>
        </is>
      </c>
      <c r="AH9" t="inlineStr">
        <is>
          <t>No</t>
        </is>
      </c>
      <c r="AK9" t="inlineStr">
        <is>
          <t>United States</t>
        </is>
      </c>
      <c r="AL9" s="40" t="inlineStr">
        <is>
          <t>https://casadesignfurniture.com/wp-content/uploads/2023/07/013-TV-STAND-IN-WHITE-LACQUER.jpg</t>
        </is>
      </c>
      <c r="BG9" t="inlineStr">
        <is>
          <t>TV Stand</t>
        </is>
      </c>
      <c r="BH9" t="inlineStr">
        <is>
          <t>No</t>
        </is>
      </c>
      <c r="BI9" t="inlineStr">
        <is>
          <t>Yes</t>
        </is>
      </c>
      <c r="BJ9" t="inlineStr">
        <is>
          <t>2</t>
        </is>
      </c>
      <c r="BK9" t="inlineStr">
        <is>
          <t>Yes</t>
        </is>
      </c>
      <c r="BO9" t="inlineStr">
        <is>
          <t>No</t>
        </is>
      </c>
      <c r="BP9" t="inlineStr">
        <is>
          <t>Cabinet/Enclosed storage</t>
        </is>
      </c>
      <c r="BQ9" t="inlineStr">
        <is>
          <t>Solid + Manufactured Wood</t>
        </is>
      </c>
      <c r="BS9" t="inlineStr">
        <is>
          <t>No Natural Variation</t>
        </is>
      </c>
      <c r="CA9" t="inlineStr">
        <is>
          <t>No</t>
        </is>
      </c>
      <c r="CB9" t="inlineStr">
        <is>
          <t>No</t>
        </is>
      </c>
      <c r="CC9" t="inlineStr">
        <is>
          <t>Yes</t>
        </is>
      </c>
      <c r="CF9" t="inlineStr">
        <is>
          <t>Residential Use</t>
        </is>
      </c>
      <c r="CH9" t="inlineStr">
        <is>
          <t>Does Not Apply</t>
        </is>
      </c>
      <c r="CK9" t="inlineStr">
        <is>
          <t>No</t>
        </is>
      </c>
      <c r="CL9" t="inlineStr">
        <is>
          <t>Standard</t>
        </is>
      </c>
      <c r="CM9" t="inlineStr">
        <is>
          <t>Standard</t>
        </is>
      </c>
      <c r="CN9" t="inlineStr">
        <is>
          <t>1</t>
        </is>
      </c>
      <c r="CO9" t="inlineStr">
        <is>
          <t>Does Not Apply</t>
        </is>
      </c>
      <c r="CP9" t="inlineStr">
        <is>
          <t>Does Not Apply</t>
        </is>
      </c>
      <c r="CQ9" t="inlineStr">
        <is>
          <t>Does Not Apply</t>
        </is>
      </c>
      <c r="CR9" t="inlineStr">
        <is>
          <t>Does Not Apply</t>
        </is>
      </c>
      <c r="CS9" t="inlineStr">
        <is>
          <t>No</t>
        </is>
      </c>
      <c r="CT9" t="inlineStr">
        <is>
          <t>Does Not Apply</t>
        </is>
      </c>
      <c r="CU9" t="inlineStr">
        <is>
          <t>150</t>
        </is>
      </c>
      <c r="CY9" t="inlineStr">
        <is>
          <t>White/Mirrored</t>
        </is>
      </c>
      <c r="DA9" t="inlineStr">
        <is>
          <t>Standard</t>
        </is>
      </c>
      <c r="DB9" t="inlineStr">
        <is>
          <t>Standard</t>
        </is>
      </c>
      <c r="DF9" t="inlineStr">
        <is>
          <t>1</t>
        </is>
      </c>
      <c r="DG9" t="inlineStr">
        <is>
          <t>2</t>
        </is>
      </c>
      <c r="DJ9" t="inlineStr">
        <is>
          <t>No</t>
        </is>
      </c>
      <c r="DK9" t="inlineStr">
        <is>
          <t>Yes</t>
        </is>
      </c>
      <c r="DL9" t="inlineStr">
        <is>
          <t>Yes</t>
        </is>
      </c>
      <c r="DM9" t="inlineStr">
        <is>
          <t>Yes</t>
        </is>
      </c>
      <c r="DN9" t="inlineStr">
        <is>
          <t>Yes</t>
        </is>
      </c>
      <c r="DO9" t="inlineStr">
        <is>
          <t>Yes</t>
        </is>
      </c>
      <c r="DP9" t="inlineStr">
        <is>
          <t>No</t>
        </is>
      </c>
      <c r="DQ9" t="inlineStr">
        <is>
          <t>None</t>
        </is>
      </c>
      <c r="DX9" t="inlineStr">
        <is>
          <t>Yes</t>
        </is>
      </c>
      <c r="DY9" t="inlineStr">
        <is>
          <t>Not Applicable</t>
        </is>
      </c>
      <c r="DZ9" t="inlineStr">
        <is>
          <t>Standard</t>
        </is>
      </c>
      <c r="EA9" t="inlineStr">
        <is>
          <t>Standard</t>
        </is>
      </c>
      <c r="EE9" t="inlineStr">
        <is>
          <t>79</t>
        </is>
      </c>
      <c r="EF9" t="inlineStr">
        <is>
          <t>16</t>
        </is>
      </c>
      <c r="EG9" t="inlineStr">
        <is>
          <t>18</t>
        </is>
      </c>
      <c r="EH9" t="inlineStr">
        <is>
          <t>79</t>
        </is>
      </c>
      <c r="EI9" t="inlineStr">
        <is>
          <t>16</t>
        </is>
      </c>
      <c r="EJ9" t="inlineStr">
        <is>
          <t>95</t>
        </is>
      </c>
      <c r="EK9" t="inlineStr">
        <is>
          <t>75"</t>
        </is>
      </c>
      <c r="EL9" t="inlineStr">
        <is>
          <t>18</t>
        </is>
      </c>
      <c r="EM9" t="inlineStr">
        <is>
          <t>Yes</t>
        </is>
      </c>
      <c r="EN9" t="inlineStr">
        <is>
          <t>Full Assembly Needed</t>
        </is>
      </c>
      <c r="EP9" t="inlineStr">
        <is>
          <t>No</t>
        </is>
      </c>
      <c r="EQ9" t="inlineStr">
        <is>
          <t>Does Not Apply</t>
        </is>
      </c>
    </row>
    <row r="10">
      <c r="B10" t="inlineStr">
        <is>
          <t>CASA-TV-015</t>
        </is>
      </c>
      <c r="D10" t="inlineStr">
        <is>
          <t>Casa Design Furniture</t>
        </is>
      </c>
      <c r="E10" t="inlineStr">
        <is>
          <t>CASA-TV-015</t>
        </is>
      </c>
      <c r="F10" t="inlineStr">
        <is>
          <t>840134100150</t>
        </is>
      </c>
      <c r="G10" t="inlineStr">
        <is>
          <t>#015 LED LIGHT TV STAND</t>
        </is>
      </c>
      <c r="J10" t="inlineStr">
        <is>
          <t>680</t>
        </is>
      </c>
      <c r="M10" t="inlineStr">
        <is>
          <t>The #015 LED LIGHT TV STAND offers a stunning modern design with high-end materials. Perfect for elevating your living space.</t>
        </is>
      </c>
      <c r="N10" t="inlineStr">
        <is>
          <t>Sleek Modern Aesthetic</t>
        </is>
      </c>
      <c r="O10" t="inlineStr">
        <is>
          <t>High-Durability Construction</t>
        </is>
      </c>
      <c r="P10" t="inlineStr">
        <is>
          <t>Easy Assembly with Storage</t>
        </is>
      </c>
      <c r="S10" t="inlineStr">
        <is>
          <t>1</t>
        </is>
      </c>
      <c r="T10" t="inlineStr">
        <is>
          <t>1</t>
        </is>
      </c>
      <c r="U10" t="inlineStr">
        <is>
          <t>1</t>
        </is>
      </c>
      <c r="V10" t="inlineStr">
        <is>
          <t>88</t>
        </is>
      </c>
      <c r="W10" t="inlineStr">
        <is>
          <t>Small Parcel</t>
        </is>
      </c>
      <c r="Y10" t="inlineStr">
        <is>
          <t>4</t>
        </is>
      </c>
      <c r="Z10" t="inlineStr">
        <is>
          <t>7</t>
        </is>
      </c>
      <c r="AD10" t="inlineStr">
        <is>
          <t>100</t>
        </is>
      </c>
      <c r="AE10" t="inlineStr">
        <is>
          <t>25</t>
        </is>
      </c>
      <c r="AF10" t="inlineStr">
        <is>
          <t>75</t>
        </is>
      </c>
      <c r="AG10" t="inlineStr">
        <is>
          <t>21</t>
        </is>
      </c>
      <c r="AH10" t="inlineStr">
        <is>
          <t>No</t>
        </is>
      </c>
      <c r="AK10" t="inlineStr">
        <is>
          <t>United States</t>
        </is>
      </c>
      <c r="AL10" s="40" t="inlineStr">
        <is>
          <t>https://casadesignfurniture.com/wp-content/uploads/2023/07/015-LED-LIGHT-TV-STAND.jpg</t>
        </is>
      </c>
      <c r="BG10" t="inlineStr">
        <is>
          <t>TV Stand</t>
        </is>
      </c>
      <c r="BH10" t="inlineStr">
        <is>
          <t>No</t>
        </is>
      </c>
      <c r="BI10" t="inlineStr">
        <is>
          <t>Yes</t>
        </is>
      </c>
      <c r="BJ10" t="inlineStr">
        <is>
          <t>2</t>
        </is>
      </c>
      <c r="BK10" t="inlineStr">
        <is>
          <t>Yes</t>
        </is>
      </c>
      <c r="BO10" t="inlineStr">
        <is>
          <t>No</t>
        </is>
      </c>
      <c r="BP10" t="inlineStr">
        <is>
          <t>Cabinet/Enclosed storage</t>
        </is>
      </c>
      <c r="BQ10" t="inlineStr">
        <is>
          <t>Solid + Manufactured Wood</t>
        </is>
      </c>
      <c r="BS10" t="inlineStr">
        <is>
          <t>No Natural Variation</t>
        </is>
      </c>
      <c r="CA10" t="inlineStr">
        <is>
          <t>No</t>
        </is>
      </c>
      <c r="CB10" t="inlineStr">
        <is>
          <t>Yes</t>
        </is>
      </c>
      <c r="CC10" t="inlineStr">
        <is>
          <t>Yes</t>
        </is>
      </c>
      <c r="CF10" t="inlineStr">
        <is>
          <t>Residential Use</t>
        </is>
      </c>
      <c r="CH10" t="inlineStr">
        <is>
          <t>Does Not Apply</t>
        </is>
      </c>
      <c r="CK10" t="inlineStr">
        <is>
          <t>No</t>
        </is>
      </c>
      <c r="CL10" t="inlineStr">
        <is>
          <t>Standard</t>
        </is>
      </c>
      <c r="CM10" t="inlineStr">
        <is>
          <t>Standard</t>
        </is>
      </c>
      <c r="CN10" t="inlineStr">
        <is>
          <t>1</t>
        </is>
      </c>
      <c r="CO10" t="inlineStr">
        <is>
          <t>Does Not Apply</t>
        </is>
      </c>
      <c r="CP10" t="inlineStr">
        <is>
          <t>Does Not Apply</t>
        </is>
      </c>
      <c r="CQ10" t="inlineStr">
        <is>
          <t>Does Not Apply</t>
        </is>
      </c>
      <c r="CR10" t="inlineStr">
        <is>
          <t>Does Not Apply</t>
        </is>
      </c>
      <c r="CS10" t="inlineStr">
        <is>
          <t>No</t>
        </is>
      </c>
      <c r="CT10" t="inlineStr">
        <is>
          <t>Does Not Apply</t>
        </is>
      </c>
      <c r="CU10" t="inlineStr">
        <is>
          <t>150</t>
        </is>
      </c>
      <c r="CY10" t="inlineStr">
        <is>
          <t>White/Mirrored</t>
        </is>
      </c>
      <c r="DA10" t="inlineStr">
        <is>
          <t>Standard</t>
        </is>
      </c>
      <c r="DB10" t="inlineStr">
        <is>
          <t>Standard</t>
        </is>
      </c>
      <c r="DF10" t="inlineStr">
        <is>
          <t>1</t>
        </is>
      </c>
      <c r="DG10" t="inlineStr">
        <is>
          <t>2</t>
        </is>
      </c>
      <c r="DJ10" t="inlineStr">
        <is>
          <t>No</t>
        </is>
      </c>
      <c r="DK10" t="inlineStr">
        <is>
          <t>Yes</t>
        </is>
      </c>
      <c r="DL10" t="inlineStr">
        <is>
          <t>Yes</t>
        </is>
      </c>
      <c r="DM10" t="inlineStr">
        <is>
          <t>Yes</t>
        </is>
      </c>
      <c r="DN10" t="inlineStr">
        <is>
          <t>Yes</t>
        </is>
      </c>
      <c r="DO10" t="inlineStr">
        <is>
          <t>Yes</t>
        </is>
      </c>
      <c r="DP10" t="inlineStr">
        <is>
          <t>No</t>
        </is>
      </c>
      <c r="DQ10" t="inlineStr">
        <is>
          <t>None</t>
        </is>
      </c>
      <c r="DX10" t="inlineStr">
        <is>
          <t>Yes</t>
        </is>
      </c>
      <c r="DY10" t="inlineStr">
        <is>
          <t>Not Applicable</t>
        </is>
      </c>
      <c r="DZ10" t="inlineStr">
        <is>
          <t>Standard</t>
        </is>
      </c>
      <c r="EA10" t="inlineStr">
        <is>
          <t>Standard</t>
        </is>
      </c>
      <c r="EE10" t="inlineStr">
        <is>
          <t>70</t>
        </is>
      </c>
      <c r="EF10" t="inlineStr">
        <is>
          <t>16</t>
        </is>
      </c>
      <c r="EG10" t="inlineStr">
        <is>
          <t>20</t>
        </is>
      </c>
      <c r="EH10" t="inlineStr">
        <is>
          <t>70</t>
        </is>
      </c>
      <c r="EI10" t="inlineStr">
        <is>
          <t>16</t>
        </is>
      </c>
      <c r="EJ10" t="inlineStr">
        <is>
          <t>88</t>
        </is>
      </c>
      <c r="EK10" t="inlineStr">
        <is>
          <t>75"</t>
        </is>
      </c>
      <c r="EL10" t="inlineStr">
        <is>
          <t>20</t>
        </is>
      </c>
      <c r="EM10" t="inlineStr">
        <is>
          <t>Yes</t>
        </is>
      </c>
      <c r="EN10" t="inlineStr">
        <is>
          <t>Full Assembly Needed</t>
        </is>
      </c>
      <c r="EP10" t="inlineStr">
        <is>
          <t>No</t>
        </is>
      </c>
      <c r="EQ10" t="inlineStr">
        <is>
          <t>Does Not Apply</t>
        </is>
      </c>
    </row>
    <row r="11">
      <c r="B11" t="inlineStr">
        <is>
          <t>CASA-TV-016</t>
        </is>
      </c>
      <c r="D11" t="inlineStr">
        <is>
          <t>Casa Design Furniture</t>
        </is>
      </c>
      <c r="E11" t="inlineStr">
        <is>
          <t>CASA-TV-016</t>
        </is>
      </c>
      <c r="F11" t="inlineStr">
        <is>
          <t>840134100167</t>
        </is>
      </c>
      <c r="G11" t="inlineStr">
        <is>
          <t>#016 TV STAND WHITE &amp; LED LIGHT</t>
        </is>
      </c>
      <c r="J11" t="inlineStr">
        <is>
          <t>720</t>
        </is>
      </c>
      <c r="M11" t="inlineStr">
        <is>
          <t>The #016 TV STAND WHITE &amp; LED LIGHT offers a stunning modern design with high-end materials. Perfect for elevating your living space.</t>
        </is>
      </c>
      <c r="N11" t="inlineStr">
        <is>
          <t>Sleek Modern Aesthetic</t>
        </is>
      </c>
      <c r="O11" t="inlineStr">
        <is>
          <t>High-Durability Construction</t>
        </is>
      </c>
      <c r="P11" t="inlineStr">
        <is>
          <t>Easy Assembly with Storage</t>
        </is>
      </c>
      <c r="S11" t="inlineStr">
        <is>
          <t>1</t>
        </is>
      </c>
      <c r="T11" t="inlineStr">
        <is>
          <t>1</t>
        </is>
      </c>
      <c r="U11" t="inlineStr">
        <is>
          <t>1</t>
        </is>
      </c>
      <c r="V11" t="inlineStr">
        <is>
          <t>90</t>
        </is>
      </c>
      <c r="W11" t="inlineStr">
        <is>
          <t>Small Parcel</t>
        </is>
      </c>
      <c r="Y11" t="inlineStr">
        <is>
          <t>4</t>
        </is>
      </c>
      <c r="Z11" t="inlineStr">
        <is>
          <t>7</t>
        </is>
      </c>
      <c r="AD11" t="inlineStr">
        <is>
          <t>102</t>
        </is>
      </c>
      <c r="AE11" t="inlineStr">
        <is>
          <t>23</t>
        </is>
      </c>
      <c r="AF11" t="inlineStr">
        <is>
          <t>77</t>
        </is>
      </c>
      <c r="AG11" t="inlineStr">
        <is>
          <t>21</t>
        </is>
      </c>
      <c r="AH11" t="inlineStr">
        <is>
          <t>No</t>
        </is>
      </c>
      <c r="AK11" t="inlineStr">
        <is>
          <t>United States</t>
        </is>
      </c>
      <c r="AL11" s="40" t="inlineStr">
        <is>
          <t>https://casadesignfurniture.com/wp-content/uploads/2023/07/016-TV-STAND-WHITE-LED-LIGHT.jpg</t>
        </is>
      </c>
      <c r="BG11" t="inlineStr">
        <is>
          <t>TV Stand</t>
        </is>
      </c>
      <c r="BH11" t="inlineStr">
        <is>
          <t>No</t>
        </is>
      </c>
      <c r="BI11" t="inlineStr">
        <is>
          <t>Yes</t>
        </is>
      </c>
      <c r="BJ11" t="inlineStr">
        <is>
          <t>2</t>
        </is>
      </c>
      <c r="BK11" t="inlineStr">
        <is>
          <t>Yes</t>
        </is>
      </c>
      <c r="BO11" t="inlineStr">
        <is>
          <t>No</t>
        </is>
      </c>
      <c r="BP11" t="inlineStr">
        <is>
          <t>Cabinet/Enclosed storage</t>
        </is>
      </c>
      <c r="BQ11" t="inlineStr">
        <is>
          <t>Solid + Manufactured Wood</t>
        </is>
      </c>
      <c r="BS11" t="inlineStr">
        <is>
          <t>No Natural Variation</t>
        </is>
      </c>
      <c r="CA11" t="inlineStr">
        <is>
          <t>No</t>
        </is>
      </c>
      <c r="CB11" t="inlineStr">
        <is>
          <t>Yes</t>
        </is>
      </c>
      <c r="CC11" t="inlineStr">
        <is>
          <t>Yes</t>
        </is>
      </c>
      <c r="CF11" t="inlineStr">
        <is>
          <t>Residential Use</t>
        </is>
      </c>
      <c r="CH11" t="inlineStr">
        <is>
          <t>Does Not Apply</t>
        </is>
      </c>
      <c r="CK11" t="inlineStr">
        <is>
          <t>No</t>
        </is>
      </c>
      <c r="CL11" t="inlineStr">
        <is>
          <t>Standard</t>
        </is>
      </c>
      <c r="CM11" t="inlineStr">
        <is>
          <t>Standard</t>
        </is>
      </c>
      <c r="CN11" t="inlineStr">
        <is>
          <t>1</t>
        </is>
      </c>
      <c r="CO11" t="inlineStr">
        <is>
          <t>Does Not Apply</t>
        </is>
      </c>
      <c r="CP11" t="inlineStr">
        <is>
          <t>Does Not Apply</t>
        </is>
      </c>
      <c r="CQ11" t="inlineStr">
        <is>
          <t>Does Not Apply</t>
        </is>
      </c>
      <c r="CR11" t="inlineStr">
        <is>
          <t>Does Not Apply</t>
        </is>
      </c>
      <c r="CS11" t="inlineStr">
        <is>
          <t>No</t>
        </is>
      </c>
      <c r="CT11" t="inlineStr">
        <is>
          <t>Does Not Apply</t>
        </is>
      </c>
      <c r="CU11" t="inlineStr">
        <is>
          <t>150</t>
        </is>
      </c>
      <c r="CY11" t="inlineStr">
        <is>
          <t>White/Mirrored</t>
        </is>
      </c>
      <c r="DA11" t="inlineStr">
        <is>
          <t>Standard</t>
        </is>
      </c>
      <c r="DB11" t="inlineStr">
        <is>
          <t>Standard</t>
        </is>
      </c>
      <c r="DF11" t="inlineStr">
        <is>
          <t>1</t>
        </is>
      </c>
      <c r="DG11" t="inlineStr">
        <is>
          <t>2</t>
        </is>
      </c>
      <c r="DJ11" t="inlineStr">
        <is>
          <t>No</t>
        </is>
      </c>
      <c r="DK11" t="inlineStr">
        <is>
          <t>Yes</t>
        </is>
      </c>
      <c r="DL11" t="inlineStr">
        <is>
          <t>Yes</t>
        </is>
      </c>
      <c r="DM11" t="inlineStr">
        <is>
          <t>Yes</t>
        </is>
      </c>
      <c r="DN11" t="inlineStr">
        <is>
          <t>Yes</t>
        </is>
      </c>
      <c r="DO11" t="inlineStr">
        <is>
          <t>Yes</t>
        </is>
      </c>
      <c r="DP11" t="inlineStr">
        <is>
          <t>No</t>
        </is>
      </c>
      <c r="DQ11" t="inlineStr">
        <is>
          <t>None</t>
        </is>
      </c>
      <c r="DX11" t="inlineStr">
        <is>
          <t>Yes</t>
        </is>
      </c>
      <c r="DY11" t="inlineStr">
        <is>
          <t>Not Applicable</t>
        </is>
      </c>
      <c r="DZ11" t="inlineStr">
        <is>
          <t>Standard</t>
        </is>
      </c>
      <c r="EA11" t="inlineStr">
        <is>
          <t>Standard</t>
        </is>
      </c>
      <c r="EE11" t="inlineStr">
        <is>
          <t>72</t>
        </is>
      </c>
      <c r="EF11" t="inlineStr">
        <is>
          <t>16</t>
        </is>
      </c>
      <c r="EG11" t="inlineStr">
        <is>
          <t>18</t>
        </is>
      </c>
      <c r="EH11" t="inlineStr">
        <is>
          <t>72</t>
        </is>
      </c>
      <c r="EI11" t="inlineStr">
        <is>
          <t>16</t>
        </is>
      </c>
      <c r="EJ11" t="inlineStr">
        <is>
          <t>90</t>
        </is>
      </c>
      <c r="EK11" t="inlineStr">
        <is>
          <t>75"</t>
        </is>
      </c>
      <c r="EL11" t="inlineStr">
        <is>
          <t>18</t>
        </is>
      </c>
      <c r="EM11" t="inlineStr">
        <is>
          <t>Yes</t>
        </is>
      </c>
      <c r="EN11" t="inlineStr">
        <is>
          <t>Full Assembly Needed</t>
        </is>
      </c>
      <c r="EP11" t="inlineStr">
        <is>
          <t>No</t>
        </is>
      </c>
      <c r="EQ11" t="inlineStr">
        <is>
          <t>Does Not Apply</t>
        </is>
      </c>
    </row>
    <row r="12">
      <c r="B12" t="inlineStr">
        <is>
          <t>CASA-TV-017</t>
        </is>
      </c>
      <c r="D12" t="inlineStr">
        <is>
          <t>Casa Design Furniture</t>
        </is>
      </c>
      <c r="E12" t="inlineStr">
        <is>
          <t>CASA-TV-017</t>
        </is>
      </c>
      <c r="F12" t="inlineStr">
        <is>
          <t>840134100174</t>
        </is>
      </c>
      <c r="G12" t="inlineStr">
        <is>
          <t>#017 KL TV STAND</t>
        </is>
      </c>
      <c r="J12" t="inlineStr">
        <is>
          <t>810</t>
        </is>
      </c>
      <c r="M12" t="inlineStr">
        <is>
          <t>The #017 KL TV STAND offers a stunning modern design with high-end materials. Perfect for elevating your living space.</t>
        </is>
      </c>
      <c r="N12" t="inlineStr">
        <is>
          <t>Sleek Modern Aesthetic</t>
        </is>
      </c>
      <c r="O12" t="inlineStr">
        <is>
          <t>High-Durability Construction</t>
        </is>
      </c>
      <c r="P12" t="inlineStr">
        <is>
          <t>Easy Assembly with Storage</t>
        </is>
      </c>
      <c r="S12" t="inlineStr">
        <is>
          <t>1</t>
        </is>
      </c>
      <c r="T12" t="inlineStr">
        <is>
          <t>1</t>
        </is>
      </c>
      <c r="U12" t="inlineStr">
        <is>
          <t>1</t>
        </is>
      </c>
      <c r="V12" t="inlineStr">
        <is>
          <t>80</t>
        </is>
      </c>
      <c r="W12" t="inlineStr">
        <is>
          <t>Small Parcel</t>
        </is>
      </c>
      <c r="Y12" t="inlineStr">
        <is>
          <t>4</t>
        </is>
      </c>
      <c r="Z12" t="inlineStr">
        <is>
          <t>7</t>
        </is>
      </c>
      <c r="AD12" t="inlineStr">
        <is>
          <t>92</t>
        </is>
      </c>
      <c r="AE12" t="inlineStr">
        <is>
          <t>27</t>
        </is>
      </c>
      <c r="AF12" t="inlineStr">
        <is>
          <t>70</t>
        </is>
      </c>
      <c r="AG12" t="inlineStr">
        <is>
          <t>20</t>
        </is>
      </c>
      <c r="AH12" t="inlineStr">
        <is>
          <t>No</t>
        </is>
      </c>
      <c r="AK12" t="inlineStr">
        <is>
          <t>United States</t>
        </is>
      </c>
      <c r="AL12" s="40" t="inlineStr">
        <is>
          <t>https://casadesignfurniture.com/wp-content/uploads/2023/12/Group-4-1.png</t>
        </is>
      </c>
      <c r="BG12" t="inlineStr">
        <is>
          <t>TV Stand</t>
        </is>
      </c>
      <c r="BH12" t="inlineStr">
        <is>
          <t>No</t>
        </is>
      </c>
      <c r="BI12" t="inlineStr">
        <is>
          <t>Yes</t>
        </is>
      </c>
      <c r="BJ12" t="inlineStr">
        <is>
          <t>2</t>
        </is>
      </c>
      <c r="BK12" t="inlineStr">
        <is>
          <t>Yes</t>
        </is>
      </c>
      <c r="BO12" t="inlineStr">
        <is>
          <t>No</t>
        </is>
      </c>
      <c r="BP12" t="inlineStr">
        <is>
          <t>Cabinet/Enclosed storage</t>
        </is>
      </c>
      <c r="BQ12" t="inlineStr">
        <is>
          <t>Solid + Manufactured Wood</t>
        </is>
      </c>
      <c r="BS12" t="inlineStr">
        <is>
          <t>No Natural Variation</t>
        </is>
      </c>
      <c r="CA12" t="inlineStr">
        <is>
          <t>No</t>
        </is>
      </c>
      <c r="CB12" t="inlineStr">
        <is>
          <t>No</t>
        </is>
      </c>
      <c r="CC12" t="inlineStr">
        <is>
          <t>Yes</t>
        </is>
      </c>
      <c r="CF12" t="inlineStr">
        <is>
          <t>Residential Use</t>
        </is>
      </c>
      <c r="CH12" t="inlineStr">
        <is>
          <t>Does Not Apply</t>
        </is>
      </c>
      <c r="CK12" t="inlineStr">
        <is>
          <t>No</t>
        </is>
      </c>
      <c r="CL12" t="inlineStr">
        <is>
          <t>Standard</t>
        </is>
      </c>
      <c r="CM12" t="inlineStr">
        <is>
          <t>Standard</t>
        </is>
      </c>
      <c r="CN12" t="inlineStr">
        <is>
          <t>1</t>
        </is>
      </c>
      <c r="CO12" t="inlineStr">
        <is>
          <t>Does Not Apply</t>
        </is>
      </c>
      <c r="CP12" t="inlineStr">
        <is>
          <t>Does Not Apply</t>
        </is>
      </c>
      <c r="CQ12" t="inlineStr">
        <is>
          <t>Does Not Apply</t>
        </is>
      </c>
      <c r="CR12" t="inlineStr">
        <is>
          <t>Does Not Apply</t>
        </is>
      </c>
      <c r="CS12" t="inlineStr">
        <is>
          <t>No</t>
        </is>
      </c>
      <c r="CT12" t="inlineStr">
        <is>
          <t>Does Not Apply</t>
        </is>
      </c>
      <c r="CU12" t="inlineStr">
        <is>
          <t>150</t>
        </is>
      </c>
      <c r="CY12" t="inlineStr">
        <is>
          <t>White/Mirrored</t>
        </is>
      </c>
      <c r="DA12" t="inlineStr">
        <is>
          <t>Standard</t>
        </is>
      </c>
      <c r="DB12" t="inlineStr">
        <is>
          <t>Standard</t>
        </is>
      </c>
      <c r="DF12" t="inlineStr">
        <is>
          <t>1</t>
        </is>
      </c>
      <c r="DG12" t="inlineStr">
        <is>
          <t>2</t>
        </is>
      </c>
      <c r="DJ12" t="inlineStr">
        <is>
          <t>No</t>
        </is>
      </c>
      <c r="DK12" t="inlineStr">
        <is>
          <t>Yes</t>
        </is>
      </c>
      <c r="DL12" t="inlineStr">
        <is>
          <t>Yes</t>
        </is>
      </c>
      <c r="DM12" t="inlineStr">
        <is>
          <t>Yes</t>
        </is>
      </c>
      <c r="DN12" t="inlineStr">
        <is>
          <t>Yes</t>
        </is>
      </c>
      <c r="DO12" t="inlineStr">
        <is>
          <t>Yes</t>
        </is>
      </c>
      <c r="DP12" t="inlineStr">
        <is>
          <t>No</t>
        </is>
      </c>
      <c r="DQ12" t="inlineStr">
        <is>
          <t>None</t>
        </is>
      </c>
      <c r="DX12" t="inlineStr">
        <is>
          <t>Yes</t>
        </is>
      </c>
      <c r="DY12" t="inlineStr">
        <is>
          <t>Not Applicable</t>
        </is>
      </c>
      <c r="DZ12" t="inlineStr">
        <is>
          <t>Standard</t>
        </is>
      </c>
      <c r="EA12" t="inlineStr">
        <is>
          <t>Standard</t>
        </is>
      </c>
      <c r="EE12" t="inlineStr">
        <is>
          <t>65</t>
        </is>
      </c>
      <c r="EF12" t="inlineStr">
        <is>
          <t>15</t>
        </is>
      </c>
      <c r="EG12" t="inlineStr">
        <is>
          <t>22</t>
        </is>
      </c>
      <c r="EH12" t="inlineStr">
        <is>
          <t>65</t>
        </is>
      </c>
      <c r="EI12" t="inlineStr">
        <is>
          <t>15</t>
        </is>
      </c>
      <c r="EJ12" t="inlineStr">
        <is>
          <t>80</t>
        </is>
      </c>
      <c r="EK12" t="inlineStr">
        <is>
          <t>75"</t>
        </is>
      </c>
      <c r="EL12" t="inlineStr">
        <is>
          <t>22</t>
        </is>
      </c>
      <c r="EM12" t="inlineStr">
        <is>
          <t>Yes</t>
        </is>
      </c>
      <c r="EN12" t="inlineStr">
        <is>
          <t>Full Assembly Needed</t>
        </is>
      </c>
      <c r="EP12" t="inlineStr">
        <is>
          <t>No</t>
        </is>
      </c>
      <c r="EQ12" t="inlineStr">
        <is>
          <t>Does Not Apply</t>
        </is>
      </c>
    </row>
    <row r="13">
      <c r="B13" t="inlineStr">
        <is>
          <t>CASA-TV-019</t>
        </is>
      </c>
      <c r="D13" t="inlineStr">
        <is>
          <t>Casa Design Furniture</t>
        </is>
      </c>
      <c r="E13" t="inlineStr">
        <is>
          <t>CASA-TV-019</t>
        </is>
      </c>
      <c r="F13" t="inlineStr">
        <is>
          <t>840134100198</t>
        </is>
      </c>
      <c r="G13" t="inlineStr">
        <is>
          <t>#019 TV STAND MIRRORED DIAMONDS</t>
        </is>
      </c>
      <c r="J13" t="inlineStr">
        <is>
          <t>950</t>
        </is>
      </c>
      <c r="M13" t="inlineStr">
        <is>
          <t>The #019 TV STAND MIRRORED DIAMONDS offers a stunning modern design with high-end materials. Perfect for elevating your living space.</t>
        </is>
      </c>
      <c r="N13" t="inlineStr">
        <is>
          <t>Sleek Modern Aesthetic</t>
        </is>
      </c>
      <c r="O13" t="inlineStr">
        <is>
          <t>High-Durability Construction</t>
        </is>
      </c>
      <c r="P13" t="inlineStr">
        <is>
          <t>Easy Assembly with Storage</t>
        </is>
      </c>
      <c r="S13" t="inlineStr">
        <is>
          <t>1</t>
        </is>
      </c>
      <c r="T13" t="inlineStr">
        <is>
          <t>1</t>
        </is>
      </c>
      <c r="U13" t="inlineStr">
        <is>
          <t>1</t>
        </is>
      </c>
      <c r="V13" t="inlineStr">
        <is>
          <t>105</t>
        </is>
      </c>
      <c r="W13" t="inlineStr">
        <is>
          <t>Small Parcel</t>
        </is>
      </c>
      <c r="Y13" t="inlineStr">
        <is>
          <t>4</t>
        </is>
      </c>
      <c r="Z13" t="inlineStr">
        <is>
          <t>7</t>
        </is>
      </c>
      <c r="AD13" t="inlineStr">
        <is>
          <t>117</t>
        </is>
      </c>
      <c r="AE13" t="inlineStr">
        <is>
          <t>24</t>
        </is>
      </c>
      <c r="AF13" t="inlineStr">
        <is>
          <t>80</t>
        </is>
      </c>
      <c r="AG13" t="inlineStr">
        <is>
          <t>22</t>
        </is>
      </c>
      <c r="AH13" t="inlineStr">
        <is>
          <t>No</t>
        </is>
      </c>
      <c r="AK13" t="inlineStr">
        <is>
          <t>United States</t>
        </is>
      </c>
      <c r="AL13" s="40" t="inlineStr">
        <is>
          <t>https://casadesignfurniture.com/wp-content/uploads/2023/12/Group-4-1.png</t>
        </is>
      </c>
      <c r="BG13" t="inlineStr">
        <is>
          <t>TV Stand</t>
        </is>
      </c>
      <c r="BH13" t="inlineStr">
        <is>
          <t>No</t>
        </is>
      </c>
      <c r="BI13" t="inlineStr">
        <is>
          <t>Yes</t>
        </is>
      </c>
      <c r="BJ13" t="inlineStr">
        <is>
          <t>2</t>
        </is>
      </c>
      <c r="BK13" t="inlineStr">
        <is>
          <t>Yes</t>
        </is>
      </c>
      <c r="BO13" t="inlineStr">
        <is>
          <t>No</t>
        </is>
      </c>
      <c r="BP13" t="inlineStr">
        <is>
          <t>Cabinet/Enclosed storage</t>
        </is>
      </c>
      <c r="BQ13" t="inlineStr">
        <is>
          <t>Solid + Manufactured Wood</t>
        </is>
      </c>
      <c r="BS13" t="inlineStr">
        <is>
          <t>No Natural Variation</t>
        </is>
      </c>
      <c r="CA13" t="inlineStr">
        <is>
          <t>No</t>
        </is>
      </c>
      <c r="CB13" t="inlineStr">
        <is>
          <t>No</t>
        </is>
      </c>
      <c r="CC13" t="inlineStr">
        <is>
          <t>Yes</t>
        </is>
      </c>
      <c r="CF13" t="inlineStr">
        <is>
          <t>Residential Use</t>
        </is>
      </c>
      <c r="CH13" t="inlineStr">
        <is>
          <t>Does Not Apply</t>
        </is>
      </c>
      <c r="CK13" t="inlineStr">
        <is>
          <t>No</t>
        </is>
      </c>
      <c r="CL13" t="inlineStr">
        <is>
          <t>Standard</t>
        </is>
      </c>
      <c r="CM13" t="inlineStr">
        <is>
          <t>Standard</t>
        </is>
      </c>
      <c r="CN13" t="inlineStr">
        <is>
          <t>1</t>
        </is>
      </c>
      <c r="CO13" t="inlineStr">
        <is>
          <t>Does Not Apply</t>
        </is>
      </c>
      <c r="CP13" t="inlineStr">
        <is>
          <t>Does Not Apply</t>
        </is>
      </c>
      <c r="CQ13" t="inlineStr">
        <is>
          <t>Does Not Apply</t>
        </is>
      </c>
      <c r="CR13" t="inlineStr">
        <is>
          <t>Does Not Apply</t>
        </is>
      </c>
      <c r="CS13" t="inlineStr">
        <is>
          <t>No</t>
        </is>
      </c>
      <c r="CT13" t="inlineStr">
        <is>
          <t>Does Not Apply</t>
        </is>
      </c>
      <c r="CU13" t="inlineStr">
        <is>
          <t>150</t>
        </is>
      </c>
      <c r="CY13" t="inlineStr">
        <is>
          <t>White/Mirrored</t>
        </is>
      </c>
      <c r="DA13" t="inlineStr">
        <is>
          <t>Standard</t>
        </is>
      </c>
      <c r="DB13" t="inlineStr">
        <is>
          <t>Standard</t>
        </is>
      </c>
      <c r="DF13" t="inlineStr">
        <is>
          <t>1</t>
        </is>
      </c>
      <c r="DG13" t="inlineStr">
        <is>
          <t>2</t>
        </is>
      </c>
      <c r="DJ13" t="inlineStr">
        <is>
          <t>No</t>
        </is>
      </c>
      <c r="DK13" t="inlineStr">
        <is>
          <t>Yes</t>
        </is>
      </c>
      <c r="DL13" t="inlineStr">
        <is>
          <t>Yes</t>
        </is>
      </c>
      <c r="DM13" t="inlineStr">
        <is>
          <t>Yes</t>
        </is>
      </c>
      <c r="DN13" t="inlineStr">
        <is>
          <t>Yes</t>
        </is>
      </c>
      <c r="DO13" t="inlineStr">
        <is>
          <t>Yes</t>
        </is>
      </c>
      <c r="DP13" t="inlineStr">
        <is>
          <t>No</t>
        </is>
      </c>
      <c r="DQ13" t="inlineStr">
        <is>
          <t>None</t>
        </is>
      </c>
      <c r="DX13" t="inlineStr">
        <is>
          <t>Yes</t>
        </is>
      </c>
      <c r="DY13" t="inlineStr">
        <is>
          <t>Not Applicable</t>
        </is>
      </c>
      <c r="DZ13" t="inlineStr">
        <is>
          <t>Standard</t>
        </is>
      </c>
      <c r="EA13" t="inlineStr">
        <is>
          <t>Standard</t>
        </is>
      </c>
      <c r="EE13" t="inlineStr">
        <is>
          <t>75</t>
        </is>
      </c>
      <c r="EF13" t="inlineStr">
        <is>
          <t>17</t>
        </is>
      </c>
      <c r="EG13" t="inlineStr">
        <is>
          <t>19</t>
        </is>
      </c>
      <c r="EH13" t="inlineStr">
        <is>
          <t>75</t>
        </is>
      </c>
      <c r="EI13" t="inlineStr">
        <is>
          <t>17</t>
        </is>
      </c>
      <c r="EJ13" t="inlineStr">
        <is>
          <t>105</t>
        </is>
      </c>
      <c r="EK13" t="inlineStr">
        <is>
          <t>75"</t>
        </is>
      </c>
      <c r="EL13" t="inlineStr">
        <is>
          <t>19</t>
        </is>
      </c>
      <c r="EM13" t="inlineStr">
        <is>
          <t>Yes</t>
        </is>
      </c>
      <c r="EN13" t="inlineStr">
        <is>
          <t>Full Assembly Needed</t>
        </is>
      </c>
      <c r="EP13" t="inlineStr">
        <is>
          <t>No</t>
        </is>
      </c>
      <c r="EQ13" t="inlineStr">
        <is>
          <t>Does Not Apply</t>
        </is>
      </c>
    </row>
    <row r="14">
      <c r="B14" t="inlineStr">
        <is>
          <t>CASA-TV-020</t>
        </is>
      </c>
      <c r="D14" t="inlineStr">
        <is>
          <t>Casa Design Furniture</t>
        </is>
      </c>
      <c r="E14" t="inlineStr">
        <is>
          <t>CASA-TV-020</t>
        </is>
      </c>
      <c r="F14" t="inlineStr">
        <is>
          <t>840134100204</t>
        </is>
      </c>
      <c r="G14" t="inlineStr">
        <is>
          <t>#020 TV STAND ELECTRIC FIREPLACE</t>
        </is>
      </c>
      <c r="J14" t="inlineStr">
        <is>
          <t>1100</t>
        </is>
      </c>
      <c r="M14" t="inlineStr">
        <is>
          <t>The #020 TV STAND ELECTRIC FIREPLACE offers a stunning modern design with high-end materials. Perfect for elevating your living space.</t>
        </is>
      </c>
      <c r="N14" t="inlineStr">
        <is>
          <t>Sleek Modern Aesthetic</t>
        </is>
      </c>
      <c r="O14" t="inlineStr">
        <is>
          <t>High-Durability Construction</t>
        </is>
      </c>
      <c r="P14" t="inlineStr">
        <is>
          <t>Easy Assembly with Storage</t>
        </is>
      </c>
      <c r="S14" t="inlineStr">
        <is>
          <t>1</t>
        </is>
      </c>
      <c r="T14" t="inlineStr">
        <is>
          <t>1</t>
        </is>
      </c>
      <c r="U14" t="inlineStr">
        <is>
          <t>1</t>
        </is>
      </c>
      <c r="V14" t="inlineStr">
        <is>
          <t>120</t>
        </is>
      </c>
      <c r="W14" t="inlineStr">
        <is>
          <t>Small Parcel</t>
        </is>
      </c>
      <c r="Y14" t="inlineStr">
        <is>
          <t>4</t>
        </is>
      </c>
      <c r="Z14" t="inlineStr">
        <is>
          <t>7</t>
        </is>
      </c>
      <c r="AD14" t="inlineStr">
        <is>
          <t>132</t>
        </is>
      </c>
      <c r="AE14" t="inlineStr">
        <is>
          <t>48</t>
        </is>
      </c>
      <c r="AF14" t="inlineStr">
        <is>
          <t>88</t>
        </is>
      </c>
      <c r="AG14" t="inlineStr">
        <is>
          <t>44</t>
        </is>
      </c>
      <c r="AH14" t="inlineStr">
        <is>
          <t>No</t>
        </is>
      </c>
      <c r="AK14" t="inlineStr">
        <is>
          <t>United States</t>
        </is>
      </c>
      <c r="AL14" s="40" t="inlineStr">
        <is>
          <t>https://casadesignfurniture.com/wp-content/uploads/2023/07/dearborn.jpg</t>
        </is>
      </c>
      <c r="BG14" t="inlineStr">
        <is>
          <t>TV Stand</t>
        </is>
      </c>
      <c r="BH14" t="inlineStr">
        <is>
          <t>No</t>
        </is>
      </c>
      <c r="BI14" t="inlineStr">
        <is>
          <t>Yes</t>
        </is>
      </c>
      <c r="BJ14" t="inlineStr">
        <is>
          <t>2</t>
        </is>
      </c>
      <c r="BK14" t="inlineStr">
        <is>
          <t>Yes</t>
        </is>
      </c>
      <c r="BO14" t="inlineStr">
        <is>
          <t>No</t>
        </is>
      </c>
      <c r="BP14" t="inlineStr">
        <is>
          <t>Cabinet/Enclosed storage</t>
        </is>
      </c>
      <c r="BQ14" t="inlineStr">
        <is>
          <t>Solid + Manufactured Wood</t>
        </is>
      </c>
      <c r="BS14" t="inlineStr">
        <is>
          <t>No Natural Variation</t>
        </is>
      </c>
      <c r="CA14" t="inlineStr">
        <is>
          <t>Yes</t>
        </is>
      </c>
      <c r="CB14" t="inlineStr">
        <is>
          <t>Yes</t>
        </is>
      </c>
      <c r="CC14" t="inlineStr">
        <is>
          <t>Yes</t>
        </is>
      </c>
      <c r="CF14" t="inlineStr">
        <is>
          <t>Residential Use</t>
        </is>
      </c>
      <c r="CH14" t="inlineStr">
        <is>
          <t>Does Not Apply</t>
        </is>
      </c>
      <c r="CK14" t="inlineStr">
        <is>
          <t>No</t>
        </is>
      </c>
      <c r="CL14" t="inlineStr">
        <is>
          <t>Standard</t>
        </is>
      </c>
      <c r="CM14" t="inlineStr">
        <is>
          <t>Standard</t>
        </is>
      </c>
      <c r="CN14" t="inlineStr">
        <is>
          <t>1</t>
        </is>
      </c>
      <c r="CO14" t="inlineStr">
        <is>
          <t>Does Not Apply</t>
        </is>
      </c>
      <c r="CP14" t="inlineStr">
        <is>
          <t>Does Not Apply</t>
        </is>
      </c>
      <c r="CQ14" t="inlineStr">
        <is>
          <t>Does Not Apply</t>
        </is>
      </c>
      <c r="CR14" t="inlineStr">
        <is>
          <t>Does Not Apply</t>
        </is>
      </c>
      <c r="CU14" t="inlineStr">
        <is>
          <t>150</t>
        </is>
      </c>
      <c r="CY14" t="inlineStr">
        <is>
          <t>White/Mirrored</t>
        </is>
      </c>
      <c r="DA14" t="inlineStr">
        <is>
          <t>Vent Free</t>
        </is>
      </c>
      <c r="DB14" t="inlineStr">
        <is>
          <t>Electric</t>
        </is>
      </c>
      <c r="DF14" t="inlineStr">
        <is>
          <t>1</t>
        </is>
      </c>
      <c r="DG14" t="inlineStr">
        <is>
          <t>2</t>
        </is>
      </c>
      <c r="DJ14" t="inlineStr">
        <is>
          <t>No</t>
        </is>
      </c>
      <c r="DK14" t="inlineStr">
        <is>
          <t>Yes</t>
        </is>
      </c>
      <c r="DL14" t="inlineStr">
        <is>
          <t>Yes</t>
        </is>
      </c>
      <c r="DM14" t="inlineStr">
        <is>
          <t>Yes</t>
        </is>
      </c>
      <c r="DN14" t="inlineStr">
        <is>
          <t>Yes</t>
        </is>
      </c>
      <c r="DO14" t="inlineStr">
        <is>
          <t>Yes</t>
        </is>
      </c>
      <c r="DP14" t="inlineStr">
        <is>
          <t>No</t>
        </is>
      </c>
      <c r="DQ14" t="inlineStr">
        <is>
          <t>None</t>
        </is>
      </c>
      <c r="DX14" t="inlineStr">
        <is>
          <t>Yes</t>
        </is>
      </c>
      <c r="DY14" t="inlineStr">
        <is>
          <t>Not Applicable</t>
        </is>
      </c>
      <c r="DZ14" t="inlineStr">
        <is>
          <t>Standard</t>
        </is>
      </c>
      <c r="EA14" t="inlineStr">
        <is>
          <t>Standard</t>
        </is>
      </c>
      <c r="EE14" t="inlineStr">
        <is>
          <t>83</t>
        </is>
      </c>
      <c r="EF14" t="inlineStr">
        <is>
          <t>39</t>
        </is>
      </c>
      <c r="EG14" t="inlineStr">
        <is>
          <t>43</t>
        </is>
      </c>
      <c r="EH14" t="inlineStr">
        <is>
          <t>83</t>
        </is>
      </c>
      <c r="EI14" t="inlineStr">
        <is>
          <t>39</t>
        </is>
      </c>
      <c r="EJ14" t="inlineStr">
        <is>
          <t>120</t>
        </is>
      </c>
      <c r="EK14" t="inlineStr">
        <is>
          <t>75"</t>
        </is>
      </c>
      <c r="EL14" t="inlineStr">
        <is>
          <t>43</t>
        </is>
      </c>
      <c r="EM14" t="inlineStr">
        <is>
          <t>Yes</t>
        </is>
      </c>
      <c r="EN14" t="inlineStr">
        <is>
          <t>Full Assembly Needed</t>
        </is>
      </c>
      <c r="EP14" t="inlineStr">
        <is>
          <t>No</t>
        </is>
      </c>
      <c r="EQ14" t="inlineStr">
        <is>
          <t>Does Not Apply</t>
        </is>
      </c>
    </row>
    <row r="15">
      <c r="B15" t="inlineStr">
        <is>
          <t>CASA-TV-023</t>
        </is>
      </c>
      <c r="D15" t="inlineStr">
        <is>
          <t>Casa Design Furniture</t>
        </is>
      </c>
      <c r="E15" t="inlineStr">
        <is>
          <t>CASA-TV-023</t>
        </is>
      </c>
      <c r="F15" t="inlineStr">
        <is>
          <t>840134100235</t>
        </is>
      </c>
      <c r="G15" t="inlineStr">
        <is>
          <t>#023 AMRITA TV STAND</t>
        </is>
      </c>
      <c r="J15" t="inlineStr">
        <is>
          <t>590</t>
        </is>
      </c>
      <c r="M15" t="inlineStr">
        <is>
          <t>The #023 AMRITA TV STAND offers a stunning modern design with high-end materials. Perfect for elevating your living space.</t>
        </is>
      </c>
      <c r="N15" t="inlineStr">
        <is>
          <t>Sleek Modern Aesthetic</t>
        </is>
      </c>
      <c r="O15" t="inlineStr">
        <is>
          <t>High-Durability Construction</t>
        </is>
      </c>
      <c r="P15" t="inlineStr">
        <is>
          <t>Easy Assembly with Storage</t>
        </is>
      </c>
      <c r="S15" t="inlineStr">
        <is>
          <t>1</t>
        </is>
      </c>
      <c r="T15" t="inlineStr">
        <is>
          <t>1</t>
        </is>
      </c>
      <c r="U15" t="inlineStr">
        <is>
          <t>1</t>
        </is>
      </c>
      <c r="V15" t="inlineStr">
        <is>
          <t>70</t>
        </is>
      </c>
      <c r="W15" t="inlineStr">
        <is>
          <t>Small Parcel</t>
        </is>
      </c>
      <c r="Y15" t="inlineStr">
        <is>
          <t>4</t>
        </is>
      </c>
      <c r="Z15" t="inlineStr">
        <is>
          <t>7</t>
        </is>
      </c>
      <c r="AD15" t="inlineStr">
        <is>
          <t>82</t>
        </is>
      </c>
      <c r="AE15" t="inlineStr">
        <is>
          <t>29</t>
        </is>
      </c>
      <c r="AF15" t="inlineStr">
        <is>
          <t>65</t>
        </is>
      </c>
      <c r="AG15" t="inlineStr">
        <is>
          <t>21</t>
        </is>
      </c>
      <c r="AH15" t="inlineStr">
        <is>
          <t>No</t>
        </is>
      </c>
      <c r="AK15" t="inlineStr">
        <is>
          <t>United States</t>
        </is>
      </c>
      <c r="AL15" s="40" t="inlineStr">
        <is>
          <t>https://casadesignfurniture.com/wp-content/uploads/2023/12/Group-4-1.png</t>
        </is>
      </c>
      <c r="BG15" t="inlineStr">
        <is>
          <t>TV Stand</t>
        </is>
      </c>
      <c r="BH15" t="inlineStr">
        <is>
          <t>No</t>
        </is>
      </c>
      <c r="BI15" t="inlineStr">
        <is>
          <t>Yes</t>
        </is>
      </c>
      <c r="BJ15" t="inlineStr">
        <is>
          <t>2</t>
        </is>
      </c>
      <c r="BK15" t="inlineStr">
        <is>
          <t>Yes</t>
        </is>
      </c>
      <c r="BO15" t="inlineStr">
        <is>
          <t>No</t>
        </is>
      </c>
      <c r="BP15" t="inlineStr">
        <is>
          <t>Cabinet/Enclosed storage</t>
        </is>
      </c>
      <c r="BQ15" t="inlineStr">
        <is>
          <t>Solid + Manufactured Wood</t>
        </is>
      </c>
      <c r="BS15" t="inlineStr">
        <is>
          <t>No Natural Variation</t>
        </is>
      </c>
      <c r="CA15" t="inlineStr">
        <is>
          <t>No</t>
        </is>
      </c>
      <c r="CB15" t="inlineStr">
        <is>
          <t>No</t>
        </is>
      </c>
      <c r="CC15" t="inlineStr">
        <is>
          <t>Yes</t>
        </is>
      </c>
      <c r="CF15" t="inlineStr">
        <is>
          <t>Residential Use</t>
        </is>
      </c>
      <c r="CH15" t="inlineStr">
        <is>
          <t>Does Not Apply</t>
        </is>
      </c>
      <c r="CK15" t="inlineStr">
        <is>
          <t>No</t>
        </is>
      </c>
      <c r="CL15" t="inlineStr">
        <is>
          <t>Standard</t>
        </is>
      </c>
      <c r="CM15" t="inlineStr">
        <is>
          <t>Standard</t>
        </is>
      </c>
      <c r="CN15" t="inlineStr">
        <is>
          <t>1</t>
        </is>
      </c>
      <c r="CO15" t="inlineStr">
        <is>
          <t>Does Not Apply</t>
        </is>
      </c>
      <c r="CP15" t="inlineStr">
        <is>
          <t>Does Not Apply</t>
        </is>
      </c>
      <c r="CQ15" t="inlineStr">
        <is>
          <t>Does Not Apply</t>
        </is>
      </c>
      <c r="CR15" t="inlineStr">
        <is>
          <t>Does Not Apply</t>
        </is>
      </c>
      <c r="CS15" t="inlineStr">
        <is>
          <t>No</t>
        </is>
      </c>
      <c r="CT15" t="inlineStr">
        <is>
          <t>Does Not Apply</t>
        </is>
      </c>
      <c r="CU15" t="inlineStr">
        <is>
          <t>150</t>
        </is>
      </c>
      <c r="CY15" t="inlineStr">
        <is>
          <t>White/Mirrored</t>
        </is>
      </c>
      <c r="DA15" t="inlineStr">
        <is>
          <t>Standard</t>
        </is>
      </c>
      <c r="DB15" t="inlineStr">
        <is>
          <t>Standard</t>
        </is>
      </c>
      <c r="DF15" t="inlineStr">
        <is>
          <t>1</t>
        </is>
      </c>
      <c r="DG15" t="inlineStr">
        <is>
          <t>2</t>
        </is>
      </c>
      <c r="DJ15" t="inlineStr">
        <is>
          <t>No</t>
        </is>
      </c>
      <c r="DK15" t="inlineStr">
        <is>
          <t>Yes</t>
        </is>
      </c>
      <c r="DL15" t="inlineStr">
        <is>
          <t>Yes</t>
        </is>
      </c>
      <c r="DM15" t="inlineStr">
        <is>
          <t>Yes</t>
        </is>
      </c>
      <c r="DN15" t="inlineStr">
        <is>
          <t>Yes</t>
        </is>
      </c>
      <c r="DO15" t="inlineStr">
        <is>
          <t>Yes</t>
        </is>
      </c>
      <c r="DP15" t="inlineStr">
        <is>
          <t>No</t>
        </is>
      </c>
      <c r="DQ15" t="inlineStr">
        <is>
          <t>None</t>
        </is>
      </c>
      <c r="DX15" t="inlineStr">
        <is>
          <t>Yes</t>
        </is>
      </c>
      <c r="DY15" t="inlineStr">
        <is>
          <t>Not Applicable</t>
        </is>
      </c>
      <c r="DZ15" t="inlineStr">
        <is>
          <t>Standard</t>
        </is>
      </c>
      <c r="EA15" t="inlineStr">
        <is>
          <t>Standard</t>
        </is>
      </c>
      <c r="EE15" t="inlineStr">
        <is>
          <t>60</t>
        </is>
      </c>
      <c r="EF15" t="inlineStr">
        <is>
          <t>16</t>
        </is>
      </c>
      <c r="EG15" t="inlineStr">
        <is>
          <t>24</t>
        </is>
      </c>
      <c r="EH15" t="inlineStr">
        <is>
          <t>60</t>
        </is>
      </c>
      <c r="EI15" t="inlineStr">
        <is>
          <t>16</t>
        </is>
      </c>
      <c r="EJ15" t="inlineStr">
        <is>
          <t>70</t>
        </is>
      </c>
      <c r="EK15" t="inlineStr">
        <is>
          <t>75"</t>
        </is>
      </c>
      <c r="EL15" t="inlineStr">
        <is>
          <t>24</t>
        </is>
      </c>
      <c r="EM15" t="inlineStr">
        <is>
          <t>Yes</t>
        </is>
      </c>
      <c r="EN15" t="inlineStr">
        <is>
          <t>Full Assembly Needed</t>
        </is>
      </c>
      <c r="EP15" t="inlineStr">
        <is>
          <t>No</t>
        </is>
      </c>
      <c r="EQ15" t="inlineStr">
        <is>
          <t>Does Not Apply</t>
        </is>
      </c>
    </row>
    <row r="16">
      <c r="B16" t="inlineStr">
        <is>
          <t>CASA-TV-025</t>
        </is>
      </c>
      <c r="D16" t="inlineStr">
        <is>
          <t>Casa Design Furniture</t>
        </is>
      </c>
      <c r="E16" t="inlineStr">
        <is>
          <t>CASA-TV-025</t>
        </is>
      </c>
      <c r="F16" t="inlineStr">
        <is>
          <t>840134100259</t>
        </is>
      </c>
      <c r="G16" t="inlineStr">
        <is>
          <t>#025 AFONSO TV STAND FIREPLACE</t>
        </is>
      </c>
      <c r="J16" t="inlineStr">
        <is>
          <t>1250</t>
        </is>
      </c>
      <c r="M16" t="inlineStr">
        <is>
          <t>The #025 AFONSO TV STAND FIREPLACE offers a stunning modern design with high-end materials. Perfect for elevating your living space.</t>
        </is>
      </c>
      <c r="N16" t="inlineStr">
        <is>
          <t>Sleek Modern Aesthetic</t>
        </is>
      </c>
      <c r="O16" t="inlineStr">
        <is>
          <t>High-Durability Construction</t>
        </is>
      </c>
      <c r="P16" t="inlineStr">
        <is>
          <t>Easy Assembly with Storage</t>
        </is>
      </c>
      <c r="S16" t="inlineStr">
        <is>
          <t>1</t>
        </is>
      </c>
      <c r="T16" t="inlineStr">
        <is>
          <t>1</t>
        </is>
      </c>
      <c r="U16" t="inlineStr">
        <is>
          <t>1</t>
        </is>
      </c>
      <c r="V16" t="inlineStr">
        <is>
          <t>115</t>
        </is>
      </c>
      <c r="W16" t="inlineStr">
        <is>
          <t>Small Parcel</t>
        </is>
      </c>
      <c r="Y16" t="inlineStr">
        <is>
          <t>4</t>
        </is>
      </c>
      <c r="Z16" t="inlineStr">
        <is>
          <t>7</t>
        </is>
      </c>
      <c r="AD16" t="inlineStr">
        <is>
          <t>127</t>
        </is>
      </c>
      <c r="AE16" t="inlineStr">
        <is>
          <t>25</t>
        </is>
      </c>
      <c r="AF16" t="inlineStr">
        <is>
          <t>83</t>
        </is>
      </c>
      <c r="AG16" t="inlineStr">
        <is>
          <t>23</t>
        </is>
      </c>
      <c r="AH16" t="inlineStr">
        <is>
          <t>No</t>
        </is>
      </c>
      <c r="AK16" t="inlineStr">
        <is>
          <t>United States</t>
        </is>
      </c>
      <c r="AL16" s="40" t="inlineStr">
        <is>
          <t>https://casadesignfurniture.com/wp-content/uploads/2023/12/Group-4-1.png</t>
        </is>
      </c>
      <c r="BG16" t="inlineStr">
        <is>
          <t>TV Stand</t>
        </is>
      </c>
      <c r="BH16" t="inlineStr">
        <is>
          <t>No</t>
        </is>
      </c>
      <c r="BI16" t="inlineStr">
        <is>
          <t>Yes</t>
        </is>
      </c>
      <c r="BJ16" t="inlineStr">
        <is>
          <t>2</t>
        </is>
      </c>
      <c r="BK16" t="inlineStr">
        <is>
          <t>Yes</t>
        </is>
      </c>
      <c r="BO16" t="inlineStr">
        <is>
          <t>No</t>
        </is>
      </c>
      <c r="BP16" t="inlineStr">
        <is>
          <t>Cabinet/Enclosed storage</t>
        </is>
      </c>
      <c r="BQ16" t="inlineStr">
        <is>
          <t>Solid + Manufactured Wood</t>
        </is>
      </c>
      <c r="BS16" t="inlineStr">
        <is>
          <t>No Natural Variation</t>
        </is>
      </c>
      <c r="CA16" t="inlineStr">
        <is>
          <t>Yes</t>
        </is>
      </c>
      <c r="CB16" t="inlineStr">
        <is>
          <t>Yes</t>
        </is>
      </c>
      <c r="CC16" t="inlineStr">
        <is>
          <t>Yes</t>
        </is>
      </c>
      <c r="CF16" t="inlineStr">
        <is>
          <t>Residential Use</t>
        </is>
      </c>
      <c r="CH16" t="inlineStr">
        <is>
          <t>Does Not Apply</t>
        </is>
      </c>
      <c r="CK16" t="inlineStr">
        <is>
          <t>No</t>
        </is>
      </c>
      <c r="CL16" t="inlineStr">
        <is>
          <t>Standard</t>
        </is>
      </c>
      <c r="CM16" t="inlineStr">
        <is>
          <t>Standard</t>
        </is>
      </c>
      <c r="CN16" t="inlineStr">
        <is>
          <t>1</t>
        </is>
      </c>
      <c r="CO16" t="inlineStr">
        <is>
          <t>Does Not Apply</t>
        </is>
      </c>
      <c r="CP16" t="inlineStr">
        <is>
          <t>Does Not Apply</t>
        </is>
      </c>
      <c r="CQ16" t="inlineStr">
        <is>
          <t>Does Not Apply</t>
        </is>
      </c>
      <c r="CR16" t="inlineStr">
        <is>
          <t>Does Not Apply</t>
        </is>
      </c>
      <c r="CU16" t="inlineStr">
        <is>
          <t>150</t>
        </is>
      </c>
      <c r="CY16" t="inlineStr">
        <is>
          <t>White/Mirrored</t>
        </is>
      </c>
      <c r="DA16" t="inlineStr">
        <is>
          <t>Vent Free</t>
        </is>
      </c>
      <c r="DB16" t="inlineStr">
        <is>
          <t>Electric</t>
        </is>
      </c>
      <c r="DF16" t="inlineStr">
        <is>
          <t>1</t>
        </is>
      </c>
      <c r="DG16" t="inlineStr">
        <is>
          <t>2</t>
        </is>
      </c>
      <c r="DJ16" t="inlineStr">
        <is>
          <t>No</t>
        </is>
      </c>
      <c r="DK16" t="inlineStr">
        <is>
          <t>Yes</t>
        </is>
      </c>
      <c r="DL16" t="inlineStr">
        <is>
          <t>Yes</t>
        </is>
      </c>
      <c r="DM16" t="inlineStr">
        <is>
          <t>Yes</t>
        </is>
      </c>
      <c r="DN16" t="inlineStr">
        <is>
          <t>Yes</t>
        </is>
      </c>
      <c r="DO16" t="inlineStr">
        <is>
          <t>Yes</t>
        </is>
      </c>
      <c r="DP16" t="inlineStr">
        <is>
          <t>No</t>
        </is>
      </c>
      <c r="DQ16" t="inlineStr">
        <is>
          <t>None</t>
        </is>
      </c>
      <c r="DX16" t="inlineStr">
        <is>
          <t>Yes</t>
        </is>
      </c>
      <c r="DY16" t="inlineStr">
        <is>
          <t>Not Applicable</t>
        </is>
      </c>
      <c r="DZ16" t="inlineStr">
        <is>
          <t>Standard</t>
        </is>
      </c>
      <c r="EA16" t="inlineStr">
        <is>
          <t>Standard</t>
        </is>
      </c>
      <c r="EE16" t="inlineStr">
        <is>
          <t>78</t>
        </is>
      </c>
      <c r="EF16" t="inlineStr">
        <is>
          <t>18</t>
        </is>
      </c>
      <c r="EG16" t="inlineStr">
        <is>
          <t>20</t>
        </is>
      </c>
      <c r="EH16" t="inlineStr">
        <is>
          <t>78</t>
        </is>
      </c>
      <c r="EI16" t="inlineStr">
        <is>
          <t>18</t>
        </is>
      </c>
      <c r="EJ16" t="inlineStr">
        <is>
          <t>115</t>
        </is>
      </c>
      <c r="EK16" t="inlineStr">
        <is>
          <t>75"</t>
        </is>
      </c>
      <c r="EL16" t="inlineStr">
        <is>
          <t>20</t>
        </is>
      </c>
      <c r="EM16" t="inlineStr">
        <is>
          <t>Yes</t>
        </is>
      </c>
      <c r="EN16" t="inlineStr">
        <is>
          <t>Full Assembly Needed</t>
        </is>
      </c>
      <c r="EP16" t="inlineStr">
        <is>
          <t>No</t>
        </is>
      </c>
      <c r="EQ16" t="inlineStr">
        <is>
          <t>Does Not Apply</t>
        </is>
      </c>
    </row>
    <row r="17">
      <c r="B17" t="inlineStr">
        <is>
          <t>CASA-TV-V18-501</t>
        </is>
      </c>
      <c r="D17" t="inlineStr">
        <is>
          <t>Casa Design Furniture</t>
        </is>
      </c>
      <c r="E17" t="inlineStr">
        <is>
          <t>CASA-TV-V18-501</t>
        </is>
      </c>
      <c r="F17" t="inlineStr">
        <is>
          <t>840134100531</t>
        </is>
      </c>
      <c r="G17" t="inlineStr">
        <is>
          <t>Elite Modern TV Console V18-501</t>
        </is>
      </c>
      <c r="J17" t="inlineStr">
        <is>
          <t>720</t>
        </is>
      </c>
      <c r="M17" t="inlineStr">
        <is>
          <t>The Elite Contemporary TV Unit Model 701 offers a stunning modern design with high-end materials. Perfect for elevating your living space.</t>
        </is>
      </c>
      <c r="N17" t="inlineStr">
        <is>
          <t>Sleek Modern Aesthetic</t>
        </is>
      </c>
      <c r="O17" t="inlineStr">
        <is>
          <t>High-Durability Construction</t>
        </is>
      </c>
      <c r="P17" t="inlineStr">
        <is>
          <t>Easy Assembly with Storage</t>
        </is>
      </c>
      <c r="S17" t="inlineStr">
        <is>
          <t>1</t>
        </is>
      </c>
      <c r="T17" t="inlineStr">
        <is>
          <t>1</t>
        </is>
      </c>
      <c r="U17" t="inlineStr">
        <is>
          <t>1</t>
        </is>
      </c>
      <c r="V17" t="inlineStr">
        <is>
          <t>90</t>
        </is>
      </c>
      <c r="W17" t="inlineStr">
        <is>
          <t>Small Parcel</t>
        </is>
      </c>
      <c r="Y17" t="inlineStr">
        <is>
          <t>4</t>
        </is>
      </c>
      <c r="Z17" t="inlineStr">
        <is>
          <t>7</t>
        </is>
      </c>
      <c r="AD17" t="inlineStr">
        <is>
          <t>102</t>
        </is>
      </c>
      <c r="AE17" t="inlineStr">
        <is>
          <t>28</t>
        </is>
      </c>
      <c r="AF17" t="inlineStr">
        <is>
          <t>73</t>
        </is>
      </c>
      <c r="AG17" t="inlineStr">
        <is>
          <t>21</t>
        </is>
      </c>
      <c r="AH17" t="inlineStr">
        <is>
          <t>No</t>
        </is>
      </c>
      <c r="AK17" t="inlineStr">
        <is>
          <t>United States</t>
        </is>
      </c>
      <c r="AL17" s="40" t="inlineStr">
        <is>
          <t>https://casadesignfurniture.com/wp-content/uploads/2023/12/Group-4-1.png</t>
        </is>
      </c>
      <c r="BG17" t="inlineStr">
        <is>
          <t>TV Stand</t>
        </is>
      </c>
      <c r="BH17" t="inlineStr">
        <is>
          <t>No</t>
        </is>
      </c>
      <c r="BI17" t="inlineStr">
        <is>
          <t>Yes</t>
        </is>
      </c>
      <c r="BJ17" t="inlineStr">
        <is>
          <t>2</t>
        </is>
      </c>
      <c r="BK17" t="inlineStr">
        <is>
          <t>Yes</t>
        </is>
      </c>
      <c r="BO17" t="inlineStr">
        <is>
          <t>No</t>
        </is>
      </c>
      <c r="BP17" t="inlineStr">
        <is>
          <t>Cabinet/Enclosed storage</t>
        </is>
      </c>
      <c r="BQ17" t="inlineStr">
        <is>
          <t>Solid + Manufactured Wood</t>
        </is>
      </c>
      <c r="BS17" t="inlineStr">
        <is>
          <t>No Natural Variation</t>
        </is>
      </c>
      <c r="CA17" t="inlineStr">
        <is>
          <t>No</t>
        </is>
      </c>
      <c r="CB17" t="inlineStr">
        <is>
          <t>No</t>
        </is>
      </c>
      <c r="CC17" t="inlineStr">
        <is>
          <t>Yes</t>
        </is>
      </c>
      <c r="CF17" t="inlineStr">
        <is>
          <t>Residential Use</t>
        </is>
      </c>
      <c r="CH17" t="inlineStr">
        <is>
          <t>Does Not Apply</t>
        </is>
      </c>
      <c r="CK17" t="inlineStr">
        <is>
          <t>No</t>
        </is>
      </c>
      <c r="CL17" t="inlineStr">
        <is>
          <t>Standard</t>
        </is>
      </c>
      <c r="CM17" t="inlineStr">
        <is>
          <t>Standard</t>
        </is>
      </c>
      <c r="CN17" t="inlineStr">
        <is>
          <t>1</t>
        </is>
      </c>
      <c r="CO17" t="inlineStr">
        <is>
          <t>Does Not Apply</t>
        </is>
      </c>
      <c r="CP17" t="inlineStr">
        <is>
          <t>Does Not Apply</t>
        </is>
      </c>
      <c r="CQ17" t="inlineStr">
        <is>
          <t>Does Not Apply</t>
        </is>
      </c>
      <c r="CR17" t="inlineStr">
        <is>
          <t>Does Not Apply</t>
        </is>
      </c>
      <c r="CS17" t="inlineStr">
        <is>
          <t>No</t>
        </is>
      </c>
      <c r="CT17" t="inlineStr">
        <is>
          <t>Does Not Apply</t>
        </is>
      </c>
      <c r="CU17" t="inlineStr">
        <is>
          <t>150</t>
        </is>
      </c>
      <c r="CY17" t="inlineStr">
        <is>
          <t>White/Mirrored</t>
        </is>
      </c>
      <c r="DA17" t="inlineStr">
        <is>
          <t>Standard</t>
        </is>
      </c>
      <c r="DB17" t="inlineStr">
        <is>
          <t>Standard</t>
        </is>
      </c>
      <c r="DF17" t="inlineStr">
        <is>
          <t>1</t>
        </is>
      </c>
      <c r="DG17" t="inlineStr">
        <is>
          <t>2</t>
        </is>
      </c>
      <c r="DJ17" t="inlineStr">
        <is>
          <t>No</t>
        </is>
      </c>
      <c r="DK17" t="inlineStr">
        <is>
          <t>Yes</t>
        </is>
      </c>
      <c r="DL17" t="inlineStr">
        <is>
          <t>Yes</t>
        </is>
      </c>
      <c r="DM17" t="inlineStr">
        <is>
          <t>Yes</t>
        </is>
      </c>
      <c r="DN17" t="inlineStr">
        <is>
          <t>Yes</t>
        </is>
      </c>
      <c r="DO17" t="inlineStr">
        <is>
          <t>Yes</t>
        </is>
      </c>
      <c r="DP17" t="inlineStr">
        <is>
          <t>No</t>
        </is>
      </c>
      <c r="DQ17" t="inlineStr">
        <is>
          <t>None</t>
        </is>
      </c>
      <c r="DX17" t="inlineStr">
        <is>
          <t>Yes</t>
        </is>
      </c>
      <c r="DY17" t="inlineStr">
        <is>
          <t>Not Applicable</t>
        </is>
      </c>
      <c r="DZ17" t="inlineStr">
        <is>
          <t>Standard</t>
        </is>
      </c>
      <c r="EA17" t="inlineStr">
        <is>
          <t>Standard</t>
        </is>
      </c>
      <c r="EE17" t="inlineStr">
        <is>
          <t>68</t>
        </is>
      </c>
      <c r="EF17" t="inlineStr">
        <is>
          <t>16</t>
        </is>
      </c>
      <c r="EG17" t="inlineStr">
        <is>
          <t>23</t>
        </is>
      </c>
      <c r="EH17" t="inlineStr">
        <is>
          <t>68</t>
        </is>
      </c>
      <c r="EI17" t="inlineStr">
        <is>
          <t>16</t>
        </is>
      </c>
      <c r="EJ17" t="inlineStr">
        <is>
          <t>90</t>
        </is>
      </c>
      <c r="EK17" t="inlineStr">
        <is>
          <t>75"</t>
        </is>
      </c>
      <c r="EL17" t="inlineStr">
        <is>
          <t>23</t>
        </is>
      </c>
      <c r="EM17" t="inlineStr">
        <is>
          <t>Yes</t>
        </is>
      </c>
      <c r="EN17" t="inlineStr">
        <is>
          <t>Full Assembly Needed</t>
        </is>
      </c>
      <c r="EP17" t="inlineStr">
        <is>
          <t>No</t>
        </is>
      </c>
      <c r="EQ17" t="inlineStr">
        <is>
          <t>Does Not Apply</t>
        </is>
      </c>
    </row>
    <row r="18">
      <c r="B18" t="inlineStr">
        <is>
          <t>CASA-TV-V18-502</t>
        </is>
      </c>
      <c r="D18" t="inlineStr">
        <is>
          <t>Casa Design Furniture</t>
        </is>
      </c>
      <c r="E18" t="inlineStr">
        <is>
          <t>CASA-TV-V18-502</t>
        </is>
      </c>
      <c r="F18" t="inlineStr">
        <is>
          <t>840134100532</t>
        </is>
      </c>
      <c r="G18" t="inlineStr">
        <is>
          <t>Elite Modern TV Console V18-502</t>
        </is>
      </c>
      <c r="J18" t="inlineStr">
        <is>
          <t>790</t>
        </is>
      </c>
      <c r="M18" t="inlineStr">
        <is>
          <t>The Elite Contemporary TV Unit Model 702 offers a stunning modern design with high-end materials. Perfect for elevating your living space.</t>
        </is>
      </c>
      <c r="N18" t="inlineStr">
        <is>
          <t>Sleek Modern Aesthetic</t>
        </is>
      </c>
      <c r="O18" t="inlineStr">
        <is>
          <t>High-Durability Construction</t>
        </is>
      </c>
      <c r="P18" t="inlineStr">
        <is>
          <t>Easy Assembly with Storage</t>
        </is>
      </c>
      <c r="S18" t="inlineStr">
        <is>
          <t>1</t>
        </is>
      </c>
      <c r="T18" t="inlineStr">
        <is>
          <t>1</t>
        </is>
      </c>
      <c r="U18" t="inlineStr">
        <is>
          <t>1</t>
        </is>
      </c>
      <c r="V18" t="inlineStr">
        <is>
          <t>90</t>
        </is>
      </c>
      <c r="W18" t="inlineStr">
        <is>
          <t>Small Parcel</t>
        </is>
      </c>
      <c r="Y18" t="inlineStr">
        <is>
          <t>4</t>
        </is>
      </c>
      <c r="Z18" t="inlineStr">
        <is>
          <t>7</t>
        </is>
      </c>
      <c r="AD18" t="inlineStr">
        <is>
          <t>102</t>
        </is>
      </c>
      <c r="AE18" t="inlineStr">
        <is>
          <t>28</t>
        </is>
      </c>
      <c r="AF18" t="inlineStr">
        <is>
          <t>73</t>
        </is>
      </c>
      <c r="AG18" t="inlineStr">
        <is>
          <t>21</t>
        </is>
      </c>
      <c r="AH18" t="inlineStr">
        <is>
          <t>No</t>
        </is>
      </c>
      <c r="AK18" t="inlineStr">
        <is>
          <t>United States</t>
        </is>
      </c>
      <c r="AL18" s="40" t="inlineStr">
        <is>
          <t>https://casadesignfurniture.com/wp-content/uploads/2023/12/Group-4-1.png</t>
        </is>
      </c>
      <c r="BG18" t="inlineStr">
        <is>
          <t>TV Stand</t>
        </is>
      </c>
      <c r="BH18" t="inlineStr">
        <is>
          <t>No</t>
        </is>
      </c>
      <c r="BI18" t="inlineStr">
        <is>
          <t>Yes</t>
        </is>
      </c>
      <c r="BJ18" t="inlineStr">
        <is>
          <t>2</t>
        </is>
      </c>
      <c r="BK18" t="inlineStr">
        <is>
          <t>Yes</t>
        </is>
      </c>
      <c r="BO18" t="inlineStr">
        <is>
          <t>No</t>
        </is>
      </c>
      <c r="BP18" t="inlineStr">
        <is>
          <t>Cabinet/Enclosed storage</t>
        </is>
      </c>
      <c r="BQ18" t="inlineStr">
        <is>
          <t>Solid + Manufactured Wood</t>
        </is>
      </c>
      <c r="BS18" t="inlineStr">
        <is>
          <t>No Natural Variation</t>
        </is>
      </c>
      <c r="CA18" t="inlineStr">
        <is>
          <t>No</t>
        </is>
      </c>
      <c r="CB18" t="inlineStr">
        <is>
          <t>No</t>
        </is>
      </c>
      <c r="CC18" t="inlineStr">
        <is>
          <t>Yes</t>
        </is>
      </c>
      <c r="CF18" t="inlineStr">
        <is>
          <t>Residential Use</t>
        </is>
      </c>
      <c r="CH18" t="inlineStr">
        <is>
          <t>Does Not Apply</t>
        </is>
      </c>
      <c r="CK18" t="inlineStr">
        <is>
          <t>No</t>
        </is>
      </c>
      <c r="CL18" t="inlineStr">
        <is>
          <t>Standard</t>
        </is>
      </c>
      <c r="CM18" t="inlineStr">
        <is>
          <t>Standard</t>
        </is>
      </c>
      <c r="CN18" t="inlineStr">
        <is>
          <t>1</t>
        </is>
      </c>
      <c r="CO18" t="inlineStr">
        <is>
          <t>Does Not Apply</t>
        </is>
      </c>
      <c r="CP18" t="inlineStr">
        <is>
          <t>Does Not Apply</t>
        </is>
      </c>
      <c r="CQ18" t="inlineStr">
        <is>
          <t>Does Not Apply</t>
        </is>
      </c>
      <c r="CR18" t="inlineStr">
        <is>
          <t>Does Not Apply</t>
        </is>
      </c>
      <c r="CS18" t="inlineStr">
        <is>
          <t>No</t>
        </is>
      </c>
      <c r="CT18" t="inlineStr">
        <is>
          <t>Does Not Apply</t>
        </is>
      </c>
      <c r="CU18" t="inlineStr">
        <is>
          <t>150</t>
        </is>
      </c>
      <c r="CY18" t="inlineStr">
        <is>
          <t>White/Mirrored</t>
        </is>
      </c>
      <c r="DA18" t="inlineStr">
        <is>
          <t>Standard</t>
        </is>
      </c>
      <c r="DB18" t="inlineStr">
        <is>
          <t>Standard</t>
        </is>
      </c>
      <c r="DF18" t="inlineStr">
        <is>
          <t>1</t>
        </is>
      </c>
      <c r="DG18" t="inlineStr">
        <is>
          <t>2</t>
        </is>
      </c>
      <c r="DJ18" t="inlineStr">
        <is>
          <t>No</t>
        </is>
      </c>
      <c r="DK18" t="inlineStr">
        <is>
          <t>Yes</t>
        </is>
      </c>
      <c r="DL18" t="inlineStr">
        <is>
          <t>Yes</t>
        </is>
      </c>
      <c r="DM18" t="inlineStr">
        <is>
          <t>Yes</t>
        </is>
      </c>
      <c r="DN18" t="inlineStr">
        <is>
          <t>Yes</t>
        </is>
      </c>
      <c r="DO18" t="inlineStr">
        <is>
          <t>Yes</t>
        </is>
      </c>
      <c r="DP18" t="inlineStr">
        <is>
          <t>No</t>
        </is>
      </c>
      <c r="DQ18" t="inlineStr">
        <is>
          <t>None</t>
        </is>
      </c>
      <c r="DX18" t="inlineStr">
        <is>
          <t>Yes</t>
        </is>
      </c>
      <c r="DY18" t="inlineStr">
        <is>
          <t>Not Applicable</t>
        </is>
      </c>
      <c r="DZ18" t="inlineStr">
        <is>
          <t>Standard</t>
        </is>
      </c>
      <c r="EA18" t="inlineStr">
        <is>
          <t>Standard</t>
        </is>
      </c>
      <c r="EE18" t="inlineStr">
        <is>
          <t>68</t>
        </is>
      </c>
      <c r="EF18" t="inlineStr">
        <is>
          <t>16</t>
        </is>
      </c>
      <c r="EG18" t="inlineStr">
        <is>
          <t>23</t>
        </is>
      </c>
      <c r="EH18" t="inlineStr">
        <is>
          <t>68</t>
        </is>
      </c>
      <c r="EI18" t="inlineStr">
        <is>
          <t>16</t>
        </is>
      </c>
      <c r="EJ18" t="inlineStr">
        <is>
          <t>90</t>
        </is>
      </c>
      <c r="EK18" t="inlineStr">
        <is>
          <t>75"</t>
        </is>
      </c>
      <c r="EL18" t="inlineStr">
        <is>
          <t>23</t>
        </is>
      </c>
      <c r="EM18" t="inlineStr">
        <is>
          <t>Yes</t>
        </is>
      </c>
      <c r="EN18" t="inlineStr">
        <is>
          <t>Full Assembly Needed</t>
        </is>
      </c>
      <c r="EP18" t="inlineStr">
        <is>
          <t>No</t>
        </is>
      </c>
      <c r="EQ18" t="inlineStr">
        <is>
          <t>Does Not Apply</t>
        </is>
      </c>
    </row>
    <row r="19">
      <c r="B19" t="inlineStr">
        <is>
          <t>CASA-TV-V18-503</t>
        </is>
      </c>
      <c r="D19" t="inlineStr">
        <is>
          <t>Casa Design Furniture</t>
        </is>
      </c>
      <c r="E19" t="inlineStr">
        <is>
          <t>CASA-TV-V18-503</t>
        </is>
      </c>
      <c r="F19" t="inlineStr">
        <is>
          <t>840134100533</t>
        </is>
      </c>
      <c r="G19" t="inlineStr">
        <is>
          <t>Elite Modern TV Console V18-503</t>
        </is>
      </c>
      <c r="J19" t="inlineStr">
        <is>
          <t>860</t>
        </is>
      </c>
      <c r="M19" t="inlineStr">
        <is>
          <t>The Elite Contemporary TV Unit Model 703 offers a stunning modern design with high-end materials. Perfect for elevating your living space.</t>
        </is>
      </c>
      <c r="N19" t="inlineStr">
        <is>
          <t>Sleek Modern Aesthetic</t>
        </is>
      </c>
      <c r="O19" t="inlineStr">
        <is>
          <t>High-Durability Construction</t>
        </is>
      </c>
      <c r="P19" t="inlineStr">
        <is>
          <t>Easy Assembly with Storage</t>
        </is>
      </c>
      <c r="S19" t="inlineStr">
        <is>
          <t>1</t>
        </is>
      </c>
      <c r="T19" t="inlineStr">
        <is>
          <t>1</t>
        </is>
      </c>
      <c r="U19" t="inlineStr">
        <is>
          <t>1</t>
        </is>
      </c>
      <c r="V19" t="inlineStr">
        <is>
          <t>90</t>
        </is>
      </c>
      <c r="W19" t="inlineStr">
        <is>
          <t>Small Parcel</t>
        </is>
      </c>
      <c r="Y19" t="inlineStr">
        <is>
          <t>4</t>
        </is>
      </c>
      <c r="Z19" t="inlineStr">
        <is>
          <t>7</t>
        </is>
      </c>
      <c r="AD19" t="inlineStr">
        <is>
          <t>102</t>
        </is>
      </c>
      <c r="AE19" t="inlineStr">
        <is>
          <t>28</t>
        </is>
      </c>
      <c r="AF19" t="inlineStr">
        <is>
          <t>73</t>
        </is>
      </c>
      <c r="AG19" t="inlineStr">
        <is>
          <t>21</t>
        </is>
      </c>
      <c r="AH19" t="inlineStr">
        <is>
          <t>No</t>
        </is>
      </c>
      <c r="AK19" t="inlineStr">
        <is>
          <t>United States</t>
        </is>
      </c>
      <c r="AL19" s="40" t="inlineStr">
        <is>
          <t>https://casadesignfurniture.com/wp-content/uploads/2023/12/Group-4-1.png</t>
        </is>
      </c>
      <c r="BG19" t="inlineStr">
        <is>
          <t>TV Stand</t>
        </is>
      </c>
      <c r="BH19" t="inlineStr">
        <is>
          <t>No</t>
        </is>
      </c>
      <c r="BI19" t="inlineStr">
        <is>
          <t>Yes</t>
        </is>
      </c>
      <c r="BJ19" t="inlineStr">
        <is>
          <t>2</t>
        </is>
      </c>
      <c r="BK19" t="inlineStr">
        <is>
          <t>Yes</t>
        </is>
      </c>
      <c r="BO19" t="inlineStr">
        <is>
          <t>No</t>
        </is>
      </c>
      <c r="BP19" t="inlineStr">
        <is>
          <t>Cabinet/Enclosed storage</t>
        </is>
      </c>
      <c r="BQ19" t="inlineStr">
        <is>
          <t>Solid + Manufactured Wood</t>
        </is>
      </c>
      <c r="BS19" t="inlineStr">
        <is>
          <t>No Natural Variation</t>
        </is>
      </c>
      <c r="CA19" t="inlineStr">
        <is>
          <t>No</t>
        </is>
      </c>
      <c r="CB19" t="inlineStr">
        <is>
          <t>No</t>
        </is>
      </c>
      <c r="CC19" t="inlineStr">
        <is>
          <t>Yes</t>
        </is>
      </c>
      <c r="CF19" t="inlineStr">
        <is>
          <t>Residential Use</t>
        </is>
      </c>
      <c r="CH19" t="inlineStr">
        <is>
          <t>Does Not Apply</t>
        </is>
      </c>
      <c r="CK19" t="inlineStr">
        <is>
          <t>No</t>
        </is>
      </c>
      <c r="CL19" t="inlineStr">
        <is>
          <t>Standard</t>
        </is>
      </c>
      <c r="CM19" t="inlineStr">
        <is>
          <t>Standard</t>
        </is>
      </c>
      <c r="CN19" t="inlineStr">
        <is>
          <t>1</t>
        </is>
      </c>
      <c r="CO19" t="inlineStr">
        <is>
          <t>Does Not Apply</t>
        </is>
      </c>
      <c r="CP19" t="inlineStr">
        <is>
          <t>Does Not Apply</t>
        </is>
      </c>
      <c r="CQ19" t="inlineStr">
        <is>
          <t>Does Not Apply</t>
        </is>
      </c>
      <c r="CR19" t="inlineStr">
        <is>
          <t>Does Not Apply</t>
        </is>
      </c>
      <c r="CS19" t="inlineStr">
        <is>
          <t>No</t>
        </is>
      </c>
      <c r="CT19" t="inlineStr">
        <is>
          <t>Does Not Apply</t>
        </is>
      </c>
      <c r="CU19" t="inlineStr">
        <is>
          <t>150</t>
        </is>
      </c>
      <c r="CY19" t="inlineStr">
        <is>
          <t>White/Mirrored</t>
        </is>
      </c>
      <c r="DA19" t="inlineStr">
        <is>
          <t>Standard</t>
        </is>
      </c>
      <c r="DB19" t="inlineStr">
        <is>
          <t>Standard</t>
        </is>
      </c>
      <c r="DF19" t="inlineStr">
        <is>
          <t>1</t>
        </is>
      </c>
      <c r="DG19" t="inlineStr">
        <is>
          <t>2</t>
        </is>
      </c>
      <c r="DJ19" t="inlineStr">
        <is>
          <t>No</t>
        </is>
      </c>
      <c r="DK19" t="inlineStr">
        <is>
          <t>Yes</t>
        </is>
      </c>
      <c r="DL19" t="inlineStr">
        <is>
          <t>Yes</t>
        </is>
      </c>
      <c r="DM19" t="inlineStr">
        <is>
          <t>Yes</t>
        </is>
      </c>
      <c r="DN19" t="inlineStr">
        <is>
          <t>Yes</t>
        </is>
      </c>
      <c r="DO19" t="inlineStr">
        <is>
          <t>Yes</t>
        </is>
      </c>
      <c r="DP19" t="inlineStr">
        <is>
          <t>No</t>
        </is>
      </c>
      <c r="DQ19" t="inlineStr">
        <is>
          <t>None</t>
        </is>
      </c>
      <c r="DX19" t="inlineStr">
        <is>
          <t>Yes</t>
        </is>
      </c>
      <c r="DY19" t="inlineStr">
        <is>
          <t>Not Applicable</t>
        </is>
      </c>
      <c r="DZ19" t="inlineStr">
        <is>
          <t>Standard</t>
        </is>
      </c>
      <c r="EA19" t="inlineStr">
        <is>
          <t>Standard</t>
        </is>
      </c>
      <c r="EE19" t="inlineStr">
        <is>
          <t>68</t>
        </is>
      </c>
      <c r="EF19" t="inlineStr">
        <is>
          <t>16</t>
        </is>
      </c>
      <c r="EG19" t="inlineStr">
        <is>
          <t>23</t>
        </is>
      </c>
      <c r="EH19" t="inlineStr">
        <is>
          <t>68</t>
        </is>
      </c>
      <c r="EI19" t="inlineStr">
        <is>
          <t>16</t>
        </is>
      </c>
      <c r="EJ19" t="inlineStr">
        <is>
          <t>90</t>
        </is>
      </c>
      <c r="EK19" t="inlineStr">
        <is>
          <t>75"</t>
        </is>
      </c>
      <c r="EL19" t="inlineStr">
        <is>
          <t>23</t>
        </is>
      </c>
      <c r="EM19" t="inlineStr">
        <is>
          <t>Yes</t>
        </is>
      </c>
      <c r="EN19" t="inlineStr">
        <is>
          <t>Full Assembly Needed</t>
        </is>
      </c>
      <c r="EP19" t="inlineStr">
        <is>
          <t>No</t>
        </is>
      </c>
      <c r="EQ19" t="inlineStr">
        <is>
          <t>Does Not Apply</t>
        </is>
      </c>
    </row>
    <row r="20">
      <c r="B20" t="inlineStr">
        <is>
          <t>CASA-TV-V18-504</t>
        </is>
      </c>
      <c r="D20" t="inlineStr">
        <is>
          <t>Casa Design Furniture</t>
        </is>
      </c>
      <c r="E20" t="inlineStr">
        <is>
          <t>CASA-TV-V18-504</t>
        </is>
      </c>
      <c r="F20" t="inlineStr">
        <is>
          <t>840134100534</t>
        </is>
      </c>
      <c r="G20" t="inlineStr">
        <is>
          <t>Elite Modern TV Console V18-504</t>
        </is>
      </c>
      <c r="J20" t="inlineStr">
        <is>
          <t>930</t>
        </is>
      </c>
      <c r="M20" t="inlineStr">
        <is>
          <t>The Elite Contemporary TV Unit Model 704 offers a stunning modern design with high-end materials. Perfect for elevating your living space.</t>
        </is>
      </c>
      <c r="N20" t="inlineStr">
        <is>
          <t>Sleek Modern Aesthetic</t>
        </is>
      </c>
      <c r="O20" t="inlineStr">
        <is>
          <t>High-Durability Construction</t>
        </is>
      </c>
      <c r="P20" t="inlineStr">
        <is>
          <t>Easy Assembly with Storage</t>
        </is>
      </c>
      <c r="S20" t="inlineStr">
        <is>
          <t>1</t>
        </is>
      </c>
      <c r="T20" t="inlineStr">
        <is>
          <t>1</t>
        </is>
      </c>
      <c r="U20" t="inlineStr">
        <is>
          <t>1</t>
        </is>
      </c>
      <c r="V20" t="inlineStr">
        <is>
          <t>90</t>
        </is>
      </c>
      <c r="W20" t="inlineStr">
        <is>
          <t>Small Parcel</t>
        </is>
      </c>
      <c r="Y20" t="inlineStr">
        <is>
          <t>4</t>
        </is>
      </c>
      <c r="Z20" t="inlineStr">
        <is>
          <t>7</t>
        </is>
      </c>
      <c r="AD20" t="inlineStr">
        <is>
          <t>102</t>
        </is>
      </c>
      <c r="AE20" t="inlineStr">
        <is>
          <t>28</t>
        </is>
      </c>
      <c r="AF20" t="inlineStr">
        <is>
          <t>73</t>
        </is>
      </c>
      <c r="AG20" t="inlineStr">
        <is>
          <t>21</t>
        </is>
      </c>
      <c r="AH20" t="inlineStr">
        <is>
          <t>No</t>
        </is>
      </c>
      <c r="AK20" t="inlineStr">
        <is>
          <t>United States</t>
        </is>
      </c>
      <c r="AL20" s="40" t="inlineStr">
        <is>
          <t>https://casadesignfurniture.com/wp-content/uploads/2023/12/Group-4-1.png</t>
        </is>
      </c>
      <c r="BG20" t="inlineStr">
        <is>
          <t>TV Stand</t>
        </is>
      </c>
      <c r="BH20" t="inlineStr">
        <is>
          <t>No</t>
        </is>
      </c>
      <c r="BI20" t="inlineStr">
        <is>
          <t>Yes</t>
        </is>
      </c>
      <c r="BJ20" t="inlineStr">
        <is>
          <t>2</t>
        </is>
      </c>
      <c r="BK20" t="inlineStr">
        <is>
          <t>Yes</t>
        </is>
      </c>
      <c r="BO20" t="inlineStr">
        <is>
          <t>No</t>
        </is>
      </c>
      <c r="BP20" t="inlineStr">
        <is>
          <t>Cabinet/Enclosed storage</t>
        </is>
      </c>
      <c r="BQ20" t="inlineStr">
        <is>
          <t>Solid + Manufactured Wood</t>
        </is>
      </c>
      <c r="BS20" t="inlineStr">
        <is>
          <t>No Natural Variation</t>
        </is>
      </c>
      <c r="CA20" t="inlineStr">
        <is>
          <t>No</t>
        </is>
      </c>
      <c r="CB20" t="inlineStr">
        <is>
          <t>No</t>
        </is>
      </c>
      <c r="CC20" t="inlineStr">
        <is>
          <t>Yes</t>
        </is>
      </c>
      <c r="CF20" t="inlineStr">
        <is>
          <t>Residential Use</t>
        </is>
      </c>
      <c r="CH20" t="inlineStr">
        <is>
          <t>Does Not Apply</t>
        </is>
      </c>
      <c r="CK20" t="inlineStr">
        <is>
          <t>No</t>
        </is>
      </c>
      <c r="CL20" t="inlineStr">
        <is>
          <t>Standard</t>
        </is>
      </c>
      <c r="CM20" t="inlineStr">
        <is>
          <t>Standard</t>
        </is>
      </c>
      <c r="CN20" t="inlineStr">
        <is>
          <t>1</t>
        </is>
      </c>
      <c r="CO20" t="inlineStr">
        <is>
          <t>Does Not Apply</t>
        </is>
      </c>
      <c r="CP20" t="inlineStr">
        <is>
          <t>Does Not Apply</t>
        </is>
      </c>
      <c r="CQ20" t="inlineStr">
        <is>
          <t>Does Not Apply</t>
        </is>
      </c>
      <c r="CR20" t="inlineStr">
        <is>
          <t>Does Not Apply</t>
        </is>
      </c>
      <c r="CS20" t="inlineStr">
        <is>
          <t>No</t>
        </is>
      </c>
      <c r="CT20" t="inlineStr">
        <is>
          <t>Does Not Apply</t>
        </is>
      </c>
      <c r="CU20" t="inlineStr">
        <is>
          <t>150</t>
        </is>
      </c>
      <c r="CY20" t="inlineStr">
        <is>
          <t>White/Mirrored</t>
        </is>
      </c>
      <c r="DA20" t="inlineStr">
        <is>
          <t>Standard</t>
        </is>
      </c>
      <c r="DB20" t="inlineStr">
        <is>
          <t>Standard</t>
        </is>
      </c>
      <c r="DF20" t="inlineStr">
        <is>
          <t>1</t>
        </is>
      </c>
      <c r="DG20" t="inlineStr">
        <is>
          <t>2</t>
        </is>
      </c>
      <c r="DJ20" t="inlineStr">
        <is>
          <t>No</t>
        </is>
      </c>
      <c r="DK20" t="inlineStr">
        <is>
          <t>Yes</t>
        </is>
      </c>
      <c r="DL20" t="inlineStr">
        <is>
          <t>Yes</t>
        </is>
      </c>
      <c r="DM20" t="inlineStr">
        <is>
          <t>Yes</t>
        </is>
      </c>
      <c r="DN20" t="inlineStr">
        <is>
          <t>Yes</t>
        </is>
      </c>
      <c r="DO20" t="inlineStr">
        <is>
          <t>Yes</t>
        </is>
      </c>
      <c r="DP20" t="inlineStr">
        <is>
          <t>No</t>
        </is>
      </c>
      <c r="DQ20" t="inlineStr">
        <is>
          <t>None</t>
        </is>
      </c>
      <c r="DX20" t="inlineStr">
        <is>
          <t>Yes</t>
        </is>
      </c>
      <c r="DY20" t="inlineStr">
        <is>
          <t>Not Applicable</t>
        </is>
      </c>
      <c r="DZ20" t="inlineStr">
        <is>
          <t>Standard</t>
        </is>
      </c>
      <c r="EA20" t="inlineStr">
        <is>
          <t>Standard</t>
        </is>
      </c>
      <c r="EE20" t="inlineStr">
        <is>
          <t>68</t>
        </is>
      </c>
      <c r="EF20" t="inlineStr">
        <is>
          <t>16</t>
        </is>
      </c>
      <c r="EG20" t="inlineStr">
        <is>
          <t>23</t>
        </is>
      </c>
      <c r="EH20" t="inlineStr">
        <is>
          <t>68</t>
        </is>
      </c>
      <c r="EI20" t="inlineStr">
        <is>
          <t>16</t>
        </is>
      </c>
      <c r="EJ20" t="inlineStr">
        <is>
          <t>90</t>
        </is>
      </c>
      <c r="EK20" t="inlineStr">
        <is>
          <t>75"</t>
        </is>
      </c>
      <c r="EL20" t="inlineStr">
        <is>
          <t>23</t>
        </is>
      </c>
      <c r="EM20" t="inlineStr">
        <is>
          <t>Yes</t>
        </is>
      </c>
      <c r="EN20" t="inlineStr">
        <is>
          <t>Full Assembly Needed</t>
        </is>
      </c>
      <c r="EP20" t="inlineStr">
        <is>
          <t>No</t>
        </is>
      </c>
      <c r="EQ20" t="inlineStr">
        <is>
          <t>Does Not Apply</t>
        </is>
      </c>
    </row>
    <row r="21">
      <c r="B21" t="inlineStr">
        <is>
          <t>CASA-TV-V18-505</t>
        </is>
      </c>
      <c r="D21" t="inlineStr">
        <is>
          <t>Casa Design Furniture</t>
        </is>
      </c>
      <c r="E21" t="inlineStr">
        <is>
          <t>CASA-TV-V18-505</t>
        </is>
      </c>
      <c r="F21" t="inlineStr">
        <is>
          <t>840134100535</t>
        </is>
      </c>
      <c r="G21" t="inlineStr">
        <is>
          <t>Elite Modern TV Console V18-505</t>
        </is>
      </c>
      <c r="J21" t="inlineStr">
        <is>
          <t>1000</t>
        </is>
      </c>
      <c r="M21" t="inlineStr">
        <is>
          <t>The Elite Contemporary TV Unit Model 705 offers a stunning modern design with high-end materials. Perfect for elevating your living space.</t>
        </is>
      </c>
      <c r="N21" t="inlineStr">
        <is>
          <t>Sleek Modern Aesthetic</t>
        </is>
      </c>
      <c r="O21" t="inlineStr">
        <is>
          <t>High-Durability Construction</t>
        </is>
      </c>
      <c r="P21" t="inlineStr">
        <is>
          <t>Easy Assembly with Storage</t>
        </is>
      </c>
      <c r="S21" t="inlineStr">
        <is>
          <t>1</t>
        </is>
      </c>
      <c r="T21" t="inlineStr">
        <is>
          <t>1</t>
        </is>
      </c>
      <c r="U21" t="inlineStr">
        <is>
          <t>1</t>
        </is>
      </c>
      <c r="V21" t="inlineStr">
        <is>
          <t>90</t>
        </is>
      </c>
      <c r="W21" t="inlineStr">
        <is>
          <t>Small Parcel</t>
        </is>
      </c>
      <c r="Y21" t="inlineStr">
        <is>
          <t>4</t>
        </is>
      </c>
      <c r="Z21" t="inlineStr">
        <is>
          <t>7</t>
        </is>
      </c>
      <c r="AD21" t="inlineStr">
        <is>
          <t>102</t>
        </is>
      </c>
      <c r="AE21" t="inlineStr">
        <is>
          <t>28</t>
        </is>
      </c>
      <c r="AF21" t="inlineStr">
        <is>
          <t>73</t>
        </is>
      </c>
      <c r="AG21" t="inlineStr">
        <is>
          <t>21</t>
        </is>
      </c>
      <c r="AH21" t="inlineStr">
        <is>
          <t>No</t>
        </is>
      </c>
      <c r="AK21" t="inlineStr">
        <is>
          <t>United States</t>
        </is>
      </c>
      <c r="AL21" s="40" t="inlineStr">
        <is>
          <t>https://casadesignfurniture.com/wp-content/uploads/2023/12/Group-4-1.png</t>
        </is>
      </c>
      <c r="BG21" t="inlineStr">
        <is>
          <t>TV Stand</t>
        </is>
      </c>
      <c r="BH21" t="inlineStr">
        <is>
          <t>No</t>
        </is>
      </c>
      <c r="BI21" t="inlineStr">
        <is>
          <t>Yes</t>
        </is>
      </c>
      <c r="BJ21" t="inlineStr">
        <is>
          <t>2</t>
        </is>
      </c>
      <c r="BK21" t="inlineStr">
        <is>
          <t>Yes</t>
        </is>
      </c>
      <c r="BO21" t="inlineStr">
        <is>
          <t>No</t>
        </is>
      </c>
      <c r="BP21" t="inlineStr">
        <is>
          <t>Cabinet/Enclosed storage</t>
        </is>
      </c>
      <c r="BQ21" t="inlineStr">
        <is>
          <t>Solid + Manufactured Wood</t>
        </is>
      </c>
      <c r="BS21" t="inlineStr">
        <is>
          <t>No Natural Variation</t>
        </is>
      </c>
      <c r="CA21" t="inlineStr">
        <is>
          <t>No</t>
        </is>
      </c>
      <c r="CB21" t="inlineStr">
        <is>
          <t>No</t>
        </is>
      </c>
      <c r="CC21" t="inlineStr">
        <is>
          <t>Yes</t>
        </is>
      </c>
      <c r="CF21" t="inlineStr">
        <is>
          <t>Residential Use</t>
        </is>
      </c>
      <c r="CH21" t="inlineStr">
        <is>
          <t>Does Not Apply</t>
        </is>
      </c>
      <c r="CK21" t="inlineStr">
        <is>
          <t>No</t>
        </is>
      </c>
      <c r="CL21" t="inlineStr">
        <is>
          <t>Standard</t>
        </is>
      </c>
      <c r="CM21" t="inlineStr">
        <is>
          <t>Standard</t>
        </is>
      </c>
      <c r="CN21" t="inlineStr">
        <is>
          <t>1</t>
        </is>
      </c>
      <c r="CO21" t="inlineStr">
        <is>
          <t>Does Not Apply</t>
        </is>
      </c>
      <c r="CP21" t="inlineStr">
        <is>
          <t>Does Not Apply</t>
        </is>
      </c>
      <c r="CQ21" t="inlineStr">
        <is>
          <t>Does Not Apply</t>
        </is>
      </c>
      <c r="CR21" t="inlineStr">
        <is>
          <t>Does Not Apply</t>
        </is>
      </c>
      <c r="CS21" t="inlineStr">
        <is>
          <t>No</t>
        </is>
      </c>
      <c r="CT21" t="inlineStr">
        <is>
          <t>Does Not Apply</t>
        </is>
      </c>
      <c r="CU21" t="inlineStr">
        <is>
          <t>150</t>
        </is>
      </c>
      <c r="CY21" t="inlineStr">
        <is>
          <t>White/Mirrored</t>
        </is>
      </c>
      <c r="DA21" t="inlineStr">
        <is>
          <t>Standard</t>
        </is>
      </c>
      <c r="DB21" t="inlineStr">
        <is>
          <t>Standard</t>
        </is>
      </c>
      <c r="DF21" t="inlineStr">
        <is>
          <t>1</t>
        </is>
      </c>
      <c r="DG21" t="inlineStr">
        <is>
          <t>2</t>
        </is>
      </c>
      <c r="DJ21" t="inlineStr">
        <is>
          <t>No</t>
        </is>
      </c>
      <c r="DK21" t="inlineStr">
        <is>
          <t>Yes</t>
        </is>
      </c>
      <c r="DL21" t="inlineStr">
        <is>
          <t>Yes</t>
        </is>
      </c>
      <c r="DM21" t="inlineStr">
        <is>
          <t>Yes</t>
        </is>
      </c>
      <c r="DN21" t="inlineStr">
        <is>
          <t>Yes</t>
        </is>
      </c>
      <c r="DO21" t="inlineStr">
        <is>
          <t>Yes</t>
        </is>
      </c>
      <c r="DP21" t="inlineStr">
        <is>
          <t>No</t>
        </is>
      </c>
      <c r="DQ21" t="inlineStr">
        <is>
          <t>None</t>
        </is>
      </c>
      <c r="DX21" t="inlineStr">
        <is>
          <t>Yes</t>
        </is>
      </c>
      <c r="DY21" t="inlineStr">
        <is>
          <t>Not Applicable</t>
        </is>
      </c>
      <c r="DZ21" t="inlineStr">
        <is>
          <t>Standard</t>
        </is>
      </c>
      <c r="EA21" t="inlineStr">
        <is>
          <t>Standard</t>
        </is>
      </c>
      <c r="EE21" t="inlineStr">
        <is>
          <t>68</t>
        </is>
      </c>
      <c r="EF21" t="inlineStr">
        <is>
          <t>16</t>
        </is>
      </c>
      <c r="EG21" t="inlineStr">
        <is>
          <t>23</t>
        </is>
      </c>
      <c r="EH21" t="inlineStr">
        <is>
          <t>68</t>
        </is>
      </c>
      <c r="EI21" t="inlineStr">
        <is>
          <t>16</t>
        </is>
      </c>
      <c r="EJ21" t="inlineStr">
        <is>
          <t>90</t>
        </is>
      </c>
      <c r="EK21" t="inlineStr">
        <is>
          <t>75"</t>
        </is>
      </c>
      <c r="EL21" t="inlineStr">
        <is>
          <t>23</t>
        </is>
      </c>
      <c r="EM21" t="inlineStr">
        <is>
          <t>Yes</t>
        </is>
      </c>
      <c r="EN21" t="inlineStr">
        <is>
          <t>Full Assembly Needed</t>
        </is>
      </c>
      <c r="EP21" t="inlineStr">
        <is>
          <t>No</t>
        </is>
      </c>
      <c r="EQ21" t="inlineStr">
        <is>
          <t>Does Not Apply</t>
        </is>
      </c>
    </row>
    <row r="22">
      <c r="B22" t="inlineStr">
        <is>
          <t>CASA-TV-V18-506</t>
        </is>
      </c>
      <c r="D22" t="inlineStr">
        <is>
          <t>Casa Design Furniture</t>
        </is>
      </c>
      <c r="E22" t="inlineStr">
        <is>
          <t>CASA-TV-V18-506</t>
        </is>
      </c>
      <c r="F22" t="inlineStr">
        <is>
          <t>840134100536</t>
        </is>
      </c>
      <c r="G22" t="inlineStr">
        <is>
          <t>Elite Modern TV Console V18-506</t>
        </is>
      </c>
      <c r="J22" t="inlineStr">
        <is>
          <t>1070</t>
        </is>
      </c>
      <c r="M22" t="inlineStr">
        <is>
          <t>The Elite Contemporary TV Unit Model 706 offers a stunning modern design with high-end materials. Perfect for elevating your living space.</t>
        </is>
      </c>
      <c r="N22" t="inlineStr">
        <is>
          <t>Sleek Modern Aesthetic</t>
        </is>
      </c>
      <c r="O22" t="inlineStr">
        <is>
          <t>High-Durability Construction</t>
        </is>
      </c>
      <c r="P22" t="inlineStr">
        <is>
          <t>Easy Assembly with Storage</t>
        </is>
      </c>
      <c r="S22" t="inlineStr">
        <is>
          <t>1</t>
        </is>
      </c>
      <c r="T22" t="inlineStr">
        <is>
          <t>1</t>
        </is>
      </c>
      <c r="U22" t="inlineStr">
        <is>
          <t>1</t>
        </is>
      </c>
      <c r="V22" t="inlineStr">
        <is>
          <t>90</t>
        </is>
      </c>
      <c r="W22" t="inlineStr">
        <is>
          <t>Small Parcel</t>
        </is>
      </c>
      <c r="Y22" t="inlineStr">
        <is>
          <t>4</t>
        </is>
      </c>
      <c r="Z22" t="inlineStr">
        <is>
          <t>7</t>
        </is>
      </c>
      <c r="AD22" t="inlineStr">
        <is>
          <t>102</t>
        </is>
      </c>
      <c r="AE22" t="inlineStr">
        <is>
          <t>28</t>
        </is>
      </c>
      <c r="AF22" t="inlineStr">
        <is>
          <t>73</t>
        </is>
      </c>
      <c r="AG22" t="inlineStr">
        <is>
          <t>21</t>
        </is>
      </c>
      <c r="AH22" t="inlineStr">
        <is>
          <t>No</t>
        </is>
      </c>
      <c r="AK22" t="inlineStr">
        <is>
          <t>United States</t>
        </is>
      </c>
      <c r="AL22" s="40" t="inlineStr">
        <is>
          <t>https://casadesignfurniture.com/wp-content/uploads/2023/12/Group-4-1.png</t>
        </is>
      </c>
      <c r="BG22" t="inlineStr">
        <is>
          <t>TV Stand</t>
        </is>
      </c>
      <c r="BH22" t="inlineStr">
        <is>
          <t>No</t>
        </is>
      </c>
      <c r="BI22" t="inlineStr">
        <is>
          <t>Yes</t>
        </is>
      </c>
      <c r="BJ22" t="inlineStr">
        <is>
          <t>2</t>
        </is>
      </c>
      <c r="BK22" t="inlineStr">
        <is>
          <t>Yes</t>
        </is>
      </c>
      <c r="BO22" t="inlineStr">
        <is>
          <t>No</t>
        </is>
      </c>
      <c r="BP22" t="inlineStr">
        <is>
          <t>Cabinet/Enclosed storage</t>
        </is>
      </c>
      <c r="BQ22" t="inlineStr">
        <is>
          <t>Solid + Manufactured Wood</t>
        </is>
      </c>
      <c r="BS22" t="inlineStr">
        <is>
          <t>No Natural Variation</t>
        </is>
      </c>
      <c r="CA22" t="inlineStr">
        <is>
          <t>No</t>
        </is>
      </c>
      <c r="CB22" t="inlineStr">
        <is>
          <t>No</t>
        </is>
      </c>
      <c r="CC22" t="inlineStr">
        <is>
          <t>Yes</t>
        </is>
      </c>
      <c r="CF22" t="inlineStr">
        <is>
          <t>Residential Use</t>
        </is>
      </c>
      <c r="CH22" t="inlineStr">
        <is>
          <t>Does Not Apply</t>
        </is>
      </c>
      <c r="CK22" t="inlineStr">
        <is>
          <t>No</t>
        </is>
      </c>
      <c r="CL22" t="inlineStr">
        <is>
          <t>Standard</t>
        </is>
      </c>
      <c r="CM22" t="inlineStr">
        <is>
          <t>Standard</t>
        </is>
      </c>
      <c r="CN22" t="inlineStr">
        <is>
          <t>1</t>
        </is>
      </c>
      <c r="CO22" t="inlineStr">
        <is>
          <t>Does Not Apply</t>
        </is>
      </c>
      <c r="CP22" t="inlineStr">
        <is>
          <t>Does Not Apply</t>
        </is>
      </c>
      <c r="CQ22" t="inlineStr">
        <is>
          <t>Does Not Apply</t>
        </is>
      </c>
      <c r="CR22" t="inlineStr">
        <is>
          <t>Does Not Apply</t>
        </is>
      </c>
      <c r="CS22" t="inlineStr">
        <is>
          <t>No</t>
        </is>
      </c>
      <c r="CT22" t="inlineStr">
        <is>
          <t>Does Not Apply</t>
        </is>
      </c>
      <c r="CU22" t="inlineStr">
        <is>
          <t>150</t>
        </is>
      </c>
      <c r="CY22" t="inlineStr">
        <is>
          <t>White/Mirrored</t>
        </is>
      </c>
      <c r="DA22" t="inlineStr">
        <is>
          <t>Standard</t>
        </is>
      </c>
      <c r="DB22" t="inlineStr">
        <is>
          <t>Standard</t>
        </is>
      </c>
      <c r="DF22" t="inlineStr">
        <is>
          <t>1</t>
        </is>
      </c>
      <c r="DG22" t="inlineStr">
        <is>
          <t>2</t>
        </is>
      </c>
      <c r="DJ22" t="inlineStr">
        <is>
          <t>No</t>
        </is>
      </c>
      <c r="DK22" t="inlineStr">
        <is>
          <t>Yes</t>
        </is>
      </c>
      <c r="DL22" t="inlineStr">
        <is>
          <t>Yes</t>
        </is>
      </c>
      <c r="DM22" t="inlineStr">
        <is>
          <t>Yes</t>
        </is>
      </c>
      <c r="DN22" t="inlineStr">
        <is>
          <t>Yes</t>
        </is>
      </c>
      <c r="DO22" t="inlineStr">
        <is>
          <t>Yes</t>
        </is>
      </c>
      <c r="DP22" t="inlineStr">
        <is>
          <t>No</t>
        </is>
      </c>
      <c r="DQ22" t="inlineStr">
        <is>
          <t>None</t>
        </is>
      </c>
      <c r="DX22" t="inlineStr">
        <is>
          <t>Yes</t>
        </is>
      </c>
      <c r="DY22" t="inlineStr">
        <is>
          <t>Not Applicable</t>
        </is>
      </c>
      <c r="DZ22" t="inlineStr">
        <is>
          <t>Standard</t>
        </is>
      </c>
      <c r="EA22" t="inlineStr">
        <is>
          <t>Standard</t>
        </is>
      </c>
      <c r="EE22" t="inlineStr">
        <is>
          <t>68</t>
        </is>
      </c>
      <c r="EF22" t="inlineStr">
        <is>
          <t>16</t>
        </is>
      </c>
      <c r="EG22" t="inlineStr">
        <is>
          <t>23</t>
        </is>
      </c>
      <c r="EH22" t="inlineStr">
        <is>
          <t>68</t>
        </is>
      </c>
      <c r="EI22" t="inlineStr">
        <is>
          <t>16</t>
        </is>
      </c>
      <c r="EJ22" t="inlineStr">
        <is>
          <t>90</t>
        </is>
      </c>
      <c r="EK22" t="inlineStr">
        <is>
          <t>75"</t>
        </is>
      </c>
      <c r="EL22" t="inlineStr">
        <is>
          <t>23</t>
        </is>
      </c>
      <c r="EM22" t="inlineStr">
        <is>
          <t>Yes</t>
        </is>
      </c>
      <c r="EN22" t="inlineStr">
        <is>
          <t>Full Assembly Needed</t>
        </is>
      </c>
      <c r="EP22" t="inlineStr">
        <is>
          <t>No</t>
        </is>
      </c>
      <c r="EQ22" t="inlineStr">
        <is>
          <t>Does Not Apply</t>
        </is>
      </c>
    </row>
  </sheetData>
  <sheetProtection selectLockedCells="0" selectUnlockedCells="0" sheet="1" objects="1" insertRows="1" insertHyperlinks="1" autoFilter="1" scenarios="1" formatColumns="1" deleteColumns="1" insertColumns="1" pivotTables="1" deleteRows="1" formatCells="1" formatRows="1" sort="1" password="9D79"/>
  <hyperlinks>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D8:EA22"/>
  <sheetViews>
    <sheetView workbookViewId="0">
      <selection activeCell="A1" sqref="A1"/>
    </sheetView>
  </sheetViews>
  <sheetFormatPr baseColWidth="8" defaultRowHeight="15"/>
  <sheetData>
    <row r="8">
      <c r="D8" t="inlineStr">
        <is>
          <t>1: Please select value from the list</t>
        </is>
      </c>
      <c r="F8" t="inlineStr">
        <is>
          <t>1: This is not a valid UPC</t>
        </is>
      </c>
      <c r="Y8" t="inlineStr">
        <is>
          <t>1: Please select value from the list</t>
        </is>
      </c>
      <c r="Z8" t="inlineStr">
        <is>
          <t>1: Please select value from the list</t>
        </is>
      </c>
      <c r="AL8" t="inlineStr">
        <is>
          <t>1: Unable to download the file from the provided URL. Please ensure the link is correct and points to a valid, downloadable file.</t>
        </is>
      </c>
      <c r="AT8" t="inlineStr">
        <is>
          <t>4: Based on answers provided in Class Specific Details Section, the following legal document types are RECOMMENDED: CARB Phase II Compliant (formaldehyde emissions), CANFER Compliant, Energy Efficiency Regulations Compliant, Tipover Restraint Device In...</t>
        </is>
      </c>
      <c r="CC8" t="inlineStr">
        <is>
          <t>4: RECOMMENDED: You answered “Yes.” Please upload supporting documentation (e.g., certification or lab report). If already uploaded or not applicable, you may ignore this message.</t>
        </is>
      </c>
      <c r="CL8" t="inlineStr">
        <is>
          <t>1: Please select one of the provided options. Custom entries are not allowed for this field.</t>
        </is>
      </c>
      <c r="CM8" t="inlineStr">
        <is>
          <t>1: Please select one of the provided options. Custom entries are not allowed for this field.</t>
        </is>
      </c>
      <c r="CN8" t="inlineStr">
        <is>
          <t>1: Since 'Battery or Batteries Included' is set to 'No', this value should be 'Does Not Apply'.</t>
        </is>
      </c>
      <c r="DF8" t="inlineStr">
        <is>
          <t>1: Please select one of the provided options. Custom entries are not allowed for this field.</t>
        </is>
      </c>
      <c r="DL8" t="inlineStr">
        <is>
          <t>4: REQUIRED: You answered “Yes.” Supporting documentation (e.g., certification or lab report) is required for product launch, but you may proceed with submitting your project in the meantime and upload these later.</t>
        </is>
      </c>
      <c r="DM8" t="inlineStr">
        <is>
          <t>4: REQUIRED: You answered “Yes.” Supporting documentation (e.g., certification or lab report) is required for product launch, but you may proceed with submitting your project in the meantime and upload these later.</t>
        </is>
      </c>
      <c r="DN8" t="inlineStr">
        <is>
          <t>4: REQUIRED: You answered “Yes.” Supporting documentation (e.g., certification or lab report) is required for product launch, but you may proceed with submitting your project in the meantime and upload these later.</t>
        </is>
      </c>
      <c r="DQ8" t="inlineStr">
        <is>
          <t>1: Please select one of the provided options. Custom entries are not allowed for this field.</t>
        </is>
      </c>
      <c r="DX8" t="inlineStr">
        <is>
          <t>4: REQUIRED: You answered “Yes.” Supporting documentation (e.g., certification or lab report) is required for product launch, but you may proceed with submitting your project in the meantime and upload these later.</t>
        </is>
      </c>
      <c r="DZ8" t="inlineStr">
        <is>
          <t>1: Since 'Safety Listing(s)' is set to 'No', this value should be 'Does Not Apply'.</t>
        </is>
      </c>
      <c r="EA8" t="inlineStr">
        <is>
          <t>1: Please select one of the provided options. Custom entries are not allowed for this field.</t>
        </is>
      </c>
    </row>
    <row r="9">
      <c r="D9" t="inlineStr">
        <is>
          <t>1: Please select value from the list</t>
        </is>
      </c>
      <c r="F9" t="inlineStr">
        <is>
          <t>1: This is not a valid UPC</t>
        </is>
      </c>
      <c r="Y9" t="inlineStr">
        <is>
          <t>1: Please select value from the list</t>
        </is>
      </c>
      <c r="Z9" t="inlineStr">
        <is>
          <t>1: Please select value from the list</t>
        </is>
      </c>
      <c r="AL9" t="inlineStr">
        <is>
          <t>1: Unable to download the file from the provided URL. Please ensure the link is correct and points to a valid, downloadable file.</t>
        </is>
      </c>
      <c r="AT9" t="inlineStr">
        <is>
          <t>4: Based on answers provided in Class Specific Details Section, the following legal document types are RECOMMENDED: CANFER Compliant, TSCA Title VI Compliant (formaldehyde emissions), CARB Phase II Compliant (formaldehyde emissions), Energy Efficiency ...</t>
        </is>
      </c>
      <c r="CC9" t="inlineStr">
        <is>
          <t>4: RECOMMENDED: You answered “Yes.” Please upload supporting documentation (e.g., certification or lab report). If already uploaded or not applicable, you may ignore this message.</t>
        </is>
      </c>
      <c r="CL9" t="inlineStr">
        <is>
          <t>1: Please select one of the provided options. Custom entries are not allowed for this field.</t>
        </is>
      </c>
      <c r="CM9" t="inlineStr">
        <is>
          <t>1: Please select one of the provided options. Custom entries are not allowed for this field.</t>
        </is>
      </c>
      <c r="CN9" t="inlineStr">
        <is>
          <t>1: Since 'Battery or Batteries Included' is set to 'No', this value should be 'Does Not Apply'.</t>
        </is>
      </c>
      <c r="DA9" t="inlineStr">
        <is>
          <t>1: Please select one of the provided options. Custom entries are not allowed for this field.</t>
        </is>
      </c>
      <c r="DB9" t="inlineStr">
        <is>
          <t>1: Please select one of the provided options. Custom entries are not allowed for this field.</t>
        </is>
      </c>
      <c r="DF9" t="inlineStr">
        <is>
          <t>1: Please select one of the provided options. Custom entries are not allowed for this field.</t>
        </is>
      </c>
      <c r="DL9" t="inlineStr">
        <is>
          <t>4: REQUIRED: You answered “Yes.” Supporting documentation (e.g., certification or lab report) is required for product launch, but you may proceed with submitting your project in the meantime and upload these later.</t>
        </is>
      </c>
      <c r="DM9" t="inlineStr">
        <is>
          <t>4: REQUIRED: You answered “Yes.” Supporting documentation (e.g., certification or lab report) is required for product launch, but you may proceed with submitting your project in the meantime and upload these later.</t>
        </is>
      </c>
      <c r="DN9" t="inlineStr">
        <is>
          <t>4: REQUIRED: You answered “Yes.” Supporting documentation (e.g., certification or lab report) is required for product launch, but you may proceed with submitting your project in the meantime and upload these later.</t>
        </is>
      </c>
      <c r="DQ9" t="inlineStr">
        <is>
          <t>1: Please select one of the provided options. Custom entries are not allowed for this field.</t>
        </is>
      </c>
      <c r="DX9" t="inlineStr">
        <is>
          <t>4: REQUIRED: You answered “Yes.” Supporting documentation (e.g., certification or lab report) is required for product launch, but you may proceed with submitting your project in the meantime and upload these later.</t>
        </is>
      </c>
      <c r="DZ9" t="inlineStr">
        <is>
          <t>1: Since 'Safety Listing(s)' is set to 'No', this value should be 'Does Not Apply'.</t>
        </is>
      </c>
      <c r="EA9" t="inlineStr">
        <is>
          <t>1: Please select one of the provided options. Custom entries are not allowed for this field.</t>
        </is>
      </c>
    </row>
    <row r="10">
      <c r="D10" t="inlineStr">
        <is>
          <t>1: Please select value from the list</t>
        </is>
      </c>
      <c r="F10" t="inlineStr">
        <is>
          <t>1: This is not a valid UPC</t>
        </is>
      </c>
      <c r="Y10" t="inlineStr">
        <is>
          <t>1: Please select value from the list</t>
        </is>
      </c>
      <c r="Z10" t="inlineStr">
        <is>
          <t>1: Please select value from the list</t>
        </is>
      </c>
      <c r="AL10" t="inlineStr">
        <is>
          <t>1: Unable to download the file from the provided URL. Please ensure the link is correct and points to a valid, downloadable file.</t>
        </is>
      </c>
      <c r="AT10" t="inlineStr">
        <is>
          <t>4: Based on answers provided in Class Specific Details Section, the following legal document types are RECOMMENDED: TSCA Title VI Compliant (formaldehyde emissions), Tipover Restraint Device Included, CARB Phase II Compliant (formaldehyde emissions), C...</t>
        </is>
      </c>
      <c r="CC10" t="inlineStr">
        <is>
          <t>4: RECOMMENDED: You answered “Yes.” Please upload supporting documentation (e.g., certification or lab report). If already uploaded or not applicable, you may ignore this message.</t>
        </is>
      </c>
      <c r="CL10" t="inlineStr">
        <is>
          <t>1: Please select one of the provided options. Custom entries are not allowed for this field.</t>
        </is>
      </c>
      <c r="CM10" t="inlineStr">
        <is>
          <t>1: Please select one of the provided options. Custom entries are not allowed for this field.</t>
        </is>
      </c>
      <c r="CN10" t="inlineStr">
        <is>
          <t>1: Since 'Battery or Batteries Included' is set to 'No', this value should be 'Does Not Apply'.</t>
        </is>
      </c>
      <c r="DA10" t="inlineStr">
        <is>
          <t>1: Please select one of the provided options. Custom entries are not allowed for this field.</t>
        </is>
      </c>
      <c r="DB10" t="inlineStr">
        <is>
          <t>1: Please select one of the provided options. Custom entries are not allowed for this field.</t>
        </is>
      </c>
      <c r="DF10" t="inlineStr">
        <is>
          <t>1: Please select one of the provided options. Custom entries are not allowed for this field.</t>
        </is>
      </c>
      <c r="DL10" t="inlineStr">
        <is>
          <t>4: REQUIRED: You answered “Yes.” Supporting documentation (e.g., certification or lab report) is required for product launch, but you may proceed with submitting your project in the meantime and upload these later.</t>
        </is>
      </c>
      <c r="DM10" t="inlineStr">
        <is>
          <t>4: REQUIRED: You answered “Yes.” Supporting documentation (e.g., certification or lab report) is required for product launch, but you may proceed with submitting your project in the meantime and upload these later.</t>
        </is>
      </c>
      <c r="DN10" t="inlineStr">
        <is>
          <t>4: REQUIRED: You answered “Yes.” Supporting documentation (e.g., certification or lab report) is required for product launch, but you may proceed with submitting your project in the meantime and upload these later.</t>
        </is>
      </c>
      <c r="DQ10" t="inlineStr">
        <is>
          <t>1: Please select one of the provided options. Custom entries are not allowed for this field.</t>
        </is>
      </c>
      <c r="DX10" t="inlineStr">
        <is>
          <t>4: REQUIRED: You answered “Yes.” Supporting documentation (e.g., certification or lab report) is required for product launch, but you may proceed with submitting your project in the meantime and upload these later.</t>
        </is>
      </c>
      <c r="DZ10" t="inlineStr">
        <is>
          <t>1: Since 'Safety Listing(s)' is set to 'No', this value should be 'Does Not Apply'.</t>
        </is>
      </c>
      <c r="EA10" t="inlineStr">
        <is>
          <t>1: Please select one of the provided options. Custom entries are not allowed for this field.</t>
        </is>
      </c>
    </row>
    <row r="11">
      <c r="D11" t="inlineStr">
        <is>
          <t>1: Please select value from the list</t>
        </is>
      </c>
      <c r="F11" t="inlineStr">
        <is>
          <t>1: This is not a valid UPC</t>
        </is>
      </c>
      <c r="Y11" t="inlineStr">
        <is>
          <t>1: Please select value from the list</t>
        </is>
      </c>
      <c r="Z11" t="inlineStr">
        <is>
          <t>1: Please select value from the list</t>
        </is>
      </c>
      <c r="AL11" t="inlineStr">
        <is>
          <t>1: Unable to download the file from the provided URL. Please ensure the link is correct and points to a valid, downloadable file.</t>
        </is>
      </c>
      <c r="AT11" t="inlineStr">
        <is>
          <t>4: Based on answers provided in Class Specific Details Section, the following legal document types are RECOMMENDED: TSCA Title VI Compliant (formaldehyde emissions), Tipover Restraint Device Included, CARB Phase II Compliant (formaldehyde emissions), E...</t>
        </is>
      </c>
      <c r="CC11" t="inlineStr">
        <is>
          <t>4: RECOMMENDED: You answered “Yes.” Please upload supporting documentation (e.g., certification or lab report). If already uploaded or not applicable, you may ignore this message.</t>
        </is>
      </c>
      <c r="CL11" t="inlineStr">
        <is>
          <t>1: Please select one of the provided options. Custom entries are not allowed for this field.</t>
        </is>
      </c>
      <c r="CM11" t="inlineStr">
        <is>
          <t>1: Please select one of the provided options. Custom entries are not allowed for this field.</t>
        </is>
      </c>
      <c r="CN11" t="inlineStr">
        <is>
          <t>1: Since 'Battery or Batteries Included' is set to 'No', this value should be 'Does Not Apply'.</t>
        </is>
      </c>
      <c r="DA11" t="inlineStr">
        <is>
          <t>1: Please select one of the provided options. Custom entries are not allowed for this field.</t>
        </is>
      </c>
      <c r="DB11" t="inlineStr">
        <is>
          <t>1: Please select one of the provided options. Custom entries are not allowed for this field.</t>
        </is>
      </c>
      <c r="DF11" t="inlineStr">
        <is>
          <t>1: Please select one of the provided options. Custom entries are not allowed for this field.</t>
        </is>
      </c>
      <c r="DL11" t="inlineStr">
        <is>
          <t>4: REQUIRED: You answered “Yes.” Supporting documentation (e.g., certification or lab report) is required for product launch, but you may proceed with submitting your project in the meantime and upload these later.</t>
        </is>
      </c>
      <c r="DM11" t="inlineStr">
        <is>
          <t>4: REQUIRED: You answered “Yes.” Supporting documentation (e.g., certification or lab report) is required for product launch, but you may proceed with submitting your project in the meantime and upload these later.</t>
        </is>
      </c>
      <c r="DN11" t="inlineStr">
        <is>
          <t>4: REQUIRED: You answered “Yes.” Supporting documentation (e.g., certification or lab report) is required for product launch, but you may proceed with submitting your project in the meantime and upload these later.</t>
        </is>
      </c>
      <c r="DQ11" t="inlineStr">
        <is>
          <t>1: Please select one of the provided options. Custom entries are not allowed for this field.</t>
        </is>
      </c>
      <c r="DX11" t="inlineStr">
        <is>
          <t>4: REQUIRED: You answered “Yes.” Supporting documentation (e.g., certification or lab report) is required for product launch, but you may proceed with submitting your project in the meantime and upload these later.</t>
        </is>
      </c>
      <c r="DZ11" t="inlineStr">
        <is>
          <t>1: Since 'Safety Listing(s)' is set to 'No', this value should be 'Does Not Apply'.</t>
        </is>
      </c>
      <c r="EA11" t="inlineStr">
        <is>
          <t>1: Please select one of the provided options. Custom entries are not allowed for this field.</t>
        </is>
      </c>
    </row>
    <row r="12">
      <c r="D12" t="inlineStr">
        <is>
          <t>1: Please select value from the list</t>
        </is>
      </c>
      <c r="F12" t="inlineStr">
        <is>
          <t>1: This is not a valid UPC</t>
        </is>
      </c>
      <c r="Y12" t="inlineStr">
        <is>
          <t>1: Please select value from the list</t>
        </is>
      </c>
      <c r="Z12" t="inlineStr">
        <is>
          <t>1: Please select value from the list</t>
        </is>
      </c>
      <c r="AL12" t="inlineStr">
        <is>
          <t>1: Unable to download the file from the provided URL. Please ensure the link is correct and points to a valid, downloadable file.</t>
        </is>
      </c>
      <c r="AT12" t="inlineStr">
        <is>
          <t>4: Based on answers provided in Class Specific Details Section, the following legal document types are RECOMMENDED: TSCA Title VI Compliant (formaldehyde emissions), Tipover Restraint Device Included, CARB Phase II Compliant (formaldehyde emissions), C...</t>
        </is>
      </c>
      <c r="CC12" t="inlineStr">
        <is>
          <t>4: RECOMMENDED: You answered “Yes.” Please upload supporting documentation (e.g., certification or lab report). If already uploaded or not applicable, you may ignore this message.</t>
        </is>
      </c>
      <c r="CL12" t="inlineStr">
        <is>
          <t>1: Please select one of the provided options. Custom entries are not allowed for this field.</t>
        </is>
      </c>
      <c r="CM12" t="inlineStr">
        <is>
          <t>1: Please select one of the provided options. Custom entries are not allowed for this field.</t>
        </is>
      </c>
      <c r="CN12" t="inlineStr">
        <is>
          <t>1: Since 'Battery or Batteries Included' is set to 'No', this value should be 'Does Not Apply'.</t>
        </is>
      </c>
      <c r="DA12" t="inlineStr">
        <is>
          <t>1: Please select one of the provided options. Custom entries are not allowed for this field.</t>
        </is>
      </c>
      <c r="DB12" t="inlineStr">
        <is>
          <t>1: Please select one of the provided options. Custom entries are not allowed for this field.</t>
        </is>
      </c>
      <c r="DF12" t="inlineStr">
        <is>
          <t>1: Please select one of the provided options. Custom entries are not allowed for this field.</t>
        </is>
      </c>
      <c r="DL12" t="inlineStr">
        <is>
          <t>4: REQUIRED: You answered “Yes.” Supporting documentation (e.g., certification or lab report) is required for product launch, but you may proceed with submitting your project in the meantime and upload these later.</t>
        </is>
      </c>
      <c r="DM12" t="inlineStr">
        <is>
          <t>4: REQUIRED: You answered “Yes.” Supporting documentation (e.g., certification or lab report) is required for product launch, but you may proceed with submitting your project in the meantime and upload these later.</t>
        </is>
      </c>
      <c r="DN12" t="inlineStr">
        <is>
          <t>4: REQUIRED: You answered “Yes.” Supporting documentation (e.g., certification or lab report) is required for product launch, but you may proceed with submitting your project in the meantime and upload these later.</t>
        </is>
      </c>
      <c r="DQ12" t="inlineStr">
        <is>
          <t>1: Please select one of the provided options. Custom entries are not allowed for this field.</t>
        </is>
      </c>
      <c r="DX12" t="inlineStr">
        <is>
          <t>4: REQUIRED: You answered “Yes.” Supporting documentation (e.g., certification or lab report) is required for product launch, but you may proceed with submitting your project in the meantime and upload these later.</t>
        </is>
      </c>
      <c r="DZ12" t="inlineStr">
        <is>
          <t>1: Since 'Safety Listing(s)' is set to 'No', this value should be 'Does Not Apply'.</t>
        </is>
      </c>
      <c r="EA12" t="inlineStr">
        <is>
          <t>1: Please select one of the provided options. Custom entries are not allowed for this field.</t>
        </is>
      </c>
    </row>
    <row r="13">
      <c r="D13" t="inlineStr">
        <is>
          <t>1: Please select value from the list</t>
        </is>
      </c>
      <c r="F13" t="inlineStr">
        <is>
          <t>1: This is not a valid UPC</t>
        </is>
      </c>
      <c r="Y13" t="inlineStr">
        <is>
          <t>1: Please select value from the list</t>
        </is>
      </c>
      <c r="Z13" t="inlineStr">
        <is>
          <t>1: Please select value from the list</t>
        </is>
      </c>
      <c r="AL13" t="inlineStr">
        <is>
          <t>1: Unable to download the file from the provided URL. Please ensure the link is correct and points to a valid, downloadable file.</t>
        </is>
      </c>
      <c r="AT13" t="inlineStr">
        <is>
          <t>4: Based on answers provided in Class Specific Details Section, the following legal document types are RECOMMENDED: Tipover Restraint Device Included, CARB Phase II Compliant (formaldehyde emissions), CANFER Compliant, TSCA Title VI Compliant (formalde...</t>
        </is>
      </c>
      <c r="CC13" t="inlineStr">
        <is>
          <t>4: RECOMMENDED: You answered “Yes.” Please upload supporting documentation (e.g., certification or lab report). If already uploaded or not applicable, you may ignore this message.</t>
        </is>
      </c>
      <c r="CL13" t="inlineStr">
        <is>
          <t>1: Please select one of the provided options. Custom entries are not allowed for this field.</t>
        </is>
      </c>
      <c r="CM13" t="inlineStr">
        <is>
          <t>1: Please select one of the provided options. Custom entries are not allowed for this field.</t>
        </is>
      </c>
      <c r="CN13" t="inlineStr">
        <is>
          <t>1: Since 'Battery or Batteries Included' is set to 'No', this value should be 'Does Not Apply'.</t>
        </is>
      </c>
      <c r="DA13" t="inlineStr">
        <is>
          <t>1: Please select one of the provided options. Custom entries are not allowed for this field.</t>
        </is>
      </c>
      <c r="DB13" t="inlineStr">
        <is>
          <t>1: Please select one of the provided options. Custom entries are not allowed for this field.</t>
        </is>
      </c>
      <c r="DF13" t="inlineStr">
        <is>
          <t>1: Please select one of the provided options. Custom entries are not allowed for this field.</t>
        </is>
      </c>
      <c r="DL13" t="inlineStr">
        <is>
          <t>4: REQUIRED: You answered “Yes.” Supporting documentation (e.g., certification or lab report) is required for product launch, but you may proceed with submitting your project in the meantime and upload these later.</t>
        </is>
      </c>
      <c r="DM13" t="inlineStr">
        <is>
          <t>4: REQUIRED: You answered “Yes.” Supporting documentation (e.g., certification or lab report) is required for product launch, but you may proceed with submitting your project in the meantime and upload these later.</t>
        </is>
      </c>
      <c r="DN13" t="inlineStr">
        <is>
          <t>4: REQUIRED: You answered “Yes.” Supporting documentation (e.g., certification or lab report) is required for product launch, but you may proceed with submitting your project in the meantime and upload these later.</t>
        </is>
      </c>
      <c r="DQ13" t="inlineStr">
        <is>
          <t>1: Please select one of the provided options. Custom entries are not allowed for this field.</t>
        </is>
      </c>
      <c r="DX13" t="inlineStr">
        <is>
          <t>4: REQUIRED: You answered “Yes.” Supporting documentation (e.g., certification or lab report) is required for product launch, but you may proceed with submitting your project in the meantime and upload these later.</t>
        </is>
      </c>
      <c r="DZ13" t="inlineStr">
        <is>
          <t>1: Since 'Safety Listing(s)' is set to 'No', this value should be 'Does Not Apply'.</t>
        </is>
      </c>
      <c r="EA13" t="inlineStr">
        <is>
          <t>1: Please select one of the provided options. Custom entries are not allowed for this field.</t>
        </is>
      </c>
    </row>
    <row r="14">
      <c r="D14" t="inlineStr">
        <is>
          <t>1: Please select value from the list</t>
        </is>
      </c>
      <c r="F14" t="inlineStr">
        <is>
          <t>1: This is not a valid UPC</t>
        </is>
      </c>
      <c r="Y14" t="inlineStr">
        <is>
          <t>1: Please select value from the list</t>
        </is>
      </c>
      <c r="Z14" t="inlineStr">
        <is>
          <t>1: Please select value from the list</t>
        </is>
      </c>
      <c r="AL14" t="inlineStr">
        <is>
          <t>1: Unable to download the file from the provided URL. Please ensure the link is correct and points to a valid, downloadable file.</t>
        </is>
      </c>
      <c r="AT14" t="inlineStr">
        <is>
          <t>4: Based on answers provided in Class Specific Details Section, the following legal document types are RECOMMENDED: CANFER Compliant, Energy Efficiency Regulations Compliant, CARB Phase II Compliant (formaldehyde emissions), Tipover Restraint Device In...</t>
        </is>
      </c>
      <c r="CC14" t="inlineStr">
        <is>
          <t>4: RECOMMENDED: You answered “Yes.” Please upload supporting documentation (e.g., certification or lab report). If already uploaded or not applicable, you may ignore this message.</t>
        </is>
      </c>
      <c r="CL14" t="inlineStr">
        <is>
          <t>1: Please select one of the provided options. Custom entries are not allowed for this field.</t>
        </is>
      </c>
      <c r="CM14" t="inlineStr">
        <is>
          <t>1: Please select one of the provided options. Custom entries are not allowed for this field.</t>
        </is>
      </c>
      <c r="CN14" t="inlineStr">
        <is>
          <t>1: Since 'Battery or Batteries Included' is set to 'No', this value should be 'Does Not Apply'.</t>
        </is>
      </c>
      <c r="DF14" t="inlineStr">
        <is>
          <t>1: Please select one of the provided options. Custom entries are not allowed for this field.</t>
        </is>
      </c>
      <c r="DL14" t="inlineStr">
        <is>
          <t>4: REQUIRED: You answered “Yes.” Supporting documentation (e.g., certification or lab report) is required for product launch, but you may proceed with submitting your project in the meantime and upload these later.</t>
        </is>
      </c>
      <c r="DM14" t="inlineStr">
        <is>
          <t>4: REQUIRED: You answered “Yes.” Supporting documentation (e.g., certification or lab report) is required for product launch, but you may proceed with submitting your project in the meantime and upload these later.</t>
        </is>
      </c>
      <c r="DN14" t="inlineStr">
        <is>
          <t>4: REQUIRED: You answered “Yes.” Supporting documentation (e.g., certification or lab report) is required for product launch, but you may proceed with submitting your project in the meantime and upload these later.</t>
        </is>
      </c>
      <c r="DQ14" t="inlineStr">
        <is>
          <t>1: Please select one of the provided options. Custom entries are not allowed for this field.</t>
        </is>
      </c>
      <c r="DX14" t="inlineStr">
        <is>
          <t>4: REQUIRED: You answered “Yes.” Supporting documentation (e.g., certification or lab report) is required for product launch, but you may proceed with submitting your project in the meantime and upload these later.</t>
        </is>
      </c>
      <c r="DZ14" t="inlineStr">
        <is>
          <t>1: Since 'Safety Listing(s)' is set to 'No', this value should be 'Does Not Apply'.</t>
        </is>
      </c>
      <c r="EA14" t="inlineStr">
        <is>
          <t>1: Please select one of the provided options. Custom entries are not allowed for this field.</t>
        </is>
      </c>
    </row>
    <row r="15">
      <c r="D15" t="inlineStr">
        <is>
          <t>1: Please select value from the list</t>
        </is>
      </c>
      <c r="F15" t="inlineStr">
        <is>
          <t>1: This is not a valid UPC</t>
        </is>
      </c>
      <c r="Y15" t="inlineStr">
        <is>
          <t>1: Please select value from the list</t>
        </is>
      </c>
      <c r="Z15" t="inlineStr">
        <is>
          <t>1: Please select value from the list</t>
        </is>
      </c>
      <c r="AL15" t="inlineStr">
        <is>
          <t>1: Unable to download the file from the provided URL. Please ensure the link is correct and points to a valid, downloadable file.</t>
        </is>
      </c>
      <c r="AT15" t="inlineStr">
        <is>
          <t>4: Based on answers provided in Class Specific Details Section, the following legal document types are RECOMMENDED: CANFER Compliant, TSCA Title VI Compliant (formaldehyde emissions), Energy Efficiency Regulations Compliant, CARB Phase II Compliant (fo...</t>
        </is>
      </c>
      <c r="CC15" t="inlineStr">
        <is>
          <t>4: RECOMMENDED: You answered “Yes.” Please upload supporting documentation (e.g., certification or lab report). If already uploaded or not applicable, you may ignore this message.</t>
        </is>
      </c>
      <c r="CL15" t="inlineStr">
        <is>
          <t>1: Please select one of the provided options. Custom entries are not allowed for this field.</t>
        </is>
      </c>
      <c r="CM15" t="inlineStr">
        <is>
          <t>1: Please select one of the provided options. Custom entries are not allowed for this field.</t>
        </is>
      </c>
      <c r="CN15" t="inlineStr">
        <is>
          <t>1: Since 'Battery or Batteries Included' is set to 'No', this value should be 'Does Not Apply'.</t>
        </is>
      </c>
      <c r="DA15" t="inlineStr">
        <is>
          <t>1: Please select one of the provided options. Custom entries are not allowed for this field.</t>
        </is>
      </c>
      <c r="DB15" t="inlineStr">
        <is>
          <t>1: Please select one of the provided options. Custom entries are not allowed for this field.</t>
        </is>
      </c>
      <c r="DF15" t="inlineStr">
        <is>
          <t>1: Please select one of the provided options. Custom entries are not allowed for this field.</t>
        </is>
      </c>
      <c r="DL15" t="inlineStr">
        <is>
          <t>4: REQUIRED: You answered “Yes.” Supporting documentation (e.g., certification or lab report) is required for product launch, but you may proceed with submitting your project in the meantime and upload these later.</t>
        </is>
      </c>
      <c r="DM15" t="inlineStr">
        <is>
          <t>4: REQUIRED: You answered “Yes.” Supporting documentation (e.g., certification or lab report) is required for product launch, but you may proceed with submitting your project in the meantime and upload these later.</t>
        </is>
      </c>
      <c r="DN15" t="inlineStr">
        <is>
          <t>4: REQUIRED: You answered “Yes.” Supporting documentation (e.g., certification or lab report) is required for product launch, but you may proceed with submitting your project in the meantime and upload these later.</t>
        </is>
      </c>
      <c r="DQ15" t="inlineStr">
        <is>
          <t>1: Please select one of the provided options. Custom entries are not allowed for this field.</t>
        </is>
      </c>
      <c r="DX15" t="inlineStr">
        <is>
          <t>4: REQUIRED: You answered “Yes.” Supporting documentation (e.g., certification or lab report) is required for product launch, but you may proceed with submitting your project in the meantime and upload these later.</t>
        </is>
      </c>
      <c r="DZ15" t="inlineStr">
        <is>
          <t>1: Since 'Safety Listing(s)' is set to 'No', this value should be 'Does Not Apply'.</t>
        </is>
      </c>
      <c r="EA15" t="inlineStr">
        <is>
          <t>1: Please select one of the provided options. Custom entries are not allowed for this field.</t>
        </is>
      </c>
    </row>
    <row r="16">
      <c r="D16" t="inlineStr">
        <is>
          <t>1: Please select value from the list</t>
        </is>
      </c>
      <c r="F16" t="inlineStr">
        <is>
          <t>1: This is not a valid UPC</t>
        </is>
      </c>
      <c r="Y16" t="inlineStr">
        <is>
          <t>1: Please select value from the list</t>
        </is>
      </c>
      <c r="Z16" t="inlineStr">
        <is>
          <t>1: Please select value from the list</t>
        </is>
      </c>
      <c r="AL16" t="inlineStr">
        <is>
          <t>1: Unable to download the file from the provided URL. Please ensure the link is correct and points to a valid, downloadable file.</t>
        </is>
      </c>
      <c r="AT16" t="inlineStr">
        <is>
          <t>4: Based on answers provided in Class Specific Details Section, the following legal document types are RECOMMENDED: Tipover Restraint Device Included, CANFER Compliant, Energy Efficiency Regulations Compliant, CARB Phase II Compliant (formaldehyde emis...</t>
        </is>
      </c>
      <c r="CC16" t="inlineStr">
        <is>
          <t>4: RECOMMENDED: You answered “Yes.” Please upload supporting documentation (e.g., certification or lab report). If already uploaded or not applicable, you may ignore this message.</t>
        </is>
      </c>
      <c r="CL16" t="inlineStr">
        <is>
          <t>1: Please select one of the provided options. Custom entries are not allowed for this field.</t>
        </is>
      </c>
      <c r="CM16" t="inlineStr">
        <is>
          <t>1: Please select one of the provided options. Custom entries are not allowed for this field.</t>
        </is>
      </c>
      <c r="CN16" t="inlineStr">
        <is>
          <t>1: Since 'Battery or Batteries Included' is set to 'No', this value should be 'Does Not Apply'.</t>
        </is>
      </c>
      <c r="DF16" t="inlineStr">
        <is>
          <t>1: Please select one of the provided options. Custom entries are not allowed for this field.</t>
        </is>
      </c>
      <c r="DL16" t="inlineStr">
        <is>
          <t>4: REQUIRED: You answered “Yes.” Supporting documentation (e.g., certification or lab report) is required for product launch, but you may proceed with submitting your project in the meantime and upload these later.</t>
        </is>
      </c>
      <c r="DM16" t="inlineStr">
        <is>
          <t>4: REQUIRED: You answered “Yes.” Supporting documentation (e.g., certification or lab report) is required for product launch, but you may proceed with submitting your project in the meantime and upload these later.</t>
        </is>
      </c>
      <c r="DN16" t="inlineStr">
        <is>
          <t>4: REQUIRED: You answered “Yes.” Supporting documentation (e.g., certification or lab report) is required for product launch, but you may proceed with submitting your project in the meantime and upload these later.</t>
        </is>
      </c>
      <c r="DQ16" t="inlineStr">
        <is>
          <t>1: Please select one of the provided options. Custom entries are not allowed for this field.</t>
        </is>
      </c>
      <c r="DX16" t="inlineStr">
        <is>
          <t>4: REQUIRED: You answered “Yes.” Supporting documentation (e.g., certification or lab report) is required for product launch, but you may proceed with submitting your project in the meantime and upload these later.</t>
        </is>
      </c>
      <c r="DZ16" t="inlineStr">
        <is>
          <t>1: Since 'Safety Listing(s)' is set to 'No', this value should be 'Does Not Apply'.</t>
        </is>
      </c>
      <c r="EA16" t="inlineStr">
        <is>
          <t>1: Please select one of the provided options. Custom entries are not allowed for this field.</t>
        </is>
      </c>
    </row>
    <row r="17">
      <c r="D17" t="inlineStr">
        <is>
          <t>1: Please select value from the list</t>
        </is>
      </c>
      <c r="Y17" t="inlineStr">
        <is>
          <t>1: Please select value from the list</t>
        </is>
      </c>
      <c r="Z17" t="inlineStr">
        <is>
          <t>1: Please select value from the list</t>
        </is>
      </c>
      <c r="AL17" t="inlineStr">
        <is>
          <t>1: Unable to download the file from the provided URL. Please ensure the link is correct and points to a valid, downloadable file.</t>
        </is>
      </c>
      <c r="AT17" t="inlineStr">
        <is>
          <t>4: Based on answers provided in Class Specific Details Section, the following legal document types are RECOMMENDED: Energy Efficiency Regulations Compliant, CANFER Compliant, CARB Phase II Compliant (formaldehyde emissions), TSCA Title VI Compliant (fo...</t>
        </is>
      </c>
      <c r="CC17" t="inlineStr">
        <is>
          <t>4: RECOMMENDED: You answered “Yes.” Please upload supporting documentation (e.g., certification or lab report). If already uploaded or not applicable, you may ignore this message.</t>
        </is>
      </c>
      <c r="CL17" t="inlineStr">
        <is>
          <t>1: Please select one of the provided options. Custom entries are not allowed for this field.</t>
        </is>
      </c>
      <c r="CM17" t="inlineStr">
        <is>
          <t>1: Please select one of the provided options. Custom entries are not allowed for this field.</t>
        </is>
      </c>
      <c r="CN17" t="inlineStr">
        <is>
          <t>1: Since 'Battery or Batteries Included' is set to 'No', this value should be 'Does Not Apply'.</t>
        </is>
      </c>
      <c r="DA17" t="inlineStr">
        <is>
          <t>1: Please select one of the provided options. Custom entries are not allowed for this field.</t>
        </is>
      </c>
      <c r="DB17" t="inlineStr">
        <is>
          <t>1: Please select one of the provided options. Custom entries are not allowed for this field.</t>
        </is>
      </c>
      <c r="DF17" t="inlineStr">
        <is>
          <t>1: Please select one of the provided options. Custom entries are not allowed for this field.</t>
        </is>
      </c>
      <c r="DL17" t="inlineStr">
        <is>
          <t>4: REQUIRED: You answered “Yes.” Supporting documentation (e.g., certification or lab report) is required for product launch, but you may proceed with submitting your project in the meantime and upload these later.</t>
        </is>
      </c>
      <c r="DM17" t="inlineStr">
        <is>
          <t>4: REQUIRED: You answered “Yes.” Supporting documentation (e.g., certification or lab report) is required for product launch, but you may proceed with submitting your project in the meantime and upload these later.</t>
        </is>
      </c>
      <c r="DN17" t="inlineStr">
        <is>
          <t>4: REQUIRED: You answered “Yes.” Supporting documentation (e.g., certification or lab report) is required for product launch, but you may proceed with submitting your project in the meantime and upload these later.</t>
        </is>
      </c>
      <c r="DQ17" t="inlineStr">
        <is>
          <t>1: Please select one of the provided options. Custom entries are not allowed for this field.</t>
        </is>
      </c>
      <c r="DX17" t="inlineStr">
        <is>
          <t>4: REQUIRED: You answered “Yes.” Supporting documentation (e.g., certification or lab report) is required for product launch, but you may proceed with submitting your project in the meantime and upload these later.</t>
        </is>
      </c>
      <c r="DZ17" t="inlineStr">
        <is>
          <t>1: Since 'Safety Listing(s)' is set to 'No', this value should be 'Does Not Apply'.</t>
        </is>
      </c>
      <c r="EA17" t="inlineStr">
        <is>
          <t>1: Please select one of the provided options. Custom entries are not allowed for this field.</t>
        </is>
      </c>
    </row>
    <row r="18">
      <c r="D18" t="inlineStr">
        <is>
          <t>1: Please select value from the list</t>
        </is>
      </c>
      <c r="F18" t="inlineStr">
        <is>
          <t>1: This is not a valid UPC</t>
        </is>
      </c>
      <c r="Y18" t="inlineStr">
        <is>
          <t>1: Please select value from the list</t>
        </is>
      </c>
      <c r="Z18" t="inlineStr">
        <is>
          <t>1: Please select value from the list</t>
        </is>
      </c>
      <c r="AL18" t="inlineStr">
        <is>
          <t>1: Unable to download the file from the provided URL. Please ensure the link is correct and points to a valid, downloadable file.</t>
        </is>
      </c>
      <c r="AT18" t="inlineStr">
        <is>
          <t>4: Based on answers provided in Class Specific Details Section, the following legal document types are RECOMMENDED: Energy Efficiency Regulations Compliant, Tipover Restraint Device Included, CANFER Compliant, TSCA Title VI Compliant (formaldehyde emis...</t>
        </is>
      </c>
      <c r="CC18" t="inlineStr">
        <is>
          <t>4: RECOMMENDED: You answered “Yes.” Please upload supporting documentation (e.g., certification or lab report). If already uploaded or not applicable, you may ignore this message.</t>
        </is>
      </c>
      <c r="CL18" t="inlineStr">
        <is>
          <t>1: Please select one of the provided options. Custom entries are not allowed for this field.</t>
        </is>
      </c>
      <c r="CM18" t="inlineStr">
        <is>
          <t>1: Please select one of the provided options. Custom entries are not allowed for this field.</t>
        </is>
      </c>
      <c r="CN18" t="inlineStr">
        <is>
          <t>1: Since 'Battery or Batteries Included' is set to 'No', this value should be 'Does Not Apply'.</t>
        </is>
      </c>
      <c r="DA18" t="inlineStr">
        <is>
          <t>1: Please select one of the provided options. Custom entries are not allowed for this field.</t>
        </is>
      </c>
      <c r="DB18" t="inlineStr">
        <is>
          <t>1: Please select one of the provided options. Custom entries are not allowed for this field.</t>
        </is>
      </c>
      <c r="DF18" t="inlineStr">
        <is>
          <t>1: Please select one of the provided options. Custom entries are not allowed for this field.</t>
        </is>
      </c>
      <c r="DL18" t="inlineStr">
        <is>
          <t>4: REQUIRED: You answered “Yes.” Supporting documentation (e.g., certification or lab report) is required for product launch, but you may proceed with submitting your project in the meantime and upload these later.</t>
        </is>
      </c>
      <c r="DM18" t="inlineStr">
        <is>
          <t>4: REQUIRED: You answered “Yes.” Supporting documentation (e.g., certification or lab report) is required for product launch, but you may proceed with submitting your project in the meantime and upload these later.</t>
        </is>
      </c>
      <c r="DN18" t="inlineStr">
        <is>
          <t>4: REQUIRED: You answered “Yes.” Supporting documentation (e.g., certification or lab report) is required for product launch, but you may proceed with submitting your project in the meantime and upload these later.</t>
        </is>
      </c>
      <c r="DQ18" t="inlineStr">
        <is>
          <t>1: Please select one of the provided options. Custom entries are not allowed for this field.</t>
        </is>
      </c>
      <c r="DX18" t="inlineStr">
        <is>
          <t>4: REQUIRED: You answered “Yes.” Supporting documentation (e.g., certification or lab report) is required for product launch, but you may proceed with submitting your project in the meantime and upload these later.</t>
        </is>
      </c>
      <c r="DZ18" t="inlineStr">
        <is>
          <t>1: Since 'Safety Listing(s)' is set to 'No', this value should be 'Does Not Apply'.</t>
        </is>
      </c>
      <c r="EA18" t="inlineStr">
        <is>
          <t>1: Please select one of the provided options. Custom entries are not allowed for this field.</t>
        </is>
      </c>
    </row>
    <row r="19">
      <c r="D19" t="inlineStr">
        <is>
          <t>1: Please select value from the list</t>
        </is>
      </c>
      <c r="F19" t="inlineStr">
        <is>
          <t>1: This is not a valid UPC</t>
        </is>
      </c>
      <c r="Y19" t="inlineStr">
        <is>
          <t>1: Please select value from the list</t>
        </is>
      </c>
      <c r="Z19" t="inlineStr">
        <is>
          <t>1: Please select value from the list</t>
        </is>
      </c>
      <c r="AL19" t="inlineStr">
        <is>
          <t>1: Unable to download the file from the provided URL. Please ensure the link is correct and points to a valid, downloadable file.</t>
        </is>
      </c>
      <c r="AT19" t="inlineStr">
        <is>
          <t>4: Based on answers provided in Class Specific Details Section, the following legal document types are RECOMMENDED: Tipover Restraint Device Included, TSCA Title VI Compliant (formaldehyde emissions), CARB Phase II Compliant (formaldehyde emissions), E...</t>
        </is>
      </c>
      <c r="CC19" t="inlineStr">
        <is>
          <t>4: RECOMMENDED: You answered “Yes.” Please upload supporting documentation (e.g., certification or lab report). If already uploaded or not applicable, you may ignore this message.</t>
        </is>
      </c>
      <c r="CL19" t="inlineStr">
        <is>
          <t>1: Please select one of the provided options. Custom entries are not allowed for this field.</t>
        </is>
      </c>
      <c r="CM19" t="inlineStr">
        <is>
          <t>1: Please select one of the provided options. Custom entries are not allowed for this field.</t>
        </is>
      </c>
      <c r="CN19" t="inlineStr">
        <is>
          <t>1: Since 'Battery or Batteries Included' is set to 'No', this value should be 'Does Not Apply'.</t>
        </is>
      </c>
      <c r="DA19" t="inlineStr">
        <is>
          <t>1: Please select one of the provided options. Custom entries are not allowed for this field.</t>
        </is>
      </c>
      <c r="DB19" t="inlineStr">
        <is>
          <t>1: Please select one of the provided options. Custom entries are not allowed for this field.</t>
        </is>
      </c>
      <c r="DF19" t="inlineStr">
        <is>
          <t>1: Please select one of the provided options. Custom entries are not allowed for this field.</t>
        </is>
      </c>
      <c r="DL19" t="inlineStr">
        <is>
          <t>4: REQUIRED: You answered “Yes.” Supporting documentation (e.g., certification or lab report) is required for product launch, but you may proceed with submitting your project in the meantime and upload these later.</t>
        </is>
      </c>
      <c r="DM19" t="inlineStr">
        <is>
          <t>4: REQUIRED: You answered “Yes.” Supporting documentation (e.g., certification or lab report) is required for product launch, but you may proceed with submitting your project in the meantime and upload these later.</t>
        </is>
      </c>
      <c r="DN19" t="inlineStr">
        <is>
          <t>4: REQUIRED: You answered “Yes.” Supporting documentation (e.g., certification or lab report) is required for product launch, but you may proceed with submitting your project in the meantime and upload these later.</t>
        </is>
      </c>
      <c r="DQ19" t="inlineStr">
        <is>
          <t>1: Please select one of the provided options. Custom entries are not allowed for this field.</t>
        </is>
      </c>
      <c r="DX19" t="inlineStr">
        <is>
          <t>4: REQUIRED: You answered “Yes.” Supporting documentation (e.g., certification or lab report) is required for product launch, but you may proceed with submitting your project in the meantime and upload these later.</t>
        </is>
      </c>
      <c r="DZ19" t="inlineStr">
        <is>
          <t>1: Since 'Safety Listing(s)' is set to 'No', this value should be 'Does Not Apply'.</t>
        </is>
      </c>
      <c r="EA19" t="inlineStr">
        <is>
          <t>1: Please select one of the provided options. Custom entries are not allowed for this field.</t>
        </is>
      </c>
    </row>
    <row r="20">
      <c r="D20" t="inlineStr">
        <is>
          <t>1: Please select value from the list</t>
        </is>
      </c>
      <c r="F20" t="inlineStr">
        <is>
          <t>1: This is not a valid UPC</t>
        </is>
      </c>
      <c r="Y20" t="inlineStr">
        <is>
          <t>1: Please select value from the list</t>
        </is>
      </c>
      <c r="Z20" t="inlineStr">
        <is>
          <t>1: Please select value from the list</t>
        </is>
      </c>
      <c r="AL20" t="inlineStr">
        <is>
          <t>1: Unable to download the file from the provided URL. Please ensure the link is correct and points to a valid, downloadable file.</t>
        </is>
      </c>
      <c r="AT20" t="inlineStr">
        <is>
          <t>4: Based on answers provided in Class Specific Details Section, the following legal document types are RECOMMENDED: TSCA Title VI Compliant (formaldehyde emissions), CANFER Compliant, Energy Efficiency Regulations Compliant, Tipover Restraint Device In...</t>
        </is>
      </c>
      <c r="CC20" t="inlineStr">
        <is>
          <t>4: RECOMMENDED: You answered “Yes.” Please upload supporting documentation (e.g., certification or lab report). If already uploaded or not applicable, you may ignore this message.</t>
        </is>
      </c>
      <c r="CL20" t="inlineStr">
        <is>
          <t>1: Please select one of the provided options. Custom entries are not allowed for this field.</t>
        </is>
      </c>
      <c r="CM20" t="inlineStr">
        <is>
          <t>1: Please select one of the provided options. Custom entries are not allowed for this field.</t>
        </is>
      </c>
      <c r="CN20" t="inlineStr">
        <is>
          <t>1: Since 'Battery or Batteries Included' is set to 'No', this value should be 'Does Not Apply'.</t>
        </is>
      </c>
      <c r="DA20" t="inlineStr">
        <is>
          <t>1: Please select one of the provided options. Custom entries are not allowed for this field.</t>
        </is>
      </c>
      <c r="DB20" t="inlineStr">
        <is>
          <t>1: Please select one of the provided options. Custom entries are not allowed for this field.</t>
        </is>
      </c>
      <c r="DF20" t="inlineStr">
        <is>
          <t>1: Please select one of the provided options. Custom entries are not allowed for this field.</t>
        </is>
      </c>
      <c r="DL20" t="inlineStr">
        <is>
          <t>4: REQUIRED: You answered “Yes.” Supporting documentation (e.g., certification or lab report) is required for product launch, but you may proceed with submitting your project in the meantime and upload these later.</t>
        </is>
      </c>
      <c r="DM20" t="inlineStr">
        <is>
          <t>4: REQUIRED: You answered “Yes.” Supporting documentation (e.g., certification or lab report) is required for product launch, but you may proceed with submitting your project in the meantime and upload these later.</t>
        </is>
      </c>
      <c r="DN20" t="inlineStr">
        <is>
          <t>4: REQUIRED: You answered “Yes.” Supporting documentation (e.g., certification or lab report) is required for product launch, but you may proceed with submitting your project in the meantime and upload these later.</t>
        </is>
      </c>
      <c r="DQ20" t="inlineStr">
        <is>
          <t>1: Please select one of the provided options. Custom entries are not allowed for this field.</t>
        </is>
      </c>
      <c r="DX20" t="inlineStr">
        <is>
          <t>4: REQUIRED: You answered “Yes.” Supporting documentation (e.g., certification or lab report) is required for product launch, but you may proceed with submitting your project in the meantime and upload these later.</t>
        </is>
      </c>
      <c r="DZ20" t="inlineStr">
        <is>
          <t>1: Since 'Safety Listing(s)' is set to 'No', this value should be 'Does Not Apply'.</t>
        </is>
      </c>
      <c r="EA20" t="inlineStr">
        <is>
          <t>1: Please select one of the provided options. Custom entries are not allowed for this field.</t>
        </is>
      </c>
    </row>
    <row r="21">
      <c r="D21" t="inlineStr">
        <is>
          <t>1: Please select value from the list</t>
        </is>
      </c>
      <c r="F21" t="inlineStr">
        <is>
          <t>1: This is not a valid UPC</t>
        </is>
      </c>
      <c r="Y21" t="inlineStr">
        <is>
          <t>1: Please select value from the list</t>
        </is>
      </c>
      <c r="Z21" t="inlineStr">
        <is>
          <t>1: Please select value from the list</t>
        </is>
      </c>
      <c r="AL21" t="inlineStr">
        <is>
          <t>1: Unable to download the file from the provided URL. Please ensure the link is correct and points to a valid, downloadable file.</t>
        </is>
      </c>
      <c r="AT21" t="inlineStr">
        <is>
          <t>4: Based on answers provided in Class Specific Details Section, the following legal document types are RECOMMENDED: Tipover Restraint Device Included, CANFER Compliant, TSCA Title VI Compliant (formaldehyde emissions), CARB Phase II Compliant (formalde...</t>
        </is>
      </c>
      <c r="CC21" t="inlineStr">
        <is>
          <t>4: RECOMMENDED: You answered “Yes.” Please upload supporting documentation (e.g., certification or lab report). If already uploaded or not applicable, you may ignore this message.</t>
        </is>
      </c>
      <c r="CL21" t="inlineStr">
        <is>
          <t>1: Please select one of the provided options. Custom entries are not allowed for this field.</t>
        </is>
      </c>
      <c r="CM21" t="inlineStr">
        <is>
          <t>1: Please select one of the provided options. Custom entries are not allowed for this field.</t>
        </is>
      </c>
      <c r="CN21" t="inlineStr">
        <is>
          <t>1: Since 'Battery or Batteries Included' is set to 'No', this value should be 'Does Not Apply'.</t>
        </is>
      </c>
      <c r="DA21" t="inlineStr">
        <is>
          <t>1: Please select one of the provided options. Custom entries are not allowed for this field.</t>
        </is>
      </c>
      <c r="DB21" t="inlineStr">
        <is>
          <t>1: Please select one of the provided options. Custom entries are not allowed for this field.</t>
        </is>
      </c>
      <c r="DF21" t="inlineStr">
        <is>
          <t>1: Please select one of the provided options. Custom entries are not allowed for this field.</t>
        </is>
      </c>
      <c r="DL21" t="inlineStr">
        <is>
          <t>4: REQUIRED: You answered “Yes.” Supporting documentation (e.g., certification or lab report) is required for product launch, but you may proceed with submitting your project in the meantime and upload these later.</t>
        </is>
      </c>
      <c r="DM21" t="inlineStr">
        <is>
          <t>4: REQUIRED: You answered “Yes.” Supporting documentation (e.g., certification or lab report) is required for product launch, but you may proceed with submitting your project in the meantime and upload these later.</t>
        </is>
      </c>
      <c r="DN21" t="inlineStr">
        <is>
          <t>4: REQUIRED: You answered “Yes.” Supporting documentation (e.g., certification or lab report) is required for product launch, but you may proceed with submitting your project in the meantime and upload these later.</t>
        </is>
      </c>
      <c r="DQ21" t="inlineStr">
        <is>
          <t>1: Please select one of the provided options. Custom entries are not allowed for this field.</t>
        </is>
      </c>
      <c r="DX21" t="inlineStr">
        <is>
          <t>4: REQUIRED: You answered “Yes.” Supporting documentation (e.g., certification or lab report) is required for product launch, but you may proceed with submitting your project in the meantime and upload these later.</t>
        </is>
      </c>
      <c r="DZ21" t="inlineStr">
        <is>
          <t>1: Since 'Safety Listing(s)' is set to 'No', this value should be 'Does Not Apply'.</t>
        </is>
      </c>
      <c r="EA21" t="inlineStr">
        <is>
          <t>1: Please select one of the provided options. Custom entries are not allowed for this field.</t>
        </is>
      </c>
    </row>
    <row r="22">
      <c r="D22" t="inlineStr">
        <is>
          <t>1: Please select value from the list</t>
        </is>
      </c>
      <c r="F22" t="inlineStr">
        <is>
          <t>1: This is not a valid UPC</t>
        </is>
      </c>
      <c r="Y22" t="inlineStr">
        <is>
          <t>1: Please select value from the list</t>
        </is>
      </c>
      <c r="Z22" t="inlineStr">
        <is>
          <t>1: Please select value from the list</t>
        </is>
      </c>
      <c r="AL22" t="inlineStr">
        <is>
          <t>1: Unable to download the file from the provided URL. Please ensure the link is correct and points to a valid, downloadable file.</t>
        </is>
      </c>
      <c r="AT22" t="inlineStr">
        <is>
          <t>4: Based on answers provided in Class Specific Details Section, the following legal document types are RECOMMENDED: TSCA Title VI Compliant (formaldehyde emissions), Energy Efficiency Regulations Compliant, Tipover Restraint Device Included, CANFER Com...</t>
        </is>
      </c>
      <c r="CC22" t="inlineStr">
        <is>
          <t>4: RECOMMENDED: You answered “Yes.” Please upload supporting documentation (e.g., certification or lab report). If already uploaded or not applicable, you may ignore this message.</t>
        </is>
      </c>
      <c r="CL22" t="inlineStr">
        <is>
          <t>1: Please select one of the provided options. Custom entries are not allowed for this field.</t>
        </is>
      </c>
      <c r="CM22" t="inlineStr">
        <is>
          <t>1: Please select one of the provided options. Custom entries are not allowed for this field.</t>
        </is>
      </c>
      <c r="CN22" t="inlineStr">
        <is>
          <t>1: Since 'Battery or Batteries Included' is set to 'No', this value should be 'Does Not Apply'.</t>
        </is>
      </c>
      <c r="DA22" t="inlineStr">
        <is>
          <t>1: Please select one of the provided options. Custom entries are not allowed for this field.</t>
        </is>
      </c>
      <c r="DB22" t="inlineStr">
        <is>
          <t>1: Please select one of the provided options. Custom entries are not allowed for this field.</t>
        </is>
      </c>
      <c r="DF22" t="inlineStr">
        <is>
          <t>1: Please select one of the provided options. Custom entries are not allowed for this field.</t>
        </is>
      </c>
      <c r="DL22" t="inlineStr">
        <is>
          <t>4: REQUIRED: You answered “Yes.” Supporting documentation (e.g., certification or lab report) is required for product launch, but you may proceed with submitting your project in the meantime and upload these later.</t>
        </is>
      </c>
      <c r="DM22" t="inlineStr">
        <is>
          <t>4: REQUIRED: You answered “Yes.” Supporting documentation (e.g., certification or lab report) is required for product launch, but you may proceed with submitting your project in the meantime and upload these later.</t>
        </is>
      </c>
      <c r="DN22" t="inlineStr">
        <is>
          <t>4: REQUIRED: You answered “Yes.” Supporting documentation (e.g., certification or lab report) is required for product launch, but you may proceed with submitting your project in the meantime and upload these later.</t>
        </is>
      </c>
      <c r="DQ22" t="inlineStr">
        <is>
          <t>1: Please select one of the provided options. Custom entries are not allowed for this field.</t>
        </is>
      </c>
      <c r="DX22" t="inlineStr">
        <is>
          <t>4: REQUIRED: You answered “Yes.” Supporting documentation (e.g., certification or lab report) is required for product launch, but you may proceed with submitting your project in the meantime and upload these later.</t>
        </is>
      </c>
      <c r="DZ22" t="inlineStr">
        <is>
          <t>1: Since 'Safety Listing(s)' is set to 'No', this value should be 'Does Not Apply'.</t>
        </is>
      </c>
      <c r="EA22" t="inlineStr">
        <is>
          <t>1: Please select one of the provided options. Custom entries are not allowed for this field.</t>
        </is>
      </c>
    </row>
  </sheetData>
  <sheetProtection selectLockedCells="0" selectUnlockedCells="0" sheet="1" objects="1" insertRows="1" insertHyperlinks="1" autoFilter="1" scenarios="1" formatColumns="1" deleteColumns="1" insertColumns="1" pivotTables="1" deleteRows="1" formatCells="1" formatRows="1" sort="1" password="9D6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2026-02-25T08:30:46Z</dcterms:created>
  <dcterms:modified xsi:type="dcterms:W3CDTF">2026-02-25T08:45:01Z</dcterms:modified>
</cp:coreProperties>
</file>